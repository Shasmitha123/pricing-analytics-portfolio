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icing Analyst\"/>
    </mc:Choice>
  </mc:AlternateContent>
  <bookViews>
    <workbookView xWindow="0" yWindow="0" windowWidth="28740" windowHeight="12150" firstSheet="14" activeTab="15"/>
  </bookViews>
  <sheets>
    <sheet name="README" sheetId="1" r:id="rId1"/>
    <sheet name="Customer_Master" sheetId="2" r:id="rId2"/>
    <sheet name="Product_Catalog" sheetId="3" r:id="rId3"/>
    <sheet name="Contract_Master" sheetId="4" r:id="rId4"/>
    <sheet name="Deals_Raw" sheetId="5" r:id="rId5"/>
    <sheet name="StraCustomer segm pricing perf " sheetId="19" r:id="rId6"/>
    <sheet name="Pricing_Analysis" sheetId="15" r:id="rId7"/>
    <sheet name="Notes on dataset" sheetId="14" r:id="rId8"/>
    <sheet name="Pricing_Policy" sheetId="6" r:id="rId9"/>
    <sheet name="Analyst_Model" sheetId="7" r:id="rId10"/>
    <sheet name="Data_Dictionary" sheetId="8" r:id="rId11"/>
    <sheet name="Lifecycle_Rules" sheetId="9" r:id="rId12"/>
    <sheet name="Dashboard" sheetId="10" r:id="rId13"/>
    <sheet name="Report_Data_validation checks" sheetId="12" r:id="rId14"/>
    <sheet name="Pricing Analysis Log" sheetId="16" r:id="rId15"/>
    <sheet name="Price &amp; Discount leakage" sheetId="20" r:id="rId16"/>
    <sheet name="Product Comm &amp; Fin performance" sheetId="17" r:id="rId17"/>
    <sheet name="Deal Type Performance" sheetId="18" r:id="rId18"/>
    <sheet name="All Data validation Checks" sheetId="13" r:id="rId19"/>
  </sheets>
  <calcPr calcId="162913"/>
</workbook>
</file>

<file path=xl/calcChain.xml><?xml version="1.0" encoding="utf-8"?>
<calcChain xmlns="http://schemas.openxmlformats.org/spreadsheetml/2006/main">
  <c r="B3" i="20" l="1"/>
  <c r="B4" i="20"/>
  <c r="B5" i="20"/>
  <c r="B6" i="20"/>
  <c r="B2" i="20"/>
  <c r="E2" i="17"/>
  <c r="M3" i="19"/>
  <c r="M4" i="19"/>
  <c r="M5" i="19"/>
  <c r="M6" i="19"/>
  <c r="M7" i="19"/>
  <c r="M8" i="19"/>
  <c r="M9" i="19"/>
  <c r="M10" i="19"/>
  <c r="M11" i="19"/>
  <c r="M12" i="19"/>
  <c r="M13" i="19"/>
  <c r="M14" i="19"/>
  <c r="M15" i="19"/>
  <c r="M16" i="19"/>
  <c r="M17" i="19"/>
  <c r="M18" i="19"/>
  <c r="M19" i="19"/>
  <c r="M2" i="19"/>
  <c r="L4" i="19"/>
  <c r="L6" i="19"/>
  <c r="L7" i="19"/>
  <c r="L10" i="19"/>
  <c r="L11" i="19"/>
  <c r="L12" i="19"/>
  <c r="L13" i="19"/>
  <c r="L14" i="19"/>
  <c r="L15" i="19"/>
  <c r="L16" i="19"/>
  <c r="L18" i="19"/>
  <c r="L19" i="19"/>
  <c r="K8" i="19"/>
  <c r="N8" i="19" s="1"/>
  <c r="K9" i="19"/>
  <c r="N9" i="19" s="1"/>
  <c r="K10" i="19"/>
  <c r="N10" i="19" s="1"/>
  <c r="K11" i="19"/>
  <c r="N11" i="19" s="1"/>
  <c r="K12" i="19"/>
  <c r="N12" i="19" s="1"/>
  <c r="K13" i="19"/>
  <c r="N13" i="19" s="1"/>
  <c r="K14" i="19"/>
  <c r="N14" i="19" s="1"/>
  <c r="K15" i="19"/>
  <c r="N15" i="19" s="1"/>
  <c r="K16" i="19"/>
  <c r="N16" i="19" s="1"/>
  <c r="K17" i="19"/>
  <c r="N17" i="19" s="1"/>
  <c r="K18" i="19"/>
  <c r="N18" i="19" s="1"/>
  <c r="K19" i="19"/>
  <c r="N19" i="19" s="1"/>
  <c r="K7" i="19"/>
  <c r="N7" i="19" s="1"/>
  <c r="K5" i="19"/>
  <c r="N5" i="19" s="1"/>
  <c r="K6" i="19"/>
  <c r="N6" i="19" s="1"/>
  <c r="K3" i="19"/>
  <c r="N3" i="19" s="1"/>
  <c r="K4" i="19"/>
  <c r="N4" i="19" s="1"/>
  <c r="K2" i="19"/>
  <c r="N2" i="19" s="1"/>
  <c r="J3" i="19"/>
  <c r="J4" i="19"/>
  <c r="J5" i="19"/>
  <c r="J6" i="19"/>
  <c r="J7" i="19"/>
  <c r="J8" i="19"/>
  <c r="J9" i="19"/>
  <c r="J10" i="19"/>
  <c r="J11" i="19"/>
  <c r="J12" i="19"/>
  <c r="J13" i="19"/>
  <c r="J14" i="19"/>
  <c r="J15" i="19"/>
  <c r="J16" i="19"/>
  <c r="J17" i="19"/>
  <c r="J18" i="19"/>
  <c r="J19" i="19"/>
  <c r="J2" i="19"/>
  <c r="I4" i="19"/>
  <c r="I6" i="19"/>
  <c r="I7" i="19"/>
  <c r="I10" i="19"/>
  <c r="I11" i="19"/>
  <c r="I12" i="19"/>
  <c r="I13" i="19"/>
  <c r="I14" i="19"/>
  <c r="I15" i="19"/>
  <c r="I16" i="19"/>
  <c r="I18" i="19"/>
  <c r="I19" i="19"/>
  <c r="G2" i="19"/>
  <c r="H4" i="19"/>
  <c r="H6" i="19"/>
  <c r="H7" i="19"/>
  <c r="H10" i="19"/>
  <c r="H11" i="19"/>
  <c r="H12" i="19"/>
  <c r="H13" i="19"/>
  <c r="H14" i="19"/>
  <c r="H15" i="19"/>
  <c r="H16" i="19"/>
  <c r="H18" i="19"/>
  <c r="H19" i="19"/>
  <c r="G6" i="19"/>
  <c r="G7" i="19"/>
  <c r="G8" i="19"/>
  <c r="G9" i="19"/>
  <c r="G10" i="19"/>
  <c r="G11" i="19"/>
  <c r="G12" i="19"/>
  <c r="G13" i="19"/>
  <c r="G14" i="19"/>
  <c r="G15" i="19"/>
  <c r="G16" i="19"/>
  <c r="G17" i="19"/>
  <c r="G18" i="19"/>
  <c r="G19" i="19"/>
  <c r="G3" i="19"/>
  <c r="G4" i="19"/>
  <c r="G5" i="19"/>
  <c r="F2" i="19"/>
  <c r="F5" i="19"/>
  <c r="F6" i="19"/>
  <c r="F7" i="19"/>
  <c r="F8" i="19"/>
  <c r="F9" i="19"/>
  <c r="F10" i="19"/>
  <c r="F11" i="19"/>
  <c r="F12" i="19"/>
  <c r="F13" i="19"/>
  <c r="F14" i="19"/>
  <c r="F15" i="19"/>
  <c r="F16" i="19"/>
  <c r="F17" i="19"/>
  <c r="F18" i="19"/>
  <c r="F19" i="19"/>
  <c r="F3" i="19"/>
  <c r="F4" i="19"/>
  <c r="E2" i="19"/>
  <c r="E5" i="19"/>
  <c r="B2" i="17"/>
  <c r="E7" i="19"/>
  <c r="E8" i="19"/>
  <c r="E9" i="19"/>
  <c r="E10" i="19"/>
  <c r="E11" i="19"/>
  <c r="E12" i="19"/>
  <c r="E13" i="19"/>
  <c r="E14" i="19"/>
  <c r="E15" i="19"/>
  <c r="E16" i="19"/>
  <c r="E17" i="19"/>
  <c r="E18" i="19"/>
  <c r="E19" i="19"/>
  <c r="E3" i="19"/>
  <c r="E4" i="19"/>
  <c r="E6" i="19"/>
  <c r="C2" i="19"/>
  <c r="C3" i="19"/>
  <c r="C4" i="19"/>
  <c r="C5" i="19"/>
  <c r="C6" i="19"/>
  <c r="C7" i="19"/>
  <c r="C8" i="19"/>
  <c r="C9" i="19"/>
  <c r="C10" i="19"/>
  <c r="C11" i="19"/>
  <c r="C12" i="19"/>
  <c r="C13" i="19"/>
  <c r="C14" i="19"/>
  <c r="C15" i="19"/>
  <c r="C16" i="19"/>
  <c r="C17" i="19"/>
  <c r="C18" i="19"/>
  <c r="C19" i="19"/>
  <c r="L6" i="18"/>
  <c r="L7" i="18"/>
  <c r="L8" i="18"/>
  <c r="L9" i="18"/>
  <c r="L10" i="18"/>
  <c r="L11" i="18"/>
  <c r="L12" i="18"/>
  <c r="L13" i="18"/>
  <c r="L14" i="18"/>
  <c r="L15" i="18"/>
  <c r="L16" i="18"/>
  <c r="L17" i="18"/>
  <c r="L18" i="18"/>
  <c r="L19" i="18"/>
  <c r="L20" i="18"/>
  <c r="L21" i="18"/>
  <c r="L2" i="18"/>
  <c r="L3" i="18"/>
  <c r="L4" i="18"/>
  <c r="J2" i="18"/>
  <c r="J3" i="18"/>
  <c r="J4" i="18"/>
  <c r="J6" i="18"/>
  <c r="J7" i="18"/>
  <c r="J8" i="18"/>
  <c r="J9" i="18"/>
  <c r="J10" i="18"/>
  <c r="J11" i="18"/>
  <c r="J12" i="18"/>
  <c r="J13" i="18"/>
  <c r="J14" i="18"/>
  <c r="J15" i="18"/>
  <c r="J16" i="18"/>
  <c r="J17" i="18"/>
  <c r="J18" i="18"/>
  <c r="J19" i="18"/>
  <c r="J20" i="18"/>
  <c r="J21" i="18"/>
  <c r="J5" i="18"/>
  <c r="G3" i="18"/>
  <c r="I2" i="18"/>
  <c r="I3" i="18"/>
  <c r="I4" i="18"/>
  <c r="I6" i="18"/>
  <c r="I7" i="18"/>
  <c r="I8" i="18"/>
  <c r="I9" i="18"/>
  <c r="I10" i="18"/>
  <c r="I11" i="18"/>
  <c r="I12" i="18"/>
  <c r="I13" i="18"/>
  <c r="I14" i="18"/>
  <c r="I15" i="18"/>
  <c r="I16" i="18"/>
  <c r="I17" i="18"/>
  <c r="I18" i="18"/>
  <c r="I19" i="18"/>
  <c r="I20" i="18"/>
  <c r="I21" i="18"/>
  <c r="I5" i="18"/>
  <c r="H21" i="18"/>
  <c r="H13" i="18"/>
  <c r="H14" i="18"/>
  <c r="H15" i="18"/>
  <c r="H16" i="18"/>
  <c r="H17" i="18"/>
  <c r="H18" i="18"/>
  <c r="H19" i="18"/>
  <c r="H20" i="18"/>
  <c r="H6" i="18"/>
  <c r="H7" i="18"/>
  <c r="H8" i="18"/>
  <c r="H9" i="18"/>
  <c r="H10" i="18"/>
  <c r="H11" i="18"/>
  <c r="H12" i="18"/>
  <c r="H2" i="18"/>
  <c r="H3" i="18"/>
  <c r="H4" i="18"/>
  <c r="H5" i="18"/>
  <c r="L5" i="18" s="1"/>
  <c r="G20" i="18"/>
  <c r="G21" i="18"/>
  <c r="G14" i="18"/>
  <c r="G15" i="18"/>
  <c r="G16" i="18"/>
  <c r="G17" i="18"/>
  <c r="G18" i="18"/>
  <c r="G19" i="18"/>
  <c r="G10" i="18"/>
  <c r="G11" i="18"/>
  <c r="G12" i="18"/>
  <c r="G13" i="18"/>
  <c r="G6" i="18"/>
  <c r="G7" i="18"/>
  <c r="G8" i="18"/>
  <c r="G9" i="18"/>
  <c r="G2" i="18"/>
  <c r="G4" i="18"/>
  <c r="G5" i="18"/>
  <c r="F2" i="18"/>
  <c r="F20" i="18"/>
  <c r="F21" i="18"/>
  <c r="F14" i="18"/>
  <c r="F15" i="18"/>
  <c r="F16" i="18"/>
  <c r="F17" i="18"/>
  <c r="F18" i="18"/>
  <c r="F19" i="18"/>
  <c r="F7" i="18"/>
  <c r="F8" i="18"/>
  <c r="F9" i="18"/>
  <c r="F10" i="18"/>
  <c r="F11" i="18"/>
  <c r="F12" i="18"/>
  <c r="F13" i="18"/>
  <c r="F3" i="18"/>
  <c r="F4" i="18"/>
  <c r="F5" i="18"/>
  <c r="F6" i="18"/>
  <c r="C2" i="18"/>
  <c r="E2" i="18" s="1"/>
  <c r="E19" i="18"/>
  <c r="E20" i="18"/>
  <c r="E21" i="18"/>
  <c r="E15" i="18"/>
  <c r="E16" i="18"/>
  <c r="E17" i="18"/>
  <c r="E18" i="18"/>
  <c r="E3" i="18"/>
  <c r="E4" i="18"/>
  <c r="E5" i="18"/>
  <c r="E6" i="18"/>
  <c r="E7" i="18"/>
  <c r="E8" i="18"/>
  <c r="E9" i="18"/>
  <c r="E10" i="18"/>
  <c r="E11" i="18"/>
  <c r="E12" i="18"/>
  <c r="E13" i="18"/>
  <c r="E14" i="18"/>
  <c r="D17" i="18"/>
  <c r="D18" i="18"/>
  <c r="D19" i="18"/>
  <c r="D20" i="18"/>
  <c r="D21" i="18"/>
  <c r="D5" i="18"/>
  <c r="D6" i="18"/>
  <c r="D7" i="18"/>
  <c r="D8" i="18"/>
  <c r="D9" i="18"/>
  <c r="D10" i="18"/>
  <c r="D11" i="18"/>
  <c r="D12" i="18"/>
  <c r="D13" i="18"/>
  <c r="D14" i="18"/>
  <c r="D15" i="18"/>
  <c r="D16" i="18"/>
  <c r="D3" i="18"/>
  <c r="D4" i="18"/>
  <c r="D2" i="18"/>
  <c r="C18" i="18"/>
  <c r="C14" i="18"/>
  <c r="C10" i="18"/>
  <c r="C7" i="18"/>
  <c r="C4" i="18"/>
  <c r="C5" i="18"/>
  <c r="C6" i="18"/>
  <c r="C8" i="18"/>
  <c r="C9" i="18"/>
  <c r="C11" i="18"/>
  <c r="C12" i="18"/>
  <c r="C13" i="18"/>
  <c r="C15" i="18"/>
  <c r="C16" i="18"/>
  <c r="C17" i="18"/>
  <c r="C19" i="18"/>
  <c r="C20" i="18"/>
  <c r="C21" i="18"/>
  <c r="C3" i="18"/>
  <c r="K2" i="17"/>
  <c r="K4" i="17"/>
  <c r="K5" i="17"/>
  <c r="K6" i="17"/>
  <c r="I2" i="17"/>
  <c r="E6" i="17"/>
  <c r="E5" i="17"/>
  <c r="E4" i="17"/>
  <c r="E3" i="17"/>
  <c r="I3" i="17"/>
  <c r="I4" i="17"/>
  <c r="I5" i="17"/>
  <c r="I6" i="17"/>
  <c r="H3" i="17"/>
  <c r="H4" i="17"/>
  <c r="H5" i="17"/>
  <c r="H6" i="17"/>
  <c r="H2" i="17"/>
  <c r="G3" i="17"/>
  <c r="K3" i="17" s="1"/>
  <c r="G4" i="17"/>
  <c r="G5" i="17"/>
  <c r="G6" i="17"/>
  <c r="G2" i="17"/>
  <c r="F3" i="17"/>
  <c r="F4" i="17"/>
  <c r="F5" i="17"/>
  <c r="F6" i="17"/>
  <c r="F2" i="17"/>
  <c r="C3" i="17"/>
  <c r="C4" i="17"/>
  <c r="D4" i="17" s="1"/>
  <c r="C5" i="17"/>
  <c r="D5" i="17" s="1"/>
  <c r="C6" i="17"/>
  <c r="D6" i="17" s="1"/>
  <c r="C2" i="17"/>
  <c r="B5" i="17"/>
  <c r="B6" i="17"/>
  <c r="B4" i="17"/>
  <c r="B3" i="17"/>
  <c r="D3" i="17" l="1"/>
  <c r="D2" i="17"/>
  <c r="E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02" i="15"/>
  <c r="E203" i="15"/>
  <c r="E204" i="15"/>
  <c r="E205" i="15"/>
  <c r="E206" i="15"/>
  <c r="E207" i="15"/>
  <c r="E208" i="15"/>
  <c r="E209" i="15"/>
  <c r="E210" i="15"/>
  <c r="E211" i="15"/>
  <c r="E212" i="15"/>
  <c r="E213" i="15"/>
  <c r="E214" i="15"/>
  <c r="E215" i="15"/>
  <c r="E216" i="15"/>
  <c r="E217" i="15"/>
  <c r="E218" i="15"/>
  <c r="E219" i="15"/>
  <c r="E220" i="15"/>
  <c r="E221" i="15"/>
  <c r="E222" i="15"/>
  <c r="E223" i="15"/>
  <c r="E224" i="15"/>
  <c r="E225" i="15"/>
  <c r="E226" i="15"/>
  <c r="E227" i="15"/>
  <c r="E228" i="15"/>
  <c r="E229" i="15"/>
  <c r="E230" i="15"/>
  <c r="E231" i="15"/>
  <c r="E232" i="15"/>
  <c r="E233" i="15"/>
  <c r="E234" i="15"/>
  <c r="E235" i="15"/>
  <c r="E236" i="15"/>
  <c r="E237" i="15"/>
  <c r="E238" i="15"/>
  <c r="E239" i="15"/>
  <c r="E240" i="15"/>
  <c r="E241" i="15"/>
  <c r="E242" i="15"/>
  <c r="E243" i="15"/>
  <c r="E244" i="15"/>
  <c r="E245" i="15"/>
  <c r="E246" i="15"/>
  <c r="E247" i="15"/>
  <c r="E248" i="15"/>
  <c r="E249" i="15"/>
  <c r="E250" i="15"/>
  <c r="E251" i="15"/>
  <c r="E252" i="15"/>
  <c r="E253" i="15"/>
  <c r="E254" i="15"/>
  <c r="E255" i="15"/>
  <c r="E256" i="15"/>
  <c r="E257" i="15"/>
  <c r="E258" i="15"/>
  <c r="E259" i="15"/>
  <c r="E260" i="15"/>
  <c r="E261" i="15"/>
  <c r="E262" i="15"/>
  <c r="E263" i="15"/>
  <c r="E264" i="15"/>
  <c r="E265" i="15"/>
  <c r="E266" i="15"/>
  <c r="E267" i="15"/>
  <c r="E268" i="15"/>
  <c r="E269" i="15"/>
  <c r="E270" i="15"/>
  <c r="E271" i="15"/>
  <c r="E272" i="15"/>
  <c r="E273" i="15"/>
  <c r="E274" i="15"/>
  <c r="E275" i="15"/>
  <c r="E276" i="15"/>
  <c r="E277" i="15"/>
  <c r="E278" i="15"/>
  <c r="E279" i="15"/>
  <c r="E280" i="15"/>
  <c r="E281" i="15"/>
  <c r="E282" i="15"/>
  <c r="E283" i="15"/>
  <c r="E284" i="15"/>
  <c r="E285" i="15"/>
  <c r="E286" i="15"/>
  <c r="E287" i="15"/>
  <c r="E288" i="15"/>
  <c r="E289" i="15"/>
  <c r="E290" i="15"/>
  <c r="E291" i="15"/>
  <c r="E292" i="15"/>
  <c r="E293" i="15"/>
  <c r="E294" i="15"/>
  <c r="E295" i="15"/>
  <c r="E296" i="15"/>
  <c r="E297" i="15"/>
  <c r="E298" i="15"/>
  <c r="E299" i="15"/>
  <c r="E300" i="15"/>
  <c r="E301" i="15"/>
  <c r="E302" i="15"/>
  <c r="E303" i="15"/>
  <c r="E304" i="15"/>
  <c r="E305" i="15"/>
  <c r="E306" i="15"/>
  <c r="E307" i="15"/>
  <c r="E308" i="15"/>
  <c r="E309" i="15"/>
  <c r="E310" i="15"/>
  <c r="E311" i="15"/>
  <c r="E312" i="15"/>
  <c r="E313" i="15"/>
  <c r="E314" i="15"/>
  <c r="E315" i="15"/>
  <c r="E316" i="15"/>
  <c r="E317" i="15"/>
  <c r="E318" i="15"/>
  <c r="E319" i="15"/>
  <c r="E320" i="15"/>
  <c r="E321" i="15"/>
  <c r="E322" i="15"/>
  <c r="E323" i="15"/>
  <c r="E324" i="15"/>
  <c r="E325" i="15"/>
  <c r="E326" i="15"/>
  <c r="E327" i="15"/>
  <c r="E328" i="15"/>
  <c r="E329" i="15"/>
  <c r="E330" i="15"/>
  <c r="E331" i="15"/>
  <c r="E332" i="15"/>
  <c r="E333" i="15"/>
  <c r="E334" i="15"/>
  <c r="E335" i="15"/>
  <c r="E336" i="15"/>
  <c r="E337" i="15"/>
  <c r="E338" i="15"/>
  <c r="E339" i="15"/>
  <c r="E340" i="15"/>
  <c r="E341" i="15"/>
  <c r="E342" i="15"/>
  <c r="E343" i="15"/>
  <c r="E344" i="15"/>
  <c r="E345" i="15"/>
  <c r="E346" i="15"/>
  <c r="E347" i="15"/>
  <c r="E348" i="15"/>
  <c r="E349" i="15"/>
  <c r="E350" i="15"/>
  <c r="E351" i="15"/>
  <c r="E352" i="15"/>
  <c r="E353" i="15"/>
  <c r="E354" i="15"/>
  <c r="E355" i="15"/>
  <c r="E356" i="15"/>
  <c r="E357" i="15"/>
  <c r="E358" i="15"/>
  <c r="E359" i="15"/>
  <c r="E360" i="15"/>
  <c r="E361" i="15"/>
  <c r="E362" i="15"/>
  <c r="E363" i="15"/>
  <c r="E364" i="15"/>
  <c r="E365" i="15"/>
  <c r="E366" i="15"/>
  <c r="E367" i="15"/>
  <c r="E368" i="15"/>
  <c r="E369" i="15"/>
  <c r="E370" i="15"/>
  <c r="E371" i="15"/>
  <c r="E372" i="15"/>
  <c r="E373" i="15"/>
  <c r="E374" i="15"/>
  <c r="E375" i="15"/>
  <c r="E376" i="15"/>
  <c r="E377" i="15"/>
  <c r="E378" i="15"/>
  <c r="E379" i="15"/>
  <c r="E380" i="15"/>
  <c r="E381" i="15"/>
  <c r="E382" i="15"/>
  <c r="E383" i="15"/>
  <c r="E384" i="15"/>
  <c r="E385" i="15"/>
  <c r="E386" i="15"/>
  <c r="E387" i="15"/>
  <c r="E388" i="15"/>
  <c r="E389" i="15"/>
  <c r="E390" i="15"/>
  <c r="E391" i="15"/>
  <c r="E392" i="15"/>
  <c r="E393" i="15"/>
  <c r="E394" i="15"/>
  <c r="E395" i="15"/>
  <c r="E396" i="15"/>
  <c r="E397" i="15"/>
  <c r="E398" i="15"/>
  <c r="E399" i="15"/>
  <c r="E400" i="15"/>
  <c r="E401" i="15"/>
  <c r="E402" i="15"/>
  <c r="E403" i="15"/>
  <c r="E404" i="15"/>
  <c r="E405" i="15"/>
  <c r="E406" i="15"/>
  <c r="E407" i="15"/>
  <c r="E408" i="15"/>
  <c r="E409" i="15"/>
  <c r="E410" i="15"/>
  <c r="E411" i="15"/>
  <c r="E412" i="15"/>
  <c r="E413" i="15"/>
  <c r="E414" i="15"/>
  <c r="E415" i="15"/>
  <c r="E416" i="15"/>
  <c r="E417" i="15"/>
  <c r="E418" i="15"/>
  <c r="E419" i="15"/>
  <c r="E420" i="15"/>
  <c r="E421" i="15"/>
  <c r="E422" i="15"/>
  <c r="E423" i="15"/>
  <c r="E424" i="15"/>
  <c r="E425" i="15"/>
  <c r="E426" i="15"/>
  <c r="E427" i="15"/>
  <c r="E428" i="15"/>
  <c r="E429" i="15"/>
  <c r="E430" i="15"/>
  <c r="E431" i="15"/>
  <c r="E432" i="15"/>
  <c r="E433" i="15"/>
  <c r="E434" i="15"/>
  <c r="E435" i="15"/>
  <c r="E436" i="15"/>
  <c r="E437" i="15"/>
  <c r="E438" i="15"/>
  <c r="E439" i="15"/>
  <c r="E440" i="15"/>
  <c r="E441" i="15"/>
  <c r="E442" i="15"/>
  <c r="E443" i="15"/>
  <c r="E444" i="15"/>
  <c r="E445" i="15"/>
  <c r="E446" i="15"/>
  <c r="E447" i="15"/>
  <c r="E448" i="15"/>
  <c r="E449" i="15"/>
  <c r="E450" i="15"/>
  <c r="E451" i="15"/>
  <c r="E452" i="15"/>
  <c r="E453" i="15"/>
  <c r="E454" i="15"/>
  <c r="E455" i="15"/>
  <c r="E456" i="15"/>
  <c r="E457" i="15"/>
  <c r="E458" i="15"/>
  <c r="E459" i="15"/>
  <c r="E460" i="15"/>
  <c r="E461" i="15"/>
  <c r="E462" i="15"/>
  <c r="E463" i="15"/>
  <c r="E464" i="15"/>
  <c r="E465" i="15"/>
  <c r="E466" i="15"/>
  <c r="E467" i="15"/>
  <c r="E468" i="15"/>
  <c r="E469" i="15"/>
  <c r="E470" i="15"/>
  <c r="E471" i="15"/>
  <c r="E472" i="15"/>
  <c r="E473" i="15"/>
  <c r="E474" i="15"/>
  <c r="E475" i="15"/>
  <c r="E476" i="15"/>
  <c r="E477" i="15"/>
  <c r="E478" i="15"/>
  <c r="E479" i="15"/>
  <c r="E480" i="15"/>
  <c r="E481" i="15"/>
  <c r="E482" i="15"/>
  <c r="E483" i="15"/>
  <c r="E484" i="15"/>
  <c r="E485" i="15"/>
  <c r="E486" i="15"/>
  <c r="E487" i="15"/>
  <c r="E488" i="15"/>
  <c r="E489" i="15"/>
  <c r="E490" i="15"/>
  <c r="E491" i="15"/>
  <c r="E492" i="15"/>
  <c r="E493" i="15"/>
  <c r="E494" i="15"/>
  <c r="E495" i="15"/>
  <c r="E496" i="15"/>
  <c r="E497" i="15"/>
  <c r="E498" i="15"/>
  <c r="E499" i="15"/>
  <c r="E500" i="15"/>
  <c r="E501" i="15"/>
  <c r="E502" i="15"/>
  <c r="E503" i="15"/>
  <c r="E504" i="15"/>
  <c r="E505" i="15"/>
  <c r="E506" i="15"/>
  <c r="E507" i="15"/>
  <c r="E508" i="15"/>
  <c r="E509" i="15"/>
  <c r="E510" i="15"/>
  <c r="E511" i="15"/>
  <c r="E512" i="15"/>
  <c r="E513" i="15"/>
  <c r="E514" i="15"/>
  <c r="E515" i="15"/>
  <c r="E516" i="15"/>
  <c r="E517" i="15"/>
  <c r="E518" i="15"/>
  <c r="E519" i="15"/>
  <c r="E520" i="15"/>
  <c r="E521" i="15"/>
  <c r="E522" i="15"/>
  <c r="E523" i="15"/>
  <c r="E524" i="15"/>
  <c r="E525" i="15"/>
  <c r="E526" i="15"/>
  <c r="E527" i="15"/>
  <c r="E528" i="15"/>
  <c r="E529" i="15"/>
  <c r="E530" i="15"/>
  <c r="E531" i="15"/>
  <c r="E532" i="15"/>
  <c r="E533" i="15"/>
  <c r="E534" i="15"/>
  <c r="E535" i="15"/>
  <c r="E536" i="15"/>
  <c r="E537" i="15"/>
  <c r="E538" i="15"/>
  <c r="E539" i="15"/>
  <c r="E540" i="15"/>
  <c r="E541" i="15"/>
  <c r="E542" i="15"/>
  <c r="E543" i="15"/>
  <c r="E544" i="15"/>
  <c r="E545" i="15"/>
  <c r="E546" i="15"/>
  <c r="E547" i="15"/>
  <c r="E548" i="15"/>
  <c r="E549" i="15"/>
  <c r="E550" i="15"/>
  <c r="E551" i="15"/>
  <c r="E552" i="15"/>
  <c r="E553" i="15"/>
  <c r="E554" i="15"/>
  <c r="E555" i="15"/>
  <c r="E556" i="15"/>
  <c r="E557" i="15"/>
  <c r="E558" i="15"/>
  <c r="E559" i="15"/>
  <c r="E560" i="15"/>
  <c r="E561" i="15"/>
  <c r="E562" i="15"/>
  <c r="E563" i="15"/>
  <c r="E564" i="15"/>
  <c r="E565" i="15"/>
  <c r="E566" i="15"/>
  <c r="E567" i="15"/>
  <c r="E568" i="15"/>
  <c r="E569" i="15"/>
  <c r="E570" i="15"/>
  <c r="E571" i="15"/>
  <c r="E572" i="15"/>
  <c r="E573" i="15"/>
  <c r="E574" i="15"/>
  <c r="E575" i="15"/>
  <c r="E576" i="15"/>
  <c r="E577" i="15"/>
  <c r="E578" i="15"/>
  <c r="E579" i="15"/>
  <c r="E580" i="15"/>
  <c r="E581" i="15"/>
  <c r="E582" i="15"/>
  <c r="E583" i="15"/>
  <c r="E584" i="15"/>
  <c r="E585" i="15"/>
  <c r="E586" i="15"/>
  <c r="E587" i="15"/>
  <c r="E588" i="15"/>
  <c r="E589" i="15"/>
  <c r="E590" i="15"/>
  <c r="E591" i="15"/>
  <c r="E592" i="15"/>
  <c r="E593" i="15"/>
  <c r="E594" i="15"/>
  <c r="E595" i="15"/>
  <c r="E596" i="15"/>
  <c r="E597" i="15"/>
  <c r="E598" i="15"/>
  <c r="E599" i="15"/>
  <c r="E600" i="15"/>
  <c r="E601" i="15"/>
  <c r="E602" i="15"/>
  <c r="E603" i="15"/>
  <c r="E604" i="15"/>
  <c r="E605" i="15"/>
  <c r="E606" i="15"/>
  <c r="E607" i="15"/>
  <c r="E608" i="15"/>
  <c r="E609" i="15"/>
  <c r="E610" i="15"/>
  <c r="E611" i="15"/>
  <c r="E612" i="15"/>
  <c r="E613" i="15"/>
  <c r="E614" i="15"/>
  <c r="E615" i="15"/>
  <c r="E616" i="15"/>
  <c r="E617" i="15"/>
  <c r="E618" i="15"/>
  <c r="E619" i="15"/>
  <c r="E620" i="15"/>
  <c r="E621" i="15"/>
  <c r="E622" i="15"/>
  <c r="E623" i="15"/>
  <c r="E624" i="15"/>
  <c r="E625" i="15"/>
  <c r="E626" i="15"/>
  <c r="E627" i="15"/>
  <c r="E628" i="15"/>
  <c r="E629" i="15"/>
  <c r="E630" i="15"/>
  <c r="E631" i="15"/>
  <c r="E632" i="15"/>
  <c r="E633" i="15"/>
  <c r="E634" i="15"/>
  <c r="E635" i="15"/>
  <c r="E636" i="15"/>
  <c r="E637" i="15"/>
  <c r="E638" i="15"/>
  <c r="E639" i="15"/>
  <c r="E2" i="15"/>
  <c r="AU5" i="5"/>
  <c r="AU6" i="5"/>
  <c r="AU7" i="5"/>
  <c r="AU8" i="5"/>
  <c r="AU9" i="5"/>
  <c r="AU10" i="5"/>
  <c r="AU11" i="5"/>
  <c r="AU12" i="5"/>
  <c r="AU13" i="5"/>
  <c r="AU14" i="5"/>
  <c r="AU15" i="5"/>
  <c r="AU16" i="5"/>
  <c r="AU17" i="5"/>
  <c r="AU18" i="5"/>
  <c r="AU19" i="5"/>
  <c r="AU20" i="5"/>
  <c r="AU21" i="5"/>
  <c r="AU22" i="5"/>
  <c r="AU23" i="5"/>
  <c r="AU24" i="5"/>
  <c r="AU25" i="5"/>
  <c r="AU26" i="5"/>
  <c r="AU27" i="5"/>
  <c r="AU28" i="5"/>
  <c r="AU29" i="5"/>
  <c r="AU30" i="5"/>
  <c r="AU31" i="5"/>
  <c r="AU32" i="5"/>
  <c r="AU33" i="5"/>
  <c r="AU34" i="5"/>
  <c r="AU35" i="5"/>
  <c r="AU36" i="5"/>
  <c r="AU37" i="5"/>
  <c r="AU38" i="5"/>
  <c r="AU39" i="5"/>
  <c r="AU40" i="5"/>
  <c r="AU41" i="5"/>
  <c r="AU42" i="5"/>
  <c r="AU43" i="5"/>
  <c r="AU44" i="5"/>
  <c r="AU45" i="5"/>
  <c r="AU46" i="5"/>
  <c r="AU47" i="5"/>
  <c r="AU48" i="5"/>
  <c r="AU49" i="5"/>
  <c r="AU50" i="5"/>
  <c r="AU51" i="5"/>
  <c r="AU52" i="5"/>
  <c r="AU53" i="5"/>
  <c r="AU54" i="5"/>
  <c r="AU55" i="5"/>
  <c r="AU56" i="5"/>
  <c r="AU57" i="5"/>
  <c r="AU58" i="5"/>
  <c r="AU59" i="5"/>
  <c r="AU60" i="5"/>
  <c r="AU61" i="5"/>
  <c r="AU62" i="5"/>
  <c r="AU63" i="5"/>
  <c r="AU64" i="5"/>
  <c r="AU65" i="5"/>
  <c r="AU66" i="5"/>
  <c r="AU67" i="5"/>
  <c r="AU68" i="5"/>
  <c r="AU69" i="5"/>
  <c r="AU70" i="5"/>
  <c r="AU71" i="5"/>
  <c r="AU72" i="5"/>
  <c r="AU73" i="5"/>
  <c r="AU74" i="5"/>
  <c r="AU75" i="5"/>
  <c r="AU76" i="5"/>
  <c r="AU77" i="5"/>
  <c r="AU78" i="5"/>
  <c r="AU79" i="5"/>
  <c r="AU80" i="5"/>
  <c r="AU81" i="5"/>
  <c r="AU82" i="5"/>
  <c r="AU83" i="5"/>
  <c r="AU84" i="5"/>
  <c r="AU85" i="5"/>
  <c r="AU86" i="5"/>
  <c r="AU87" i="5"/>
  <c r="AU88" i="5"/>
  <c r="AU89" i="5"/>
  <c r="AU90" i="5"/>
  <c r="AU91" i="5"/>
  <c r="AU92" i="5"/>
  <c r="AU93" i="5"/>
  <c r="AU94" i="5"/>
  <c r="AU95" i="5"/>
  <c r="AU96" i="5"/>
  <c r="AU97" i="5"/>
  <c r="AU98" i="5"/>
  <c r="AU99" i="5"/>
  <c r="AU100" i="5"/>
  <c r="AU101" i="5"/>
  <c r="AU102" i="5"/>
  <c r="AU103" i="5"/>
  <c r="AU104" i="5"/>
  <c r="AU105" i="5"/>
  <c r="AU106" i="5"/>
  <c r="AU107" i="5"/>
  <c r="AU108" i="5"/>
  <c r="AU109" i="5"/>
  <c r="AU110" i="5"/>
  <c r="AU111" i="5"/>
  <c r="AU112" i="5"/>
  <c r="AU113" i="5"/>
  <c r="AU114" i="5"/>
  <c r="AU115" i="5"/>
  <c r="AU116" i="5"/>
  <c r="AU117" i="5"/>
  <c r="AU118" i="5"/>
  <c r="AU119" i="5"/>
  <c r="AU120" i="5"/>
  <c r="AU121" i="5"/>
  <c r="AU122" i="5"/>
  <c r="AU123" i="5"/>
  <c r="AU124" i="5"/>
  <c r="AU125" i="5"/>
  <c r="AU126" i="5"/>
  <c r="AU127" i="5"/>
  <c r="AU128" i="5"/>
  <c r="AU129" i="5"/>
  <c r="AU130" i="5"/>
  <c r="AU131" i="5"/>
  <c r="AU132" i="5"/>
  <c r="AU133" i="5"/>
  <c r="AU134" i="5"/>
  <c r="AU135" i="5"/>
  <c r="AU136" i="5"/>
  <c r="AU137" i="5"/>
  <c r="AU138" i="5"/>
  <c r="AU139" i="5"/>
  <c r="AU140" i="5"/>
  <c r="AU141" i="5"/>
  <c r="AU142" i="5"/>
  <c r="AU143" i="5"/>
  <c r="AU144" i="5"/>
  <c r="AU145" i="5"/>
  <c r="AU146" i="5"/>
  <c r="AU147" i="5"/>
  <c r="AU148" i="5"/>
  <c r="AU149" i="5"/>
  <c r="AU150" i="5"/>
  <c r="AU151" i="5"/>
  <c r="AU152" i="5"/>
  <c r="AU153" i="5"/>
  <c r="AU154" i="5"/>
  <c r="AU155" i="5"/>
  <c r="AU156" i="5"/>
  <c r="AU157" i="5"/>
  <c r="AU158" i="5"/>
  <c r="AU159" i="5"/>
  <c r="AU160" i="5"/>
  <c r="AU161" i="5"/>
  <c r="AU162" i="5"/>
  <c r="AU163" i="5"/>
  <c r="AU164" i="5"/>
  <c r="AU165" i="5"/>
  <c r="AU166" i="5"/>
  <c r="AU167" i="5"/>
  <c r="AU168" i="5"/>
  <c r="AU169" i="5"/>
  <c r="AU170" i="5"/>
  <c r="AU171" i="5"/>
  <c r="AU172" i="5"/>
  <c r="AU173" i="5"/>
  <c r="AU174" i="5"/>
  <c r="AU175" i="5"/>
  <c r="AU176" i="5"/>
  <c r="AU177" i="5"/>
  <c r="AU178" i="5"/>
  <c r="AU179" i="5"/>
  <c r="AU180" i="5"/>
  <c r="AU181" i="5"/>
  <c r="AU182" i="5"/>
  <c r="AU183" i="5"/>
  <c r="AU184" i="5"/>
  <c r="AU185" i="5"/>
  <c r="AU186" i="5"/>
  <c r="AU187" i="5"/>
  <c r="AU188" i="5"/>
  <c r="AU189" i="5"/>
  <c r="AU190" i="5"/>
  <c r="AU191" i="5"/>
  <c r="AU192" i="5"/>
  <c r="AU193" i="5"/>
  <c r="AU194" i="5"/>
  <c r="AU195" i="5"/>
  <c r="AU196" i="5"/>
  <c r="AU197" i="5"/>
  <c r="AU198" i="5"/>
  <c r="AU199" i="5"/>
  <c r="AU200" i="5"/>
  <c r="AU201" i="5"/>
  <c r="AU202" i="5"/>
  <c r="AU203" i="5"/>
  <c r="AU204" i="5"/>
  <c r="AU205" i="5"/>
  <c r="AU206" i="5"/>
  <c r="AU207" i="5"/>
  <c r="AU208" i="5"/>
  <c r="AU209" i="5"/>
  <c r="AU210" i="5"/>
  <c r="AU211" i="5"/>
  <c r="AU212" i="5"/>
  <c r="AU213" i="5"/>
  <c r="AU214" i="5"/>
  <c r="AU215" i="5"/>
  <c r="AU216" i="5"/>
  <c r="AU217" i="5"/>
  <c r="AU218" i="5"/>
  <c r="AU219" i="5"/>
  <c r="AU220" i="5"/>
  <c r="AU221" i="5"/>
  <c r="AU222" i="5"/>
  <c r="AU223" i="5"/>
  <c r="AU224" i="5"/>
  <c r="AU225" i="5"/>
  <c r="AU226" i="5"/>
  <c r="AU227" i="5"/>
  <c r="AU228" i="5"/>
  <c r="AU229" i="5"/>
  <c r="AU230" i="5"/>
  <c r="AU231" i="5"/>
  <c r="AU232" i="5"/>
  <c r="AU233" i="5"/>
  <c r="AU234" i="5"/>
  <c r="AU235" i="5"/>
  <c r="AU236" i="5"/>
  <c r="AU237" i="5"/>
  <c r="AU238" i="5"/>
  <c r="AU239" i="5"/>
  <c r="AU240" i="5"/>
  <c r="AU241" i="5"/>
  <c r="AU242" i="5"/>
  <c r="AU243" i="5"/>
  <c r="AU244" i="5"/>
  <c r="AU245" i="5"/>
  <c r="AU246" i="5"/>
  <c r="AU247" i="5"/>
  <c r="AU248" i="5"/>
  <c r="AU249" i="5"/>
  <c r="AU250" i="5"/>
  <c r="AU251" i="5"/>
  <c r="AU252" i="5"/>
  <c r="AU253" i="5"/>
  <c r="AU254" i="5"/>
  <c r="AU255" i="5"/>
  <c r="AU256" i="5"/>
  <c r="AU257" i="5"/>
  <c r="AU258" i="5"/>
  <c r="AU259" i="5"/>
  <c r="AU260" i="5"/>
  <c r="AU261" i="5"/>
  <c r="AU262" i="5"/>
  <c r="AU263" i="5"/>
  <c r="AU264" i="5"/>
  <c r="AU265" i="5"/>
  <c r="AU266" i="5"/>
  <c r="AU267" i="5"/>
  <c r="AU268" i="5"/>
  <c r="AU269" i="5"/>
  <c r="AU270" i="5"/>
  <c r="AU271" i="5"/>
  <c r="AU272" i="5"/>
  <c r="AU273" i="5"/>
  <c r="AU274" i="5"/>
  <c r="AU275" i="5"/>
  <c r="AU276" i="5"/>
  <c r="AU277" i="5"/>
  <c r="AU278" i="5"/>
  <c r="AU279" i="5"/>
  <c r="AU280" i="5"/>
  <c r="AU281" i="5"/>
  <c r="AU282" i="5"/>
  <c r="AU283" i="5"/>
  <c r="AU284" i="5"/>
  <c r="AU285" i="5"/>
  <c r="AU286" i="5"/>
  <c r="AU287" i="5"/>
  <c r="AU288" i="5"/>
  <c r="AU289" i="5"/>
  <c r="AU290" i="5"/>
  <c r="AU291" i="5"/>
  <c r="AU292" i="5"/>
  <c r="AU293" i="5"/>
  <c r="AU294" i="5"/>
  <c r="AU295" i="5"/>
  <c r="AU296" i="5"/>
  <c r="AU297" i="5"/>
  <c r="AU298" i="5"/>
  <c r="AU299" i="5"/>
  <c r="AU300" i="5"/>
  <c r="AU301" i="5"/>
  <c r="AU302" i="5"/>
  <c r="AU303" i="5"/>
  <c r="AU304" i="5"/>
  <c r="AU305" i="5"/>
  <c r="AU306" i="5"/>
  <c r="AU307" i="5"/>
  <c r="AU308" i="5"/>
  <c r="AU309" i="5"/>
  <c r="AU310" i="5"/>
  <c r="AU311" i="5"/>
  <c r="AU312" i="5"/>
  <c r="AU313" i="5"/>
  <c r="AU314" i="5"/>
  <c r="AU315" i="5"/>
  <c r="AU316" i="5"/>
  <c r="AU317" i="5"/>
  <c r="AU318" i="5"/>
  <c r="AU319" i="5"/>
  <c r="AU320" i="5"/>
  <c r="AU321" i="5"/>
  <c r="AU322" i="5"/>
  <c r="AU323" i="5"/>
  <c r="AU324" i="5"/>
  <c r="AU325" i="5"/>
  <c r="AU326" i="5"/>
  <c r="AU327" i="5"/>
  <c r="AU328" i="5"/>
  <c r="AU329" i="5"/>
  <c r="AU330" i="5"/>
  <c r="AU331" i="5"/>
  <c r="AU332" i="5"/>
  <c r="AU333" i="5"/>
  <c r="AU334" i="5"/>
  <c r="AU335" i="5"/>
  <c r="AU336" i="5"/>
  <c r="AU337" i="5"/>
  <c r="AU338" i="5"/>
  <c r="AU339" i="5"/>
  <c r="AU340" i="5"/>
  <c r="AU341" i="5"/>
  <c r="AU342" i="5"/>
  <c r="AU343" i="5"/>
  <c r="AU344" i="5"/>
  <c r="AU345" i="5"/>
  <c r="AU346" i="5"/>
  <c r="AU347" i="5"/>
  <c r="AU348" i="5"/>
  <c r="AU349" i="5"/>
  <c r="AU350" i="5"/>
  <c r="AU351" i="5"/>
  <c r="AU352" i="5"/>
  <c r="AU353" i="5"/>
  <c r="AU354" i="5"/>
  <c r="AU355" i="5"/>
  <c r="AU356" i="5"/>
  <c r="AU357" i="5"/>
  <c r="AU358" i="5"/>
  <c r="AU359" i="5"/>
  <c r="AU360" i="5"/>
  <c r="AU361" i="5"/>
  <c r="AU362" i="5"/>
  <c r="AU363" i="5"/>
  <c r="AU364" i="5"/>
  <c r="AU365" i="5"/>
  <c r="AU366" i="5"/>
  <c r="AU367" i="5"/>
  <c r="AU368" i="5"/>
  <c r="AU369" i="5"/>
  <c r="AU370" i="5"/>
  <c r="AU371" i="5"/>
  <c r="AU372" i="5"/>
  <c r="AU373" i="5"/>
  <c r="AU374" i="5"/>
  <c r="AU375" i="5"/>
  <c r="AU376" i="5"/>
  <c r="AU377" i="5"/>
  <c r="AU378" i="5"/>
  <c r="AU379" i="5"/>
  <c r="AU380" i="5"/>
  <c r="AU381" i="5"/>
  <c r="AU382" i="5"/>
  <c r="AU383" i="5"/>
  <c r="AU384" i="5"/>
  <c r="AU385" i="5"/>
  <c r="AU386" i="5"/>
  <c r="AU387" i="5"/>
  <c r="AU388" i="5"/>
  <c r="AU389" i="5"/>
  <c r="AU390" i="5"/>
  <c r="AU391" i="5"/>
  <c r="AU392" i="5"/>
  <c r="AU393" i="5"/>
  <c r="AU394" i="5"/>
  <c r="AU395" i="5"/>
  <c r="AU396" i="5"/>
  <c r="AU397" i="5"/>
  <c r="AU398" i="5"/>
  <c r="AU399" i="5"/>
  <c r="AU400" i="5"/>
  <c r="AU401" i="5"/>
  <c r="AU402" i="5"/>
  <c r="AU403" i="5"/>
  <c r="AU404" i="5"/>
  <c r="AU405" i="5"/>
  <c r="AU406" i="5"/>
  <c r="AU407" i="5"/>
  <c r="AU408" i="5"/>
  <c r="AU409" i="5"/>
  <c r="AU410" i="5"/>
  <c r="AU411" i="5"/>
  <c r="AU412" i="5"/>
  <c r="AU413" i="5"/>
  <c r="AU414" i="5"/>
  <c r="AU415" i="5"/>
  <c r="AU416" i="5"/>
  <c r="AU417" i="5"/>
  <c r="AU418" i="5"/>
  <c r="AU419" i="5"/>
  <c r="AU420" i="5"/>
  <c r="AU421" i="5"/>
  <c r="AU422" i="5"/>
  <c r="AU423" i="5"/>
  <c r="AU424" i="5"/>
  <c r="AU425" i="5"/>
  <c r="AU426" i="5"/>
  <c r="AU427" i="5"/>
  <c r="AU428" i="5"/>
  <c r="AU429" i="5"/>
  <c r="AU430" i="5"/>
  <c r="AU431" i="5"/>
  <c r="AU432" i="5"/>
  <c r="AU433" i="5"/>
  <c r="AU434" i="5"/>
  <c r="AU435" i="5"/>
  <c r="AU436" i="5"/>
  <c r="AU437" i="5"/>
  <c r="AU438" i="5"/>
  <c r="AU439" i="5"/>
  <c r="AU440" i="5"/>
  <c r="AU441" i="5"/>
  <c r="AU442" i="5"/>
  <c r="AU443" i="5"/>
  <c r="AU444" i="5"/>
  <c r="AU445" i="5"/>
  <c r="AU446" i="5"/>
  <c r="AU447" i="5"/>
  <c r="AU448" i="5"/>
  <c r="AU449" i="5"/>
  <c r="AU450" i="5"/>
  <c r="AU451" i="5"/>
  <c r="AU452" i="5"/>
  <c r="AU453" i="5"/>
  <c r="AU454" i="5"/>
  <c r="AU455" i="5"/>
  <c r="AU456" i="5"/>
  <c r="AU457" i="5"/>
  <c r="AU458" i="5"/>
  <c r="AU459" i="5"/>
  <c r="AU460" i="5"/>
  <c r="AU461" i="5"/>
  <c r="AU462" i="5"/>
  <c r="AU463" i="5"/>
  <c r="AU464" i="5"/>
  <c r="AU465" i="5"/>
  <c r="AU466" i="5"/>
  <c r="AU467" i="5"/>
  <c r="AU468" i="5"/>
  <c r="AU469" i="5"/>
  <c r="AU470" i="5"/>
  <c r="AU471" i="5"/>
  <c r="AU472" i="5"/>
  <c r="AU473" i="5"/>
  <c r="AU474" i="5"/>
  <c r="AU475" i="5"/>
  <c r="AU476" i="5"/>
  <c r="AU477" i="5"/>
  <c r="AU478" i="5"/>
  <c r="AU479" i="5"/>
  <c r="AU480" i="5"/>
  <c r="AU481" i="5"/>
  <c r="AU482" i="5"/>
  <c r="AU483" i="5"/>
  <c r="AU484" i="5"/>
  <c r="AU485" i="5"/>
  <c r="AU486" i="5"/>
  <c r="AU487" i="5"/>
  <c r="AU488" i="5"/>
  <c r="AU489" i="5"/>
  <c r="AU490" i="5"/>
  <c r="AU491" i="5"/>
  <c r="AU492" i="5"/>
  <c r="AU493" i="5"/>
  <c r="AU494" i="5"/>
  <c r="AU495" i="5"/>
  <c r="AU496" i="5"/>
  <c r="AU497" i="5"/>
  <c r="AU498" i="5"/>
  <c r="AU499" i="5"/>
  <c r="AU500" i="5"/>
  <c r="AU501" i="5"/>
  <c r="AU502" i="5"/>
  <c r="AU503" i="5"/>
  <c r="AU504" i="5"/>
  <c r="AU505" i="5"/>
  <c r="AU506" i="5"/>
  <c r="AU507" i="5"/>
  <c r="AU508" i="5"/>
  <c r="AU509" i="5"/>
  <c r="AU510" i="5"/>
  <c r="AU511" i="5"/>
  <c r="AU512" i="5"/>
  <c r="AU513" i="5"/>
  <c r="AU514" i="5"/>
  <c r="AU515" i="5"/>
  <c r="AU516" i="5"/>
  <c r="AU517" i="5"/>
  <c r="AU518" i="5"/>
  <c r="AU519" i="5"/>
  <c r="AU520" i="5"/>
  <c r="AU521" i="5"/>
  <c r="AU522" i="5"/>
  <c r="AU523" i="5"/>
  <c r="AU524" i="5"/>
  <c r="AU525" i="5"/>
  <c r="AU526" i="5"/>
  <c r="AU527" i="5"/>
  <c r="AU528" i="5"/>
  <c r="AU529" i="5"/>
  <c r="AU530" i="5"/>
  <c r="AU531" i="5"/>
  <c r="AU532" i="5"/>
  <c r="AU533" i="5"/>
  <c r="AU534" i="5"/>
  <c r="AU535" i="5"/>
  <c r="AU536" i="5"/>
  <c r="AU537" i="5"/>
  <c r="AU538" i="5"/>
  <c r="AU539" i="5"/>
  <c r="AU540" i="5"/>
  <c r="AU541" i="5"/>
  <c r="AU542" i="5"/>
  <c r="AU543" i="5"/>
  <c r="AU544" i="5"/>
  <c r="AU545" i="5"/>
  <c r="AU546" i="5"/>
  <c r="AU547" i="5"/>
  <c r="AU548" i="5"/>
  <c r="AU549" i="5"/>
  <c r="AU550" i="5"/>
  <c r="AU551" i="5"/>
  <c r="AU552" i="5"/>
  <c r="AU553" i="5"/>
  <c r="AU554" i="5"/>
  <c r="AU555" i="5"/>
  <c r="AU556" i="5"/>
  <c r="AU557" i="5"/>
  <c r="AU558" i="5"/>
  <c r="AU559" i="5"/>
  <c r="AU560" i="5"/>
  <c r="AU561" i="5"/>
  <c r="AU562" i="5"/>
  <c r="AU563" i="5"/>
  <c r="AU564" i="5"/>
  <c r="AU565" i="5"/>
  <c r="AU566" i="5"/>
  <c r="AU567" i="5"/>
  <c r="AU568" i="5"/>
  <c r="AU569" i="5"/>
  <c r="AU570" i="5"/>
  <c r="AU571" i="5"/>
  <c r="AU572" i="5"/>
  <c r="AU573" i="5"/>
  <c r="AU574" i="5"/>
  <c r="AU575" i="5"/>
  <c r="AU576" i="5"/>
  <c r="AU577" i="5"/>
  <c r="AU578" i="5"/>
  <c r="AU579" i="5"/>
  <c r="AU580" i="5"/>
  <c r="AU581" i="5"/>
  <c r="AU582" i="5"/>
  <c r="AU583" i="5"/>
  <c r="AU584" i="5"/>
  <c r="AU585" i="5"/>
  <c r="AU586" i="5"/>
  <c r="AU587" i="5"/>
  <c r="AU588" i="5"/>
  <c r="AU589" i="5"/>
  <c r="AU590" i="5"/>
  <c r="AU591" i="5"/>
  <c r="AU592" i="5"/>
  <c r="AU593" i="5"/>
  <c r="AU594" i="5"/>
  <c r="AU595" i="5"/>
  <c r="AU596" i="5"/>
  <c r="AU597" i="5"/>
  <c r="AU598" i="5"/>
  <c r="AU599" i="5"/>
  <c r="AU600" i="5"/>
  <c r="AU601" i="5"/>
  <c r="AU602" i="5"/>
  <c r="AU603" i="5"/>
  <c r="AU604" i="5"/>
  <c r="AU605" i="5"/>
  <c r="AU606" i="5"/>
  <c r="AU607" i="5"/>
  <c r="AU608" i="5"/>
  <c r="AU609" i="5"/>
  <c r="AU610" i="5"/>
  <c r="AU611" i="5"/>
  <c r="AU612" i="5"/>
  <c r="AU613" i="5"/>
  <c r="AU614" i="5"/>
  <c r="AU615" i="5"/>
  <c r="AU616" i="5"/>
  <c r="AU617" i="5"/>
  <c r="AU618" i="5"/>
  <c r="AU619" i="5"/>
  <c r="AU620" i="5"/>
  <c r="AU621" i="5"/>
  <c r="AU622" i="5"/>
  <c r="AU623" i="5"/>
  <c r="AU624" i="5"/>
  <c r="AU625" i="5"/>
  <c r="AU626" i="5"/>
  <c r="AU627" i="5"/>
  <c r="AU628" i="5"/>
  <c r="AU629" i="5"/>
  <c r="AU630" i="5"/>
  <c r="AU631" i="5"/>
  <c r="AU632" i="5"/>
  <c r="AU633" i="5"/>
  <c r="AU634" i="5"/>
  <c r="AU635" i="5"/>
  <c r="AU636" i="5"/>
  <c r="AU637" i="5"/>
  <c r="AU638" i="5"/>
  <c r="AU639" i="5"/>
  <c r="AU640" i="5"/>
  <c r="AU641" i="5"/>
  <c r="AU642" i="5"/>
  <c r="AM5" i="5"/>
  <c r="AO5" i="5" s="1"/>
  <c r="R3" i="13"/>
  <c r="R4" i="13"/>
  <c r="R5" i="13"/>
  <c r="R6" i="13"/>
  <c r="R7" i="13"/>
  <c r="R8" i="13"/>
  <c r="R9" i="13"/>
  <c r="R10" i="13"/>
  <c r="R11" i="13"/>
  <c r="U11" i="13" s="1"/>
  <c r="R12" i="13"/>
  <c r="U12" i="13" s="1"/>
  <c r="R13" i="13"/>
  <c r="Y13" i="13" s="1"/>
  <c r="R14" i="13"/>
  <c r="R15" i="13"/>
  <c r="Y15" i="13" s="1"/>
  <c r="R16" i="13"/>
  <c r="R17" i="13"/>
  <c r="S17" i="13" s="1"/>
  <c r="R18" i="13"/>
  <c r="S18" i="13" s="1"/>
  <c r="R19" i="13"/>
  <c r="R20" i="13"/>
  <c r="R21" i="13"/>
  <c r="R22" i="13"/>
  <c r="R23" i="13"/>
  <c r="R24" i="13"/>
  <c r="W24" i="13" s="1"/>
  <c r="R25" i="13"/>
  <c r="Y25" i="13" s="1"/>
  <c r="R26" i="13"/>
  <c r="R27" i="13"/>
  <c r="Y27" i="13" s="1"/>
  <c r="R28" i="13"/>
  <c r="Y28" i="13" s="1"/>
  <c r="R29" i="13"/>
  <c r="S29" i="13" s="1"/>
  <c r="R30" i="13"/>
  <c r="S30" i="13" s="1"/>
  <c r="R31" i="13"/>
  <c r="R32" i="13"/>
  <c r="R33" i="13"/>
  <c r="R34" i="13"/>
  <c r="R35" i="13"/>
  <c r="R36" i="13"/>
  <c r="R37" i="13"/>
  <c r="R38" i="13"/>
  <c r="R39" i="13"/>
  <c r="Y39" i="13" s="1"/>
  <c r="R40" i="13"/>
  <c r="R41" i="13"/>
  <c r="R42" i="13"/>
  <c r="R43" i="13"/>
  <c r="Y43" i="13" s="1"/>
  <c r="R44" i="13"/>
  <c r="R45" i="13"/>
  <c r="R46" i="13"/>
  <c r="R47" i="13"/>
  <c r="S47" i="13" s="1"/>
  <c r="R48" i="13"/>
  <c r="R49" i="13"/>
  <c r="R50" i="13"/>
  <c r="R51" i="13"/>
  <c r="R52" i="13"/>
  <c r="R53" i="13"/>
  <c r="R54" i="13"/>
  <c r="Y54" i="13" s="1"/>
  <c r="R55" i="13"/>
  <c r="R56" i="13"/>
  <c r="Y56" i="13" s="1"/>
  <c r="R57" i="13"/>
  <c r="R58" i="13"/>
  <c r="Y58" i="13" s="1"/>
  <c r="R59" i="13"/>
  <c r="R60" i="13"/>
  <c r="R61" i="13"/>
  <c r="S61" i="13" s="1"/>
  <c r="R62" i="13"/>
  <c r="S62" i="13" s="1"/>
  <c r="R63" i="13"/>
  <c r="R64" i="13"/>
  <c r="R65" i="13"/>
  <c r="S65" i="13" s="1"/>
  <c r="R66" i="13"/>
  <c r="R67" i="13"/>
  <c r="Y67" i="13" s="1"/>
  <c r="R68" i="13"/>
  <c r="R69" i="13"/>
  <c r="R70" i="13"/>
  <c r="R71" i="13"/>
  <c r="R72" i="13"/>
  <c r="Y72" i="13" s="1"/>
  <c r="R73" i="13"/>
  <c r="R74" i="13"/>
  <c r="Y74" i="13" s="1"/>
  <c r="R75" i="13"/>
  <c r="Y75" i="13" s="1"/>
  <c r="R76" i="13"/>
  <c r="R77" i="13"/>
  <c r="R78" i="13"/>
  <c r="S78" i="13" s="1"/>
  <c r="R79" i="13"/>
  <c r="S79" i="13" s="1"/>
  <c r="R80" i="13"/>
  <c r="R81" i="13"/>
  <c r="R82" i="13"/>
  <c r="R83" i="13"/>
  <c r="R84" i="13"/>
  <c r="R85" i="13"/>
  <c r="R86" i="13"/>
  <c r="Y86" i="13" s="1"/>
  <c r="R87" i="13"/>
  <c r="Y87" i="13" s="1"/>
  <c r="R88" i="13"/>
  <c r="Y88" i="13" s="1"/>
  <c r="R89" i="13"/>
  <c r="R90" i="13"/>
  <c r="Y90" i="13" s="1"/>
  <c r="R91" i="13"/>
  <c r="R92" i="13"/>
  <c r="R93" i="13"/>
  <c r="S93" i="13" s="1"/>
  <c r="R94" i="13"/>
  <c r="S94" i="13" s="1"/>
  <c r="R95" i="13"/>
  <c r="R96" i="13"/>
  <c r="R97" i="13"/>
  <c r="R98" i="13"/>
  <c r="R99" i="13"/>
  <c r="R100" i="13"/>
  <c r="R101" i="13"/>
  <c r="W101" i="13" s="1"/>
  <c r="R102" i="13"/>
  <c r="R103" i="13"/>
  <c r="R104" i="13"/>
  <c r="Y104" i="13" s="1"/>
  <c r="R105" i="13"/>
  <c r="Y105" i="13" s="1"/>
  <c r="R106" i="13"/>
  <c r="R107" i="13"/>
  <c r="U107" i="13" s="1"/>
  <c r="R108" i="13"/>
  <c r="R109" i="13"/>
  <c r="R110" i="13"/>
  <c r="U110" i="13" s="1"/>
  <c r="R111" i="13"/>
  <c r="R112" i="13"/>
  <c r="R113" i="13"/>
  <c r="R114" i="13"/>
  <c r="U114" i="13" s="1"/>
  <c r="R115" i="13"/>
  <c r="R116" i="13"/>
  <c r="R117" i="13"/>
  <c r="R118" i="13"/>
  <c r="U118" i="13" s="1"/>
  <c r="R119" i="13"/>
  <c r="R120" i="13"/>
  <c r="R121" i="13"/>
  <c r="U121" i="13" s="1"/>
  <c r="R122" i="13"/>
  <c r="U122" i="13" s="1"/>
  <c r="R123" i="13"/>
  <c r="R124" i="13"/>
  <c r="R125" i="13"/>
  <c r="R126" i="13"/>
  <c r="R127" i="13"/>
  <c r="R128" i="13"/>
  <c r="R129" i="13"/>
  <c r="R130" i="13"/>
  <c r="S130" i="13" s="1"/>
  <c r="R131" i="13"/>
  <c r="R132" i="13"/>
  <c r="R133" i="13"/>
  <c r="R134" i="13"/>
  <c r="U134" i="13" s="1"/>
  <c r="R135" i="13"/>
  <c r="Y135" i="13" s="1"/>
  <c r="R136" i="13"/>
  <c r="R137" i="13"/>
  <c r="R138" i="13"/>
  <c r="R139" i="13"/>
  <c r="R140" i="13"/>
  <c r="R141" i="13"/>
  <c r="R142" i="13"/>
  <c r="R143" i="13"/>
  <c r="R144" i="13"/>
  <c r="R145" i="13"/>
  <c r="R146" i="13"/>
  <c r="S146" i="13" s="1"/>
  <c r="R147" i="13"/>
  <c r="R148" i="13"/>
  <c r="W148" i="13" s="1"/>
  <c r="R149" i="13"/>
  <c r="U149" i="13" s="1"/>
  <c r="R150" i="13"/>
  <c r="R151" i="13"/>
  <c r="Y151" i="13" s="1"/>
  <c r="R152" i="13"/>
  <c r="U152" i="13" s="1"/>
  <c r="R153" i="13"/>
  <c r="R154" i="13"/>
  <c r="R155" i="13"/>
  <c r="R156" i="13"/>
  <c r="U156" i="13" s="1"/>
  <c r="R157" i="13"/>
  <c r="R158" i="13"/>
  <c r="R159" i="13"/>
  <c r="R160" i="13"/>
  <c r="R161" i="13"/>
  <c r="R162" i="13"/>
  <c r="U162" i="13" s="1"/>
  <c r="R163" i="13"/>
  <c r="R164" i="13"/>
  <c r="R165" i="13"/>
  <c r="R166" i="13"/>
  <c r="U166" i="13" s="1"/>
  <c r="R167" i="13"/>
  <c r="R168" i="13"/>
  <c r="R169" i="13"/>
  <c r="R170" i="13"/>
  <c r="R171" i="13"/>
  <c r="R172" i="13"/>
  <c r="U172" i="13" s="1"/>
  <c r="R173" i="13"/>
  <c r="R174" i="13"/>
  <c r="R175" i="13"/>
  <c r="R176" i="13"/>
  <c r="R177" i="13"/>
  <c r="R178" i="13"/>
  <c r="R179" i="13"/>
  <c r="R180" i="13"/>
  <c r="R181" i="13"/>
  <c r="R182" i="13"/>
  <c r="R183" i="13"/>
  <c r="R184" i="13"/>
  <c r="R185" i="13"/>
  <c r="R186" i="13"/>
  <c r="R187" i="13"/>
  <c r="R188" i="13"/>
  <c r="U188" i="13" s="1"/>
  <c r="R189" i="13"/>
  <c r="R190" i="13"/>
  <c r="R191" i="13"/>
  <c r="R192" i="13"/>
  <c r="R193" i="13"/>
  <c r="R194" i="13"/>
  <c r="S194" i="13" s="1"/>
  <c r="R195" i="13"/>
  <c r="R196" i="13"/>
  <c r="R197" i="13"/>
  <c r="R198" i="13"/>
  <c r="R199" i="13"/>
  <c r="Y199" i="13" s="1"/>
  <c r="R200" i="13"/>
  <c r="R201" i="13"/>
  <c r="R202" i="13"/>
  <c r="U202" i="13" s="1"/>
  <c r="R203" i="13"/>
  <c r="R204" i="13"/>
  <c r="U204" i="13" s="1"/>
  <c r="R205" i="13"/>
  <c r="R206" i="13"/>
  <c r="Y206" i="13" s="1"/>
  <c r="R207" i="13"/>
  <c r="R208" i="13"/>
  <c r="R209" i="13"/>
  <c r="Y209" i="13" s="1"/>
  <c r="R210" i="13"/>
  <c r="U210" i="13" s="1"/>
  <c r="R211" i="13"/>
  <c r="R212" i="13"/>
  <c r="R213" i="13"/>
  <c r="R214" i="13"/>
  <c r="U214" i="13" s="1"/>
  <c r="R215" i="13"/>
  <c r="R216" i="13"/>
  <c r="R217" i="13"/>
  <c r="U217" i="13" s="1"/>
  <c r="R218" i="13"/>
  <c r="R219" i="13"/>
  <c r="R220" i="13"/>
  <c r="R221" i="13"/>
  <c r="R222" i="13"/>
  <c r="R223" i="13"/>
  <c r="R224" i="13"/>
  <c r="R225" i="13"/>
  <c r="R226" i="13"/>
  <c r="R227" i="13"/>
  <c r="R228" i="13"/>
  <c r="R229" i="13"/>
  <c r="R230" i="13"/>
  <c r="U230" i="13" s="1"/>
  <c r="R231" i="13"/>
  <c r="R232" i="13"/>
  <c r="R233" i="13"/>
  <c r="R234" i="13"/>
  <c r="R235" i="13"/>
  <c r="R236" i="13"/>
  <c r="R237" i="13"/>
  <c r="R238" i="13"/>
  <c r="R239" i="13"/>
  <c r="R240" i="13"/>
  <c r="R241" i="13"/>
  <c r="R242" i="13"/>
  <c r="R243" i="13"/>
  <c r="R244" i="13"/>
  <c r="R245" i="13"/>
  <c r="R246" i="13"/>
  <c r="U246" i="13" s="1"/>
  <c r="R247" i="13"/>
  <c r="R248" i="13"/>
  <c r="R249" i="13"/>
  <c r="Y249" i="13" s="1"/>
  <c r="R250" i="13"/>
  <c r="R251" i="13"/>
  <c r="R252" i="13"/>
  <c r="R253" i="13"/>
  <c r="S253" i="13" s="1"/>
  <c r="R254" i="13"/>
  <c r="R255" i="13"/>
  <c r="R256" i="13"/>
  <c r="R257" i="13"/>
  <c r="R258" i="13"/>
  <c r="R259" i="13"/>
  <c r="R260" i="13"/>
  <c r="R261" i="13"/>
  <c r="R262" i="13"/>
  <c r="R263" i="13"/>
  <c r="R264" i="13"/>
  <c r="S264" i="13" s="1"/>
  <c r="R265" i="13"/>
  <c r="R266" i="13"/>
  <c r="R267" i="13"/>
  <c r="R268" i="13"/>
  <c r="R269" i="13"/>
  <c r="R270" i="13"/>
  <c r="R271" i="13"/>
  <c r="R272" i="13"/>
  <c r="R273" i="13"/>
  <c r="Y273" i="13" s="1"/>
  <c r="R274" i="13"/>
  <c r="R275" i="13"/>
  <c r="R276" i="13"/>
  <c r="R277" i="13"/>
  <c r="R278" i="13"/>
  <c r="R279" i="13"/>
  <c r="R280" i="13"/>
  <c r="R281" i="13"/>
  <c r="Y281" i="13" s="1"/>
  <c r="R282" i="13"/>
  <c r="R283" i="13"/>
  <c r="U283" i="13" s="1"/>
  <c r="R284" i="13"/>
  <c r="R285" i="13"/>
  <c r="R286" i="13"/>
  <c r="R287" i="13"/>
  <c r="R288" i="13"/>
  <c r="R289" i="13"/>
  <c r="R290" i="13"/>
  <c r="R291" i="13"/>
  <c r="R292" i="13"/>
  <c r="R293" i="13"/>
  <c r="R294" i="13"/>
  <c r="R295" i="13"/>
  <c r="R296" i="13"/>
  <c r="R297" i="13"/>
  <c r="R298" i="13"/>
  <c r="R299" i="13"/>
  <c r="R300" i="13"/>
  <c r="R301" i="13"/>
  <c r="R302" i="13"/>
  <c r="U302" i="13" s="1"/>
  <c r="R303" i="13"/>
  <c r="U303" i="13" s="1"/>
  <c r="R304" i="13"/>
  <c r="R305" i="13"/>
  <c r="U305" i="13" s="1"/>
  <c r="R306" i="13"/>
  <c r="R307" i="13"/>
  <c r="R308" i="13"/>
  <c r="R309" i="13"/>
  <c r="R310" i="13"/>
  <c r="R311" i="13"/>
  <c r="R312" i="13"/>
  <c r="U312" i="13" s="1"/>
  <c r="R313" i="13"/>
  <c r="R314" i="13"/>
  <c r="R315" i="13"/>
  <c r="R316" i="13"/>
  <c r="R317" i="13"/>
  <c r="R318" i="13"/>
  <c r="S318" i="13" s="1"/>
  <c r="R319" i="13"/>
  <c r="R320" i="13"/>
  <c r="R321" i="13"/>
  <c r="R322" i="13"/>
  <c r="R323" i="13"/>
  <c r="R324" i="13"/>
  <c r="R325" i="13"/>
  <c r="R326" i="13"/>
  <c r="R327" i="13"/>
  <c r="R328" i="13"/>
  <c r="R329" i="13"/>
  <c r="R330" i="13"/>
  <c r="U330" i="13" s="1"/>
  <c r="R331" i="13"/>
  <c r="R332" i="13"/>
  <c r="R333" i="13"/>
  <c r="R334" i="13"/>
  <c r="R335" i="13"/>
  <c r="R336" i="13"/>
  <c r="R337" i="13"/>
  <c r="R338" i="13"/>
  <c r="R339" i="13"/>
  <c r="R340" i="13"/>
  <c r="R341" i="13"/>
  <c r="R342" i="13"/>
  <c r="U342" i="13" s="1"/>
  <c r="R343" i="13"/>
  <c r="U343" i="13" s="1"/>
  <c r="R344" i="13"/>
  <c r="R345" i="13"/>
  <c r="R346" i="13"/>
  <c r="R347" i="13"/>
  <c r="U347" i="13" s="1"/>
  <c r="R348" i="13"/>
  <c r="Y348" i="13" s="1"/>
  <c r="R349" i="13"/>
  <c r="S349" i="13" s="1"/>
  <c r="R350" i="13"/>
  <c r="S350" i="13" s="1"/>
  <c r="R351" i="13"/>
  <c r="Y351" i="13" s="1"/>
  <c r="R352" i="13"/>
  <c r="R353" i="13"/>
  <c r="R354" i="13"/>
  <c r="Y354" i="13" s="1"/>
  <c r="R355" i="13"/>
  <c r="R356" i="13"/>
  <c r="R357" i="13"/>
  <c r="R358" i="13"/>
  <c r="R359" i="13"/>
  <c r="U359" i="13" s="1"/>
  <c r="R360" i="13"/>
  <c r="U360" i="13" s="1"/>
  <c r="R361" i="13"/>
  <c r="W361" i="13" s="1"/>
  <c r="R362" i="13"/>
  <c r="W362" i="13" s="1"/>
  <c r="R363" i="13"/>
  <c r="W363" i="13" s="1"/>
  <c r="R364" i="13"/>
  <c r="R365" i="13"/>
  <c r="R366" i="13"/>
  <c r="R367" i="13"/>
  <c r="S367" i="13" s="1"/>
  <c r="R368" i="13"/>
  <c r="R369" i="13"/>
  <c r="R370" i="13"/>
  <c r="W370" i="13" s="1"/>
  <c r="R371" i="13"/>
  <c r="R372" i="13"/>
  <c r="R373" i="13"/>
  <c r="R374" i="13"/>
  <c r="W374" i="13" s="1"/>
  <c r="R375" i="13"/>
  <c r="R376" i="13"/>
  <c r="R377" i="13"/>
  <c r="R378" i="13"/>
  <c r="R379" i="13"/>
  <c r="W379" i="13" s="1"/>
  <c r="R380" i="13"/>
  <c r="R381" i="13"/>
  <c r="R382" i="13"/>
  <c r="S382" i="13" s="1"/>
  <c r="R383" i="13"/>
  <c r="R384" i="13"/>
  <c r="R385" i="13"/>
  <c r="R386" i="13"/>
  <c r="R387" i="13"/>
  <c r="R388" i="13"/>
  <c r="W388" i="13" s="1"/>
  <c r="R389" i="13"/>
  <c r="R390" i="13"/>
  <c r="Y390" i="13" s="1"/>
  <c r="R391" i="13"/>
  <c r="R392" i="13"/>
  <c r="R393" i="13"/>
  <c r="R394" i="13"/>
  <c r="Y394" i="13" s="1"/>
  <c r="R395" i="13"/>
  <c r="R396" i="13"/>
  <c r="R397" i="13"/>
  <c r="R398" i="13"/>
  <c r="R399" i="13"/>
  <c r="R400" i="13"/>
  <c r="R401" i="13"/>
  <c r="R402" i="13"/>
  <c r="R403" i="13"/>
  <c r="R404" i="13"/>
  <c r="R405" i="13"/>
  <c r="W405" i="13" s="1"/>
  <c r="R406" i="13"/>
  <c r="R407" i="13"/>
  <c r="R408" i="13"/>
  <c r="R409" i="13"/>
  <c r="W409" i="13" s="1"/>
  <c r="R410" i="13"/>
  <c r="R411" i="13"/>
  <c r="R412" i="13"/>
  <c r="R413" i="13"/>
  <c r="W413" i="13" s="1"/>
  <c r="R414" i="13"/>
  <c r="R415" i="13"/>
  <c r="W415" i="13" s="1"/>
  <c r="R416" i="13"/>
  <c r="R417" i="13"/>
  <c r="R418" i="13"/>
  <c r="R419" i="13"/>
  <c r="R420" i="13"/>
  <c r="R421" i="13"/>
  <c r="R422" i="13"/>
  <c r="R423" i="13"/>
  <c r="R424" i="13"/>
  <c r="R425" i="13"/>
  <c r="R426" i="13"/>
  <c r="R427" i="13"/>
  <c r="R428" i="13"/>
  <c r="W428" i="13" s="1"/>
  <c r="R429" i="13"/>
  <c r="S429" i="13" s="1"/>
  <c r="R430" i="13"/>
  <c r="S430" i="13" s="1"/>
  <c r="R431" i="13"/>
  <c r="R432" i="13"/>
  <c r="Y432" i="13" s="1"/>
  <c r="R433" i="13"/>
  <c r="R434" i="13"/>
  <c r="R435" i="13"/>
  <c r="R436" i="13"/>
  <c r="U436" i="13" s="1"/>
  <c r="R437" i="13"/>
  <c r="R438" i="13"/>
  <c r="R439" i="13"/>
  <c r="W439" i="13" s="1"/>
  <c r="R440" i="13"/>
  <c r="R441" i="13"/>
  <c r="R442" i="13"/>
  <c r="U442" i="13" s="1"/>
  <c r="R443" i="13"/>
  <c r="R444" i="13"/>
  <c r="R445" i="13"/>
  <c r="Y445" i="13" s="1"/>
  <c r="R446" i="13"/>
  <c r="Y446" i="13" s="1"/>
  <c r="R447" i="13"/>
  <c r="R448" i="13"/>
  <c r="W448" i="13" s="1"/>
  <c r="R449" i="13"/>
  <c r="R450" i="13"/>
  <c r="R451" i="13"/>
  <c r="R452" i="13"/>
  <c r="R453" i="13"/>
  <c r="R454" i="13"/>
  <c r="R455" i="13"/>
  <c r="R456" i="13"/>
  <c r="R457" i="13"/>
  <c r="R458" i="13"/>
  <c r="W458" i="13" s="1"/>
  <c r="R459" i="13"/>
  <c r="W459" i="13" s="1"/>
  <c r="R460" i="13"/>
  <c r="R461" i="13"/>
  <c r="R462" i="13"/>
  <c r="W462" i="13" s="1"/>
  <c r="R463" i="13"/>
  <c r="R464" i="13"/>
  <c r="R465" i="13"/>
  <c r="R466" i="13"/>
  <c r="R467" i="13"/>
  <c r="R468" i="13"/>
  <c r="R469" i="13"/>
  <c r="R470" i="13"/>
  <c r="W470" i="13" s="1"/>
  <c r="R471" i="13"/>
  <c r="R472" i="13"/>
  <c r="R473" i="13"/>
  <c r="R474" i="13"/>
  <c r="R475" i="13"/>
  <c r="R476" i="13"/>
  <c r="R477" i="13"/>
  <c r="S477" i="13" s="1"/>
  <c r="R478" i="13"/>
  <c r="R479" i="13"/>
  <c r="S479" i="13" s="1"/>
  <c r="R480" i="13"/>
  <c r="R481" i="13"/>
  <c r="R482" i="13"/>
  <c r="W482" i="13" s="1"/>
  <c r="R483" i="13"/>
  <c r="R484" i="13"/>
  <c r="R485" i="13"/>
  <c r="Y485" i="13" s="1"/>
  <c r="R486" i="13"/>
  <c r="W486" i="13" s="1"/>
  <c r="R487" i="13"/>
  <c r="R488" i="13"/>
  <c r="R489" i="13"/>
  <c r="W489" i="13" s="1"/>
  <c r="R490" i="13"/>
  <c r="R491" i="13"/>
  <c r="U491" i="13" s="1"/>
  <c r="R492" i="13"/>
  <c r="R493" i="13"/>
  <c r="Y493" i="13" s="1"/>
  <c r="R494" i="13"/>
  <c r="Y494" i="13" s="1"/>
  <c r="R495" i="13"/>
  <c r="Y495" i="13" s="1"/>
  <c r="R496" i="13"/>
  <c r="R497" i="13"/>
  <c r="R498" i="13"/>
  <c r="R499" i="13"/>
  <c r="R500" i="13"/>
  <c r="R501" i="13"/>
  <c r="R502" i="13"/>
  <c r="W502" i="13" s="1"/>
  <c r="R503" i="13"/>
  <c r="W503" i="13" s="1"/>
  <c r="R504" i="13"/>
  <c r="W504" i="13" s="1"/>
  <c r="R505" i="13"/>
  <c r="W505" i="13" s="1"/>
  <c r="R506" i="13"/>
  <c r="R507" i="13"/>
  <c r="W507" i="13" s="1"/>
  <c r="R508" i="13"/>
  <c r="R509" i="13"/>
  <c r="R510" i="13"/>
  <c r="R511" i="13"/>
  <c r="R512" i="13"/>
  <c r="R513" i="13"/>
  <c r="R514" i="13"/>
  <c r="R515" i="13"/>
  <c r="R516" i="13"/>
  <c r="Y516" i="13" s="1"/>
  <c r="R517" i="13"/>
  <c r="R518" i="13"/>
  <c r="W518" i="13" s="1"/>
  <c r="R519" i="13"/>
  <c r="W519" i="13" s="1"/>
  <c r="R520" i="13"/>
  <c r="R521" i="13"/>
  <c r="R522" i="13"/>
  <c r="R523" i="13"/>
  <c r="R524" i="13"/>
  <c r="R525" i="13"/>
  <c r="R526" i="13"/>
  <c r="S526" i="13" s="1"/>
  <c r="R527" i="13"/>
  <c r="R528" i="13"/>
  <c r="R529" i="13"/>
  <c r="R530" i="13"/>
  <c r="R531" i="13"/>
  <c r="R532" i="13"/>
  <c r="R533" i="13"/>
  <c r="R534" i="13"/>
  <c r="R535" i="13"/>
  <c r="R536" i="13"/>
  <c r="W536" i="13" s="1"/>
  <c r="R537" i="13"/>
  <c r="R538" i="13"/>
  <c r="R539" i="13"/>
  <c r="W539" i="13" s="1"/>
  <c r="R540" i="13"/>
  <c r="R541" i="13"/>
  <c r="R542" i="13"/>
  <c r="R543" i="13"/>
  <c r="R544" i="13"/>
  <c r="R545" i="13"/>
  <c r="R546" i="13"/>
  <c r="W546" i="13" s="1"/>
  <c r="R547" i="13"/>
  <c r="R548" i="13"/>
  <c r="R549" i="13"/>
  <c r="R550" i="13"/>
  <c r="R551" i="13"/>
  <c r="R552" i="13"/>
  <c r="W552" i="13" s="1"/>
  <c r="R553" i="13"/>
  <c r="S553" i="13" s="1"/>
  <c r="R554" i="13"/>
  <c r="W554" i="13" s="1"/>
  <c r="R555" i="13"/>
  <c r="R556" i="13"/>
  <c r="R557" i="13"/>
  <c r="S557" i="13" s="1"/>
  <c r="R558" i="13"/>
  <c r="R559" i="13"/>
  <c r="S559" i="13" s="1"/>
  <c r="R560" i="13"/>
  <c r="R561" i="13"/>
  <c r="R562" i="13"/>
  <c r="S562" i="13" s="1"/>
  <c r="R563" i="13"/>
  <c r="R564" i="13"/>
  <c r="R565" i="13"/>
  <c r="R566" i="13"/>
  <c r="R567" i="13"/>
  <c r="R568" i="13"/>
  <c r="R569" i="13"/>
  <c r="R570" i="13"/>
  <c r="R571" i="13"/>
  <c r="U571" i="13" s="1"/>
  <c r="R572" i="13"/>
  <c r="R573" i="13"/>
  <c r="Y573" i="13" s="1"/>
  <c r="R574" i="13"/>
  <c r="R575" i="13"/>
  <c r="R576" i="13"/>
  <c r="U576" i="13" s="1"/>
  <c r="R577" i="13"/>
  <c r="R578" i="13"/>
  <c r="Y578" i="13" s="1"/>
  <c r="R579" i="13"/>
  <c r="R580" i="13"/>
  <c r="R581" i="13"/>
  <c r="R582" i="13"/>
  <c r="R583" i="13"/>
  <c r="R584" i="13"/>
  <c r="R585" i="13"/>
  <c r="R586" i="13"/>
  <c r="W586" i="13" s="1"/>
  <c r="R587" i="13"/>
  <c r="R588" i="13"/>
  <c r="R589" i="13"/>
  <c r="R590" i="13"/>
  <c r="R591" i="13"/>
  <c r="R592" i="13"/>
  <c r="R593" i="13"/>
  <c r="R594" i="13"/>
  <c r="R595" i="13"/>
  <c r="R596" i="13"/>
  <c r="R597" i="13"/>
  <c r="R598" i="13"/>
  <c r="R599" i="13"/>
  <c r="R600" i="13"/>
  <c r="R601" i="13"/>
  <c r="R602" i="13"/>
  <c r="W602" i="13" s="1"/>
  <c r="R603" i="13"/>
  <c r="W603" i="13" s="1"/>
  <c r="R604" i="13"/>
  <c r="R605" i="13"/>
  <c r="S605" i="13" s="1"/>
  <c r="R606" i="13"/>
  <c r="R607" i="13"/>
  <c r="S607" i="13" s="1"/>
  <c r="R608" i="13"/>
  <c r="R609" i="13"/>
  <c r="U609" i="13" s="1"/>
  <c r="R610" i="13"/>
  <c r="R611" i="13"/>
  <c r="R612" i="13"/>
  <c r="R613" i="13"/>
  <c r="R614" i="13"/>
  <c r="R615" i="13"/>
  <c r="R616" i="13"/>
  <c r="R617" i="13"/>
  <c r="R618" i="13"/>
  <c r="R619" i="13"/>
  <c r="U619" i="13" s="1"/>
  <c r="R620" i="13"/>
  <c r="R621" i="13"/>
  <c r="Y621" i="13" s="1"/>
  <c r="R622" i="13"/>
  <c r="R623" i="13"/>
  <c r="Y623" i="13" s="1"/>
  <c r="R624" i="13"/>
  <c r="W624" i="13" s="1"/>
  <c r="R625" i="13"/>
  <c r="R626" i="13"/>
  <c r="W626" i="13" s="1"/>
  <c r="R627" i="13"/>
  <c r="R628" i="13"/>
  <c r="R629" i="13"/>
  <c r="R630" i="13"/>
  <c r="R631" i="13"/>
  <c r="W631" i="13" s="1"/>
  <c r="R632" i="13"/>
  <c r="R633" i="13"/>
  <c r="R634" i="13"/>
  <c r="W634" i="13" s="1"/>
  <c r="R635" i="13"/>
  <c r="W635" i="13" s="1"/>
  <c r="R636" i="13"/>
  <c r="R637" i="13"/>
  <c r="S637" i="13" s="1"/>
  <c r="R638" i="13"/>
  <c r="R639" i="13"/>
  <c r="S639" i="13" s="1"/>
  <c r="R2" i="13"/>
  <c r="J528" i="13"/>
  <c r="I517" i="13"/>
  <c r="J5" i="13"/>
  <c r="K3"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K502" i="13"/>
  <c r="K503" i="13"/>
  <c r="K504" i="13"/>
  <c r="K505" i="13"/>
  <c r="K506" i="13"/>
  <c r="K507" i="13"/>
  <c r="K508" i="13"/>
  <c r="K509" i="13"/>
  <c r="K510" i="13"/>
  <c r="K511" i="13"/>
  <c r="K512" i="13"/>
  <c r="K513" i="13"/>
  <c r="K514" i="13"/>
  <c r="K515" i="13"/>
  <c r="K516" i="13"/>
  <c r="K517" i="13"/>
  <c r="K518" i="13"/>
  <c r="K519" i="13"/>
  <c r="K520" i="13"/>
  <c r="K521" i="13"/>
  <c r="K522" i="13"/>
  <c r="K523" i="13"/>
  <c r="K524" i="13"/>
  <c r="K525" i="13"/>
  <c r="K526" i="13"/>
  <c r="K527" i="13"/>
  <c r="K528" i="13"/>
  <c r="M528" i="13" s="1"/>
  <c r="K529" i="13"/>
  <c r="K530" i="13"/>
  <c r="K531" i="13"/>
  <c r="K532" i="13"/>
  <c r="K533" i="13"/>
  <c r="K534" i="13"/>
  <c r="K535" i="13"/>
  <c r="K536" i="13"/>
  <c r="K537" i="13"/>
  <c r="K538" i="13"/>
  <c r="K539" i="13"/>
  <c r="K540" i="13"/>
  <c r="K541" i="13"/>
  <c r="K542" i="13"/>
  <c r="K543" i="13"/>
  <c r="K544" i="13"/>
  <c r="K545" i="13"/>
  <c r="K546" i="13"/>
  <c r="K547" i="13"/>
  <c r="K548" i="13"/>
  <c r="K549" i="13"/>
  <c r="K550" i="13"/>
  <c r="K551" i="13"/>
  <c r="K552" i="13"/>
  <c r="K553" i="13"/>
  <c r="K554" i="13"/>
  <c r="K555" i="13"/>
  <c r="K556" i="13"/>
  <c r="K557" i="13"/>
  <c r="K558" i="13"/>
  <c r="K559" i="13"/>
  <c r="K560" i="13"/>
  <c r="K561" i="13"/>
  <c r="K562" i="13"/>
  <c r="K563" i="13"/>
  <c r="K564" i="13"/>
  <c r="K565" i="13"/>
  <c r="K566" i="13"/>
  <c r="K567" i="13"/>
  <c r="K568" i="13"/>
  <c r="K569" i="13"/>
  <c r="K570" i="13"/>
  <c r="K571" i="13"/>
  <c r="K572" i="13"/>
  <c r="K573" i="13"/>
  <c r="K574" i="13"/>
  <c r="K575" i="13"/>
  <c r="K576" i="13"/>
  <c r="K577" i="13"/>
  <c r="K578" i="13"/>
  <c r="K579" i="13"/>
  <c r="K580" i="13"/>
  <c r="K581" i="13"/>
  <c r="K582" i="13"/>
  <c r="K583" i="13"/>
  <c r="K584" i="13"/>
  <c r="K585" i="13"/>
  <c r="K586" i="13"/>
  <c r="K587" i="13"/>
  <c r="K588" i="13"/>
  <c r="K589" i="13"/>
  <c r="K590" i="13"/>
  <c r="K591" i="13"/>
  <c r="K592" i="13"/>
  <c r="K593" i="13"/>
  <c r="K594" i="13"/>
  <c r="K595" i="13"/>
  <c r="K596" i="13"/>
  <c r="K597" i="13"/>
  <c r="K598" i="13"/>
  <c r="K599" i="13"/>
  <c r="K600" i="13"/>
  <c r="K601" i="13"/>
  <c r="K602" i="13"/>
  <c r="K603" i="13"/>
  <c r="K604" i="13"/>
  <c r="K605" i="13"/>
  <c r="K606" i="13"/>
  <c r="K607" i="13"/>
  <c r="K608" i="13"/>
  <c r="K609" i="13"/>
  <c r="K610" i="13"/>
  <c r="K611" i="13"/>
  <c r="K612" i="13"/>
  <c r="K613" i="13"/>
  <c r="K614" i="13"/>
  <c r="K615" i="13"/>
  <c r="K616" i="13"/>
  <c r="K617" i="13"/>
  <c r="K618" i="13"/>
  <c r="K619" i="13"/>
  <c r="K620" i="13"/>
  <c r="K621" i="13"/>
  <c r="K622" i="13"/>
  <c r="K623" i="13"/>
  <c r="K624" i="13"/>
  <c r="K625" i="13"/>
  <c r="K626" i="13"/>
  <c r="K627" i="13"/>
  <c r="K628" i="13"/>
  <c r="K629" i="13"/>
  <c r="K630" i="13"/>
  <c r="K631" i="13"/>
  <c r="K632" i="13"/>
  <c r="K633" i="13"/>
  <c r="K634" i="13"/>
  <c r="K635" i="13"/>
  <c r="K636" i="13"/>
  <c r="K637" i="13"/>
  <c r="K638" i="13"/>
  <c r="K639" i="13"/>
  <c r="K2" i="13"/>
  <c r="J3" i="13"/>
  <c r="J4" i="13"/>
  <c r="M4" i="13" s="1"/>
  <c r="J6" i="13"/>
  <c r="M6" i="13" s="1"/>
  <c r="J7" i="13"/>
  <c r="J8" i="13"/>
  <c r="J9" i="13"/>
  <c r="M9" i="13" s="1"/>
  <c r="J10" i="13"/>
  <c r="J11" i="13"/>
  <c r="J12" i="13"/>
  <c r="J13" i="13"/>
  <c r="J14" i="13"/>
  <c r="J15" i="13"/>
  <c r="J16" i="13"/>
  <c r="J17" i="13"/>
  <c r="J18" i="13"/>
  <c r="J19" i="13"/>
  <c r="J20" i="13"/>
  <c r="J21" i="13"/>
  <c r="J22" i="13"/>
  <c r="M22" i="13" s="1"/>
  <c r="J23" i="13"/>
  <c r="J24" i="13"/>
  <c r="J25" i="13"/>
  <c r="J26" i="13"/>
  <c r="M26" i="13" s="1"/>
  <c r="J27" i="13"/>
  <c r="J28" i="13"/>
  <c r="J29" i="13"/>
  <c r="J30" i="13"/>
  <c r="J31" i="13"/>
  <c r="J32" i="13"/>
  <c r="J33" i="13"/>
  <c r="J34" i="13"/>
  <c r="J35" i="13"/>
  <c r="J36" i="13"/>
  <c r="J37" i="13"/>
  <c r="J38" i="13"/>
  <c r="M38" i="13" s="1"/>
  <c r="J39" i="13"/>
  <c r="J40" i="13"/>
  <c r="M40" i="13" s="1"/>
  <c r="J41" i="13"/>
  <c r="J42" i="13"/>
  <c r="J43" i="13"/>
  <c r="J44" i="13"/>
  <c r="J45" i="13"/>
  <c r="J46" i="13"/>
  <c r="J47" i="13"/>
  <c r="J48" i="13"/>
  <c r="J49" i="13"/>
  <c r="J50" i="13"/>
  <c r="J51" i="13"/>
  <c r="J52" i="13"/>
  <c r="J53" i="13"/>
  <c r="J54" i="13"/>
  <c r="M54" i="13" s="1"/>
  <c r="J55" i="13"/>
  <c r="J56" i="13"/>
  <c r="J57" i="13"/>
  <c r="J58" i="13"/>
  <c r="M58" i="13" s="1"/>
  <c r="J59" i="13"/>
  <c r="J60" i="13"/>
  <c r="J61" i="13"/>
  <c r="J62" i="13"/>
  <c r="J63" i="13"/>
  <c r="J64" i="13"/>
  <c r="J65" i="13"/>
  <c r="J66" i="13"/>
  <c r="J67" i="13"/>
  <c r="J68" i="13"/>
  <c r="J69" i="13"/>
  <c r="J70" i="13"/>
  <c r="M70" i="13" s="1"/>
  <c r="J71" i="13"/>
  <c r="J72" i="13"/>
  <c r="J73" i="13"/>
  <c r="J74" i="13"/>
  <c r="M74" i="13" s="1"/>
  <c r="J75" i="13"/>
  <c r="J76" i="13"/>
  <c r="J77" i="13"/>
  <c r="J78" i="13"/>
  <c r="J79" i="13"/>
  <c r="J80" i="13"/>
  <c r="J81" i="13"/>
  <c r="J82" i="13"/>
  <c r="J83" i="13"/>
  <c r="J84" i="13"/>
  <c r="J85" i="13"/>
  <c r="J86" i="13"/>
  <c r="M86" i="13" s="1"/>
  <c r="J87" i="13"/>
  <c r="J88" i="13"/>
  <c r="J89" i="13"/>
  <c r="J90" i="13"/>
  <c r="M90" i="13" s="1"/>
  <c r="J91" i="13"/>
  <c r="J92" i="13"/>
  <c r="J93" i="13"/>
  <c r="J94" i="13"/>
  <c r="J95" i="13"/>
  <c r="J96" i="13"/>
  <c r="J97" i="13"/>
  <c r="J98" i="13"/>
  <c r="J99" i="13"/>
  <c r="J100" i="13"/>
  <c r="J101" i="13"/>
  <c r="J102" i="13"/>
  <c r="M102" i="13" s="1"/>
  <c r="J103" i="13"/>
  <c r="J104" i="13"/>
  <c r="J105" i="13"/>
  <c r="J106" i="13"/>
  <c r="M106" i="13" s="1"/>
  <c r="J107" i="13"/>
  <c r="J108" i="13"/>
  <c r="J109" i="13"/>
  <c r="J110" i="13"/>
  <c r="J111" i="13"/>
  <c r="J112" i="13"/>
  <c r="J113" i="13"/>
  <c r="J114" i="13"/>
  <c r="J115" i="13"/>
  <c r="J116" i="13"/>
  <c r="J117" i="13"/>
  <c r="J118" i="13"/>
  <c r="M118" i="13" s="1"/>
  <c r="J119" i="13"/>
  <c r="J120" i="13"/>
  <c r="J121" i="13"/>
  <c r="J122" i="13"/>
  <c r="M122" i="13" s="1"/>
  <c r="J123" i="13"/>
  <c r="J124" i="13"/>
  <c r="J125" i="13"/>
  <c r="J126" i="13"/>
  <c r="J127" i="13"/>
  <c r="J128" i="13"/>
  <c r="J129" i="13"/>
  <c r="J130" i="13"/>
  <c r="J131" i="13"/>
  <c r="J132" i="13"/>
  <c r="J133" i="13"/>
  <c r="J134" i="13"/>
  <c r="M134" i="13" s="1"/>
  <c r="J135" i="13"/>
  <c r="J136" i="13"/>
  <c r="J137" i="13"/>
  <c r="J138" i="13"/>
  <c r="M138" i="13" s="1"/>
  <c r="J139" i="13"/>
  <c r="J140" i="13"/>
  <c r="J141" i="13"/>
  <c r="J142" i="13"/>
  <c r="J143" i="13"/>
  <c r="J144" i="13"/>
  <c r="J145" i="13"/>
  <c r="J146" i="13"/>
  <c r="J147" i="13"/>
  <c r="J148" i="13"/>
  <c r="J149" i="13"/>
  <c r="J150" i="13"/>
  <c r="M150" i="13" s="1"/>
  <c r="J151" i="13"/>
  <c r="J152" i="13"/>
  <c r="J153" i="13"/>
  <c r="J154" i="13"/>
  <c r="M154" i="13" s="1"/>
  <c r="J155" i="13"/>
  <c r="J156" i="13"/>
  <c r="J157" i="13"/>
  <c r="J158" i="13"/>
  <c r="J159" i="13"/>
  <c r="J160" i="13"/>
  <c r="J161" i="13"/>
  <c r="J162" i="13"/>
  <c r="J163" i="13"/>
  <c r="J164" i="13"/>
  <c r="J165" i="13"/>
  <c r="J166" i="13"/>
  <c r="M166" i="13" s="1"/>
  <c r="J167" i="13"/>
  <c r="J168" i="13"/>
  <c r="J169" i="13"/>
  <c r="J170" i="13"/>
  <c r="M170" i="13" s="1"/>
  <c r="J171" i="13"/>
  <c r="J172" i="13"/>
  <c r="J173" i="13"/>
  <c r="J174" i="13"/>
  <c r="J175" i="13"/>
  <c r="J176" i="13"/>
  <c r="J177" i="13"/>
  <c r="J178" i="13"/>
  <c r="J179" i="13"/>
  <c r="J180" i="13"/>
  <c r="J181" i="13"/>
  <c r="J182" i="13"/>
  <c r="M182" i="13" s="1"/>
  <c r="J183" i="13"/>
  <c r="J184" i="13"/>
  <c r="J185" i="13"/>
  <c r="J186" i="13"/>
  <c r="J187" i="13"/>
  <c r="J188" i="13"/>
  <c r="J189" i="13"/>
  <c r="J190" i="13"/>
  <c r="J191" i="13"/>
  <c r="J192" i="13"/>
  <c r="J193" i="13"/>
  <c r="J194" i="13"/>
  <c r="J195" i="13"/>
  <c r="J196" i="13"/>
  <c r="J197" i="13"/>
  <c r="J198" i="13"/>
  <c r="M198" i="13" s="1"/>
  <c r="J199" i="13"/>
  <c r="J200" i="13"/>
  <c r="J201" i="13"/>
  <c r="J202" i="13"/>
  <c r="M202" i="13" s="1"/>
  <c r="J203" i="13"/>
  <c r="J204" i="13"/>
  <c r="J205" i="13"/>
  <c r="J206" i="13"/>
  <c r="J207" i="13"/>
  <c r="J208" i="13"/>
  <c r="J209" i="13"/>
  <c r="J210" i="13"/>
  <c r="J211" i="13"/>
  <c r="J212" i="13"/>
  <c r="J213" i="13"/>
  <c r="J214" i="13"/>
  <c r="M214" i="13" s="1"/>
  <c r="J215" i="13"/>
  <c r="J216" i="13"/>
  <c r="J217" i="13"/>
  <c r="J218" i="13"/>
  <c r="J219" i="13"/>
  <c r="J220" i="13"/>
  <c r="J221" i="13"/>
  <c r="J222" i="13"/>
  <c r="J223" i="13"/>
  <c r="J224" i="13"/>
  <c r="J225" i="13"/>
  <c r="J226" i="13"/>
  <c r="J227" i="13"/>
  <c r="J228" i="13"/>
  <c r="J229" i="13"/>
  <c r="J230" i="13"/>
  <c r="M230" i="13" s="1"/>
  <c r="J231" i="13"/>
  <c r="J232" i="13"/>
  <c r="J233" i="13"/>
  <c r="J234" i="13"/>
  <c r="J235" i="13"/>
  <c r="J236" i="13"/>
  <c r="J237" i="13"/>
  <c r="J238" i="13"/>
  <c r="J239" i="13"/>
  <c r="J240" i="13"/>
  <c r="J241" i="13"/>
  <c r="J242" i="13"/>
  <c r="J243" i="13"/>
  <c r="J244" i="13"/>
  <c r="J245" i="13"/>
  <c r="J246" i="13"/>
  <c r="M246" i="13" s="1"/>
  <c r="J247" i="13"/>
  <c r="J248" i="13"/>
  <c r="J249" i="13"/>
  <c r="J250" i="13"/>
  <c r="M250" i="13" s="1"/>
  <c r="J251" i="13"/>
  <c r="J252" i="13"/>
  <c r="J253" i="13"/>
  <c r="J254" i="13"/>
  <c r="J255" i="13"/>
  <c r="J256" i="13"/>
  <c r="J257" i="13"/>
  <c r="J258" i="13"/>
  <c r="J259" i="13"/>
  <c r="J260" i="13"/>
  <c r="J261" i="13"/>
  <c r="J262" i="13"/>
  <c r="M262" i="13" s="1"/>
  <c r="J263" i="13"/>
  <c r="J264" i="13"/>
  <c r="J265" i="13"/>
  <c r="M265" i="13" s="1"/>
  <c r="J266" i="13"/>
  <c r="M266" i="13" s="1"/>
  <c r="J267" i="13"/>
  <c r="J268" i="13"/>
  <c r="J269" i="13"/>
  <c r="J270" i="13"/>
  <c r="J271" i="13"/>
  <c r="J272" i="13"/>
  <c r="J273" i="13"/>
  <c r="J274" i="13"/>
  <c r="J275" i="13"/>
  <c r="J276" i="13"/>
  <c r="J277" i="13"/>
  <c r="J278" i="13"/>
  <c r="M278" i="13" s="1"/>
  <c r="J279" i="13"/>
  <c r="J280" i="13"/>
  <c r="J281" i="13"/>
  <c r="M281" i="13" s="1"/>
  <c r="J282" i="13"/>
  <c r="M282" i="13" s="1"/>
  <c r="J283" i="13"/>
  <c r="J284" i="13"/>
  <c r="J285" i="13"/>
  <c r="J286" i="13"/>
  <c r="J287" i="13"/>
  <c r="J288" i="13"/>
  <c r="J289" i="13"/>
  <c r="J290" i="13"/>
  <c r="J291" i="13"/>
  <c r="J292" i="13"/>
  <c r="J293" i="13"/>
  <c r="J294" i="13"/>
  <c r="M294" i="13" s="1"/>
  <c r="J295" i="13"/>
  <c r="J296" i="13"/>
  <c r="J297" i="13"/>
  <c r="M297" i="13" s="1"/>
  <c r="J298" i="13"/>
  <c r="M298" i="13" s="1"/>
  <c r="J299" i="13"/>
  <c r="J300" i="13"/>
  <c r="J301" i="13"/>
  <c r="J302" i="13"/>
  <c r="J303" i="13"/>
  <c r="J304" i="13"/>
  <c r="M304" i="13" s="1"/>
  <c r="J305" i="13"/>
  <c r="J306" i="13"/>
  <c r="J307" i="13"/>
  <c r="J308" i="13"/>
  <c r="J309" i="13"/>
  <c r="J310" i="13"/>
  <c r="M310" i="13" s="1"/>
  <c r="J311" i="13"/>
  <c r="J312" i="13"/>
  <c r="J313" i="13"/>
  <c r="M313" i="13" s="1"/>
  <c r="J314" i="13"/>
  <c r="M314" i="13" s="1"/>
  <c r="J315" i="13"/>
  <c r="J316" i="13"/>
  <c r="J317" i="13"/>
  <c r="J318" i="13"/>
  <c r="J319" i="13"/>
  <c r="J320" i="13"/>
  <c r="J321" i="13"/>
  <c r="J322" i="13"/>
  <c r="J323" i="13"/>
  <c r="J324" i="13"/>
  <c r="J325" i="13"/>
  <c r="J326" i="13"/>
  <c r="M326" i="13" s="1"/>
  <c r="J327" i="13"/>
  <c r="J328" i="13"/>
  <c r="J329" i="13"/>
  <c r="M329" i="13" s="1"/>
  <c r="J330" i="13"/>
  <c r="M330" i="13" s="1"/>
  <c r="J331" i="13"/>
  <c r="J332" i="13"/>
  <c r="J333" i="13"/>
  <c r="J334" i="13"/>
  <c r="J335" i="13"/>
  <c r="J336" i="13"/>
  <c r="M336" i="13" s="1"/>
  <c r="J337" i="13"/>
  <c r="J338" i="13"/>
  <c r="J339" i="13"/>
  <c r="J340" i="13"/>
  <c r="J341" i="13"/>
  <c r="J342" i="13"/>
  <c r="M342" i="13" s="1"/>
  <c r="J343" i="13"/>
  <c r="J344" i="13"/>
  <c r="J345" i="13"/>
  <c r="M345" i="13" s="1"/>
  <c r="J346" i="13"/>
  <c r="M346" i="13" s="1"/>
  <c r="J347" i="13"/>
  <c r="J348" i="13"/>
  <c r="J349" i="13"/>
  <c r="J350" i="13"/>
  <c r="J351" i="13"/>
  <c r="J352" i="13"/>
  <c r="J353" i="13"/>
  <c r="J354" i="13"/>
  <c r="J355" i="13"/>
  <c r="J356" i="13"/>
  <c r="J357" i="13"/>
  <c r="J358" i="13"/>
  <c r="M358" i="13" s="1"/>
  <c r="J359" i="13"/>
  <c r="J360" i="13"/>
  <c r="J361" i="13"/>
  <c r="M361" i="13" s="1"/>
  <c r="J362" i="13"/>
  <c r="M362" i="13" s="1"/>
  <c r="J363" i="13"/>
  <c r="J364" i="13"/>
  <c r="J365" i="13"/>
  <c r="J366" i="13"/>
  <c r="J367" i="13"/>
  <c r="J368" i="13"/>
  <c r="J369" i="13"/>
  <c r="J370" i="13"/>
  <c r="J371" i="13"/>
  <c r="J372" i="13"/>
  <c r="J373" i="13"/>
  <c r="J374" i="13"/>
  <c r="M374" i="13" s="1"/>
  <c r="J375" i="13"/>
  <c r="J376" i="13"/>
  <c r="J377" i="13"/>
  <c r="M377" i="13" s="1"/>
  <c r="J378" i="13"/>
  <c r="M378" i="13" s="1"/>
  <c r="J379" i="13"/>
  <c r="J380" i="13"/>
  <c r="J381" i="13"/>
  <c r="J382" i="13"/>
  <c r="J383" i="13"/>
  <c r="J384" i="13"/>
  <c r="J385" i="13"/>
  <c r="J386" i="13"/>
  <c r="J387" i="13"/>
  <c r="J388" i="13"/>
  <c r="J389" i="13"/>
  <c r="J390" i="13"/>
  <c r="M390" i="13" s="1"/>
  <c r="J391" i="13"/>
  <c r="J392" i="13"/>
  <c r="J393" i="13"/>
  <c r="J394" i="13"/>
  <c r="M394" i="13" s="1"/>
  <c r="J395" i="13"/>
  <c r="J396" i="13"/>
  <c r="J397" i="13"/>
  <c r="J398" i="13"/>
  <c r="J399" i="13"/>
  <c r="J400" i="13"/>
  <c r="J401" i="13"/>
  <c r="J402" i="13"/>
  <c r="J403" i="13"/>
  <c r="J404" i="13"/>
  <c r="J405" i="13"/>
  <c r="J406" i="13"/>
  <c r="M406" i="13" s="1"/>
  <c r="J407" i="13"/>
  <c r="J408" i="13"/>
  <c r="J409" i="13"/>
  <c r="J410" i="13"/>
  <c r="M410" i="13" s="1"/>
  <c r="J411" i="13"/>
  <c r="J412" i="13"/>
  <c r="J413" i="13"/>
  <c r="J414" i="13"/>
  <c r="J415" i="13"/>
  <c r="J416" i="13"/>
  <c r="J417" i="13"/>
  <c r="J418" i="13"/>
  <c r="J419" i="13"/>
  <c r="J420" i="13"/>
  <c r="J421" i="13"/>
  <c r="J422" i="13"/>
  <c r="J423" i="13"/>
  <c r="J424" i="13"/>
  <c r="J425" i="13"/>
  <c r="J426" i="13"/>
  <c r="M426" i="13" s="1"/>
  <c r="J427" i="13"/>
  <c r="J428" i="13"/>
  <c r="J429" i="13"/>
  <c r="J430" i="13"/>
  <c r="J431" i="13"/>
  <c r="J432" i="13"/>
  <c r="J433" i="13"/>
  <c r="J434" i="13"/>
  <c r="J435" i="13"/>
  <c r="J436" i="13"/>
  <c r="J437" i="13"/>
  <c r="J438" i="13"/>
  <c r="J439" i="13"/>
  <c r="J440" i="13"/>
  <c r="J441" i="13"/>
  <c r="J442" i="13"/>
  <c r="M442" i="13" s="1"/>
  <c r="J443" i="13"/>
  <c r="J444" i="13"/>
  <c r="J445" i="13"/>
  <c r="J446" i="13"/>
  <c r="J447" i="13"/>
  <c r="J448" i="13"/>
  <c r="J449" i="13"/>
  <c r="J450" i="13"/>
  <c r="J451" i="13"/>
  <c r="J452" i="13"/>
  <c r="J453" i="13"/>
  <c r="J454" i="13"/>
  <c r="J455" i="13"/>
  <c r="J456" i="13"/>
  <c r="J457" i="13"/>
  <c r="J458" i="13"/>
  <c r="M458" i="13" s="1"/>
  <c r="J459" i="13"/>
  <c r="J460" i="13"/>
  <c r="J461" i="13"/>
  <c r="J462" i="13"/>
  <c r="J463" i="13"/>
  <c r="J464" i="13"/>
  <c r="M464" i="13" s="1"/>
  <c r="J465" i="13"/>
  <c r="J466" i="13"/>
  <c r="M466" i="13" s="1"/>
  <c r="J467" i="13"/>
  <c r="J468" i="13"/>
  <c r="J469" i="13"/>
  <c r="J470" i="13"/>
  <c r="J471" i="13"/>
  <c r="J472" i="13"/>
  <c r="J473" i="13"/>
  <c r="J474" i="13"/>
  <c r="M474" i="13" s="1"/>
  <c r="J475" i="13"/>
  <c r="J476" i="13"/>
  <c r="J477" i="13"/>
  <c r="J478" i="13"/>
  <c r="J479" i="13"/>
  <c r="J480" i="13"/>
  <c r="M480" i="13" s="1"/>
  <c r="J481" i="13"/>
  <c r="J482" i="13"/>
  <c r="M482" i="13" s="1"/>
  <c r="J483" i="13"/>
  <c r="J484" i="13"/>
  <c r="J485" i="13"/>
  <c r="J486" i="13"/>
  <c r="J487" i="13"/>
  <c r="J488" i="13"/>
  <c r="J489" i="13"/>
  <c r="J490" i="13"/>
  <c r="M490" i="13" s="1"/>
  <c r="J491" i="13"/>
  <c r="J492" i="13"/>
  <c r="J493" i="13"/>
  <c r="J494" i="13"/>
  <c r="J495" i="13"/>
  <c r="J496" i="13"/>
  <c r="J497" i="13"/>
  <c r="J498" i="13"/>
  <c r="M498" i="13" s="1"/>
  <c r="J499" i="13"/>
  <c r="J500" i="13"/>
  <c r="J501" i="13"/>
  <c r="J502" i="13"/>
  <c r="J503" i="13"/>
  <c r="J504" i="13"/>
  <c r="J505" i="13"/>
  <c r="J506" i="13"/>
  <c r="M506" i="13" s="1"/>
  <c r="J507" i="13"/>
  <c r="J508" i="13"/>
  <c r="J509" i="13"/>
  <c r="J510" i="13"/>
  <c r="J511" i="13"/>
  <c r="J512" i="13"/>
  <c r="J513" i="13"/>
  <c r="J514" i="13"/>
  <c r="M514" i="13" s="1"/>
  <c r="J515" i="13"/>
  <c r="J516" i="13"/>
  <c r="J517" i="13"/>
  <c r="J518" i="13"/>
  <c r="J519" i="13"/>
  <c r="J520" i="13"/>
  <c r="J521" i="13"/>
  <c r="J522" i="13"/>
  <c r="M522" i="13" s="1"/>
  <c r="J523" i="13"/>
  <c r="J524" i="13"/>
  <c r="J525" i="13"/>
  <c r="J526" i="13"/>
  <c r="J527" i="13"/>
  <c r="J529" i="13"/>
  <c r="J530" i="13"/>
  <c r="M530" i="13" s="1"/>
  <c r="J531" i="13"/>
  <c r="J532" i="13"/>
  <c r="J533" i="13"/>
  <c r="J534" i="13"/>
  <c r="J535" i="13"/>
  <c r="J536" i="13"/>
  <c r="J537" i="13"/>
  <c r="J538" i="13"/>
  <c r="J539" i="13"/>
  <c r="J540" i="13"/>
  <c r="J541" i="13"/>
  <c r="J542" i="13"/>
  <c r="J543" i="13"/>
  <c r="J544" i="13"/>
  <c r="J545" i="13"/>
  <c r="J546" i="13"/>
  <c r="M546" i="13" s="1"/>
  <c r="J547" i="13"/>
  <c r="J548" i="13"/>
  <c r="J549" i="13"/>
  <c r="J550" i="13"/>
  <c r="J551" i="13"/>
  <c r="J552" i="13"/>
  <c r="J553" i="13"/>
  <c r="J554" i="13"/>
  <c r="J555" i="13"/>
  <c r="J556" i="13"/>
  <c r="J557" i="13"/>
  <c r="J558" i="13"/>
  <c r="J559" i="13"/>
  <c r="J560" i="13"/>
  <c r="J561" i="13"/>
  <c r="J562" i="13"/>
  <c r="M562" i="13" s="1"/>
  <c r="J563" i="13"/>
  <c r="J564" i="13"/>
  <c r="J565" i="13"/>
  <c r="J566" i="13"/>
  <c r="J567" i="13"/>
  <c r="M567" i="13" s="1"/>
  <c r="J568" i="13"/>
  <c r="M568" i="13" s="1"/>
  <c r="J569" i="13"/>
  <c r="J570" i="13"/>
  <c r="J571" i="13"/>
  <c r="J572" i="13"/>
  <c r="J573" i="13"/>
  <c r="J574" i="13"/>
  <c r="J575" i="13"/>
  <c r="J576" i="13"/>
  <c r="J577" i="13"/>
  <c r="J578" i="13"/>
  <c r="M578" i="13" s="1"/>
  <c r="J579" i="13"/>
  <c r="J580" i="13"/>
  <c r="J581" i="13"/>
  <c r="J582" i="13"/>
  <c r="J583" i="13"/>
  <c r="J584" i="13"/>
  <c r="J585" i="13"/>
  <c r="J586" i="13"/>
  <c r="J587" i="13"/>
  <c r="J588" i="13"/>
  <c r="J589" i="13"/>
  <c r="J590" i="13"/>
  <c r="J591" i="13"/>
  <c r="J592" i="13"/>
  <c r="M592" i="13" s="1"/>
  <c r="J593" i="13"/>
  <c r="J594" i="13"/>
  <c r="M594" i="13" s="1"/>
  <c r="J595" i="13"/>
  <c r="J596" i="13"/>
  <c r="J597" i="13"/>
  <c r="J598" i="13"/>
  <c r="J599" i="13"/>
  <c r="J600" i="13"/>
  <c r="J601" i="13"/>
  <c r="J602" i="13"/>
  <c r="J603" i="13"/>
  <c r="J604" i="13"/>
  <c r="J605" i="13"/>
  <c r="J606" i="13"/>
  <c r="J607" i="13"/>
  <c r="J608" i="13"/>
  <c r="M608" i="13" s="1"/>
  <c r="J609" i="13"/>
  <c r="J610" i="13"/>
  <c r="M610" i="13" s="1"/>
  <c r="J611" i="13"/>
  <c r="J612" i="13"/>
  <c r="J613" i="13"/>
  <c r="J614" i="13"/>
  <c r="J615" i="13"/>
  <c r="J616" i="13"/>
  <c r="J617" i="13"/>
  <c r="J618" i="13"/>
  <c r="J619" i="13"/>
  <c r="J620" i="13"/>
  <c r="J621" i="13"/>
  <c r="J622" i="13"/>
  <c r="J623" i="13"/>
  <c r="J624" i="13"/>
  <c r="J625" i="13"/>
  <c r="J626" i="13"/>
  <c r="M626" i="13" s="1"/>
  <c r="J627" i="13"/>
  <c r="J628" i="13"/>
  <c r="J629" i="13"/>
  <c r="J630" i="13"/>
  <c r="M630" i="13" s="1"/>
  <c r="J631" i="13"/>
  <c r="J632" i="13"/>
  <c r="J633" i="13"/>
  <c r="J634" i="13"/>
  <c r="J635" i="13"/>
  <c r="J636" i="13"/>
  <c r="J637" i="13"/>
  <c r="J638" i="13"/>
  <c r="J639" i="13"/>
  <c r="J2" i="13"/>
  <c r="I3" i="13"/>
  <c r="I4" i="13"/>
  <c r="I5" i="13"/>
  <c r="I6" i="13"/>
  <c r="I7" i="13"/>
  <c r="I8" i="13"/>
  <c r="I9" i="13"/>
  <c r="L9" i="13" s="1"/>
  <c r="I10" i="13"/>
  <c r="I11" i="13"/>
  <c r="I12" i="13"/>
  <c r="I13" i="13"/>
  <c r="I14" i="13"/>
  <c r="I15" i="13"/>
  <c r="I16" i="13"/>
  <c r="I17" i="13"/>
  <c r="I18" i="13"/>
  <c r="I19" i="13"/>
  <c r="I20" i="13"/>
  <c r="I21" i="13"/>
  <c r="L21" i="13" s="1"/>
  <c r="I22" i="13"/>
  <c r="I23" i="13"/>
  <c r="I24" i="13"/>
  <c r="I25" i="13"/>
  <c r="I26" i="13"/>
  <c r="I27" i="13"/>
  <c r="I28" i="13"/>
  <c r="L28" i="13" s="1"/>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L57" i="13" s="1"/>
  <c r="I58" i="13"/>
  <c r="I59" i="13"/>
  <c r="L59" i="13" s="1"/>
  <c r="I60" i="13"/>
  <c r="I61" i="13"/>
  <c r="I62" i="13"/>
  <c r="I63" i="13"/>
  <c r="I64" i="13"/>
  <c r="I65" i="13"/>
  <c r="I66" i="13"/>
  <c r="I67" i="13"/>
  <c r="I68" i="13"/>
  <c r="I69" i="13"/>
  <c r="I70" i="13"/>
  <c r="I71" i="13"/>
  <c r="I72" i="13"/>
  <c r="I73" i="13"/>
  <c r="I74" i="13"/>
  <c r="I75" i="13"/>
  <c r="L75" i="13" s="1"/>
  <c r="I76" i="13"/>
  <c r="L76" i="13" s="1"/>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L108" i="13" s="1"/>
  <c r="I109" i="13"/>
  <c r="I110" i="13"/>
  <c r="I111" i="13"/>
  <c r="I112" i="13"/>
  <c r="I113" i="13"/>
  <c r="I114" i="13"/>
  <c r="I115" i="13"/>
  <c r="I116" i="13"/>
  <c r="I117" i="13"/>
  <c r="I118" i="13"/>
  <c r="I119" i="13"/>
  <c r="I120" i="13"/>
  <c r="I121" i="13"/>
  <c r="I122" i="13"/>
  <c r="I123" i="13"/>
  <c r="I124" i="13"/>
  <c r="L124" i="13" s="1"/>
  <c r="I125" i="13"/>
  <c r="I126" i="13"/>
  <c r="I127" i="13"/>
  <c r="I128" i="13"/>
  <c r="I129" i="13"/>
  <c r="I130" i="13"/>
  <c r="I131" i="13"/>
  <c r="I132" i="13"/>
  <c r="I133" i="13"/>
  <c r="I134" i="13"/>
  <c r="I135" i="13"/>
  <c r="I136" i="13"/>
  <c r="I137" i="13"/>
  <c r="I138" i="13"/>
  <c r="I139" i="13"/>
  <c r="I140" i="13"/>
  <c r="L140" i="13" s="1"/>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L172" i="13" s="1"/>
  <c r="I173" i="13"/>
  <c r="I174" i="13"/>
  <c r="I175" i="13"/>
  <c r="I176" i="13"/>
  <c r="I177" i="13"/>
  <c r="I178" i="13"/>
  <c r="I179" i="13"/>
  <c r="I180" i="13"/>
  <c r="I181" i="13"/>
  <c r="I182" i="13"/>
  <c r="I183" i="13"/>
  <c r="I184" i="13"/>
  <c r="I185" i="13"/>
  <c r="I186" i="13"/>
  <c r="I187" i="13"/>
  <c r="I188" i="13"/>
  <c r="L188" i="13" s="1"/>
  <c r="I189" i="13"/>
  <c r="I190" i="13"/>
  <c r="I191" i="13"/>
  <c r="I192" i="13"/>
  <c r="I193" i="13"/>
  <c r="I194" i="13"/>
  <c r="I195" i="13"/>
  <c r="I196" i="13"/>
  <c r="I197" i="13"/>
  <c r="I198" i="13"/>
  <c r="I199" i="13"/>
  <c r="I200" i="13"/>
  <c r="I201" i="13"/>
  <c r="I202" i="13"/>
  <c r="I203" i="13"/>
  <c r="I204" i="13"/>
  <c r="L204" i="13" s="1"/>
  <c r="I205" i="13"/>
  <c r="I206" i="13"/>
  <c r="I207" i="13"/>
  <c r="I208" i="13"/>
  <c r="I209" i="13"/>
  <c r="I210" i="13"/>
  <c r="I211" i="13"/>
  <c r="I212" i="13"/>
  <c r="I213" i="13"/>
  <c r="I214" i="13"/>
  <c r="I215" i="13"/>
  <c r="I216" i="13"/>
  <c r="I217" i="13"/>
  <c r="I218" i="13"/>
  <c r="I219" i="13"/>
  <c r="I220" i="13"/>
  <c r="L220" i="13" s="1"/>
  <c r="I221" i="13"/>
  <c r="I222" i="13"/>
  <c r="I223" i="13"/>
  <c r="I224" i="13"/>
  <c r="I225" i="13"/>
  <c r="I226" i="13"/>
  <c r="I227" i="13"/>
  <c r="I228" i="13"/>
  <c r="I229" i="13"/>
  <c r="I230" i="13"/>
  <c r="I231" i="13"/>
  <c r="I232" i="13"/>
  <c r="I233" i="13"/>
  <c r="I234" i="13"/>
  <c r="I235" i="13"/>
  <c r="I236" i="13"/>
  <c r="L236" i="13" s="1"/>
  <c r="I237" i="13"/>
  <c r="I238" i="13"/>
  <c r="I239" i="13"/>
  <c r="I240" i="13"/>
  <c r="I241" i="13"/>
  <c r="I242" i="13"/>
  <c r="I243" i="13"/>
  <c r="I244" i="13"/>
  <c r="I245" i="13"/>
  <c r="I246" i="13"/>
  <c r="I247" i="13"/>
  <c r="I248" i="13"/>
  <c r="I249" i="13"/>
  <c r="I250" i="13"/>
  <c r="I251" i="13"/>
  <c r="I252" i="13"/>
  <c r="L252" i="13" s="1"/>
  <c r="I253" i="13"/>
  <c r="I254" i="13"/>
  <c r="I255" i="13"/>
  <c r="I256" i="13"/>
  <c r="I257" i="13"/>
  <c r="I258" i="13"/>
  <c r="I259" i="13"/>
  <c r="I260" i="13"/>
  <c r="I261" i="13"/>
  <c r="I262" i="13"/>
  <c r="I263" i="13"/>
  <c r="I264" i="13"/>
  <c r="I265" i="13"/>
  <c r="I266" i="13"/>
  <c r="I267" i="13"/>
  <c r="I268" i="13"/>
  <c r="I269" i="13"/>
  <c r="I270" i="13"/>
  <c r="I271"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74" i="13"/>
  <c r="I375" i="13"/>
  <c r="I376" i="13"/>
  <c r="I377" i="13"/>
  <c r="I378" i="13"/>
  <c r="I379" i="13"/>
  <c r="I380" i="13"/>
  <c r="I381" i="13"/>
  <c r="I382" i="13"/>
  <c r="I383" i="13"/>
  <c r="I384" i="13"/>
  <c r="I385" i="13"/>
  <c r="I386" i="13"/>
  <c r="I387" i="13"/>
  <c r="I388" i="13"/>
  <c r="I389" i="13"/>
  <c r="I390" i="13"/>
  <c r="I391" i="13"/>
  <c r="I392" i="13"/>
  <c r="I393" i="13"/>
  <c r="I394" i="13"/>
  <c r="I395" i="13"/>
  <c r="I396" i="13"/>
  <c r="I397" i="13"/>
  <c r="I398" i="13"/>
  <c r="I399" i="13"/>
  <c r="I400" i="13"/>
  <c r="I401" i="13"/>
  <c r="I402" i="13"/>
  <c r="I403" i="13"/>
  <c r="I404" i="13"/>
  <c r="I405" i="13"/>
  <c r="I406" i="13"/>
  <c r="I407" i="13"/>
  <c r="I408" i="13"/>
  <c r="I409" i="13"/>
  <c r="I410" i="13"/>
  <c r="I411" i="13"/>
  <c r="I412" i="13"/>
  <c r="I413" i="13"/>
  <c r="I414" i="13"/>
  <c r="I415" i="13"/>
  <c r="I416" i="13"/>
  <c r="I417" i="13"/>
  <c r="I418" i="13"/>
  <c r="I419" i="13"/>
  <c r="I420" i="13"/>
  <c r="I421" i="13"/>
  <c r="I422" i="13"/>
  <c r="I423" i="13"/>
  <c r="I424" i="13"/>
  <c r="I425" i="13"/>
  <c r="I426"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5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81" i="13"/>
  <c r="I482" i="13"/>
  <c r="I483" i="13"/>
  <c r="I484" i="13"/>
  <c r="I485" i="13"/>
  <c r="I486" i="13"/>
  <c r="I487" i="13"/>
  <c r="I488" i="13"/>
  <c r="I489" i="13"/>
  <c r="I490" i="13"/>
  <c r="I491" i="13"/>
  <c r="I492" i="13"/>
  <c r="I493" i="13"/>
  <c r="I494" i="13"/>
  <c r="I495" i="13"/>
  <c r="I496" i="13"/>
  <c r="I497" i="13"/>
  <c r="I498" i="13"/>
  <c r="I499" i="13"/>
  <c r="I500" i="13"/>
  <c r="I501" i="13"/>
  <c r="I502" i="13"/>
  <c r="I503" i="13"/>
  <c r="I504" i="13"/>
  <c r="I505" i="13"/>
  <c r="I506" i="13"/>
  <c r="I507" i="13"/>
  <c r="I508" i="13"/>
  <c r="I509" i="13"/>
  <c r="I510" i="13"/>
  <c r="I511" i="13"/>
  <c r="I512" i="13"/>
  <c r="I513" i="13"/>
  <c r="I514" i="13"/>
  <c r="I515" i="13"/>
  <c r="I516" i="13"/>
  <c r="I518" i="13"/>
  <c r="I519" i="13"/>
  <c r="I520" i="13"/>
  <c r="I521" i="13"/>
  <c r="I522" i="13"/>
  <c r="I523" i="13"/>
  <c r="I524" i="13"/>
  <c r="I525" i="13"/>
  <c r="I526" i="13"/>
  <c r="I527" i="13"/>
  <c r="I528" i="13"/>
  <c r="L528" i="13" s="1"/>
  <c r="I529" i="13"/>
  <c r="I530" i="13"/>
  <c r="I531" i="13"/>
  <c r="I532" i="13"/>
  <c r="I533" i="13"/>
  <c r="I534" i="13"/>
  <c r="I535" i="13"/>
  <c r="I536" i="13"/>
  <c r="I537" i="13"/>
  <c r="I538" i="13"/>
  <c r="I539" i="13"/>
  <c r="I540" i="13"/>
  <c r="I541" i="13"/>
  <c r="I542" i="13"/>
  <c r="I543" i="13"/>
  <c r="I544" i="13"/>
  <c r="I545" i="13"/>
  <c r="I546" i="13"/>
  <c r="I547" i="13"/>
  <c r="I548" i="13"/>
  <c r="I549" i="13"/>
  <c r="I550" i="13"/>
  <c r="I551" i="13"/>
  <c r="I552" i="13"/>
  <c r="I553" i="13"/>
  <c r="I554" i="13"/>
  <c r="I555" i="13"/>
  <c r="I556" i="13"/>
  <c r="I557" i="13"/>
  <c r="I558" i="13"/>
  <c r="I559" i="13"/>
  <c r="I560" i="13"/>
  <c r="I561" i="13"/>
  <c r="I562" i="13"/>
  <c r="I563" i="13"/>
  <c r="I564" i="13"/>
  <c r="I565" i="13"/>
  <c r="I566" i="13"/>
  <c r="I567" i="13"/>
  <c r="I568" i="13"/>
  <c r="I569" i="13"/>
  <c r="I570" i="13"/>
  <c r="I571" i="13"/>
  <c r="I572" i="13"/>
  <c r="I573" i="13"/>
  <c r="I574" i="13"/>
  <c r="I575" i="13"/>
  <c r="I576" i="13"/>
  <c r="I577" i="13"/>
  <c r="I578" i="13"/>
  <c r="I579" i="13"/>
  <c r="I580" i="13"/>
  <c r="I581" i="13"/>
  <c r="I582" i="13"/>
  <c r="I583" i="13"/>
  <c r="I584" i="13"/>
  <c r="I585" i="13"/>
  <c r="I586" i="13"/>
  <c r="I587" i="13"/>
  <c r="I588" i="13"/>
  <c r="I589" i="13"/>
  <c r="I590" i="13"/>
  <c r="I591" i="13"/>
  <c r="I592" i="13"/>
  <c r="I593" i="13"/>
  <c r="I594" i="13"/>
  <c r="I595" i="13"/>
  <c r="I596" i="13"/>
  <c r="I597" i="13"/>
  <c r="I598" i="13"/>
  <c r="I599" i="13"/>
  <c r="I600" i="13"/>
  <c r="I601" i="13"/>
  <c r="I602" i="13"/>
  <c r="I603" i="13"/>
  <c r="I604" i="13"/>
  <c r="I605" i="13"/>
  <c r="I606" i="13"/>
  <c r="I607" i="13"/>
  <c r="I608" i="13"/>
  <c r="I609" i="13"/>
  <c r="I610" i="13"/>
  <c r="I611" i="13"/>
  <c r="I612" i="13"/>
  <c r="I613" i="13"/>
  <c r="I614" i="13"/>
  <c r="I615" i="13"/>
  <c r="I616" i="13"/>
  <c r="I617" i="13"/>
  <c r="I618" i="13"/>
  <c r="I619" i="13"/>
  <c r="I620" i="13"/>
  <c r="I621" i="13"/>
  <c r="I622" i="13"/>
  <c r="I623" i="13"/>
  <c r="I624" i="13"/>
  <c r="I625" i="13"/>
  <c r="I626" i="13"/>
  <c r="I627" i="13"/>
  <c r="I628" i="13"/>
  <c r="I629" i="13"/>
  <c r="I630" i="13"/>
  <c r="I631" i="13"/>
  <c r="I632" i="13"/>
  <c r="I633" i="13"/>
  <c r="I634" i="13"/>
  <c r="I635" i="13"/>
  <c r="I636" i="13"/>
  <c r="L636" i="13" s="1"/>
  <c r="I637" i="13"/>
  <c r="I638" i="13"/>
  <c r="I639" i="13"/>
  <c r="I2" i="13"/>
  <c r="AN75" i="5"/>
  <c r="V72" i="13" s="1"/>
  <c r="AN203" i="5"/>
  <c r="V200" i="13" s="1"/>
  <c r="U200" i="13" s="1"/>
  <c r="AN331" i="5"/>
  <c r="V328" i="13" s="1"/>
  <c r="U328" i="13" s="1"/>
  <c r="AN459" i="5"/>
  <c r="V456" i="13" s="1"/>
  <c r="U456" i="13" s="1"/>
  <c r="AN587" i="5"/>
  <c r="V584" i="13" s="1"/>
  <c r="U584" i="13" s="1"/>
  <c r="AM6" i="5"/>
  <c r="AO6" i="5" s="1"/>
  <c r="X3" i="13" s="1"/>
  <c r="W3" i="13" s="1"/>
  <c r="AM7" i="5"/>
  <c r="AN7" i="5" s="1"/>
  <c r="V4" i="13" s="1"/>
  <c r="U4" i="13" s="1"/>
  <c r="AM8" i="5"/>
  <c r="T5" i="13" s="1"/>
  <c r="AM9" i="5"/>
  <c r="T6" i="13" s="1"/>
  <c r="AM10" i="5"/>
  <c r="AN10" i="5" s="1"/>
  <c r="V7" i="13" s="1"/>
  <c r="AM11" i="5"/>
  <c r="T8" i="13" s="1"/>
  <c r="S8" i="13" s="1"/>
  <c r="AM12" i="5"/>
  <c r="T9" i="13" s="1"/>
  <c r="AM13" i="5"/>
  <c r="T10" i="13" s="1"/>
  <c r="AM14" i="5"/>
  <c r="AO14" i="5" s="1"/>
  <c r="AP14" i="5" s="1"/>
  <c r="O11" i="13" s="1"/>
  <c r="P11" i="13" s="1"/>
  <c r="AM15" i="5"/>
  <c r="AO15" i="5" s="1"/>
  <c r="AP15" i="5" s="1"/>
  <c r="O12" i="13" s="1"/>
  <c r="P12" i="13" s="1"/>
  <c r="AM16" i="5"/>
  <c r="AO16" i="5" s="1"/>
  <c r="AP16" i="5" s="1"/>
  <c r="O13" i="13" s="1"/>
  <c r="P13" i="13" s="1"/>
  <c r="AM17" i="5"/>
  <c r="AN17" i="5" s="1"/>
  <c r="V14" i="13" s="1"/>
  <c r="U14" i="13" s="1"/>
  <c r="AM18" i="5"/>
  <c r="AO18" i="5" s="1"/>
  <c r="AP18" i="5" s="1"/>
  <c r="O15" i="13" s="1"/>
  <c r="P15" i="13" s="1"/>
  <c r="AM19" i="5"/>
  <c r="AN19" i="5" s="1"/>
  <c r="V16" i="13" s="1"/>
  <c r="U16" i="13" s="1"/>
  <c r="AM20" i="5"/>
  <c r="AO20" i="5" s="1"/>
  <c r="AP20" i="5" s="1"/>
  <c r="O17" i="13" s="1"/>
  <c r="P17" i="13" s="1"/>
  <c r="AM21" i="5"/>
  <c r="AN21" i="5" s="1"/>
  <c r="AM22" i="5"/>
  <c r="AO22" i="5" s="1"/>
  <c r="X19" i="13" s="1"/>
  <c r="W19" i="13" s="1"/>
  <c r="AM23" i="5"/>
  <c r="AO23" i="5" s="1"/>
  <c r="AP23" i="5" s="1"/>
  <c r="O20" i="13" s="1"/>
  <c r="P20" i="13" s="1"/>
  <c r="AM24" i="5"/>
  <c r="AO24" i="5" s="1"/>
  <c r="AP24" i="5" s="1"/>
  <c r="O21" i="13" s="1"/>
  <c r="P21" i="13" s="1"/>
  <c r="AM25" i="5"/>
  <c r="AO25" i="5" s="1"/>
  <c r="X22" i="13" s="1"/>
  <c r="W22" i="13" s="1"/>
  <c r="AM26" i="5"/>
  <c r="AO26" i="5" s="1"/>
  <c r="X23" i="13" s="1"/>
  <c r="AM27" i="5"/>
  <c r="AO27" i="5" s="1"/>
  <c r="AP27" i="5" s="1"/>
  <c r="O24" i="13" s="1"/>
  <c r="P24" i="13" s="1"/>
  <c r="AM28" i="5"/>
  <c r="AO28" i="5" s="1"/>
  <c r="AP28" i="5" s="1"/>
  <c r="O25" i="13" s="1"/>
  <c r="P25" i="13" s="1"/>
  <c r="AM29" i="5"/>
  <c r="AO29" i="5" s="1"/>
  <c r="AP29" i="5" s="1"/>
  <c r="O26" i="13" s="1"/>
  <c r="P26" i="13" s="1"/>
  <c r="AM30" i="5"/>
  <c r="AO30" i="5" s="1"/>
  <c r="AP30" i="5" s="1"/>
  <c r="O27" i="13" s="1"/>
  <c r="P27" i="13" s="1"/>
  <c r="AM31" i="5"/>
  <c r="AO31" i="5" s="1"/>
  <c r="AP31" i="5" s="1"/>
  <c r="O28" i="13" s="1"/>
  <c r="P28" i="13" s="1"/>
  <c r="AM32" i="5"/>
  <c r="AO32" i="5" s="1"/>
  <c r="AP32" i="5" s="1"/>
  <c r="O29" i="13" s="1"/>
  <c r="P29" i="13" s="1"/>
  <c r="AM33" i="5"/>
  <c r="AN33" i="5" s="1"/>
  <c r="AM34" i="5"/>
  <c r="AO34" i="5" s="1"/>
  <c r="X31" i="13" s="1"/>
  <c r="W31" i="13" s="1"/>
  <c r="AM35" i="5"/>
  <c r="AN35" i="5" s="1"/>
  <c r="V32" i="13" s="1"/>
  <c r="U32" i="13" s="1"/>
  <c r="AM36" i="5"/>
  <c r="AN36" i="5" s="1"/>
  <c r="V33" i="13" s="1"/>
  <c r="U33" i="13" s="1"/>
  <c r="AM37" i="5"/>
  <c r="T34" i="13" s="1"/>
  <c r="AM38" i="5"/>
  <c r="AN38" i="5" s="1"/>
  <c r="V35" i="13" s="1"/>
  <c r="U35" i="13" s="1"/>
  <c r="AM39" i="5"/>
  <c r="AN39" i="5" s="1"/>
  <c r="V36" i="13" s="1"/>
  <c r="U36" i="13" s="1"/>
  <c r="AM40" i="5"/>
  <c r="T37" i="13" s="1"/>
  <c r="AM41" i="5"/>
  <c r="T38" i="13" s="1"/>
  <c r="AM42" i="5"/>
  <c r="AO42" i="5" s="1"/>
  <c r="AP42" i="5" s="1"/>
  <c r="O39" i="13" s="1"/>
  <c r="P39" i="13" s="1"/>
  <c r="AM43" i="5"/>
  <c r="T40" i="13" s="1"/>
  <c r="AM44" i="5"/>
  <c r="T41" i="13" s="1"/>
  <c r="AM45" i="5"/>
  <c r="T42" i="13" s="1"/>
  <c r="S42" i="13" s="1"/>
  <c r="AM46" i="5"/>
  <c r="AO46" i="5" s="1"/>
  <c r="AP46" i="5" s="1"/>
  <c r="O43" i="13" s="1"/>
  <c r="P43" i="13" s="1"/>
  <c r="AM47" i="5"/>
  <c r="AO47" i="5" s="1"/>
  <c r="X44" i="13" s="1"/>
  <c r="W44" i="13" s="1"/>
  <c r="AM48" i="5"/>
  <c r="AM49" i="5"/>
  <c r="AN49" i="5" s="1"/>
  <c r="V46" i="13" s="1"/>
  <c r="U46" i="13" s="1"/>
  <c r="AM50" i="5"/>
  <c r="AO50" i="5" s="1"/>
  <c r="AP50" i="5" s="1"/>
  <c r="O47" i="13" s="1"/>
  <c r="P47" i="13" s="1"/>
  <c r="AM51" i="5"/>
  <c r="AO51" i="5" s="1"/>
  <c r="X48" i="13" s="1"/>
  <c r="W48" i="13" s="1"/>
  <c r="AM52" i="5"/>
  <c r="AO52" i="5" s="1"/>
  <c r="AM53" i="5"/>
  <c r="AN53" i="5" s="1"/>
  <c r="V50" i="13" s="1"/>
  <c r="U50" i="13" s="1"/>
  <c r="AM54" i="5"/>
  <c r="T51" i="13" s="1"/>
  <c r="AM55" i="5"/>
  <c r="T52" i="13" s="1"/>
  <c r="AM56" i="5"/>
  <c r="AO56" i="5" s="1"/>
  <c r="X53" i="13" s="1"/>
  <c r="W53" i="13" s="1"/>
  <c r="AM57" i="5"/>
  <c r="AO57" i="5" s="1"/>
  <c r="AP57" i="5" s="1"/>
  <c r="O54" i="13" s="1"/>
  <c r="P54" i="13" s="1"/>
  <c r="AM58" i="5"/>
  <c r="AN58" i="5" s="1"/>
  <c r="V55" i="13" s="1"/>
  <c r="AM59" i="5"/>
  <c r="AO59" i="5" s="1"/>
  <c r="AP59" i="5" s="1"/>
  <c r="O56" i="13" s="1"/>
  <c r="P56" i="13" s="1"/>
  <c r="AM60" i="5"/>
  <c r="T57" i="13" s="1"/>
  <c r="AM61" i="5"/>
  <c r="AO61" i="5" s="1"/>
  <c r="AP61" i="5" s="1"/>
  <c r="O58" i="13" s="1"/>
  <c r="P58" i="13" s="1"/>
  <c r="AM62" i="5"/>
  <c r="T59" i="13" s="1"/>
  <c r="AM63" i="5"/>
  <c r="T60" i="13" s="1"/>
  <c r="S60" i="13" s="1"/>
  <c r="AM64" i="5"/>
  <c r="AN64" i="5" s="1"/>
  <c r="AM65" i="5"/>
  <c r="AN65" i="5" s="1"/>
  <c r="AM66" i="5"/>
  <c r="T63" i="13" s="1"/>
  <c r="AM67" i="5"/>
  <c r="T64" i="13" s="1"/>
  <c r="AM68" i="5"/>
  <c r="AN68" i="5" s="1"/>
  <c r="AM69" i="5"/>
  <c r="AN69" i="5" s="1"/>
  <c r="V66" i="13" s="1"/>
  <c r="U66" i="13" s="1"/>
  <c r="AM70" i="5"/>
  <c r="AO70" i="5" s="1"/>
  <c r="AP70" i="5" s="1"/>
  <c r="O67" i="13" s="1"/>
  <c r="P67" i="13" s="1"/>
  <c r="AM71" i="5"/>
  <c r="AO71" i="5" s="1"/>
  <c r="X68" i="13" s="1"/>
  <c r="W68" i="13" s="1"/>
  <c r="AM72" i="5"/>
  <c r="AO72" i="5" s="1"/>
  <c r="AP72" i="5" s="1"/>
  <c r="O69" i="13" s="1"/>
  <c r="P69" i="13" s="1"/>
  <c r="AM73" i="5"/>
  <c r="AN73" i="5" s="1"/>
  <c r="V70" i="13" s="1"/>
  <c r="U70" i="13" s="1"/>
  <c r="AM74" i="5"/>
  <c r="AN74" i="5" s="1"/>
  <c r="V71" i="13" s="1"/>
  <c r="AM75" i="5"/>
  <c r="AM76" i="5"/>
  <c r="AN76" i="5" s="1"/>
  <c r="V73" i="13" s="1"/>
  <c r="U73" i="13" s="1"/>
  <c r="AM77" i="5"/>
  <c r="T74" i="13" s="1"/>
  <c r="AM78" i="5"/>
  <c r="AM79" i="5"/>
  <c r="AN79" i="5" s="1"/>
  <c r="V76" i="13" s="1"/>
  <c r="U76" i="13" s="1"/>
  <c r="AM80" i="5"/>
  <c r="AN80" i="5" s="1"/>
  <c r="V77" i="13" s="1"/>
  <c r="AM81" i="5"/>
  <c r="AN81" i="5" s="1"/>
  <c r="V78" i="13" s="1"/>
  <c r="AM82" i="5"/>
  <c r="AM83" i="5"/>
  <c r="AN83" i="5" s="1"/>
  <c r="V80" i="13" s="1"/>
  <c r="AM84" i="5"/>
  <c r="AN84" i="5" s="1"/>
  <c r="V81" i="13" s="1"/>
  <c r="U81" i="13" s="1"/>
  <c r="AM85" i="5"/>
  <c r="AN85" i="5" s="1"/>
  <c r="V82" i="13" s="1"/>
  <c r="U82" i="13" s="1"/>
  <c r="AM86" i="5"/>
  <c r="AM87" i="5"/>
  <c r="AM88" i="5"/>
  <c r="AN88" i="5" s="1"/>
  <c r="V85" i="13" s="1"/>
  <c r="AM89" i="5"/>
  <c r="AN89" i="5" s="1"/>
  <c r="V86" i="13" s="1"/>
  <c r="AM90" i="5"/>
  <c r="AN90" i="5" s="1"/>
  <c r="V87" i="13" s="1"/>
  <c r="AM91" i="5"/>
  <c r="AN91" i="5" s="1"/>
  <c r="V88" i="13" s="1"/>
  <c r="AM92" i="5"/>
  <c r="AN92" i="5" s="1"/>
  <c r="V89" i="13" s="1"/>
  <c r="U89" i="13" s="1"/>
  <c r="AM93" i="5"/>
  <c r="T90" i="13" s="1"/>
  <c r="AM94" i="5"/>
  <c r="AM95" i="5"/>
  <c r="AN95" i="5" s="1"/>
  <c r="V92" i="13" s="1"/>
  <c r="U92" i="13" s="1"/>
  <c r="AM96" i="5"/>
  <c r="AN96" i="5" s="1"/>
  <c r="V93" i="13" s="1"/>
  <c r="AM97" i="5"/>
  <c r="AN97" i="5" s="1"/>
  <c r="V94" i="13" s="1"/>
  <c r="AM98" i="5"/>
  <c r="AM99" i="5"/>
  <c r="AN99" i="5" s="1"/>
  <c r="V96" i="13" s="1"/>
  <c r="U96" i="13" s="1"/>
  <c r="AM100" i="5"/>
  <c r="AN100" i="5" s="1"/>
  <c r="V97" i="13" s="1"/>
  <c r="U97" i="13" s="1"/>
  <c r="AM101" i="5"/>
  <c r="AN101" i="5" s="1"/>
  <c r="V98" i="13" s="1"/>
  <c r="U98" i="13" s="1"/>
  <c r="AM102" i="5"/>
  <c r="AM103" i="5"/>
  <c r="AM104" i="5"/>
  <c r="AN104" i="5" s="1"/>
  <c r="V101" i="13" s="1"/>
  <c r="AM105" i="5"/>
  <c r="AN105" i="5" s="1"/>
  <c r="V102" i="13" s="1"/>
  <c r="U102" i="13" s="1"/>
  <c r="AM106" i="5"/>
  <c r="AN106" i="5" s="1"/>
  <c r="V103" i="13" s="1"/>
  <c r="AM107" i="5"/>
  <c r="AN107" i="5" s="1"/>
  <c r="V104" i="13" s="1"/>
  <c r="AM108" i="5"/>
  <c r="AN108" i="5" s="1"/>
  <c r="V105" i="13" s="1"/>
  <c r="AM109" i="5"/>
  <c r="T106" i="13" s="1"/>
  <c r="AM110" i="5"/>
  <c r="AM111" i="5"/>
  <c r="AN111" i="5" s="1"/>
  <c r="V108" i="13" s="1"/>
  <c r="U108" i="13" s="1"/>
  <c r="AM112" i="5"/>
  <c r="AN112" i="5" s="1"/>
  <c r="V109" i="13" s="1"/>
  <c r="AM113" i="5"/>
  <c r="AN113" i="5" s="1"/>
  <c r="V110" i="13" s="1"/>
  <c r="AM114" i="5"/>
  <c r="AM115" i="5"/>
  <c r="AN115" i="5" s="1"/>
  <c r="V112" i="13" s="1"/>
  <c r="U112" i="13" s="1"/>
  <c r="AM116" i="5"/>
  <c r="AN116" i="5" s="1"/>
  <c r="V113" i="13" s="1"/>
  <c r="U113" i="13" s="1"/>
  <c r="AM117" i="5"/>
  <c r="AN117" i="5" s="1"/>
  <c r="V114" i="13" s="1"/>
  <c r="AM118" i="5"/>
  <c r="AM119" i="5"/>
  <c r="AM120" i="5"/>
  <c r="AN120" i="5" s="1"/>
  <c r="V117" i="13" s="1"/>
  <c r="AM121" i="5"/>
  <c r="AN121" i="5" s="1"/>
  <c r="V118" i="13" s="1"/>
  <c r="AM122" i="5"/>
  <c r="AN122" i="5" s="1"/>
  <c r="V119" i="13" s="1"/>
  <c r="AM123" i="5"/>
  <c r="AN123" i="5" s="1"/>
  <c r="V120" i="13" s="1"/>
  <c r="U120" i="13" s="1"/>
  <c r="AM124" i="5"/>
  <c r="AN124" i="5" s="1"/>
  <c r="V121" i="13" s="1"/>
  <c r="AM125" i="5"/>
  <c r="T122" i="13" s="1"/>
  <c r="AM126" i="5"/>
  <c r="AM127" i="5"/>
  <c r="AN127" i="5" s="1"/>
  <c r="V124" i="13" s="1"/>
  <c r="U124" i="13" s="1"/>
  <c r="AM128" i="5"/>
  <c r="T125" i="13" s="1"/>
  <c r="AM129" i="5"/>
  <c r="AN129" i="5" s="1"/>
  <c r="V126" i="13" s="1"/>
  <c r="U126" i="13" s="1"/>
  <c r="AM130" i="5"/>
  <c r="AM131" i="5"/>
  <c r="AN131" i="5" s="1"/>
  <c r="V128" i="13" s="1"/>
  <c r="U128" i="13" s="1"/>
  <c r="AM132" i="5"/>
  <c r="AN132" i="5" s="1"/>
  <c r="V129" i="13" s="1"/>
  <c r="U129" i="13" s="1"/>
  <c r="AM133" i="5"/>
  <c r="AN133" i="5" s="1"/>
  <c r="V130" i="13" s="1"/>
  <c r="AM134" i="5"/>
  <c r="AM135" i="5"/>
  <c r="AM136" i="5"/>
  <c r="AN136" i="5" s="1"/>
  <c r="V133" i="13" s="1"/>
  <c r="AM137" i="5"/>
  <c r="AN137" i="5" s="1"/>
  <c r="V134" i="13" s="1"/>
  <c r="AM138" i="5"/>
  <c r="AN138" i="5" s="1"/>
  <c r="V135" i="13" s="1"/>
  <c r="AM139" i="5"/>
  <c r="AN139" i="5" s="1"/>
  <c r="V136" i="13" s="1"/>
  <c r="U136" i="13" s="1"/>
  <c r="AM140" i="5"/>
  <c r="AN140" i="5" s="1"/>
  <c r="V137" i="13" s="1"/>
  <c r="U137" i="13" s="1"/>
  <c r="AM141" i="5"/>
  <c r="T138" i="13" s="1"/>
  <c r="S138" i="13" s="1"/>
  <c r="AM142" i="5"/>
  <c r="AM143" i="5"/>
  <c r="AN143" i="5" s="1"/>
  <c r="V140" i="13" s="1"/>
  <c r="U140" i="13" s="1"/>
  <c r="AM144" i="5"/>
  <c r="T141" i="13" s="1"/>
  <c r="AM145" i="5"/>
  <c r="AN145" i="5" s="1"/>
  <c r="V142" i="13" s="1"/>
  <c r="U142" i="13" s="1"/>
  <c r="AM146" i="5"/>
  <c r="AM147" i="5"/>
  <c r="AN147" i="5" s="1"/>
  <c r="V144" i="13" s="1"/>
  <c r="U144" i="13" s="1"/>
  <c r="AM148" i="5"/>
  <c r="AN148" i="5" s="1"/>
  <c r="V145" i="13" s="1"/>
  <c r="U145" i="13" s="1"/>
  <c r="AM149" i="5"/>
  <c r="AN149" i="5" s="1"/>
  <c r="V146" i="13" s="1"/>
  <c r="AM150" i="5"/>
  <c r="AM151" i="5"/>
  <c r="T148" i="13" s="1"/>
  <c r="AM152" i="5"/>
  <c r="T149" i="13" s="1"/>
  <c r="AM153" i="5"/>
  <c r="AN153" i="5" s="1"/>
  <c r="V150" i="13" s="1"/>
  <c r="U150" i="13" s="1"/>
  <c r="AM154" i="5"/>
  <c r="AN154" i="5" s="1"/>
  <c r="V151" i="13" s="1"/>
  <c r="AM155" i="5"/>
  <c r="AN155" i="5" s="1"/>
  <c r="V152" i="13" s="1"/>
  <c r="AM156" i="5"/>
  <c r="AN156" i="5" s="1"/>
  <c r="V153" i="13" s="1"/>
  <c r="U153" i="13" s="1"/>
  <c r="AM157" i="5"/>
  <c r="T154" i="13" s="1"/>
  <c r="S154" i="13" s="1"/>
  <c r="AM158" i="5"/>
  <c r="AM159" i="5"/>
  <c r="AN159" i="5" s="1"/>
  <c r="V156" i="13" s="1"/>
  <c r="AM160" i="5"/>
  <c r="T157" i="13" s="1"/>
  <c r="AM161" i="5"/>
  <c r="AN161" i="5" s="1"/>
  <c r="V158" i="13" s="1"/>
  <c r="U158" i="13" s="1"/>
  <c r="AM162" i="5"/>
  <c r="AM163" i="5"/>
  <c r="AN163" i="5" s="1"/>
  <c r="V160" i="13" s="1"/>
  <c r="U160" i="13" s="1"/>
  <c r="AM164" i="5"/>
  <c r="AN164" i="5" s="1"/>
  <c r="V161" i="13" s="1"/>
  <c r="U161" i="13" s="1"/>
  <c r="AM165" i="5"/>
  <c r="AN165" i="5" s="1"/>
  <c r="V162" i="13" s="1"/>
  <c r="AM166" i="5"/>
  <c r="AM167" i="5"/>
  <c r="T164" i="13" s="1"/>
  <c r="AM168" i="5"/>
  <c r="AN168" i="5" s="1"/>
  <c r="V165" i="13" s="1"/>
  <c r="AM169" i="5"/>
  <c r="AN169" i="5" s="1"/>
  <c r="V166" i="13" s="1"/>
  <c r="AM170" i="5"/>
  <c r="AN170" i="5" s="1"/>
  <c r="V167" i="13" s="1"/>
  <c r="AM171" i="5"/>
  <c r="AN171" i="5" s="1"/>
  <c r="V168" i="13" s="1"/>
  <c r="U168" i="13" s="1"/>
  <c r="AM172" i="5"/>
  <c r="AN172" i="5" s="1"/>
  <c r="V169" i="13" s="1"/>
  <c r="U169" i="13" s="1"/>
  <c r="AM173" i="5"/>
  <c r="T170" i="13" s="1"/>
  <c r="AM174" i="5"/>
  <c r="AM175" i="5"/>
  <c r="AN175" i="5" s="1"/>
  <c r="V172" i="13" s="1"/>
  <c r="AM176" i="5"/>
  <c r="T173" i="13" s="1"/>
  <c r="AM177" i="5"/>
  <c r="AN177" i="5" s="1"/>
  <c r="V174" i="13" s="1"/>
  <c r="U174" i="13" s="1"/>
  <c r="AM178" i="5"/>
  <c r="AM179" i="5"/>
  <c r="AN179" i="5" s="1"/>
  <c r="V176" i="13" s="1"/>
  <c r="AM180" i="5"/>
  <c r="AN180" i="5" s="1"/>
  <c r="V177" i="13" s="1"/>
  <c r="U177" i="13" s="1"/>
  <c r="AM181" i="5"/>
  <c r="T178" i="13" s="1"/>
  <c r="AM182" i="5"/>
  <c r="AM183" i="5"/>
  <c r="T180" i="13" s="1"/>
  <c r="AM184" i="5"/>
  <c r="AO184" i="5" s="1"/>
  <c r="X181" i="13" s="1"/>
  <c r="AM185" i="5"/>
  <c r="AN185" i="5" s="1"/>
  <c r="V182" i="13" s="1"/>
  <c r="U182" i="13" s="1"/>
  <c r="AM186" i="5"/>
  <c r="AN186" i="5" s="1"/>
  <c r="V183" i="13" s="1"/>
  <c r="AM187" i="5"/>
  <c r="T184" i="13" s="1"/>
  <c r="AM188" i="5"/>
  <c r="AN188" i="5" s="1"/>
  <c r="V185" i="13" s="1"/>
  <c r="U185" i="13" s="1"/>
  <c r="AM189" i="5"/>
  <c r="T186" i="13" s="1"/>
  <c r="AM190" i="5"/>
  <c r="AM191" i="5"/>
  <c r="AN191" i="5" s="1"/>
  <c r="V188" i="13" s="1"/>
  <c r="AM192" i="5"/>
  <c r="T189" i="13" s="1"/>
  <c r="AM193" i="5"/>
  <c r="AN193" i="5" s="1"/>
  <c r="V190" i="13" s="1"/>
  <c r="U190" i="13" s="1"/>
  <c r="AM194" i="5"/>
  <c r="AM195" i="5"/>
  <c r="AN195" i="5" s="1"/>
  <c r="V192" i="13" s="1"/>
  <c r="U192" i="13" s="1"/>
  <c r="AM196" i="5"/>
  <c r="AN196" i="5" s="1"/>
  <c r="V193" i="13" s="1"/>
  <c r="U193" i="13" s="1"/>
  <c r="AM197" i="5"/>
  <c r="T194" i="13" s="1"/>
  <c r="AM198" i="5"/>
  <c r="AM199" i="5"/>
  <c r="T196" i="13" s="1"/>
  <c r="AM200" i="5"/>
  <c r="AN200" i="5" s="1"/>
  <c r="V197" i="13" s="1"/>
  <c r="U197" i="13" s="1"/>
  <c r="AM201" i="5"/>
  <c r="AN201" i="5" s="1"/>
  <c r="V198" i="13" s="1"/>
  <c r="U198" i="13" s="1"/>
  <c r="AM202" i="5"/>
  <c r="AN202" i="5" s="1"/>
  <c r="V199" i="13" s="1"/>
  <c r="AM203" i="5"/>
  <c r="T200" i="13" s="1"/>
  <c r="AM204" i="5"/>
  <c r="AN204" i="5" s="1"/>
  <c r="V201" i="13" s="1"/>
  <c r="U201" i="13" s="1"/>
  <c r="AM205" i="5"/>
  <c r="T202" i="13" s="1"/>
  <c r="AM206" i="5"/>
  <c r="AM207" i="5"/>
  <c r="AN207" i="5" s="1"/>
  <c r="V204" i="13" s="1"/>
  <c r="AM208" i="5"/>
  <c r="T205" i="13" s="1"/>
  <c r="AM209" i="5"/>
  <c r="AN209" i="5" s="1"/>
  <c r="V206" i="13" s="1"/>
  <c r="AM210" i="5"/>
  <c r="AM211" i="5"/>
  <c r="AN211" i="5" s="1"/>
  <c r="V208" i="13" s="1"/>
  <c r="U208" i="13" s="1"/>
  <c r="AM212" i="5"/>
  <c r="AN212" i="5" s="1"/>
  <c r="V209" i="13" s="1"/>
  <c r="AM213" i="5"/>
  <c r="T210" i="13" s="1"/>
  <c r="AM214" i="5"/>
  <c r="AM215" i="5"/>
  <c r="T212" i="13" s="1"/>
  <c r="AM216" i="5"/>
  <c r="AO216" i="5" s="1"/>
  <c r="X213" i="13" s="1"/>
  <c r="W213" i="13" s="1"/>
  <c r="AM217" i="5"/>
  <c r="AN217" i="5" s="1"/>
  <c r="V214" i="13" s="1"/>
  <c r="AM218" i="5"/>
  <c r="AN218" i="5" s="1"/>
  <c r="V215" i="13" s="1"/>
  <c r="AM219" i="5"/>
  <c r="T216" i="13" s="1"/>
  <c r="AM220" i="5"/>
  <c r="AN220" i="5" s="1"/>
  <c r="V217" i="13" s="1"/>
  <c r="AM221" i="5"/>
  <c r="T218" i="13" s="1"/>
  <c r="S218" i="13" s="1"/>
  <c r="AM222" i="5"/>
  <c r="AM223" i="5"/>
  <c r="AN223" i="5" s="1"/>
  <c r="V220" i="13" s="1"/>
  <c r="U220" i="13" s="1"/>
  <c r="AM224" i="5"/>
  <c r="T221" i="13" s="1"/>
  <c r="AM225" i="5"/>
  <c r="AN225" i="5" s="1"/>
  <c r="V222" i="13" s="1"/>
  <c r="U222" i="13" s="1"/>
  <c r="AM226" i="5"/>
  <c r="AM227" i="5"/>
  <c r="AN227" i="5" s="1"/>
  <c r="V224" i="13" s="1"/>
  <c r="AM228" i="5"/>
  <c r="AN228" i="5" s="1"/>
  <c r="V225" i="13" s="1"/>
  <c r="U225" i="13" s="1"/>
  <c r="AM229" i="5"/>
  <c r="T226" i="13" s="1"/>
  <c r="AM230" i="5"/>
  <c r="AM231" i="5"/>
  <c r="T228" i="13" s="1"/>
  <c r="AM232" i="5"/>
  <c r="AN232" i="5" s="1"/>
  <c r="V229" i="13" s="1"/>
  <c r="U229" i="13" s="1"/>
  <c r="AM233" i="5"/>
  <c r="AN233" i="5" s="1"/>
  <c r="V230" i="13" s="1"/>
  <c r="AM234" i="5"/>
  <c r="AN234" i="5" s="1"/>
  <c r="V231" i="13" s="1"/>
  <c r="AM235" i="5"/>
  <c r="T232" i="13" s="1"/>
  <c r="AM236" i="5"/>
  <c r="AN236" i="5" s="1"/>
  <c r="V233" i="13" s="1"/>
  <c r="U233" i="13" s="1"/>
  <c r="AM237" i="5"/>
  <c r="T234" i="13" s="1"/>
  <c r="AM238" i="5"/>
  <c r="AM239" i="5"/>
  <c r="AN239" i="5" s="1"/>
  <c r="V236" i="13" s="1"/>
  <c r="U236" i="13" s="1"/>
  <c r="AM240" i="5"/>
  <c r="T237" i="13" s="1"/>
  <c r="AM241" i="5"/>
  <c r="AN241" i="5" s="1"/>
  <c r="V238" i="13" s="1"/>
  <c r="U238" i="13" s="1"/>
  <c r="AM242" i="5"/>
  <c r="AM243" i="5"/>
  <c r="AN243" i="5" s="1"/>
  <c r="V240" i="13" s="1"/>
  <c r="U240" i="13" s="1"/>
  <c r="AM244" i="5"/>
  <c r="AN244" i="5" s="1"/>
  <c r="V241" i="13" s="1"/>
  <c r="U241" i="13" s="1"/>
  <c r="AM245" i="5"/>
  <c r="T242" i="13" s="1"/>
  <c r="AM246" i="5"/>
  <c r="AM247" i="5"/>
  <c r="T244" i="13" s="1"/>
  <c r="AM248" i="5"/>
  <c r="AO248" i="5" s="1"/>
  <c r="X245" i="13" s="1"/>
  <c r="AM249" i="5"/>
  <c r="AN249" i="5" s="1"/>
  <c r="V246" i="13" s="1"/>
  <c r="AM250" i="5"/>
  <c r="AN250" i="5" s="1"/>
  <c r="V247" i="13" s="1"/>
  <c r="AM251" i="5"/>
  <c r="T248" i="13" s="1"/>
  <c r="AM252" i="5"/>
  <c r="AN252" i="5" s="1"/>
  <c r="V249" i="13" s="1"/>
  <c r="AM253" i="5"/>
  <c r="T250" i="13" s="1"/>
  <c r="AM254" i="5"/>
  <c r="AM255" i="5"/>
  <c r="AN255" i="5" s="1"/>
  <c r="V252" i="13" s="1"/>
  <c r="U252" i="13" s="1"/>
  <c r="AM256" i="5"/>
  <c r="T253" i="13" s="1"/>
  <c r="AM257" i="5"/>
  <c r="AN257" i="5" s="1"/>
  <c r="V254" i="13" s="1"/>
  <c r="U254" i="13" s="1"/>
  <c r="AM258" i="5"/>
  <c r="AM259" i="5"/>
  <c r="AN259" i="5" s="1"/>
  <c r="V256" i="13" s="1"/>
  <c r="U256" i="13" s="1"/>
  <c r="AM260" i="5"/>
  <c r="AN260" i="5" s="1"/>
  <c r="V257" i="13" s="1"/>
  <c r="U257" i="13" s="1"/>
  <c r="AM261" i="5"/>
  <c r="T258" i="13" s="1"/>
  <c r="AM262" i="5"/>
  <c r="AM263" i="5"/>
  <c r="T260" i="13" s="1"/>
  <c r="AM264" i="5"/>
  <c r="AN264" i="5" s="1"/>
  <c r="V261" i="13" s="1"/>
  <c r="U261" i="13" s="1"/>
  <c r="AM265" i="5"/>
  <c r="AN265" i="5" s="1"/>
  <c r="V262" i="13" s="1"/>
  <c r="U262" i="13" s="1"/>
  <c r="AM266" i="5"/>
  <c r="AN266" i="5" s="1"/>
  <c r="V263" i="13" s="1"/>
  <c r="AM267" i="5"/>
  <c r="T264" i="13" s="1"/>
  <c r="AM268" i="5"/>
  <c r="AN268" i="5" s="1"/>
  <c r="V265" i="13" s="1"/>
  <c r="U265" i="13" s="1"/>
  <c r="AM269" i="5"/>
  <c r="T266" i="13" s="1"/>
  <c r="S266" i="13" s="1"/>
  <c r="AM270" i="5"/>
  <c r="AM271" i="5"/>
  <c r="AN271" i="5" s="1"/>
  <c r="V268" i="13" s="1"/>
  <c r="U268" i="13" s="1"/>
  <c r="AM272" i="5"/>
  <c r="T269" i="13" s="1"/>
  <c r="AM273" i="5"/>
  <c r="AN273" i="5" s="1"/>
  <c r="V270" i="13" s="1"/>
  <c r="U270" i="13" s="1"/>
  <c r="AM274" i="5"/>
  <c r="AM275" i="5"/>
  <c r="AN275" i="5" s="1"/>
  <c r="V272" i="13" s="1"/>
  <c r="U272" i="13" s="1"/>
  <c r="AM276" i="5"/>
  <c r="AN276" i="5" s="1"/>
  <c r="V273" i="13" s="1"/>
  <c r="AM277" i="5"/>
  <c r="T274" i="13" s="1"/>
  <c r="AM278" i="5"/>
  <c r="AM279" i="5"/>
  <c r="T276" i="13" s="1"/>
  <c r="AM280" i="5"/>
  <c r="T277" i="13" s="1"/>
  <c r="AM281" i="5"/>
  <c r="AN281" i="5" s="1"/>
  <c r="V278" i="13" s="1"/>
  <c r="U278" i="13" s="1"/>
  <c r="AM282" i="5"/>
  <c r="AN282" i="5" s="1"/>
  <c r="V279" i="13" s="1"/>
  <c r="AM283" i="5"/>
  <c r="T280" i="13" s="1"/>
  <c r="AM284" i="5"/>
  <c r="AN284" i="5" s="1"/>
  <c r="V281" i="13" s="1"/>
  <c r="AM285" i="5"/>
  <c r="T282" i="13" s="1"/>
  <c r="S282" i="13" s="1"/>
  <c r="AM286" i="5"/>
  <c r="AM287" i="5"/>
  <c r="AN287" i="5" s="1"/>
  <c r="V284" i="13" s="1"/>
  <c r="U284" i="13" s="1"/>
  <c r="AM288" i="5"/>
  <c r="T285" i="13" s="1"/>
  <c r="AM289" i="5"/>
  <c r="AN289" i="5" s="1"/>
  <c r="V286" i="13" s="1"/>
  <c r="U286" i="13" s="1"/>
  <c r="AM290" i="5"/>
  <c r="AM291" i="5"/>
  <c r="T288" i="13" s="1"/>
  <c r="AM292" i="5"/>
  <c r="AN292" i="5" s="1"/>
  <c r="V289" i="13" s="1"/>
  <c r="U289" i="13" s="1"/>
  <c r="AM293" i="5"/>
  <c r="T290" i="13" s="1"/>
  <c r="AM294" i="5"/>
  <c r="AM295" i="5"/>
  <c r="T292" i="13" s="1"/>
  <c r="AM296" i="5"/>
  <c r="AN296" i="5" s="1"/>
  <c r="V293" i="13" s="1"/>
  <c r="U293" i="13" s="1"/>
  <c r="AM297" i="5"/>
  <c r="AN297" i="5" s="1"/>
  <c r="V294" i="13" s="1"/>
  <c r="U294" i="13" s="1"/>
  <c r="AM298" i="5"/>
  <c r="T295" i="13" s="1"/>
  <c r="AM299" i="5"/>
  <c r="T296" i="13" s="1"/>
  <c r="AM300" i="5"/>
  <c r="AN300" i="5" s="1"/>
  <c r="V297" i="13" s="1"/>
  <c r="U297" i="13" s="1"/>
  <c r="AM301" i="5"/>
  <c r="T298" i="13" s="1"/>
  <c r="AM302" i="5"/>
  <c r="AM303" i="5"/>
  <c r="AN303" i="5" s="1"/>
  <c r="V300" i="13" s="1"/>
  <c r="U300" i="13" s="1"/>
  <c r="AM304" i="5"/>
  <c r="T301" i="13" s="1"/>
  <c r="AM305" i="5"/>
  <c r="AN305" i="5" s="1"/>
  <c r="V302" i="13" s="1"/>
  <c r="AM306" i="5"/>
  <c r="AM307" i="5"/>
  <c r="T304" i="13" s="1"/>
  <c r="AM308" i="5"/>
  <c r="AN308" i="5" s="1"/>
  <c r="V305" i="13" s="1"/>
  <c r="AM309" i="5"/>
  <c r="T306" i="13" s="1"/>
  <c r="AM310" i="5"/>
  <c r="T307" i="13" s="1"/>
  <c r="AM311" i="5"/>
  <c r="T308" i="13" s="1"/>
  <c r="AM312" i="5"/>
  <c r="AN312" i="5" s="1"/>
  <c r="V309" i="13" s="1"/>
  <c r="U309" i="13" s="1"/>
  <c r="AM313" i="5"/>
  <c r="AN313" i="5" s="1"/>
  <c r="V310" i="13" s="1"/>
  <c r="U310" i="13" s="1"/>
  <c r="AM314" i="5"/>
  <c r="T311" i="13" s="1"/>
  <c r="AM315" i="5"/>
  <c r="T312" i="13" s="1"/>
  <c r="AM316" i="5"/>
  <c r="AN316" i="5" s="1"/>
  <c r="V313" i="13" s="1"/>
  <c r="U313" i="13" s="1"/>
  <c r="AM317" i="5"/>
  <c r="T314" i="13" s="1"/>
  <c r="AM318" i="5"/>
  <c r="AM319" i="5"/>
  <c r="AN319" i="5" s="1"/>
  <c r="V316" i="13" s="1"/>
  <c r="U316" i="13" s="1"/>
  <c r="AM320" i="5"/>
  <c r="T317" i="13" s="1"/>
  <c r="AM321" i="5"/>
  <c r="AN321" i="5" s="1"/>
  <c r="V318" i="13" s="1"/>
  <c r="AM322" i="5"/>
  <c r="AM323" i="5"/>
  <c r="T320" i="13" s="1"/>
  <c r="AM324" i="5"/>
  <c r="AN324" i="5" s="1"/>
  <c r="V321" i="13" s="1"/>
  <c r="U321" i="13" s="1"/>
  <c r="AM325" i="5"/>
  <c r="T322" i="13" s="1"/>
  <c r="AM326" i="5"/>
  <c r="T323" i="13" s="1"/>
  <c r="AM327" i="5"/>
  <c r="T324" i="13" s="1"/>
  <c r="AM328" i="5"/>
  <c r="AO328" i="5" s="1"/>
  <c r="X325" i="13" s="1"/>
  <c r="W325" i="13" s="1"/>
  <c r="AM329" i="5"/>
  <c r="AN329" i="5" s="1"/>
  <c r="V326" i="13" s="1"/>
  <c r="U326" i="13" s="1"/>
  <c r="AM330" i="5"/>
  <c r="T327" i="13" s="1"/>
  <c r="AM331" i="5"/>
  <c r="T328" i="13" s="1"/>
  <c r="AM332" i="5"/>
  <c r="AN332" i="5" s="1"/>
  <c r="V329" i="13" s="1"/>
  <c r="U329" i="13" s="1"/>
  <c r="AM333" i="5"/>
  <c r="T330" i="13" s="1"/>
  <c r="AM334" i="5"/>
  <c r="AM335" i="5"/>
  <c r="AN335" i="5" s="1"/>
  <c r="V332" i="13" s="1"/>
  <c r="U332" i="13" s="1"/>
  <c r="AM336" i="5"/>
  <c r="T333" i="13" s="1"/>
  <c r="AM337" i="5"/>
  <c r="AN337" i="5" s="1"/>
  <c r="V334" i="13" s="1"/>
  <c r="U334" i="13" s="1"/>
  <c r="AM338" i="5"/>
  <c r="AM339" i="5"/>
  <c r="T336" i="13" s="1"/>
  <c r="AM340" i="5"/>
  <c r="AN340" i="5" s="1"/>
  <c r="V337" i="13" s="1"/>
  <c r="U337" i="13" s="1"/>
  <c r="AM341" i="5"/>
  <c r="T338" i="13" s="1"/>
  <c r="AM342" i="5"/>
  <c r="T339" i="13" s="1"/>
  <c r="AM343" i="5"/>
  <c r="T340" i="13" s="1"/>
  <c r="AM344" i="5"/>
  <c r="AN344" i="5" s="1"/>
  <c r="V341" i="13" s="1"/>
  <c r="U341" i="13" s="1"/>
  <c r="AM345" i="5"/>
  <c r="AN345" i="5" s="1"/>
  <c r="V342" i="13" s="1"/>
  <c r="AM346" i="5"/>
  <c r="T343" i="13" s="1"/>
  <c r="AM347" i="5"/>
  <c r="T344" i="13" s="1"/>
  <c r="AM348" i="5"/>
  <c r="AN348" i="5" s="1"/>
  <c r="V345" i="13" s="1"/>
  <c r="U345" i="13" s="1"/>
  <c r="AM349" i="5"/>
  <c r="T346" i="13" s="1"/>
  <c r="S346" i="13" s="1"/>
  <c r="AM350" i="5"/>
  <c r="AM351" i="5"/>
  <c r="AN351" i="5" s="1"/>
  <c r="V348" i="13" s="1"/>
  <c r="AM352" i="5"/>
  <c r="T349" i="13" s="1"/>
  <c r="AM353" i="5"/>
  <c r="AN353" i="5" s="1"/>
  <c r="V350" i="13" s="1"/>
  <c r="AM354" i="5"/>
  <c r="AM355" i="5"/>
  <c r="T352" i="13" s="1"/>
  <c r="AM356" i="5"/>
  <c r="AN356" i="5" s="1"/>
  <c r="V353" i="13" s="1"/>
  <c r="U353" i="13" s="1"/>
  <c r="AM357" i="5"/>
  <c r="T354" i="13" s="1"/>
  <c r="AM358" i="5"/>
  <c r="T355" i="13" s="1"/>
  <c r="AM359" i="5"/>
  <c r="T356" i="13" s="1"/>
  <c r="AM360" i="5"/>
  <c r="AN360" i="5" s="1"/>
  <c r="V357" i="13" s="1"/>
  <c r="U357" i="13" s="1"/>
  <c r="AM361" i="5"/>
  <c r="AN361" i="5" s="1"/>
  <c r="V358" i="13" s="1"/>
  <c r="U358" i="13" s="1"/>
  <c r="AM362" i="5"/>
  <c r="T359" i="13" s="1"/>
  <c r="AM363" i="5"/>
  <c r="T360" i="13" s="1"/>
  <c r="AM364" i="5"/>
  <c r="AN364" i="5" s="1"/>
  <c r="V361" i="13" s="1"/>
  <c r="AM365" i="5"/>
  <c r="T362" i="13" s="1"/>
  <c r="AM366" i="5"/>
  <c r="AM367" i="5"/>
  <c r="AN367" i="5" s="1"/>
  <c r="V364" i="13" s="1"/>
  <c r="U364" i="13" s="1"/>
  <c r="AM368" i="5"/>
  <c r="T365" i="13" s="1"/>
  <c r="AM369" i="5"/>
  <c r="AN369" i="5" s="1"/>
  <c r="V366" i="13" s="1"/>
  <c r="U366" i="13" s="1"/>
  <c r="AM370" i="5"/>
  <c r="AM371" i="5"/>
  <c r="T368" i="13" s="1"/>
  <c r="AM372" i="5"/>
  <c r="AN372" i="5" s="1"/>
  <c r="V369" i="13" s="1"/>
  <c r="U369" i="13" s="1"/>
  <c r="AM373" i="5"/>
  <c r="T370" i="13" s="1"/>
  <c r="AM374" i="5"/>
  <c r="T371" i="13" s="1"/>
  <c r="AM375" i="5"/>
  <c r="T372" i="13" s="1"/>
  <c r="AM376" i="5"/>
  <c r="AO376" i="5" s="1"/>
  <c r="X373" i="13" s="1"/>
  <c r="AM377" i="5"/>
  <c r="AN377" i="5" s="1"/>
  <c r="V374" i="13" s="1"/>
  <c r="AM378" i="5"/>
  <c r="T375" i="13" s="1"/>
  <c r="AM379" i="5"/>
  <c r="T376" i="13" s="1"/>
  <c r="AM380" i="5"/>
  <c r="AN380" i="5" s="1"/>
  <c r="V377" i="13" s="1"/>
  <c r="U377" i="13" s="1"/>
  <c r="AM381" i="5"/>
  <c r="T378" i="13" s="1"/>
  <c r="AM382" i="5"/>
  <c r="AM383" i="5"/>
  <c r="AN383" i="5" s="1"/>
  <c r="V380" i="13" s="1"/>
  <c r="U380" i="13" s="1"/>
  <c r="AM384" i="5"/>
  <c r="T381" i="13" s="1"/>
  <c r="AM385" i="5"/>
  <c r="AN385" i="5" s="1"/>
  <c r="V382" i="13" s="1"/>
  <c r="AM386" i="5"/>
  <c r="AM387" i="5"/>
  <c r="T384" i="13" s="1"/>
  <c r="AM388" i="5"/>
  <c r="AN388" i="5" s="1"/>
  <c r="V385" i="13" s="1"/>
  <c r="U385" i="13" s="1"/>
  <c r="AM389" i="5"/>
  <c r="T386" i="13" s="1"/>
  <c r="AM390" i="5"/>
  <c r="T387" i="13" s="1"/>
  <c r="AM391" i="5"/>
  <c r="T388" i="13" s="1"/>
  <c r="AM392" i="5"/>
  <c r="AN392" i="5" s="1"/>
  <c r="V389" i="13" s="1"/>
  <c r="U389" i="13" s="1"/>
  <c r="AM393" i="5"/>
  <c r="AN393" i="5" s="1"/>
  <c r="V390" i="13" s="1"/>
  <c r="AM394" i="5"/>
  <c r="T391" i="13" s="1"/>
  <c r="AM395" i="5"/>
  <c r="T392" i="13" s="1"/>
  <c r="AM396" i="5"/>
  <c r="AN396" i="5" s="1"/>
  <c r="V393" i="13" s="1"/>
  <c r="U393" i="13" s="1"/>
  <c r="AM397" i="5"/>
  <c r="T394" i="13" s="1"/>
  <c r="AM398" i="5"/>
  <c r="AM399" i="5"/>
  <c r="AN399" i="5" s="1"/>
  <c r="V396" i="13" s="1"/>
  <c r="U396" i="13" s="1"/>
  <c r="AM400" i="5"/>
  <c r="T397" i="13" s="1"/>
  <c r="AM401" i="5"/>
  <c r="AN401" i="5" s="1"/>
  <c r="V398" i="13" s="1"/>
  <c r="U398" i="13" s="1"/>
  <c r="AM402" i="5"/>
  <c r="AM403" i="5"/>
  <c r="T400" i="13" s="1"/>
  <c r="AM404" i="5"/>
  <c r="AN404" i="5" s="1"/>
  <c r="V401" i="13" s="1"/>
  <c r="U401" i="13" s="1"/>
  <c r="AM405" i="5"/>
  <c r="T402" i="13" s="1"/>
  <c r="AM406" i="5"/>
  <c r="T403" i="13" s="1"/>
  <c r="AM407" i="5"/>
  <c r="T404" i="13" s="1"/>
  <c r="AM408" i="5"/>
  <c r="T405" i="13" s="1"/>
  <c r="AM409" i="5"/>
  <c r="AN409" i="5" s="1"/>
  <c r="V406" i="13" s="1"/>
  <c r="U406" i="13" s="1"/>
  <c r="AM410" i="5"/>
  <c r="T407" i="13" s="1"/>
  <c r="AM411" i="5"/>
  <c r="T408" i="13" s="1"/>
  <c r="AM412" i="5"/>
  <c r="AN412" i="5" s="1"/>
  <c r="V409" i="13" s="1"/>
  <c r="AM413" i="5"/>
  <c r="T410" i="13" s="1"/>
  <c r="S410" i="13" s="1"/>
  <c r="AM414" i="5"/>
  <c r="AM415" i="5"/>
  <c r="AN415" i="5" s="1"/>
  <c r="V412" i="13" s="1"/>
  <c r="U412" i="13" s="1"/>
  <c r="AM416" i="5"/>
  <c r="T413" i="13" s="1"/>
  <c r="AM417" i="5"/>
  <c r="AN417" i="5" s="1"/>
  <c r="V414" i="13" s="1"/>
  <c r="U414" i="13" s="1"/>
  <c r="AM418" i="5"/>
  <c r="AM419" i="5"/>
  <c r="T416" i="13" s="1"/>
  <c r="AM420" i="5"/>
  <c r="AN420" i="5" s="1"/>
  <c r="V417" i="13" s="1"/>
  <c r="U417" i="13" s="1"/>
  <c r="AM421" i="5"/>
  <c r="T418" i="13" s="1"/>
  <c r="AM422" i="5"/>
  <c r="T419" i="13" s="1"/>
  <c r="AM423" i="5"/>
  <c r="T420" i="13" s="1"/>
  <c r="AM424" i="5"/>
  <c r="AN424" i="5" s="1"/>
  <c r="V421" i="13" s="1"/>
  <c r="U421" i="13" s="1"/>
  <c r="AM425" i="5"/>
  <c r="AN425" i="5" s="1"/>
  <c r="V422" i="13" s="1"/>
  <c r="U422" i="13" s="1"/>
  <c r="AM426" i="5"/>
  <c r="T423" i="13" s="1"/>
  <c r="AM427" i="5"/>
  <c r="T424" i="13" s="1"/>
  <c r="AM428" i="5"/>
  <c r="AN428" i="5" s="1"/>
  <c r="V425" i="13" s="1"/>
  <c r="U425" i="13" s="1"/>
  <c r="AM429" i="5"/>
  <c r="T426" i="13" s="1"/>
  <c r="AM430" i="5"/>
  <c r="AM431" i="5"/>
  <c r="AN431" i="5" s="1"/>
  <c r="V428" i="13" s="1"/>
  <c r="AM432" i="5"/>
  <c r="T429" i="13" s="1"/>
  <c r="AM433" i="5"/>
  <c r="AN433" i="5" s="1"/>
  <c r="V430" i="13" s="1"/>
  <c r="AM434" i="5"/>
  <c r="AM435" i="5"/>
  <c r="T432" i="13" s="1"/>
  <c r="AM436" i="5"/>
  <c r="AN436" i="5" s="1"/>
  <c r="V433" i="13" s="1"/>
  <c r="U433" i="13" s="1"/>
  <c r="AM437" i="5"/>
  <c r="T434" i="13" s="1"/>
  <c r="AM438" i="5"/>
  <c r="T435" i="13" s="1"/>
  <c r="AM439" i="5"/>
  <c r="T436" i="13" s="1"/>
  <c r="AM440" i="5"/>
  <c r="AN440" i="5" s="1"/>
  <c r="V437" i="13" s="1"/>
  <c r="U437" i="13" s="1"/>
  <c r="AM441" i="5"/>
  <c r="AN441" i="5" s="1"/>
  <c r="V438" i="13" s="1"/>
  <c r="U438" i="13" s="1"/>
  <c r="AM442" i="5"/>
  <c r="T439" i="13" s="1"/>
  <c r="AM443" i="5"/>
  <c r="T440" i="13" s="1"/>
  <c r="AM444" i="5"/>
  <c r="AN444" i="5" s="1"/>
  <c r="V441" i="13" s="1"/>
  <c r="U441" i="13" s="1"/>
  <c r="AM445" i="5"/>
  <c r="AO445" i="5" s="1"/>
  <c r="X442" i="13" s="1"/>
  <c r="AM446" i="5"/>
  <c r="AM447" i="5"/>
  <c r="AN447" i="5" s="1"/>
  <c r="V444" i="13" s="1"/>
  <c r="U444" i="13" s="1"/>
  <c r="AM448" i="5"/>
  <c r="T445" i="13" s="1"/>
  <c r="AM449" i="5"/>
  <c r="AM450" i="5"/>
  <c r="AM451" i="5"/>
  <c r="T448" i="13" s="1"/>
  <c r="AM452" i="5"/>
  <c r="AN452" i="5" s="1"/>
  <c r="V449" i="13" s="1"/>
  <c r="U449" i="13" s="1"/>
  <c r="AM453" i="5"/>
  <c r="T450" i="13" s="1"/>
  <c r="AM454" i="5"/>
  <c r="T451" i="13" s="1"/>
  <c r="AM455" i="5"/>
  <c r="T452" i="13" s="1"/>
  <c r="AM456" i="5"/>
  <c r="AN456" i="5" s="1"/>
  <c r="V453" i="13" s="1"/>
  <c r="U453" i="13" s="1"/>
  <c r="AM457" i="5"/>
  <c r="AN457" i="5" s="1"/>
  <c r="V454" i="13" s="1"/>
  <c r="U454" i="13" s="1"/>
  <c r="AM458" i="5"/>
  <c r="T455" i="13" s="1"/>
  <c r="AM459" i="5"/>
  <c r="T456" i="13" s="1"/>
  <c r="AM460" i="5"/>
  <c r="AN460" i="5" s="1"/>
  <c r="V457" i="13" s="1"/>
  <c r="U457" i="13" s="1"/>
  <c r="AM461" i="5"/>
  <c r="AN461" i="5" s="1"/>
  <c r="V458" i="13" s="1"/>
  <c r="AM462" i="5"/>
  <c r="AM463" i="5"/>
  <c r="AN463" i="5" s="1"/>
  <c r="V460" i="13" s="1"/>
  <c r="U460" i="13" s="1"/>
  <c r="AM464" i="5"/>
  <c r="T461" i="13" s="1"/>
  <c r="AM465" i="5"/>
  <c r="AM466" i="5"/>
  <c r="AM467" i="5"/>
  <c r="T464" i="13" s="1"/>
  <c r="AM468" i="5"/>
  <c r="AM469" i="5"/>
  <c r="T466" i="13" s="1"/>
  <c r="AM470" i="5"/>
  <c r="T467" i="13" s="1"/>
  <c r="AM471" i="5"/>
  <c r="T468" i="13" s="1"/>
  <c r="AM472" i="5"/>
  <c r="AN472" i="5" s="1"/>
  <c r="V469" i="13" s="1"/>
  <c r="U469" i="13" s="1"/>
  <c r="AM473" i="5"/>
  <c r="AN473" i="5" s="1"/>
  <c r="V470" i="13" s="1"/>
  <c r="AM474" i="5"/>
  <c r="T471" i="13" s="1"/>
  <c r="AM475" i="5"/>
  <c r="T472" i="13" s="1"/>
  <c r="AM476" i="5"/>
  <c r="AN476" i="5" s="1"/>
  <c r="V473" i="13" s="1"/>
  <c r="U473" i="13" s="1"/>
  <c r="AM477" i="5"/>
  <c r="AO477" i="5" s="1"/>
  <c r="X474" i="13" s="1"/>
  <c r="W474" i="13" s="1"/>
  <c r="AM478" i="5"/>
  <c r="AM479" i="5"/>
  <c r="AN479" i="5" s="1"/>
  <c r="V476" i="13" s="1"/>
  <c r="U476" i="13" s="1"/>
  <c r="AM480" i="5"/>
  <c r="T477" i="13" s="1"/>
  <c r="AM481" i="5"/>
  <c r="AM482" i="5"/>
  <c r="AM483" i="5"/>
  <c r="T480" i="13" s="1"/>
  <c r="AM484" i="5"/>
  <c r="AM485" i="5"/>
  <c r="T482" i="13" s="1"/>
  <c r="AM486" i="5"/>
  <c r="T483" i="13" s="1"/>
  <c r="AM487" i="5"/>
  <c r="T484" i="13" s="1"/>
  <c r="AM488" i="5"/>
  <c r="AM489" i="5"/>
  <c r="AN489" i="5" s="1"/>
  <c r="V486" i="13" s="1"/>
  <c r="AM490" i="5"/>
  <c r="T487" i="13" s="1"/>
  <c r="AM491" i="5"/>
  <c r="T488" i="13" s="1"/>
  <c r="AM492" i="5"/>
  <c r="AN492" i="5" s="1"/>
  <c r="V489" i="13" s="1"/>
  <c r="AM493" i="5"/>
  <c r="T490" i="13" s="1"/>
  <c r="AM494" i="5"/>
  <c r="AM495" i="5"/>
  <c r="AN495" i="5" s="1"/>
  <c r="V492" i="13" s="1"/>
  <c r="U492" i="13" s="1"/>
  <c r="AM496" i="5"/>
  <c r="T493" i="13" s="1"/>
  <c r="AM497" i="5"/>
  <c r="AM498" i="5"/>
  <c r="AM499" i="5"/>
  <c r="T496" i="13" s="1"/>
  <c r="AM500" i="5"/>
  <c r="AM501" i="5"/>
  <c r="T498" i="13" s="1"/>
  <c r="AM502" i="5"/>
  <c r="T499" i="13" s="1"/>
  <c r="AM503" i="5"/>
  <c r="T500" i="13" s="1"/>
  <c r="AM504" i="5"/>
  <c r="AM505" i="5"/>
  <c r="T502" i="13" s="1"/>
  <c r="AM506" i="5"/>
  <c r="T503" i="13" s="1"/>
  <c r="AM507" i="5"/>
  <c r="T504" i="13" s="1"/>
  <c r="AM508" i="5"/>
  <c r="AN508" i="5" s="1"/>
  <c r="V505" i="13" s="1"/>
  <c r="AM509" i="5"/>
  <c r="T506" i="13" s="1"/>
  <c r="AM510" i="5"/>
  <c r="AM511" i="5"/>
  <c r="AN511" i="5" s="1"/>
  <c r="V508" i="13" s="1"/>
  <c r="U508" i="13" s="1"/>
  <c r="AM512" i="5"/>
  <c r="AM513" i="5"/>
  <c r="AM514" i="5"/>
  <c r="AM515" i="5"/>
  <c r="T512" i="13" s="1"/>
  <c r="AM516" i="5"/>
  <c r="AM517" i="5"/>
  <c r="T514" i="13" s="1"/>
  <c r="AM518" i="5"/>
  <c r="T515" i="13" s="1"/>
  <c r="AM519" i="5"/>
  <c r="T516" i="13" s="1"/>
  <c r="AM520" i="5"/>
  <c r="AM521" i="5"/>
  <c r="T518" i="13" s="1"/>
  <c r="AM522" i="5"/>
  <c r="T519" i="13" s="1"/>
  <c r="AM523" i="5"/>
  <c r="T520" i="13" s="1"/>
  <c r="AM524" i="5"/>
  <c r="AN524" i="5" s="1"/>
  <c r="V521" i="13" s="1"/>
  <c r="U521" i="13" s="1"/>
  <c r="AM525" i="5"/>
  <c r="AN525" i="5" s="1"/>
  <c r="V522" i="13" s="1"/>
  <c r="U522" i="13" s="1"/>
  <c r="AM526" i="5"/>
  <c r="AM527" i="5"/>
  <c r="AN527" i="5" s="1"/>
  <c r="V524" i="13" s="1"/>
  <c r="U524" i="13" s="1"/>
  <c r="AM528" i="5"/>
  <c r="AM529" i="5"/>
  <c r="AM530" i="5"/>
  <c r="AM531" i="5"/>
  <c r="T528" i="13" s="1"/>
  <c r="AM532" i="5"/>
  <c r="AM533" i="5"/>
  <c r="T530" i="13" s="1"/>
  <c r="AM534" i="5"/>
  <c r="T531" i="13" s="1"/>
  <c r="AM535" i="5"/>
  <c r="T532" i="13" s="1"/>
  <c r="AM536" i="5"/>
  <c r="AM537" i="5"/>
  <c r="T534" i="13" s="1"/>
  <c r="AM538" i="5"/>
  <c r="T535" i="13" s="1"/>
  <c r="AM539" i="5"/>
  <c r="T536" i="13" s="1"/>
  <c r="AM540" i="5"/>
  <c r="AN540" i="5" s="1"/>
  <c r="V537" i="13" s="1"/>
  <c r="U537" i="13" s="1"/>
  <c r="AM541" i="5"/>
  <c r="AO541" i="5" s="1"/>
  <c r="X538" i="13" s="1"/>
  <c r="W538" i="13" s="1"/>
  <c r="AM542" i="5"/>
  <c r="AM543" i="5"/>
  <c r="AN543" i="5" s="1"/>
  <c r="V540" i="13" s="1"/>
  <c r="U540" i="13" s="1"/>
  <c r="AM544" i="5"/>
  <c r="AM545" i="5"/>
  <c r="AM546" i="5"/>
  <c r="AM547" i="5"/>
  <c r="T544" i="13" s="1"/>
  <c r="AM548" i="5"/>
  <c r="AM549" i="5"/>
  <c r="T546" i="13" s="1"/>
  <c r="AM550" i="5"/>
  <c r="T547" i="13" s="1"/>
  <c r="AM551" i="5"/>
  <c r="T548" i="13" s="1"/>
  <c r="AM552" i="5"/>
  <c r="AM553" i="5"/>
  <c r="T550" i="13" s="1"/>
  <c r="AM554" i="5"/>
  <c r="T551" i="13" s="1"/>
  <c r="AM555" i="5"/>
  <c r="T552" i="13" s="1"/>
  <c r="AM556" i="5"/>
  <c r="AN556" i="5" s="1"/>
  <c r="V553" i="13" s="1"/>
  <c r="AM557" i="5"/>
  <c r="AO557" i="5" s="1"/>
  <c r="X554" i="13" s="1"/>
  <c r="AM558" i="5"/>
  <c r="AM559" i="5"/>
  <c r="AN559" i="5" s="1"/>
  <c r="V556" i="13" s="1"/>
  <c r="U556" i="13" s="1"/>
  <c r="AM560" i="5"/>
  <c r="AM561" i="5"/>
  <c r="AM562" i="5"/>
  <c r="AM563" i="5"/>
  <c r="AO563" i="5" s="1"/>
  <c r="X560" i="13" s="1"/>
  <c r="W560" i="13" s="1"/>
  <c r="AM564" i="5"/>
  <c r="AM565" i="5"/>
  <c r="AO565" i="5" s="1"/>
  <c r="AP565" i="5" s="1"/>
  <c r="O562" i="13" s="1"/>
  <c r="P562" i="13" s="1"/>
  <c r="AM566" i="5"/>
  <c r="T563" i="13" s="1"/>
  <c r="AM567" i="5"/>
  <c r="T564" i="13" s="1"/>
  <c r="AM568" i="5"/>
  <c r="AM569" i="5"/>
  <c r="AN569" i="5" s="1"/>
  <c r="AM570" i="5"/>
  <c r="T567" i="13" s="1"/>
  <c r="AM571" i="5"/>
  <c r="T568" i="13" s="1"/>
  <c r="AM572" i="5"/>
  <c r="AN572" i="5" s="1"/>
  <c r="V569" i="13" s="1"/>
  <c r="U569" i="13" s="1"/>
  <c r="AM573" i="5"/>
  <c r="T570" i="13" s="1"/>
  <c r="S570" i="13" s="1"/>
  <c r="AM574" i="5"/>
  <c r="AM575" i="5"/>
  <c r="AN575" i="5" s="1"/>
  <c r="V572" i="13" s="1"/>
  <c r="U572" i="13" s="1"/>
  <c r="AM576" i="5"/>
  <c r="AM577" i="5"/>
  <c r="AM578" i="5"/>
  <c r="AM579" i="5"/>
  <c r="AO579" i="5" s="1"/>
  <c r="AP579" i="5" s="1"/>
  <c r="O576" i="13" s="1"/>
  <c r="P576" i="13" s="1"/>
  <c r="AM580" i="5"/>
  <c r="AM581" i="5"/>
  <c r="AO581" i="5" s="1"/>
  <c r="AP581" i="5" s="1"/>
  <c r="O578" i="13" s="1"/>
  <c r="P578" i="13" s="1"/>
  <c r="AM582" i="5"/>
  <c r="AN582" i="5" s="1"/>
  <c r="AM583" i="5"/>
  <c r="T580" i="13" s="1"/>
  <c r="AM584" i="5"/>
  <c r="AM585" i="5"/>
  <c r="AN585" i="5" s="1"/>
  <c r="AM586" i="5"/>
  <c r="T583" i="13" s="1"/>
  <c r="AM587" i="5"/>
  <c r="T584" i="13" s="1"/>
  <c r="AM588" i="5"/>
  <c r="AN588" i="5" s="1"/>
  <c r="V585" i="13" s="1"/>
  <c r="U585" i="13" s="1"/>
  <c r="AM589" i="5"/>
  <c r="AN589" i="5" s="1"/>
  <c r="AM590" i="5"/>
  <c r="AM591" i="5"/>
  <c r="AN591" i="5" s="1"/>
  <c r="V588" i="13" s="1"/>
  <c r="U588" i="13" s="1"/>
  <c r="AM592" i="5"/>
  <c r="AM593" i="5"/>
  <c r="AM594" i="5"/>
  <c r="AM595" i="5"/>
  <c r="T592" i="13" s="1"/>
  <c r="AM596" i="5"/>
  <c r="AM597" i="5"/>
  <c r="T594" i="13" s="1"/>
  <c r="AM598" i="5"/>
  <c r="AO598" i="5" s="1"/>
  <c r="AP598" i="5" s="1"/>
  <c r="O595" i="13" s="1"/>
  <c r="P595" i="13" s="1"/>
  <c r="AM599" i="5"/>
  <c r="T596" i="13" s="1"/>
  <c r="AM600" i="5"/>
  <c r="AM601" i="5"/>
  <c r="T598" i="13" s="1"/>
  <c r="AM602" i="5"/>
  <c r="T599" i="13" s="1"/>
  <c r="AM603" i="5"/>
  <c r="T600" i="13" s="1"/>
  <c r="AM604" i="5"/>
  <c r="AN604" i="5" s="1"/>
  <c r="V601" i="13" s="1"/>
  <c r="U601" i="13" s="1"/>
  <c r="AM605" i="5"/>
  <c r="AO605" i="5" s="1"/>
  <c r="AP605" i="5" s="1"/>
  <c r="O602" i="13" s="1"/>
  <c r="P602" i="13" s="1"/>
  <c r="AM606" i="5"/>
  <c r="AM607" i="5"/>
  <c r="AN607" i="5" s="1"/>
  <c r="V604" i="13" s="1"/>
  <c r="U604" i="13" s="1"/>
  <c r="AM608" i="5"/>
  <c r="AM609" i="5"/>
  <c r="AM610" i="5"/>
  <c r="AM611" i="5"/>
  <c r="T608" i="13" s="1"/>
  <c r="AM612" i="5"/>
  <c r="AM613" i="5"/>
  <c r="T610" i="13" s="1"/>
  <c r="AM614" i="5"/>
  <c r="AN614" i="5" s="1"/>
  <c r="AM615" i="5"/>
  <c r="T612" i="13" s="1"/>
  <c r="AM616" i="5"/>
  <c r="AM617" i="5"/>
  <c r="T614" i="13" s="1"/>
  <c r="AM618" i="5"/>
  <c r="AO618" i="5" s="1"/>
  <c r="X615" i="13" s="1"/>
  <c r="AM619" i="5"/>
  <c r="T616" i="13" s="1"/>
  <c r="AM620" i="5"/>
  <c r="AN620" i="5" s="1"/>
  <c r="V617" i="13" s="1"/>
  <c r="U617" i="13" s="1"/>
  <c r="AM621" i="5"/>
  <c r="T618" i="13" s="1"/>
  <c r="AM622" i="5"/>
  <c r="AM623" i="5"/>
  <c r="AN623" i="5" s="1"/>
  <c r="V620" i="13" s="1"/>
  <c r="U620" i="13" s="1"/>
  <c r="AM624" i="5"/>
  <c r="AM625" i="5"/>
  <c r="AM626" i="5"/>
  <c r="AM627" i="5"/>
  <c r="AO627" i="5" s="1"/>
  <c r="AP627" i="5" s="1"/>
  <c r="O624" i="13" s="1"/>
  <c r="P624" i="13" s="1"/>
  <c r="AM628" i="5"/>
  <c r="AM629" i="5"/>
  <c r="AO629" i="5" s="1"/>
  <c r="AP629" i="5" s="1"/>
  <c r="O626" i="13" s="1"/>
  <c r="P626" i="13" s="1"/>
  <c r="AM630" i="5"/>
  <c r="T627" i="13" s="1"/>
  <c r="AM631" i="5"/>
  <c r="T628" i="13" s="1"/>
  <c r="AM632" i="5"/>
  <c r="AM633" i="5"/>
  <c r="T630" i="13" s="1"/>
  <c r="AM634" i="5"/>
  <c r="AN634" i="5" s="1"/>
  <c r="AM635" i="5"/>
  <c r="T632" i="13" s="1"/>
  <c r="AM636" i="5"/>
  <c r="AO636" i="5" s="1"/>
  <c r="AP636" i="5" s="1"/>
  <c r="O633" i="13" s="1"/>
  <c r="P633" i="13" s="1"/>
  <c r="AM637" i="5"/>
  <c r="AN637" i="5" s="1"/>
  <c r="AM638" i="5"/>
  <c r="AM639" i="5"/>
  <c r="AN639" i="5" s="1"/>
  <c r="V636" i="13" s="1"/>
  <c r="U636" i="13" s="1"/>
  <c r="AM640" i="5"/>
  <c r="AM641" i="5"/>
  <c r="AM642" i="5"/>
  <c r="AB5" i="5"/>
  <c r="AB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123" i="5"/>
  <c r="AB124" i="5"/>
  <c r="AB125" i="5"/>
  <c r="AB126" i="5"/>
  <c r="AB127" i="5"/>
  <c r="AB128" i="5"/>
  <c r="AB129" i="5"/>
  <c r="AB130" i="5"/>
  <c r="AB131" i="5"/>
  <c r="AB132" i="5"/>
  <c r="AB133" i="5"/>
  <c r="AB134" i="5"/>
  <c r="AB135" i="5"/>
  <c r="AB136" i="5"/>
  <c r="AB137" i="5"/>
  <c r="AB138" i="5"/>
  <c r="AB139" i="5"/>
  <c r="AB140" i="5"/>
  <c r="AB141" i="5"/>
  <c r="AB142" i="5"/>
  <c r="AB143" i="5"/>
  <c r="AB144" i="5"/>
  <c r="AB145" i="5"/>
  <c r="AB146" i="5"/>
  <c r="AB147" i="5"/>
  <c r="AB148" i="5"/>
  <c r="AB149" i="5"/>
  <c r="AB150" i="5"/>
  <c r="AB151" i="5"/>
  <c r="AB152" i="5"/>
  <c r="AB153" i="5"/>
  <c r="AB154" i="5"/>
  <c r="AB155" i="5"/>
  <c r="AB156" i="5"/>
  <c r="AB157" i="5"/>
  <c r="AB158" i="5"/>
  <c r="AB159" i="5"/>
  <c r="AB160" i="5"/>
  <c r="AB161" i="5"/>
  <c r="AB162" i="5"/>
  <c r="AB163" i="5"/>
  <c r="AB164" i="5"/>
  <c r="AB165" i="5"/>
  <c r="AB166" i="5"/>
  <c r="AB167" i="5"/>
  <c r="AB168" i="5"/>
  <c r="AB169" i="5"/>
  <c r="AB170" i="5"/>
  <c r="AB171" i="5"/>
  <c r="AB172" i="5"/>
  <c r="AB173" i="5"/>
  <c r="AB174" i="5"/>
  <c r="AB175" i="5"/>
  <c r="AB176" i="5"/>
  <c r="AB177" i="5"/>
  <c r="AB178" i="5"/>
  <c r="AB179" i="5"/>
  <c r="AB180" i="5"/>
  <c r="AB181" i="5"/>
  <c r="AB182" i="5"/>
  <c r="AB183" i="5"/>
  <c r="AB184" i="5"/>
  <c r="AB185" i="5"/>
  <c r="AB186" i="5"/>
  <c r="AB187" i="5"/>
  <c r="AB188" i="5"/>
  <c r="AB189" i="5"/>
  <c r="AB190" i="5"/>
  <c r="AB191" i="5"/>
  <c r="AB192" i="5"/>
  <c r="AB193" i="5"/>
  <c r="AB194" i="5"/>
  <c r="AB195" i="5"/>
  <c r="AB196" i="5"/>
  <c r="AB197" i="5"/>
  <c r="AB198" i="5"/>
  <c r="AB199" i="5"/>
  <c r="AB200" i="5"/>
  <c r="AB201" i="5"/>
  <c r="AB202" i="5"/>
  <c r="AB203" i="5"/>
  <c r="AB204" i="5"/>
  <c r="AB205" i="5"/>
  <c r="AB206" i="5"/>
  <c r="AB207" i="5"/>
  <c r="AB208" i="5"/>
  <c r="AB209" i="5"/>
  <c r="AB210" i="5"/>
  <c r="AB211" i="5"/>
  <c r="AB212" i="5"/>
  <c r="AB213" i="5"/>
  <c r="AB214" i="5"/>
  <c r="AB215" i="5"/>
  <c r="AB216" i="5"/>
  <c r="AB217" i="5"/>
  <c r="AB218" i="5"/>
  <c r="AB219" i="5"/>
  <c r="AB220" i="5"/>
  <c r="AB221" i="5"/>
  <c r="AB222" i="5"/>
  <c r="AB223" i="5"/>
  <c r="AB224" i="5"/>
  <c r="AB225" i="5"/>
  <c r="AB226" i="5"/>
  <c r="AB227" i="5"/>
  <c r="AB228" i="5"/>
  <c r="AB229" i="5"/>
  <c r="AB230" i="5"/>
  <c r="AB231" i="5"/>
  <c r="AB232" i="5"/>
  <c r="AB233" i="5"/>
  <c r="AB234" i="5"/>
  <c r="AB235" i="5"/>
  <c r="AB236" i="5"/>
  <c r="AB237" i="5"/>
  <c r="AB238" i="5"/>
  <c r="AB239" i="5"/>
  <c r="AB240" i="5"/>
  <c r="AB241" i="5"/>
  <c r="AB242" i="5"/>
  <c r="AB243" i="5"/>
  <c r="AB244" i="5"/>
  <c r="AB245" i="5"/>
  <c r="AB246" i="5"/>
  <c r="AB247" i="5"/>
  <c r="AB248" i="5"/>
  <c r="AB249" i="5"/>
  <c r="AB250" i="5"/>
  <c r="AB251" i="5"/>
  <c r="AB252" i="5"/>
  <c r="AB253" i="5"/>
  <c r="AB254" i="5"/>
  <c r="AB255" i="5"/>
  <c r="AB256" i="5"/>
  <c r="AB257" i="5"/>
  <c r="AB258" i="5"/>
  <c r="AB259" i="5"/>
  <c r="AB260" i="5"/>
  <c r="AB261" i="5"/>
  <c r="AB262" i="5"/>
  <c r="AB263" i="5"/>
  <c r="AB264" i="5"/>
  <c r="AB265" i="5"/>
  <c r="AB266" i="5"/>
  <c r="AB267" i="5"/>
  <c r="AB268" i="5"/>
  <c r="AB269" i="5"/>
  <c r="AB270" i="5"/>
  <c r="AB271" i="5"/>
  <c r="AB272" i="5"/>
  <c r="AB273" i="5"/>
  <c r="AB274" i="5"/>
  <c r="AB275" i="5"/>
  <c r="AB276" i="5"/>
  <c r="AB277" i="5"/>
  <c r="AB278" i="5"/>
  <c r="AB279" i="5"/>
  <c r="AB280" i="5"/>
  <c r="AB281" i="5"/>
  <c r="AB282" i="5"/>
  <c r="AB283" i="5"/>
  <c r="AB284" i="5"/>
  <c r="AB285" i="5"/>
  <c r="AB286" i="5"/>
  <c r="AB287" i="5"/>
  <c r="AB288" i="5"/>
  <c r="AB289" i="5"/>
  <c r="AB290" i="5"/>
  <c r="AB291" i="5"/>
  <c r="AB292" i="5"/>
  <c r="AB293" i="5"/>
  <c r="AB294" i="5"/>
  <c r="AB295" i="5"/>
  <c r="AB296" i="5"/>
  <c r="AB297" i="5"/>
  <c r="AB298" i="5"/>
  <c r="AB299" i="5"/>
  <c r="AB300" i="5"/>
  <c r="AB301" i="5"/>
  <c r="AB302" i="5"/>
  <c r="AB303" i="5"/>
  <c r="AB304" i="5"/>
  <c r="AB305" i="5"/>
  <c r="AB306" i="5"/>
  <c r="AB307" i="5"/>
  <c r="AB308" i="5"/>
  <c r="AB309" i="5"/>
  <c r="AB310" i="5"/>
  <c r="AB311" i="5"/>
  <c r="AB312" i="5"/>
  <c r="AB313" i="5"/>
  <c r="AB314" i="5"/>
  <c r="AB315" i="5"/>
  <c r="AB316" i="5"/>
  <c r="AB317" i="5"/>
  <c r="AB318" i="5"/>
  <c r="AB319" i="5"/>
  <c r="AB320" i="5"/>
  <c r="AB321" i="5"/>
  <c r="AB322" i="5"/>
  <c r="AB323" i="5"/>
  <c r="AB324" i="5"/>
  <c r="AB325" i="5"/>
  <c r="AB326" i="5"/>
  <c r="AB327" i="5"/>
  <c r="AB328" i="5"/>
  <c r="AB329" i="5"/>
  <c r="AB330" i="5"/>
  <c r="AB331" i="5"/>
  <c r="AB332" i="5"/>
  <c r="AB333" i="5"/>
  <c r="AB334" i="5"/>
  <c r="AB335" i="5"/>
  <c r="AB336" i="5"/>
  <c r="AB337" i="5"/>
  <c r="AB338" i="5"/>
  <c r="AB339" i="5"/>
  <c r="AB340" i="5"/>
  <c r="AB341" i="5"/>
  <c r="AB342" i="5"/>
  <c r="AB343" i="5"/>
  <c r="AB344" i="5"/>
  <c r="AB345" i="5"/>
  <c r="AB346" i="5"/>
  <c r="AB347" i="5"/>
  <c r="AB348" i="5"/>
  <c r="AB349" i="5"/>
  <c r="AB350" i="5"/>
  <c r="AB351" i="5"/>
  <c r="AB352" i="5"/>
  <c r="AB353" i="5"/>
  <c r="AB354" i="5"/>
  <c r="AB355" i="5"/>
  <c r="AB356" i="5"/>
  <c r="AB357" i="5"/>
  <c r="AB358" i="5"/>
  <c r="AB359" i="5"/>
  <c r="AB360" i="5"/>
  <c r="AB361" i="5"/>
  <c r="AB362" i="5"/>
  <c r="AB363" i="5"/>
  <c r="AB364" i="5"/>
  <c r="AB365" i="5"/>
  <c r="AB366" i="5"/>
  <c r="AB367" i="5"/>
  <c r="AB368" i="5"/>
  <c r="AB369" i="5"/>
  <c r="AB370" i="5"/>
  <c r="AB371" i="5"/>
  <c r="AB372" i="5"/>
  <c r="AB373" i="5"/>
  <c r="AB374" i="5"/>
  <c r="AB375" i="5"/>
  <c r="AB376" i="5"/>
  <c r="AB377" i="5"/>
  <c r="AB378" i="5"/>
  <c r="AB379" i="5"/>
  <c r="AB380" i="5"/>
  <c r="AB381" i="5"/>
  <c r="AB382" i="5"/>
  <c r="AB383" i="5"/>
  <c r="AB384" i="5"/>
  <c r="AB385" i="5"/>
  <c r="AB386" i="5"/>
  <c r="AB387" i="5"/>
  <c r="AB388" i="5"/>
  <c r="AB389" i="5"/>
  <c r="AB390" i="5"/>
  <c r="AB391" i="5"/>
  <c r="AB392" i="5"/>
  <c r="AB393" i="5"/>
  <c r="AB394" i="5"/>
  <c r="AB395" i="5"/>
  <c r="AB396" i="5"/>
  <c r="AB397" i="5"/>
  <c r="AB398" i="5"/>
  <c r="AB399" i="5"/>
  <c r="AB400" i="5"/>
  <c r="AB401" i="5"/>
  <c r="AB402" i="5"/>
  <c r="AB403" i="5"/>
  <c r="AB404" i="5"/>
  <c r="AB405" i="5"/>
  <c r="AB406" i="5"/>
  <c r="AB407" i="5"/>
  <c r="AB408" i="5"/>
  <c r="AB409" i="5"/>
  <c r="AB410" i="5"/>
  <c r="AB411" i="5"/>
  <c r="AB412" i="5"/>
  <c r="AB413" i="5"/>
  <c r="AB414" i="5"/>
  <c r="AB415" i="5"/>
  <c r="AB416" i="5"/>
  <c r="AB417" i="5"/>
  <c r="AB418" i="5"/>
  <c r="AB419" i="5"/>
  <c r="AB420" i="5"/>
  <c r="AB421" i="5"/>
  <c r="AB422" i="5"/>
  <c r="AB423" i="5"/>
  <c r="AB424" i="5"/>
  <c r="AB425" i="5"/>
  <c r="AB426" i="5"/>
  <c r="AB427" i="5"/>
  <c r="AB428" i="5"/>
  <c r="AB429" i="5"/>
  <c r="AB430" i="5"/>
  <c r="AB431" i="5"/>
  <c r="AB432" i="5"/>
  <c r="AB433" i="5"/>
  <c r="AB434" i="5"/>
  <c r="AB435" i="5"/>
  <c r="AB436" i="5"/>
  <c r="AB437" i="5"/>
  <c r="AB438" i="5"/>
  <c r="AB439" i="5"/>
  <c r="AB440" i="5"/>
  <c r="AB441" i="5"/>
  <c r="AB442" i="5"/>
  <c r="AB443" i="5"/>
  <c r="AB444" i="5"/>
  <c r="AB445" i="5"/>
  <c r="AB446" i="5"/>
  <c r="AB447" i="5"/>
  <c r="AB448" i="5"/>
  <c r="AB449" i="5"/>
  <c r="AB450" i="5"/>
  <c r="AB451" i="5"/>
  <c r="AB452" i="5"/>
  <c r="AB453" i="5"/>
  <c r="AB454" i="5"/>
  <c r="AB455" i="5"/>
  <c r="AB456" i="5"/>
  <c r="AB457" i="5"/>
  <c r="AB458" i="5"/>
  <c r="AB459" i="5"/>
  <c r="AB460" i="5"/>
  <c r="AB461" i="5"/>
  <c r="AB462" i="5"/>
  <c r="AB463" i="5"/>
  <c r="AB464" i="5"/>
  <c r="AB465" i="5"/>
  <c r="AB466" i="5"/>
  <c r="AB467" i="5"/>
  <c r="AB468" i="5"/>
  <c r="AB469" i="5"/>
  <c r="AB470" i="5"/>
  <c r="AB471" i="5"/>
  <c r="AB472" i="5"/>
  <c r="AB473" i="5"/>
  <c r="AB474" i="5"/>
  <c r="AB475" i="5"/>
  <c r="AB476" i="5"/>
  <c r="AB477" i="5"/>
  <c r="AB478" i="5"/>
  <c r="AB479" i="5"/>
  <c r="AB480" i="5"/>
  <c r="AB481" i="5"/>
  <c r="AB482" i="5"/>
  <c r="AB483" i="5"/>
  <c r="AB484" i="5"/>
  <c r="AB485" i="5"/>
  <c r="AB486" i="5"/>
  <c r="AB487" i="5"/>
  <c r="AB488" i="5"/>
  <c r="AB489" i="5"/>
  <c r="AB490" i="5"/>
  <c r="AB491" i="5"/>
  <c r="AB492" i="5"/>
  <c r="AB493" i="5"/>
  <c r="AB494" i="5"/>
  <c r="AB495" i="5"/>
  <c r="AB496" i="5"/>
  <c r="AB497" i="5"/>
  <c r="AB498" i="5"/>
  <c r="AB499" i="5"/>
  <c r="AB500" i="5"/>
  <c r="AB501" i="5"/>
  <c r="AB502" i="5"/>
  <c r="AB503" i="5"/>
  <c r="AB504" i="5"/>
  <c r="AB505" i="5"/>
  <c r="AB506" i="5"/>
  <c r="AB507" i="5"/>
  <c r="AB508" i="5"/>
  <c r="AB509" i="5"/>
  <c r="AB510" i="5"/>
  <c r="AB511" i="5"/>
  <c r="AB512" i="5"/>
  <c r="AB513" i="5"/>
  <c r="AB514" i="5"/>
  <c r="AB515" i="5"/>
  <c r="AB516" i="5"/>
  <c r="AB517" i="5"/>
  <c r="AB518" i="5"/>
  <c r="AB519" i="5"/>
  <c r="AB520" i="5"/>
  <c r="AB521" i="5"/>
  <c r="AB522" i="5"/>
  <c r="AB523" i="5"/>
  <c r="AB524" i="5"/>
  <c r="AB525" i="5"/>
  <c r="AB526" i="5"/>
  <c r="AB527" i="5"/>
  <c r="AB528" i="5"/>
  <c r="AB529" i="5"/>
  <c r="AB530" i="5"/>
  <c r="AB531" i="5"/>
  <c r="AB532" i="5"/>
  <c r="AB533" i="5"/>
  <c r="AB534" i="5"/>
  <c r="AB535" i="5"/>
  <c r="AB536" i="5"/>
  <c r="AB537" i="5"/>
  <c r="AB538" i="5"/>
  <c r="AB539" i="5"/>
  <c r="AB540" i="5"/>
  <c r="AB541" i="5"/>
  <c r="AB542" i="5"/>
  <c r="AB543" i="5"/>
  <c r="AB544" i="5"/>
  <c r="AB545" i="5"/>
  <c r="AB546" i="5"/>
  <c r="AB547" i="5"/>
  <c r="AB548" i="5"/>
  <c r="AB549" i="5"/>
  <c r="AB550" i="5"/>
  <c r="AB551" i="5"/>
  <c r="AB552" i="5"/>
  <c r="AB553" i="5"/>
  <c r="AB554" i="5"/>
  <c r="AB555" i="5"/>
  <c r="AB556" i="5"/>
  <c r="AB557" i="5"/>
  <c r="AB558" i="5"/>
  <c r="AB559" i="5"/>
  <c r="AB560" i="5"/>
  <c r="AB561" i="5"/>
  <c r="AB562" i="5"/>
  <c r="AB563" i="5"/>
  <c r="AB564" i="5"/>
  <c r="AB565" i="5"/>
  <c r="AB566" i="5"/>
  <c r="AB567" i="5"/>
  <c r="AB568" i="5"/>
  <c r="AB569" i="5"/>
  <c r="AB570" i="5"/>
  <c r="AB571" i="5"/>
  <c r="AB572" i="5"/>
  <c r="AB573" i="5"/>
  <c r="AB574" i="5"/>
  <c r="AB575" i="5"/>
  <c r="AB576" i="5"/>
  <c r="AB577" i="5"/>
  <c r="AB578" i="5"/>
  <c r="AB579" i="5"/>
  <c r="AB580" i="5"/>
  <c r="AB581" i="5"/>
  <c r="AB582" i="5"/>
  <c r="AB583" i="5"/>
  <c r="AB584" i="5"/>
  <c r="AB585" i="5"/>
  <c r="AB586" i="5"/>
  <c r="AB587" i="5"/>
  <c r="AB588" i="5"/>
  <c r="AB589" i="5"/>
  <c r="AB590" i="5"/>
  <c r="AB591" i="5"/>
  <c r="AB592" i="5"/>
  <c r="AB593" i="5"/>
  <c r="AB594" i="5"/>
  <c r="AB595" i="5"/>
  <c r="AB596" i="5"/>
  <c r="AB597" i="5"/>
  <c r="AB598" i="5"/>
  <c r="AB599" i="5"/>
  <c r="AB600" i="5"/>
  <c r="AB601" i="5"/>
  <c r="AB602" i="5"/>
  <c r="AB603" i="5"/>
  <c r="AB604" i="5"/>
  <c r="AB605" i="5"/>
  <c r="AB606" i="5"/>
  <c r="AB607" i="5"/>
  <c r="AB608" i="5"/>
  <c r="AB609" i="5"/>
  <c r="AB610" i="5"/>
  <c r="AB611" i="5"/>
  <c r="AB612" i="5"/>
  <c r="AB613" i="5"/>
  <c r="AB614" i="5"/>
  <c r="AB615" i="5"/>
  <c r="AB616" i="5"/>
  <c r="AB617" i="5"/>
  <c r="AB618" i="5"/>
  <c r="AB619" i="5"/>
  <c r="AB620" i="5"/>
  <c r="AB621" i="5"/>
  <c r="AB622" i="5"/>
  <c r="AB623" i="5"/>
  <c r="AB624" i="5"/>
  <c r="AB625" i="5"/>
  <c r="AB626" i="5"/>
  <c r="AB627" i="5"/>
  <c r="AB628" i="5"/>
  <c r="AB629" i="5"/>
  <c r="AB630" i="5"/>
  <c r="AB631" i="5"/>
  <c r="AB632" i="5"/>
  <c r="AB633" i="5"/>
  <c r="AB634" i="5"/>
  <c r="AB635" i="5"/>
  <c r="AB636" i="5"/>
  <c r="AB637" i="5"/>
  <c r="AB638" i="5"/>
  <c r="AB639" i="5"/>
  <c r="AB640" i="5"/>
  <c r="AB641" i="5"/>
  <c r="AB642"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0"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39" i="13"/>
  <c r="F340" i="13"/>
  <c r="F341" i="13"/>
  <c r="F342" i="13"/>
  <c r="F343" i="13"/>
  <c r="F344" i="13"/>
  <c r="F345" i="13"/>
  <c r="F346" i="13"/>
  <c r="F347" i="13"/>
  <c r="F348" i="13"/>
  <c r="F349" i="13"/>
  <c r="F350" i="13"/>
  <c r="F351" i="13"/>
  <c r="F352" i="13"/>
  <c r="F353" i="13"/>
  <c r="F354" i="13"/>
  <c r="F355" i="13"/>
  <c r="F356" i="13"/>
  <c r="F357" i="13"/>
  <c r="F358" i="13"/>
  <c r="F359" i="13"/>
  <c r="F360" i="13"/>
  <c r="F361" i="13"/>
  <c r="F362" i="13"/>
  <c r="F363" i="13"/>
  <c r="F364" i="13"/>
  <c r="F365" i="13"/>
  <c r="F366" i="13"/>
  <c r="F367" i="13"/>
  <c r="F368" i="13"/>
  <c r="F369" i="13"/>
  <c r="F370" i="13"/>
  <c r="F371" i="13"/>
  <c r="F372" i="13"/>
  <c r="F373" i="13"/>
  <c r="F374" i="13"/>
  <c r="F375" i="13"/>
  <c r="F376" i="13"/>
  <c r="F377" i="13"/>
  <c r="F378" i="13"/>
  <c r="F379" i="13"/>
  <c r="F380" i="13"/>
  <c r="F381" i="13"/>
  <c r="F382" i="13"/>
  <c r="F383" i="13"/>
  <c r="F384" i="13"/>
  <c r="F385" i="13"/>
  <c r="F386" i="13"/>
  <c r="F387" i="13"/>
  <c r="F388" i="13"/>
  <c r="F389" i="13"/>
  <c r="F390" i="13"/>
  <c r="F391" i="13"/>
  <c r="F392" i="13"/>
  <c r="F393" i="13"/>
  <c r="F394" i="13"/>
  <c r="F395" i="13"/>
  <c r="F396" i="13"/>
  <c r="F397" i="13"/>
  <c r="F398" i="13"/>
  <c r="F399" i="13"/>
  <c r="F400" i="13"/>
  <c r="F401" i="13"/>
  <c r="F402" i="13"/>
  <c r="F403" i="13"/>
  <c r="F404" i="13"/>
  <c r="F405" i="13"/>
  <c r="F406" i="13"/>
  <c r="F407" i="13"/>
  <c r="F408" i="13"/>
  <c r="F409" i="13"/>
  <c r="F410" i="13"/>
  <c r="F411" i="13"/>
  <c r="F412" i="13"/>
  <c r="F413" i="13"/>
  <c r="F414" i="13"/>
  <c r="F415" i="13"/>
  <c r="F416" i="13"/>
  <c r="F417" i="13"/>
  <c r="F418" i="13"/>
  <c r="F419" i="13"/>
  <c r="F420" i="13"/>
  <c r="F421" i="13"/>
  <c r="F422" i="13"/>
  <c r="F423" i="13"/>
  <c r="F424" i="13"/>
  <c r="F425" i="13"/>
  <c r="F426" i="13"/>
  <c r="F427" i="13"/>
  <c r="F428" i="13"/>
  <c r="F429" i="13"/>
  <c r="F430" i="13"/>
  <c r="F431" i="13"/>
  <c r="F432" i="13"/>
  <c r="F433" i="13"/>
  <c r="F434" i="13"/>
  <c r="F435" i="13"/>
  <c r="F436" i="13"/>
  <c r="F437" i="13"/>
  <c r="F438" i="13"/>
  <c r="F439" i="13"/>
  <c r="F440" i="13"/>
  <c r="F441" i="13"/>
  <c r="F442" i="13"/>
  <c r="F443" i="13"/>
  <c r="F444" i="13"/>
  <c r="F445" i="13"/>
  <c r="F446" i="13"/>
  <c r="F447" i="13"/>
  <c r="F448" i="13"/>
  <c r="F449" i="13"/>
  <c r="F450" i="13"/>
  <c r="F451" i="13"/>
  <c r="F452" i="13"/>
  <c r="F453" i="13"/>
  <c r="F454" i="13"/>
  <c r="F455" i="13"/>
  <c r="F456" i="13"/>
  <c r="F457" i="13"/>
  <c r="F458" i="13"/>
  <c r="F459" i="13"/>
  <c r="F460" i="13"/>
  <c r="F461" i="13"/>
  <c r="F462" i="13"/>
  <c r="F463" i="13"/>
  <c r="F464" i="13"/>
  <c r="F465" i="13"/>
  <c r="F466" i="13"/>
  <c r="F467" i="13"/>
  <c r="F468" i="13"/>
  <c r="F469" i="13"/>
  <c r="F470" i="13"/>
  <c r="F471" i="13"/>
  <c r="F472" i="13"/>
  <c r="F473" i="13"/>
  <c r="F474" i="13"/>
  <c r="F475" i="13"/>
  <c r="F476" i="13"/>
  <c r="F477" i="13"/>
  <c r="F478" i="13"/>
  <c r="F479" i="13"/>
  <c r="F480" i="13"/>
  <c r="F481" i="13"/>
  <c r="F482" i="13"/>
  <c r="F483" i="13"/>
  <c r="F484" i="13"/>
  <c r="F485" i="13"/>
  <c r="F486" i="13"/>
  <c r="F487" i="13"/>
  <c r="F488" i="13"/>
  <c r="F489" i="13"/>
  <c r="F490" i="13"/>
  <c r="F491" i="13"/>
  <c r="F492" i="13"/>
  <c r="F493" i="13"/>
  <c r="F494" i="13"/>
  <c r="F495" i="13"/>
  <c r="F496" i="13"/>
  <c r="F497" i="13"/>
  <c r="F498" i="13"/>
  <c r="F499" i="13"/>
  <c r="F500" i="13"/>
  <c r="F501" i="13"/>
  <c r="F502" i="13"/>
  <c r="F503" i="13"/>
  <c r="F504" i="13"/>
  <c r="F505" i="13"/>
  <c r="F506" i="13"/>
  <c r="F507" i="13"/>
  <c r="F508" i="13"/>
  <c r="F509" i="13"/>
  <c r="F510" i="13"/>
  <c r="F511" i="13"/>
  <c r="F512" i="13"/>
  <c r="F513" i="13"/>
  <c r="F514" i="13"/>
  <c r="F515" i="13"/>
  <c r="F516" i="13"/>
  <c r="F517" i="13"/>
  <c r="F518" i="13"/>
  <c r="F519" i="13"/>
  <c r="F520" i="13"/>
  <c r="F521" i="13"/>
  <c r="F522" i="13"/>
  <c r="F523" i="13"/>
  <c r="F524" i="13"/>
  <c r="F525" i="13"/>
  <c r="F526" i="13"/>
  <c r="F527" i="13"/>
  <c r="F528" i="13"/>
  <c r="F529" i="13"/>
  <c r="F530" i="13"/>
  <c r="F531" i="13"/>
  <c r="F532" i="13"/>
  <c r="F533" i="13"/>
  <c r="F534" i="13"/>
  <c r="F535" i="13"/>
  <c r="F536" i="13"/>
  <c r="F537" i="13"/>
  <c r="F538" i="13"/>
  <c r="F539" i="13"/>
  <c r="F540" i="13"/>
  <c r="F541" i="13"/>
  <c r="F542" i="13"/>
  <c r="F543" i="13"/>
  <c r="F544" i="13"/>
  <c r="F545" i="13"/>
  <c r="F546" i="13"/>
  <c r="F547" i="13"/>
  <c r="F548" i="13"/>
  <c r="F549" i="13"/>
  <c r="F550" i="13"/>
  <c r="F551" i="13"/>
  <c r="F552" i="13"/>
  <c r="F553" i="13"/>
  <c r="F554" i="13"/>
  <c r="F555" i="13"/>
  <c r="F556" i="13"/>
  <c r="F557" i="13"/>
  <c r="F558" i="13"/>
  <c r="F559" i="13"/>
  <c r="F560" i="13"/>
  <c r="F561" i="13"/>
  <c r="F562" i="13"/>
  <c r="F563" i="13"/>
  <c r="F564" i="13"/>
  <c r="F565" i="13"/>
  <c r="F566" i="13"/>
  <c r="F567" i="13"/>
  <c r="F568" i="13"/>
  <c r="F569" i="13"/>
  <c r="F570" i="13"/>
  <c r="F571" i="13"/>
  <c r="F572" i="13"/>
  <c r="F573" i="13"/>
  <c r="F574" i="13"/>
  <c r="F575" i="13"/>
  <c r="F576" i="13"/>
  <c r="F577" i="13"/>
  <c r="F578" i="13"/>
  <c r="F579" i="13"/>
  <c r="F580" i="13"/>
  <c r="F581" i="13"/>
  <c r="F582" i="13"/>
  <c r="F583" i="13"/>
  <c r="F584" i="13"/>
  <c r="F585" i="13"/>
  <c r="F586" i="13"/>
  <c r="F587" i="13"/>
  <c r="F588" i="13"/>
  <c r="F589" i="13"/>
  <c r="F590" i="13"/>
  <c r="F591" i="13"/>
  <c r="F592" i="13"/>
  <c r="F593" i="13"/>
  <c r="F594" i="13"/>
  <c r="F595" i="13"/>
  <c r="F596" i="13"/>
  <c r="F597" i="13"/>
  <c r="F598" i="13"/>
  <c r="F599" i="13"/>
  <c r="F600" i="13"/>
  <c r="F601" i="13"/>
  <c r="F602" i="13"/>
  <c r="F603" i="13"/>
  <c r="F604" i="13"/>
  <c r="F605" i="13"/>
  <c r="F606" i="13"/>
  <c r="F607" i="13"/>
  <c r="F608" i="13"/>
  <c r="F609" i="13"/>
  <c r="F610" i="13"/>
  <c r="F611" i="13"/>
  <c r="F612" i="13"/>
  <c r="F613" i="13"/>
  <c r="F614" i="13"/>
  <c r="F615" i="13"/>
  <c r="F616" i="13"/>
  <c r="F617" i="13"/>
  <c r="F618" i="13"/>
  <c r="F619" i="13"/>
  <c r="F620" i="13"/>
  <c r="F621" i="13"/>
  <c r="F622" i="13"/>
  <c r="F623" i="13"/>
  <c r="F624" i="13"/>
  <c r="F625" i="13"/>
  <c r="F626" i="13"/>
  <c r="F627" i="13"/>
  <c r="F628" i="13"/>
  <c r="F629" i="13"/>
  <c r="F630" i="13"/>
  <c r="F631" i="13"/>
  <c r="F632" i="13"/>
  <c r="F633" i="13"/>
  <c r="F634" i="13"/>
  <c r="F635" i="13"/>
  <c r="F636" i="13"/>
  <c r="F637" i="13"/>
  <c r="F638" i="13"/>
  <c r="F639" i="13"/>
  <c r="F3" i="13"/>
  <c r="F2" i="13"/>
  <c r="Z5" i="7"/>
  <c r="E3" i="13"/>
  <c r="E4" i="13"/>
  <c r="E5" i="13"/>
  <c r="E6" i="13"/>
  <c r="E7" i="13"/>
  <c r="E8" i="13"/>
  <c r="E9" i="13"/>
  <c r="E10" i="13"/>
  <c r="E11" i="13"/>
  <c r="E12" i="13"/>
  <c r="E13" i="13"/>
  <c r="E14" i="13"/>
  <c r="E15" i="13"/>
  <c r="E16" i="13"/>
  <c r="E17" i="13"/>
  <c r="E18" i="13"/>
  <c r="E19" i="13"/>
  <c r="E20" i="13"/>
  <c r="E21" i="13"/>
  <c r="E22" i="13"/>
  <c r="E23" i="13"/>
  <c r="G23" i="13" s="1"/>
  <c r="E24" i="13"/>
  <c r="G24" i="13" s="1"/>
  <c r="E25" i="13"/>
  <c r="E26" i="13"/>
  <c r="E27" i="13"/>
  <c r="E28" i="13"/>
  <c r="E29" i="13"/>
  <c r="E30" i="13"/>
  <c r="E31" i="13"/>
  <c r="E32" i="13"/>
  <c r="E33" i="13"/>
  <c r="E34" i="13"/>
  <c r="E35" i="13"/>
  <c r="E36" i="13"/>
  <c r="E37" i="13"/>
  <c r="E38" i="13"/>
  <c r="E39" i="13"/>
  <c r="G39" i="13" s="1"/>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G71" i="13" s="1"/>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G199" i="13" s="1"/>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502" i="13"/>
  <c r="E503" i="13"/>
  <c r="E504" i="13"/>
  <c r="E505" i="13"/>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2"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5" i="13"/>
  <c r="C616" i="13"/>
  <c r="C617" i="13"/>
  <c r="C618" i="13"/>
  <c r="C619" i="13"/>
  <c r="C620" i="13"/>
  <c r="C621" i="13"/>
  <c r="C622" i="13"/>
  <c r="C623" i="13"/>
  <c r="C624" i="13"/>
  <c r="C625" i="13"/>
  <c r="C626" i="13"/>
  <c r="C627" i="13"/>
  <c r="C628" i="13"/>
  <c r="C629" i="13"/>
  <c r="C630" i="13"/>
  <c r="C631" i="13"/>
  <c r="C632" i="13"/>
  <c r="C633" i="13"/>
  <c r="C634" i="13"/>
  <c r="C635" i="13"/>
  <c r="C636" i="13"/>
  <c r="C637" i="13"/>
  <c r="C638" i="13"/>
  <c r="C639"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 i="13"/>
  <c r="C4" i="13"/>
  <c r="C2" i="13"/>
  <c r="A639" i="13"/>
  <c r="B639" i="13" s="1"/>
  <c r="A638" i="13"/>
  <c r="B638" i="13" s="1"/>
  <c r="A637" i="13"/>
  <c r="B637" i="13" s="1"/>
  <c r="A636" i="13"/>
  <c r="B636" i="13" s="1"/>
  <c r="A635" i="13"/>
  <c r="B635" i="13" s="1"/>
  <c r="A634" i="13"/>
  <c r="B634" i="13" s="1"/>
  <c r="A633" i="13"/>
  <c r="B633" i="13" s="1"/>
  <c r="A632" i="13"/>
  <c r="B632" i="13" s="1"/>
  <c r="A631" i="13"/>
  <c r="B631" i="13" s="1"/>
  <c r="A630" i="13"/>
  <c r="B630" i="13" s="1"/>
  <c r="A629" i="13"/>
  <c r="B629" i="13" s="1"/>
  <c r="A628" i="13"/>
  <c r="B628" i="13" s="1"/>
  <c r="A627" i="13"/>
  <c r="B627" i="13" s="1"/>
  <c r="A626" i="13"/>
  <c r="B626" i="13" s="1"/>
  <c r="A625" i="13"/>
  <c r="B625" i="13" s="1"/>
  <c r="A624" i="13"/>
  <c r="B624" i="13" s="1"/>
  <c r="A623" i="13"/>
  <c r="B623" i="13" s="1"/>
  <c r="A622" i="13"/>
  <c r="B622" i="13" s="1"/>
  <c r="A621" i="13"/>
  <c r="B621" i="13" s="1"/>
  <c r="A620" i="13"/>
  <c r="B620" i="13" s="1"/>
  <c r="A619" i="13"/>
  <c r="B619" i="13" s="1"/>
  <c r="A618" i="13"/>
  <c r="B618" i="13" s="1"/>
  <c r="A617" i="13"/>
  <c r="B617" i="13" s="1"/>
  <c r="A616" i="13"/>
  <c r="B616" i="13" s="1"/>
  <c r="A615" i="13"/>
  <c r="B615" i="13" s="1"/>
  <c r="A614" i="13"/>
  <c r="B614" i="13" s="1"/>
  <c r="A613" i="13"/>
  <c r="B613" i="13" s="1"/>
  <c r="A612" i="13"/>
  <c r="B612" i="13" s="1"/>
  <c r="A611" i="13"/>
  <c r="B611" i="13" s="1"/>
  <c r="A610" i="13"/>
  <c r="B610" i="13" s="1"/>
  <c r="A609" i="13"/>
  <c r="B609" i="13" s="1"/>
  <c r="A608" i="13"/>
  <c r="B608" i="13" s="1"/>
  <c r="A607" i="13"/>
  <c r="B607" i="13" s="1"/>
  <c r="A606" i="13"/>
  <c r="B606" i="13" s="1"/>
  <c r="A605" i="13"/>
  <c r="B605" i="13" s="1"/>
  <c r="A604" i="13"/>
  <c r="B604" i="13" s="1"/>
  <c r="A603" i="13"/>
  <c r="B603" i="13" s="1"/>
  <c r="A602" i="13"/>
  <c r="B602" i="13" s="1"/>
  <c r="A601" i="13"/>
  <c r="B601" i="13" s="1"/>
  <c r="A600" i="13"/>
  <c r="B600" i="13" s="1"/>
  <c r="A599" i="13"/>
  <c r="B599" i="13" s="1"/>
  <c r="A598" i="13"/>
  <c r="B598" i="13" s="1"/>
  <c r="A597" i="13"/>
  <c r="B597" i="13" s="1"/>
  <c r="A596" i="13"/>
  <c r="B596" i="13" s="1"/>
  <c r="A595" i="13"/>
  <c r="B595" i="13" s="1"/>
  <c r="A594" i="13"/>
  <c r="B594" i="13" s="1"/>
  <c r="A593" i="13"/>
  <c r="B593" i="13" s="1"/>
  <c r="A592" i="13"/>
  <c r="B592" i="13" s="1"/>
  <c r="A591" i="13"/>
  <c r="B591" i="13" s="1"/>
  <c r="A590" i="13"/>
  <c r="B590" i="13" s="1"/>
  <c r="A589" i="13"/>
  <c r="B589" i="13" s="1"/>
  <c r="A588" i="13"/>
  <c r="B588" i="13" s="1"/>
  <c r="A587" i="13"/>
  <c r="B587" i="13" s="1"/>
  <c r="A586" i="13"/>
  <c r="B586" i="13" s="1"/>
  <c r="A585" i="13"/>
  <c r="B585" i="13" s="1"/>
  <c r="A584" i="13"/>
  <c r="B584" i="13" s="1"/>
  <c r="A583" i="13"/>
  <c r="B583" i="13" s="1"/>
  <c r="A582" i="13"/>
  <c r="B582" i="13" s="1"/>
  <c r="A581" i="13"/>
  <c r="B581" i="13" s="1"/>
  <c r="A580" i="13"/>
  <c r="B580" i="13" s="1"/>
  <c r="A579" i="13"/>
  <c r="B579" i="13" s="1"/>
  <c r="A578" i="13"/>
  <c r="B578" i="13" s="1"/>
  <c r="A577" i="13"/>
  <c r="B577" i="13" s="1"/>
  <c r="A576" i="13"/>
  <c r="B576" i="13" s="1"/>
  <c r="A575" i="13"/>
  <c r="B575" i="13" s="1"/>
  <c r="A574" i="13"/>
  <c r="B574" i="13" s="1"/>
  <c r="A573" i="13"/>
  <c r="B573" i="13" s="1"/>
  <c r="A572" i="13"/>
  <c r="B572" i="13" s="1"/>
  <c r="A571" i="13"/>
  <c r="B571" i="13" s="1"/>
  <c r="A570" i="13"/>
  <c r="B570" i="13" s="1"/>
  <c r="A569" i="13"/>
  <c r="B569" i="13" s="1"/>
  <c r="A568" i="13"/>
  <c r="B568" i="13" s="1"/>
  <c r="A567" i="13"/>
  <c r="B567" i="13" s="1"/>
  <c r="A566" i="13"/>
  <c r="B566" i="13" s="1"/>
  <c r="A565" i="13"/>
  <c r="B565" i="13" s="1"/>
  <c r="A564" i="13"/>
  <c r="B564" i="13" s="1"/>
  <c r="A563" i="13"/>
  <c r="B563" i="13" s="1"/>
  <c r="A562" i="13"/>
  <c r="B562" i="13" s="1"/>
  <c r="A561" i="13"/>
  <c r="B561" i="13" s="1"/>
  <c r="A560" i="13"/>
  <c r="B560" i="13" s="1"/>
  <c r="A559" i="13"/>
  <c r="B559" i="13" s="1"/>
  <c r="A558" i="13"/>
  <c r="B558" i="13" s="1"/>
  <c r="A557" i="13"/>
  <c r="B557" i="13" s="1"/>
  <c r="A556" i="13"/>
  <c r="B556" i="13" s="1"/>
  <c r="A555" i="13"/>
  <c r="B555" i="13" s="1"/>
  <c r="A554" i="13"/>
  <c r="B554" i="13" s="1"/>
  <c r="A553" i="13"/>
  <c r="B553" i="13" s="1"/>
  <c r="A552" i="13"/>
  <c r="B552" i="13" s="1"/>
  <c r="A551" i="13"/>
  <c r="B551" i="13" s="1"/>
  <c r="A550" i="13"/>
  <c r="B550" i="13" s="1"/>
  <c r="A549" i="13"/>
  <c r="B549" i="13" s="1"/>
  <c r="A548" i="13"/>
  <c r="B548" i="13" s="1"/>
  <c r="A547" i="13"/>
  <c r="B547" i="13" s="1"/>
  <c r="A546" i="13"/>
  <c r="B546" i="13" s="1"/>
  <c r="A545" i="13"/>
  <c r="B545" i="13" s="1"/>
  <c r="A544" i="13"/>
  <c r="B544" i="13" s="1"/>
  <c r="A543" i="13"/>
  <c r="B543" i="13" s="1"/>
  <c r="A542" i="13"/>
  <c r="B542" i="13" s="1"/>
  <c r="A541" i="13"/>
  <c r="B541" i="13" s="1"/>
  <c r="A540" i="13"/>
  <c r="B540" i="13" s="1"/>
  <c r="A539" i="13"/>
  <c r="B539" i="13" s="1"/>
  <c r="A538" i="13"/>
  <c r="B538" i="13" s="1"/>
  <c r="A537" i="13"/>
  <c r="B537" i="13" s="1"/>
  <c r="A536" i="13"/>
  <c r="B536" i="13" s="1"/>
  <c r="A535" i="13"/>
  <c r="B535" i="13" s="1"/>
  <c r="A534" i="13"/>
  <c r="B534" i="13" s="1"/>
  <c r="A533" i="13"/>
  <c r="B533" i="13" s="1"/>
  <c r="A532" i="13"/>
  <c r="B532" i="13" s="1"/>
  <c r="A531" i="13"/>
  <c r="B531" i="13" s="1"/>
  <c r="A530" i="13"/>
  <c r="B530" i="13" s="1"/>
  <c r="A529" i="13"/>
  <c r="B529" i="13" s="1"/>
  <c r="A528" i="13"/>
  <c r="B528" i="13" s="1"/>
  <c r="A527" i="13"/>
  <c r="B527" i="13" s="1"/>
  <c r="A526" i="13"/>
  <c r="B526" i="13" s="1"/>
  <c r="A525" i="13"/>
  <c r="B525" i="13" s="1"/>
  <c r="A524" i="13"/>
  <c r="B524" i="13" s="1"/>
  <c r="A523" i="13"/>
  <c r="B523" i="13" s="1"/>
  <c r="A522" i="13"/>
  <c r="B522" i="13" s="1"/>
  <c r="A521" i="13"/>
  <c r="B521" i="13" s="1"/>
  <c r="A520" i="13"/>
  <c r="B520" i="13" s="1"/>
  <c r="A519" i="13"/>
  <c r="B519" i="13" s="1"/>
  <c r="A518" i="13"/>
  <c r="B518" i="13" s="1"/>
  <c r="A517" i="13"/>
  <c r="B517" i="13" s="1"/>
  <c r="A516" i="13"/>
  <c r="B516" i="13" s="1"/>
  <c r="A515" i="13"/>
  <c r="B515" i="13" s="1"/>
  <c r="A514" i="13"/>
  <c r="B514" i="13" s="1"/>
  <c r="A513" i="13"/>
  <c r="B513" i="13" s="1"/>
  <c r="A512" i="13"/>
  <c r="B512" i="13" s="1"/>
  <c r="A511" i="13"/>
  <c r="B511" i="13" s="1"/>
  <c r="A510" i="13"/>
  <c r="B510" i="13" s="1"/>
  <c r="A509" i="13"/>
  <c r="B509" i="13" s="1"/>
  <c r="A508" i="13"/>
  <c r="B508" i="13" s="1"/>
  <c r="A507" i="13"/>
  <c r="B507" i="13" s="1"/>
  <c r="A506" i="13"/>
  <c r="B506" i="13" s="1"/>
  <c r="A505" i="13"/>
  <c r="B505" i="13" s="1"/>
  <c r="A504" i="13"/>
  <c r="B504" i="13" s="1"/>
  <c r="A503" i="13"/>
  <c r="B503" i="13" s="1"/>
  <c r="A502" i="13"/>
  <c r="B502" i="13" s="1"/>
  <c r="A501" i="13"/>
  <c r="B501" i="13" s="1"/>
  <c r="A500" i="13"/>
  <c r="B500" i="13" s="1"/>
  <c r="A499" i="13"/>
  <c r="B499" i="13" s="1"/>
  <c r="A498" i="13"/>
  <c r="B498" i="13" s="1"/>
  <c r="A497" i="13"/>
  <c r="B497" i="13" s="1"/>
  <c r="A496" i="13"/>
  <c r="B496" i="13" s="1"/>
  <c r="A495" i="13"/>
  <c r="B495" i="13" s="1"/>
  <c r="A494" i="13"/>
  <c r="B494" i="13" s="1"/>
  <c r="A493" i="13"/>
  <c r="B493" i="13" s="1"/>
  <c r="A492" i="13"/>
  <c r="B492" i="13" s="1"/>
  <c r="A491" i="13"/>
  <c r="B491" i="13" s="1"/>
  <c r="A490" i="13"/>
  <c r="B490" i="13" s="1"/>
  <c r="A489" i="13"/>
  <c r="B489" i="13" s="1"/>
  <c r="A488" i="13"/>
  <c r="B488" i="13" s="1"/>
  <c r="A487" i="13"/>
  <c r="B487" i="13" s="1"/>
  <c r="A486" i="13"/>
  <c r="B486" i="13" s="1"/>
  <c r="A485" i="13"/>
  <c r="B485" i="13" s="1"/>
  <c r="A484" i="13"/>
  <c r="B484" i="13" s="1"/>
  <c r="A483" i="13"/>
  <c r="B483" i="13" s="1"/>
  <c r="A482" i="13"/>
  <c r="B482" i="13" s="1"/>
  <c r="A481" i="13"/>
  <c r="B481" i="13" s="1"/>
  <c r="A480" i="13"/>
  <c r="B480" i="13" s="1"/>
  <c r="A479" i="13"/>
  <c r="B479" i="13" s="1"/>
  <c r="A478" i="13"/>
  <c r="B478" i="13" s="1"/>
  <c r="A477" i="13"/>
  <c r="B477" i="13" s="1"/>
  <c r="A476" i="13"/>
  <c r="B476" i="13" s="1"/>
  <c r="A475" i="13"/>
  <c r="B475" i="13" s="1"/>
  <c r="A474" i="13"/>
  <c r="B474" i="13" s="1"/>
  <c r="A473" i="13"/>
  <c r="B473" i="13" s="1"/>
  <c r="A472" i="13"/>
  <c r="B472" i="13" s="1"/>
  <c r="A471" i="13"/>
  <c r="B471" i="13" s="1"/>
  <c r="A470" i="13"/>
  <c r="B470" i="13" s="1"/>
  <c r="A469" i="13"/>
  <c r="B469" i="13" s="1"/>
  <c r="A468" i="13"/>
  <c r="B468" i="13" s="1"/>
  <c r="A467" i="13"/>
  <c r="B467" i="13" s="1"/>
  <c r="A466" i="13"/>
  <c r="B466" i="13" s="1"/>
  <c r="A465" i="13"/>
  <c r="B465" i="13" s="1"/>
  <c r="A464" i="13"/>
  <c r="B464" i="13" s="1"/>
  <c r="A463" i="13"/>
  <c r="B463" i="13" s="1"/>
  <c r="A462" i="13"/>
  <c r="B462" i="13" s="1"/>
  <c r="A461" i="13"/>
  <c r="B461" i="13" s="1"/>
  <c r="A460" i="13"/>
  <c r="B460" i="13" s="1"/>
  <c r="A459" i="13"/>
  <c r="B459" i="13" s="1"/>
  <c r="A458" i="13"/>
  <c r="B458" i="13" s="1"/>
  <c r="A457" i="13"/>
  <c r="B457" i="13" s="1"/>
  <c r="A456" i="13"/>
  <c r="B456" i="13" s="1"/>
  <c r="A455" i="13"/>
  <c r="B455" i="13" s="1"/>
  <c r="A454" i="13"/>
  <c r="B454" i="13" s="1"/>
  <c r="A453" i="13"/>
  <c r="B453" i="13" s="1"/>
  <c r="A452" i="13"/>
  <c r="B452" i="13" s="1"/>
  <c r="A451" i="13"/>
  <c r="B451" i="13" s="1"/>
  <c r="A450" i="13"/>
  <c r="B450" i="13" s="1"/>
  <c r="A449" i="13"/>
  <c r="B449" i="13" s="1"/>
  <c r="A448" i="13"/>
  <c r="B448" i="13" s="1"/>
  <c r="A447" i="13"/>
  <c r="B447" i="13" s="1"/>
  <c r="A446" i="13"/>
  <c r="B446" i="13" s="1"/>
  <c r="A445" i="13"/>
  <c r="B445" i="13" s="1"/>
  <c r="A444" i="13"/>
  <c r="B444" i="13" s="1"/>
  <c r="A443" i="13"/>
  <c r="B443" i="13" s="1"/>
  <c r="A442" i="13"/>
  <c r="B442" i="13" s="1"/>
  <c r="A441" i="13"/>
  <c r="B441" i="13" s="1"/>
  <c r="A440" i="13"/>
  <c r="B440" i="13" s="1"/>
  <c r="A439" i="13"/>
  <c r="B439" i="13" s="1"/>
  <c r="A438" i="13"/>
  <c r="B438" i="13" s="1"/>
  <c r="A437" i="13"/>
  <c r="B437" i="13" s="1"/>
  <c r="A436" i="13"/>
  <c r="B436" i="13" s="1"/>
  <c r="A435" i="13"/>
  <c r="B435" i="13" s="1"/>
  <c r="A434" i="13"/>
  <c r="B434" i="13" s="1"/>
  <c r="A433" i="13"/>
  <c r="B433" i="13" s="1"/>
  <c r="A432" i="13"/>
  <c r="B432" i="13" s="1"/>
  <c r="A431" i="13"/>
  <c r="B431" i="13" s="1"/>
  <c r="A430" i="13"/>
  <c r="B430" i="13" s="1"/>
  <c r="A429" i="13"/>
  <c r="B429" i="13" s="1"/>
  <c r="A428" i="13"/>
  <c r="B428" i="13" s="1"/>
  <c r="A427" i="13"/>
  <c r="B427" i="13" s="1"/>
  <c r="A426" i="13"/>
  <c r="B426" i="13" s="1"/>
  <c r="A425" i="13"/>
  <c r="B425" i="13" s="1"/>
  <c r="A424" i="13"/>
  <c r="B424" i="13" s="1"/>
  <c r="A423" i="13"/>
  <c r="B423" i="13" s="1"/>
  <c r="A422" i="13"/>
  <c r="B422" i="13" s="1"/>
  <c r="A421" i="13"/>
  <c r="B421" i="13" s="1"/>
  <c r="A420" i="13"/>
  <c r="B420" i="13" s="1"/>
  <c r="A419" i="13"/>
  <c r="B419" i="13" s="1"/>
  <c r="A418" i="13"/>
  <c r="B418" i="13" s="1"/>
  <c r="A417" i="13"/>
  <c r="B417" i="13" s="1"/>
  <c r="A416" i="13"/>
  <c r="B416" i="13" s="1"/>
  <c r="A415" i="13"/>
  <c r="B415" i="13" s="1"/>
  <c r="A414" i="13"/>
  <c r="B414" i="13" s="1"/>
  <c r="A413" i="13"/>
  <c r="B413" i="13" s="1"/>
  <c r="A412" i="13"/>
  <c r="B412" i="13" s="1"/>
  <c r="A411" i="13"/>
  <c r="B411" i="13" s="1"/>
  <c r="A410" i="13"/>
  <c r="B410" i="13" s="1"/>
  <c r="A409" i="13"/>
  <c r="B409" i="13" s="1"/>
  <c r="A408" i="13"/>
  <c r="B408" i="13" s="1"/>
  <c r="A407" i="13"/>
  <c r="B407" i="13" s="1"/>
  <c r="A406" i="13"/>
  <c r="B406" i="13" s="1"/>
  <c r="A405" i="13"/>
  <c r="B405" i="13" s="1"/>
  <c r="A404" i="13"/>
  <c r="B404" i="13" s="1"/>
  <c r="A403" i="13"/>
  <c r="B403" i="13" s="1"/>
  <c r="A402" i="13"/>
  <c r="B402" i="13" s="1"/>
  <c r="A401" i="13"/>
  <c r="B401" i="13" s="1"/>
  <c r="A400" i="13"/>
  <c r="B400" i="13" s="1"/>
  <c r="A399" i="13"/>
  <c r="B399" i="13" s="1"/>
  <c r="A398" i="13"/>
  <c r="B398" i="13" s="1"/>
  <c r="A397" i="13"/>
  <c r="B397" i="13" s="1"/>
  <c r="A396" i="13"/>
  <c r="B396" i="13" s="1"/>
  <c r="A395" i="13"/>
  <c r="B395" i="13" s="1"/>
  <c r="A394" i="13"/>
  <c r="B394" i="13" s="1"/>
  <c r="A393" i="13"/>
  <c r="B393" i="13" s="1"/>
  <c r="A392" i="13"/>
  <c r="B392" i="13" s="1"/>
  <c r="A391" i="13"/>
  <c r="B391" i="13" s="1"/>
  <c r="A390" i="13"/>
  <c r="B390" i="13" s="1"/>
  <c r="A389" i="13"/>
  <c r="B389" i="13" s="1"/>
  <c r="A388" i="13"/>
  <c r="B388" i="13" s="1"/>
  <c r="A387" i="13"/>
  <c r="B387" i="13" s="1"/>
  <c r="A386" i="13"/>
  <c r="B386" i="13" s="1"/>
  <c r="A385" i="13"/>
  <c r="B385" i="13" s="1"/>
  <c r="A384" i="13"/>
  <c r="B384" i="13" s="1"/>
  <c r="A383" i="13"/>
  <c r="B383" i="13" s="1"/>
  <c r="A382" i="13"/>
  <c r="B382" i="13" s="1"/>
  <c r="A381" i="13"/>
  <c r="B381" i="13" s="1"/>
  <c r="A380" i="13"/>
  <c r="B380" i="13" s="1"/>
  <c r="A379" i="13"/>
  <c r="B379" i="13" s="1"/>
  <c r="A378" i="13"/>
  <c r="B378" i="13" s="1"/>
  <c r="A377" i="13"/>
  <c r="B377" i="13" s="1"/>
  <c r="A376" i="13"/>
  <c r="B376" i="13" s="1"/>
  <c r="A375" i="13"/>
  <c r="B375" i="13" s="1"/>
  <c r="A374" i="13"/>
  <c r="B374" i="13" s="1"/>
  <c r="A373" i="13"/>
  <c r="B373" i="13" s="1"/>
  <c r="A372" i="13"/>
  <c r="B372" i="13" s="1"/>
  <c r="A371" i="13"/>
  <c r="B371" i="13" s="1"/>
  <c r="A370" i="13"/>
  <c r="B370" i="13" s="1"/>
  <c r="A369" i="13"/>
  <c r="B369" i="13" s="1"/>
  <c r="A368" i="13"/>
  <c r="B368" i="13" s="1"/>
  <c r="A367" i="13"/>
  <c r="B367" i="13" s="1"/>
  <c r="A366" i="13"/>
  <c r="B366" i="13" s="1"/>
  <c r="A365" i="13"/>
  <c r="B365" i="13" s="1"/>
  <c r="A364" i="13"/>
  <c r="B364" i="13" s="1"/>
  <c r="A363" i="13"/>
  <c r="B363" i="13" s="1"/>
  <c r="A362" i="13"/>
  <c r="B362" i="13" s="1"/>
  <c r="A361" i="13"/>
  <c r="B361" i="13" s="1"/>
  <c r="A360" i="13"/>
  <c r="B360" i="13" s="1"/>
  <c r="A359" i="13"/>
  <c r="B359" i="13" s="1"/>
  <c r="A358" i="13"/>
  <c r="B358" i="13" s="1"/>
  <c r="A357" i="13"/>
  <c r="B357" i="13" s="1"/>
  <c r="A356" i="13"/>
  <c r="B356" i="13" s="1"/>
  <c r="A355" i="13"/>
  <c r="B355" i="13" s="1"/>
  <c r="A354" i="13"/>
  <c r="B354" i="13" s="1"/>
  <c r="A353" i="13"/>
  <c r="B353" i="13" s="1"/>
  <c r="A352" i="13"/>
  <c r="B352" i="13" s="1"/>
  <c r="A351" i="13"/>
  <c r="B351" i="13" s="1"/>
  <c r="A350" i="13"/>
  <c r="B350" i="13" s="1"/>
  <c r="A349" i="13"/>
  <c r="B349" i="13" s="1"/>
  <c r="A348" i="13"/>
  <c r="B348" i="13" s="1"/>
  <c r="A347" i="13"/>
  <c r="B347" i="13" s="1"/>
  <c r="A346" i="13"/>
  <c r="B346" i="13" s="1"/>
  <c r="A345" i="13"/>
  <c r="B345" i="13" s="1"/>
  <c r="A344" i="13"/>
  <c r="B344" i="13" s="1"/>
  <c r="A343" i="13"/>
  <c r="B343" i="13" s="1"/>
  <c r="A342" i="13"/>
  <c r="B342" i="13" s="1"/>
  <c r="A341" i="13"/>
  <c r="B341" i="13" s="1"/>
  <c r="A340" i="13"/>
  <c r="B340" i="13" s="1"/>
  <c r="A339" i="13"/>
  <c r="B339" i="13" s="1"/>
  <c r="A338" i="13"/>
  <c r="B338" i="13" s="1"/>
  <c r="A337" i="13"/>
  <c r="B337" i="13" s="1"/>
  <c r="A336" i="13"/>
  <c r="B336" i="13" s="1"/>
  <c r="A335" i="13"/>
  <c r="B335" i="13" s="1"/>
  <c r="A334" i="13"/>
  <c r="B334" i="13" s="1"/>
  <c r="A333" i="13"/>
  <c r="B333" i="13" s="1"/>
  <c r="A332" i="13"/>
  <c r="B332" i="13" s="1"/>
  <c r="A331" i="13"/>
  <c r="B331" i="13" s="1"/>
  <c r="A330" i="13"/>
  <c r="B330" i="13" s="1"/>
  <c r="A329" i="13"/>
  <c r="B329" i="13" s="1"/>
  <c r="A328" i="13"/>
  <c r="B328" i="13" s="1"/>
  <c r="A327" i="13"/>
  <c r="B327" i="13" s="1"/>
  <c r="A326" i="13"/>
  <c r="B326" i="13" s="1"/>
  <c r="A325" i="13"/>
  <c r="B325" i="13" s="1"/>
  <c r="A324" i="13"/>
  <c r="B324" i="13" s="1"/>
  <c r="A323" i="13"/>
  <c r="B323" i="13" s="1"/>
  <c r="A322" i="13"/>
  <c r="B322" i="13" s="1"/>
  <c r="A321" i="13"/>
  <c r="B321" i="13" s="1"/>
  <c r="A320" i="13"/>
  <c r="B320" i="13" s="1"/>
  <c r="A319" i="13"/>
  <c r="B319" i="13" s="1"/>
  <c r="A318" i="13"/>
  <c r="B318" i="13" s="1"/>
  <c r="A317" i="13"/>
  <c r="B317" i="13" s="1"/>
  <c r="A316" i="13"/>
  <c r="B316" i="13" s="1"/>
  <c r="A315" i="13"/>
  <c r="B315" i="13" s="1"/>
  <c r="A314" i="13"/>
  <c r="B314" i="13" s="1"/>
  <c r="A313" i="13"/>
  <c r="B313" i="13" s="1"/>
  <c r="A312" i="13"/>
  <c r="B312" i="13" s="1"/>
  <c r="A311" i="13"/>
  <c r="B311" i="13" s="1"/>
  <c r="A310" i="13"/>
  <c r="B310" i="13" s="1"/>
  <c r="A309" i="13"/>
  <c r="B309" i="13" s="1"/>
  <c r="A308" i="13"/>
  <c r="B308" i="13" s="1"/>
  <c r="A307" i="13"/>
  <c r="B307" i="13" s="1"/>
  <c r="A306" i="13"/>
  <c r="B306" i="13" s="1"/>
  <c r="A305" i="13"/>
  <c r="B305" i="13" s="1"/>
  <c r="A304" i="13"/>
  <c r="B304" i="13" s="1"/>
  <c r="A303" i="13"/>
  <c r="B303" i="13" s="1"/>
  <c r="A302" i="13"/>
  <c r="B302" i="13" s="1"/>
  <c r="A301" i="13"/>
  <c r="B301" i="13" s="1"/>
  <c r="A300" i="13"/>
  <c r="B300" i="13" s="1"/>
  <c r="A299" i="13"/>
  <c r="B299" i="13" s="1"/>
  <c r="A298" i="13"/>
  <c r="B298" i="13" s="1"/>
  <c r="A297" i="13"/>
  <c r="B297" i="13" s="1"/>
  <c r="A296" i="13"/>
  <c r="B296" i="13" s="1"/>
  <c r="A295" i="13"/>
  <c r="B295" i="13" s="1"/>
  <c r="A294" i="13"/>
  <c r="B294" i="13" s="1"/>
  <c r="A293" i="13"/>
  <c r="B293" i="13" s="1"/>
  <c r="A292" i="13"/>
  <c r="B292" i="13" s="1"/>
  <c r="A291" i="13"/>
  <c r="B291" i="13" s="1"/>
  <c r="A290" i="13"/>
  <c r="B290" i="13" s="1"/>
  <c r="A289" i="13"/>
  <c r="B289" i="13" s="1"/>
  <c r="A288" i="13"/>
  <c r="B288" i="13" s="1"/>
  <c r="A287" i="13"/>
  <c r="B287" i="13" s="1"/>
  <c r="A286" i="13"/>
  <c r="B286" i="13" s="1"/>
  <c r="A285" i="13"/>
  <c r="B285" i="13" s="1"/>
  <c r="A284" i="13"/>
  <c r="B284" i="13" s="1"/>
  <c r="A283" i="13"/>
  <c r="B283" i="13" s="1"/>
  <c r="A282" i="13"/>
  <c r="B282" i="13" s="1"/>
  <c r="A281" i="13"/>
  <c r="B281" i="13" s="1"/>
  <c r="A280" i="13"/>
  <c r="B280" i="13" s="1"/>
  <c r="A279" i="13"/>
  <c r="B279" i="13" s="1"/>
  <c r="A278" i="13"/>
  <c r="B278" i="13" s="1"/>
  <c r="A277" i="13"/>
  <c r="B277" i="13" s="1"/>
  <c r="A276" i="13"/>
  <c r="B276" i="13" s="1"/>
  <c r="A275" i="13"/>
  <c r="B275" i="13" s="1"/>
  <c r="A274" i="13"/>
  <c r="B274" i="13" s="1"/>
  <c r="A273" i="13"/>
  <c r="B273" i="13" s="1"/>
  <c r="A272" i="13"/>
  <c r="B272" i="13" s="1"/>
  <c r="A271" i="13"/>
  <c r="B271" i="13" s="1"/>
  <c r="A270" i="13"/>
  <c r="B270" i="13" s="1"/>
  <c r="A269" i="13"/>
  <c r="B269" i="13" s="1"/>
  <c r="A268" i="13"/>
  <c r="B268" i="13" s="1"/>
  <c r="A267" i="13"/>
  <c r="B267" i="13" s="1"/>
  <c r="A266" i="13"/>
  <c r="B266" i="13" s="1"/>
  <c r="A265" i="13"/>
  <c r="B265" i="13" s="1"/>
  <c r="A264" i="13"/>
  <c r="B264" i="13" s="1"/>
  <c r="A263" i="13"/>
  <c r="B263" i="13" s="1"/>
  <c r="A262" i="13"/>
  <c r="B262" i="13" s="1"/>
  <c r="A261" i="13"/>
  <c r="B261" i="13" s="1"/>
  <c r="A260" i="13"/>
  <c r="B260" i="13" s="1"/>
  <c r="A259" i="13"/>
  <c r="B259" i="13" s="1"/>
  <c r="A258" i="13"/>
  <c r="B258" i="13" s="1"/>
  <c r="A257" i="13"/>
  <c r="B257" i="13" s="1"/>
  <c r="A256" i="13"/>
  <c r="B256" i="13" s="1"/>
  <c r="A255" i="13"/>
  <c r="B255" i="13" s="1"/>
  <c r="A254" i="13"/>
  <c r="B254" i="13" s="1"/>
  <c r="A253" i="13"/>
  <c r="B253" i="13" s="1"/>
  <c r="A252" i="13"/>
  <c r="B252" i="13" s="1"/>
  <c r="A251" i="13"/>
  <c r="B251" i="13" s="1"/>
  <c r="A250" i="13"/>
  <c r="B250" i="13" s="1"/>
  <c r="A249" i="13"/>
  <c r="B249" i="13" s="1"/>
  <c r="A248" i="13"/>
  <c r="B248" i="13" s="1"/>
  <c r="A247" i="13"/>
  <c r="B247" i="13" s="1"/>
  <c r="A246" i="13"/>
  <c r="B246" i="13" s="1"/>
  <c r="A245" i="13"/>
  <c r="B245" i="13" s="1"/>
  <c r="A244" i="13"/>
  <c r="B244" i="13" s="1"/>
  <c r="A243" i="13"/>
  <c r="B243" i="13" s="1"/>
  <c r="A242" i="13"/>
  <c r="B242" i="13" s="1"/>
  <c r="A241" i="13"/>
  <c r="B241" i="13" s="1"/>
  <c r="A240" i="13"/>
  <c r="B240" i="13" s="1"/>
  <c r="A239" i="13"/>
  <c r="B239" i="13" s="1"/>
  <c r="A238" i="13"/>
  <c r="B238" i="13" s="1"/>
  <c r="A237" i="13"/>
  <c r="B237" i="13" s="1"/>
  <c r="A236" i="13"/>
  <c r="B236" i="13" s="1"/>
  <c r="A235" i="13"/>
  <c r="B235" i="13" s="1"/>
  <c r="A234" i="13"/>
  <c r="B234" i="13" s="1"/>
  <c r="A233" i="13"/>
  <c r="B233" i="13" s="1"/>
  <c r="A232" i="13"/>
  <c r="B232" i="13" s="1"/>
  <c r="A231" i="13"/>
  <c r="B231" i="13" s="1"/>
  <c r="A230" i="13"/>
  <c r="B230" i="13" s="1"/>
  <c r="A229" i="13"/>
  <c r="B229" i="13" s="1"/>
  <c r="A228" i="13"/>
  <c r="B228" i="13" s="1"/>
  <c r="A227" i="13"/>
  <c r="B227" i="13" s="1"/>
  <c r="A226" i="13"/>
  <c r="B226" i="13" s="1"/>
  <c r="A225" i="13"/>
  <c r="B225" i="13" s="1"/>
  <c r="A224" i="13"/>
  <c r="B224" i="13" s="1"/>
  <c r="A223" i="13"/>
  <c r="B223" i="13" s="1"/>
  <c r="A222" i="13"/>
  <c r="B222" i="13" s="1"/>
  <c r="A221" i="13"/>
  <c r="B221" i="13" s="1"/>
  <c r="A220" i="13"/>
  <c r="B220" i="13" s="1"/>
  <c r="A219" i="13"/>
  <c r="B219" i="13" s="1"/>
  <c r="A218" i="13"/>
  <c r="B218" i="13" s="1"/>
  <c r="A217" i="13"/>
  <c r="B217" i="13" s="1"/>
  <c r="A216" i="13"/>
  <c r="B216" i="13" s="1"/>
  <c r="A215" i="13"/>
  <c r="B215" i="13" s="1"/>
  <c r="A214" i="13"/>
  <c r="B214" i="13" s="1"/>
  <c r="A213" i="13"/>
  <c r="B213" i="13" s="1"/>
  <c r="A212" i="13"/>
  <c r="B212" i="13" s="1"/>
  <c r="A211" i="13"/>
  <c r="B211" i="13" s="1"/>
  <c r="A210" i="13"/>
  <c r="B210" i="13" s="1"/>
  <c r="A209" i="13"/>
  <c r="B209" i="13" s="1"/>
  <c r="A208" i="13"/>
  <c r="B208" i="13" s="1"/>
  <c r="A207" i="13"/>
  <c r="B207" i="13" s="1"/>
  <c r="A206" i="13"/>
  <c r="B206" i="13" s="1"/>
  <c r="A205" i="13"/>
  <c r="B205" i="13" s="1"/>
  <c r="A204" i="13"/>
  <c r="B204" i="13" s="1"/>
  <c r="A203" i="13"/>
  <c r="B203" i="13" s="1"/>
  <c r="A202" i="13"/>
  <c r="B202" i="13" s="1"/>
  <c r="A201" i="13"/>
  <c r="B201" i="13" s="1"/>
  <c r="A200" i="13"/>
  <c r="B200" i="13" s="1"/>
  <c r="A199" i="13"/>
  <c r="B199" i="13" s="1"/>
  <c r="A198" i="13"/>
  <c r="B198" i="13" s="1"/>
  <c r="A197" i="13"/>
  <c r="B197" i="13" s="1"/>
  <c r="A196" i="13"/>
  <c r="B196" i="13" s="1"/>
  <c r="A195" i="13"/>
  <c r="B195" i="13" s="1"/>
  <c r="A194" i="13"/>
  <c r="B194" i="13" s="1"/>
  <c r="A193" i="13"/>
  <c r="B193" i="13" s="1"/>
  <c r="A192" i="13"/>
  <c r="B192" i="13" s="1"/>
  <c r="A191" i="13"/>
  <c r="B191" i="13" s="1"/>
  <c r="A190" i="13"/>
  <c r="B190" i="13" s="1"/>
  <c r="A189" i="13"/>
  <c r="B189" i="13" s="1"/>
  <c r="A188" i="13"/>
  <c r="B188" i="13" s="1"/>
  <c r="A187" i="13"/>
  <c r="B187" i="13" s="1"/>
  <c r="A186" i="13"/>
  <c r="B186" i="13" s="1"/>
  <c r="A185" i="13"/>
  <c r="B185" i="13" s="1"/>
  <c r="A184" i="13"/>
  <c r="B184" i="13" s="1"/>
  <c r="A183" i="13"/>
  <c r="B183" i="13" s="1"/>
  <c r="A182" i="13"/>
  <c r="B182" i="13" s="1"/>
  <c r="A181" i="13"/>
  <c r="B181" i="13" s="1"/>
  <c r="A180" i="13"/>
  <c r="B180" i="13" s="1"/>
  <c r="A179" i="13"/>
  <c r="B179" i="13" s="1"/>
  <c r="A178" i="13"/>
  <c r="B178" i="13" s="1"/>
  <c r="A177" i="13"/>
  <c r="B177" i="13" s="1"/>
  <c r="A176" i="13"/>
  <c r="B176" i="13" s="1"/>
  <c r="A175" i="13"/>
  <c r="B175" i="13" s="1"/>
  <c r="A174" i="13"/>
  <c r="B174" i="13" s="1"/>
  <c r="A173" i="13"/>
  <c r="B173" i="13" s="1"/>
  <c r="A172" i="13"/>
  <c r="B172" i="13" s="1"/>
  <c r="A171" i="13"/>
  <c r="B171" i="13" s="1"/>
  <c r="A170" i="13"/>
  <c r="B170" i="13" s="1"/>
  <c r="A169" i="13"/>
  <c r="B169" i="13" s="1"/>
  <c r="A168" i="13"/>
  <c r="B168" i="13" s="1"/>
  <c r="A167" i="13"/>
  <c r="B167" i="13" s="1"/>
  <c r="A166" i="13"/>
  <c r="B166" i="13" s="1"/>
  <c r="A165" i="13"/>
  <c r="B165" i="13" s="1"/>
  <c r="A164" i="13"/>
  <c r="B164" i="13" s="1"/>
  <c r="A163" i="13"/>
  <c r="B163" i="13" s="1"/>
  <c r="A162" i="13"/>
  <c r="B162" i="13" s="1"/>
  <c r="A161" i="13"/>
  <c r="B161" i="13" s="1"/>
  <c r="A160" i="13"/>
  <c r="B160" i="13" s="1"/>
  <c r="A159" i="13"/>
  <c r="B159" i="13" s="1"/>
  <c r="A158" i="13"/>
  <c r="B158" i="13" s="1"/>
  <c r="A157" i="13"/>
  <c r="B157" i="13" s="1"/>
  <c r="A156" i="13"/>
  <c r="B156" i="13" s="1"/>
  <c r="A155" i="13"/>
  <c r="B155" i="13" s="1"/>
  <c r="A154" i="13"/>
  <c r="B154" i="13" s="1"/>
  <c r="A153" i="13"/>
  <c r="B153" i="13" s="1"/>
  <c r="A152" i="13"/>
  <c r="B152" i="13" s="1"/>
  <c r="A151" i="13"/>
  <c r="B151" i="13" s="1"/>
  <c r="A150" i="13"/>
  <c r="B150" i="13" s="1"/>
  <c r="A149" i="13"/>
  <c r="B149" i="13" s="1"/>
  <c r="A148" i="13"/>
  <c r="B148" i="13" s="1"/>
  <c r="A147" i="13"/>
  <c r="B147" i="13" s="1"/>
  <c r="A146" i="13"/>
  <c r="B146" i="13" s="1"/>
  <c r="A145" i="13"/>
  <c r="B145" i="13" s="1"/>
  <c r="A144" i="13"/>
  <c r="B144" i="13" s="1"/>
  <c r="A143" i="13"/>
  <c r="B143" i="13" s="1"/>
  <c r="A142" i="13"/>
  <c r="B142" i="13" s="1"/>
  <c r="A141" i="13"/>
  <c r="B141" i="13" s="1"/>
  <c r="A140" i="13"/>
  <c r="B140" i="13" s="1"/>
  <c r="A139" i="13"/>
  <c r="B139" i="13" s="1"/>
  <c r="A138" i="13"/>
  <c r="B138" i="13" s="1"/>
  <c r="A137" i="13"/>
  <c r="B137" i="13" s="1"/>
  <c r="A136" i="13"/>
  <c r="B136" i="13" s="1"/>
  <c r="A135" i="13"/>
  <c r="B135" i="13" s="1"/>
  <c r="A134" i="13"/>
  <c r="B134" i="13" s="1"/>
  <c r="A133" i="13"/>
  <c r="B133" i="13" s="1"/>
  <c r="A132" i="13"/>
  <c r="B132" i="13" s="1"/>
  <c r="A131" i="13"/>
  <c r="B131" i="13" s="1"/>
  <c r="A130" i="13"/>
  <c r="B130" i="13" s="1"/>
  <c r="A129" i="13"/>
  <c r="B129" i="13" s="1"/>
  <c r="A128" i="13"/>
  <c r="B128" i="13" s="1"/>
  <c r="A127" i="13"/>
  <c r="B127" i="13" s="1"/>
  <c r="A126" i="13"/>
  <c r="B126" i="13" s="1"/>
  <c r="A125" i="13"/>
  <c r="B125" i="13" s="1"/>
  <c r="A124" i="13"/>
  <c r="B124" i="13" s="1"/>
  <c r="A123" i="13"/>
  <c r="B123" i="13" s="1"/>
  <c r="A122" i="13"/>
  <c r="B122" i="13" s="1"/>
  <c r="A121" i="13"/>
  <c r="B121" i="13" s="1"/>
  <c r="A120" i="13"/>
  <c r="B120" i="13" s="1"/>
  <c r="A119" i="13"/>
  <c r="B119" i="13" s="1"/>
  <c r="A118" i="13"/>
  <c r="B118" i="13" s="1"/>
  <c r="A117" i="13"/>
  <c r="B117" i="13" s="1"/>
  <c r="A116" i="13"/>
  <c r="B116" i="13" s="1"/>
  <c r="A115" i="13"/>
  <c r="B115" i="13" s="1"/>
  <c r="A114" i="13"/>
  <c r="B114" i="13" s="1"/>
  <c r="A113" i="13"/>
  <c r="B113" i="13" s="1"/>
  <c r="A112" i="13"/>
  <c r="B112" i="13" s="1"/>
  <c r="A111" i="13"/>
  <c r="B111" i="13" s="1"/>
  <c r="A110" i="13"/>
  <c r="B110" i="13" s="1"/>
  <c r="A109" i="13"/>
  <c r="B109" i="13" s="1"/>
  <c r="A108" i="13"/>
  <c r="B108" i="13" s="1"/>
  <c r="A107" i="13"/>
  <c r="B107" i="13" s="1"/>
  <c r="A106" i="13"/>
  <c r="B106" i="13" s="1"/>
  <c r="A105" i="13"/>
  <c r="B105" i="13" s="1"/>
  <c r="A104" i="13"/>
  <c r="B104" i="13" s="1"/>
  <c r="A103" i="13"/>
  <c r="B103" i="13" s="1"/>
  <c r="A102" i="13"/>
  <c r="B102" i="13" s="1"/>
  <c r="A101" i="13"/>
  <c r="B101" i="13" s="1"/>
  <c r="A100" i="13"/>
  <c r="B100" i="13" s="1"/>
  <c r="A99" i="13"/>
  <c r="B99" i="13" s="1"/>
  <c r="A98" i="13"/>
  <c r="B98" i="13" s="1"/>
  <c r="A97" i="13"/>
  <c r="B97" i="13" s="1"/>
  <c r="A96" i="13"/>
  <c r="B96" i="13" s="1"/>
  <c r="A95" i="13"/>
  <c r="B95" i="13" s="1"/>
  <c r="A94" i="13"/>
  <c r="B94" i="13" s="1"/>
  <c r="A93" i="13"/>
  <c r="B93" i="13" s="1"/>
  <c r="A92" i="13"/>
  <c r="B92" i="13" s="1"/>
  <c r="A91" i="13"/>
  <c r="B91" i="13" s="1"/>
  <c r="A90" i="13"/>
  <c r="B90" i="13" s="1"/>
  <c r="A89" i="13"/>
  <c r="B89" i="13" s="1"/>
  <c r="A88" i="13"/>
  <c r="B88" i="13" s="1"/>
  <c r="A87" i="13"/>
  <c r="B87" i="13" s="1"/>
  <c r="A86" i="13"/>
  <c r="B86" i="13" s="1"/>
  <c r="A85" i="13"/>
  <c r="B85" i="13" s="1"/>
  <c r="A84" i="13"/>
  <c r="B84" i="13" s="1"/>
  <c r="A83" i="13"/>
  <c r="B83" i="13" s="1"/>
  <c r="A82" i="13"/>
  <c r="B82" i="13" s="1"/>
  <c r="A81" i="13"/>
  <c r="B81" i="13" s="1"/>
  <c r="A80" i="13"/>
  <c r="B80" i="13" s="1"/>
  <c r="A79" i="13"/>
  <c r="B79" i="13" s="1"/>
  <c r="A78" i="13"/>
  <c r="B78" i="13" s="1"/>
  <c r="A77" i="13"/>
  <c r="B77" i="13" s="1"/>
  <c r="A76" i="13"/>
  <c r="B76" i="13" s="1"/>
  <c r="A75" i="13"/>
  <c r="B75" i="13" s="1"/>
  <c r="A74" i="13"/>
  <c r="B74" i="13" s="1"/>
  <c r="A73" i="13"/>
  <c r="B73" i="13" s="1"/>
  <c r="A72" i="13"/>
  <c r="B72" i="13" s="1"/>
  <c r="A71" i="13"/>
  <c r="B71" i="13" s="1"/>
  <c r="A70" i="13"/>
  <c r="B70" i="13" s="1"/>
  <c r="A69" i="13"/>
  <c r="B69" i="13" s="1"/>
  <c r="A68" i="13"/>
  <c r="B68" i="13" s="1"/>
  <c r="A67" i="13"/>
  <c r="B67" i="13" s="1"/>
  <c r="A66" i="13"/>
  <c r="B66" i="13" s="1"/>
  <c r="A65" i="13"/>
  <c r="B65" i="13" s="1"/>
  <c r="A64" i="13"/>
  <c r="B64" i="13" s="1"/>
  <c r="A63" i="13"/>
  <c r="B63" i="13" s="1"/>
  <c r="A62" i="13"/>
  <c r="B62" i="13" s="1"/>
  <c r="A61" i="13"/>
  <c r="B61" i="13" s="1"/>
  <c r="A60" i="13"/>
  <c r="B60" i="13" s="1"/>
  <c r="A59" i="13"/>
  <c r="B59" i="13" s="1"/>
  <c r="A58" i="13"/>
  <c r="B58" i="13" s="1"/>
  <c r="A57" i="13"/>
  <c r="B57" i="13" s="1"/>
  <c r="A56" i="13"/>
  <c r="B56" i="13" s="1"/>
  <c r="A55" i="13"/>
  <c r="B55" i="13" s="1"/>
  <c r="A54" i="13"/>
  <c r="B54" i="13" s="1"/>
  <c r="A53" i="13"/>
  <c r="B53" i="13" s="1"/>
  <c r="A52" i="13"/>
  <c r="B52" i="13" s="1"/>
  <c r="A51" i="13"/>
  <c r="B51" i="13" s="1"/>
  <c r="A50" i="13"/>
  <c r="B50" i="13" s="1"/>
  <c r="A49" i="13"/>
  <c r="B49" i="13" s="1"/>
  <c r="A48" i="13"/>
  <c r="B48" i="13" s="1"/>
  <c r="A47" i="13"/>
  <c r="B47" i="13" s="1"/>
  <c r="A46" i="13"/>
  <c r="B46" i="13" s="1"/>
  <c r="A45" i="13"/>
  <c r="B45" i="13" s="1"/>
  <c r="A44" i="13"/>
  <c r="B44" i="13" s="1"/>
  <c r="A43" i="13"/>
  <c r="B43" i="13" s="1"/>
  <c r="A42" i="13"/>
  <c r="B42" i="13" s="1"/>
  <c r="A41" i="13"/>
  <c r="B41" i="13" s="1"/>
  <c r="A40" i="13"/>
  <c r="B40" i="13" s="1"/>
  <c r="A39" i="13"/>
  <c r="B39" i="13" s="1"/>
  <c r="A38" i="13"/>
  <c r="B38" i="13" s="1"/>
  <c r="A37" i="13"/>
  <c r="B37" i="13" s="1"/>
  <c r="A36" i="13"/>
  <c r="B36" i="13" s="1"/>
  <c r="A35" i="13"/>
  <c r="B35" i="13" s="1"/>
  <c r="A34" i="13"/>
  <c r="B34" i="13" s="1"/>
  <c r="A33" i="13"/>
  <c r="B33" i="13" s="1"/>
  <c r="A32" i="13"/>
  <c r="B32" i="13" s="1"/>
  <c r="A31" i="13"/>
  <c r="B31" i="13" s="1"/>
  <c r="A30" i="13"/>
  <c r="B30" i="13" s="1"/>
  <c r="A29" i="13"/>
  <c r="B29" i="13" s="1"/>
  <c r="A28" i="13"/>
  <c r="B28" i="13" s="1"/>
  <c r="A27" i="13"/>
  <c r="B27" i="13" s="1"/>
  <c r="A26" i="13"/>
  <c r="B26" i="13" s="1"/>
  <c r="A25" i="13"/>
  <c r="B25" i="13" s="1"/>
  <c r="A24" i="13"/>
  <c r="B24" i="13" s="1"/>
  <c r="A23" i="13"/>
  <c r="B23" i="13" s="1"/>
  <c r="A22" i="13"/>
  <c r="B22" i="13" s="1"/>
  <c r="A21" i="13"/>
  <c r="B21" i="13" s="1"/>
  <c r="A20" i="13"/>
  <c r="B20" i="13" s="1"/>
  <c r="A19" i="13"/>
  <c r="B19" i="13" s="1"/>
  <c r="A18" i="13"/>
  <c r="B18" i="13" s="1"/>
  <c r="A17" i="13"/>
  <c r="B17" i="13" s="1"/>
  <c r="A16" i="13"/>
  <c r="B16" i="13" s="1"/>
  <c r="A15" i="13"/>
  <c r="B15" i="13" s="1"/>
  <c r="A14" i="13"/>
  <c r="B14" i="13" s="1"/>
  <c r="A13" i="13"/>
  <c r="B13" i="13" s="1"/>
  <c r="A12" i="13"/>
  <c r="B12" i="13" s="1"/>
  <c r="A11" i="13"/>
  <c r="B11" i="13" s="1"/>
  <c r="A10" i="13"/>
  <c r="B10" i="13" s="1"/>
  <c r="A9" i="13"/>
  <c r="B9" i="13" s="1"/>
  <c r="A8" i="13"/>
  <c r="B8" i="13" s="1"/>
  <c r="A7" i="13"/>
  <c r="B7" i="13" s="1"/>
  <c r="A6" i="13"/>
  <c r="B6" i="13" s="1"/>
  <c r="A5" i="13"/>
  <c r="B5" i="13" s="1"/>
  <c r="A4" i="13"/>
  <c r="B4" i="13" s="1"/>
  <c r="A3" i="13"/>
  <c r="B3" i="13" s="1"/>
  <c r="A2" i="13"/>
  <c r="B2" i="13" s="1"/>
  <c r="B12" i="10"/>
  <c r="B10" i="10"/>
  <c r="F8" i="10"/>
  <c r="E8" i="10"/>
  <c r="I8" i="10" s="1"/>
  <c r="B8" i="10"/>
  <c r="F7" i="10"/>
  <c r="E7" i="10"/>
  <c r="I7" i="10" s="1"/>
  <c r="B7" i="10"/>
  <c r="F6" i="10"/>
  <c r="E6" i="10"/>
  <c r="I6" i="10" s="1"/>
  <c r="B6" i="10"/>
  <c r="F5" i="10"/>
  <c r="E5" i="10"/>
  <c r="I5" i="10" s="1"/>
  <c r="B5" i="10"/>
  <c r="AJ642" i="7"/>
  <c r="AI642" i="7"/>
  <c r="AH642" i="7"/>
  <c r="AG642" i="7"/>
  <c r="AF642" i="7"/>
  <c r="AE642" i="7"/>
  <c r="AD642" i="7"/>
  <c r="AQ642" i="7" s="1"/>
  <c r="AC642" i="7"/>
  <c r="AN642" i="7" s="1"/>
  <c r="AB642" i="7"/>
  <c r="AA642" i="7"/>
  <c r="Z642" i="7"/>
  <c r="Y642" i="7"/>
  <c r="X642" i="7"/>
  <c r="W642" i="7"/>
  <c r="V642" i="7"/>
  <c r="AO642" i="7" s="1"/>
  <c r="U642" i="7"/>
  <c r="T642" i="7"/>
  <c r="S642" i="7"/>
  <c r="R642" i="7"/>
  <c r="Q642" i="7"/>
  <c r="P642" i="7"/>
  <c r="O642" i="7"/>
  <c r="N642" i="7"/>
  <c r="M642" i="7"/>
  <c r="L642" i="7"/>
  <c r="K642" i="7"/>
  <c r="J642" i="7"/>
  <c r="I642" i="7"/>
  <c r="H642" i="7"/>
  <c r="G642" i="7"/>
  <c r="F642" i="7"/>
  <c r="E642" i="7"/>
  <c r="D642" i="7"/>
  <c r="C642" i="7"/>
  <c r="B642" i="7"/>
  <c r="A642" i="7"/>
  <c r="AJ641" i="7"/>
  <c r="AI641" i="7"/>
  <c r="AH641" i="7"/>
  <c r="AG641" i="7"/>
  <c r="AF641" i="7"/>
  <c r="AE641" i="7"/>
  <c r="AD641" i="7"/>
  <c r="AQ641" i="7" s="1"/>
  <c r="AC641" i="7"/>
  <c r="AN641" i="7" s="1"/>
  <c r="AB641" i="7"/>
  <c r="AA641" i="7"/>
  <c r="Z641" i="7"/>
  <c r="Y641" i="7"/>
  <c r="X641" i="7"/>
  <c r="W641" i="7"/>
  <c r="V641" i="7"/>
  <c r="AO641" i="7" s="1"/>
  <c r="U641" i="7"/>
  <c r="T641" i="7"/>
  <c r="S641" i="7"/>
  <c r="R641" i="7"/>
  <c r="Q641" i="7"/>
  <c r="P641" i="7"/>
  <c r="O641" i="7"/>
  <c r="N641" i="7"/>
  <c r="M641" i="7"/>
  <c r="L641" i="7"/>
  <c r="K641" i="7"/>
  <c r="J641" i="7"/>
  <c r="I641" i="7"/>
  <c r="H641" i="7"/>
  <c r="G641" i="7"/>
  <c r="F641" i="7"/>
  <c r="E641" i="7"/>
  <c r="D641" i="7"/>
  <c r="C641" i="7"/>
  <c r="B641" i="7"/>
  <c r="A641" i="7"/>
  <c r="AJ640" i="7"/>
  <c r="AI640" i="7"/>
  <c r="AH640" i="7"/>
  <c r="AG640" i="7"/>
  <c r="AF640" i="7"/>
  <c r="AE640" i="7"/>
  <c r="AD640" i="7"/>
  <c r="AQ640" i="7" s="1"/>
  <c r="AC640" i="7"/>
  <c r="AN640" i="7" s="1"/>
  <c r="AB640" i="7"/>
  <c r="AA640" i="7"/>
  <c r="Z640" i="7"/>
  <c r="Y640" i="7"/>
  <c r="X640" i="7"/>
  <c r="W640" i="7"/>
  <c r="V640" i="7"/>
  <c r="U640" i="7"/>
  <c r="T640" i="7"/>
  <c r="S640" i="7"/>
  <c r="R640" i="7"/>
  <c r="Q640" i="7"/>
  <c r="P640" i="7"/>
  <c r="O640" i="7"/>
  <c r="N640" i="7"/>
  <c r="M640" i="7"/>
  <c r="L640" i="7"/>
  <c r="K640" i="7"/>
  <c r="J640" i="7"/>
  <c r="I640" i="7"/>
  <c r="H640" i="7"/>
  <c r="G640" i="7"/>
  <c r="F640" i="7"/>
  <c r="E640" i="7"/>
  <c r="D640" i="7"/>
  <c r="C640" i="7"/>
  <c r="B640" i="7"/>
  <c r="A640" i="7"/>
  <c r="AJ639" i="7"/>
  <c r="AI639" i="7"/>
  <c r="AH639" i="7"/>
  <c r="AR639" i="7" s="1"/>
  <c r="AG639" i="7"/>
  <c r="AF639" i="7"/>
  <c r="AE639" i="7"/>
  <c r="AD639" i="7"/>
  <c r="AQ639" i="7" s="1"/>
  <c r="AC639" i="7"/>
  <c r="AN639" i="7" s="1"/>
  <c r="AB639" i="7"/>
  <c r="AA639"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AJ638" i="7"/>
  <c r="AI638" i="7"/>
  <c r="AH638" i="7"/>
  <c r="AG638" i="7"/>
  <c r="AF638" i="7"/>
  <c r="AE638" i="7"/>
  <c r="AD638" i="7"/>
  <c r="AQ638" i="7" s="1"/>
  <c r="AC638" i="7"/>
  <c r="AN638" i="7" s="1"/>
  <c r="AB638" i="7"/>
  <c r="AA638"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AJ637" i="7"/>
  <c r="AI637" i="7"/>
  <c r="AH637" i="7"/>
  <c r="AG637" i="7"/>
  <c r="AF637" i="7"/>
  <c r="AE637" i="7"/>
  <c r="AD637" i="7"/>
  <c r="AQ637" i="7" s="1"/>
  <c r="AC637" i="7"/>
  <c r="AN637" i="7" s="1"/>
  <c r="AB637" i="7"/>
  <c r="AA637"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AJ636" i="7"/>
  <c r="AI636" i="7"/>
  <c r="AH636" i="7"/>
  <c r="AG636" i="7"/>
  <c r="AF636" i="7"/>
  <c r="AE636" i="7"/>
  <c r="AD636" i="7"/>
  <c r="AQ636" i="7" s="1"/>
  <c r="AC636" i="7"/>
  <c r="AN636" i="7" s="1"/>
  <c r="AB636" i="7"/>
  <c r="AA636" i="7"/>
  <c r="Z636" i="7"/>
  <c r="Y636" i="7"/>
  <c r="X636" i="7"/>
  <c r="W636" i="7"/>
  <c r="V636" i="7"/>
  <c r="U636" i="7"/>
  <c r="T636" i="7"/>
  <c r="S636" i="7"/>
  <c r="R636" i="7"/>
  <c r="Q636" i="7"/>
  <c r="P636" i="7"/>
  <c r="O636" i="7"/>
  <c r="N636" i="7"/>
  <c r="M636" i="7"/>
  <c r="L636" i="7"/>
  <c r="K636" i="7"/>
  <c r="J636" i="7"/>
  <c r="I636" i="7"/>
  <c r="H636" i="7"/>
  <c r="G636" i="7"/>
  <c r="F636" i="7"/>
  <c r="E636" i="7"/>
  <c r="D636" i="7"/>
  <c r="C636" i="7"/>
  <c r="B636" i="7"/>
  <c r="A636" i="7"/>
  <c r="AJ635" i="7"/>
  <c r="AI635" i="7"/>
  <c r="AH635" i="7"/>
  <c r="AG635" i="7"/>
  <c r="AF635" i="7"/>
  <c r="AE635" i="7"/>
  <c r="AD635" i="7"/>
  <c r="AQ635" i="7" s="1"/>
  <c r="AC635" i="7"/>
  <c r="AN635" i="7" s="1"/>
  <c r="AB635" i="7"/>
  <c r="AA635"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AJ634" i="7"/>
  <c r="AI634" i="7"/>
  <c r="AH634" i="7"/>
  <c r="AG634" i="7"/>
  <c r="AF634" i="7"/>
  <c r="AE634" i="7"/>
  <c r="AD634" i="7"/>
  <c r="AQ634" i="7" s="1"/>
  <c r="AC634" i="7"/>
  <c r="AN634" i="7" s="1"/>
  <c r="AB634" i="7"/>
  <c r="AA634"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AJ633" i="7"/>
  <c r="AI633" i="7"/>
  <c r="AH633" i="7"/>
  <c r="AG633" i="7"/>
  <c r="AF633" i="7"/>
  <c r="AE633" i="7"/>
  <c r="AD633" i="7"/>
  <c r="AQ633" i="7" s="1"/>
  <c r="AC633" i="7"/>
  <c r="AN633" i="7" s="1"/>
  <c r="AB633" i="7"/>
  <c r="AA633" i="7"/>
  <c r="Z633" i="7"/>
  <c r="Y633" i="7"/>
  <c r="X633" i="7"/>
  <c r="W633" i="7"/>
  <c r="V633" i="7"/>
  <c r="AO633" i="7" s="1"/>
  <c r="U633" i="7"/>
  <c r="T633" i="7"/>
  <c r="S633" i="7"/>
  <c r="R633" i="7"/>
  <c r="Q633" i="7"/>
  <c r="P633" i="7"/>
  <c r="O633" i="7"/>
  <c r="N633" i="7"/>
  <c r="M633" i="7"/>
  <c r="L633" i="7"/>
  <c r="K633" i="7"/>
  <c r="J633" i="7"/>
  <c r="I633" i="7"/>
  <c r="H633" i="7"/>
  <c r="G633" i="7"/>
  <c r="F633" i="7"/>
  <c r="E633" i="7"/>
  <c r="D633" i="7"/>
  <c r="C633" i="7"/>
  <c r="B633" i="7"/>
  <c r="A633" i="7"/>
  <c r="AJ632" i="7"/>
  <c r="AI632" i="7"/>
  <c r="AH632" i="7"/>
  <c r="AG632" i="7"/>
  <c r="AF632" i="7"/>
  <c r="AE632" i="7"/>
  <c r="AD632" i="7"/>
  <c r="AQ632" i="7" s="1"/>
  <c r="AC632" i="7"/>
  <c r="AN632" i="7" s="1"/>
  <c r="AB632" i="7"/>
  <c r="AA632" i="7"/>
  <c r="Z632" i="7"/>
  <c r="Y632" i="7"/>
  <c r="X632" i="7"/>
  <c r="W632" i="7"/>
  <c r="V632" i="7"/>
  <c r="U632" i="7"/>
  <c r="T632" i="7"/>
  <c r="S632" i="7"/>
  <c r="R632" i="7"/>
  <c r="Q632" i="7"/>
  <c r="P632" i="7"/>
  <c r="O632" i="7"/>
  <c r="N632" i="7"/>
  <c r="M632" i="7"/>
  <c r="L632" i="7"/>
  <c r="K632" i="7"/>
  <c r="J632" i="7"/>
  <c r="I632" i="7"/>
  <c r="H632" i="7"/>
  <c r="G632" i="7"/>
  <c r="F632" i="7"/>
  <c r="E632" i="7"/>
  <c r="D632" i="7"/>
  <c r="C632" i="7"/>
  <c r="B632" i="7"/>
  <c r="A632" i="7"/>
  <c r="AJ631" i="7"/>
  <c r="AI631" i="7"/>
  <c r="AH631" i="7"/>
  <c r="AG631" i="7"/>
  <c r="AF631" i="7"/>
  <c r="AE631" i="7"/>
  <c r="AD631" i="7"/>
  <c r="AQ631" i="7" s="1"/>
  <c r="AC631" i="7"/>
  <c r="AN631" i="7" s="1"/>
  <c r="AB631" i="7"/>
  <c r="AA631"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AJ630" i="7"/>
  <c r="AI630" i="7"/>
  <c r="AH630" i="7"/>
  <c r="AG630" i="7"/>
  <c r="AF630" i="7"/>
  <c r="AE630" i="7"/>
  <c r="AD630" i="7"/>
  <c r="AQ630" i="7" s="1"/>
  <c r="AC630" i="7"/>
  <c r="AN630" i="7" s="1"/>
  <c r="AB630" i="7"/>
  <c r="AA630" i="7"/>
  <c r="Z630" i="7"/>
  <c r="Y630" i="7"/>
  <c r="X630" i="7"/>
  <c r="W630" i="7"/>
  <c r="V630" i="7"/>
  <c r="AO630" i="7" s="1"/>
  <c r="U630" i="7"/>
  <c r="T630" i="7"/>
  <c r="S630" i="7"/>
  <c r="R630" i="7"/>
  <c r="Q630" i="7"/>
  <c r="P630" i="7"/>
  <c r="O630" i="7"/>
  <c r="N630" i="7"/>
  <c r="M630" i="7"/>
  <c r="L630" i="7"/>
  <c r="K630" i="7"/>
  <c r="J630" i="7"/>
  <c r="I630" i="7"/>
  <c r="H630" i="7"/>
  <c r="G630" i="7"/>
  <c r="F630" i="7"/>
  <c r="E630" i="7"/>
  <c r="D630" i="7"/>
  <c r="C630" i="7"/>
  <c r="B630" i="7"/>
  <c r="A630" i="7"/>
  <c r="AJ629" i="7"/>
  <c r="AI629" i="7"/>
  <c r="AH629" i="7"/>
  <c r="AG629" i="7"/>
  <c r="AF629" i="7"/>
  <c r="AE629" i="7"/>
  <c r="AD629" i="7"/>
  <c r="AQ629" i="7" s="1"/>
  <c r="AC629" i="7"/>
  <c r="AN629" i="7" s="1"/>
  <c r="AB629" i="7"/>
  <c r="AA629" i="7"/>
  <c r="Z629" i="7"/>
  <c r="Y629" i="7"/>
  <c r="X629" i="7"/>
  <c r="W629" i="7"/>
  <c r="V629" i="7"/>
  <c r="AO629" i="7" s="1"/>
  <c r="U629" i="7"/>
  <c r="T629" i="7"/>
  <c r="S629" i="7"/>
  <c r="R629" i="7"/>
  <c r="Q629" i="7"/>
  <c r="P629" i="7"/>
  <c r="O629" i="7"/>
  <c r="N629" i="7"/>
  <c r="M629" i="7"/>
  <c r="L629" i="7"/>
  <c r="K629" i="7"/>
  <c r="J629" i="7"/>
  <c r="I629" i="7"/>
  <c r="H629" i="7"/>
  <c r="G629" i="7"/>
  <c r="F629" i="7"/>
  <c r="E629" i="7"/>
  <c r="D629" i="7"/>
  <c r="C629" i="7"/>
  <c r="B629" i="7"/>
  <c r="A629" i="7"/>
  <c r="AJ628" i="7"/>
  <c r="AI628" i="7"/>
  <c r="AH628" i="7"/>
  <c r="AG628" i="7"/>
  <c r="AF628" i="7"/>
  <c r="AE628" i="7"/>
  <c r="AD628" i="7"/>
  <c r="AQ628" i="7" s="1"/>
  <c r="AC628" i="7"/>
  <c r="AN628" i="7" s="1"/>
  <c r="AB628" i="7"/>
  <c r="AA628" i="7"/>
  <c r="Z628" i="7"/>
  <c r="Y628" i="7"/>
  <c r="X628" i="7"/>
  <c r="W628" i="7"/>
  <c r="V628" i="7"/>
  <c r="AO628" i="7" s="1"/>
  <c r="U628" i="7"/>
  <c r="T628" i="7"/>
  <c r="S628" i="7"/>
  <c r="R628" i="7"/>
  <c r="Q628" i="7"/>
  <c r="P628" i="7"/>
  <c r="O628" i="7"/>
  <c r="N628" i="7"/>
  <c r="M628" i="7"/>
  <c r="L628" i="7"/>
  <c r="K628" i="7"/>
  <c r="J628" i="7"/>
  <c r="I628" i="7"/>
  <c r="H628" i="7"/>
  <c r="G628" i="7"/>
  <c r="F628" i="7"/>
  <c r="E628" i="7"/>
  <c r="D628" i="7"/>
  <c r="C628" i="7"/>
  <c r="B628" i="7"/>
  <c r="A628" i="7"/>
  <c r="AQ627" i="7"/>
  <c r="AJ627" i="7"/>
  <c r="AI627" i="7"/>
  <c r="AH627" i="7"/>
  <c r="AG627" i="7"/>
  <c r="AF627" i="7"/>
  <c r="AE627" i="7"/>
  <c r="AD627" i="7"/>
  <c r="AC627" i="7"/>
  <c r="AN627" i="7" s="1"/>
  <c r="AB627" i="7"/>
  <c r="AA627"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AJ626" i="7"/>
  <c r="AI626" i="7"/>
  <c r="AH626" i="7"/>
  <c r="AG626" i="7"/>
  <c r="AF626" i="7"/>
  <c r="AE626" i="7"/>
  <c r="AD626" i="7"/>
  <c r="AQ626" i="7" s="1"/>
  <c r="AC626" i="7"/>
  <c r="AN626" i="7" s="1"/>
  <c r="AB626" i="7"/>
  <c r="AA626" i="7"/>
  <c r="Z626" i="7"/>
  <c r="Y626" i="7"/>
  <c r="X626" i="7"/>
  <c r="W626" i="7"/>
  <c r="V626" i="7"/>
  <c r="AO626" i="7" s="1"/>
  <c r="U626" i="7"/>
  <c r="T626" i="7"/>
  <c r="S626" i="7"/>
  <c r="R626" i="7"/>
  <c r="Q626" i="7"/>
  <c r="P626" i="7"/>
  <c r="O626" i="7"/>
  <c r="N626" i="7"/>
  <c r="M626" i="7"/>
  <c r="L626" i="7"/>
  <c r="K626" i="7"/>
  <c r="J626" i="7"/>
  <c r="I626" i="7"/>
  <c r="H626" i="7"/>
  <c r="G626" i="7"/>
  <c r="F626" i="7"/>
  <c r="E626" i="7"/>
  <c r="D626" i="7"/>
  <c r="C626" i="7"/>
  <c r="B626" i="7"/>
  <c r="A626" i="7"/>
  <c r="AJ625" i="7"/>
  <c r="AI625" i="7"/>
  <c r="AH625" i="7"/>
  <c r="AG625" i="7"/>
  <c r="AF625" i="7"/>
  <c r="AE625" i="7"/>
  <c r="AD625" i="7"/>
  <c r="AQ625" i="7" s="1"/>
  <c r="AC625" i="7"/>
  <c r="AN625" i="7" s="1"/>
  <c r="AB625" i="7"/>
  <c r="AA625" i="7"/>
  <c r="Z625" i="7"/>
  <c r="Y625" i="7"/>
  <c r="X625" i="7"/>
  <c r="W625" i="7"/>
  <c r="V625" i="7"/>
  <c r="U625" i="7"/>
  <c r="T625" i="7"/>
  <c r="AL625" i="7" s="1"/>
  <c r="S625" i="7"/>
  <c r="R625" i="7"/>
  <c r="Q625" i="7"/>
  <c r="P625" i="7"/>
  <c r="O625" i="7"/>
  <c r="N625" i="7"/>
  <c r="M625" i="7"/>
  <c r="L625" i="7"/>
  <c r="K625" i="7"/>
  <c r="J625" i="7"/>
  <c r="I625" i="7"/>
  <c r="H625" i="7"/>
  <c r="G625" i="7"/>
  <c r="F625" i="7"/>
  <c r="E625" i="7"/>
  <c r="D625" i="7"/>
  <c r="C625" i="7"/>
  <c r="B625" i="7"/>
  <c r="A625" i="7"/>
  <c r="AJ624" i="7"/>
  <c r="AI624" i="7"/>
  <c r="AH624" i="7"/>
  <c r="AG624" i="7"/>
  <c r="AF624" i="7"/>
  <c r="AE624" i="7"/>
  <c r="AD624" i="7"/>
  <c r="AQ624" i="7" s="1"/>
  <c r="AC624" i="7"/>
  <c r="AN624" i="7" s="1"/>
  <c r="AB624" i="7"/>
  <c r="AA624" i="7"/>
  <c r="Z624" i="7"/>
  <c r="Y624" i="7"/>
  <c r="X624" i="7"/>
  <c r="W624" i="7"/>
  <c r="V624" i="7"/>
  <c r="U624" i="7"/>
  <c r="T624" i="7"/>
  <c r="S624" i="7"/>
  <c r="R624" i="7"/>
  <c r="Q624" i="7"/>
  <c r="P624" i="7"/>
  <c r="O624" i="7"/>
  <c r="N624" i="7"/>
  <c r="M624" i="7"/>
  <c r="L624" i="7"/>
  <c r="K624" i="7"/>
  <c r="J624" i="7"/>
  <c r="I624" i="7"/>
  <c r="H624" i="7"/>
  <c r="G624" i="7"/>
  <c r="F624" i="7"/>
  <c r="E624" i="7"/>
  <c r="D624" i="7"/>
  <c r="C624" i="7"/>
  <c r="B624" i="7"/>
  <c r="A624" i="7"/>
  <c r="AJ623" i="7"/>
  <c r="AI623" i="7"/>
  <c r="AH623" i="7"/>
  <c r="AG623" i="7"/>
  <c r="AF623" i="7"/>
  <c r="AE623" i="7"/>
  <c r="AD623" i="7"/>
  <c r="AQ623" i="7" s="1"/>
  <c r="AC623" i="7"/>
  <c r="AN623" i="7" s="1"/>
  <c r="AB623" i="7"/>
  <c r="AA623"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AJ622" i="7"/>
  <c r="AI622" i="7"/>
  <c r="AH622" i="7"/>
  <c r="AG622" i="7"/>
  <c r="AF622" i="7"/>
  <c r="AE622" i="7"/>
  <c r="AD622" i="7"/>
  <c r="AQ622" i="7" s="1"/>
  <c r="AC622" i="7"/>
  <c r="AN622" i="7" s="1"/>
  <c r="AB622" i="7"/>
  <c r="AA622" i="7"/>
  <c r="Z622" i="7"/>
  <c r="Y622" i="7"/>
  <c r="X622" i="7"/>
  <c r="W622" i="7"/>
  <c r="V622" i="7"/>
  <c r="AO622" i="7" s="1"/>
  <c r="U622" i="7"/>
  <c r="T622" i="7"/>
  <c r="S622" i="7"/>
  <c r="R622" i="7"/>
  <c r="Q622" i="7"/>
  <c r="P622" i="7"/>
  <c r="O622" i="7"/>
  <c r="N622" i="7"/>
  <c r="M622" i="7"/>
  <c r="L622" i="7"/>
  <c r="K622" i="7"/>
  <c r="J622" i="7"/>
  <c r="I622" i="7"/>
  <c r="H622" i="7"/>
  <c r="G622" i="7"/>
  <c r="F622" i="7"/>
  <c r="E622" i="7"/>
  <c r="D622" i="7"/>
  <c r="C622" i="7"/>
  <c r="B622" i="7"/>
  <c r="A622" i="7"/>
  <c r="AJ621" i="7"/>
  <c r="AI621" i="7"/>
  <c r="AH621" i="7"/>
  <c r="AG621" i="7"/>
  <c r="AF621" i="7"/>
  <c r="AE621" i="7"/>
  <c r="AD621" i="7"/>
  <c r="AQ621" i="7" s="1"/>
  <c r="AC621" i="7"/>
  <c r="AN621" i="7" s="1"/>
  <c r="AB621" i="7"/>
  <c r="AA621"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AJ620" i="7"/>
  <c r="AI620" i="7"/>
  <c r="AH620" i="7"/>
  <c r="AG620" i="7"/>
  <c r="AF620" i="7"/>
  <c r="AE620" i="7"/>
  <c r="AD620" i="7"/>
  <c r="AQ620" i="7" s="1"/>
  <c r="AC620" i="7"/>
  <c r="AN620" i="7" s="1"/>
  <c r="AB620" i="7"/>
  <c r="AA620" i="7"/>
  <c r="Z620" i="7"/>
  <c r="Y620" i="7"/>
  <c r="X620" i="7"/>
  <c r="W620" i="7"/>
  <c r="V620" i="7"/>
  <c r="U620" i="7"/>
  <c r="T620" i="7"/>
  <c r="S620" i="7"/>
  <c r="R620" i="7"/>
  <c r="Q620" i="7"/>
  <c r="P620" i="7"/>
  <c r="O620" i="7"/>
  <c r="N620" i="7"/>
  <c r="M620" i="7"/>
  <c r="L620" i="7"/>
  <c r="K620" i="7"/>
  <c r="J620" i="7"/>
  <c r="I620" i="7"/>
  <c r="H620" i="7"/>
  <c r="G620" i="7"/>
  <c r="F620" i="7"/>
  <c r="E620" i="7"/>
  <c r="D620" i="7"/>
  <c r="C620" i="7"/>
  <c r="B620" i="7"/>
  <c r="A620" i="7"/>
  <c r="AJ619" i="7"/>
  <c r="AI619" i="7"/>
  <c r="AH619" i="7"/>
  <c r="AG619" i="7"/>
  <c r="AF619" i="7"/>
  <c r="AE619" i="7"/>
  <c r="AD619" i="7"/>
  <c r="AQ619" i="7" s="1"/>
  <c r="AC619" i="7"/>
  <c r="AN619" i="7" s="1"/>
  <c r="AB619" i="7"/>
  <c r="AA619"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AJ618" i="7"/>
  <c r="AI618" i="7"/>
  <c r="AH618" i="7"/>
  <c r="AG618" i="7"/>
  <c r="AF618" i="7"/>
  <c r="AE618" i="7"/>
  <c r="AD618" i="7"/>
  <c r="AQ618" i="7" s="1"/>
  <c r="AC618" i="7"/>
  <c r="AN618" i="7" s="1"/>
  <c r="AB618" i="7"/>
  <c r="AA618"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AJ617" i="7"/>
  <c r="AI617" i="7"/>
  <c r="AH617" i="7"/>
  <c r="AG617" i="7"/>
  <c r="AF617" i="7"/>
  <c r="AE617" i="7"/>
  <c r="AD617" i="7"/>
  <c r="AQ617" i="7" s="1"/>
  <c r="AC617" i="7"/>
  <c r="AN617" i="7" s="1"/>
  <c r="AB617" i="7"/>
  <c r="AA617"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AJ616" i="7"/>
  <c r="AI616" i="7"/>
  <c r="AH616" i="7"/>
  <c r="AG616" i="7"/>
  <c r="AF616" i="7"/>
  <c r="AE616" i="7"/>
  <c r="AD616" i="7"/>
  <c r="AQ616" i="7" s="1"/>
  <c r="AC616" i="7"/>
  <c r="AN616" i="7" s="1"/>
  <c r="AB616" i="7"/>
  <c r="AA616" i="7"/>
  <c r="Z616" i="7"/>
  <c r="Y616" i="7"/>
  <c r="X616" i="7"/>
  <c r="W616" i="7"/>
  <c r="V616" i="7"/>
  <c r="U616" i="7"/>
  <c r="T616" i="7"/>
  <c r="S616" i="7"/>
  <c r="R616" i="7"/>
  <c r="Q616" i="7"/>
  <c r="P616" i="7"/>
  <c r="O616" i="7"/>
  <c r="N616" i="7"/>
  <c r="M616" i="7"/>
  <c r="L616" i="7"/>
  <c r="K616" i="7"/>
  <c r="J616" i="7"/>
  <c r="I616" i="7"/>
  <c r="H616" i="7"/>
  <c r="G616" i="7"/>
  <c r="F616" i="7"/>
  <c r="E616" i="7"/>
  <c r="D616" i="7"/>
  <c r="C616" i="7"/>
  <c r="B616" i="7"/>
  <c r="A616" i="7"/>
  <c r="AJ615" i="7"/>
  <c r="AI615" i="7"/>
  <c r="AH615" i="7"/>
  <c r="AG615" i="7"/>
  <c r="AF615" i="7"/>
  <c r="AE615" i="7"/>
  <c r="AD615" i="7"/>
  <c r="AQ615" i="7" s="1"/>
  <c r="AC615" i="7"/>
  <c r="AN615" i="7" s="1"/>
  <c r="AB615" i="7"/>
  <c r="AA615"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AJ614" i="7"/>
  <c r="AI614" i="7"/>
  <c r="AH614" i="7"/>
  <c r="AG614" i="7"/>
  <c r="AF614" i="7"/>
  <c r="AE614" i="7"/>
  <c r="AD614" i="7"/>
  <c r="AQ614" i="7" s="1"/>
  <c r="AC614" i="7"/>
  <c r="AN614" i="7" s="1"/>
  <c r="AB614" i="7"/>
  <c r="AA614"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AJ613" i="7"/>
  <c r="AI613" i="7"/>
  <c r="AH613" i="7"/>
  <c r="AG613" i="7"/>
  <c r="AF613" i="7"/>
  <c r="AE613" i="7"/>
  <c r="AD613" i="7"/>
  <c r="AQ613" i="7" s="1"/>
  <c r="AC613" i="7"/>
  <c r="AN613" i="7" s="1"/>
  <c r="AB613" i="7"/>
  <c r="AA613"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AJ612" i="7"/>
  <c r="AI612" i="7"/>
  <c r="AH612" i="7"/>
  <c r="AG612" i="7"/>
  <c r="AF612" i="7"/>
  <c r="AE612" i="7"/>
  <c r="AD612" i="7"/>
  <c r="AQ612" i="7" s="1"/>
  <c r="AC612" i="7"/>
  <c r="AN612" i="7" s="1"/>
  <c r="AB612" i="7"/>
  <c r="AA612" i="7"/>
  <c r="Z612" i="7"/>
  <c r="Y612" i="7"/>
  <c r="X612" i="7"/>
  <c r="W612" i="7"/>
  <c r="V612" i="7"/>
  <c r="U612" i="7"/>
  <c r="T612" i="7"/>
  <c r="S612" i="7"/>
  <c r="R612" i="7"/>
  <c r="Q612" i="7"/>
  <c r="P612" i="7"/>
  <c r="O612" i="7"/>
  <c r="N612" i="7"/>
  <c r="M612" i="7"/>
  <c r="L612" i="7"/>
  <c r="K612" i="7"/>
  <c r="J612" i="7"/>
  <c r="I612" i="7"/>
  <c r="H612" i="7"/>
  <c r="G612" i="7"/>
  <c r="F612" i="7"/>
  <c r="E612" i="7"/>
  <c r="D612" i="7"/>
  <c r="C612" i="7"/>
  <c r="B612" i="7"/>
  <c r="A612" i="7"/>
  <c r="AJ611" i="7"/>
  <c r="AI611" i="7"/>
  <c r="AH611" i="7"/>
  <c r="AG611" i="7"/>
  <c r="AF611" i="7"/>
  <c r="AE611" i="7"/>
  <c r="AD611" i="7"/>
  <c r="AQ611" i="7" s="1"/>
  <c r="AC611" i="7"/>
  <c r="AN611" i="7" s="1"/>
  <c r="AB611" i="7"/>
  <c r="AA611"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AJ610" i="7"/>
  <c r="AI610" i="7"/>
  <c r="AH610" i="7"/>
  <c r="AG610" i="7"/>
  <c r="AF610" i="7"/>
  <c r="AE610" i="7"/>
  <c r="AD610" i="7"/>
  <c r="AQ610" i="7" s="1"/>
  <c r="AC610" i="7"/>
  <c r="AN610" i="7" s="1"/>
  <c r="AB610" i="7"/>
  <c r="AA610" i="7"/>
  <c r="Z610" i="7"/>
  <c r="Y610" i="7"/>
  <c r="X610" i="7"/>
  <c r="W610" i="7"/>
  <c r="V610" i="7"/>
  <c r="AO610" i="7" s="1"/>
  <c r="U610" i="7"/>
  <c r="T610" i="7"/>
  <c r="S610" i="7"/>
  <c r="R610" i="7"/>
  <c r="Q610" i="7"/>
  <c r="P610" i="7"/>
  <c r="O610" i="7"/>
  <c r="N610" i="7"/>
  <c r="M610" i="7"/>
  <c r="L610" i="7"/>
  <c r="K610" i="7"/>
  <c r="J610" i="7"/>
  <c r="I610" i="7"/>
  <c r="H610" i="7"/>
  <c r="G610" i="7"/>
  <c r="F610" i="7"/>
  <c r="E610" i="7"/>
  <c r="D610" i="7"/>
  <c r="C610" i="7"/>
  <c r="B610" i="7"/>
  <c r="A610" i="7"/>
  <c r="AJ609" i="7"/>
  <c r="AI609" i="7"/>
  <c r="AH609" i="7"/>
  <c r="AG609" i="7"/>
  <c r="AF609" i="7"/>
  <c r="AE609" i="7"/>
  <c r="AD609" i="7"/>
  <c r="AQ609" i="7" s="1"/>
  <c r="AC609" i="7"/>
  <c r="AN609" i="7" s="1"/>
  <c r="AB609" i="7"/>
  <c r="AA609"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AJ608" i="7"/>
  <c r="AI608" i="7"/>
  <c r="AH608" i="7"/>
  <c r="AG608" i="7"/>
  <c r="AF608" i="7"/>
  <c r="AE608" i="7"/>
  <c r="AD608" i="7"/>
  <c r="AQ608" i="7" s="1"/>
  <c r="AC608" i="7"/>
  <c r="AN608" i="7" s="1"/>
  <c r="AB608" i="7"/>
  <c r="AA608" i="7"/>
  <c r="Z608" i="7"/>
  <c r="Y608" i="7"/>
  <c r="X608" i="7"/>
  <c r="W608" i="7"/>
  <c r="V608" i="7"/>
  <c r="U608" i="7"/>
  <c r="T608" i="7"/>
  <c r="S608" i="7"/>
  <c r="R608" i="7"/>
  <c r="Q608" i="7"/>
  <c r="P608" i="7"/>
  <c r="O608" i="7"/>
  <c r="N608" i="7"/>
  <c r="M608" i="7"/>
  <c r="L608" i="7"/>
  <c r="K608" i="7"/>
  <c r="J608" i="7"/>
  <c r="I608" i="7"/>
  <c r="H608" i="7"/>
  <c r="G608" i="7"/>
  <c r="F608" i="7"/>
  <c r="E608" i="7"/>
  <c r="D608" i="7"/>
  <c r="C608" i="7"/>
  <c r="B608" i="7"/>
  <c r="A608" i="7"/>
  <c r="AJ607" i="7"/>
  <c r="AI607" i="7"/>
  <c r="AH607" i="7"/>
  <c r="AG607" i="7"/>
  <c r="AF607" i="7"/>
  <c r="AE607" i="7"/>
  <c r="AD607" i="7"/>
  <c r="AQ607" i="7" s="1"/>
  <c r="AC607" i="7"/>
  <c r="AN607" i="7" s="1"/>
  <c r="AB607" i="7"/>
  <c r="AA607" i="7"/>
  <c r="Z607" i="7"/>
  <c r="Y607" i="7"/>
  <c r="X607" i="7"/>
  <c r="W607" i="7"/>
  <c r="V607" i="7"/>
  <c r="AO607" i="7" s="1"/>
  <c r="U607" i="7"/>
  <c r="T607" i="7"/>
  <c r="S607" i="7"/>
  <c r="R607" i="7"/>
  <c r="Q607" i="7"/>
  <c r="P607" i="7"/>
  <c r="O607" i="7"/>
  <c r="N607" i="7"/>
  <c r="M607" i="7"/>
  <c r="L607" i="7"/>
  <c r="K607" i="7"/>
  <c r="J607" i="7"/>
  <c r="I607" i="7"/>
  <c r="H607" i="7"/>
  <c r="G607" i="7"/>
  <c r="F607" i="7"/>
  <c r="E607" i="7"/>
  <c r="D607" i="7"/>
  <c r="C607" i="7"/>
  <c r="B607" i="7"/>
  <c r="A607" i="7"/>
  <c r="AJ606" i="7"/>
  <c r="AI606" i="7"/>
  <c r="AH606" i="7"/>
  <c r="AG606" i="7"/>
  <c r="AF606" i="7"/>
  <c r="AE606" i="7"/>
  <c r="AD606" i="7"/>
  <c r="AQ606" i="7" s="1"/>
  <c r="AC606" i="7"/>
  <c r="AN606" i="7" s="1"/>
  <c r="AB606" i="7"/>
  <c r="AA606" i="7"/>
  <c r="Z606" i="7"/>
  <c r="Y606" i="7"/>
  <c r="X606" i="7"/>
  <c r="W606" i="7"/>
  <c r="V606" i="7"/>
  <c r="AO606" i="7" s="1"/>
  <c r="U606" i="7"/>
  <c r="T606" i="7"/>
  <c r="S606" i="7"/>
  <c r="R606" i="7"/>
  <c r="Q606" i="7"/>
  <c r="P606" i="7"/>
  <c r="O606" i="7"/>
  <c r="N606" i="7"/>
  <c r="M606" i="7"/>
  <c r="L606" i="7"/>
  <c r="K606" i="7"/>
  <c r="J606" i="7"/>
  <c r="I606" i="7"/>
  <c r="H606" i="7"/>
  <c r="G606" i="7"/>
  <c r="F606" i="7"/>
  <c r="E606" i="7"/>
  <c r="D606" i="7"/>
  <c r="C606" i="7"/>
  <c r="B606" i="7"/>
  <c r="A606" i="7"/>
  <c r="AJ605" i="7"/>
  <c r="AI605" i="7"/>
  <c r="AH605" i="7"/>
  <c r="AG605" i="7"/>
  <c r="AF605" i="7"/>
  <c r="AE605" i="7"/>
  <c r="AD605" i="7"/>
  <c r="AQ605" i="7" s="1"/>
  <c r="AC605" i="7"/>
  <c r="AN605" i="7" s="1"/>
  <c r="AB605" i="7"/>
  <c r="AA605" i="7"/>
  <c r="Z605" i="7"/>
  <c r="Y605" i="7"/>
  <c r="X605" i="7"/>
  <c r="W605" i="7"/>
  <c r="V605" i="7"/>
  <c r="AO605" i="7" s="1"/>
  <c r="U605" i="7"/>
  <c r="T605" i="7"/>
  <c r="AL605" i="7" s="1"/>
  <c r="S605" i="7"/>
  <c r="R605" i="7"/>
  <c r="Q605" i="7"/>
  <c r="P605" i="7"/>
  <c r="O605" i="7"/>
  <c r="N605" i="7"/>
  <c r="M605" i="7"/>
  <c r="L605" i="7"/>
  <c r="K605" i="7"/>
  <c r="J605" i="7"/>
  <c r="I605" i="7"/>
  <c r="H605" i="7"/>
  <c r="G605" i="7"/>
  <c r="F605" i="7"/>
  <c r="E605" i="7"/>
  <c r="D605" i="7"/>
  <c r="C605" i="7"/>
  <c r="B605" i="7"/>
  <c r="A605" i="7"/>
  <c r="AJ604" i="7"/>
  <c r="AI604" i="7"/>
  <c r="AH604" i="7"/>
  <c r="AG604" i="7"/>
  <c r="AF604" i="7"/>
  <c r="AE604" i="7"/>
  <c r="AD604" i="7"/>
  <c r="AQ604" i="7" s="1"/>
  <c r="AC604" i="7"/>
  <c r="AN604" i="7" s="1"/>
  <c r="AB604" i="7"/>
  <c r="AA604" i="7"/>
  <c r="Z604" i="7"/>
  <c r="Y604" i="7"/>
  <c r="X604" i="7"/>
  <c r="W604" i="7"/>
  <c r="V604" i="7"/>
  <c r="U604" i="7"/>
  <c r="T604" i="7"/>
  <c r="S604" i="7"/>
  <c r="R604" i="7"/>
  <c r="Q604" i="7"/>
  <c r="P604" i="7"/>
  <c r="O604" i="7"/>
  <c r="N604" i="7"/>
  <c r="M604" i="7"/>
  <c r="L604" i="7"/>
  <c r="K604" i="7"/>
  <c r="J604" i="7"/>
  <c r="I604" i="7"/>
  <c r="H604" i="7"/>
  <c r="G604" i="7"/>
  <c r="F604" i="7"/>
  <c r="E604" i="7"/>
  <c r="D604" i="7"/>
  <c r="C604" i="7"/>
  <c r="B604" i="7"/>
  <c r="AK604" i="7" s="1"/>
  <c r="A604" i="7"/>
  <c r="AJ603" i="7"/>
  <c r="AI603" i="7"/>
  <c r="AH603" i="7"/>
  <c r="AG603" i="7"/>
  <c r="AF603" i="7"/>
  <c r="AE603" i="7"/>
  <c r="AD603" i="7"/>
  <c r="AQ603" i="7" s="1"/>
  <c r="AC603" i="7"/>
  <c r="AN603" i="7" s="1"/>
  <c r="AB603" i="7"/>
  <c r="AA603" i="7"/>
  <c r="Z603" i="7"/>
  <c r="Y603" i="7"/>
  <c r="X603" i="7"/>
  <c r="W603" i="7"/>
  <c r="V603" i="7"/>
  <c r="U603" i="7"/>
  <c r="T603" i="7"/>
  <c r="S603" i="7"/>
  <c r="R603" i="7"/>
  <c r="Q603" i="7"/>
  <c r="P603" i="7"/>
  <c r="O603" i="7"/>
  <c r="N603" i="7"/>
  <c r="M603" i="7"/>
  <c r="L603" i="7"/>
  <c r="AK603" i="7" s="1"/>
  <c r="K603" i="7"/>
  <c r="J603" i="7"/>
  <c r="I603" i="7"/>
  <c r="H603" i="7"/>
  <c r="G603" i="7"/>
  <c r="F603" i="7"/>
  <c r="E603" i="7"/>
  <c r="D603" i="7"/>
  <c r="C603" i="7"/>
  <c r="B603" i="7"/>
  <c r="A603" i="7"/>
  <c r="AJ602" i="7"/>
  <c r="AI602" i="7"/>
  <c r="AH602" i="7"/>
  <c r="AG602" i="7"/>
  <c r="AF602" i="7"/>
  <c r="AE602" i="7"/>
  <c r="AD602" i="7"/>
  <c r="AQ602" i="7" s="1"/>
  <c r="AC602" i="7"/>
  <c r="AN602" i="7" s="1"/>
  <c r="AB602" i="7"/>
  <c r="AA602" i="7"/>
  <c r="Z602" i="7"/>
  <c r="AL602" i="7" s="1"/>
  <c r="Y602" i="7"/>
  <c r="X602" i="7"/>
  <c r="W602" i="7"/>
  <c r="V602" i="7"/>
  <c r="U602" i="7"/>
  <c r="T602" i="7"/>
  <c r="S602" i="7"/>
  <c r="R602" i="7"/>
  <c r="Q602" i="7"/>
  <c r="P602" i="7"/>
  <c r="O602" i="7"/>
  <c r="N602" i="7"/>
  <c r="M602" i="7"/>
  <c r="L602" i="7"/>
  <c r="K602" i="7"/>
  <c r="J602" i="7"/>
  <c r="I602" i="7"/>
  <c r="H602" i="7"/>
  <c r="G602" i="7"/>
  <c r="F602" i="7"/>
  <c r="E602" i="7"/>
  <c r="D602" i="7"/>
  <c r="C602" i="7"/>
  <c r="B602" i="7"/>
  <c r="A602" i="7"/>
  <c r="AJ601" i="7"/>
  <c r="AI601" i="7"/>
  <c r="AH601" i="7"/>
  <c r="AG601" i="7"/>
  <c r="AF601" i="7"/>
  <c r="AE601" i="7"/>
  <c r="AD601" i="7"/>
  <c r="AQ601" i="7" s="1"/>
  <c r="AC601" i="7"/>
  <c r="AN601" i="7" s="1"/>
  <c r="AB601" i="7"/>
  <c r="AA601" i="7"/>
  <c r="Z601" i="7"/>
  <c r="Y601" i="7"/>
  <c r="X601" i="7"/>
  <c r="W601" i="7"/>
  <c r="V601" i="7"/>
  <c r="AO601" i="7" s="1"/>
  <c r="U601" i="7"/>
  <c r="T601" i="7"/>
  <c r="S601" i="7"/>
  <c r="R601" i="7"/>
  <c r="Q601" i="7"/>
  <c r="P601" i="7"/>
  <c r="O601" i="7"/>
  <c r="N601" i="7"/>
  <c r="M601" i="7"/>
  <c r="L601" i="7"/>
  <c r="K601" i="7"/>
  <c r="J601" i="7"/>
  <c r="I601" i="7"/>
  <c r="H601" i="7"/>
  <c r="G601" i="7"/>
  <c r="F601" i="7"/>
  <c r="E601" i="7"/>
  <c r="D601" i="7"/>
  <c r="C601" i="7"/>
  <c r="B601" i="7"/>
  <c r="A601" i="7"/>
  <c r="AJ600" i="7"/>
  <c r="AI600" i="7"/>
  <c r="AH600" i="7"/>
  <c r="AG600" i="7"/>
  <c r="AF600" i="7"/>
  <c r="AE600" i="7"/>
  <c r="AD600" i="7"/>
  <c r="AQ600" i="7" s="1"/>
  <c r="AC600" i="7"/>
  <c r="AN600" i="7" s="1"/>
  <c r="AB600" i="7"/>
  <c r="AA600" i="7"/>
  <c r="Z600" i="7"/>
  <c r="Y600" i="7"/>
  <c r="X600" i="7"/>
  <c r="W600" i="7"/>
  <c r="V600" i="7"/>
  <c r="U600" i="7"/>
  <c r="T600" i="7"/>
  <c r="S600" i="7"/>
  <c r="R600" i="7"/>
  <c r="Q600" i="7"/>
  <c r="P600" i="7"/>
  <c r="O600" i="7"/>
  <c r="N600" i="7"/>
  <c r="M600" i="7"/>
  <c r="L600" i="7"/>
  <c r="K600" i="7"/>
  <c r="J600" i="7"/>
  <c r="I600" i="7"/>
  <c r="H600" i="7"/>
  <c r="G600" i="7"/>
  <c r="F600" i="7"/>
  <c r="E600" i="7"/>
  <c r="D600" i="7"/>
  <c r="C600" i="7"/>
  <c r="B600" i="7"/>
  <c r="A600" i="7"/>
  <c r="AJ599" i="7"/>
  <c r="AI599" i="7"/>
  <c r="AH599" i="7"/>
  <c r="AG599" i="7"/>
  <c r="AF599" i="7"/>
  <c r="AE599" i="7"/>
  <c r="AD599" i="7"/>
  <c r="AQ599" i="7" s="1"/>
  <c r="AC599" i="7"/>
  <c r="AN599" i="7" s="1"/>
  <c r="AB599" i="7"/>
  <c r="AA599"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AJ598" i="7"/>
  <c r="AI598" i="7"/>
  <c r="AH598" i="7"/>
  <c r="AG598" i="7"/>
  <c r="AF598" i="7"/>
  <c r="AE598" i="7"/>
  <c r="AD598" i="7"/>
  <c r="AQ598" i="7" s="1"/>
  <c r="AC598" i="7"/>
  <c r="AN598" i="7" s="1"/>
  <c r="AB598" i="7"/>
  <c r="AA598"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AO597" i="7"/>
  <c r="AJ597" i="7"/>
  <c r="AI597" i="7"/>
  <c r="AH597" i="7"/>
  <c r="AG597" i="7"/>
  <c r="AF597" i="7"/>
  <c r="AE597" i="7"/>
  <c r="AD597" i="7"/>
  <c r="AQ597" i="7" s="1"/>
  <c r="AC597" i="7"/>
  <c r="AN597" i="7" s="1"/>
  <c r="AB597" i="7"/>
  <c r="AA597" i="7"/>
  <c r="Z597" i="7"/>
  <c r="Y597" i="7"/>
  <c r="X597" i="7"/>
  <c r="W597" i="7"/>
  <c r="V597" i="7"/>
  <c r="U597" i="7"/>
  <c r="AM597" i="7" s="1"/>
  <c r="T597" i="7"/>
  <c r="S597" i="7"/>
  <c r="R597" i="7"/>
  <c r="Q597" i="7"/>
  <c r="P597" i="7"/>
  <c r="O597" i="7"/>
  <c r="N597" i="7"/>
  <c r="M597" i="7"/>
  <c r="L597" i="7"/>
  <c r="K597" i="7"/>
  <c r="J597" i="7"/>
  <c r="I597" i="7"/>
  <c r="H597" i="7"/>
  <c r="G597" i="7"/>
  <c r="F597" i="7"/>
  <c r="E597" i="7"/>
  <c r="D597" i="7"/>
  <c r="C597" i="7"/>
  <c r="B597" i="7"/>
  <c r="A597" i="7"/>
  <c r="AJ596" i="7"/>
  <c r="AI596" i="7"/>
  <c r="AH596" i="7"/>
  <c r="AG596" i="7"/>
  <c r="AF596" i="7"/>
  <c r="AE596" i="7"/>
  <c r="AD596" i="7"/>
  <c r="AQ596" i="7" s="1"/>
  <c r="AC596" i="7"/>
  <c r="AN596" i="7" s="1"/>
  <c r="AB596" i="7"/>
  <c r="AA596" i="7"/>
  <c r="Z596" i="7"/>
  <c r="Y596" i="7"/>
  <c r="X596" i="7"/>
  <c r="W596" i="7"/>
  <c r="V596" i="7"/>
  <c r="U596" i="7"/>
  <c r="T596" i="7"/>
  <c r="S596" i="7"/>
  <c r="R596" i="7"/>
  <c r="Q596" i="7"/>
  <c r="P596" i="7"/>
  <c r="O596" i="7"/>
  <c r="N596" i="7"/>
  <c r="M596" i="7"/>
  <c r="L596" i="7"/>
  <c r="K596" i="7"/>
  <c r="J596" i="7"/>
  <c r="I596" i="7"/>
  <c r="H596" i="7"/>
  <c r="G596" i="7"/>
  <c r="F596" i="7"/>
  <c r="E596" i="7"/>
  <c r="D596" i="7"/>
  <c r="C596" i="7"/>
  <c r="B596" i="7"/>
  <c r="A596" i="7"/>
  <c r="AJ595" i="7"/>
  <c r="AI595" i="7"/>
  <c r="AH595" i="7"/>
  <c r="AG595" i="7"/>
  <c r="AF595" i="7"/>
  <c r="AE595" i="7"/>
  <c r="AD595" i="7"/>
  <c r="AQ595" i="7" s="1"/>
  <c r="AC595" i="7"/>
  <c r="AN595" i="7" s="1"/>
  <c r="AB595" i="7"/>
  <c r="AA595"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AJ594" i="7"/>
  <c r="AI594" i="7"/>
  <c r="AH594" i="7"/>
  <c r="AG594" i="7"/>
  <c r="AF594" i="7"/>
  <c r="AE594" i="7"/>
  <c r="AD594" i="7"/>
  <c r="AQ594" i="7" s="1"/>
  <c r="AC594" i="7"/>
  <c r="AN594" i="7" s="1"/>
  <c r="AB594" i="7"/>
  <c r="AA594" i="7"/>
  <c r="Z594" i="7"/>
  <c r="Y594" i="7"/>
  <c r="X594" i="7"/>
  <c r="W594" i="7"/>
  <c r="V594" i="7"/>
  <c r="AO594" i="7" s="1"/>
  <c r="U594" i="7"/>
  <c r="T594" i="7"/>
  <c r="S594" i="7"/>
  <c r="R594" i="7"/>
  <c r="Q594" i="7"/>
  <c r="P594" i="7"/>
  <c r="O594" i="7"/>
  <c r="N594" i="7"/>
  <c r="M594" i="7"/>
  <c r="L594" i="7"/>
  <c r="K594" i="7"/>
  <c r="J594" i="7"/>
  <c r="I594" i="7"/>
  <c r="H594" i="7"/>
  <c r="G594" i="7"/>
  <c r="F594" i="7"/>
  <c r="E594" i="7"/>
  <c r="D594" i="7"/>
  <c r="C594" i="7"/>
  <c r="B594" i="7"/>
  <c r="A594" i="7"/>
  <c r="AJ593" i="7"/>
  <c r="AI593" i="7"/>
  <c r="AH593" i="7"/>
  <c r="AG593" i="7"/>
  <c r="AF593" i="7"/>
  <c r="AE593" i="7"/>
  <c r="AD593" i="7"/>
  <c r="AQ593" i="7" s="1"/>
  <c r="AC593" i="7"/>
  <c r="AN593" i="7" s="1"/>
  <c r="AB593" i="7"/>
  <c r="AA593"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AJ592" i="7"/>
  <c r="AI592" i="7"/>
  <c r="AH592" i="7"/>
  <c r="AG592" i="7"/>
  <c r="AF592" i="7"/>
  <c r="AE592" i="7"/>
  <c r="AD592" i="7"/>
  <c r="AQ592" i="7" s="1"/>
  <c r="AC592" i="7"/>
  <c r="AN592" i="7" s="1"/>
  <c r="AB592" i="7"/>
  <c r="AA592" i="7"/>
  <c r="Z592" i="7"/>
  <c r="Y592" i="7"/>
  <c r="X592" i="7"/>
  <c r="W592" i="7"/>
  <c r="V592" i="7"/>
  <c r="U592" i="7"/>
  <c r="T592" i="7"/>
  <c r="S592" i="7"/>
  <c r="R592" i="7"/>
  <c r="Q592" i="7"/>
  <c r="P592" i="7"/>
  <c r="O592" i="7"/>
  <c r="N592" i="7"/>
  <c r="M592" i="7"/>
  <c r="L592" i="7"/>
  <c r="K592" i="7"/>
  <c r="J592" i="7"/>
  <c r="I592" i="7"/>
  <c r="H592" i="7"/>
  <c r="G592" i="7"/>
  <c r="F592" i="7"/>
  <c r="E592" i="7"/>
  <c r="D592" i="7"/>
  <c r="C592" i="7"/>
  <c r="B592" i="7"/>
  <c r="A592" i="7"/>
  <c r="AJ591" i="7"/>
  <c r="AI591" i="7"/>
  <c r="AH591" i="7"/>
  <c r="AG591" i="7"/>
  <c r="AF591" i="7"/>
  <c r="AE591" i="7"/>
  <c r="AD591" i="7"/>
  <c r="AQ591" i="7" s="1"/>
  <c r="AC591" i="7"/>
  <c r="AN591" i="7" s="1"/>
  <c r="AB591" i="7"/>
  <c r="AA591"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AJ590" i="7"/>
  <c r="AI590" i="7"/>
  <c r="AH590" i="7"/>
  <c r="AG590" i="7"/>
  <c r="AF590" i="7"/>
  <c r="AE590" i="7"/>
  <c r="AD590" i="7"/>
  <c r="AQ590" i="7" s="1"/>
  <c r="AC590" i="7"/>
  <c r="AN590" i="7" s="1"/>
  <c r="AB590" i="7"/>
  <c r="AA590" i="7"/>
  <c r="Z590" i="7"/>
  <c r="Y590" i="7"/>
  <c r="X590" i="7"/>
  <c r="W590" i="7"/>
  <c r="V590" i="7"/>
  <c r="AO590" i="7" s="1"/>
  <c r="U590" i="7"/>
  <c r="T590" i="7"/>
  <c r="S590" i="7"/>
  <c r="R590" i="7"/>
  <c r="Q590" i="7"/>
  <c r="P590" i="7"/>
  <c r="O590" i="7"/>
  <c r="N590" i="7"/>
  <c r="M590" i="7"/>
  <c r="L590" i="7"/>
  <c r="K590" i="7"/>
  <c r="J590" i="7"/>
  <c r="I590" i="7"/>
  <c r="H590" i="7"/>
  <c r="G590" i="7"/>
  <c r="F590" i="7"/>
  <c r="E590" i="7"/>
  <c r="D590" i="7"/>
  <c r="C590" i="7"/>
  <c r="B590" i="7"/>
  <c r="A590" i="7"/>
  <c r="AJ589" i="7"/>
  <c r="AI589" i="7"/>
  <c r="AH589" i="7"/>
  <c r="AG589" i="7"/>
  <c r="AF589" i="7"/>
  <c r="AE589" i="7"/>
  <c r="AD589" i="7"/>
  <c r="AQ589" i="7" s="1"/>
  <c r="AC589" i="7"/>
  <c r="AN589" i="7" s="1"/>
  <c r="AB589" i="7"/>
  <c r="AA589" i="7"/>
  <c r="Z589" i="7"/>
  <c r="Y589" i="7"/>
  <c r="X589" i="7"/>
  <c r="W589" i="7"/>
  <c r="V589" i="7"/>
  <c r="AO589" i="7" s="1"/>
  <c r="U589" i="7"/>
  <c r="T589" i="7"/>
  <c r="S589" i="7"/>
  <c r="R589" i="7"/>
  <c r="Q589" i="7"/>
  <c r="P589" i="7"/>
  <c r="O589" i="7"/>
  <c r="N589" i="7"/>
  <c r="M589" i="7"/>
  <c r="L589" i="7"/>
  <c r="K589" i="7"/>
  <c r="J589" i="7"/>
  <c r="I589" i="7"/>
  <c r="H589" i="7"/>
  <c r="G589" i="7"/>
  <c r="F589" i="7"/>
  <c r="E589" i="7"/>
  <c r="D589" i="7"/>
  <c r="C589" i="7"/>
  <c r="B589" i="7"/>
  <c r="A589" i="7"/>
  <c r="AJ588" i="7"/>
  <c r="AI588" i="7"/>
  <c r="AH588" i="7"/>
  <c r="AG588" i="7"/>
  <c r="AF588" i="7"/>
  <c r="AE588" i="7"/>
  <c r="AD588" i="7"/>
  <c r="AQ588" i="7" s="1"/>
  <c r="AC588" i="7"/>
  <c r="AN588" i="7" s="1"/>
  <c r="AB588" i="7"/>
  <c r="AA588" i="7"/>
  <c r="Z588" i="7"/>
  <c r="Y588" i="7"/>
  <c r="X588" i="7"/>
  <c r="W588" i="7"/>
  <c r="V588" i="7"/>
  <c r="U588" i="7"/>
  <c r="T588" i="7"/>
  <c r="S588" i="7"/>
  <c r="R588" i="7"/>
  <c r="Q588" i="7"/>
  <c r="P588" i="7"/>
  <c r="O588" i="7"/>
  <c r="N588" i="7"/>
  <c r="M588" i="7"/>
  <c r="L588" i="7"/>
  <c r="K588" i="7"/>
  <c r="J588" i="7"/>
  <c r="I588" i="7"/>
  <c r="H588" i="7"/>
  <c r="G588" i="7"/>
  <c r="F588" i="7"/>
  <c r="E588" i="7"/>
  <c r="D588" i="7"/>
  <c r="C588" i="7"/>
  <c r="B588" i="7"/>
  <c r="A588" i="7"/>
  <c r="AJ587" i="7"/>
  <c r="AI587" i="7"/>
  <c r="AH587" i="7"/>
  <c r="AG587" i="7"/>
  <c r="AF587" i="7"/>
  <c r="AE587" i="7"/>
  <c r="AD587" i="7"/>
  <c r="AQ587" i="7" s="1"/>
  <c r="AC587" i="7"/>
  <c r="AN587" i="7" s="1"/>
  <c r="AB587" i="7"/>
  <c r="AA587"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AJ586" i="7"/>
  <c r="AI586" i="7"/>
  <c r="AH586" i="7"/>
  <c r="AG586" i="7"/>
  <c r="AF586" i="7"/>
  <c r="AE586" i="7"/>
  <c r="AD586" i="7"/>
  <c r="AQ586" i="7" s="1"/>
  <c r="AC586" i="7"/>
  <c r="AN586" i="7" s="1"/>
  <c r="AB586" i="7"/>
  <c r="AA586" i="7"/>
  <c r="Z586" i="7"/>
  <c r="Y586" i="7"/>
  <c r="X586" i="7"/>
  <c r="W586" i="7"/>
  <c r="V586" i="7"/>
  <c r="AO586" i="7" s="1"/>
  <c r="U586" i="7"/>
  <c r="T586" i="7"/>
  <c r="S586" i="7"/>
  <c r="R586" i="7"/>
  <c r="Q586" i="7"/>
  <c r="P586" i="7"/>
  <c r="O586" i="7"/>
  <c r="N586" i="7"/>
  <c r="M586" i="7"/>
  <c r="L586" i="7"/>
  <c r="K586" i="7"/>
  <c r="J586" i="7"/>
  <c r="I586" i="7"/>
  <c r="H586" i="7"/>
  <c r="G586" i="7"/>
  <c r="F586" i="7"/>
  <c r="E586" i="7"/>
  <c r="D586" i="7"/>
  <c r="C586" i="7"/>
  <c r="B586" i="7"/>
  <c r="A586" i="7"/>
  <c r="AJ585" i="7"/>
  <c r="AI585" i="7"/>
  <c r="AH585" i="7"/>
  <c r="AG585" i="7"/>
  <c r="AF585" i="7"/>
  <c r="AE585" i="7"/>
  <c r="AD585" i="7"/>
  <c r="AQ585" i="7" s="1"/>
  <c r="AC585" i="7"/>
  <c r="AN585" i="7" s="1"/>
  <c r="AB585" i="7"/>
  <c r="AA585" i="7"/>
  <c r="Z585" i="7"/>
  <c r="Y585" i="7"/>
  <c r="X585" i="7"/>
  <c r="W585" i="7"/>
  <c r="V585" i="7"/>
  <c r="AO585" i="7" s="1"/>
  <c r="U585" i="7"/>
  <c r="T585" i="7"/>
  <c r="S585" i="7"/>
  <c r="R585" i="7"/>
  <c r="Q585" i="7"/>
  <c r="P585" i="7"/>
  <c r="O585" i="7"/>
  <c r="N585" i="7"/>
  <c r="M585" i="7"/>
  <c r="L585" i="7"/>
  <c r="K585" i="7"/>
  <c r="J585" i="7"/>
  <c r="I585" i="7"/>
  <c r="H585" i="7"/>
  <c r="G585" i="7"/>
  <c r="F585" i="7"/>
  <c r="E585" i="7"/>
  <c r="D585" i="7"/>
  <c r="C585" i="7"/>
  <c r="B585" i="7"/>
  <c r="A585" i="7"/>
  <c r="AJ584" i="7"/>
  <c r="AI584" i="7"/>
  <c r="AH584" i="7"/>
  <c r="AG584" i="7"/>
  <c r="AF584" i="7"/>
  <c r="AE584" i="7"/>
  <c r="AD584" i="7"/>
  <c r="AQ584" i="7" s="1"/>
  <c r="AC584" i="7"/>
  <c r="AN584" i="7" s="1"/>
  <c r="AB584" i="7"/>
  <c r="AA584" i="7"/>
  <c r="Z584" i="7"/>
  <c r="Y584" i="7"/>
  <c r="X584" i="7"/>
  <c r="W584" i="7"/>
  <c r="V584" i="7"/>
  <c r="U584" i="7"/>
  <c r="T584" i="7"/>
  <c r="S584" i="7"/>
  <c r="R584" i="7"/>
  <c r="Q584" i="7"/>
  <c r="P584" i="7"/>
  <c r="O584" i="7"/>
  <c r="N584" i="7"/>
  <c r="M584" i="7"/>
  <c r="L584" i="7"/>
  <c r="K584" i="7"/>
  <c r="J584" i="7"/>
  <c r="I584" i="7"/>
  <c r="H584" i="7"/>
  <c r="G584" i="7"/>
  <c r="F584" i="7"/>
  <c r="E584" i="7"/>
  <c r="D584" i="7"/>
  <c r="C584" i="7"/>
  <c r="B584" i="7"/>
  <c r="A584" i="7"/>
  <c r="AJ583" i="7"/>
  <c r="AI583" i="7"/>
  <c r="AH583" i="7"/>
  <c r="AG583" i="7"/>
  <c r="AF583" i="7"/>
  <c r="AE583" i="7"/>
  <c r="AD583" i="7"/>
  <c r="AQ583" i="7" s="1"/>
  <c r="AC583" i="7"/>
  <c r="AN583" i="7" s="1"/>
  <c r="AB583" i="7"/>
  <c r="AA583"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AJ582" i="7"/>
  <c r="AI582" i="7"/>
  <c r="AH582" i="7"/>
  <c r="AG582" i="7"/>
  <c r="AF582" i="7"/>
  <c r="AE582" i="7"/>
  <c r="AD582" i="7"/>
  <c r="AQ582" i="7" s="1"/>
  <c r="AC582" i="7"/>
  <c r="AN582" i="7" s="1"/>
  <c r="AB582" i="7"/>
  <c r="AA582" i="7"/>
  <c r="Z582" i="7"/>
  <c r="Y582" i="7"/>
  <c r="X582" i="7"/>
  <c r="W582" i="7"/>
  <c r="V582" i="7"/>
  <c r="AO582" i="7" s="1"/>
  <c r="U582" i="7"/>
  <c r="T582" i="7"/>
  <c r="S582" i="7"/>
  <c r="R582" i="7"/>
  <c r="Q582" i="7"/>
  <c r="P582" i="7"/>
  <c r="O582" i="7"/>
  <c r="N582" i="7"/>
  <c r="M582" i="7"/>
  <c r="L582" i="7"/>
  <c r="K582" i="7"/>
  <c r="J582" i="7"/>
  <c r="I582" i="7"/>
  <c r="H582" i="7"/>
  <c r="G582" i="7"/>
  <c r="F582" i="7"/>
  <c r="E582" i="7"/>
  <c r="D582" i="7"/>
  <c r="C582" i="7"/>
  <c r="B582" i="7"/>
  <c r="A582" i="7"/>
  <c r="AJ581" i="7"/>
  <c r="AI581" i="7"/>
  <c r="AH581" i="7"/>
  <c r="AG581" i="7"/>
  <c r="AF581" i="7"/>
  <c r="AE581" i="7"/>
  <c r="AD581" i="7"/>
  <c r="AQ581" i="7" s="1"/>
  <c r="AC581" i="7"/>
  <c r="AN581" i="7" s="1"/>
  <c r="AB581" i="7"/>
  <c r="AA581" i="7"/>
  <c r="Z581" i="7"/>
  <c r="Y581" i="7"/>
  <c r="X581" i="7"/>
  <c r="W581" i="7"/>
  <c r="V581" i="7"/>
  <c r="AO581" i="7" s="1"/>
  <c r="U581" i="7"/>
  <c r="T581" i="7"/>
  <c r="S581" i="7"/>
  <c r="R581" i="7"/>
  <c r="Q581" i="7"/>
  <c r="P581" i="7"/>
  <c r="O581" i="7"/>
  <c r="N581" i="7"/>
  <c r="M581" i="7"/>
  <c r="L581" i="7"/>
  <c r="K581" i="7"/>
  <c r="J581" i="7"/>
  <c r="I581" i="7"/>
  <c r="H581" i="7"/>
  <c r="G581" i="7"/>
  <c r="F581" i="7"/>
  <c r="E581" i="7"/>
  <c r="D581" i="7"/>
  <c r="C581" i="7"/>
  <c r="B581" i="7"/>
  <c r="A581" i="7"/>
  <c r="AJ580" i="7"/>
  <c r="AI580" i="7"/>
  <c r="AH580" i="7"/>
  <c r="AG580" i="7"/>
  <c r="AF580" i="7"/>
  <c r="AE580" i="7"/>
  <c r="AD580" i="7"/>
  <c r="AQ580" i="7" s="1"/>
  <c r="AC580" i="7"/>
  <c r="AN580" i="7" s="1"/>
  <c r="AB580" i="7"/>
  <c r="AA580" i="7"/>
  <c r="Z580" i="7"/>
  <c r="Y580" i="7"/>
  <c r="X580" i="7"/>
  <c r="W580" i="7"/>
  <c r="V580" i="7"/>
  <c r="AO580" i="7" s="1"/>
  <c r="U580" i="7"/>
  <c r="T580" i="7"/>
  <c r="S580" i="7"/>
  <c r="R580" i="7"/>
  <c r="Q580" i="7"/>
  <c r="P580" i="7"/>
  <c r="O580" i="7"/>
  <c r="N580" i="7"/>
  <c r="M580" i="7"/>
  <c r="L580" i="7"/>
  <c r="K580" i="7"/>
  <c r="J580" i="7"/>
  <c r="I580" i="7"/>
  <c r="H580" i="7"/>
  <c r="G580" i="7"/>
  <c r="F580" i="7"/>
  <c r="E580" i="7"/>
  <c r="D580" i="7"/>
  <c r="C580" i="7"/>
  <c r="B580" i="7"/>
  <c r="A580" i="7"/>
  <c r="AJ579" i="7"/>
  <c r="AI579" i="7"/>
  <c r="AH579" i="7"/>
  <c r="AG579" i="7"/>
  <c r="AF579" i="7"/>
  <c r="AE579" i="7"/>
  <c r="AD579" i="7"/>
  <c r="AQ579" i="7" s="1"/>
  <c r="AC579" i="7"/>
  <c r="AN579" i="7" s="1"/>
  <c r="AB579" i="7"/>
  <c r="AA579"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AJ578" i="7"/>
  <c r="AI578" i="7"/>
  <c r="AH578" i="7"/>
  <c r="AG578" i="7"/>
  <c r="AF578" i="7"/>
  <c r="AE578" i="7"/>
  <c r="AD578" i="7"/>
  <c r="AQ578" i="7" s="1"/>
  <c r="AC578" i="7"/>
  <c r="AN578" i="7" s="1"/>
  <c r="AB578" i="7"/>
  <c r="AA578" i="7"/>
  <c r="Z578" i="7"/>
  <c r="Y578" i="7"/>
  <c r="X578" i="7"/>
  <c r="W578" i="7"/>
  <c r="V578" i="7"/>
  <c r="AO578" i="7" s="1"/>
  <c r="U578" i="7"/>
  <c r="T578" i="7"/>
  <c r="S578" i="7"/>
  <c r="R578" i="7"/>
  <c r="Q578" i="7"/>
  <c r="P578" i="7"/>
  <c r="O578" i="7"/>
  <c r="N578" i="7"/>
  <c r="M578" i="7"/>
  <c r="L578" i="7"/>
  <c r="K578" i="7"/>
  <c r="J578" i="7"/>
  <c r="I578" i="7"/>
  <c r="H578" i="7"/>
  <c r="G578" i="7"/>
  <c r="F578" i="7"/>
  <c r="E578" i="7"/>
  <c r="D578" i="7"/>
  <c r="C578" i="7"/>
  <c r="B578" i="7"/>
  <c r="A578" i="7"/>
  <c r="AJ577" i="7"/>
  <c r="AI577" i="7"/>
  <c r="AH577" i="7"/>
  <c r="AG577" i="7"/>
  <c r="AF577" i="7"/>
  <c r="AE577" i="7"/>
  <c r="AD577" i="7"/>
  <c r="AQ577" i="7" s="1"/>
  <c r="AC577" i="7"/>
  <c r="AN577" i="7" s="1"/>
  <c r="AB577" i="7"/>
  <c r="AA577" i="7"/>
  <c r="Z577" i="7"/>
  <c r="Y577" i="7"/>
  <c r="X577" i="7"/>
  <c r="W577" i="7"/>
  <c r="V577" i="7"/>
  <c r="U577" i="7"/>
  <c r="T577" i="7"/>
  <c r="S577" i="7"/>
  <c r="R577" i="7"/>
  <c r="Q577" i="7"/>
  <c r="P577" i="7"/>
  <c r="O577" i="7"/>
  <c r="N577" i="7"/>
  <c r="M577" i="7"/>
  <c r="L577" i="7"/>
  <c r="K577" i="7"/>
  <c r="J577" i="7"/>
  <c r="I577" i="7"/>
  <c r="H577" i="7"/>
  <c r="G577" i="7"/>
  <c r="F577" i="7"/>
  <c r="E577" i="7"/>
  <c r="D577" i="7"/>
  <c r="C577" i="7"/>
  <c r="B577" i="7"/>
  <c r="A577" i="7"/>
  <c r="AJ576" i="7"/>
  <c r="AI576" i="7"/>
  <c r="AH576" i="7"/>
  <c r="AG576" i="7"/>
  <c r="AF576" i="7"/>
  <c r="AE576" i="7"/>
  <c r="AD576" i="7"/>
  <c r="AQ576" i="7" s="1"/>
  <c r="AC576" i="7"/>
  <c r="AN576" i="7" s="1"/>
  <c r="AB576" i="7"/>
  <c r="AA576" i="7"/>
  <c r="Z576" i="7"/>
  <c r="Y576" i="7"/>
  <c r="X576" i="7"/>
  <c r="W576" i="7"/>
  <c r="V576" i="7"/>
  <c r="U576" i="7"/>
  <c r="T576" i="7"/>
  <c r="S576" i="7"/>
  <c r="R576" i="7"/>
  <c r="Q576" i="7"/>
  <c r="P576" i="7"/>
  <c r="O576" i="7"/>
  <c r="N576" i="7"/>
  <c r="M576" i="7"/>
  <c r="L576" i="7"/>
  <c r="K576" i="7"/>
  <c r="J576" i="7"/>
  <c r="I576" i="7"/>
  <c r="H576" i="7"/>
  <c r="G576" i="7"/>
  <c r="F576" i="7"/>
  <c r="E576" i="7"/>
  <c r="D576" i="7"/>
  <c r="C576" i="7"/>
  <c r="B576" i="7"/>
  <c r="A576" i="7"/>
  <c r="AJ575" i="7"/>
  <c r="AI575" i="7"/>
  <c r="AH575" i="7"/>
  <c r="AG575" i="7"/>
  <c r="AF575" i="7"/>
  <c r="AE575" i="7"/>
  <c r="AD575" i="7"/>
  <c r="AQ575" i="7" s="1"/>
  <c r="AC575" i="7"/>
  <c r="AN575" i="7" s="1"/>
  <c r="AB575" i="7"/>
  <c r="AA575"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AJ574" i="7"/>
  <c r="AI574" i="7"/>
  <c r="AH574" i="7"/>
  <c r="AG574" i="7"/>
  <c r="AF574" i="7"/>
  <c r="AE574" i="7"/>
  <c r="AD574" i="7"/>
  <c r="AQ574" i="7" s="1"/>
  <c r="AC574" i="7"/>
  <c r="AN574" i="7" s="1"/>
  <c r="AB574" i="7"/>
  <c r="AA574" i="7"/>
  <c r="Z574" i="7"/>
  <c r="Y574" i="7"/>
  <c r="X574" i="7"/>
  <c r="W574" i="7"/>
  <c r="V574" i="7"/>
  <c r="AO574" i="7" s="1"/>
  <c r="U574" i="7"/>
  <c r="T574" i="7"/>
  <c r="S574" i="7"/>
  <c r="R574" i="7"/>
  <c r="Q574" i="7"/>
  <c r="P574" i="7"/>
  <c r="O574" i="7"/>
  <c r="N574" i="7"/>
  <c r="M574" i="7"/>
  <c r="L574" i="7"/>
  <c r="K574" i="7"/>
  <c r="J574" i="7"/>
  <c r="I574" i="7"/>
  <c r="H574" i="7"/>
  <c r="G574" i="7"/>
  <c r="F574" i="7"/>
  <c r="E574" i="7"/>
  <c r="D574" i="7"/>
  <c r="C574" i="7"/>
  <c r="B574" i="7"/>
  <c r="A574" i="7"/>
  <c r="AJ573" i="7"/>
  <c r="AI573" i="7"/>
  <c r="AH573" i="7"/>
  <c r="AG573" i="7"/>
  <c r="AF573" i="7"/>
  <c r="AE573" i="7"/>
  <c r="AD573" i="7"/>
  <c r="AQ573" i="7" s="1"/>
  <c r="AC573" i="7"/>
  <c r="AN573" i="7" s="1"/>
  <c r="AB573" i="7"/>
  <c r="AA573" i="7"/>
  <c r="Z573" i="7"/>
  <c r="Y573" i="7"/>
  <c r="X573" i="7"/>
  <c r="W573" i="7"/>
  <c r="V573" i="7"/>
  <c r="U573" i="7"/>
  <c r="T573" i="7"/>
  <c r="S573" i="7"/>
  <c r="R573" i="7"/>
  <c r="Q573" i="7"/>
  <c r="P573" i="7"/>
  <c r="O573" i="7"/>
  <c r="N573" i="7"/>
  <c r="M573" i="7"/>
  <c r="L573" i="7"/>
  <c r="K573" i="7"/>
  <c r="J573" i="7"/>
  <c r="I573" i="7"/>
  <c r="H573" i="7"/>
  <c r="G573" i="7"/>
  <c r="F573" i="7"/>
  <c r="E573" i="7"/>
  <c r="D573" i="7"/>
  <c r="C573" i="7"/>
  <c r="B573" i="7"/>
  <c r="A573" i="7"/>
  <c r="AJ572" i="7"/>
  <c r="AI572" i="7"/>
  <c r="AH572" i="7"/>
  <c r="AG572" i="7"/>
  <c r="AF572" i="7"/>
  <c r="AE572" i="7"/>
  <c r="AD572" i="7"/>
  <c r="AQ572" i="7" s="1"/>
  <c r="AC572" i="7"/>
  <c r="AN572" i="7" s="1"/>
  <c r="AB572" i="7"/>
  <c r="AA572" i="7"/>
  <c r="Z572" i="7"/>
  <c r="Y572" i="7"/>
  <c r="X572" i="7"/>
  <c r="W572" i="7"/>
  <c r="V572" i="7"/>
  <c r="U572" i="7"/>
  <c r="T572" i="7"/>
  <c r="S572" i="7"/>
  <c r="R572" i="7"/>
  <c r="Q572" i="7"/>
  <c r="P572" i="7"/>
  <c r="O572" i="7"/>
  <c r="N572" i="7"/>
  <c r="M572" i="7"/>
  <c r="L572" i="7"/>
  <c r="K572" i="7"/>
  <c r="J572" i="7"/>
  <c r="I572" i="7"/>
  <c r="H572" i="7"/>
  <c r="G572" i="7"/>
  <c r="F572" i="7"/>
  <c r="E572" i="7"/>
  <c r="D572" i="7"/>
  <c r="C572" i="7"/>
  <c r="B572" i="7"/>
  <c r="A572" i="7"/>
  <c r="AJ571" i="7"/>
  <c r="AI571" i="7"/>
  <c r="AH571" i="7"/>
  <c r="AG571" i="7"/>
  <c r="AF571" i="7"/>
  <c r="AE571" i="7"/>
  <c r="AD571" i="7"/>
  <c r="AQ571" i="7" s="1"/>
  <c r="AC571" i="7"/>
  <c r="AN571" i="7" s="1"/>
  <c r="AB571" i="7"/>
  <c r="AA571" i="7"/>
  <c r="Z571" i="7"/>
  <c r="Y571" i="7"/>
  <c r="X571" i="7"/>
  <c r="W571" i="7"/>
  <c r="V571" i="7"/>
  <c r="U571" i="7"/>
  <c r="AM571" i="7" s="1"/>
  <c r="T571" i="7"/>
  <c r="S571" i="7"/>
  <c r="R571" i="7"/>
  <c r="Q571" i="7"/>
  <c r="P571" i="7"/>
  <c r="O571" i="7"/>
  <c r="N571" i="7"/>
  <c r="M571" i="7"/>
  <c r="L571" i="7"/>
  <c r="K571" i="7"/>
  <c r="J571" i="7"/>
  <c r="I571" i="7"/>
  <c r="H571" i="7"/>
  <c r="G571" i="7"/>
  <c r="F571" i="7"/>
  <c r="E571" i="7"/>
  <c r="D571" i="7"/>
  <c r="C571" i="7"/>
  <c r="B571" i="7"/>
  <c r="A571" i="7"/>
  <c r="AJ570" i="7"/>
  <c r="AI570" i="7"/>
  <c r="AH570" i="7"/>
  <c r="AG570" i="7"/>
  <c r="AF570" i="7"/>
  <c r="AE570" i="7"/>
  <c r="AD570" i="7"/>
  <c r="AQ570" i="7" s="1"/>
  <c r="AC570" i="7"/>
  <c r="AN570" i="7" s="1"/>
  <c r="AB570" i="7"/>
  <c r="AA570"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AJ569" i="7"/>
  <c r="AI569" i="7"/>
  <c r="AH569" i="7"/>
  <c r="AG569" i="7"/>
  <c r="AF569" i="7"/>
  <c r="AE569" i="7"/>
  <c r="AD569" i="7"/>
  <c r="AQ569" i="7" s="1"/>
  <c r="AC569" i="7"/>
  <c r="AN569" i="7" s="1"/>
  <c r="AB569" i="7"/>
  <c r="AA569" i="7"/>
  <c r="Z569" i="7"/>
  <c r="Y569" i="7"/>
  <c r="X569" i="7"/>
  <c r="W569" i="7"/>
  <c r="V569" i="7"/>
  <c r="AO569" i="7" s="1"/>
  <c r="U569" i="7"/>
  <c r="T569" i="7"/>
  <c r="S569" i="7"/>
  <c r="R569" i="7"/>
  <c r="Q569" i="7"/>
  <c r="P569" i="7"/>
  <c r="O569" i="7"/>
  <c r="N569" i="7"/>
  <c r="M569" i="7"/>
  <c r="L569" i="7"/>
  <c r="K569" i="7"/>
  <c r="J569" i="7"/>
  <c r="I569" i="7"/>
  <c r="H569" i="7"/>
  <c r="G569" i="7"/>
  <c r="F569" i="7"/>
  <c r="E569" i="7"/>
  <c r="D569" i="7"/>
  <c r="C569" i="7"/>
  <c r="B569" i="7"/>
  <c r="A569" i="7"/>
  <c r="AJ568" i="7"/>
  <c r="AI568" i="7"/>
  <c r="AH568" i="7"/>
  <c r="AG568" i="7"/>
  <c r="AF568" i="7"/>
  <c r="AE568" i="7"/>
  <c r="AD568" i="7"/>
  <c r="AQ568" i="7" s="1"/>
  <c r="AC568" i="7"/>
  <c r="AN568" i="7" s="1"/>
  <c r="AB568" i="7"/>
  <c r="AA568" i="7"/>
  <c r="Z568" i="7"/>
  <c r="Y568" i="7"/>
  <c r="X568" i="7"/>
  <c r="W568" i="7"/>
  <c r="V568" i="7"/>
  <c r="U568" i="7"/>
  <c r="T568" i="7"/>
  <c r="S568" i="7"/>
  <c r="R568" i="7"/>
  <c r="Q568" i="7"/>
  <c r="P568" i="7"/>
  <c r="O568" i="7"/>
  <c r="N568" i="7"/>
  <c r="M568" i="7"/>
  <c r="L568" i="7"/>
  <c r="K568" i="7"/>
  <c r="J568" i="7"/>
  <c r="I568" i="7"/>
  <c r="H568" i="7"/>
  <c r="G568" i="7"/>
  <c r="F568" i="7"/>
  <c r="E568" i="7"/>
  <c r="D568" i="7"/>
  <c r="C568" i="7"/>
  <c r="B568" i="7"/>
  <c r="A568" i="7"/>
  <c r="AJ567" i="7"/>
  <c r="AI567" i="7"/>
  <c r="AH567" i="7"/>
  <c r="AG567" i="7"/>
  <c r="AF567" i="7"/>
  <c r="AE567" i="7"/>
  <c r="AD567" i="7"/>
  <c r="AQ567" i="7" s="1"/>
  <c r="AC567" i="7"/>
  <c r="AN567" i="7" s="1"/>
  <c r="AB567" i="7"/>
  <c r="AA567"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AJ566" i="7"/>
  <c r="AI566" i="7"/>
  <c r="AH566" i="7"/>
  <c r="AG566" i="7"/>
  <c r="AF566" i="7"/>
  <c r="AE566" i="7"/>
  <c r="AD566" i="7"/>
  <c r="AQ566" i="7" s="1"/>
  <c r="AC566" i="7"/>
  <c r="AN566" i="7" s="1"/>
  <c r="AB566" i="7"/>
  <c r="AA566" i="7"/>
  <c r="Z566" i="7"/>
  <c r="Y566" i="7"/>
  <c r="X566" i="7"/>
  <c r="W566" i="7"/>
  <c r="V566" i="7"/>
  <c r="AO566" i="7" s="1"/>
  <c r="U566" i="7"/>
  <c r="T566" i="7"/>
  <c r="S566" i="7"/>
  <c r="R566" i="7"/>
  <c r="Q566" i="7"/>
  <c r="P566" i="7"/>
  <c r="O566" i="7"/>
  <c r="N566" i="7"/>
  <c r="M566" i="7"/>
  <c r="L566" i="7"/>
  <c r="K566" i="7"/>
  <c r="J566" i="7"/>
  <c r="I566" i="7"/>
  <c r="H566" i="7"/>
  <c r="G566" i="7"/>
  <c r="F566" i="7"/>
  <c r="E566" i="7"/>
  <c r="D566" i="7"/>
  <c r="C566" i="7"/>
  <c r="B566" i="7"/>
  <c r="A566" i="7"/>
  <c r="AJ565" i="7"/>
  <c r="AI565" i="7"/>
  <c r="AH565" i="7"/>
  <c r="AG565" i="7"/>
  <c r="AF565" i="7"/>
  <c r="AE565" i="7"/>
  <c r="AD565" i="7"/>
  <c r="AQ565" i="7" s="1"/>
  <c r="AC565" i="7"/>
  <c r="AN565" i="7" s="1"/>
  <c r="AB565" i="7"/>
  <c r="AA565" i="7"/>
  <c r="Z565" i="7"/>
  <c r="Y565" i="7"/>
  <c r="X565" i="7"/>
  <c r="W565" i="7"/>
  <c r="V565" i="7"/>
  <c r="AO565" i="7" s="1"/>
  <c r="U565" i="7"/>
  <c r="T565" i="7"/>
  <c r="S565" i="7"/>
  <c r="R565" i="7"/>
  <c r="Q565" i="7"/>
  <c r="P565" i="7"/>
  <c r="O565" i="7"/>
  <c r="N565" i="7"/>
  <c r="M565" i="7"/>
  <c r="L565" i="7"/>
  <c r="K565" i="7"/>
  <c r="J565" i="7"/>
  <c r="I565" i="7"/>
  <c r="H565" i="7"/>
  <c r="G565" i="7"/>
  <c r="F565" i="7"/>
  <c r="E565" i="7"/>
  <c r="D565" i="7"/>
  <c r="C565" i="7"/>
  <c r="B565" i="7"/>
  <c r="A565" i="7"/>
  <c r="AJ564" i="7"/>
  <c r="AI564" i="7"/>
  <c r="AH564" i="7"/>
  <c r="AG564" i="7"/>
  <c r="AF564" i="7"/>
  <c r="AE564" i="7"/>
  <c r="AD564" i="7"/>
  <c r="AQ564" i="7" s="1"/>
  <c r="AC564" i="7"/>
  <c r="AN564" i="7" s="1"/>
  <c r="AB564" i="7"/>
  <c r="AA564" i="7"/>
  <c r="Z564" i="7"/>
  <c r="Y564" i="7"/>
  <c r="X564" i="7"/>
  <c r="W564" i="7"/>
  <c r="V564" i="7"/>
  <c r="AO564" i="7" s="1"/>
  <c r="U564" i="7"/>
  <c r="T564" i="7"/>
  <c r="S564" i="7"/>
  <c r="R564" i="7"/>
  <c r="Q564" i="7"/>
  <c r="P564" i="7"/>
  <c r="O564" i="7"/>
  <c r="N564" i="7"/>
  <c r="M564" i="7"/>
  <c r="L564" i="7"/>
  <c r="K564" i="7"/>
  <c r="J564" i="7"/>
  <c r="I564" i="7"/>
  <c r="H564" i="7"/>
  <c r="G564" i="7"/>
  <c r="F564" i="7"/>
  <c r="E564" i="7"/>
  <c r="D564" i="7"/>
  <c r="C564" i="7"/>
  <c r="B564" i="7"/>
  <c r="A564" i="7"/>
  <c r="AJ563" i="7"/>
  <c r="AI563" i="7"/>
  <c r="AH563" i="7"/>
  <c r="AG563" i="7"/>
  <c r="AF563" i="7"/>
  <c r="AE563" i="7"/>
  <c r="AD563" i="7"/>
  <c r="AQ563" i="7" s="1"/>
  <c r="AC563" i="7"/>
  <c r="AN563" i="7" s="1"/>
  <c r="AB563" i="7"/>
  <c r="AA563"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AJ562" i="7"/>
  <c r="AI562" i="7"/>
  <c r="AH562" i="7"/>
  <c r="AG562" i="7"/>
  <c r="AF562" i="7"/>
  <c r="AE562" i="7"/>
  <c r="AD562" i="7"/>
  <c r="AQ562" i="7" s="1"/>
  <c r="AC562" i="7"/>
  <c r="AN562" i="7" s="1"/>
  <c r="AB562" i="7"/>
  <c r="AA562" i="7"/>
  <c r="Z562" i="7"/>
  <c r="Y562" i="7"/>
  <c r="X562" i="7"/>
  <c r="W562" i="7"/>
  <c r="V562" i="7"/>
  <c r="AO562" i="7" s="1"/>
  <c r="U562" i="7"/>
  <c r="T562" i="7"/>
  <c r="S562" i="7"/>
  <c r="R562" i="7"/>
  <c r="Q562" i="7"/>
  <c r="P562" i="7"/>
  <c r="O562" i="7"/>
  <c r="N562" i="7"/>
  <c r="M562" i="7"/>
  <c r="L562" i="7"/>
  <c r="K562" i="7"/>
  <c r="J562" i="7"/>
  <c r="I562" i="7"/>
  <c r="H562" i="7"/>
  <c r="G562" i="7"/>
  <c r="F562" i="7"/>
  <c r="E562" i="7"/>
  <c r="D562" i="7"/>
  <c r="C562" i="7"/>
  <c r="B562" i="7"/>
  <c r="A562" i="7"/>
  <c r="AJ561" i="7"/>
  <c r="AI561" i="7"/>
  <c r="AH561" i="7"/>
  <c r="AG561" i="7"/>
  <c r="AF561" i="7"/>
  <c r="AE561" i="7"/>
  <c r="AD561" i="7"/>
  <c r="AQ561" i="7" s="1"/>
  <c r="AC561" i="7"/>
  <c r="AN561" i="7" s="1"/>
  <c r="AB561" i="7"/>
  <c r="AA561"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AJ560" i="7"/>
  <c r="AI560" i="7"/>
  <c r="AH560" i="7"/>
  <c r="AG560" i="7"/>
  <c r="AF560" i="7"/>
  <c r="AE560" i="7"/>
  <c r="AD560" i="7"/>
  <c r="AQ560" i="7" s="1"/>
  <c r="AC560" i="7"/>
  <c r="AN560" i="7" s="1"/>
  <c r="AB560" i="7"/>
  <c r="AA560" i="7"/>
  <c r="Z560" i="7"/>
  <c r="Y560" i="7"/>
  <c r="X560" i="7"/>
  <c r="W560" i="7"/>
  <c r="V560" i="7"/>
  <c r="U560" i="7"/>
  <c r="T560" i="7"/>
  <c r="S560" i="7"/>
  <c r="R560" i="7"/>
  <c r="Q560" i="7"/>
  <c r="P560" i="7"/>
  <c r="O560" i="7"/>
  <c r="N560" i="7"/>
  <c r="M560" i="7"/>
  <c r="L560" i="7"/>
  <c r="K560" i="7"/>
  <c r="J560" i="7"/>
  <c r="I560" i="7"/>
  <c r="H560" i="7"/>
  <c r="G560" i="7"/>
  <c r="F560" i="7"/>
  <c r="E560" i="7"/>
  <c r="D560" i="7"/>
  <c r="C560" i="7"/>
  <c r="B560" i="7"/>
  <c r="A560" i="7"/>
  <c r="AJ559" i="7"/>
  <c r="AI559" i="7"/>
  <c r="AH559" i="7"/>
  <c r="AG559" i="7"/>
  <c r="AF559" i="7"/>
  <c r="AE559" i="7"/>
  <c r="AD559" i="7"/>
  <c r="AQ559" i="7" s="1"/>
  <c r="AC559" i="7"/>
  <c r="AN559" i="7" s="1"/>
  <c r="AB559" i="7"/>
  <c r="AA559"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AJ558" i="7"/>
  <c r="AI558" i="7"/>
  <c r="AH558" i="7"/>
  <c r="AG558" i="7"/>
  <c r="AF558" i="7"/>
  <c r="AE558" i="7"/>
  <c r="AD558" i="7"/>
  <c r="AQ558" i="7" s="1"/>
  <c r="AC558" i="7"/>
  <c r="AN558" i="7" s="1"/>
  <c r="AB558" i="7"/>
  <c r="AA558" i="7"/>
  <c r="Z558" i="7"/>
  <c r="Y558" i="7"/>
  <c r="X558" i="7"/>
  <c r="W558" i="7"/>
  <c r="V558" i="7"/>
  <c r="AO558" i="7" s="1"/>
  <c r="U558" i="7"/>
  <c r="T558" i="7"/>
  <c r="S558" i="7"/>
  <c r="R558" i="7"/>
  <c r="Q558" i="7"/>
  <c r="P558" i="7"/>
  <c r="O558" i="7"/>
  <c r="N558" i="7"/>
  <c r="M558" i="7"/>
  <c r="L558" i="7"/>
  <c r="K558" i="7"/>
  <c r="J558" i="7"/>
  <c r="I558" i="7"/>
  <c r="H558" i="7"/>
  <c r="G558" i="7"/>
  <c r="F558" i="7"/>
  <c r="E558" i="7"/>
  <c r="D558" i="7"/>
  <c r="C558" i="7"/>
  <c r="B558" i="7"/>
  <c r="A558" i="7"/>
  <c r="AJ557" i="7"/>
  <c r="AI557" i="7"/>
  <c r="AH557" i="7"/>
  <c r="AG557" i="7"/>
  <c r="AF557" i="7"/>
  <c r="AE557" i="7"/>
  <c r="AD557" i="7"/>
  <c r="AQ557" i="7" s="1"/>
  <c r="AC557" i="7"/>
  <c r="AN557" i="7" s="1"/>
  <c r="AB557" i="7"/>
  <c r="AA557"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AJ556" i="7"/>
  <c r="AI556" i="7"/>
  <c r="AH556" i="7"/>
  <c r="AG556" i="7"/>
  <c r="AF556" i="7"/>
  <c r="AE556" i="7"/>
  <c r="AD556" i="7"/>
  <c r="AQ556" i="7" s="1"/>
  <c r="AC556" i="7"/>
  <c r="AN556" i="7" s="1"/>
  <c r="AB556" i="7"/>
  <c r="AA556" i="7"/>
  <c r="Z556" i="7"/>
  <c r="Y556" i="7"/>
  <c r="X556" i="7"/>
  <c r="W556" i="7"/>
  <c r="V556" i="7"/>
  <c r="U556" i="7"/>
  <c r="T556" i="7"/>
  <c r="S556" i="7"/>
  <c r="R556" i="7"/>
  <c r="Q556" i="7"/>
  <c r="P556" i="7"/>
  <c r="O556" i="7"/>
  <c r="N556" i="7"/>
  <c r="M556" i="7"/>
  <c r="L556" i="7"/>
  <c r="K556" i="7"/>
  <c r="J556" i="7"/>
  <c r="I556" i="7"/>
  <c r="H556" i="7"/>
  <c r="G556" i="7"/>
  <c r="F556" i="7"/>
  <c r="E556" i="7"/>
  <c r="D556" i="7"/>
  <c r="C556" i="7"/>
  <c r="B556" i="7"/>
  <c r="A556" i="7"/>
  <c r="AJ555" i="7"/>
  <c r="AI555" i="7"/>
  <c r="AH555" i="7"/>
  <c r="AG555" i="7"/>
  <c r="AF555" i="7"/>
  <c r="AE555" i="7"/>
  <c r="AD555" i="7"/>
  <c r="AQ555" i="7" s="1"/>
  <c r="AC555" i="7"/>
  <c r="AN555" i="7" s="1"/>
  <c r="AB555" i="7"/>
  <c r="AA555"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AJ554" i="7"/>
  <c r="AI554" i="7"/>
  <c r="AH554" i="7"/>
  <c r="AG554" i="7"/>
  <c r="AF554" i="7"/>
  <c r="AE554" i="7"/>
  <c r="AD554" i="7"/>
  <c r="AQ554" i="7" s="1"/>
  <c r="AC554" i="7"/>
  <c r="AN554" i="7" s="1"/>
  <c r="AB554" i="7"/>
  <c r="AA554"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AJ553" i="7"/>
  <c r="AI553" i="7"/>
  <c r="AH553" i="7"/>
  <c r="AG553" i="7"/>
  <c r="AF553" i="7"/>
  <c r="AE553" i="7"/>
  <c r="AD553" i="7"/>
  <c r="AQ553" i="7" s="1"/>
  <c r="AC553" i="7"/>
  <c r="AN553" i="7" s="1"/>
  <c r="AB553" i="7"/>
  <c r="AA553" i="7"/>
  <c r="Z553" i="7"/>
  <c r="Y553" i="7"/>
  <c r="X553" i="7"/>
  <c r="W553" i="7"/>
  <c r="V553" i="7"/>
  <c r="AO553" i="7" s="1"/>
  <c r="U553" i="7"/>
  <c r="T553" i="7"/>
  <c r="S553" i="7"/>
  <c r="R553" i="7"/>
  <c r="Q553" i="7"/>
  <c r="P553" i="7"/>
  <c r="O553" i="7"/>
  <c r="N553" i="7"/>
  <c r="M553" i="7"/>
  <c r="L553" i="7"/>
  <c r="K553" i="7"/>
  <c r="J553" i="7"/>
  <c r="I553" i="7"/>
  <c r="H553" i="7"/>
  <c r="G553" i="7"/>
  <c r="F553" i="7"/>
  <c r="E553" i="7"/>
  <c r="D553" i="7"/>
  <c r="C553" i="7"/>
  <c r="B553" i="7"/>
  <c r="A553" i="7"/>
  <c r="AJ552" i="7"/>
  <c r="AI552" i="7"/>
  <c r="AH552" i="7"/>
  <c r="AG552" i="7"/>
  <c r="AF552" i="7"/>
  <c r="AE552" i="7"/>
  <c r="AD552" i="7"/>
  <c r="AQ552" i="7" s="1"/>
  <c r="AC552" i="7"/>
  <c r="AN552" i="7" s="1"/>
  <c r="AB552" i="7"/>
  <c r="AA552" i="7"/>
  <c r="Z552" i="7"/>
  <c r="Y552" i="7"/>
  <c r="X552" i="7"/>
  <c r="W552" i="7"/>
  <c r="V552" i="7"/>
  <c r="AO552" i="7" s="1"/>
  <c r="U552" i="7"/>
  <c r="T552" i="7"/>
  <c r="S552" i="7"/>
  <c r="R552" i="7"/>
  <c r="Q552" i="7"/>
  <c r="P552" i="7"/>
  <c r="O552" i="7"/>
  <c r="N552" i="7"/>
  <c r="M552" i="7"/>
  <c r="L552" i="7"/>
  <c r="K552" i="7"/>
  <c r="J552" i="7"/>
  <c r="I552" i="7"/>
  <c r="H552" i="7"/>
  <c r="G552" i="7"/>
  <c r="F552" i="7"/>
  <c r="E552" i="7"/>
  <c r="D552" i="7"/>
  <c r="C552" i="7"/>
  <c r="B552" i="7"/>
  <c r="A552" i="7"/>
  <c r="AJ551" i="7"/>
  <c r="AI551" i="7"/>
  <c r="AH551" i="7"/>
  <c r="AG551" i="7"/>
  <c r="AF551" i="7"/>
  <c r="AE551" i="7"/>
  <c r="AD551" i="7"/>
  <c r="AQ551" i="7" s="1"/>
  <c r="AC551" i="7"/>
  <c r="AN551" i="7" s="1"/>
  <c r="AB551" i="7"/>
  <c r="AA551"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AJ550" i="7"/>
  <c r="AI550" i="7"/>
  <c r="AH550" i="7"/>
  <c r="AG550" i="7"/>
  <c r="AF550" i="7"/>
  <c r="AE550" i="7"/>
  <c r="AD550" i="7"/>
  <c r="AQ550" i="7" s="1"/>
  <c r="AC550" i="7"/>
  <c r="AN550" i="7" s="1"/>
  <c r="AB550" i="7"/>
  <c r="AA550"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AJ549" i="7"/>
  <c r="AI549" i="7"/>
  <c r="AH549" i="7"/>
  <c r="AG549" i="7"/>
  <c r="AF549" i="7"/>
  <c r="AE549" i="7"/>
  <c r="AD549" i="7"/>
  <c r="AQ549" i="7" s="1"/>
  <c r="AC549" i="7"/>
  <c r="AN549" i="7" s="1"/>
  <c r="AB549" i="7"/>
  <c r="AA549"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AJ548" i="7"/>
  <c r="AI548" i="7"/>
  <c r="AH548" i="7"/>
  <c r="AG548" i="7"/>
  <c r="AF548" i="7"/>
  <c r="AE548" i="7"/>
  <c r="AD548" i="7"/>
  <c r="AQ548" i="7" s="1"/>
  <c r="AC548" i="7"/>
  <c r="AN548" i="7" s="1"/>
  <c r="AB548" i="7"/>
  <c r="AA548" i="7"/>
  <c r="Z548" i="7"/>
  <c r="Y548" i="7"/>
  <c r="X548" i="7"/>
  <c r="W548" i="7"/>
  <c r="V548" i="7"/>
  <c r="AO548" i="7" s="1"/>
  <c r="U548" i="7"/>
  <c r="T548" i="7"/>
  <c r="S548" i="7"/>
  <c r="R548" i="7"/>
  <c r="Q548" i="7"/>
  <c r="P548" i="7"/>
  <c r="O548" i="7"/>
  <c r="N548" i="7"/>
  <c r="M548" i="7"/>
  <c r="L548" i="7"/>
  <c r="K548" i="7"/>
  <c r="J548" i="7"/>
  <c r="I548" i="7"/>
  <c r="H548" i="7"/>
  <c r="G548" i="7"/>
  <c r="F548" i="7"/>
  <c r="E548" i="7"/>
  <c r="D548" i="7"/>
  <c r="C548" i="7"/>
  <c r="B548" i="7"/>
  <c r="A548" i="7"/>
  <c r="AJ547" i="7"/>
  <c r="AI547" i="7"/>
  <c r="AH547" i="7"/>
  <c r="AG547" i="7"/>
  <c r="AF547" i="7"/>
  <c r="AE547" i="7"/>
  <c r="AD547" i="7"/>
  <c r="AQ547" i="7" s="1"/>
  <c r="AC547" i="7"/>
  <c r="AN547" i="7" s="1"/>
  <c r="AB547" i="7"/>
  <c r="AA547"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AJ546" i="7"/>
  <c r="AI546" i="7"/>
  <c r="AH546" i="7"/>
  <c r="AG546" i="7"/>
  <c r="AF546" i="7"/>
  <c r="AE546" i="7"/>
  <c r="AD546" i="7"/>
  <c r="AQ546" i="7" s="1"/>
  <c r="AC546" i="7"/>
  <c r="AN546" i="7" s="1"/>
  <c r="AB546" i="7"/>
  <c r="AA546" i="7"/>
  <c r="Z546" i="7"/>
  <c r="Y546" i="7"/>
  <c r="X546" i="7"/>
  <c r="W546" i="7"/>
  <c r="V546" i="7"/>
  <c r="AO546" i="7" s="1"/>
  <c r="U546" i="7"/>
  <c r="T546" i="7"/>
  <c r="S546" i="7"/>
  <c r="R546" i="7"/>
  <c r="Q546" i="7"/>
  <c r="P546" i="7"/>
  <c r="O546" i="7"/>
  <c r="N546" i="7"/>
  <c r="M546" i="7"/>
  <c r="L546" i="7"/>
  <c r="K546" i="7"/>
  <c r="J546" i="7"/>
  <c r="I546" i="7"/>
  <c r="H546" i="7"/>
  <c r="G546" i="7"/>
  <c r="F546" i="7"/>
  <c r="E546" i="7"/>
  <c r="D546" i="7"/>
  <c r="C546" i="7"/>
  <c r="B546" i="7"/>
  <c r="A546" i="7"/>
  <c r="AJ545" i="7"/>
  <c r="AI545" i="7"/>
  <c r="AH545" i="7"/>
  <c r="AG545" i="7"/>
  <c r="AF545" i="7"/>
  <c r="AE545" i="7"/>
  <c r="AD545" i="7"/>
  <c r="AQ545" i="7" s="1"/>
  <c r="AC545" i="7"/>
  <c r="AN545" i="7" s="1"/>
  <c r="AB545" i="7"/>
  <c r="AA545" i="7"/>
  <c r="Z545" i="7"/>
  <c r="Y545" i="7"/>
  <c r="X545" i="7"/>
  <c r="W545" i="7"/>
  <c r="V545" i="7"/>
  <c r="U545" i="7"/>
  <c r="T545" i="7"/>
  <c r="S545" i="7"/>
  <c r="R545" i="7"/>
  <c r="Q545" i="7"/>
  <c r="P545" i="7"/>
  <c r="O545" i="7"/>
  <c r="N545" i="7"/>
  <c r="M545" i="7"/>
  <c r="L545" i="7"/>
  <c r="K545" i="7"/>
  <c r="J545" i="7"/>
  <c r="I545" i="7"/>
  <c r="H545" i="7"/>
  <c r="G545" i="7"/>
  <c r="F545" i="7"/>
  <c r="E545" i="7"/>
  <c r="D545" i="7"/>
  <c r="C545" i="7"/>
  <c r="B545" i="7"/>
  <c r="A545" i="7"/>
  <c r="AJ544" i="7"/>
  <c r="AI544" i="7"/>
  <c r="AH544" i="7"/>
  <c r="AG544" i="7"/>
  <c r="AF544" i="7"/>
  <c r="AE544" i="7"/>
  <c r="AD544" i="7"/>
  <c r="AQ544" i="7" s="1"/>
  <c r="AC544" i="7"/>
  <c r="AN544" i="7" s="1"/>
  <c r="AB544" i="7"/>
  <c r="AA544" i="7"/>
  <c r="Z544" i="7"/>
  <c r="Y544" i="7"/>
  <c r="X544" i="7"/>
  <c r="W544" i="7"/>
  <c r="V544" i="7"/>
  <c r="U544" i="7"/>
  <c r="T544" i="7"/>
  <c r="S544" i="7"/>
  <c r="R544" i="7"/>
  <c r="Q544" i="7"/>
  <c r="P544" i="7"/>
  <c r="O544" i="7"/>
  <c r="N544" i="7"/>
  <c r="M544" i="7"/>
  <c r="L544" i="7"/>
  <c r="K544" i="7"/>
  <c r="J544" i="7"/>
  <c r="I544" i="7"/>
  <c r="H544" i="7"/>
  <c r="G544" i="7"/>
  <c r="F544" i="7"/>
  <c r="E544" i="7"/>
  <c r="D544" i="7"/>
  <c r="C544" i="7"/>
  <c r="B544" i="7"/>
  <c r="A544" i="7"/>
  <c r="AJ543" i="7"/>
  <c r="AI543" i="7"/>
  <c r="AH543" i="7"/>
  <c r="AG543" i="7"/>
  <c r="AF543" i="7"/>
  <c r="AE543" i="7"/>
  <c r="AD543" i="7"/>
  <c r="AQ543" i="7" s="1"/>
  <c r="AC543" i="7"/>
  <c r="AN543" i="7" s="1"/>
  <c r="AB543" i="7"/>
  <c r="AA543" i="7"/>
  <c r="Z543" i="7"/>
  <c r="Y543" i="7"/>
  <c r="X543" i="7"/>
  <c r="W543" i="7"/>
  <c r="V543" i="7"/>
  <c r="AO543" i="7" s="1"/>
  <c r="U543" i="7"/>
  <c r="T543" i="7"/>
  <c r="S543" i="7"/>
  <c r="R543" i="7"/>
  <c r="Q543" i="7"/>
  <c r="P543" i="7"/>
  <c r="O543" i="7"/>
  <c r="N543" i="7"/>
  <c r="M543" i="7"/>
  <c r="L543" i="7"/>
  <c r="K543" i="7"/>
  <c r="J543" i="7"/>
  <c r="I543" i="7"/>
  <c r="H543" i="7"/>
  <c r="G543" i="7"/>
  <c r="F543" i="7"/>
  <c r="E543" i="7"/>
  <c r="D543" i="7"/>
  <c r="C543" i="7"/>
  <c r="B543" i="7"/>
  <c r="A543" i="7"/>
  <c r="AJ542" i="7"/>
  <c r="AI542" i="7"/>
  <c r="AH542" i="7"/>
  <c r="AG542" i="7"/>
  <c r="AF542" i="7"/>
  <c r="AE542" i="7"/>
  <c r="AD542" i="7"/>
  <c r="AQ542" i="7" s="1"/>
  <c r="AC542" i="7"/>
  <c r="AN542" i="7" s="1"/>
  <c r="AB542" i="7"/>
  <c r="AA542" i="7"/>
  <c r="Z542" i="7"/>
  <c r="Y542" i="7"/>
  <c r="X542" i="7"/>
  <c r="W542" i="7"/>
  <c r="V542" i="7"/>
  <c r="AO542" i="7" s="1"/>
  <c r="U542" i="7"/>
  <c r="T542" i="7"/>
  <c r="S542" i="7"/>
  <c r="R542" i="7"/>
  <c r="Q542" i="7"/>
  <c r="P542" i="7"/>
  <c r="O542" i="7"/>
  <c r="N542" i="7"/>
  <c r="M542" i="7"/>
  <c r="L542" i="7"/>
  <c r="K542" i="7"/>
  <c r="J542" i="7"/>
  <c r="I542" i="7"/>
  <c r="H542" i="7"/>
  <c r="G542" i="7"/>
  <c r="F542" i="7"/>
  <c r="E542" i="7"/>
  <c r="D542" i="7"/>
  <c r="C542" i="7"/>
  <c r="B542" i="7"/>
  <c r="A542" i="7"/>
  <c r="AJ541" i="7"/>
  <c r="AI541" i="7"/>
  <c r="AH541" i="7"/>
  <c r="AG541" i="7"/>
  <c r="AF541" i="7"/>
  <c r="AE541" i="7"/>
  <c r="AD541" i="7"/>
  <c r="AQ541" i="7" s="1"/>
  <c r="AC541" i="7"/>
  <c r="AN541" i="7" s="1"/>
  <c r="AB541" i="7"/>
  <c r="AA541" i="7"/>
  <c r="Z541" i="7"/>
  <c r="Y541" i="7"/>
  <c r="X541" i="7"/>
  <c r="W541" i="7"/>
  <c r="V541" i="7"/>
  <c r="U541" i="7"/>
  <c r="T541" i="7"/>
  <c r="S541" i="7"/>
  <c r="R541" i="7"/>
  <c r="Q541" i="7"/>
  <c r="P541" i="7"/>
  <c r="O541" i="7"/>
  <c r="N541" i="7"/>
  <c r="M541" i="7"/>
  <c r="L541" i="7"/>
  <c r="K541" i="7"/>
  <c r="J541" i="7"/>
  <c r="I541" i="7"/>
  <c r="H541" i="7"/>
  <c r="G541" i="7"/>
  <c r="F541" i="7"/>
  <c r="E541" i="7"/>
  <c r="D541" i="7"/>
  <c r="C541" i="7"/>
  <c r="B541" i="7"/>
  <c r="A541" i="7"/>
  <c r="AJ540" i="7"/>
  <c r="AI540" i="7"/>
  <c r="AH540" i="7"/>
  <c r="AG540" i="7"/>
  <c r="AF540" i="7"/>
  <c r="AE540" i="7"/>
  <c r="AD540" i="7"/>
  <c r="AQ540" i="7" s="1"/>
  <c r="AC540" i="7"/>
  <c r="AN540" i="7" s="1"/>
  <c r="AB540" i="7"/>
  <c r="AA540" i="7"/>
  <c r="Z540" i="7"/>
  <c r="Y540" i="7"/>
  <c r="X540" i="7"/>
  <c r="W540" i="7"/>
  <c r="V540" i="7"/>
  <c r="U540" i="7"/>
  <c r="T540" i="7"/>
  <c r="S540" i="7"/>
  <c r="R540" i="7"/>
  <c r="Q540" i="7"/>
  <c r="P540" i="7"/>
  <c r="O540" i="7"/>
  <c r="N540" i="7"/>
  <c r="M540" i="7"/>
  <c r="L540" i="7"/>
  <c r="K540" i="7"/>
  <c r="J540" i="7"/>
  <c r="I540" i="7"/>
  <c r="H540" i="7"/>
  <c r="G540" i="7"/>
  <c r="F540" i="7"/>
  <c r="E540" i="7"/>
  <c r="D540" i="7"/>
  <c r="C540" i="7"/>
  <c r="B540" i="7"/>
  <c r="A540" i="7"/>
  <c r="AJ539" i="7"/>
  <c r="AI539" i="7"/>
  <c r="AH539" i="7"/>
  <c r="AG539" i="7"/>
  <c r="AF539" i="7"/>
  <c r="AE539" i="7"/>
  <c r="AD539" i="7"/>
  <c r="AQ539" i="7" s="1"/>
  <c r="AC539" i="7"/>
  <c r="AN539" i="7" s="1"/>
  <c r="AB539" i="7"/>
  <c r="AA539"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AJ538" i="7"/>
  <c r="AI538" i="7"/>
  <c r="AH538" i="7"/>
  <c r="AG538" i="7"/>
  <c r="AF538" i="7"/>
  <c r="AE538" i="7"/>
  <c r="AD538" i="7"/>
  <c r="AQ538" i="7" s="1"/>
  <c r="AC538" i="7"/>
  <c r="AN538" i="7" s="1"/>
  <c r="AB538" i="7"/>
  <c r="AA538"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AJ537" i="7"/>
  <c r="AI537" i="7"/>
  <c r="AH537" i="7"/>
  <c r="AG537" i="7"/>
  <c r="AF537" i="7"/>
  <c r="AE537" i="7"/>
  <c r="AD537" i="7"/>
  <c r="AQ537" i="7" s="1"/>
  <c r="AC537" i="7"/>
  <c r="AN537" i="7" s="1"/>
  <c r="AB537" i="7"/>
  <c r="AA537" i="7"/>
  <c r="Z537" i="7"/>
  <c r="Y537" i="7"/>
  <c r="X537" i="7"/>
  <c r="W537" i="7"/>
  <c r="V537" i="7"/>
  <c r="U537" i="7"/>
  <c r="T537" i="7"/>
  <c r="S537" i="7"/>
  <c r="R537" i="7"/>
  <c r="Q537" i="7"/>
  <c r="P537" i="7"/>
  <c r="O537" i="7"/>
  <c r="N537" i="7"/>
  <c r="M537" i="7"/>
  <c r="L537" i="7"/>
  <c r="K537" i="7"/>
  <c r="J537" i="7"/>
  <c r="I537" i="7"/>
  <c r="H537" i="7"/>
  <c r="G537" i="7"/>
  <c r="F537" i="7"/>
  <c r="E537" i="7"/>
  <c r="D537" i="7"/>
  <c r="C537" i="7"/>
  <c r="B537" i="7"/>
  <c r="A537" i="7"/>
  <c r="AJ536" i="7"/>
  <c r="AI536" i="7"/>
  <c r="AH536" i="7"/>
  <c r="AG536" i="7"/>
  <c r="AF536" i="7"/>
  <c r="AE536" i="7"/>
  <c r="AD536" i="7"/>
  <c r="AQ536" i="7" s="1"/>
  <c r="AC536" i="7"/>
  <c r="AN536" i="7" s="1"/>
  <c r="AB536" i="7"/>
  <c r="AA536" i="7"/>
  <c r="Z536" i="7"/>
  <c r="Y536" i="7"/>
  <c r="X536" i="7"/>
  <c r="W536" i="7"/>
  <c r="V536" i="7"/>
  <c r="U536" i="7"/>
  <c r="T536" i="7"/>
  <c r="S536" i="7"/>
  <c r="R536" i="7"/>
  <c r="Q536" i="7"/>
  <c r="P536" i="7"/>
  <c r="O536" i="7"/>
  <c r="N536" i="7"/>
  <c r="M536" i="7"/>
  <c r="L536" i="7"/>
  <c r="K536" i="7"/>
  <c r="J536" i="7"/>
  <c r="I536" i="7"/>
  <c r="H536" i="7"/>
  <c r="G536" i="7"/>
  <c r="F536" i="7"/>
  <c r="E536" i="7"/>
  <c r="D536" i="7"/>
  <c r="C536" i="7"/>
  <c r="B536" i="7"/>
  <c r="A536" i="7"/>
  <c r="AJ535" i="7"/>
  <c r="AI535" i="7"/>
  <c r="AH535" i="7"/>
  <c r="AG535" i="7"/>
  <c r="AF535" i="7"/>
  <c r="AE535" i="7"/>
  <c r="AD535" i="7"/>
  <c r="AQ535" i="7" s="1"/>
  <c r="AC535" i="7"/>
  <c r="AN535" i="7" s="1"/>
  <c r="AB535" i="7"/>
  <c r="AA535" i="7"/>
  <c r="Z535" i="7"/>
  <c r="Y535" i="7"/>
  <c r="X535" i="7"/>
  <c r="W535" i="7"/>
  <c r="V535" i="7"/>
  <c r="AO535" i="7" s="1"/>
  <c r="U535" i="7"/>
  <c r="T535" i="7"/>
  <c r="S535" i="7"/>
  <c r="R535" i="7"/>
  <c r="Q535" i="7"/>
  <c r="P535" i="7"/>
  <c r="O535" i="7"/>
  <c r="N535" i="7"/>
  <c r="M535" i="7"/>
  <c r="L535" i="7"/>
  <c r="K535" i="7"/>
  <c r="J535" i="7"/>
  <c r="I535" i="7"/>
  <c r="H535" i="7"/>
  <c r="G535" i="7"/>
  <c r="F535" i="7"/>
  <c r="E535" i="7"/>
  <c r="D535" i="7"/>
  <c r="C535" i="7"/>
  <c r="B535" i="7"/>
  <c r="A535" i="7"/>
  <c r="AJ534" i="7"/>
  <c r="AI534" i="7"/>
  <c r="AH534" i="7"/>
  <c r="AG534" i="7"/>
  <c r="AF534" i="7"/>
  <c r="AE534" i="7"/>
  <c r="AD534" i="7"/>
  <c r="AQ534" i="7" s="1"/>
  <c r="AC534" i="7"/>
  <c r="AN534" i="7" s="1"/>
  <c r="AB534" i="7"/>
  <c r="AA534"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AJ533" i="7"/>
  <c r="AI533" i="7"/>
  <c r="AH533" i="7"/>
  <c r="AG533" i="7"/>
  <c r="AF533" i="7"/>
  <c r="AE533" i="7"/>
  <c r="AD533" i="7"/>
  <c r="AQ533" i="7" s="1"/>
  <c r="AC533" i="7"/>
  <c r="AN533" i="7" s="1"/>
  <c r="AB533" i="7"/>
  <c r="AA533" i="7"/>
  <c r="Z533" i="7"/>
  <c r="Y533" i="7"/>
  <c r="X533" i="7"/>
  <c r="W533" i="7"/>
  <c r="V533" i="7"/>
  <c r="AO533" i="7" s="1"/>
  <c r="U533" i="7"/>
  <c r="T533" i="7"/>
  <c r="S533" i="7"/>
  <c r="R533" i="7"/>
  <c r="Q533" i="7"/>
  <c r="P533" i="7"/>
  <c r="O533" i="7"/>
  <c r="N533" i="7"/>
  <c r="M533" i="7"/>
  <c r="L533" i="7"/>
  <c r="K533" i="7"/>
  <c r="J533" i="7"/>
  <c r="I533" i="7"/>
  <c r="H533" i="7"/>
  <c r="G533" i="7"/>
  <c r="F533" i="7"/>
  <c r="E533" i="7"/>
  <c r="D533" i="7"/>
  <c r="C533" i="7"/>
  <c r="B533" i="7"/>
  <c r="A533" i="7"/>
  <c r="AJ532" i="7"/>
  <c r="AI532" i="7"/>
  <c r="AH532" i="7"/>
  <c r="AG532" i="7"/>
  <c r="AF532" i="7"/>
  <c r="AE532" i="7"/>
  <c r="AD532" i="7"/>
  <c r="AQ532" i="7" s="1"/>
  <c r="AC532" i="7"/>
  <c r="AN532" i="7" s="1"/>
  <c r="AB532" i="7"/>
  <c r="AA532" i="7"/>
  <c r="Z532" i="7"/>
  <c r="Y532" i="7"/>
  <c r="X532" i="7"/>
  <c r="W532" i="7"/>
  <c r="V532" i="7"/>
  <c r="AO532" i="7" s="1"/>
  <c r="U532" i="7"/>
  <c r="T532" i="7"/>
  <c r="S532" i="7"/>
  <c r="R532" i="7"/>
  <c r="Q532" i="7"/>
  <c r="P532" i="7"/>
  <c r="O532" i="7"/>
  <c r="N532" i="7"/>
  <c r="M532" i="7"/>
  <c r="L532" i="7"/>
  <c r="K532" i="7"/>
  <c r="J532" i="7"/>
  <c r="I532" i="7"/>
  <c r="H532" i="7"/>
  <c r="G532" i="7"/>
  <c r="F532" i="7"/>
  <c r="E532" i="7"/>
  <c r="D532" i="7"/>
  <c r="C532" i="7"/>
  <c r="B532" i="7"/>
  <c r="A532" i="7"/>
  <c r="AJ531" i="7"/>
  <c r="AI531" i="7"/>
  <c r="AH531" i="7"/>
  <c r="AG531" i="7"/>
  <c r="AF531" i="7"/>
  <c r="AE531" i="7"/>
  <c r="AD531" i="7"/>
  <c r="AQ531" i="7" s="1"/>
  <c r="AC531" i="7"/>
  <c r="AN531" i="7" s="1"/>
  <c r="AB531" i="7"/>
  <c r="AA531"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AJ530" i="7"/>
  <c r="AI530" i="7"/>
  <c r="AH530" i="7"/>
  <c r="AG530" i="7"/>
  <c r="AF530" i="7"/>
  <c r="AE530" i="7"/>
  <c r="AD530" i="7"/>
  <c r="AQ530" i="7" s="1"/>
  <c r="AC530" i="7"/>
  <c r="AN530" i="7" s="1"/>
  <c r="AB530" i="7"/>
  <c r="AA530" i="7"/>
  <c r="Z530" i="7"/>
  <c r="Y530" i="7"/>
  <c r="X530" i="7"/>
  <c r="W530" i="7"/>
  <c r="V530" i="7"/>
  <c r="AO530" i="7" s="1"/>
  <c r="U530" i="7"/>
  <c r="T530" i="7"/>
  <c r="S530" i="7"/>
  <c r="R530" i="7"/>
  <c r="Q530" i="7"/>
  <c r="P530" i="7"/>
  <c r="O530" i="7"/>
  <c r="N530" i="7"/>
  <c r="M530" i="7"/>
  <c r="L530" i="7"/>
  <c r="K530" i="7"/>
  <c r="J530" i="7"/>
  <c r="I530" i="7"/>
  <c r="H530" i="7"/>
  <c r="G530" i="7"/>
  <c r="F530" i="7"/>
  <c r="E530" i="7"/>
  <c r="D530" i="7"/>
  <c r="C530" i="7"/>
  <c r="B530" i="7"/>
  <c r="A530" i="7"/>
  <c r="AJ529" i="7"/>
  <c r="AI529" i="7"/>
  <c r="AH529" i="7"/>
  <c r="AG529" i="7"/>
  <c r="AF529" i="7"/>
  <c r="AE529" i="7"/>
  <c r="AD529" i="7"/>
  <c r="AQ529" i="7" s="1"/>
  <c r="AC529" i="7"/>
  <c r="AN529" i="7" s="1"/>
  <c r="AB529" i="7"/>
  <c r="AA529" i="7"/>
  <c r="Z529" i="7"/>
  <c r="Y529" i="7"/>
  <c r="X529" i="7"/>
  <c r="W529" i="7"/>
  <c r="V529" i="7"/>
  <c r="U529" i="7"/>
  <c r="T529" i="7"/>
  <c r="S529" i="7"/>
  <c r="R529" i="7"/>
  <c r="Q529" i="7"/>
  <c r="P529" i="7"/>
  <c r="O529" i="7"/>
  <c r="N529" i="7"/>
  <c r="M529" i="7"/>
  <c r="L529" i="7"/>
  <c r="K529" i="7"/>
  <c r="J529" i="7"/>
  <c r="I529" i="7"/>
  <c r="H529" i="7"/>
  <c r="G529" i="7"/>
  <c r="F529" i="7"/>
  <c r="E529" i="7"/>
  <c r="D529" i="7"/>
  <c r="C529" i="7"/>
  <c r="B529" i="7"/>
  <c r="A529" i="7"/>
  <c r="AJ528" i="7"/>
  <c r="AI528" i="7"/>
  <c r="AH528" i="7"/>
  <c r="AG528" i="7"/>
  <c r="AF528" i="7"/>
  <c r="AE528" i="7"/>
  <c r="AD528" i="7"/>
  <c r="AQ528" i="7" s="1"/>
  <c r="AC528" i="7"/>
  <c r="AN528" i="7" s="1"/>
  <c r="AB528" i="7"/>
  <c r="AA528" i="7"/>
  <c r="Z528" i="7"/>
  <c r="Y528" i="7"/>
  <c r="X528" i="7"/>
  <c r="W528" i="7"/>
  <c r="V528" i="7"/>
  <c r="U528" i="7"/>
  <c r="T528" i="7"/>
  <c r="S528" i="7"/>
  <c r="R528" i="7"/>
  <c r="Q528" i="7"/>
  <c r="P528" i="7"/>
  <c r="O528" i="7"/>
  <c r="N528" i="7"/>
  <c r="M528" i="7"/>
  <c r="L528" i="7"/>
  <c r="K528" i="7"/>
  <c r="J528" i="7"/>
  <c r="I528" i="7"/>
  <c r="H528" i="7"/>
  <c r="G528" i="7"/>
  <c r="F528" i="7"/>
  <c r="E528" i="7"/>
  <c r="D528" i="7"/>
  <c r="C528" i="7"/>
  <c r="B528" i="7"/>
  <c r="A528" i="7"/>
  <c r="AJ527" i="7"/>
  <c r="AI527" i="7"/>
  <c r="AH527" i="7"/>
  <c r="AG527" i="7"/>
  <c r="AF527" i="7"/>
  <c r="AE527" i="7"/>
  <c r="AD527" i="7"/>
  <c r="AQ527" i="7" s="1"/>
  <c r="AC527" i="7"/>
  <c r="AN527" i="7" s="1"/>
  <c r="AB527" i="7"/>
  <c r="AA527" i="7"/>
  <c r="Z527" i="7"/>
  <c r="Y527" i="7"/>
  <c r="X527" i="7"/>
  <c r="W527" i="7"/>
  <c r="V527" i="7"/>
  <c r="AO527" i="7" s="1"/>
  <c r="U527" i="7"/>
  <c r="T527" i="7"/>
  <c r="S527" i="7"/>
  <c r="R527" i="7"/>
  <c r="Q527" i="7"/>
  <c r="P527" i="7"/>
  <c r="O527" i="7"/>
  <c r="N527" i="7"/>
  <c r="M527" i="7"/>
  <c r="L527" i="7"/>
  <c r="K527" i="7"/>
  <c r="J527" i="7"/>
  <c r="I527" i="7"/>
  <c r="H527" i="7"/>
  <c r="G527" i="7"/>
  <c r="F527" i="7"/>
  <c r="E527" i="7"/>
  <c r="D527" i="7"/>
  <c r="C527" i="7"/>
  <c r="B527" i="7"/>
  <c r="A527" i="7"/>
  <c r="AJ526" i="7"/>
  <c r="AI526" i="7"/>
  <c r="AH526" i="7"/>
  <c r="AG526" i="7"/>
  <c r="AF526" i="7"/>
  <c r="AE526" i="7"/>
  <c r="AD526" i="7"/>
  <c r="AQ526" i="7" s="1"/>
  <c r="AC526" i="7"/>
  <c r="AN526" i="7" s="1"/>
  <c r="AB526" i="7"/>
  <c r="AA526" i="7"/>
  <c r="Z526" i="7"/>
  <c r="Y526" i="7"/>
  <c r="X526" i="7"/>
  <c r="W526" i="7"/>
  <c r="V526" i="7"/>
  <c r="AO526" i="7" s="1"/>
  <c r="U526" i="7"/>
  <c r="T526" i="7"/>
  <c r="S526" i="7"/>
  <c r="R526" i="7"/>
  <c r="Q526" i="7"/>
  <c r="P526" i="7"/>
  <c r="O526" i="7"/>
  <c r="N526" i="7"/>
  <c r="M526" i="7"/>
  <c r="L526" i="7"/>
  <c r="K526" i="7"/>
  <c r="J526" i="7"/>
  <c r="I526" i="7"/>
  <c r="H526" i="7"/>
  <c r="G526" i="7"/>
  <c r="F526" i="7"/>
  <c r="E526" i="7"/>
  <c r="D526" i="7"/>
  <c r="C526" i="7"/>
  <c r="B526" i="7"/>
  <c r="A526" i="7"/>
  <c r="AJ525" i="7"/>
  <c r="AI525" i="7"/>
  <c r="AH525" i="7"/>
  <c r="AG525" i="7"/>
  <c r="AF525" i="7"/>
  <c r="AE525" i="7"/>
  <c r="AD525" i="7"/>
  <c r="AQ525" i="7" s="1"/>
  <c r="AC525" i="7"/>
  <c r="AN525" i="7" s="1"/>
  <c r="AB525" i="7"/>
  <c r="AA525" i="7"/>
  <c r="Z525" i="7"/>
  <c r="Y525" i="7"/>
  <c r="X525" i="7"/>
  <c r="W525" i="7"/>
  <c r="V525" i="7"/>
  <c r="U525" i="7"/>
  <c r="T525" i="7"/>
  <c r="S525" i="7"/>
  <c r="R525" i="7"/>
  <c r="Q525" i="7"/>
  <c r="P525" i="7"/>
  <c r="O525" i="7"/>
  <c r="N525" i="7"/>
  <c r="M525" i="7"/>
  <c r="L525" i="7"/>
  <c r="K525" i="7"/>
  <c r="J525" i="7"/>
  <c r="I525" i="7"/>
  <c r="H525" i="7"/>
  <c r="G525" i="7"/>
  <c r="F525" i="7"/>
  <c r="E525" i="7"/>
  <c r="D525" i="7"/>
  <c r="C525" i="7"/>
  <c r="B525" i="7"/>
  <c r="A525" i="7"/>
  <c r="AJ524" i="7"/>
  <c r="AI524" i="7"/>
  <c r="AH524" i="7"/>
  <c r="AG524" i="7"/>
  <c r="AF524" i="7"/>
  <c r="AE524" i="7"/>
  <c r="AD524" i="7"/>
  <c r="AQ524" i="7" s="1"/>
  <c r="AC524" i="7"/>
  <c r="AN524" i="7" s="1"/>
  <c r="AB524" i="7"/>
  <c r="AA524" i="7"/>
  <c r="Z524" i="7"/>
  <c r="Y524" i="7"/>
  <c r="X524" i="7"/>
  <c r="W524" i="7"/>
  <c r="V524" i="7"/>
  <c r="U524" i="7"/>
  <c r="T524" i="7"/>
  <c r="S524" i="7"/>
  <c r="R524" i="7"/>
  <c r="Q524" i="7"/>
  <c r="P524" i="7"/>
  <c r="O524" i="7"/>
  <c r="N524" i="7"/>
  <c r="M524" i="7"/>
  <c r="L524" i="7"/>
  <c r="K524" i="7"/>
  <c r="J524" i="7"/>
  <c r="I524" i="7"/>
  <c r="H524" i="7"/>
  <c r="G524" i="7"/>
  <c r="F524" i="7"/>
  <c r="E524" i="7"/>
  <c r="D524" i="7"/>
  <c r="C524" i="7"/>
  <c r="B524" i="7"/>
  <c r="A524" i="7"/>
  <c r="AJ523" i="7"/>
  <c r="AI523" i="7"/>
  <c r="AH523" i="7"/>
  <c r="AG523" i="7"/>
  <c r="AF523" i="7"/>
  <c r="AE523" i="7"/>
  <c r="AD523" i="7"/>
  <c r="AQ523" i="7" s="1"/>
  <c r="AC523" i="7"/>
  <c r="AN523" i="7" s="1"/>
  <c r="AB523" i="7"/>
  <c r="AA523"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AJ522" i="7"/>
  <c r="AI522" i="7"/>
  <c r="AH522" i="7"/>
  <c r="AG522" i="7"/>
  <c r="AF522" i="7"/>
  <c r="AE522" i="7"/>
  <c r="AD522" i="7"/>
  <c r="AQ522" i="7" s="1"/>
  <c r="AC522" i="7"/>
  <c r="AN522" i="7" s="1"/>
  <c r="AB522" i="7"/>
  <c r="AA522" i="7"/>
  <c r="Z522" i="7"/>
  <c r="Y522" i="7"/>
  <c r="X522" i="7"/>
  <c r="W522" i="7"/>
  <c r="V522" i="7"/>
  <c r="AO522" i="7" s="1"/>
  <c r="U522" i="7"/>
  <c r="T522" i="7"/>
  <c r="S522" i="7"/>
  <c r="R522" i="7"/>
  <c r="Q522" i="7"/>
  <c r="P522" i="7"/>
  <c r="O522" i="7"/>
  <c r="N522" i="7"/>
  <c r="M522" i="7"/>
  <c r="L522" i="7"/>
  <c r="K522" i="7"/>
  <c r="J522" i="7"/>
  <c r="I522" i="7"/>
  <c r="H522" i="7"/>
  <c r="G522" i="7"/>
  <c r="F522" i="7"/>
  <c r="E522" i="7"/>
  <c r="D522" i="7"/>
  <c r="C522" i="7"/>
  <c r="B522" i="7"/>
  <c r="A522" i="7"/>
  <c r="AJ521" i="7"/>
  <c r="AI521" i="7"/>
  <c r="AH521" i="7"/>
  <c r="AG521" i="7"/>
  <c r="AF521" i="7"/>
  <c r="AE521" i="7"/>
  <c r="AD521" i="7"/>
  <c r="AQ521" i="7" s="1"/>
  <c r="AC521" i="7"/>
  <c r="AN521" i="7" s="1"/>
  <c r="AB521" i="7"/>
  <c r="AA521" i="7"/>
  <c r="Z521" i="7"/>
  <c r="Y521" i="7"/>
  <c r="X521" i="7"/>
  <c r="W521" i="7"/>
  <c r="V521" i="7"/>
  <c r="U521" i="7"/>
  <c r="T521" i="7"/>
  <c r="S521" i="7"/>
  <c r="R521" i="7"/>
  <c r="Q521" i="7"/>
  <c r="P521" i="7"/>
  <c r="O521" i="7"/>
  <c r="N521" i="7"/>
  <c r="M521" i="7"/>
  <c r="L521" i="7"/>
  <c r="K521" i="7"/>
  <c r="J521" i="7"/>
  <c r="I521" i="7"/>
  <c r="H521" i="7"/>
  <c r="G521" i="7"/>
  <c r="F521" i="7"/>
  <c r="E521" i="7"/>
  <c r="D521" i="7"/>
  <c r="C521" i="7"/>
  <c r="B521" i="7"/>
  <c r="A521" i="7"/>
  <c r="AJ520" i="7"/>
  <c r="AI520" i="7"/>
  <c r="AH520" i="7"/>
  <c r="AG520" i="7"/>
  <c r="AF520" i="7"/>
  <c r="AE520" i="7"/>
  <c r="AD520" i="7"/>
  <c r="AQ520" i="7" s="1"/>
  <c r="AC520" i="7"/>
  <c r="AN520" i="7" s="1"/>
  <c r="AB520" i="7"/>
  <c r="AA520" i="7"/>
  <c r="Z520" i="7"/>
  <c r="Y520" i="7"/>
  <c r="X520" i="7"/>
  <c r="W520" i="7"/>
  <c r="V520" i="7"/>
  <c r="AO520" i="7" s="1"/>
  <c r="U520" i="7"/>
  <c r="T520" i="7"/>
  <c r="S520" i="7"/>
  <c r="R520" i="7"/>
  <c r="Q520" i="7"/>
  <c r="P520" i="7"/>
  <c r="O520" i="7"/>
  <c r="N520" i="7"/>
  <c r="M520" i="7"/>
  <c r="L520" i="7"/>
  <c r="K520" i="7"/>
  <c r="J520" i="7"/>
  <c r="I520" i="7"/>
  <c r="H520" i="7"/>
  <c r="G520" i="7"/>
  <c r="F520" i="7"/>
  <c r="E520" i="7"/>
  <c r="D520" i="7"/>
  <c r="C520" i="7"/>
  <c r="B520" i="7"/>
  <c r="A520" i="7"/>
  <c r="AJ519" i="7"/>
  <c r="AI519" i="7"/>
  <c r="AH519" i="7"/>
  <c r="AG519" i="7"/>
  <c r="AF519" i="7"/>
  <c r="AE519" i="7"/>
  <c r="AD519" i="7"/>
  <c r="AQ519" i="7" s="1"/>
  <c r="AC519" i="7"/>
  <c r="AN519" i="7" s="1"/>
  <c r="AB519" i="7"/>
  <c r="AA519"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AJ518" i="7"/>
  <c r="AI518" i="7"/>
  <c r="AH518" i="7"/>
  <c r="AG518" i="7"/>
  <c r="AF518" i="7"/>
  <c r="AE518" i="7"/>
  <c r="AD518" i="7"/>
  <c r="AQ518" i="7" s="1"/>
  <c r="AC518" i="7"/>
  <c r="AN518" i="7" s="1"/>
  <c r="AB518" i="7"/>
  <c r="AA518"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AJ517" i="7"/>
  <c r="AI517" i="7"/>
  <c r="AH517" i="7"/>
  <c r="AG517" i="7"/>
  <c r="AF517" i="7"/>
  <c r="AE517" i="7"/>
  <c r="AD517" i="7"/>
  <c r="AQ517" i="7" s="1"/>
  <c r="AC517" i="7"/>
  <c r="AN517" i="7" s="1"/>
  <c r="AB517" i="7"/>
  <c r="AA517" i="7"/>
  <c r="Z517" i="7"/>
  <c r="Y517" i="7"/>
  <c r="X517" i="7"/>
  <c r="W517" i="7"/>
  <c r="V517" i="7"/>
  <c r="U517" i="7"/>
  <c r="T517" i="7"/>
  <c r="S517" i="7"/>
  <c r="R517" i="7"/>
  <c r="Q517" i="7"/>
  <c r="P517" i="7"/>
  <c r="O517" i="7"/>
  <c r="N517" i="7"/>
  <c r="M517" i="7"/>
  <c r="L517" i="7"/>
  <c r="K517" i="7"/>
  <c r="J517" i="7"/>
  <c r="I517" i="7"/>
  <c r="H517" i="7"/>
  <c r="G517" i="7"/>
  <c r="F517" i="7"/>
  <c r="E517" i="7"/>
  <c r="D517" i="7"/>
  <c r="C517" i="7"/>
  <c r="B517" i="7"/>
  <c r="A517" i="7"/>
  <c r="AJ516" i="7"/>
  <c r="AI516" i="7"/>
  <c r="AH516" i="7"/>
  <c r="AG516" i="7"/>
  <c r="AF516" i="7"/>
  <c r="AE516" i="7"/>
  <c r="AD516" i="7"/>
  <c r="AQ516" i="7" s="1"/>
  <c r="AC516" i="7"/>
  <c r="AN516" i="7" s="1"/>
  <c r="AB516" i="7"/>
  <c r="AA516" i="7"/>
  <c r="Z516" i="7"/>
  <c r="Y516" i="7"/>
  <c r="X516" i="7"/>
  <c r="W516" i="7"/>
  <c r="V516" i="7"/>
  <c r="AO516" i="7" s="1"/>
  <c r="U516" i="7"/>
  <c r="T516" i="7"/>
  <c r="S516" i="7"/>
  <c r="R516" i="7"/>
  <c r="Q516" i="7"/>
  <c r="P516" i="7"/>
  <c r="O516" i="7"/>
  <c r="N516" i="7"/>
  <c r="M516" i="7"/>
  <c r="L516" i="7"/>
  <c r="K516" i="7"/>
  <c r="J516" i="7"/>
  <c r="I516" i="7"/>
  <c r="H516" i="7"/>
  <c r="G516" i="7"/>
  <c r="F516" i="7"/>
  <c r="E516" i="7"/>
  <c r="D516" i="7"/>
  <c r="C516" i="7"/>
  <c r="B516" i="7"/>
  <c r="A516" i="7"/>
  <c r="AJ515" i="7"/>
  <c r="AI515" i="7"/>
  <c r="AH515" i="7"/>
  <c r="AG515" i="7"/>
  <c r="AF515" i="7"/>
  <c r="AE515" i="7"/>
  <c r="AD515" i="7"/>
  <c r="AQ515" i="7" s="1"/>
  <c r="AC515" i="7"/>
  <c r="AN515" i="7" s="1"/>
  <c r="AB515" i="7"/>
  <c r="AA515"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AJ514" i="7"/>
  <c r="AI514" i="7"/>
  <c r="AH514" i="7"/>
  <c r="AG514" i="7"/>
  <c r="AF514" i="7"/>
  <c r="AE514" i="7"/>
  <c r="AD514" i="7"/>
  <c r="AQ514" i="7" s="1"/>
  <c r="AC514" i="7"/>
  <c r="AN514" i="7" s="1"/>
  <c r="AB514" i="7"/>
  <c r="AA514" i="7"/>
  <c r="Z514" i="7"/>
  <c r="Y514" i="7"/>
  <c r="X514" i="7"/>
  <c r="W514" i="7"/>
  <c r="V514" i="7"/>
  <c r="AO514" i="7" s="1"/>
  <c r="U514" i="7"/>
  <c r="T514" i="7"/>
  <c r="S514" i="7"/>
  <c r="R514" i="7"/>
  <c r="Q514" i="7"/>
  <c r="P514" i="7"/>
  <c r="O514" i="7"/>
  <c r="N514" i="7"/>
  <c r="M514" i="7"/>
  <c r="L514" i="7"/>
  <c r="K514" i="7"/>
  <c r="J514" i="7"/>
  <c r="I514" i="7"/>
  <c r="H514" i="7"/>
  <c r="G514" i="7"/>
  <c r="F514" i="7"/>
  <c r="E514" i="7"/>
  <c r="D514" i="7"/>
  <c r="C514" i="7"/>
  <c r="B514" i="7"/>
  <c r="A514" i="7"/>
  <c r="AJ513" i="7"/>
  <c r="AI513" i="7"/>
  <c r="AH513" i="7"/>
  <c r="AG513" i="7"/>
  <c r="AF513" i="7"/>
  <c r="AE513" i="7"/>
  <c r="AD513" i="7"/>
  <c r="AQ513" i="7" s="1"/>
  <c r="AC513" i="7"/>
  <c r="AN513" i="7" s="1"/>
  <c r="AB513" i="7"/>
  <c r="AA513" i="7"/>
  <c r="Z513" i="7"/>
  <c r="Y513" i="7"/>
  <c r="X513" i="7"/>
  <c r="W513" i="7"/>
  <c r="V513" i="7"/>
  <c r="AO513" i="7" s="1"/>
  <c r="U513" i="7"/>
  <c r="T513" i="7"/>
  <c r="S513" i="7"/>
  <c r="R513" i="7"/>
  <c r="Q513" i="7"/>
  <c r="P513" i="7"/>
  <c r="O513" i="7"/>
  <c r="N513" i="7"/>
  <c r="M513" i="7"/>
  <c r="L513" i="7"/>
  <c r="K513" i="7"/>
  <c r="J513" i="7"/>
  <c r="I513" i="7"/>
  <c r="H513" i="7"/>
  <c r="G513" i="7"/>
  <c r="F513" i="7"/>
  <c r="E513" i="7"/>
  <c r="D513" i="7"/>
  <c r="C513" i="7"/>
  <c r="B513" i="7"/>
  <c r="A513" i="7"/>
  <c r="AJ512" i="7"/>
  <c r="AI512" i="7"/>
  <c r="AH512" i="7"/>
  <c r="AG512" i="7"/>
  <c r="AF512" i="7"/>
  <c r="AE512" i="7"/>
  <c r="AD512" i="7"/>
  <c r="AQ512" i="7" s="1"/>
  <c r="AC512" i="7"/>
  <c r="AN512" i="7" s="1"/>
  <c r="AB512" i="7"/>
  <c r="AA512" i="7"/>
  <c r="Z512" i="7"/>
  <c r="Y512" i="7"/>
  <c r="X512" i="7"/>
  <c r="W512" i="7"/>
  <c r="V512" i="7"/>
  <c r="U512" i="7"/>
  <c r="T512" i="7"/>
  <c r="S512" i="7"/>
  <c r="R512" i="7"/>
  <c r="Q512" i="7"/>
  <c r="P512" i="7"/>
  <c r="O512" i="7"/>
  <c r="N512" i="7"/>
  <c r="M512" i="7"/>
  <c r="L512" i="7"/>
  <c r="K512" i="7"/>
  <c r="J512" i="7"/>
  <c r="I512" i="7"/>
  <c r="H512" i="7"/>
  <c r="G512" i="7"/>
  <c r="F512" i="7"/>
  <c r="E512" i="7"/>
  <c r="D512" i="7"/>
  <c r="C512" i="7"/>
  <c r="B512" i="7"/>
  <c r="A512" i="7"/>
  <c r="AJ511" i="7"/>
  <c r="AI511" i="7"/>
  <c r="AH511" i="7"/>
  <c r="AG511" i="7"/>
  <c r="AF511" i="7"/>
  <c r="AE511" i="7"/>
  <c r="AD511" i="7"/>
  <c r="AQ511" i="7" s="1"/>
  <c r="AC511" i="7"/>
  <c r="AN511" i="7" s="1"/>
  <c r="AB511" i="7"/>
  <c r="AA511"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AJ510" i="7"/>
  <c r="AI510" i="7"/>
  <c r="AH510" i="7"/>
  <c r="AG510" i="7"/>
  <c r="AF510" i="7"/>
  <c r="AE510" i="7"/>
  <c r="AD510" i="7"/>
  <c r="AQ510" i="7" s="1"/>
  <c r="AC510" i="7"/>
  <c r="AN510" i="7" s="1"/>
  <c r="AB510" i="7"/>
  <c r="AA510" i="7"/>
  <c r="Z510" i="7"/>
  <c r="Y510" i="7"/>
  <c r="X510" i="7"/>
  <c r="W510" i="7"/>
  <c r="V510" i="7"/>
  <c r="AO510" i="7" s="1"/>
  <c r="U510" i="7"/>
  <c r="T510" i="7"/>
  <c r="S510" i="7"/>
  <c r="R510" i="7"/>
  <c r="Q510" i="7"/>
  <c r="P510" i="7"/>
  <c r="O510" i="7"/>
  <c r="N510" i="7"/>
  <c r="M510" i="7"/>
  <c r="L510" i="7"/>
  <c r="K510" i="7"/>
  <c r="J510" i="7"/>
  <c r="I510" i="7"/>
  <c r="H510" i="7"/>
  <c r="G510" i="7"/>
  <c r="F510" i="7"/>
  <c r="E510" i="7"/>
  <c r="D510" i="7"/>
  <c r="C510" i="7"/>
  <c r="B510" i="7"/>
  <c r="A510" i="7"/>
  <c r="AJ509" i="7"/>
  <c r="AI509" i="7"/>
  <c r="AH509" i="7"/>
  <c r="AG509" i="7"/>
  <c r="AF509" i="7"/>
  <c r="AE509" i="7"/>
  <c r="AD509" i="7"/>
  <c r="AQ509" i="7" s="1"/>
  <c r="AC509" i="7"/>
  <c r="AN509" i="7" s="1"/>
  <c r="AB509" i="7"/>
  <c r="AA509" i="7"/>
  <c r="Z509" i="7"/>
  <c r="Y509" i="7"/>
  <c r="X509" i="7"/>
  <c r="W509" i="7"/>
  <c r="V509" i="7"/>
  <c r="U509" i="7"/>
  <c r="T509" i="7"/>
  <c r="S509" i="7"/>
  <c r="R509" i="7"/>
  <c r="Q509" i="7"/>
  <c r="P509" i="7"/>
  <c r="O509" i="7"/>
  <c r="N509" i="7"/>
  <c r="M509" i="7"/>
  <c r="L509" i="7"/>
  <c r="K509" i="7"/>
  <c r="J509" i="7"/>
  <c r="I509" i="7"/>
  <c r="H509" i="7"/>
  <c r="G509" i="7"/>
  <c r="F509" i="7"/>
  <c r="E509" i="7"/>
  <c r="D509" i="7"/>
  <c r="C509" i="7"/>
  <c r="B509" i="7"/>
  <c r="A509" i="7"/>
  <c r="AJ508" i="7"/>
  <c r="AI508" i="7"/>
  <c r="AH508" i="7"/>
  <c r="AG508" i="7"/>
  <c r="AF508" i="7"/>
  <c r="AE508" i="7"/>
  <c r="AD508" i="7"/>
  <c r="AQ508" i="7" s="1"/>
  <c r="AC508" i="7"/>
  <c r="AN508" i="7" s="1"/>
  <c r="AB508" i="7"/>
  <c r="AA508" i="7"/>
  <c r="Z508" i="7"/>
  <c r="Y508" i="7"/>
  <c r="X508" i="7"/>
  <c r="W508" i="7"/>
  <c r="V508" i="7"/>
  <c r="AO508" i="7" s="1"/>
  <c r="U508" i="7"/>
  <c r="T508" i="7"/>
  <c r="S508" i="7"/>
  <c r="R508" i="7"/>
  <c r="Q508" i="7"/>
  <c r="P508" i="7"/>
  <c r="O508" i="7"/>
  <c r="N508" i="7"/>
  <c r="M508" i="7"/>
  <c r="L508" i="7"/>
  <c r="K508" i="7"/>
  <c r="J508" i="7"/>
  <c r="I508" i="7"/>
  <c r="H508" i="7"/>
  <c r="G508" i="7"/>
  <c r="F508" i="7"/>
  <c r="E508" i="7"/>
  <c r="D508" i="7"/>
  <c r="C508" i="7"/>
  <c r="B508" i="7"/>
  <c r="A508" i="7"/>
  <c r="AJ507" i="7"/>
  <c r="AI507" i="7"/>
  <c r="AH507" i="7"/>
  <c r="AG507" i="7"/>
  <c r="AF507" i="7"/>
  <c r="AE507" i="7"/>
  <c r="AD507" i="7"/>
  <c r="AQ507" i="7" s="1"/>
  <c r="AC507" i="7"/>
  <c r="AN507" i="7" s="1"/>
  <c r="AB507" i="7"/>
  <c r="AA507" i="7"/>
  <c r="Z507" i="7"/>
  <c r="Y507" i="7"/>
  <c r="X507" i="7"/>
  <c r="W507" i="7"/>
  <c r="V507" i="7"/>
  <c r="AO507" i="7" s="1"/>
  <c r="U507" i="7"/>
  <c r="T507" i="7"/>
  <c r="S507" i="7"/>
  <c r="R507" i="7"/>
  <c r="Q507" i="7"/>
  <c r="P507" i="7"/>
  <c r="O507" i="7"/>
  <c r="N507" i="7"/>
  <c r="M507" i="7"/>
  <c r="L507" i="7"/>
  <c r="K507" i="7"/>
  <c r="J507" i="7"/>
  <c r="I507" i="7"/>
  <c r="H507" i="7"/>
  <c r="G507" i="7"/>
  <c r="F507" i="7"/>
  <c r="E507" i="7"/>
  <c r="D507" i="7"/>
  <c r="C507" i="7"/>
  <c r="B507" i="7"/>
  <c r="A507" i="7"/>
  <c r="AJ506" i="7"/>
  <c r="AI506" i="7"/>
  <c r="AH506" i="7"/>
  <c r="AG506" i="7"/>
  <c r="AF506" i="7"/>
  <c r="AE506" i="7"/>
  <c r="AD506" i="7"/>
  <c r="AQ506" i="7" s="1"/>
  <c r="AC506" i="7"/>
  <c r="AN506" i="7" s="1"/>
  <c r="AB506" i="7"/>
  <c r="AA506"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AJ505" i="7"/>
  <c r="AI505" i="7"/>
  <c r="AH505" i="7"/>
  <c r="AG505" i="7"/>
  <c r="AF505" i="7"/>
  <c r="AE505" i="7"/>
  <c r="AD505" i="7"/>
  <c r="AQ505" i="7" s="1"/>
  <c r="AC505" i="7"/>
  <c r="AN505" i="7" s="1"/>
  <c r="AB505" i="7"/>
  <c r="AA505" i="7"/>
  <c r="Z505" i="7"/>
  <c r="Y505" i="7"/>
  <c r="X505" i="7"/>
  <c r="W505" i="7"/>
  <c r="V505" i="7"/>
  <c r="U505" i="7"/>
  <c r="T505" i="7"/>
  <c r="S505" i="7"/>
  <c r="R505" i="7"/>
  <c r="Q505" i="7"/>
  <c r="P505" i="7"/>
  <c r="O505" i="7"/>
  <c r="N505" i="7"/>
  <c r="M505" i="7"/>
  <c r="L505" i="7"/>
  <c r="K505" i="7"/>
  <c r="J505" i="7"/>
  <c r="I505" i="7"/>
  <c r="H505" i="7"/>
  <c r="G505" i="7"/>
  <c r="F505" i="7"/>
  <c r="E505" i="7"/>
  <c r="D505" i="7"/>
  <c r="C505" i="7"/>
  <c r="B505" i="7"/>
  <c r="A505" i="7"/>
  <c r="AJ504" i="7"/>
  <c r="AI504" i="7"/>
  <c r="AH504" i="7"/>
  <c r="AG504" i="7"/>
  <c r="AF504" i="7"/>
  <c r="AE504" i="7"/>
  <c r="AD504" i="7"/>
  <c r="AQ504" i="7" s="1"/>
  <c r="AC504" i="7"/>
  <c r="AN504" i="7" s="1"/>
  <c r="AB504" i="7"/>
  <c r="AA504" i="7"/>
  <c r="Z504" i="7"/>
  <c r="Y504" i="7"/>
  <c r="X504" i="7"/>
  <c r="W504" i="7"/>
  <c r="V504" i="7"/>
  <c r="U504" i="7"/>
  <c r="T504" i="7"/>
  <c r="S504" i="7"/>
  <c r="R504" i="7"/>
  <c r="Q504" i="7"/>
  <c r="P504" i="7"/>
  <c r="O504" i="7"/>
  <c r="N504" i="7"/>
  <c r="M504" i="7"/>
  <c r="L504" i="7"/>
  <c r="K504" i="7"/>
  <c r="J504" i="7"/>
  <c r="I504" i="7"/>
  <c r="H504" i="7"/>
  <c r="G504" i="7"/>
  <c r="F504" i="7"/>
  <c r="E504" i="7"/>
  <c r="D504" i="7"/>
  <c r="C504" i="7"/>
  <c r="B504" i="7"/>
  <c r="A504" i="7"/>
  <c r="AJ503" i="7"/>
  <c r="AI503" i="7"/>
  <c r="AH503" i="7"/>
  <c r="AG503" i="7"/>
  <c r="AF503" i="7"/>
  <c r="AE503" i="7"/>
  <c r="AD503" i="7"/>
  <c r="AQ503" i="7" s="1"/>
  <c r="AC503" i="7"/>
  <c r="AN503" i="7" s="1"/>
  <c r="AB503" i="7"/>
  <c r="AA503"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AJ502" i="7"/>
  <c r="AI502" i="7"/>
  <c r="AH502" i="7"/>
  <c r="AG502" i="7"/>
  <c r="AF502" i="7"/>
  <c r="AE502" i="7"/>
  <c r="AD502" i="7"/>
  <c r="AQ502" i="7" s="1"/>
  <c r="AC502" i="7"/>
  <c r="AN502" i="7" s="1"/>
  <c r="AB502" i="7"/>
  <c r="AA502" i="7"/>
  <c r="Z502" i="7"/>
  <c r="Y502" i="7"/>
  <c r="X502" i="7"/>
  <c r="W502" i="7"/>
  <c r="V502" i="7"/>
  <c r="AO502" i="7" s="1"/>
  <c r="U502" i="7"/>
  <c r="T502" i="7"/>
  <c r="S502" i="7"/>
  <c r="R502" i="7"/>
  <c r="Q502" i="7"/>
  <c r="P502" i="7"/>
  <c r="O502" i="7"/>
  <c r="N502" i="7"/>
  <c r="M502" i="7"/>
  <c r="L502" i="7"/>
  <c r="K502" i="7"/>
  <c r="J502" i="7"/>
  <c r="I502" i="7"/>
  <c r="H502" i="7"/>
  <c r="G502" i="7"/>
  <c r="F502" i="7"/>
  <c r="E502" i="7"/>
  <c r="D502" i="7"/>
  <c r="C502" i="7"/>
  <c r="B502" i="7"/>
  <c r="A502" i="7"/>
  <c r="AJ501" i="7"/>
  <c r="AI501" i="7"/>
  <c r="AH501" i="7"/>
  <c r="AG501" i="7"/>
  <c r="AF501" i="7"/>
  <c r="AE501" i="7"/>
  <c r="AD501" i="7"/>
  <c r="AQ501" i="7" s="1"/>
  <c r="AC501" i="7"/>
  <c r="AN501" i="7" s="1"/>
  <c r="AB501" i="7"/>
  <c r="AA501" i="7"/>
  <c r="Z501" i="7"/>
  <c r="Y501" i="7"/>
  <c r="X501" i="7"/>
  <c r="W501" i="7"/>
  <c r="V501" i="7"/>
  <c r="U501" i="7"/>
  <c r="T501" i="7"/>
  <c r="S501" i="7"/>
  <c r="R501" i="7"/>
  <c r="Q501" i="7"/>
  <c r="P501" i="7"/>
  <c r="O501" i="7"/>
  <c r="N501" i="7"/>
  <c r="M501" i="7"/>
  <c r="L501" i="7"/>
  <c r="K501" i="7"/>
  <c r="J501" i="7"/>
  <c r="I501" i="7"/>
  <c r="H501" i="7"/>
  <c r="G501" i="7"/>
  <c r="F501" i="7"/>
  <c r="E501" i="7"/>
  <c r="D501" i="7"/>
  <c r="C501" i="7"/>
  <c r="B501" i="7"/>
  <c r="A501" i="7"/>
  <c r="AJ500" i="7"/>
  <c r="AI500" i="7"/>
  <c r="AH500" i="7"/>
  <c r="AG500" i="7"/>
  <c r="AF500" i="7"/>
  <c r="AE500" i="7"/>
  <c r="AD500" i="7"/>
  <c r="AQ500" i="7" s="1"/>
  <c r="AC500" i="7"/>
  <c r="AN500" i="7" s="1"/>
  <c r="AB500" i="7"/>
  <c r="AA500" i="7"/>
  <c r="Z500" i="7"/>
  <c r="Y500" i="7"/>
  <c r="X500" i="7"/>
  <c r="W500" i="7"/>
  <c r="V500" i="7"/>
  <c r="U500" i="7"/>
  <c r="T500" i="7"/>
  <c r="S500" i="7"/>
  <c r="R500" i="7"/>
  <c r="Q500" i="7"/>
  <c r="P500" i="7"/>
  <c r="O500" i="7"/>
  <c r="N500" i="7"/>
  <c r="M500" i="7"/>
  <c r="L500" i="7"/>
  <c r="K500" i="7"/>
  <c r="J500" i="7"/>
  <c r="I500" i="7"/>
  <c r="H500" i="7"/>
  <c r="G500" i="7"/>
  <c r="F500" i="7"/>
  <c r="E500" i="7"/>
  <c r="D500" i="7"/>
  <c r="C500" i="7"/>
  <c r="B500" i="7"/>
  <c r="A500" i="7"/>
  <c r="AJ499" i="7"/>
  <c r="AI499" i="7"/>
  <c r="AH499" i="7"/>
  <c r="AG499" i="7"/>
  <c r="AF499" i="7"/>
  <c r="AE499" i="7"/>
  <c r="AD499" i="7"/>
  <c r="AQ499" i="7" s="1"/>
  <c r="AC499" i="7"/>
  <c r="AN499" i="7" s="1"/>
  <c r="AB499" i="7"/>
  <c r="AA499"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AJ498" i="7"/>
  <c r="AI498" i="7"/>
  <c r="AH498" i="7"/>
  <c r="AG498" i="7"/>
  <c r="AF498" i="7"/>
  <c r="AE498" i="7"/>
  <c r="AD498" i="7"/>
  <c r="AQ498" i="7" s="1"/>
  <c r="AC498" i="7"/>
  <c r="AN498" i="7" s="1"/>
  <c r="AB498" i="7"/>
  <c r="AA498"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AJ497" i="7"/>
  <c r="AI497" i="7"/>
  <c r="AH497" i="7"/>
  <c r="AG497" i="7"/>
  <c r="AF497" i="7"/>
  <c r="AE497" i="7"/>
  <c r="AD497" i="7"/>
  <c r="AQ497" i="7" s="1"/>
  <c r="AC497" i="7"/>
  <c r="AN497" i="7" s="1"/>
  <c r="AB497" i="7"/>
  <c r="AA497" i="7"/>
  <c r="Z497" i="7"/>
  <c r="Y497" i="7"/>
  <c r="X497" i="7"/>
  <c r="W497" i="7"/>
  <c r="V497" i="7"/>
  <c r="U497" i="7"/>
  <c r="T497" i="7"/>
  <c r="S497" i="7"/>
  <c r="R497" i="7"/>
  <c r="Q497" i="7"/>
  <c r="P497" i="7"/>
  <c r="O497" i="7"/>
  <c r="N497" i="7"/>
  <c r="M497" i="7"/>
  <c r="L497" i="7"/>
  <c r="K497" i="7"/>
  <c r="J497" i="7"/>
  <c r="I497" i="7"/>
  <c r="H497" i="7"/>
  <c r="G497" i="7"/>
  <c r="F497" i="7"/>
  <c r="E497" i="7"/>
  <c r="D497" i="7"/>
  <c r="C497" i="7"/>
  <c r="B497" i="7"/>
  <c r="A497" i="7"/>
  <c r="AJ496" i="7"/>
  <c r="AI496" i="7"/>
  <c r="AH496" i="7"/>
  <c r="AG496" i="7"/>
  <c r="AF496" i="7"/>
  <c r="AE496" i="7"/>
  <c r="AD496" i="7"/>
  <c r="AQ496" i="7" s="1"/>
  <c r="AC496" i="7"/>
  <c r="AN496" i="7" s="1"/>
  <c r="AB496" i="7"/>
  <c r="AA496" i="7"/>
  <c r="Z496" i="7"/>
  <c r="Y496" i="7"/>
  <c r="X496" i="7"/>
  <c r="W496" i="7"/>
  <c r="V496" i="7"/>
  <c r="U496" i="7"/>
  <c r="T496" i="7"/>
  <c r="S496" i="7"/>
  <c r="R496" i="7"/>
  <c r="Q496" i="7"/>
  <c r="P496" i="7"/>
  <c r="O496" i="7"/>
  <c r="N496" i="7"/>
  <c r="M496" i="7"/>
  <c r="L496" i="7"/>
  <c r="K496" i="7"/>
  <c r="J496" i="7"/>
  <c r="I496" i="7"/>
  <c r="H496" i="7"/>
  <c r="G496" i="7"/>
  <c r="F496" i="7"/>
  <c r="E496" i="7"/>
  <c r="D496" i="7"/>
  <c r="C496" i="7"/>
  <c r="B496" i="7"/>
  <c r="A496" i="7"/>
  <c r="AJ495" i="7"/>
  <c r="AI495" i="7"/>
  <c r="AH495" i="7"/>
  <c r="AG495" i="7"/>
  <c r="AF495" i="7"/>
  <c r="AE495" i="7"/>
  <c r="AD495" i="7"/>
  <c r="AQ495" i="7" s="1"/>
  <c r="AC495" i="7"/>
  <c r="AN495" i="7" s="1"/>
  <c r="AB495" i="7"/>
  <c r="AA495" i="7"/>
  <c r="Z495" i="7"/>
  <c r="AL495" i="7" s="1"/>
  <c r="Y495" i="7"/>
  <c r="X495" i="7"/>
  <c r="W495" i="7"/>
  <c r="V495" i="7"/>
  <c r="U495" i="7"/>
  <c r="T495" i="7"/>
  <c r="S495" i="7"/>
  <c r="R495" i="7"/>
  <c r="Q495" i="7"/>
  <c r="P495" i="7"/>
  <c r="O495" i="7"/>
  <c r="N495" i="7"/>
  <c r="M495" i="7"/>
  <c r="L495" i="7"/>
  <c r="K495" i="7"/>
  <c r="J495" i="7"/>
  <c r="I495" i="7"/>
  <c r="H495" i="7"/>
  <c r="G495" i="7"/>
  <c r="F495" i="7"/>
  <c r="E495" i="7"/>
  <c r="D495" i="7"/>
  <c r="C495" i="7"/>
  <c r="B495" i="7"/>
  <c r="A495" i="7"/>
  <c r="AJ494" i="7"/>
  <c r="AI494" i="7"/>
  <c r="AH494" i="7"/>
  <c r="AG494" i="7"/>
  <c r="AF494" i="7"/>
  <c r="AE494" i="7"/>
  <c r="AD494" i="7"/>
  <c r="AQ494" i="7" s="1"/>
  <c r="AC494" i="7"/>
  <c r="AN494" i="7" s="1"/>
  <c r="AB494" i="7"/>
  <c r="AA494" i="7"/>
  <c r="Z494" i="7"/>
  <c r="Y494" i="7"/>
  <c r="X494" i="7"/>
  <c r="W494" i="7"/>
  <c r="V494" i="7"/>
  <c r="AO494" i="7" s="1"/>
  <c r="U494" i="7"/>
  <c r="T494" i="7"/>
  <c r="S494" i="7"/>
  <c r="R494" i="7"/>
  <c r="Q494" i="7"/>
  <c r="P494" i="7"/>
  <c r="O494" i="7"/>
  <c r="N494" i="7"/>
  <c r="M494" i="7"/>
  <c r="L494" i="7"/>
  <c r="K494" i="7"/>
  <c r="J494" i="7"/>
  <c r="I494" i="7"/>
  <c r="H494" i="7"/>
  <c r="G494" i="7"/>
  <c r="F494" i="7"/>
  <c r="E494" i="7"/>
  <c r="D494" i="7"/>
  <c r="C494" i="7"/>
  <c r="B494" i="7"/>
  <c r="A494" i="7"/>
  <c r="AJ493" i="7"/>
  <c r="AI493" i="7"/>
  <c r="AH493" i="7"/>
  <c r="AG493" i="7"/>
  <c r="AF493" i="7"/>
  <c r="AE493" i="7"/>
  <c r="AD493" i="7"/>
  <c r="AQ493" i="7" s="1"/>
  <c r="AC493" i="7"/>
  <c r="AN493" i="7" s="1"/>
  <c r="AB493" i="7"/>
  <c r="AA493" i="7"/>
  <c r="Z493" i="7"/>
  <c r="Y493" i="7"/>
  <c r="X493" i="7"/>
  <c r="W493" i="7"/>
  <c r="V493" i="7"/>
  <c r="U493" i="7"/>
  <c r="T493" i="7"/>
  <c r="S493" i="7"/>
  <c r="R493" i="7"/>
  <c r="Q493" i="7"/>
  <c r="P493" i="7"/>
  <c r="O493" i="7"/>
  <c r="N493" i="7"/>
  <c r="M493" i="7"/>
  <c r="L493" i="7"/>
  <c r="K493" i="7"/>
  <c r="J493" i="7"/>
  <c r="I493" i="7"/>
  <c r="H493" i="7"/>
  <c r="G493" i="7"/>
  <c r="F493" i="7"/>
  <c r="E493" i="7"/>
  <c r="D493" i="7"/>
  <c r="C493" i="7"/>
  <c r="B493" i="7"/>
  <c r="A493" i="7"/>
  <c r="AJ492" i="7"/>
  <c r="AI492" i="7"/>
  <c r="AH492" i="7"/>
  <c r="AG492" i="7"/>
  <c r="AF492" i="7"/>
  <c r="AE492" i="7"/>
  <c r="AD492" i="7"/>
  <c r="AQ492" i="7" s="1"/>
  <c r="AC492" i="7"/>
  <c r="AN492" i="7" s="1"/>
  <c r="AB492" i="7"/>
  <c r="AA492" i="7"/>
  <c r="Z492" i="7"/>
  <c r="Y492" i="7"/>
  <c r="X492" i="7"/>
  <c r="W492" i="7"/>
  <c r="V492" i="7"/>
  <c r="AO492" i="7" s="1"/>
  <c r="U492" i="7"/>
  <c r="T492" i="7"/>
  <c r="S492" i="7"/>
  <c r="R492" i="7"/>
  <c r="Q492" i="7"/>
  <c r="P492" i="7"/>
  <c r="O492" i="7"/>
  <c r="N492" i="7"/>
  <c r="M492" i="7"/>
  <c r="L492" i="7"/>
  <c r="K492" i="7"/>
  <c r="J492" i="7"/>
  <c r="I492" i="7"/>
  <c r="H492" i="7"/>
  <c r="G492" i="7"/>
  <c r="F492" i="7"/>
  <c r="E492" i="7"/>
  <c r="D492" i="7"/>
  <c r="C492" i="7"/>
  <c r="B492" i="7"/>
  <c r="A492" i="7"/>
  <c r="AJ491" i="7"/>
  <c r="AI491" i="7"/>
  <c r="AH491" i="7"/>
  <c r="AG491" i="7"/>
  <c r="AF491" i="7"/>
  <c r="AE491" i="7"/>
  <c r="AD491" i="7"/>
  <c r="AQ491" i="7" s="1"/>
  <c r="AC491" i="7"/>
  <c r="AN491" i="7" s="1"/>
  <c r="AB491" i="7"/>
  <c r="AA491"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AJ490" i="7"/>
  <c r="AI490" i="7"/>
  <c r="AH490" i="7"/>
  <c r="AG490" i="7"/>
  <c r="AF490" i="7"/>
  <c r="AE490" i="7"/>
  <c r="AD490" i="7"/>
  <c r="AQ490" i="7" s="1"/>
  <c r="AC490" i="7"/>
  <c r="AN490" i="7" s="1"/>
  <c r="AB490" i="7"/>
  <c r="AA490"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AJ489" i="7"/>
  <c r="AI489" i="7"/>
  <c r="AH489" i="7"/>
  <c r="AG489" i="7"/>
  <c r="AF489" i="7"/>
  <c r="AE489" i="7"/>
  <c r="AD489" i="7"/>
  <c r="AQ489" i="7" s="1"/>
  <c r="AC489" i="7"/>
  <c r="AN489" i="7" s="1"/>
  <c r="AB489" i="7"/>
  <c r="AA489" i="7"/>
  <c r="Z489" i="7"/>
  <c r="Y489" i="7"/>
  <c r="X489" i="7"/>
  <c r="W489" i="7"/>
  <c r="V489" i="7"/>
  <c r="U489" i="7"/>
  <c r="T489" i="7"/>
  <c r="S489" i="7"/>
  <c r="R489" i="7"/>
  <c r="Q489" i="7"/>
  <c r="P489" i="7"/>
  <c r="O489" i="7"/>
  <c r="N489" i="7"/>
  <c r="M489" i="7"/>
  <c r="L489" i="7"/>
  <c r="K489" i="7"/>
  <c r="J489" i="7"/>
  <c r="I489" i="7"/>
  <c r="H489" i="7"/>
  <c r="G489" i="7"/>
  <c r="F489" i="7"/>
  <c r="E489" i="7"/>
  <c r="D489" i="7"/>
  <c r="C489" i="7"/>
  <c r="B489" i="7"/>
  <c r="A489" i="7"/>
  <c r="AJ488" i="7"/>
  <c r="AI488" i="7"/>
  <c r="AH488" i="7"/>
  <c r="AG488" i="7"/>
  <c r="AF488" i="7"/>
  <c r="AE488" i="7"/>
  <c r="AD488" i="7"/>
  <c r="AQ488" i="7" s="1"/>
  <c r="AC488" i="7"/>
  <c r="AN488" i="7" s="1"/>
  <c r="AB488" i="7"/>
  <c r="AA488" i="7"/>
  <c r="Z488" i="7"/>
  <c r="Y488" i="7"/>
  <c r="X488" i="7"/>
  <c r="W488" i="7"/>
  <c r="V488" i="7"/>
  <c r="AO488" i="7" s="1"/>
  <c r="U488" i="7"/>
  <c r="T488" i="7"/>
  <c r="S488" i="7"/>
  <c r="R488" i="7"/>
  <c r="Q488" i="7"/>
  <c r="P488" i="7"/>
  <c r="O488" i="7"/>
  <c r="N488" i="7"/>
  <c r="M488" i="7"/>
  <c r="L488" i="7"/>
  <c r="K488" i="7"/>
  <c r="J488" i="7"/>
  <c r="I488" i="7"/>
  <c r="H488" i="7"/>
  <c r="G488" i="7"/>
  <c r="F488" i="7"/>
  <c r="E488" i="7"/>
  <c r="D488" i="7"/>
  <c r="C488" i="7"/>
  <c r="B488" i="7"/>
  <c r="A488" i="7"/>
  <c r="AJ487" i="7"/>
  <c r="AI487" i="7"/>
  <c r="AH487" i="7"/>
  <c r="AG487" i="7"/>
  <c r="AF487" i="7"/>
  <c r="AE487" i="7"/>
  <c r="AD487" i="7"/>
  <c r="AQ487" i="7" s="1"/>
  <c r="AC487" i="7"/>
  <c r="AN487" i="7" s="1"/>
  <c r="AB487" i="7"/>
  <c r="AA487"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AJ486" i="7"/>
  <c r="AI486" i="7"/>
  <c r="AH486" i="7"/>
  <c r="AG486" i="7"/>
  <c r="AF486" i="7"/>
  <c r="AE486" i="7"/>
  <c r="AD486" i="7"/>
  <c r="AQ486" i="7" s="1"/>
  <c r="AC486" i="7"/>
  <c r="AN486" i="7" s="1"/>
  <c r="AB486" i="7"/>
  <c r="AA486"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AJ485" i="7"/>
  <c r="AI485" i="7"/>
  <c r="AH485" i="7"/>
  <c r="AG485" i="7"/>
  <c r="AF485" i="7"/>
  <c r="AE485" i="7"/>
  <c r="AD485" i="7"/>
  <c r="AQ485" i="7" s="1"/>
  <c r="AC485" i="7"/>
  <c r="AN485" i="7" s="1"/>
  <c r="AB485" i="7"/>
  <c r="AA485" i="7"/>
  <c r="Z485" i="7"/>
  <c r="Y485" i="7"/>
  <c r="X485" i="7"/>
  <c r="W485" i="7"/>
  <c r="V485" i="7"/>
  <c r="AO485" i="7" s="1"/>
  <c r="U485" i="7"/>
  <c r="T485" i="7"/>
  <c r="S485" i="7"/>
  <c r="R485" i="7"/>
  <c r="Q485" i="7"/>
  <c r="P485" i="7"/>
  <c r="O485" i="7"/>
  <c r="N485" i="7"/>
  <c r="M485" i="7"/>
  <c r="L485" i="7"/>
  <c r="K485" i="7"/>
  <c r="J485" i="7"/>
  <c r="I485" i="7"/>
  <c r="H485" i="7"/>
  <c r="G485" i="7"/>
  <c r="F485" i="7"/>
  <c r="E485" i="7"/>
  <c r="D485" i="7"/>
  <c r="C485" i="7"/>
  <c r="B485" i="7"/>
  <c r="A485" i="7"/>
  <c r="AJ484" i="7"/>
  <c r="AI484" i="7"/>
  <c r="AH484" i="7"/>
  <c r="AG484" i="7"/>
  <c r="AF484" i="7"/>
  <c r="AE484" i="7"/>
  <c r="AD484" i="7"/>
  <c r="AQ484" i="7" s="1"/>
  <c r="AC484" i="7"/>
  <c r="AN484" i="7" s="1"/>
  <c r="AB484" i="7"/>
  <c r="AA484" i="7"/>
  <c r="Z484" i="7"/>
  <c r="Y484" i="7"/>
  <c r="X484" i="7"/>
  <c r="W484" i="7"/>
  <c r="V484" i="7"/>
  <c r="U484" i="7"/>
  <c r="T484" i="7"/>
  <c r="S484" i="7"/>
  <c r="R484" i="7"/>
  <c r="Q484" i="7"/>
  <c r="P484" i="7"/>
  <c r="O484" i="7"/>
  <c r="N484" i="7"/>
  <c r="M484" i="7"/>
  <c r="L484" i="7"/>
  <c r="K484" i="7"/>
  <c r="J484" i="7"/>
  <c r="I484" i="7"/>
  <c r="H484" i="7"/>
  <c r="G484" i="7"/>
  <c r="F484" i="7"/>
  <c r="E484" i="7"/>
  <c r="D484" i="7"/>
  <c r="C484" i="7"/>
  <c r="B484" i="7"/>
  <c r="A484" i="7"/>
  <c r="AJ483" i="7"/>
  <c r="AI483" i="7"/>
  <c r="AH483" i="7"/>
  <c r="AG483" i="7"/>
  <c r="AF483" i="7"/>
  <c r="AE483" i="7"/>
  <c r="AD483" i="7"/>
  <c r="AQ483" i="7" s="1"/>
  <c r="AC483" i="7"/>
  <c r="AN483" i="7" s="1"/>
  <c r="AB483" i="7"/>
  <c r="AA483"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AJ482" i="7"/>
  <c r="AI482" i="7"/>
  <c r="AH482" i="7"/>
  <c r="AG482" i="7"/>
  <c r="AF482" i="7"/>
  <c r="AE482" i="7"/>
  <c r="AD482" i="7"/>
  <c r="AQ482" i="7" s="1"/>
  <c r="AC482" i="7"/>
  <c r="AN482" i="7" s="1"/>
  <c r="AB482" i="7"/>
  <c r="AA482" i="7"/>
  <c r="Z482" i="7"/>
  <c r="Y482" i="7"/>
  <c r="X482" i="7"/>
  <c r="W482" i="7"/>
  <c r="V482" i="7"/>
  <c r="AO482" i="7" s="1"/>
  <c r="U482" i="7"/>
  <c r="T482" i="7"/>
  <c r="S482" i="7"/>
  <c r="R482" i="7"/>
  <c r="Q482" i="7"/>
  <c r="P482" i="7"/>
  <c r="O482" i="7"/>
  <c r="N482" i="7"/>
  <c r="M482" i="7"/>
  <c r="L482" i="7"/>
  <c r="K482" i="7"/>
  <c r="J482" i="7"/>
  <c r="I482" i="7"/>
  <c r="H482" i="7"/>
  <c r="G482" i="7"/>
  <c r="F482" i="7"/>
  <c r="E482" i="7"/>
  <c r="D482" i="7"/>
  <c r="C482" i="7"/>
  <c r="B482" i="7"/>
  <c r="A482" i="7"/>
  <c r="AJ481" i="7"/>
  <c r="AI481" i="7"/>
  <c r="AH481" i="7"/>
  <c r="AG481" i="7"/>
  <c r="AF481" i="7"/>
  <c r="AE481" i="7"/>
  <c r="AD481" i="7"/>
  <c r="AQ481" i="7" s="1"/>
  <c r="AC481" i="7"/>
  <c r="AN481" i="7" s="1"/>
  <c r="AB481" i="7"/>
  <c r="AA481" i="7"/>
  <c r="Z481" i="7"/>
  <c r="Y481" i="7"/>
  <c r="X481" i="7"/>
  <c r="W481" i="7"/>
  <c r="V481" i="7"/>
  <c r="AO481" i="7" s="1"/>
  <c r="U481" i="7"/>
  <c r="T481" i="7"/>
  <c r="S481" i="7"/>
  <c r="R481" i="7"/>
  <c r="Q481" i="7"/>
  <c r="P481" i="7"/>
  <c r="O481" i="7"/>
  <c r="N481" i="7"/>
  <c r="M481" i="7"/>
  <c r="L481" i="7"/>
  <c r="K481" i="7"/>
  <c r="J481" i="7"/>
  <c r="I481" i="7"/>
  <c r="H481" i="7"/>
  <c r="G481" i="7"/>
  <c r="F481" i="7"/>
  <c r="E481" i="7"/>
  <c r="D481" i="7"/>
  <c r="C481" i="7"/>
  <c r="B481" i="7"/>
  <c r="A481" i="7"/>
  <c r="AJ480" i="7"/>
  <c r="AI480" i="7"/>
  <c r="AH480" i="7"/>
  <c r="AG480" i="7"/>
  <c r="AF480" i="7"/>
  <c r="AE480" i="7"/>
  <c r="AD480" i="7"/>
  <c r="AQ480" i="7" s="1"/>
  <c r="AC480" i="7"/>
  <c r="AN480" i="7" s="1"/>
  <c r="AB480" i="7"/>
  <c r="AA480" i="7"/>
  <c r="Z480" i="7"/>
  <c r="Y480" i="7"/>
  <c r="X480" i="7"/>
  <c r="W480" i="7"/>
  <c r="V480" i="7"/>
  <c r="U480" i="7"/>
  <c r="T480" i="7"/>
  <c r="S480" i="7"/>
  <c r="R480" i="7"/>
  <c r="Q480" i="7"/>
  <c r="P480" i="7"/>
  <c r="O480" i="7"/>
  <c r="N480" i="7"/>
  <c r="M480" i="7"/>
  <c r="L480" i="7"/>
  <c r="K480" i="7"/>
  <c r="J480" i="7"/>
  <c r="I480" i="7"/>
  <c r="H480" i="7"/>
  <c r="G480" i="7"/>
  <c r="F480" i="7"/>
  <c r="E480" i="7"/>
  <c r="D480" i="7"/>
  <c r="C480" i="7"/>
  <c r="B480" i="7"/>
  <c r="A480" i="7"/>
  <c r="AJ479" i="7"/>
  <c r="AI479" i="7"/>
  <c r="AH479" i="7"/>
  <c r="AG479" i="7"/>
  <c r="AF479" i="7"/>
  <c r="AE479" i="7"/>
  <c r="AD479" i="7"/>
  <c r="AQ479" i="7" s="1"/>
  <c r="AC479" i="7"/>
  <c r="AN479" i="7" s="1"/>
  <c r="AB479" i="7"/>
  <c r="AA479"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AJ478" i="7"/>
  <c r="AI478" i="7"/>
  <c r="AH478" i="7"/>
  <c r="AG478" i="7"/>
  <c r="AF478" i="7"/>
  <c r="AE478" i="7"/>
  <c r="AD478" i="7"/>
  <c r="AQ478" i="7" s="1"/>
  <c r="AC478" i="7"/>
  <c r="AN478" i="7" s="1"/>
  <c r="AB478" i="7"/>
  <c r="AA478"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AJ477" i="7"/>
  <c r="AI477" i="7"/>
  <c r="AH477" i="7"/>
  <c r="AG477" i="7"/>
  <c r="AF477" i="7"/>
  <c r="AE477" i="7"/>
  <c r="AD477" i="7"/>
  <c r="AQ477" i="7" s="1"/>
  <c r="AC477" i="7"/>
  <c r="AN477" i="7" s="1"/>
  <c r="AB477" i="7"/>
  <c r="AA477" i="7"/>
  <c r="Z477" i="7"/>
  <c r="Y477" i="7"/>
  <c r="X477" i="7"/>
  <c r="W477" i="7"/>
  <c r="V477" i="7"/>
  <c r="AO477" i="7" s="1"/>
  <c r="U477" i="7"/>
  <c r="T477" i="7"/>
  <c r="S477" i="7"/>
  <c r="R477" i="7"/>
  <c r="Q477" i="7"/>
  <c r="P477" i="7"/>
  <c r="O477" i="7"/>
  <c r="N477" i="7"/>
  <c r="M477" i="7"/>
  <c r="L477" i="7"/>
  <c r="K477" i="7"/>
  <c r="J477" i="7"/>
  <c r="I477" i="7"/>
  <c r="H477" i="7"/>
  <c r="G477" i="7"/>
  <c r="F477" i="7"/>
  <c r="E477" i="7"/>
  <c r="D477" i="7"/>
  <c r="C477" i="7"/>
  <c r="B477" i="7"/>
  <c r="A477" i="7"/>
  <c r="AJ476" i="7"/>
  <c r="AI476" i="7"/>
  <c r="AH476" i="7"/>
  <c r="AG476" i="7"/>
  <c r="AF476" i="7"/>
  <c r="AE476" i="7"/>
  <c r="AD476" i="7"/>
  <c r="AQ476" i="7" s="1"/>
  <c r="AC476" i="7"/>
  <c r="AN476" i="7" s="1"/>
  <c r="AB476" i="7"/>
  <c r="AA476" i="7"/>
  <c r="Z476" i="7"/>
  <c r="Y476" i="7"/>
  <c r="X476" i="7"/>
  <c r="W476" i="7"/>
  <c r="V476" i="7"/>
  <c r="AO476" i="7" s="1"/>
  <c r="U476" i="7"/>
  <c r="T476" i="7"/>
  <c r="S476" i="7"/>
  <c r="R476" i="7"/>
  <c r="Q476" i="7"/>
  <c r="P476" i="7"/>
  <c r="O476" i="7"/>
  <c r="N476" i="7"/>
  <c r="M476" i="7"/>
  <c r="L476" i="7"/>
  <c r="K476" i="7"/>
  <c r="J476" i="7"/>
  <c r="I476" i="7"/>
  <c r="H476" i="7"/>
  <c r="G476" i="7"/>
  <c r="F476" i="7"/>
  <c r="E476" i="7"/>
  <c r="D476" i="7"/>
  <c r="C476" i="7"/>
  <c r="B476" i="7"/>
  <c r="A476" i="7"/>
  <c r="AJ475" i="7"/>
  <c r="AI475" i="7"/>
  <c r="AH475" i="7"/>
  <c r="AG475" i="7"/>
  <c r="AF475" i="7"/>
  <c r="AE475" i="7"/>
  <c r="AD475" i="7"/>
  <c r="AQ475" i="7" s="1"/>
  <c r="AC475" i="7"/>
  <c r="AN475" i="7" s="1"/>
  <c r="AB475" i="7"/>
  <c r="AA475"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AJ474" i="7"/>
  <c r="AI474" i="7"/>
  <c r="AH474" i="7"/>
  <c r="AG474" i="7"/>
  <c r="AF474" i="7"/>
  <c r="AE474" i="7"/>
  <c r="AD474" i="7"/>
  <c r="AQ474" i="7" s="1"/>
  <c r="AC474" i="7"/>
  <c r="AN474" i="7" s="1"/>
  <c r="AB474" i="7"/>
  <c r="AA474"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AJ473" i="7"/>
  <c r="AI473" i="7"/>
  <c r="AH473" i="7"/>
  <c r="AG473" i="7"/>
  <c r="AF473" i="7"/>
  <c r="AE473" i="7"/>
  <c r="AD473" i="7"/>
  <c r="AQ473" i="7" s="1"/>
  <c r="AC473" i="7"/>
  <c r="AN473" i="7" s="1"/>
  <c r="AB473" i="7"/>
  <c r="AA473" i="7"/>
  <c r="Z473" i="7"/>
  <c r="Y473" i="7"/>
  <c r="X473" i="7"/>
  <c r="W473" i="7"/>
  <c r="V473" i="7"/>
  <c r="U473" i="7"/>
  <c r="T473" i="7"/>
  <c r="S473" i="7"/>
  <c r="R473" i="7"/>
  <c r="Q473" i="7"/>
  <c r="P473" i="7"/>
  <c r="O473" i="7"/>
  <c r="N473" i="7"/>
  <c r="M473" i="7"/>
  <c r="L473" i="7"/>
  <c r="K473" i="7"/>
  <c r="J473" i="7"/>
  <c r="I473" i="7"/>
  <c r="H473" i="7"/>
  <c r="G473" i="7"/>
  <c r="F473" i="7"/>
  <c r="E473" i="7"/>
  <c r="D473" i="7"/>
  <c r="C473" i="7"/>
  <c r="B473" i="7"/>
  <c r="A473" i="7"/>
  <c r="AJ472" i="7"/>
  <c r="AI472" i="7"/>
  <c r="AH472" i="7"/>
  <c r="AG472" i="7"/>
  <c r="AF472" i="7"/>
  <c r="AE472" i="7"/>
  <c r="AD472" i="7"/>
  <c r="AQ472" i="7" s="1"/>
  <c r="AC472" i="7"/>
  <c r="AN472" i="7" s="1"/>
  <c r="AB472" i="7"/>
  <c r="AA472" i="7"/>
  <c r="Z472" i="7"/>
  <c r="Y472" i="7"/>
  <c r="X472" i="7"/>
  <c r="W472" i="7"/>
  <c r="V472" i="7"/>
  <c r="AO472" i="7" s="1"/>
  <c r="U472" i="7"/>
  <c r="T472" i="7"/>
  <c r="S472" i="7"/>
  <c r="R472" i="7"/>
  <c r="Q472" i="7"/>
  <c r="P472" i="7"/>
  <c r="O472" i="7"/>
  <c r="N472" i="7"/>
  <c r="M472" i="7"/>
  <c r="L472" i="7"/>
  <c r="K472" i="7"/>
  <c r="J472" i="7"/>
  <c r="I472" i="7"/>
  <c r="H472" i="7"/>
  <c r="G472" i="7"/>
  <c r="F472" i="7"/>
  <c r="E472" i="7"/>
  <c r="D472" i="7"/>
  <c r="C472" i="7"/>
  <c r="B472" i="7"/>
  <c r="A472" i="7"/>
  <c r="AJ471" i="7"/>
  <c r="AI471" i="7"/>
  <c r="AH471" i="7"/>
  <c r="AG471" i="7"/>
  <c r="AF471" i="7"/>
  <c r="AE471" i="7"/>
  <c r="AD471" i="7"/>
  <c r="AQ471" i="7" s="1"/>
  <c r="AC471" i="7"/>
  <c r="AN471" i="7" s="1"/>
  <c r="AB471" i="7"/>
  <c r="AA471" i="7"/>
  <c r="Z471" i="7"/>
  <c r="Y471" i="7"/>
  <c r="X471" i="7"/>
  <c r="W471" i="7"/>
  <c r="V471" i="7"/>
  <c r="AO471" i="7" s="1"/>
  <c r="U471" i="7"/>
  <c r="T471" i="7"/>
  <c r="S471" i="7"/>
  <c r="R471" i="7"/>
  <c r="Q471" i="7"/>
  <c r="P471" i="7"/>
  <c r="O471" i="7"/>
  <c r="N471" i="7"/>
  <c r="M471" i="7"/>
  <c r="L471" i="7"/>
  <c r="K471" i="7"/>
  <c r="J471" i="7"/>
  <c r="I471" i="7"/>
  <c r="H471" i="7"/>
  <c r="G471" i="7"/>
  <c r="F471" i="7"/>
  <c r="E471" i="7"/>
  <c r="D471" i="7"/>
  <c r="C471" i="7"/>
  <c r="B471" i="7"/>
  <c r="A471" i="7"/>
  <c r="AJ470" i="7"/>
  <c r="AI470" i="7"/>
  <c r="AH470" i="7"/>
  <c r="AG470" i="7"/>
  <c r="AF470" i="7"/>
  <c r="AE470" i="7"/>
  <c r="AD470" i="7"/>
  <c r="AQ470" i="7" s="1"/>
  <c r="AC470" i="7"/>
  <c r="AN470" i="7" s="1"/>
  <c r="AB470" i="7"/>
  <c r="AA470"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AJ469" i="7"/>
  <c r="AI469" i="7"/>
  <c r="AH469" i="7"/>
  <c r="AG469" i="7"/>
  <c r="AF469" i="7"/>
  <c r="AE469" i="7"/>
  <c r="AD469" i="7"/>
  <c r="AQ469" i="7" s="1"/>
  <c r="AC469" i="7"/>
  <c r="AN469" i="7" s="1"/>
  <c r="AB469" i="7"/>
  <c r="AA469" i="7"/>
  <c r="Z469" i="7"/>
  <c r="Y469" i="7"/>
  <c r="X469" i="7"/>
  <c r="W469" i="7"/>
  <c r="V469" i="7"/>
  <c r="AO469" i="7" s="1"/>
  <c r="U469" i="7"/>
  <c r="T469" i="7"/>
  <c r="S469" i="7"/>
  <c r="R469" i="7"/>
  <c r="Q469" i="7"/>
  <c r="P469" i="7"/>
  <c r="O469" i="7"/>
  <c r="N469" i="7"/>
  <c r="M469" i="7"/>
  <c r="L469" i="7"/>
  <c r="K469" i="7"/>
  <c r="J469" i="7"/>
  <c r="I469" i="7"/>
  <c r="H469" i="7"/>
  <c r="G469" i="7"/>
  <c r="F469" i="7"/>
  <c r="E469" i="7"/>
  <c r="D469" i="7"/>
  <c r="C469" i="7"/>
  <c r="B469" i="7"/>
  <c r="A469" i="7"/>
  <c r="AJ468" i="7"/>
  <c r="AI468" i="7"/>
  <c r="AH468" i="7"/>
  <c r="AG468" i="7"/>
  <c r="AF468" i="7"/>
  <c r="AE468" i="7"/>
  <c r="AD468" i="7"/>
  <c r="AQ468" i="7" s="1"/>
  <c r="AC468" i="7"/>
  <c r="AN468" i="7" s="1"/>
  <c r="AB468" i="7"/>
  <c r="AA468" i="7"/>
  <c r="Z468" i="7"/>
  <c r="Y468" i="7"/>
  <c r="X468" i="7"/>
  <c r="W468" i="7"/>
  <c r="V468" i="7"/>
  <c r="U468" i="7"/>
  <c r="T468" i="7"/>
  <c r="S468" i="7"/>
  <c r="R468" i="7"/>
  <c r="Q468" i="7"/>
  <c r="P468" i="7"/>
  <c r="O468" i="7"/>
  <c r="N468" i="7"/>
  <c r="M468" i="7"/>
  <c r="L468" i="7"/>
  <c r="K468" i="7"/>
  <c r="J468" i="7"/>
  <c r="I468" i="7"/>
  <c r="H468" i="7"/>
  <c r="G468" i="7"/>
  <c r="F468" i="7"/>
  <c r="E468" i="7"/>
  <c r="D468" i="7"/>
  <c r="C468" i="7"/>
  <c r="B468" i="7"/>
  <c r="A468" i="7"/>
  <c r="AJ467" i="7"/>
  <c r="AI467" i="7"/>
  <c r="AH467" i="7"/>
  <c r="AG467" i="7"/>
  <c r="AF467" i="7"/>
  <c r="AE467" i="7"/>
  <c r="AD467" i="7"/>
  <c r="AQ467" i="7" s="1"/>
  <c r="AC467" i="7"/>
  <c r="AN467" i="7" s="1"/>
  <c r="AB467" i="7"/>
  <c r="AA467"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AJ466" i="7"/>
  <c r="AI466" i="7"/>
  <c r="AH466" i="7"/>
  <c r="AG466" i="7"/>
  <c r="AF466" i="7"/>
  <c r="AE466" i="7"/>
  <c r="AD466" i="7"/>
  <c r="AQ466" i="7" s="1"/>
  <c r="AC466" i="7"/>
  <c r="AN466" i="7" s="1"/>
  <c r="AB466" i="7"/>
  <c r="AA466" i="7"/>
  <c r="Z466" i="7"/>
  <c r="Y466" i="7"/>
  <c r="X466" i="7"/>
  <c r="W466" i="7"/>
  <c r="V466" i="7"/>
  <c r="AO466" i="7" s="1"/>
  <c r="U466" i="7"/>
  <c r="T466" i="7"/>
  <c r="S466" i="7"/>
  <c r="R466" i="7"/>
  <c r="Q466" i="7"/>
  <c r="P466" i="7"/>
  <c r="O466" i="7"/>
  <c r="N466" i="7"/>
  <c r="M466" i="7"/>
  <c r="L466" i="7"/>
  <c r="K466" i="7"/>
  <c r="J466" i="7"/>
  <c r="I466" i="7"/>
  <c r="H466" i="7"/>
  <c r="G466" i="7"/>
  <c r="F466" i="7"/>
  <c r="E466" i="7"/>
  <c r="D466" i="7"/>
  <c r="C466" i="7"/>
  <c r="B466" i="7"/>
  <c r="A466" i="7"/>
  <c r="AJ465" i="7"/>
  <c r="AI465" i="7"/>
  <c r="AH465" i="7"/>
  <c r="AG465" i="7"/>
  <c r="AF465" i="7"/>
  <c r="AE465" i="7"/>
  <c r="AD465" i="7"/>
  <c r="AQ465" i="7" s="1"/>
  <c r="AC465" i="7"/>
  <c r="AN465" i="7" s="1"/>
  <c r="AB465" i="7"/>
  <c r="AA465" i="7"/>
  <c r="Z465" i="7"/>
  <c r="Y465" i="7"/>
  <c r="X465" i="7"/>
  <c r="W465" i="7"/>
  <c r="V465" i="7"/>
  <c r="AO465" i="7" s="1"/>
  <c r="U465" i="7"/>
  <c r="T465" i="7"/>
  <c r="S465" i="7"/>
  <c r="R465" i="7"/>
  <c r="Q465" i="7"/>
  <c r="P465" i="7"/>
  <c r="O465" i="7"/>
  <c r="N465" i="7"/>
  <c r="M465" i="7"/>
  <c r="L465" i="7"/>
  <c r="K465" i="7"/>
  <c r="J465" i="7"/>
  <c r="I465" i="7"/>
  <c r="H465" i="7"/>
  <c r="G465" i="7"/>
  <c r="F465" i="7"/>
  <c r="E465" i="7"/>
  <c r="D465" i="7"/>
  <c r="C465" i="7"/>
  <c r="B465" i="7"/>
  <c r="A465" i="7"/>
  <c r="AJ464" i="7"/>
  <c r="AI464" i="7"/>
  <c r="AH464" i="7"/>
  <c r="AG464" i="7"/>
  <c r="AF464" i="7"/>
  <c r="AE464" i="7"/>
  <c r="AD464" i="7"/>
  <c r="AQ464" i="7" s="1"/>
  <c r="AC464" i="7"/>
  <c r="AN464" i="7" s="1"/>
  <c r="AB464" i="7"/>
  <c r="AA464" i="7"/>
  <c r="Z464" i="7"/>
  <c r="Y464" i="7"/>
  <c r="X464" i="7"/>
  <c r="W464" i="7"/>
  <c r="V464" i="7"/>
  <c r="U464" i="7"/>
  <c r="T464" i="7"/>
  <c r="S464" i="7"/>
  <c r="R464" i="7"/>
  <c r="Q464" i="7"/>
  <c r="P464" i="7"/>
  <c r="O464" i="7"/>
  <c r="N464" i="7"/>
  <c r="M464" i="7"/>
  <c r="L464" i="7"/>
  <c r="K464" i="7"/>
  <c r="J464" i="7"/>
  <c r="I464" i="7"/>
  <c r="H464" i="7"/>
  <c r="G464" i="7"/>
  <c r="F464" i="7"/>
  <c r="E464" i="7"/>
  <c r="D464" i="7"/>
  <c r="C464" i="7"/>
  <c r="B464" i="7"/>
  <c r="A464" i="7"/>
  <c r="AJ463" i="7"/>
  <c r="AI463" i="7"/>
  <c r="AH463" i="7"/>
  <c r="AG463" i="7"/>
  <c r="AF463" i="7"/>
  <c r="AE463" i="7"/>
  <c r="AD463" i="7"/>
  <c r="AQ463" i="7" s="1"/>
  <c r="AC463" i="7"/>
  <c r="AN463" i="7" s="1"/>
  <c r="AB463" i="7"/>
  <c r="AA463" i="7"/>
  <c r="Z463" i="7"/>
  <c r="Y463" i="7"/>
  <c r="X463" i="7"/>
  <c r="W463" i="7"/>
  <c r="V463" i="7"/>
  <c r="AO463" i="7" s="1"/>
  <c r="U463" i="7"/>
  <c r="T463" i="7"/>
  <c r="S463" i="7"/>
  <c r="R463" i="7"/>
  <c r="Q463" i="7"/>
  <c r="P463" i="7"/>
  <c r="O463" i="7"/>
  <c r="N463" i="7"/>
  <c r="M463" i="7"/>
  <c r="L463" i="7"/>
  <c r="K463" i="7"/>
  <c r="J463" i="7"/>
  <c r="I463" i="7"/>
  <c r="H463" i="7"/>
  <c r="G463" i="7"/>
  <c r="F463" i="7"/>
  <c r="E463" i="7"/>
  <c r="D463" i="7"/>
  <c r="C463" i="7"/>
  <c r="B463" i="7"/>
  <c r="A463" i="7"/>
  <c r="AJ462" i="7"/>
  <c r="AI462" i="7"/>
  <c r="AH462" i="7"/>
  <c r="AG462" i="7"/>
  <c r="AF462" i="7"/>
  <c r="AE462" i="7"/>
  <c r="AD462" i="7"/>
  <c r="AQ462" i="7" s="1"/>
  <c r="AC462" i="7"/>
  <c r="AN462" i="7" s="1"/>
  <c r="AB462" i="7"/>
  <c r="AA462"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AJ461" i="7"/>
  <c r="AI461" i="7"/>
  <c r="AH461" i="7"/>
  <c r="AG461" i="7"/>
  <c r="AF461" i="7"/>
  <c r="AE461" i="7"/>
  <c r="AD461" i="7"/>
  <c r="AQ461" i="7" s="1"/>
  <c r="AC461" i="7"/>
  <c r="AN461" i="7" s="1"/>
  <c r="AB461" i="7"/>
  <c r="AA461" i="7"/>
  <c r="Z461" i="7"/>
  <c r="Y461" i="7"/>
  <c r="X461" i="7"/>
  <c r="W461" i="7"/>
  <c r="V461" i="7"/>
  <c r="AO461" i="7" s="1"/>
  <c r="U461" i="7"/>
  <c r="T461" i="7"/>
  <c r="S461" i="7"/>
  <c r="R461" i="7"/>
  <c r="Q461" i="7"/>
  <c r="P461" i="7"/>
  <c r="O461" i="7"/>
  <c r="N461" i="7"/>
  <c r="M461" i="7"/>
  <c r="L461" i="7"/>
  <c r="K461" i="7"/>
  <c r="J461" i="7"/>
  <c r="I461" i="7"/>
  <c r="H461" i="7"/>
  <c r="G461" i="7"/>
  <c r="F461" i="7"/>
  <c r="E461" i="7"/>
  <c r="D461" i="7"/>
  <c r="C461" i="7"/>
  <c r="B461" i="7"/>
  <c r="A461" i="7"/>
  <c r="AJ460" i="7"/>
  <c r="AI460" i="7"/>
  <c r="AH460" i="7"/>
  <c r="AG460" i="7"/>
  <c r="AF460" i="7"/>
  <c r="AE460" i="7"/>
  <c r="AD460" i="7"/>
  <c r="AQ460" i="7" s="1"/>
  <c r="AC460" i="7"/>
  <c r="AN460" i="7" s="1"/>
  <c r="AB460" i="7"/>
  <c r="AA460" i="7"/>
  <c r="Z460" i="7"/>
  <c r="Y460" i="7"/>
  <c r="X460" i="7"/>
  <c r="W460" i="7"/>
  <c r="V460" i="7"/>
  <c r="AO460" i="7" s="1"/>
  <c r="U460" i="7"/>
  <c r="T460" i="7"/>
  <c r="S460" i="7"/>
  <c r="R460" i="7"/>
  <c r="Q460" i="7"/>
  <c r="P460" i="7"/>
  <c r="O460" i="7"/>
  <c r="N460" i="7"/>
  <c r="M460" i="7"/>
  <c r="L460" i="7"/>
  <c r="K460" i="7"/>
  <c r="J460" i="7"/>
  <c r="I460" i="7"/>
  <c r="H460" i="7"/>
  <c r="G460" i="7"/>
  <c r="F460" i="7"/>
  <c r="E460" i="7"/>
  <c r="D460" i="7"/>
  <c r="C460" i="7"/>
  <c r="B460" i="7"/>
  <c r="A460" i="7"/>
  <c r="AJ459" i="7"/>
  <c r="AI459" i="7"/>
  <c r="AH459" i="7"/>
  <c r="AG459" i="7"/>
  <c r="AF459" i="7"/>
  <c r="AE459" i="7"/>
  <c r="AD459" i="7"/>
  <c r="AQ459" i="7" s="1"/>
  <c r="AC459" i="7"/>
  <c r="AN459" i="7" s="1"/>
  <c r="AB459" i="7"/>
  <c r="AA459"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AJ458" i="7"/>
  <c r="AI458" i="7"/>
  <c r="AH458" i="7"/>
  <c r="AG458" i="7"/>
  <c r="AF458" i="7"/>
  <c r="AE458" i="7"/>
  <c r="AD458" i="7"/>
  <c r="AQ458" i="7" s="1"/>
  <c r="AC458" i="7"/>
  <c r="AN458" i="7" s="1"/>
  <c r="AB458" i="7"/>
  <c r="AA458"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AJ457" i="7"/>
  <c r="AI457" i="7"/>
  <c r="AH457" i="7"/>
  <c r="AG457" i="7"/>
  <c r="AF457" i="7"/>
  <c r="AE457" i="7"/>
  <c r="AD457" i="7"/>
  <c r="AQ457" i="7" s="1"/>
  <c r="AC457" i="7"/>
  <c r="AN457" i="7" s="1"/>
  <c r="AB457" i="7"/>
  <c r="AA457" i="7"/>
  <c r="Z457" i="7"/>
  <c r="Y457" i="7"/>
  <c r="X457" i="7"/>
  <c r="W457" i="7"/>
  <c r="V457" i="7"/>
  <c r="U457" i="7"/>
  <c r="T457" i="7"/>
  <c r="S457" i="7"/>
  <c r="R457" i="7"/>
  <c r="Q457" i="7"/>
  <c r="P457" i="7"/>
  <c r="O457" i="7"/>
  <c r="N457" i="7"/>
  <c r="M457" i="7"/>
  <c r="L457" i="7"/>
  <c r="K457" i="7"/>
  <c r="J457" i="7"/>
  <c r="I457" i="7"/>
  <c r="H457" i="7"/>
  <c r="G457" i="7"/>
  <c r="F457" i="7"/>
  <c r="E457" i="7"/>
  <c r="D457" i="7"/>
  <c r="C457" i="7"/>
  <c r="B457" i="7"/>
  <c r="A457" i="7"/>
  <c r="AJ456" i="7"/>
  <c r="AI456" i="7"/>
  <c r="AH456" i="7"/>
  <c r="AG456" i="7"/>
  <c r="AF456" i="7"/>
  <c r="AE456" i="7"/>
  <c r="AD456" i="7"/>
  <c r="AQ456" i="7" s="1"/>
  <c r="AC456" i="7"/>
  <c r="AN456" i="7" s="1"/>
  <c r="AB456" i="7"/>
  <c r="AA456" i="7"/>
  <c r="Z456" i="7"/>
  <c r="Y456" i="7"/>
  <c r="X456" i="7"/>
  <c r="W456" i="7"/>
  <c r="V456" i="7"/>
  <c r="AO456" i="7" s="1"/>
  <c r="U456" i="7"/>
  <c r="T456" i="7"/>
  <c r="S456" i="7"/>
  <c r="R456" i="7"/>
  <c r="Q456" i="7"/>
  <c r="P456" i="7"/>
  <c r="O456" i="7"/>
  <c r="N456" i="7"/>
  <c r="M456" i="7"/>
  <c r="L456" i="7"/>
  <c r="K456" i="7"/>
  <c r="J456" i="7"/>
  <c r="I456" i="7"/>
  <c r="H456" i="7"/>
  <c r="G456" i="7"/>
  <c r="F456" i="7"/>
  <c r="E456" i="7"/>
  <c r="D456" i="7"/>
  <c r="C456" i="7"/>
  <c r="B456" i="7"/>
  <c r="A456" i="7"/>
  <c r="AJ455" i="7"/>
  <c r="AI455" i="7"/>
  <c r="AH455" i="7"/>
  <c r="AG455" i="7"/>
  <c r="AF455" i="7"/>
  <c r="AE455" i="7"/>
  <c r="AD455" i="7"/>
  <c r="AQ455" i="7" s="1"/>
  <c r="AC455" i="7"/>
  <c r="AN455" i="7" s="1"/>
  <c r="AB455" i="7"/>
  <c r="AA455" i="7"/>
  <c r="Z455" i="7"/>
  <c r="AL455" i="7" s="1"/>
  <c r="Y455" i="7"/>
  <c r="X455" i="7"/>
  <c r="W455" i="7"/>
  <c r="V455" i="7"/>
  <c r="U455" i="7"/>
  <c r="T455" i="7"/>
  <c r="S455" i="7"/>
  <c r="R455" i="7"/>
  <c r="Q455" i="7"/>
  <c r="P455" i="7"/>
  <c r="O455" i="7"/>
  <c r="N455" i="7"/>
  <c r="M455" i="7"/>
  <c r="L455" i="7"/>
  <c r="K455" i="7"/>
  <c r="J455" i="7"/>
  <c r="I455" i="7"/>
  <c r="H455" i="7"/>
  <c r="G455" i="7"/>
  <c r="F455" i="7"/>
  <c r="E455" i="7"/>
  <c r="D455" i="7"/>
  <c r="C455" i="7"/>
  <c r="B455" i="7"/>
  <c r="A455" i="7"/>
  <c r="AJ454" i="7"/>
  <c r="AI454" i="7"/>
  <c r="AH454" i="7"/>
  <c r="AG454" i="7"/>
  <c r="AF454" i="7"/>
  <c r="AE454" i="7"/>
  <c r="AD454" i="7"/>
  <c r="AQ454" i="7" s="1"/>
  <c r="AC454" i="7"/>
  <c r="AN454" i="7" s="1"/>
  <c r="AB454" i="7"/>
  <c r="AA454"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AJ453" i="7"/>
  <c r="AI453" i="7"/>
  <c r="AH453" i="7"/>
  <c r="AG453" i="7"/>
  <c r="AF453" i="7"/>
  <c r="AE453" i="7"/>
  <c r="AD453" i="7"/>
  <c r="AQ453" i="7" s="1"/>
  <c r="AC453" i="7"/>
  <c r="AN453" i="7" s="1"/>
  <c r="AB453" i="7"/>
  <c r="AA453" i="7"/>
  <c r="Z453" i="7"/>
  <c r="Y453" i="7"/>
  <c r="X453" i="7"/>
  <c r="W453" i="7"/>
  <c r="V453" i="7"/>
  <c r="AO453" i="7" s="1"/>
  <c r="U453" i="7"/>
  <c r="T453" i="7"/>
  <c r="S453" i="7"/>
  <c r="R453" i="7"/>
  <c r="Q453" i="7"/>
  <c r="P453" i="7"/>
  <c r="O453" i="7"/>
  <c r="N453" i="7"/>
  <c r="M453" i="7"/>
  <c r="L453" i="7"/>
  <c r="K453" i="7"/>
  <c r="J453" i="7"/>
  <c r="I453" i="7"/>
  <c r="H453" i="7"/>
  <c r="G453" i="7"/>
  <c r="F453" i="7"/>
  <c r="E453" i="7"/>
  <c r="D453" i="7"/>
  <c r="C453" i="7"/>
  <c r="B453" i="7"/>
  <c r="A453" i="7"/>
  <c r="AJ452" i="7"/>
  <c r="AI452" i="7"/>
  <c r="AH452" i="7"/>
  <c r="AG452" i="7"/>
  <c r="AF452" i="7"/>
  <c r="AE452" i="7"/>
  <c r="AD452" i="7"/>
  <c r="AQ452" i="7" s="1"/>
  <c r="AC452" i="7"/>
  <c r="AN452" i="7" s="1"/>
  <c r="AB452" i="7"/>
  <c r="AA452" i="7"/>
  <c r="Z452" i="7"/>
  <c r="Y452" i="7"/>
  <c r="X452" i="7"/>
  <c r="W452" i="7"/>
  <c r="V452" i="7"/>
  <c r="U452" i="7"/>
  <c r="T452" i="7"/>
  <c r="S452" i="7"/>
  <c r="R452" i="7"/>
  <c r="Q452" i="7"/>
  <c r="P452" i="7"/>
  <c r="O452" i="7"/>
  <c r="N452" i="7"/>
  <c r="M452" i="7"/>
  <c r="L452" i="7"/>
  <c r="K452" i="7"/>
  <c r="J452" i="7"/>
  <c r="I452" i="7"/>
  <c r="H452" i="7"/>
  <c r="G452" i="7"/>
  <c r="F452" i="7"/>
  <c r="E452" i="7"/>
  <c r="D452" i="7"/>
  <c r="C452" i="7"/>
  <c r="B452" i="7"/>
  <c r="A452" i="7"/>
  <c r="AJ451" i="7"/>
  <c r="AI451" i="7"/>
  <c r="AH451" i="7"/>
  <c r="AG451" i="7"/>
  <c r="AF451" i="7"/>
  <c r="AE451" i="7"/>
  <c r="AD451" i="7"/>
  <c r="AQ451" i="7" s="1"/>
  <c r="AC451" i="7"/>
  <c r="AN451" i="7" s="1"/>
  <c r="AB451" i="7"/>
  <c r="AA451"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AJ450" i="7"/>
  <c r="AI450" i="7"/>
  <c r="AH450" i="7"/>
  <c r="AG450" i="7"/>
  <c r="AF450" i="7"/>
  <c r="AE450" i="7"/>
  <c r="AD450" i="7"/>
  <c r="AQ450" i="7" s="1"/>
  <c r="AC450" i="7"/>
  <c r="AN450" i="7" s="1"/>
  <c r="AB450" i="7"/>
  <c r="AA450" i="7"/>
  <c r="Z450" i="7"/>
  <c r="Y450" i="7"/>
  <c r="X450" i="7"/>
  <c r="W450" i="7"/>
  <c r="V450" i="7"/>
  <c r="AO450" i="7" s="1"/>
  <c r="U450" i="7"/>
  <c r="T450" i="7"/>
  <c r="S450" i="7"/>
  <c r="R450" i="7"/>
  <c r="Q450" i="7"/>
  <c r="P450" i="7"/>
  <c r="O450" i="7"/>
  <c r="N450" i="7"/>
  <c r="M450" i="7"/>
  <c r="L450" i="7"/>
  <c r="K450" i="7"/>
  <c r="J450" i="7"/>
  <c r="I450" i="7"/>
  <c r="H450" i="7"/>
  <c r="G450" i="7"/>
  <c r="F450" i="7"/>
  <c r="E450" i="7"/>
  <c r="D450" i="7"/>
  <c r="C450" i="7"/>
  <c r="B450" i="7"/>
  <c r="A450" i="7"/>
  <c r="AJ449" i="7"/>
  <c r="AI449" i="7"/>
  <c r="AH449" i="7"/>
  <c r="AG449" i="7"/>
  <c r="AF449" i="7"/>
  <c r="AE449" i="7"/>
  <c r="AD449" i="7"/>
  <c r="AQ449" i="7" s="1"/>
  <c r="AC449" i="7"/>
  <c r="AN449" i="7" s="1"/>
  <c r="AB449" i="7"/>
  <c r="AA449" i="7"/>
  <c r="Z449" i="7"/>
  <c r="Y449" i="7"/>
  <c r="X449" i="7"/>
  <c r="W449" i="7"/>
  <c r="V449" i="7"/>
  <c r="U449" i="7"/>
  <c r="T449" i="7"/>
  <c r="S449" i="7"/>
  <c r="R449" i="7"/>
  <c r="Q449" i="7"/>
  <c r="P449" i="7"/>
  <c r="O449" i="7"/>
  <c r="N449" i="7"/>
  <c r="M449" i="7"/>
  <c r="L449" i="7"/>
  <c r="K449" i="7"/>
  <c r="J449" i="7"/>
  <c r="I449" i="7"/>
  <c r="H449" i="7"/>
  <c r="G449" i="7"/>
  <c r="F449" i="7"/>
  <c r="E449" i="7"/>
  <c r="D449" i="7"/>
  <c r="C449" i="7"/>
  <c r="B449" i="7"/>
  <c r="A449" i="7"/>
  <c r="AJ448" i="7"/>
  <c r="AI448" i="7"/>
  <c r="AH448" i="7"/>
  <c r="AG448" i="7"/>
  <c r="AF448" i="7"/>
  <c r="AE448" i="7"/>
  <c r="AD448" i="7"/>
  <c r="AQ448" i="7" s="1"/>
  <c r="AC448" i="7"/>
  <c r="AN448" i="7" s="1"/>
  <c r="AB448" i="7"/>
  <c r="AA448" i="7"/>
  <c r="Z448" i="7"/>
  <c r="Y448" i="7"/>
  <c r="X448" i="7"/>
  <c r="W448" i="7"/>
  <c r="V448" i="7"/>
  <c r="U448" i="7"/>
  <c r="T448" i="7"/>
  <c r="S448" i="7"/>
  <c r="R448" i="7"/>
  <c r="Q448" i="7"/>
  <c r="P448" i="7"/>
  <c r="O448" i="7"/>
  <c r="N448" i="7"/>
  <c r="M448" i="7"/>
  <c r="L448" i="7"/>
  <c r="K448" i="7"/>
  <c r="J448" i="7"/>
  <c r="I448" i="7"/>
  <c r="H448" i="7"/>
  <c r="G448" i="7"/>
  <c r="F448" i="7"/>
  <c r="E448" i="7"/>
  <c r="D448" i="7"/>
  <c r="C448" i="7"/>
  <c r="B448" i="7"/>
  <c r="A448" i="7"/>
  <c r="AJ447" i="7"/>
  <c r="AI447" i="7"/>
  <c r="AH447" i="7"/>
  <c r="AG447" i="7"/>
  <c r="AF447" i="7"/>
  <c r="AE447" i="7"/>
  <c r="AD447" i="7"/>
  <c r="AQ447" i="7" s="1"/>
  <c r="AC447" i="7"/>
  <c r="AN447" i="7" s="1"/>
  <c r="AB447" i="7"/>
  <c r="AA447" i="7"/>
  <c r="Z447" i="7"/>
  <c r="Y447" i="7"/>
  <c r="X447" i="7"/>
  <c r="W447" i="7"/>
  <c r="V447" i="7"/>
  <c r="AO447" i="7" s="1"/>
  <c r="U447" i="7"/>
  <c r="T447" i="7"/>
  <c r="S447" i="7"/>
  <c r="R447" i="7"/>
  <c r="Q447" i="7"/>
  <c r="P447" i="7"/>
  <c r="O447" i="7"/>
  <c r="N447" i="7"/>
  <c r="M447" i="7"/>
  <c r="L447" i="7"/>
  <c r="K447" i="7"/>
  <c r="J447" i="7"/>
  <c r="I447" i="7"/>
  <c r="H447" i="7"/>
  <c r="G447" i="7"/>
  <c r="F447" i="7"/>
  <c r="E447" i="7"/>
  <c r="D447" i="7"/>
  <c r="C447" i="7"/>
  <c r="B447" i="7"/>
  <c r="A447" i="7"/>
  <c r="AJ446" i="7"/>
  <c r="AI446" i="7"/>
  <c r="AH446" i="7"/>
  <c r="AG446" i="7"/>
  <c r="AF446" i="7"/>
  <c r="AE446" i="7"/>
  <c r="AD446" i="7"/>
  <c r="AQ446" i="7" s="1"/>
  <c r="AC446" i="7"/>
  <c r="AN446" i="7" s="1"/>
  <c r="AB446" i="7"/>
  <c r="AA446"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AJ445" i="7"/>
  <c r="AI445" i="7"/>
  <c r="AH445" i="7"/>
  <c r="AG445" i="7"/>
  <c r="AF445" i="7"/>
  <c r="AE445" i="7"/>
  <c r="AD445" i="7"/>
  <c r="AQ445" i="7" s="1"/>
  <c r="AC445" i="7"/>
  <c r="AN445" i="7" s="1"/>
  <c r="AB445" i="7"/>
  <c r="AA445" i="7"/>
  <c r="Z445" i="7"/>
  <c r="Y445" i="7"/>
  <c r="X445" i="7"/>
  <c r="W445" i="7"/>
  <c r="V445" i="7"/>
  <c r="AO445" i="7" s="1"/>
  <c r="U445" i="7"/>
  <c r="T445" i="7"/>
  <c r="S445" i="7"/>
  <c r="R445" i="7"/>
  <c r="Q445" i="7"/>
  <c r="P445" i="7"/>
  <c r="O445" i="7"/>
  <c r="N445" i="7"/>
  <c r="M445" i="7"/>
  <c r="L445" i="7"/>
  <c r="K445" i="7"/>
  <c r="J445" i="7"/>
  <c r="I445" i="7"/>
  <c r="H445" i="7"/>
  <c r="G445" i="7"/>
  <c r="F445" i="7"/>
  <c r="E445" i="7"/>
  <c r="D445" i="7"/>
  <c r="C445" i="7"/>
  <c r="B445" i="7"/>
  <c r="A445" i="7"/>
  <c r="AJ444" i="7"/>
  <c r="AI444" i="7"/>
  <c r="AH444" i="7"/>
  <c r="AG444" i="7"/>
  <c r="AF444" i="7"/>
  <c r="AE444" i="7"/>
  <c r="AD444" i="7"/>
  <c r="AQ444" i="7" s="1"/>
  <c r="AC444" i="7"/>
  <c r="AN444" i="7" s="1"/>
  <c r="AB444" i="7"/>
  <c r="AA444" i="7"/>
  <c r="Z444" i="7"/>
  <c r="Y444" i="7"/>
  <c r="X444" i="7"/>
  <c r="W444" i="7"/>
  <c r="V444" i="7"/>
  <c r="AO444" i="7" s="1"/>
  <c r="U444" i="7"/>
  <c r="T444" i="7"/>
  <c r="S444" i="7"/>
  <c r="R444" i="7"/>
  <c r="Q444" i="7"/>
  <c r="P444" i="7"/>
  <c r="O444" i="7"/>
  <c r="N444" i="7"/>
  <c r="M444" i="7"/>
  <c r="L444" i="7"/>
  <c r="K444" i="7"/>
  <c r="J444" i="7"/>
  <c r="I444" i="7"/>
  <c r="H444" i="7"/>
  <c r="G444" i="7"/>
  <c r="F444" i="7"/>
  <c r="E444" i="7"/>
  <c r="D444" i="7"/>
  <c r="C444" i="7"/>
  <c r="B444" i="7"/>
  <c r="A444" i="7"/>
  <c r="AJ443" i="7"/>
  <c r="AI443" i="7"/>
  <c r="AH443" i="7"/>
  <c r="AG443" i="7"/>
  <c r="AF443" i="7"/>
  <c r="AE443" i="7"/>
  <c r="AD443" i="7"/>
  <c r="AQ443" i="7" s="1"/>
  <c r="AC443" i="7"/>
  <c r="AN443" i="7" s="1"/>
  <c r="AB443" i="7"/>
  <c r="AA443"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AJ442" i="7"/>
  <c r="AI442" i="7"/>
  <c r="AH442" i="7"/>
  <c r="AG442" i="7"/>
  <c r="AF442" i="7"/>
  <c r="AE442" i="7"/>
  <c r="AD442" i="7"/>
  <c r="AQ442" i="7" s="1"/>
  <c r="AC442" i="7"/>
  <c r="AN442" i="7" s="1"/>
  <c r="AB442" i="7"/>
  <c r="AA442"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AJ441" i="7"/>
  <c r="AI441" i="7"/>
  <c r="AH441" i="7"/>
  <c r="AG441" i="7"/>
  <c r="AF441" i="7"/>
  <c r="AE441" i="7"/>
  <c r="AD441" i="7"/>
  <c r="AQ441" i="7" s="1"/>
  <c r="AC441" i="7"/>
  <c r="AN441" i="7" s="1"/>
  <c r="AB441" i="7"/>
  <c r="AA441" i="7"/>
  <c r="Z441" i="7"/>
  <c r="Y441" i="7"/>
  <c r="X441" i="7"/>
  <c r="W441" i="7"/>
  <c r="V441" i="7"/>
  <c r="U441" i="7"/>
  <c r="T441" i="7"/>
  <c r="S441" i="7"/>
  <c r="R441" i="7"/>
  <c r="Q441" i="7"/>
  <c r="P441" i="7"/>
  <c r="O441" i="7"/>
  <c r="N441" i="7"/>
  <c r="M441" i="7"/>
  <c r="L441" i="7"/>
  <c r="K441" i="7"/>
  <c r="J441" i="7"/>
  <c r="I441" i="7"/>
  <c r="H441" i="7"/>
  <c r="G441" i="7"/>
  <c r="F441" i="7"/>
  <c r="E441" i="7"/>
  <c r="D441" i="7"/>
  <c r="C441" i="7"/>
  <c r="B441" i="7"/>
  <c r="A441" i="7"/>
  <c r="AJ440" i="7"/>
  <c r="AI440" i="7"/>
  <c r="AH440" i="7"/>
  <c r="AG440" i="7"/>
  <c r="AF440" i="7"/>
  <c r="AE440" i="7"/>
  <c r="AD440" i="7"/>
  <c r="AQ440" i="7" s="1"/>
  <c r="AC440" i="7"/>
  <c r="AN440" i="7" s="1"/>
  <c r="AB440" i="7"/>
  <c r="AA440" i="7"/>
  <c r="Z440" i="7"/>
  <c r="Y440" i="7"/>
  <c r="X440" i="7"/>
  <c r="W440" i="7"/>
  <c r="V440" i="7"/>
  <c r="AO440" i="7" s="1"/>
  <c r="U440" i="7"/>
  <c r="T440" i="7"/>
  <c r="S440" i="7"/>
  <c r="R440" i="7"/>
  <c r="Q440" i="7"/>
  <c r="P440" i="7"/>
  <c r="O440" i="7"/>
  <c r="N440" i="7"/>
  <c r="M440" i="7"/>
  <c r="L440" i="7"/>
  <c r="K440" i="7"/>
  <c r="J440" i="7"/>
  <c r="I440" i="7"/>
  <c r="H440" i="7"/>
  <c r="G440" i="7"/>
  <c r="F440" i="7"/>
  <c r="E440" i="7"/>
  <c r="D440" i="7"/>
  <c r="C440" i="7"/>
  <c r="B440" i="7"/>
  <c r="A440" i="7"/>
  <c r="AJ439" i="7"/>
  <c r="AI439" i="7"/>
  <c r="AH439" i="7"/>
  <c r="AG439" i="7"/>
  <c r="AF439" i="7"/>
  <c r="AE439" i="7"/>
  <c r="AD439" i="7"/>
  <c r="AQ439" i="7" s="1"/>
  <c r="AC439" i="7"/>
  <c r="AN439" i="7" s="1"/>
  <c r="AB439" i="7"/>
  <c r="AA439"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AJ438" i="7"/>
  <c r="AI438" i="7"/>
  <c r="AH438" i="7"/>
  <c r="AG438" i="7"/>
  <c r="AF438" i="7"/>
  <c r="AE438" i="7"/>
  <c r="AD438" i="7"/>
  <c r="AQ438" i="7" s="1"/>
  <c r="AC438" i="7"/>
  <c r="AN438" i="7" s="1"/>
  <c r="AB438" i="7"/>
  <c r="AA438"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AJ437" i="7"/>
  <c r="AI437" i="7"/>
  <c r="AH437" i="7"/>
  <c r="AG437" i="7"/>
  <c r="AF437" i="7"/>
  <c r="AE437" i="7"/>
  <c r="AD437" i="7"/>
  <c r="AQ437" i="7" s="1"/>
  <c r="AC437" i="7"/>
  <c r="AN437" i="7" s="1"/>
  <c r="AB437" i="7"/>
  <c r="AA437" i="7"/>
  <c r="Z437" i="7"/>
  <c r="Y437" i="7"/>
  <c r="X437" i="7"/>
  <c r="W437" i="7"/>
  <c r="V437" i="7"/>
  <c r="AO437" i="7" s="1"/>
  <c r="U437" i="7"/>
  <c r="T437" i="7"/>
  <c r="S437" i="7"/>
  <c r="R437" i="7"/>
  <c r="Q437" i="7"/>
  <c r="P437" i="7"/>
  <c r="O437" i="7"/>
  <c r="N437" i="7"/>
  <c r="M437" i="7"/>
  <c r="L437" i="7"/>
  <c r="K437" i="7"/>
  <c r="J437" i="7"/>
  <c r="I437" i="7"/>
  <c r="H437" i="7"/>
  <c r="G437" i="7"/>
  <c r="F437" i="7"/>
  <c r="E437" i="7"/>
  <c r="D437" i="7"/>
  <c r="C437" i="7"/>
  <c r="B437" i="7"/>
  <c r="A437" i="7"/>
  <c r="AJ436" i="7"/>
  <c r="AI436" i="7"/>
  <c r="AH436" i="7"/>
  <c r="AG436" i="7"/>
  <c r="AF436" i="7"/>
  <c r="AE436" i="7"/>
  <c r="AD436" i="7"/>
  <c r="AQ436" i="7" s="1"/>
  <c r="AC436" i="7"/>
  <c r="AN436" i="7" s="1"/>
  <c r="AB436" i="7"/>
  <c r="AA436" i="7"/>
  <c r="Z436" i="7"/>
  <c r="Y436" i="7"/>
  <c r="X436" i="7"/>
  <c r="W436" i="7"/>
  <c r="V436" i="7"/>
  <c r="U436" i="7"/>
  <c r="T436" i="7"/>
  <c r="S436" i="7"/>
  <c r="R436" i="7"/>
  <c r="Q436" i="7"/>
  <c r="P436" i="7"/>
  <c r="O436" i="7"/>
  <c r="N436" i="7"/>
  <c r="M436" i="7"/>
  <c r="L436" i="7"/>
  <c r="K436" i="7"/>
  <c r="J436" i="7"/>
  <c r="I436" i="7"/>
  <c r="H436" i="7"/>
  <c r="G436" i="7"/>
  <c r="F436" i="7"/>
  <c r="E436" i="7"/>
  <c r="D436" i="7"/>
  <c r="C436" i="7"/>
  <c r="B436" i="7"/>
  <c r="A436" i="7"/>
  <c r="AJ435" i="7"/>
  <c r="AI435" i="7"/>
  <c r="AH435" i="7"/>
  <c r="AG435" i="7"/>
  <c r="AF435" i="7"/>
  <c r="AE435" i="7"/>
  <c r="AD435" i="7"/>
  <c r="AQ435" i="7" s="1"/>
  <c r="AC435" i="7"/>
  <c r="AN435" i="7" s="1"/>
  <c r="AB435" i="7"/>
  <c r="AA435"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AJ434" i="7"/>
  <c r="AI434" i="7"/>
  <c r="AH434" i="7"/>
  <c r="AG434" i="7"/>
  <c r="AF434" i="7"/>
  <c r="AE434" i="7"/>
  <c r="AD434" i="7"/>
  <c r="AQ434" i="7" s="1"/>
  <c r="AC434" i="7"/>
  <c r="AN434" i="7" s="1"/>
  <c r="AB434" i="7"/>
  <c r="AA434" i="7"/>
  <c r="Z434" i="7"/>
  <c r="Y434" i="7"/>
  <c r="X434" i="7"/>
  <c r="W434" i="7"/>
  <c r="V434" i="7"/>
  <c r="AO434" i="7" s="1"/>
  <c r="U434" i="7"/>
  <c r="T434" i="7"/>
  <c r="S434" i="7"/>
  <c r="R434" i="7"/>
  <c r="Q434" i="7"/>
  <c r="P434" i="7"/>
  <c r="O434" i="7"/>
  <c r="N434" i="7"/>
  <c r="M434" i="7"/>
  <c r="L434" i="7"/>
  <c r="K434" i="7"/>
  <c r="J434" i="7"/>
  <c r="I434" i="7"/>
  <c r="H434" i="7"/>
  <c r="G434" i="7"/>
  <c r="F434" i="7"/>
  <c r="E434" i="7"/>
  <c r="D434" i="7"/>
  <c r="C434" i="7"/>
  <c r="B434" i="7"/>
  <c r="A434" i="7"/>
  <c r="AJ433" i="7"/>
  <c r="AI433" i="7"/>
  <c r="AH433" i="7"/>
  <c r="AG433" i="7"/>
  <c r="AF433" i="7"/>
  <c r="AE433" i="7"/>
  <c r="AD433" i="7"/>
  <c r="AQ433" i="7" s="1"/>
  <c r="AC433" i="7"/>
  <c r="AN433" i="7" s="1"/>
  <c r="AB433" i="7"/>
  <c r="AA433" i="7"/>
  <c r="Z433" i="7"/>
  <c r="Y433" i="7"/>
  <c r="X433" i="7"/>
  <c r="W433" i="7"/>
  <c r="V433" i="7"/>
  <c r="AO433" i="7" s="1"/>
  <c r="U433" i="7"/>
  <c r="T433" i="7"/>
  <c r="S433" i="7"/>
  <c r="R433" i="7"/>
  <c r="Q433" i="7"/>
  <c r="P433" i="7"/>
  <c r="O433" i="7"/>
  <c r="N433" i="7"/>
  <c r="M433" i="7"/>
  <c r="L433" i="7"/>
  <c r="K433" i="7"/>
  <c r="J433" i="7"/>
  <c r="I433" i="7"/>
  <c r="H433" i="7"/>
  <c r="G433" i="7"/>
  <c r="F433" i="7"/>
  <c r="E433" i="7"/>
  <c r="D433" i="7"/>
  <c r="C433" i="7"/>
  <c r="B433" i="7"/>
  <c r="A433" i="7"/>
  <c r="AJ432" i="7"/>
  <c r="AI432" i="7"/>
  <c r="AH432" i="7"/>
  <c r="AG432" i="7"/>
  <c r="AF432" i="7"/>
  <c r="AE432" i="7"/>
  <c r="AD432" i="7"/>
  <c r="AQ432" i="7" s="1"/>
  <c r="AC432" i="7"/>
  <c r="AN432" i="7" s="1"/>
  <c r="AB432" i="7"/>
  <c r="AA432" i="7"/>
  <c r="Z432" i="7"/>
  <c r="Y432" i="7"/>
  <c r="X432" i="7"/>
  <c r="W432" i="7"/>
  <c r="V432" i="7"/>
  <c r="U432" i="7"/>
  <c r="T432" i="7"/>
  <c r="S432" i="7"/>
  <c r="R432" i="7"/>
  <c r="Q432" i="7"/>
  <c r="P432" i="7"/>
  <c r="O432" i="7"/>
  <c r="N432" i="7"/>
  <c r="M432" i="7"/>
  <c r="L432" i="7"/>
  <c r="K432" i="7"/>
  <c r="J432" i="7"/>
  <c r="I432" i="7"/>
  <c r="H432" i="7"/>
  <c r="G432" i="7"/>
  <c r="F432" i="7"/>
  <c r="E432" i="7"/>
  <c r="D432" i="7"/>
  <c r="C432" i="7"/>
  <c r="B432" i="7"/>
  <c r="A432" i="7"/>
  <c r="AJ431" i="7"/>
  <c r="AI431" i="7"/>
  <c r="AH431" i="7"/>
  <c r="AG431" i="7"/>
  <c r="AF431" i="7"/>
  <c r="AE431" i="7"/>
  <c r="AD431" i="7"/>
  <c r="AQ431" i="7" s="1"/>
  <c r="AC431" i="7"/>
  <c r="AN431" i="7" s="1"/>
  <c r="AB431" i="7"/>
  <c r="AA431" i="7"/>
  <c r="Z431" i="7"/>
  <c r="Y431" i="7"/>
  <c r="X431" i="7"/>
  <c r="W431" i="7"/>
  <c r="V431" i="7"/>
  <c r="AO431" i="7" s="1"/>
  <c r="U431" i="7"/>
  <c r="T431" i="7"/>
  <c r="S431" i="7"/>
  <c r="R431" i="7"/>
  <c r="Q431" i="7"/>
  <c r="P431" i="7"/>
  <c r="O431" i="7"/>
  <c r="N431" i="7"/>
  <c r="M431" i="7"/>
  <c r="L431" i="7"/>
  <c r="K431" i="7"/>
  <c r="J431" i="7"/>
  <c r="I431" i="7"/>
  <c r="H431" i="7"/>
  <c r="G431" i="7"/>
  <c r="F431" i="7"/>
  <c r="E431" i="7"/>
  <c r="D431" i="7"/>
  <c r="C431" i="7"/>
  <c r="B431" i="7"/>
  <c r="A431" i="7"/>
  <c r="AJ430" i="7"/>
  <c r="AI430" i="7"/>
  <c r="AH430" i="7"/>
  <c r="AG430" i="7"/>
  <c r="AF430" i="7"/>
  <c r="AE430" i="7"/>
  <c r="AD430" i="7"/>
  <c r="AQ430" i="7" s="1"/>
  <c r="AC430" i="7"/>
  <c r="AN430" i="7" s="1"/>
  <c r="AB430" i="7"/>
  <c r="AA430"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AJ429" i="7"/>
  <c r="AI429" i="7"/>
  <c r="AH429" i="7"/>
  <c r="AG429" i="7"/>
  <c r="AF429" i="7"/>
  <c r="AE429" i="7"/>
  <c r="AD429" i="7"/>
  <c r="AQ429" i="7" s="1"/>
  <c r="AC429" i="7"/>
  <c r="AN429" i="7" s="1"/>
  <c r="AB429" i="7"/>
  <c r="AA429" i="7"/>
  <c r="Z429" i="7"/>
  <c r="Y429" i="7"/>
  <c r="X429" i="7"/>
  <c r="W429" i="7"/>
  <c r="V429" i="7"/>
  <c r="AO429" i="7" s="1"/>
  <c r="U429" i="7"/>
  <c r="T429" i="7"/>
  <c r="S429" i="7"/>
  <c r="R429" i="7"/>
  <c r="Q429" i="7"/>
  <c r="P429" i="7"/>
  <c r="O429" i="7"/>
  <c r="N429" i="7"/>
  <c r="M429" i="7"/>
  <c r="L429" i="7"/>
  <c r="K429" i="7"/>
  <c r="J429" i="7"/>
  <c r="I429" i="7"/>
  <c r="H429" i="7"/>
  <c r="G429" i="7"/>
  <c r="F429" i="7"/>
  <c r="E429" i="7"/>
  <c r="D429" i="7"/>
  <c r="C429" i="7"/>
  <c r="B429" i="7"/>
  <c r="A429" i="7"/>
  <c r="AJ428" i="7"/>
  <c r="AI428" i="7"/>
  <c r="AH428" i="7"/>
  <c r="AG428" i="7"/>
  <c r="AF428" i="7"/>
  <c r="AE428" i="7"/>
  <c r="AD428" i="7"/>
  <c r="AQ428" i="7" s="1"/>
  <c r="AC428" i="7"/>
  <c r="AN428" i="7" s="1"/>
  <c r="AB428" i="7"/>
  <c r="AA428" i="7"/>
  <c r="Z428" i="7"/>
  <c r="Y428" i="7"/>
  <c r="X428" i="7"/>
  <c r="W428" i="7"/>
  <c r="V428" i="7"/>
  <c r="AO428" i="7" s="1"/>
  <c r="U428" i="7"/>
  <c r="T428" i="7"/>
  <c r="S428" i="7"/>
  <c r="R428" i="7"/>
  <c r="Q428" i="7"/>
  <c r="P428" i="7"/>
  <c r="O428" i="7"/>
  <c r="N428" i="7"/>
  <c r="M428" i="7"/>
  <c r="L428" i="7"/>
  <c r="K428" i="7"/>
  <c r="J428" i="7"/>
  <c r="I428" i="7"/>
  <c r="H428" i="7"/>
  <c r="G428" i="7"/>
  <c r="F428" i="7"/>
  <c r="E428" i="7"/>
  <c r="D428" i="7"/>
  <c r="C428" i="7"/>
  <c r="B428" i="7"/>
  <c r="A428" i="7"/>
  <c r="AJ427" i="7"/>
  <c r="AI427" i="7"/>
  <c r="AH427" i="7"/>
  <c r="AG427" i="7"/>
  <c r="AF427" i="7"/>
  <c r="AE427" i="7"/>
  <c r="AD427" i="7"/>
  <c r="AQ427" i="7" s="1"/>
  <c r="AC427" i="7"/>
  <c r="AN427" i="7" s="1"/>
  <c r="AB427" i="7"/>
  <c r="AA427"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AJ426" i="7"/>
  <c r="AI426" i="7"/>
  <c r="AH426" i="7"/>
  <c r="AG426" i="7"/>
  <c r="AF426" i="7"/>
  <c r="AE426" i="7"/>
  <c r="AD426" i="7"/>
  <c r="AQ426" i="7" s="1"/>
  <c r="AC426" i="7"/>
  <c r="AN426" i="7" s="1"/>
  <c r="AB426" i="7"/>
  <c r="AA426"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AJ425" i="7"/>
  <c r="AI425" i="7"/>
  <c r="AH425" i="7"/>
  <c r="AG425" i="7"/>
  <c r="AF425" i="7"/>
  <c r="AE425" i="7"/>
  <c r="AD425" i="7"/>
  <c r="AQ425" i="7" s="1"/>
  <c r="AC425" i="7"/>
  <c r="AN425" i="7" s="1"/>
  <c r="AB425" i="7"/>
  <c r="AA425" i="7"/>
  <c r="Z425" i="7"/>
  <c r="Y425" i="7"/>
  <c r="X425" i="7"/>
  <c r="W425" i="7"/>
  <c r="V425" i="7"/>
  <c r="U425" i="7"/>
  <c r="T425" i="7"/>
  <c r="S425" i="7"/>
  <c r="R425" i="7"/>
  <c r="Q425" i="7"/>
  <c r="P425" i="7"/>
  <c r="O425" i="7"/>
  <c r="N425" i="7"/>
  <c r="M425" i="7"/>
  <c r="L425" i="7"/>
  <c r="K425" i="7"/>
  <c r="J425" i="7"/>
  <c r="I425" i="7"/>
  <c r="H425" i="7"/>
  <c r="G425" i="7"/>
  <c r="F425" i="7"/>
  <c r="E425" i="7"/>
  <c r="D425" i="7"/>
  <c r="C425" i="7"/>
  <c r="B425" i="7"/>
  <c r="A425" i="7"/>
  <c r="AJ424" i="7"/>
  <c r="AI424" i="7"/>
  <c r="AH424" i="7"/>
  <c r="AG424" i="7"/>
  <c r="AF424" i="7"/>
  <c r="AE424" i="7"/>
  <c r="AD424" i="7"/>
  <c r="AQ424" i="7" s="1"/>
  <c r="AC424" i="7"/>
  <c r="AN424" i="7" s="1"/>
  <c r="AB424" i="7"/>
  <c r="AA424" i="7"/>
  <c r="Z424" i="7"/>
  <c r="Y424" i="7"/>
  <c r="X424" i="7"/>
  <c r="W424" i="7"/>
  <c r="V424" i="7"/>
  <c r="AO424" i="7" s="1"/>
  <c r="U424" i="7"/>
  <c r="T424" i="7"/>
  <c r="S424" i="7"/>
  <c r="R424" i="7"/>
  <c r="Q424" i="7"/>
  <c r="P424" i="7"/>
  <c r="O424" i="7"/>
  <c r="N424" i="7"/>
  <c r="M424" i="7"/>
  <c r="L424" i="7"/>
  <c r="K424" i="7"/>
  <c r="J424" i="7"/>
  <c r="I424" i="7"/>
  <c r="H424" i="7"/>
  <c r="G424" i="7"/>
  <c r="F424" i="7"/>
  <c r="E424" i="7"/>
  <c r="D424" i="7"/>
  <c r="C424" i="7"/>
  <c r="B424" i="7"/>
  <c r="A424" i="7"/>
  <c r="AJ423" i="7"/>
  <c r="AI423" i="7"/>
  <c r="AH423" i="7"/>
  <c r="AG423" i="7"/>
  <c r="AF423" i="7"/>
  <c r="AE423" i="7"/>
  <c r="AD423" i="7"/>
  <c r="AQ423" i="7" s="1"/>
  <c r="AC423" i="7"/>
  <c r="AN423" i="7" s="1"/>
  <c r="AB423" i="7"/>
  <c r="AA423"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AJ422" i="7"/>
  <c r="AI422" i="7"/>
  <c r="AH422" i="7"/>
  <c r="AG422" i="7"/>
  <c r="AF422" i="7"/>
  <c r="AE422" i="7"/>
  <c r="AD422" i="7"/>
  <c r="AQ422" i="7" s="1"/>
  <c r="AC422" i="7"/>
  <c r="AN422" i="7" s="1"/>
  <c r="AB422" i="7"/>
  <c r="AA422"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AJ421" i="7"/>
  <c r="AI421" i="7"/>
  <c r="AH421" i="7"/>
  <c r="AG421" i="7"/>
  <c r="AF421" i="7"/>
  <c r="AE421" i="7"/>
  <c r="AD421" i="7"/>
  <c r="AQ421" i="7" s="1"/>
  <c r="AC421" i="7"/>
  <c r="AN421" i="7" s="1"/>
  <c r="AB421" i="7"/>
  <c r="AA421" i="7"/>
  <c r="Z421" i="7"/>
  <c r="Y421" i="7"/>
  <c r="X421" i="7"/>
  <c r="W421" i="7"/>
  <c r="V421" i="7"/>
  <c r="AO421" i="7" s="1"/>
  <c r="U421" i="7"/>
  <c r="T421" i="7"/>
  <c r="S421" i="7"/>
  <c r="R421" i="7"/>
  <c r="Q421" i="7"/>
  <c r="P421" i="7"/>
  <c r="O421" i="7"/>
  <c r="N421" i="7"/>
  <c r="M421" i="7"/>
  <c r="L421" i="7"/>
  <c r="K421" i="7"/>
  <c r="J421" i="7"/>
  <c r="I421" i="7"/>
  <c r="H421" i="7"/>
  <c r="G421" i="7"/>
  <c r="F421" i="7"/>
  <c r="E421" i="7"/>
  <c r="D421" i="7"/>
  <c r="C421" i="7"/>
  <c r="B421" i="7"/>
  <c r="A421" i="7"/>
  <c r="AJ420" i="7"/>
  <c r="AI420" i="7"/>
  <c r="AH420" i="7"/>
  <c r="AG420" i="7"/>
  <c r="AF420" i="7"/>
  <c r="AE420" i="7"/>
  <c r="AD420" i="7"/>
  <c r="AQ420" i="7" s="1"/>
  <c r="AC420" i="7"/>
  <c r="AN420" i="7" s="1"/>
  <c r="AB420" i="7"/>
  <c r="AA420" i="7"/>
  <c r="Z420" i="7"/>
  <c r="Y420" i="7"/>
  <c r="X420" i="7"/>
  <c r="W420" i="7"/>
  <c r="V420" i="7"/>
  <c r="U420" i="7"/>
  <c r="T420" i="7"/>
  <c r="S420" i="7"/>
  <c r="R420" i="7"/>
  <c r="Q420" i="7"/>
  <c r="P420" i="7"/>
  <c r="O420" i="7"/>
  <c r="N420" i="7"/>
  <c r="M420" i="7"/>
  <c r="L420" i="7"/>
  <c r="K420" i="7"/>
  <c r="J420" i="7"/>
  <c r="I420" i="7"/>
  <c r="H420" i="7"/>
  <c r="G420" i="7"/>
  <c r="F420" i="7"/>
  <c r="E420" i="7"/>
  <c r="D420" i="7"/>
  <c r="C420" i="7"/>
  <c r="B420" i="7"/>
  <c r="A420" i="7"/>
  <c r="AJ419" i="7"/>
  <c r="AI419" i="7"/>
  <c r="AH419" i="7"/>
  <c r="AG419" i="7"/>
  <c r="AF419" i="7"/>
  <c r="AE419" i="7"/>
  <c r="AD419" i="7"/>
  <c r="AQ419" i="7" s="1"/>
  <c r="AC419" i="7"/>
  <c r="AN419" i="7" s="1"/>
  <c r="AB419" i="7"/>
  <c r="AA419"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AJ418" i="7"/>
  <c r="AI418" i="7"/>
  <c r="AH418" i="7"/>
  <c r="AG418" i="7"/>
  <c r="AF418" i="7"/>
  <c r="AE418" i="7"/>
  <c r="AD418" i="7"/>
  <c r="AQ418" i="7" s="1"/>
  <c r="AC418" i="7"/>
  <c r="AN418" i="7" s="1"/>
  <c r="AB418" i="7"/>
  <c r="AA418"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AJ417" i="7"/>
  <c r="AI417" i="7"/>
  <c r="AH417" i="7"/>
  <c r="AG417" i="7"/>
  <c r="AF417" i="7"/>
  <c r="AE417" i="7"/>
  <c r="AD417" i="7"/>
  <c r="AQ417" i="7" s="1"/>
  <c r="AC417" i="7"/>
  <c r="AN417" i="7" s="1"/>
  <c r="AB417" i="7"/>
  <c r="AA417" i="7"/>
  <c r="Z417" i="7"/>
  <c r="Y417" i="7"/>
  <c r="X417" i="7"/>
  <c r="W417" i="7"/>
  <c r="V417" i="7"/>
  <c r="U417" i="7"/>
  <c r="T417" i="7"/>
  <c r="S417" i="7"/>
  <c r="R417" i="7"/>
  <c r="Q417" i="7"/>
  <c r="P417" i="7"/>
  <c r="O417" i="7"/>
  <c r="N417" i="7"/>
  <c r="M417" i="7"/>
  <c r="L417" i="7"/>
  <c r="K417" i="7"/>
  <c r="J417" i="7"/>
  <c r="I417" i="7"/>
  <c r="H417" i="7"/>
  <c r="G417" i="7"/>
  <c r="F417" i="7"/>
  <c r="E417" i="7"/>
  <c r="D417" i="7"/>
  <c r="C417" i="7"/>
  <c r="B417" i="7"/>
  <c r="A417" i="7"/>
  <c r="AJ416" i="7"/>
  <c r="AI416" i="7"/>
  <c r="AH416" i="7"/>
  <c r="AG416" i="7"/>
  <c r="AF416" i="7"/>
  <c r="AE416" i="7"/>
  <c r="AD416" i="7"/>
  <c r="AQ416" i="7" s="1"/>
  <c r="AC416" i="7"/>
  <c r="AN416" i="7" s="1"/>
  <c r="AB416" i="7"/>
  <c r="AA416" i="7"/>
  <c r="Z416" i="7"/>
  <c r="Y416" i="7"/>
  <c r="X416" i="7"/>
  <c r="W416" i="7"/>
  <c r="V416" i="7"/>
  <c r="U416" i="7"/>
  <c r="T416" i="7"/>
  <c r="S416" i="7"/>
  <c r="R416" i="7"/>
  <c r="Q416" i="7"/>
  <c r="P416" i="7"/>
  <c r="O416" i="7"/>
  <c r="N416" i="7"/>
  <c r="M416" i="7"/>
  <c r="L416" i="7"/>
  <c r="K416" i="7"/>
  <c r="J416" i="7"/>
  <c r="I416" i="7"/>
  <c r="H416" i="7"/>
  <c r="G416" i="7"/>
  <c r="F416" i="7"/>
  <c r="E416" i="7"/>
  <c r="D416" i="7"/>
  <c r="C416" i="7"/>
  <c r="B416" i="7"/>
  <c r="A416" i="7"/>
  <c r="AJ415" i="7"/>
  <c r="AI415" i="7"/>
  <c r="AH415" i="7"/>
  <c r="AG415" i="7"/>
  <c r="AF415" i="7"/>
  <c r="AE415" i="7"/>
  <c r="AD415" i="7"/>
  <c r="AQ415" i="7" s="1"/>
  <c r="AC415" i="7"/>
  <c r="AN415" i="7" s="1"/>
  <c r="AB415" i="7"/>
  <c r="AA415" i="7"/>
  <c r="Z415" i="7"/>
  <c r="Y415" i="7"/>
  <c r="X415" i="7"/>
  <c r="W415" i="7"/>
  <c r="V415" i="7"/>
  <c r="AO415" i="7" s="1"/>
  <c r="U415" i="7"/>
  <c r="T415" i="7"/>
  <c r="S415" i="7"/>
  <c r="R415" i="7"/>
  <c r="Q415" i="7"/>
  <c r="P415" i="7"/>
  <c r="O415" i="7"/>
  <c r="N415" i="7"/>
  <c r="M415" i="7"/>
  <c r="L415" i="7"/>
  <c r="K415" i="7"/>
  <c r="J415" i="7"/>
  <c r="I415" i="7"/>
  <c r="H415" i="7"/>
  <c r="G415" i="7"/>
  <c r="F415" i="7"/>
  <c r="E415" i="7"/>
  <c r="D415" i="7"/>
  <c r="C415" i="7"/>
  <c r="B415" i="7"/>
  <c r="A415" i="7"/>
  <c r="AJ414" i="7"/>
  <c r="AI414" i="7"/>
  <c r="AH414" i="7"/>
  <c r="AG414" i="7"/>
  <c r="AF414" i="7"/>
  <c r="AE414" i="7"/>
  <c r="AD414" i="7"/>
  <c r="AQ414" i="7" s="1"/>
  <c r="AC414" i="7"/>
  <c r="AN414" i="7" s="1"/>
  <c r="AB414" i="7"/>
  <c r="AA414"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AJ413" i="7"/>
  <c r="AI413" i="7"/>
  <c r="AH413" i="7"/>
  <c r="AG413" i="7"/>
  <c r="AF413" i="7"/>
  <c r="AE413" i="7"/>
  <c r="AD413" i="7"/>
  <c r="AQ413" i="7" s="1"/>
  <c r="AC413" i="7"/>
  <c r="AN413" i="7" s="1"/>
  <c r="AB413" i="7"/>
  <c r="AA413" i="7"/>
  <c r="Z413" i="7"/>
  <c r="Y413" i="7"/>
  <c r="X413" i="7"/>
  <c r="W413" i="7"/>
  <c r="V413" i="7"/>
  <c r="AO413" i="7" s="1"/>
  <c r="U413" i="7"/>
  <c r="T413" i="7"/>
  <c r="S413" i="7"/>
  <c r="R413" i="7"/>
  <c r="Q413" i="7"/>
  <c r="P413" i="7"/>
  <c r="O413" i="7"/>
  <c r="N413" i="7"/>
  <c r="M413" i="7"/>
  <c r="L413" i="7"/>
  <c r="K413" i="7"/>
  <c r="J413" i="7"/>
  <c r="I413" i="7"/>
  <c r="H413" i="7"/>
  <c r="G413" i="7"/>
  <c r="F413" i="7"/>
  <c r="E413" i="7"/>
  <c r="D413" i="7"/>
  <c r="C413" i="7"/>
  <c r="B413" i="7"/>
  <c r="A413" i="7"/>
  <c r="AJ412" i="7"/>
  <c r="AI412" i="7"/>
  <c r="AH412" i="7"/>
  <c r="AG412" i="7"/>
  <c r="AF412" i="7"/>
  <c r="AE412" i="7"/>
  <c r="AD412" i="7"/>
  <c r="AQ412" i="7" s="1"/>
  <c r="AC412" i="7"/>
  <c r="AN412" i="7" s="1"/>
  <c r="AB412" i="7"/>
  <c r="AA412" i="7"/>
  <c r="Z412" i="7"/>
  <c r="Y412" i="7"/>
  <c r="X412" i="7"/>
  <c r="W412" i="7"/>
  <c r="V412" i="7"/>
  <c r="AO412" i="7" s="1"/>
  <c r="U412" i="7"/>
  <c r="T412" i="7"/>
  <c r="S412" i="7"/>
  <c r="R412" i="7"/>
  <c r="Q412" i="7"/>
  <c r="P412" i="7"/>
  <c r="O412" i="7"/>
  <c r="N412" i="7"/>
  <c r="M412" i="7"/>
  <c r="L412" i="7"/>
  <c r="K412" i="7"/>
  <c r="J412" i="7"/>
  <c r="I412" i="7"/>
  <c r="H412" i="7"/>
  <c r="G412" i="7"/>
  <c r="F412" i="7"/>
  <c r="E412" i="7"/>
  <c r="D412" i="7"/>
  <c r="C412" i="7"/>
  <c r="B412" i="7"/>
  <c r="A412" i="7"/>
  <c r="AJ411" i="7"/>
  <c r="AI411" i="7"/>
  <c r="AH411" i="7"/>
  <c r="AG411" i="7"/>
  <c r="AF411" i="7"/>
  <c r="AE411" i="7"/>
  <c r="AD411" i="7"/>
  <c r="AQ411" i="7" s="1"/>
  <c r="AC411" i="7"/>
  <c r="AN411" i="7" s="1"/>
  <c r="AB411" i="7"/>
  <c r="AA411"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AJ410" i="7"/>
  <c r="AI410" i="7"/>
  <c r="AH410" i="7"/>
  <c r="AG410" i="7"/>
  <c r="AF410" i="7"/>
  <c r="AE410" i="7"/>
  <c r="AD410" i="7"/>
  <c r="AQ410" i="7" s="1"/>
  <c r="AC410" i="7"/>
  <c r="AN410" i="7" s="1"/>
  <c r="AB410" i="7"/>
  <c r="AA410"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AJ409" i="7"/>
  <c r="AI409" i="7"/>
  <c r="AH409" i="7"/>
  <c r="AG409" i="7"/>
  <c r="AF409" i="7"/>
  <c r="AE409" i="7"/>
  <c r="AD409" i="7"/>
  <c r="AQ409" i="7" s="1"/>
  <c r="AC409" i="7"/>
  <c r="AN409" i="7" s="1"/>
  <c r="AB409" i="7"/>
  <c r="AA409" i="7"/>
  <c r="Z409" i="7"/>
  <c r="Y409" i="7"/>
  <c r="X409" i="7"/>
  <c r="W409" i="7"/>
  <c r="V409" i="7"/>
  <c r="U409" i="7"/>
  <c r="T409" i="7"/>
  <c r="S409" i="7"/>
  <c r="R409" i="7"/>
  <c r="Q409" i="7"/>
  <c r="P409" i="7"/>
  <c r="O409" i="7"/>
  <c r="N409" i="7"/>
  <c r="M409" i="7"/>
  <c r="L409" i="7"/>
  <c r="K409" i="7"/>
  <c r="J409" i="7"/>
  <c r="I409" i="7"/>
  <c r="H409" i="7"/>
  <c r="G409" i="7"/>
  <c r="F409" i="7"/>
  <c r="E409" i="7"/>
  <c r="D409" i="7"/>
  <c r="C409" i="7"/>
  <c r="B409" i="7"/>
  <c r="A409" i="7"/>
  <c r="AJ408" i="7"/>
  <c r="AI408" i="7"/>
  <c r="AH408" i="7"/>
  <c r="AG408" i="7"/>
  <c r="AF408" i="7"/>
  <c r="AE408" i="7"/>
  <c r="AD408" i="7"/>
  <c r="AQ408" i="7" s="1"/>
  <c r="AC408" i="7"/>
  <c r="AN408" i="7" s="1"/>
  <c r="AB408" i="7"/>
  <c r="AA408" i="7"/>
  <c r="Z408" i="7"/>
  <c r="Y408" i="7"/>
  <c r="X408" i="7"/>
  <c r="W408" i="7"/>
  <c r="V408" i="7"/>
  <c r="AO408" i="7" s="1"/>
  <c r="U408" i="7"/>
  <c r="T408" i="7"/>
  <c r="S408" i="7"/>
  <c r="R408" i="7"/>
  <c r="Q408" i="7"/>
  <c r="P408" i="7"/>
  <c r="O408" i="7"/>
  <c r="N408" i="7"/>
  <c r="M408" i="7"/>
  <c r="L408" i="7"/>
  <c r="K408" i="7"/>
  <c r="J408" i="7"/>
  <c r="I408" i="7"/>
  <c r="H408" i="7"/>
  <c r="G408" i="7"/>
  <c r="F408" i="7"/>
  <c r="E408" i="7"/>
  <c r="D408" i="7"/>
  <c r="C408" i="7"/>
  <c r="B408" i="7"/>
  <c r="A408" i="7"/>
  <c r="AJ407" i="7"/>
  <c r="AI407" i="7"/>
  <c r="AH407" i="7"/>
  <c r="AG407" i="7"/>
  <c r="AF407" i="7"/>
  <c r="AE407" i="7"/>
  <c r="AD407" i="7"/>
  <c r="AQ407" i="7" s="1"/>
  <c r="AC407" i="7"/>
  <c r="AN407" i="7" s="1"/>
  <c r="AB407" i="7"/>
  <c r="AA407" i="7"/>
  <c r="Z407" i="7"/>
  <c r="Y407" i="7"/>
  <c r="X407" i="7"/>
  <c r="W407" i="7"/>
  <c r="V407" i="7"/>
  <c r="AO407" i="7" s="1"/>
  <c r="U407" i="7"/>
  <c r="T407" i="7"/>
  <c r="S407" i="7"/>
  <c r="R407" i="7"/>
  <c r="Q407" i="7"/>
  <c r="P407" i="7"/>
  <c r="O407" i="7"/>
  <c r="N407" i="7"/>
  <c r="M407" i="7"/>
  <c r="L407" i="7"/>
  <c r="K407" i="7"/>
  <c r="J407" i="7"/>
  <c r="I407" i="7"/>
  <c r="H407" i="7"/>
  <c r="G407" i="7"/>
  <c r="F407" i="7"/>
  <c r="E407" i="7"/>
  <c r="D407" i="7"/>
  <c r="C407" i="7"/>
  <c r="B407" i="7"/>
  <c r="A407" i="7"/>
  <c r="AJ406" i="7"/>
  <c r="AI406" i="7"/>
  <c r="AH406" i="7"/>
  <c r="AG406" i="7"/>
  <c r="AF406" i="7"/>
  <c r="AE406" i="7"/>
  <c r="AD406" i="7"/>
  <c r="AQ406" i="7" s="1"/>
  <c r="AC406" i="7"/>
  <c r="AN406" i="7" s="1"/>
  <c r="AB406" i="7"/>
  <c r="AA406"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AJ405" i="7"/>
  <c r="AI405" i="7"/>
  <c r="AH405" i="7"/>
  <c r="AG405" i="7"/>
  <c r="AF405" i="7"/>
  <c r="AE405" i="7"/>
  <c r="AD405" i="7"/>
  <c r="AQ405" i="7" s="1"/>
  <c r="AC405" i="7"/>
  <c r="AN405" i="7" s="1"/>
  <c r="AB405" i="7"/>
  <c r="AA405" i="7"/>
  <c r="Z405" i="7"/>
  <c r="Y405" i="7"/>
  <c r="X405" i="7"/>
  <c r="W405" i="7"/>
  <c r="V405" i="7"/>
  <c r="AO405" i="7" s="1"/>
  <c r="U405" i="7"/>
  <c r="T405" i="7"/>
  <c r="S405" i="7"/>
  <c r="R405" i="7"/>
  <c r="Q405" i="7"/>
  <c r="P405" i="7"/>
  <c r="O405" i="7"/>
  <c r="N405" i="7"/>
  <c r="M405" i="7"/>
  <c r="L405" i="7"/>
  <c r="K405" i="7"/>
  <c r="J405" i="7"/>
  <c r="I405" i="7"/>
  <c r="H405" i="7"/>
  <c r="G405" i="7"/>
  <c r="F405" i="7"/>
  <c r="E405" i="7"/>
  <c r="D405" i="7"/>
  <c r="C405" i="7"/>
  <c r="B405" i="7"/>
  <c r="A405" i="7"/>
  <c r="AJ404" i="7"/>
  <c r="AI404" i="7"/>
  <c r="AH404" i="7"/>
  <c r="AG404" i="7"/>
  <c r="AF404" i="7"/>
  <c r="AE404" i="7"/>
  <c r="AD404" i="7"/>
  <c r="AQ404" i="7" s="1"/>
  <c r="AC404" i="7"/>
  <c r="AN404" i="7" s="1"/>
  <c r="AB404" i="7"/>
  <c r="AA404" i="7"/>
  <c r="Z404" i="7"/>
  <c r="Y404" i="7"/>
  <c r="X404" i="7"/>
  <c r="W404" i="7"/>
  <c r="V404" i="7"/>
  <c r="U404" i="7"/>
  <c r="T404" i="7"/>
  <c r="S404" i="7"/>
  <c r="R404" i="7"/>
  <c r="Q404" i="7"/>
  <c r="P404" i="7"/>
  <c r="O404" i="7"/>
  <c r="N404" i="7"/>
  <c r="M404" i="7"/>
  <c r="L404" i="7"/>
  <c r="K404" i="7"/>
  <c r="J404" i="7"/>
  <c r="I404" i="7"/>
  <c r="H404" i="7"/>
  <c r="G404" i="7"/>
  <c r="F404" i="7"/>
  <c r="E404" i="7"/>
  <c r="D404" i="7"/>
  <c r="C404" i="7"/>
  <c r="B404" i="7"/>
  <c r="A404" i="7"/>
  <c r="AJ403" i="7"/>
  <c r="AI403" i="7"/>
  <c r="AH403" i="7"/>
  <c r="AG403" i="7"/>
  <c r="AF403" i="7"/>
  <c r="AE403" i="7"/>
  <c r="AD403" i="7"/>
  <c r="AQ403" i="7" s="1"/>
  <c r="AC403" i="7"/>
  <c r="AN403" i="7" s="1"/>
  <c r="AB403" i="7"/>
  <c r="AA403"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AJ402" i="7"/>
  <c r="AI402" i="7"/>
  <c r="AH402" i="7"/>
  <c r="AG402" i="7"/>
  <c r="AF402" i="7"/>
  <c r="AE402" i="7"/>
  <c r="AD402" i="7"/>
  <c r="AQ402" i="7" s="1"/>
  <c r="AC402" i="7"/>
  <c r="AN402" i="7" s="1"/>
  <c r="AB402" i="7"/>
  <c r="AA402" i="7"/>
  <c r="Z402" i="7"/>
  <c r="Y402" i="7"/>
  <c r="X402" i="7"/>
  <c r="W402" i="7"/>
  <c r="V402" i="7"/>
  <c r="AO402" i="7" s="1"/>
  <c r="U402" i="7"/>
  <c r="T402" i="7"/>
  <c r="S402" i="7"/>
  <c r="R402" i="7"/>
  <c r="Q402" i="7"/>
  <c r="P402" i="7"/>
  <c r="O402" i="7"/>
  <c r="N402" i="7"/>
  <c r="M402" i="7"/>
  <c r="L402" i="7"/>
  <c r="K402" i="7"/>
  <c r="J402" i="7"/>
  <c r="I402" i="7"/>
  <c r="H402" i="7"/>
  <c r="G402" i="7"/>
  <c r="F402" i="7"/>
  <c r="E402" i="7"/>
  <c r="D402" i="7"/>
  <c r="C402" i="7"/>
  <c r="B402" i="7"/>
  <c r="A402" i="7"/>
  <c r="AJ401" i="7"/>
  <c r="AI401" i="7"/>
  <c r="AH401" i="7"/>
  <c r="AG401" i="7"/>
  <c r="AF401" i="7"/>
  <c r="AE401" i="7"/>
  <c r="AD401" i="7"/>
  <c r="AQ401" i="7" s="1"/>
  <c r="AC401" i="7"/>
  <c r="AN401" i="7" s="1"/>
  <c r="AB401" i="7"/>
  <c r="AA401" i="7"/>
  <c r="Z401" i="7"/>
  <c r="Y401" i="7"/>
  <c r="X401" i="7"/>
  <c r="W401" i="7"/>
  <c r="V401" i="7"/>
  <c r="AO401" i="7" s="1"/>
  <c r="U401" i="7"/>
  <c r="T401" i="7"/>
  <c r="S401" i="7"/>
  <c r="R401" i="7"/>
  <c r="Q401" i="7"/>
  <c r="P401" i="7"/>
  <c r="O401" i="7"/>
  <c r="N401" i="7"/>
  <c r="M401" i="7"/>
  <c r="L401" i="7"/>
  <c r="K401" i="7"/>
  <c r="J401" i="7"/>
  <c r="I401" i="7"/>
  <c r="H401" i="7"/>
  <c r="G401" i="7"/>
  <c r="F401" i="7"/>
  <c r="E401" i="7"/>
  <c r="D401" i="7"/>
  <c r="C401" i="7"/>
  <c r="B401" i="7"/>
  <c r="A401" i="7"/>
  <c r="AJ400" i="7"/>
  <c r="AI400" i="7"/>
  <c r="AH400" i="7"/>
  <c r="AG400" i="7"/>
  <c r="AF400" i="7"/>
  <c r="AE400" i="7"/>
  <c r="AD400" i="7"/>
  <c r="AQ400" i="7" s="1"/>
  <c r="AC400" i="7"/>
  <c r="AN400" i="7" s="1"/>
  <c r="AB400" i="7"/>
  <c r="AA400" i="7"/>
  <c r="Z400" i="7"/>
  <c r="Y400" i="7"/>
  <c r="X400" i="7"/>
  <c r="W400" i="7"/>
  <c r="V400" i="7"/>
  <c r="AO400" i="7" s="1"/>
  <c r="U400" i="7"/>
  <c r="T400" i="7"/>
  <c r="S400" i="7"/>
  <c r="R400" i="7"/>
  <c r="Q400" i="7"/>
  <c r="P400" i="7"/>
  <c r="O400" i="7"/>
  <c r="N400" i="7"/>
  <c r="M400" i="7"/>
  <c r="L400" i="7"/>
  <c r="K400" i="7"/>
  <c r="J400" i="7"/>
  <c r="I400" i="7"/>
  <c r="H400" i="7"/>
  <c r="G400" i="7"/>
  <c r="F400" i="7"/>
  <c r="E400" i="7"/>
  <c r="D400" i="7"/>
  <c r="C400" i="7"/>
  <c r="B400" i="7"/>
  <c r="AK400" i="7" s="1"/>
  <c r="A400" i="7"/>
  <c r="AJ399" i="7"/>
  <c r="AI399" i="7"/>
  <c r="AH399" i="7"/>
  <c r="AG399" i="7"/>
  <c r="AF399" i="7"/>
  <c r="AE399" i="7"/>
  <c r="AD399" i="7"/>
  <c r="AQ399" i="7" s="1"/>
  <c r="AC399" i="7"/>
  <c r="AN399" i="7" s="1"/>
  <c r="AB399" i="7"/>
  <c r="AA399" i="7"/>
  <c r="Z399" i="7"/>
  <c r="Y399" i="7"/>
  <c r="X399" i="7"/>
  <c r="W399" i="7"/>
  <c r="V399" i="7"/>
  <c r="AO399" i="7" s="1"/>
  <c r="U399" i="7"/>
  <c r="T399" i="7"/>
  <c r="S399" i="7"/>
  <c r="R399" i="7"/>
  <c r="Q399" i="7"/>
  <c r="P399" i="7"/>
  <c r="O399" i="7"/>
  <c r="N399" i="7"/>
  <c r="M399" i="7"/>
  <c r="L399" i="7"/>
  <c r="K399" i="7"/>
  <c r="J399" i="7"/>
  <c r="I399" i="7"/>
  <c r="H399" i="7"/>
  <c r="G399" i="7"/>
  <c r="F399" i="7"/>
  <c r="E399" i="7"/>
  <c r="D399" i="7"/>
  <c r="C399" i="7"/>
  <c r="B399" i="7"/>
  <c r="A399" i="7"/>
  <c r="AJ398" i="7"/>
  <c r="AI398" i="7"/>
  <c r="AH398" i="7"/>
  <c r="AG398" i="7"/>
  <c r="AF398" i="7"/>
  <c r="AE398" i="7"/>
  <c r="AD398" i="7"/>
  <c r="AQ398" i="7" s="1"/>
  <c r="AC398" i="7"/>
  <c r="AN398" i="7" s="1"/>
  <c r="AB398" i="7"/>
  <c r="AA398"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AJ397" i="7"/>
  <c r="AI397" i="7"/>
  <c r="AH397" i="7"/>
  <c r="AG397" i="7"/>
  <c r="AF397" i="7"/>
  <c r="AE397" i="7"/>
  <c r="AD397" i="7"/>
  <c r="AQ397" i="7" s="1"/>
  <c r="AC397" i="7"/>
  <c r="AN397" i="7" s="1"/>
  <c r="AB397" i="7"/>
  <c r="AA397" i="7"/>
  <c r="Z397" i="7"/>
  <c r="Y397" i="7"/>
  <c r="X397" i="7"/>
  <c r="W397" i="7"/>
  <c r="V397" i="7"/>
  <c r="AO397" i="7" s="1"/>
  <c r="U397" i="7"/>
  <c r="T397" i="7"/>
  <c r="S397" i="7"/>
  <c r="R397" i="7"/>
  <c r="Q397" i="7"/>
  <c r="P397" i="7"/>
  <c r="O397" i="7"/>
  <c r="N397" i="7"/>
  <c r="M397" i="7"/>
  <c r="L397" i="7"/>
  <c r="K397" i="7"/>
  <c r="J397" i="7"/>
  <c r="I397" i="7"/>
  <c r="H397" i="7"/>
  <c r="G397" i="7"/>
  <c r="F397" i="7"/>
  <c r="E397" i="7"/>
  <c r="D397" i="7"/>
  <c r="C397" i="7"/>
  <c r="B397" i="7"/>
  <c r="A397" i="7"/>
  <c r="AJ396" i="7"/>
  <c r="AI396" i="7"/>
  <c r="AH396" i="7"/>
  <c r="AG396" i="7"/>
  <c r="AF396" i="7"/>
  <c r="AE396" i="7"/>
  <c r="AD396" i="7"/>
  <c r="AQ396" i="7" s="1"/>
  <c r="AC396" i="7"/>
  <c r="AN396" i="7" s="1"/>
  <c r="AB396" i="7"/>
  <c r="AA396" i="7"/>
  <c r="Z396" i="7"/>
  <c r="Y396" i="7"/>
  <c r="X396" i="7"/>
  <c r="W396" i="7"/>
  <c r="V396" i="7"/>
  <c r="AO396" i="7" s="1"/>
  <c r="U396" i="7"/>
  <c r="T396" i="7"/>
  <c r="S396" i="7"/>
  <c r="R396" i="7"/>
  <c r="Q396" i="7"/>
  <c r="P396" i="7"/>
  <c r="O396" i="7"/>
  <c r="N396" i="7"/>
  <c r="M396" i="7"/>
  <c r="L396" i="7"/>
  <c r="K396" i="7"/>
  <c r="J396" i="7"/>
  <c r="I396" i="7"/>
  <c r="H396" i="7"/>
  <c r="G396" i="7"/>
  <c r="F396" i="7"/>
  <c r="E396" i="7"/>
  <c r="D396" i="7"/>
  <c r="C396" i="7"/>
  <c r="B396" i="7"/>
  <c r="A396" i="7"/>
  <c r="AJ395" i="7"/>
  <c r="AI395" i="7"/>
  <c r="AH395" i="7"/>
  <c r="AG395" i="7"/>
  <c r="AF395" i="7"/>
  <c r="AE395" i="7"/>
  <c r="AD395" i="7"/>
  <c r="AQ395" i="7" s="1"/>
  <c r="AC395" i="7"/>
  <c r="AN395" i="7" s="1"/>
  <c r="AB395" i="7"/>
  <c r="AA395" i="7"/>
  <c r="Z395" i="7"/>
  <c r="Y395" i="7"/>
  <c r="X395" i="7"/>
  <c r="W395" i="7"/>
  <c r="V395" i="7"/>
  <c r="AO395" i="7" s="1"/>
  <c r="U395" i="7"/>
  <c r="T395" i="7"/>
  <c r="S395" i="7"/>
  <c r="R395" i="7"/>
  <c r="Q395" i="7"/>
  <c r="P395" i="7"/>
  <c r="O395" i="7"/>
  <c r="N395" i="7"/>
  <c r="M395" i="7"/>
  <c r="L395" i="7"/>
  <c r="K395" i="7"/>
  <c r="J395" i="7"/>
  <c r="I395" i="7"/>
  <c r="H395" i="7"/>
  <c r="G395" i="7"/>
  <c r="F395" i="7"/>
  <c r="E395" i="7"/>
  <c r="D395" i="7"/>
  <c r="C395" i="7"/>
  <c r="B395" i="7"/>
  <c r="A395" i="7"/>
  <c r="AJ394" i="7"/>
  <c r="AI394" i="7"/>
  <c r="AH394" i="7"/>
  <c r="AG394" i="7"/>
  <c r="AF394" i="7"/>
  <c r="AE394" i="7"/>
  <c r="AD394" i="7"/>
  <c r="AQ394" i="7" s="1"/>
  <c r="AC394" i="7"/>
  <c r="AN394" i="7" s="1"/>
  <c r="AB394" i="7"/>
  <c r="AA394"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AJ393" i="7"/>
  <c r="AI393" i="7"/>
  <c r="AH393" i="7"/>
  <c r="AG393" i="7"/>
  <c r="AF393" i="7"/>
  <c r="AE393" i="7"/>
  <c r="AD393" i="7"/>
  <c r="AQ393" i="7" s="1"/>
  <c r="AC393" i="7"/>
  <c r="AN393" i="7" s="1"/>
  <c r="AB393" i="7"/>
  <c r="AA393" i="7"/>
  <c r="Z393" i="7"/>
  <c r="Y393" i="7"/>
  <c r="X393" i="7"/>
  <c r="W393" i="7"/>
  <c r="V393" i="7"/>
  <c r="U393" i="7"/>
  <c r="T393" i="7"/>
  <c r="S393" i="7"/>
  <c r="R393" i="7"/>
  <c r="Q393" i="7"/>
  <c r="P393" i="7"/>
  <c r="O393" i="7"/>
  <c r="N393" i="7"/>
  <c r="M393" i="7"/>
  <c r="L393" i="7"/>
  <c r="K393" i="7"/>
  <c r="J393" i="7"/>
  <c r="I393" i="7"/>
  <c r="H393" i="7"/>
  <c r="G393" i="7"/>
  <c r="F393" i="7"/>
  <c r="E393" i="7"/>
  <c r="D393" i="7"/>
  <c r="C393" i="7"/>
  <c r="B393" i="7"/>
  <c r="A393" i="7"/>
  <c r="AJ392" i="7"/>
  <c r="AI392" i="7"/>
  <c r="AH392" i="7"/>
  <c r="AG392" i="7"/>
  <c r="AF392" i="7"/>
  <c r="AE392" i="7"/>
  <c r="AD392" i="7"/>
  <c r="AQ392" i="7" s="1"/>
  <c r="AC392" i="7"/>
  <c r="AN392" i="7" s="1"/>
  <c r="AB392" i="7"/>
  <c r="AA392" i="7"/>
  <c r="Z392" i="7"/>
  <c r="Y392" i="7"/>
  <c r="X392" i="7"/>
  <c r="W392" i="7"/>
  <c r="V392" i="7"/>
  <c r="AO392" i="7" s="1"/>
  <c r="U392" i="7"/>
  <c r="T392" i="7"/>
  <c r="S392" i="7"/>
  <c r="R392" i="7"/>
  <c r="Q392" i="7"/>
  <c r="P392" i="7"/>
  <c r="O392" i="7"/>
  <c r="N392" i="7"/>
  <c r="M392" i="7"/>
  <c r="L392" i="7"/>
  <c r="K392" i="7"/>
  <c r="J392" i="7"/>
  <c r="I392" i="7"/>
  <c r="H392" i="7"/>
  <c r="G392" i="7"/>
  <c r="F392" i="7"/>
  <c r="E392" i="7"/>
  <c r="D392" i="7"/>
  <c r="C392" i="7"/>
  <c r="B392" i="7"/>
  <c r="A392" i="7"/>
  <c r="AJ391" i="7"/>
  <c r="AI391" i="7"/>
  <c r="AH391" i="7"/>
  <c r="AG391" i="7"/>
  <c r="AF391" i="7"/>
  <c r="AE391" i="7"/>
  <c r="AD391" i="7"/>
  <c r="AQ391" i="7" s="1"/>
  <c r="AC391" i="7"/>
  <c r="AN391" i="7" s="1"/>
  <c r="AB391" i="7"/>
  <c r="AA391" i="7"/>
  <c r="Z391" i="7"/>
  <c r="Y391" i="7"/>
  <c r="X391" i="7"/>
  <c r="W391" i="7"/>
  <c r="V391" i="7"/>
  <c r="AO391" i="7" s="1"/>
  <c r="U391" i="7"/>
  <c r="T391" i="7"/>
  <c r="S391" i="7"/>
  <c r="R391" i="7"/>
  <c r="Q391" i="7"/>
  <c r="P391" i="7"/>
  <c r="O391" i="7"/>
  <c r="N391" i="7"/>
  <c r="M391" i="7"/>
  <c r="L391" i="7"/>
  <c r="K391" i="7"/>
  <c r="J391" i="7"/>
  <c r="I391" i="7"/>
  <c r="H391" i="7"/>
  <c r="G391" i="7"/>
  <c r="F391" i="7"/>
  <c r="E391" i="7"/>
  <c r="D391" i="7"/>
  <c r="C391" i="7"/>
  <c r="B391" i="7"/>
  <c r="A391" i="7"/>
  <c r="AJ390" i="7"/>
  <c r="AI390" i="7"/>
  <c r="AH390" i="7"/>
  <c r="AG390" i="7"/>
  <c r="AF390" i="7"/>
  <c r="AE390" i="7"/>
  <c r="AD390" i="7"/>
  <c r="AQ390" i="7" s="1"/>
  <c r="AC390" i="7"/>
  <c r="AN390" i="7" s="1"/>
  <c r="AB390" i="7"/>
  <c r="AA390" i="7"/>
  <c r="Z390" i="7"/>
  <c r="Y390" i="7"/>
  <c r="X390" i="7"/>
  <c r="W390" i="7"/>
  <c r="V390" i="7"/>
  <c r="AO390" i="7" s="1"/>
  <c r="U390" i="7"/>
  <c r="T390" i="7"/>
  <c r="S390" i="7"/>
  <c r="R390" i="7"/>
  <c r="Q390" i="7"/>
  <c r="P390" i="7"/>
  <c r="O390" i="7"/>
  <c r="N390" i="7"/>
  <c r="M390" i="7"/>
  <c r="L390" i="7"/>
  <c r="K390" i="7"/>
  <c r="J390" i="7"/>
  <c r="I390" i="7"/>
  <c r="H390" i="7"/>
  <c r="G390" i="7"/>
  <c r="F390" i="7"/>
  <c r="E390" i="7"/>
  <c r="D390" i="7"/>
  <c r="C390" i="7"/>
  <c r="B390" i="7"/>
  <c r="A390" i="7"/>
  <c r="AJ389" i="7"/>
  <c r="AI389" i="7"/>
  <c r="AH389" i="7"/>
  <c r="AG389" i="7"/>
  <c r="AF389" i="7"/>
  <c r="AE389" i="7"/>
  <c r="AD389" i="7"/>
  <c r="AQ389" i="7" s="1"/>
  <c r="AC389" i="7"/>
  <c r="AN389" i="7" s="1"/>
  <c r="AB389" i="7"/>
  <c r="AA389" i="7"/>
  <c r="Z389" i="7"/>
  <c r="Y389" i="7"/>
  <c r="X389" i="7"/>
  <c r="W389" i="7"/>
  <c r="V389" i="7"/>
  <c r="AO389" i="7" s="1"/>
  <c r="U389" i="7"/>
  <c r="T389" i="7"/>
  <c r="S389" i="7"/>
  <c r="R389" i="7"/>
  <c r="Q389" i="7"/>
  <c r="P389" i="7"/>
  <c r="O389" i="7"/>
  <c r="N389" i="7"/>
  <c r="M389" i="7"/>
  <c r="L389" i="7"/>
  <c r="K389" i="7"/>
  <c r="J389" i="7"/>
  <c r="I389" i="7"/>
  <c r="H389" i="7"/>
  <c r="G389" i="7"/>
  <c r="F389" i="7"/>
  <c r="E389" i="7"/>
  <c r="D389" i="7"/>
  <c r="C389" i="7"/>
  <c r="B389" i="7"/>
  <c r="A389" i="7"/>
  <c r="AJ388" i="7"/>
  <c r="AI388" i="7"/>
  <c r="AH388" i="7"/>
  <c r="AG388" i="7"/>
  <c r="AF388" i="7"/>
  <c r="AE388" i="7"/>
  <c r="AD388" i="7"/>
  <c r="AQ388" i="7" s="1"/>
  <c r="AC388" i="7"/>
  <c r="AN388" i="7" s="1"/>
  <c r="AB388" i="7"/>
  <c r="AA388" i="7"/>
  <c r="Z388" i="7"/>
  <c r="Y388" i="7"/>
  <c r="X388" i="7"/>
  <c r="W388" i="7"/>
  <c r="V388" i="7"/>
  <c r="U388" i="7"/>
  <c r="T388" i="7"/>
  <c r="S388" i="7"/>
  <c r="R388" i="7"/>
  <c r="Q388" i="7"/>
  <c r="P388" i="7"/>
  <c r="O388" i="7"/>
  <c r="N388" i="7"/>
  <c r="M388" i="7"/>
  <c r="L388" i="7"/>
  <c r="K388" i="7"/>
  <c r="J388" i="7"/>
  <c r="I388" i="7"/>
  <c r="H388" i="7"/>
  <c r="G388" i="7"/>
  <c r="F388" i="7"/>
  <c r="E388" i="7"/>
  <c r="D388" i="7"/>
  <c r="C388" i="7"/>
  <c r="B388" i="7"/>
  <c r="A388" i="7"/>
  <c r="AJ387" i="7"/>
  <c r="AI387" i="7"/>
  <c r="AH387" i="7"/>
  <c r="AG387" i="7"/>
  <c r="AF387" i="7"/>
  <c r="AE387" i="7"/>
  <c r="AD387" i="7"/>
  <c r="AQ387" i="7" s="1"/>
  <c r="AC387" i="7"/>
  <c r="AN387" i="7" s="1"/>
  <c r="AB387" i="7"/>
  <c r="AA387"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AJ386" i="7"/>
  <c r="AI386" i="7"/>
  <c r="AH386" i="7"/>
  <c r="AG386" i="7"/>
  <c r="AF386" i="7"/>
  <c r="AE386" i="7"/>
  <c r="AD386" i="7"/>
  <c r="AQ386" i="7" s="1"/>
  <c r="AC386" i="7"/>
  <c r="AN386" i="7" s="1"/>
  <c r="AB386" i="7"/>
  <c r="AA386" i="7"/>
  <c r="Z386" i="7"/>
  <c r="Y386" i="7"/>
  <c r="X386" i="7"/>
  <c r="W386" i="7"/>
  <c r="V386" i="7"/>
  <c r="AO386" i="7" s="1"/>
  <c r="U386" i="7"/>
  <c r="T386" i="7"/>
  <c r="S386" i="7"/>
  <c r="R386" i="7"/>
  <c r="Q386" i="7"/>
  <c r="P386" i="7"/>
  <c r="O386" i="7"/>
  <c r="N386" i="7"/>
  <c r="M386" i="7"/>
  <c r="L386" i="7"/>
  <c r="K386" i="7"/>
  <c r="J386" i="7"/>
  <c r="I386" i="7"/>
  <c r="H386" i="7"/>
  <c r="G386" i="7"/>
  <c r="F386" i="7"/>
  <c r="E386" i="7"/>
  <c r="D386" i="7"/>
  <c r="C386" i="7"/>
  <c r="B386" i="7"/>
  <c r="A386" i="7"/>
  <c r="AJ385" i="7"/>
  <c r="AI385" i="7"/>
  <c r="AH385" i="7"/>
  <c r="AG385" i="7"/>
  <c r="AF385" i="7"/>
  <c r="AE385" i="7"/>
  <c r="AD385" i="7"/>
  <c r="AQ385" i="7" s="1"/>
  <c r="AC385" i="7"/>
  <c r="AN385" i="7" s="1"/>
  <c r="AB385" i="7"/>
  <c r="AA385" i="7"/>
  <c r="Z385" i="7"/>
  <c r="Y385" i="7"/>
  <c r="X385" i="7"/>
  <c r="W385" i="7"/>
  <c r="V385" i="7"/>
  <c r="U385" i="7"/>
  <c r="T385" i="7"/>
  <c r="S385" i="7"/>
  <c r="R385" i="7"/>
  <c r="Q385" i="7"/>
  <c r="P385" i="7"/>
  <c r="O385" i="7"/>
  <c r="N385" i="7"/>
  <c r="M385" i="7"/>
  <c r="L385" i="7"/>
  <c r="K385" i="7"/>
  <c r="J385" i="7"/>
  <c r="I385" i="7"/>
  <c r="H385" i="7"/>
  <c r="G385" i="7"/>
  <c r="F385" i="7"/>
  <c r="E385" i="7"/>
  <c r="D385" i="7"/>
  <c r="C385" i="7"/>
  <c r="B385" i="7"/>
  <c r="A385" i="7"/>
  <c r="AJ384" i="7"/>
  <c r="AI384" i="7"/>
  <c r="AH384" i="7"/>
  <c r="AG384" i="7"/>
  <c r="AF384" i="7"/>
  <c r="AE384" i="7"/>
  <c r="AD384" i="7"/>
  <c r="AQ384" i="7" s="1"/>
  <c r="AC384" i="7"/>
  <c r="AN384" i="7" s="1"/>
  <c r="AB384" i="7"/>
  <c r="AA384" i="7"/>
  <c r="Z384" i="7"/>
  <c r="Y384" i="7"/>
  <c r="X384" i="7"/>
  <c r="W384" i="7"/>
  <c r="V384" i="7"/>
  <c r="U384" i="7"/>
  <c r="T384" i="7"/>
  <c r="S384" i="7"/>
  <c r="R384" i="7"/>
  <c r="Q384" i="7"/>
  <c r="P384" i="7"/>
  <c r="O384" i="7"/>
  <c r="N384" i="7"/>
  <c r="M384" i="7"/>
  <c r="L384" i="7"/>
  <c r="K384" i="7"/>
  <c r="J384" i="7"/>
  <c r="I384" i="7"/>
  <c r="H384" i="7"/>
  <c r="G384" i="7"/>
  <c r="F384" i="7"/>
  <c r="E384" i="7"/>
  <c r="D384" i="7"/>
  <c r="C384" i="7"/>
  <c r="B384" i="7"/>
  <c r="A384" i="7"/>
  <c r="AJ383" i="7"/>
  <c r="AI383" i="7"/>
  <c r="AH383" i="7"/>
  <c r="AG383" i="7"/>
  <c r="AF383" i="7"/>
  <c r="AE383" i="7"/>
  <c r="AD383" i="7"/>
  <c r="AQ383" i="7" s="1"/>
  <c r="AC383" i="7"/>
  <c r="AN383" i="7" s="1"/>
  <c r="AB383" i="7"/>
  <c r="AA383"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AJ382" i="7"/>
  <c r="AI382" i="7"/>
  <c r="AH382" i="7"/>
  <c r="AG382" i="7"/>
  <c r="AF382" i="7"/>
  <c r="AE382" i="7"/>
  <c r="AD382" i="7"/>
  <c r="AQ382" i="7" s="1"/>
  <c r="AC382" i="7"/>
  <c r="AN382" i="7" s="1"/>
  <c r="AB382" i="7"/>
  <c r="AA382"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AJ381" i="7"/>
  <c r="AI381" i="7"/>
  <c r="AH381" i="7"/>
  <c r="AG381" i="7"/>
  <c r="AF381" i="7"/>
  <c r="AE381" i="7"/>
  <c r="AD381" i="7"/>
  <c r="AQ381" i="7" s="1"/>
  <c r="AC381" i="7"/>
  <c r="AN381" i="7" s="1"/>
  <c r="AB381" i="7"/>
  <c r="AA381" i="7"/>
  <c r="Z381" i="7"/>
  <c r="Y381" i="7"/>
  <c r="X381" i="7"/>
  <c r="W381" i="7"/>
  <c r="V381" i="7"/>
  <c r="U381" i="7"/>
  <c r="T381" i="7"/>
  <c r="S381" i="7"/>
  <c r="R381" i="7"/>
  <c r="Q381" i="7"/>
  <c r="P381" i="7"/>
  <c r="O381" i="7"/>
  <c r="N381" i="7"/>
  <c r="M381" i="7"/>
  <c r="L381" i="7"/>
  <c r="K381" i="7"/>
  <c r="J381" i="7"/>
  <c r="I381" i="7"/>
  <c r="H381" i="7"/>
  <c r="G381" i="7"/>
  <c r="F381" i="7"/>
  <c r="E381" i="7"/>
  <c r="D381" i="7"/>
  <c r="C381" i="7"/>
  <c r="B381" i="7"/>
  <c r="A381" i="7"/>
  <c r="AJ380" i="7"/>
  <c r="AI380" i="7"/>
  <c r="AH380" i="7"/>
  <c r="AG380" i="7"/>
  <c r="AF380" i="7"/>
  <c r="AE380" i="7"/>
  <c r="AD380" i="7"/>
  <c r="AQ380" i="7" s="1"/>
  <c r="AC380" i="7"/>
  <c r="AN380" i="7" s="1"/>
  <c r="AB380" i="7"/>
  <c r="AA380" i="7"/>
  <c r="Z380" i="7"/>
  <c r="Y380" i="7"/>
  <c r="X380" i="7"/>
  <c r="W380" i="7"/>
  <c r="V380" i="7"/>
  <c r="U380" i="7"/>
  <c r="T380" i="7"/>
  <c r="S380" i="7"/>
  <c r="R380" i="7"/>
  <c r="Q380" i="7"/>
  <c r="P380" i="7"/>
  <c r="O380" i="7"/>
  <c r="N380" i="7"/>
  <c r="M380" i="7"/>
  <c r="L380" i="7"/>
  <c r="K380" i="7"/>
  <c r="J380" i="7"/>
  <c r="I380" i="7"/>
  <c r="H380" i="7"/>
  <c r="G380" i="7"/>
  <c r="F380" i="7"/>
  <c r="E380" i="7"/>
  <c r="D380" i="7"/>
  <c r="C380" i="7"/>
  <c r="B380" i="7"/>
  <c r="A380" i="7"/>
  <c r="AJ379" i="7"/>
  <c r="AI379" i="7"/>
  <c r="AH379" i="7"/>
  <c r="AG379" i="7"/>
  <c r="AF379" i="7"/>
  <c r="AE379" i="7"/>
  <c r="AD379" i="7"/>
  <c r="AQ379" i="7" s="1"/>
  <c r="AC379" i="7"/>
  <c r="AN379" i="7" s="1"/>
  <c r="AB379" i="7"/>
  <c r="AA379"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AJ378" i="7"/>
  <c r="AI378" i="7"/>
  <c r="AH378" i="7"/>
  <c r="AG378" i="7"/>
  <c r="AF378" i="7"/>
  <c r="AE378" i="7"/>
  <c r="AD378" i="7"/>
  <c r="AQ378" i="7" s="1"/>
  <c r="AC378" i="7"/>
  <c r="AN378" i="7" s="1"/>
  <c r="AB378" i="7"/>
  <c r="AA378"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AJ377" i="7"/>
  <c r="AI377" i="7"/>
  <c r="AH377" i="7"/>
  <c r="AG377" i="7"/>
  <c r="AF377" i="7"/>
  <c r="AE377" i="7"/>
  <c r="AD377" i="7"/>
  <c r="AQ377" i="7" s="1"/>
  <c r="AC377" i="7"/>
  <c r="AN377" i="7" s="1"/>
  <c r="AB377" i="7"/>
  <c r="AA377" i="7"/>
  <c r="Z377" i="7"/>
  <c r="Y377" i="7"/>
  <c r="X377" i="7"/>
  <c r="W377" i="7"/>
  <c r="V377" i="7"/>
  <c r="U377" i="7"/>
  <c r="T377" i="7"/>
  <c r="S377" i="7"/>
  <c r="R377" i="7"/>
  <c r="Q377" i="7"/>
  <c r="P377" i="7"/>
  <c r="O377" i="7"/>
  <c r="N377" i="7"/>
  <c r="M377" i="7"/>
  <c r="L377" i="7"/>
  <c r="K377" i="7"/>
  <c r="J377" i="7"/>
  <c r="I377" i="7"/>
  <c r="H377" i="7"/>
  <c r="G377" i="7"/>
  <c r="F377" i="7"/>
  <c r="E377" i="7"/>
  <c r="D377" i="7"/>
  <c r="C377" i="7"/>
  <c r="B377" i="7"/>
  <c r="A377" i="7"/>
  <c r="AJ376" i="7"/>
  <c r="AI376" i="7"/>
  <c r="AH376" i="7"/>
  <c r="AG376" i="7"/>
  <c r="AF376" i="7"/>
  <c r="AE376" i="7"/>
  <c r="AD376" i="7"/>
  <c r="AQ376" i="7" s="1"/>
  <c r="AC376" i="7"/>
  <c r="AN376" i="7" s="1"/>
  <c r="AB376" i="7"/>
  <c r="AA376" i="7"/>
  <c r="Z376" i="7"/>
  <c r="Y376" i="7"/>
  <c r="X376" i="7"/>
  <c r="W376" i="7"/>
  <c r="V376" i="7"/>
  <c r="AO376" i="7" s="1"/>
  <c r="U376" i="7"/>
  <c r="T376" i="7"/>
  <c r="S376" i="7"/>
  <c r="R376" i="7"/>
  <c r="Q376" i="7"/>
  <c r="P376" i="7"/>
  <c r="O376" i="7"/>
  <c r="N376" i="7"/>
  <c r="M376" i="7"/>
  <c r="L376" i="7"/>
  <c r="K376" i="7"/>
  <c r="J376" i="7"/>
  <c r="I376" i="7"/>
  <c r="H376" i="7"/>
  <c r="G376" i="7"/>
  <c r="F376" i="7"/>
  <c r="E376" i="7"/>
  <c r="D376" i="7"/>
  <c r="C376" i="7"/>
  <c r="B376" i="7"/>
  <c r="A376" i="7"/>
  <c r="AJ375" i="7"/>
  <c r="AI375" i="7"/>
  <c r="AH375" i="7"/>
  <c r="AG375" i="7"/>
  <c r="AF375" i="7"/>
  <c r="AE375" i="7"/>
  <c r="AD375" i="7"/>
  <c r="AQ375" i="7" s="1"/>
  <c r="AC375" i="7"/>
  <c r="AN375" i="7" s="1"/>
  <c r="AB375" i="7"/>
  <c r="AA375"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AJ374" i="7"/>
  <c r="AI374" i="7"/>
  <c r="AH374" i="7"/>
  <c r="AG374" i="7"/>
  <c r="AF374" i="7"/>
  <c r="AE374" i="7"/>
  <c r="AD374" i="7"/>
  <c r="AQ374" i="7" s="1"/>
  <c r="AC374" i="7"/>
  <c r="AN374" i="7" s="1"/>
  <c r="AB374" i="7"/>
  <c r="AA374" i="7"/>
  <c r="Z374" i="7"/>
  <c r="Y374" i="7"/>
  <c r="X374" i="7"/>
  <c r="W374" i="7"/>
  <c r="V374" i="7"/>
  <c r="AO374" i="7" s="1"/>
  <c r="U374" i="7"/>
  <c r="T374" i="7"/>
  <c r="S374" i="7"/>
  <c r="R374" i="7"/>
  <c r="Q374" i="7"/>
  <c r="P374" i="7"/>
  <c r="O374" i="7"/>
  <c r="N374" i="7"/>
  <c r="M374" i="7"/>
  <c r="L374" i="7"/>
  <c r="K374" i="7"/>
  <c r="J374" i="7"/>
  <c r="I374" i="7"/>
  <c r="H374" i="7"/>
  <c r="G374" i="7"/>
  <c r="F374" i="7"/>
  <c r="E374" i="7"/>
  <c r="D374" i="7"/>
  <c r="C374" i="7"/>
  <c r="B374" i="7"/>
  <c r="A374" i="7"/>
  <c r="AJ373" i="7"/>
  <c r="AI373" i="7"/>
  <c r="AH373" i="7"/>
  <c r="AG373" i="7"/>
  <c r="AF373" i="7"/>
  <c r="AE373" i="7"/>
  <c r="AD373" i="7"/>
  <c r="AQ373" i="7" s="1"/>
  <c r="AC373" i="7"/>
  <c r="AN373" i="7" s="1"/>
  <c r="AB373" i="7"/>
  <c r="AA373" i="7"/>
  <c r="Z373" i="7"/>
  <c r="Y373" i="7"/>
  <c r="X373" i="7"/>
  <c r="W373" i="7"/>
  <c r="V373" i="7"/>
  <c r="U373" i="7"/>
  <c r="T373" i="7"/>
  <c r="S373" i="7"/>
  <c r="R373" i="7"/>
  <c r="Q373" i="7"/>
  <c r="P373" i="7"/>
  <c r="O373" i="7"/>
  <c r="N373" i="7"/>
  <c r="M373" i="7"/>
  <c r="L373" i="7"/>
  <c r="K373" i="7"/>
  <c r="J373" i="7"/>
  <c r="I373" i="7"/>
  <c r="H373" i="7"/>
  <c r="G373" i="7"/>
  <c r="F373" i="7"/>
  <c r="E373" i="7"/>
  <c r="D373" i="7"/>
  <c r="C373" i="7"/>
  <c r="B373" i="7"/>
  <c r="A373" i="7"/>
  <c r="AJ372" i="7"/>
  <c r="AI372" i="7"/>
  <c r="AH372" i="7"/>
  <c r="AG372" i="7"/>
  <c r="AF372" i="7"/>
  <c r="AE372" i="7"/>
  <c r="AD372" i="7"/>
  <c r="AQ372" i="7" s="1"/>
  <c r="AC372" i="7"/>
  <c r="AN372" i="7" s="1"/>
  <c r="AB372" i="7"/>
  <c r="AA372" i="7"/>
  <c r="Z372" i="7"/>
  <c r="Y372" i="7"/>
  <c r="X372" i="7"/>
  <c r="W372" i="7"/>
  <c r="V372" i="7"/>
  <c r="U372" i="7"/>
  <c r="T372" i="7"/>
  <c r="S372" i="7"/>
  <c r="R372" i="7"/>
  <c r="Q372" i="7"/>
  <c r="P372" i="7"/>
  <c r="O372" i="7"/>
  <c r="N372" i="7"/>
  <c r="M372" i="7"/>
  <c r="L372" i="7"/>
  <c r="K372" i="7"/>
  <c r="J372" i="7"/>
  <c r="I372" i="7"/>
  <c r="H372" i="7"/>
  <c r="G372" i="7"/>
  <c r="F372" i="7"/>
  <c r="E372" i="7"/>
  <c r="D372" i="7"/>
  <c r="C372" i="7"/>
  <c r="B372" i="7"/>
  <c r="A372" i="7"/>
  <c r="AJ371" i="7"/>
  <c r="AI371" i="7"/>
  <c r="AH371" i="7"/>
  <c r="AG371" i="7"/>
  <c r="AF371" i="7"/>
  <c r="AE371" i="7"/>
  <c r="AD371" i="7"/>
  <c r="AQ371" i="7" s="1"/>
  <c r="AC371" i="7"/>
  <c r="AN371" i="7" s="1"/>
  <c r="AB371" i="7"/>
  <c r="AA371"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AJ370" i="7"/>
  <c r="AI370" i="7"/>
  <c r="AH370" i="7"/>
  <c r="AG370" i="7"/>
  <c r="AF370" i="7"/>
  <c r="AE370" i="7"/>
  <c r="AD370" i="7"/>
  <c r="AQ370" i="7" s="1"/>
  <c r="AC370" i="7"/>
  <c r="AN370" i="7" s="1"/>
  <c r="AB370" i="7"/>
  <c r="AA370" i="7"/>
  <c r="Z370" i="7"/>
  <c r="Y370" i="7"/>
  <c r="X370" i="7"/>
  <c r="W370" i="7"/>
  <c r="V370" i="7"/>
  <c r="AO370" i="7" s="1"/>
  <c r="U370" i="7"/>
  <c r="T370" i="7"/>
  <c r="S370" i="7"/>
  <c r="R370" i="7"/>
  <c r="Q370" i="7"/>
  <c r="P370" i="7"/>
  <c r="O370" i="7"/>
  <c r="N370" i="7"/>
  <c r="M370" i="7"/>
  <c r="L370" i="7"/>
  <c r="K370" i="7"/>
  <c r="J370" i="7"/>
  <c r="I370" i="7"/>
  <c r="H370" i="7"/>
  <c r="G370" i="7"/>
  <c r="F370" i="7"/>
  <c r="E370" i="7"/>
  <c r="D370" i="7"/>
  <c r="C370" i="7"/>
  <c r="B370" i="7"/>
  <c r="A370" i="7"/>
  <c r="AJ369" i="7"/>
  <c r="AI369" i="7"/>
  <c r="AH369" i="7"/>
  <c r="AG369" i="7"/>
  <c r="AF369" i="7"/>
  <c r="AE369" i="7"/>
  <c r="AD369" i="7"/>
  <c r="AQ369" i="7" s="1"/>
  <c r="AC369" i="7"/>
  <c r="AN369" i="7" s="1"/>
  <c r="AB369" i="7"/>
  <c r="AA369" i="7"/>
  <c r="Z369" i="7"/>
  <c r="Y369" i="7"/>
  <c r="X369" i="7"/>
  <c r="W369" i="7"/>
  <c r="V369" i="7"/>
  <c r="U369" i="7"/>
  <c r="T369" i="7"/>
  <c r="S369" i="7"/>
  <c r="R369" i="7"/>
  <c r="Q369" i="7"/>
  <c r="P369" i="7"/>
  <c r="O369" i="7"/>
  <c r="N369" i="7"/>
  <c r="M369" i="7"/>
  <c r="L369" i="7"/>
  <c r="K369" i="7"/>
  <c r="J369" i="7"/>
  <c r="I369" i="7"/>
  <c r="H369" i="7"/>
  <c r="G369" i="7"/>
  <c r="F369" i="7"/>
  <c r="E369" i="7"/>
  <c r="D369" i="7"/>
  <c r="C369" i="7"/>
  <c r="B369" i="7"/>
  <c r="A369" i="7"/>
  <c r="AJ368" i="7"/>
  <c r="AI368" i="7"/>
  <c r="AH368" i="7"/>
  <c r="AG368" i="7"/>
  <c r="AF368" i="7"/>
  <c r="AE368" i="7"/>
  <c r="AD368" i="7"/>
  <c r="AQ368" i="7" s="1"/>
  <c r="AC368" i="7"/>
  <c r="AN368" i="7" s="1"/>
  <c r="AB368" i="7"/>
  <c r="AA368" i="7"/>
  <c r="Z368" i="7"/>
  <c r="Y368" i="7"/>
  <c r="X368" i="7"/>
  <c r="W368" i="7"/>
  <c r="V368" i="7"/>
  <c r="AO368" i="7" s="1"/>
  <c r="U368" i="7"/>
  <c r="T368" i="7"/>
  <c r="S368" i="7"/>
  <c r="R368" i="7"/>
  <c r="Q368" i="7"/>
  <c r="P368" i="7"/>
  <c r="O368" i="7"/>
  <c r="N368" i="7"/>
  <c r="M368" i="7"/>
  <c r="L368" i="7"/>
  <c r="K368" i="7"/>
  <c r="J368" i="7"/>
  <c r="I368" i="7"/>
  <c r="H368" i="7"/>
  <c r="G368" i="7"/>
  <c r="F368" i="7"/>
  <c r="E368" i="7"/>
  <c r="D368" i="7"/>
  <c r="C368" i="7"/>
  <c r="B368" i="7"/>
  <c r="A368" i="7"/>
  <c r="AJ367" i="7"/>
  <c r="AI367" i="7"/>
  <c r="AH367" i="7"/>
  <c r="AG367" i="7"/>
  <c r="AF367" i="7"/>
  <c r="AE367" i="7"/>
  <c r="AD367" i="7"/>
  <c r="AQ367" i="7" s="1"/>
  <c r="AC367" i="7"/>
  <c r="AN367" i="7" s="1"/>
  <c r="AB367" i="7"/>
  <c r="AA367"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AJ366" i="7"/>
  <c r="AI366" i="7"/>
  <c r="AH366" i="7"/>
  <c r="AG366" i="7"/>
  <c r="AF366" i="7"/>
  <c r="AE366" i="7"/>
  <c r="AD366" i="7"/>
  <c r="AQ366" i="7" s="1"/>
  <c r="AC366" i="7"/>
  <c r="AN366" i="7" s="1"/>
  <c r="AB366" i="7"/>
  <c r="AA366"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AJ365" i="7"/>
  <c r="AI365" i="7"/>
  <c r="AH365" i="7"/>
  <c r="AG365" i="7"/>
  <c r="AF365" i="7"/>
  <c r="AE365" i="7"/>
  <c r="AD365" i="7"/>
  <c r="AQ365" i="7" s="1"/>
  <c r="AC365" i="7"/>
  <c r="AN365" i="7" s="1"/>
  <c r="AB365" i="7"/>
  <c r="AA365" i="7"/>
  <c r="Z365" i="7"/>
  <c r="Y365" i="7"/>
  <c r="X365" i="7"/>
  <c r="W365" i="7"/>
  <c r="V365" i="7"/>
  <c r="U365" i="7"/>
  <c r="T365" i="7"/>
  <c r="S365" i="7"/>
  <c r="R365" i="7"/>
  <c r="Q365" i="7"/>
  <c r="P365" i="7"/>
  <c r="O365" i="7"/>
  <c r="N365" i="7"/>
  <c r="M365" i="7"/>
  <c r="L365" i="7"/>
  <c r="K365" i="7"/>
  <c r="J365" i="7"/>
  <c r="I365" i="7"/>
  <c r="H365" i="7"/>
  <c r="G365" i="7"/>
  <c r="F365" i="7"/>
  <c r="E365" i="7"/>
  <c r="D365" i="7"/>
  <c r="C365" i="7"/>
  <c r="B365" i="7"/>
  <c r="A365" i="7"/>
  <c r="AJ364" i="7"/>
  <c r="AI364" i="7"/>
  <c r="AH364" i="7"/>
  <c r="AG364" i="7"/>
  <c r="AF364" i="7"/>
  <c r="AE364" i="7"/>
  <c r="AD364" i="7"/>
  <c r="AQ364" i="7" s="1"/>
  <c r="AC364" i="7"/>
  <c r="AN364" i="7" s="1"/>
  <c r="AB364" i="7"/>
  <c r="AA364" i="7"/>
  <c r="Z364" i="7"/>
  <c r="Y364" i="7"/>
  <c r="X364" i="7"/>
  <c r="W364" i="7"/>
  <c r="V364" i="7"/>
  <c r="U364" i="7"/>
  <c r="T364" i="7"/>
  <c r="S364" i="7"/>
  <c r="R364" i="7"/>
  <c r="Q364" i="7"/>
  <c r="P364" i="7"/>
  <c r="O364" i="7"/>
  <c r="N364" i="7"/>
  <c r="M364" i="7"/>
  <c r="L364" i="7"/>
  <c r="K364" i="7"/>
  <c r="J364" i="7"/>
  <c r="I364" i="7"/>
  <c r="H364" i="7"/>
  <c r="G364" i="7"/>
  <c r="F364" i="7"/>
  <c r="E364" i="7"/>
  <c r="D364" i="7"/>
  <c r="C364" i="7"/>
  <c r="B364" i="7"/>
  <c r="A364" i="7"/>
  <c r="AJ363" i="7"/>
  <c r="AI363" i="7"/>
  <c r="AH363" i="7"/>
  <c r="AG363" i="7"/>
  <c r="AF363" i="7"/>
  <c r="AE363" i="7"/>
  <c r="AD363" i="7"/>
  <c r="AQ363" i="7" s="1"/>
  <c r="AC363" i="7"/>
  <c r="AN363" i="7" s="1"/>
  <c r="AB363" i="7"/>
  <c r="AA363"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AJ362" i="7"/>
  <c r="AI362" i="7"/>
  <c r="AH362" i="7"/>
  <c r="AG362" i="7"/>
  <c r="AF362" i="7"/>
  <c r="AE362" i="7"/>
  <c r="AD362" i="7"/>
  <c r="AQ362" i="7" s="1"/>
  <c r="AC362" i="7"/>
  <c r="AN362" i="7" s="1"/>
  <c r="AB362" i="7"/>
  <c r="AA362"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AJ361" i="7"/>
  <c r="AI361" i="7"/>
  <c r="AH361" i="7"/>
  <c r="AG361" i="7"/>
  <c r="AF361" i="7"/>
  <c r="AE361" i="7"/>
  <c r="AD361" i="7"/>
  <c r="AQ361" i="7" s="1"/>
  <c r="AC361" i="7"/>
  <c r="AN361" i="7" s="1"/>
  <c r="AB361" i="7"/>
  <c r="AA361" i="7"/>
  <c r="Z361" i="7"/>
  <c r="Y361" i="7"/>
  <c r="X361" i="7"/>
  <c r="W361" i="7"/>
  <c r="V361" i="7"/>
  <c r="U361" i="7"/>
  <c r="T361" i="7"/>
  <c r="S361" i="7"/>
  <c r="R361" i="7"/>
  <c r="Q361" i="7"/>
  <c r="P361" i="7"/>
  <c r="O361" i="7"/>
  <c r="N361" i="7"/>
  <c r="M361" i="7"/>
  <c r="L361" i="7"/>
  <c r="K361" i="7"/>
  <c r="J361" i="7"/>
  <c r="I361" i="7"/>
  <c r="H361" i="7"/>
  <c r="G361" i="7"/>
  <c r="F361" i="7"/>
  <c r="E361" i="7"/>
  <c r="D361" i="7"/>
  <c r="C361" i="7"/>
  <c r="B361" i="7"/>
  <c r="A361" i="7"/>
  <c r="AJ360" i="7"/>
  <c r="AI360" i="7"/>
  <c r="AH360" i="7"/>
  <c r="AG360" i="7"/>
  <c r="AF360" i="7"/>
  <c r="AE360" i="7"/>
  <c r="AD360" i="7"/>
  <c r="AQ360" i="7" s="1"/>
  <c r="AC360" i="7"/>
  <c r="AN360" i="7" s="1"/>
  <c r="AB360" i="7"/>
  <c r="AA360" i="7"/>
  <c r="Z360" i="7"/>
  <c r="Y360" i="7"/>
  <c r="X360" i="7"/>
  <c r="W360" i="7"/>
  <c r="V360" i="7"/>
  <c r="AO360" i="7" s="1"/>
  <c r="U360" i="7"/>
  <c r="T360" i="7"/>
  <c r="S360" i="7"/>
  <c r="R360" i="7"/>
  <c r="Q360" i="7"/>
  <c r="P360" i="7"/>
  <c r="O360" i="7"/>
  <c r="N360" i="7"/>
  <c r="M360" i="7"/>
  <c r="L360" i="7"/>
  <c r="K360" i="7"/>
  <c r="J360" i="7"/>
  <c r="I360" i="7"/>
  <c r="H360" i="7"/>
  <c r="G360" i="7"/>
  <c r="F360" i="7"/>
  <c r="E360" i="7"/>
  <c r="D360" i="7"/>
  <c r="C360" i="7"/>
  <c r="B360" i="7"/>
  <c r="A360" i="7"/>
  <c r="AJ359" i="7"/>
  <c r="AI359" i="7"/>
  <c r="AH359" i="7"/>
  <c r="AG359" i="7"/>
  <c r="AF359" i="7"/>
  <c r="AE359" i="7"/>
  <c r="AD359" i="7"/>
  <c r="AQ359" i="7" s="1"/>
  <c r="AC359" i="7"/>
  <c r="AN359" i="7" s="1"/>
  <c r="AB359" i="7"/>
  <c r="AA359"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AJ358" i="7"/>
  <c r="AI358" i="7"/>
  <c r="AH358" i="7"/>
  <c r="AG358" i="7"/>
  <c r="AF358" i="7"/>
  <c r="AE358" i="7"/>
  <c r="AD358" i="7"/>
  <c r="AQ358" i="7" s="1"/>
  <c r="AC358" i="7"/>
  <c r="AN358" i="7" s="1"/>
  <c r="AB358" i="7"/>
  <c r="AA358" i="7"/>
  <c r="Z358" i="7"/>
  <c r="Y358" i="7"/>
  <c r="X358" i="7"/>
  <c r="W358" i="7"/>
  <c r="V358" i="7"/>
  <c r="AO358" i="7" s="1"/>
  <c r="U358" i="7"/>
  <c r="T358" i="7"/>
  <c r="S358" i="7"/>
  <c r="R358" i="7"/>
  <c r="Q358" i="7"/>
  <c r="P358" i="7"/>
  <c r="O358" i="7"/>
  <c r="N358" i="7"/>
  <c r="M358" i="7"/>
  <c r="L358" i="7"/>
  <c r="K358" i="7"/>
  <c r="J358" i="7"/>
  <c r="I358" i="7"/>
  <c r="H358" i="7"/>
  <c r="G358" i="7"/>
  <c r="F358" i="7"/>
  <c r="E358" i="7"/>
  <c r="D358" i="7"/>
  <c r="C358" i="7"/>
  <c r="B358" i="7"/>
  <c r="A358" i="7"/>
  <c r="AJ357" i="7"/>
  <c r="AI357" i="7"/>
  <c r="AH357" i="7"/>
  <c r="AG357" i="7"/>
  <c r="AF357" i="7"/>
  <c r="AE357" i="7"/>
  <c r="AD357" i="7"/>
  <c r="AQ357" i="7" s="1"/>
  <c r="AC357" i="7"/>
  <c r="AN357" i="7" s="1"/>
  <c r="AB357" i="7"/>
  <c r="AA357" i="7"/>
  <c r="Z357" i="7"/>
  <c r="Y357" i="7"/>
  <c r="X357" i="7"/>
  <c r="W357" i="7"/>
  <c r="V357" i="7"/>
  <c r="U357" i="7"/>
  <c r="T357" i="7"/>
  <c r="S357" i="7"/>
  <c r="R357" i="7"/>
  <c r="Q357" i="7"/>
  <c r="P357" i="7"/>
  <c r="O357" i="7"/>
  <c r="N357" i="7"/>
  <c r="M357" i="7"/>
  <c r="L357" i="7"/>
  <c r="K357" i="7"/>
  <c r="J357" i="7"/>
  <c r="I357" i="7"/>
  <c r="H357" i="7"/>
  <c r="G357" i="7"/>
  <c r="F357" i="7"/>
  <c r="E357" i="7"/>
  <c r="D357" i="7"/>
  <c r="C357" i="7"/>
  <c r="B357" i="7"/>
  <c r="A357" i="7"/>
  <c r="AJ356" i="7"/>
  <c r="AI356" i="7"/>
  <c r="AH356" i="7"/>
  <c r="AG356" i="7"/>
  <c r="AF356" i="7"/>
  <c r="AE356" i="7"/>
  <c r="AD356" i="7"/>
  <c r="AQ356" i="7" s="1"/>
  <c r="AC356" i="7"/>
  <c r="AN356" i="7" s="1"/>
  <c r="AB356" i="7"/>
  <c r="AA356" i="7"/>
  <c r="Z356" i="7"/>
  <c r="Y356" i="7"/>
  <c r="X356" i="7"/>
  <c r="W356" i="7"/>
  <c r="V356" i="7"/>
  <c r="U356" i="7"/>
  <c r="T356" i="7"/>
  <c r="S356" i="7"/>
  <c r="R356" i="7"/>
  <c r="Q356" i="7"/>
  <c r="P356" i="7"/>
  <c r="O356" i="7"/>
  <c r="N356" i="7"/>
  <c r="M356" i="7"/>
  <c r="L356" i="7"/>
  <c r="K356" i="7"/>
  <c r="J356" i="7"/>
  <c r="I356" i="7"/>
  <c r="H356" i="7"/>
  <c r="G356" i="7"/>
  <c r="F356" i="7"/>
  <c r="E356" i="7"/>
  <c r="D356" i="7"/>
  <c r="C356" i="7"/>
  <c r="B356" i="7"/>
  <c r="A356" i="7"/>
  <c r="AJ355" i="7"/>
  <c r="AI355" i="7"/>
  <c r="AH355" i="7"/>
  <c r="AG355" i="7"/>
  <c r="AF355" i="7"/>
  <c r="AE355" i="7"/>
  <c r="AD355" i="7"/>
  <c r="AQ355" i="7" s="1"/>
  <c r="AC355" i="7"/>
  <c r="AN355" i="7" s="1"/>
  <c r="AB355" i="7"/>
  <c r="AA355"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AJ354" i="7"/>
  <c r="AI354" i="7"/>
  <c r="AH354" i="7"/>
  <c r="AG354" i="7"/>
  <c r="AF354" i="7"/>
  <c r="AE354" i="7"/>
  <c r="AD354" i="7"/>
  <c r="AQ354" i="7" s="1"/>
  <c r="AC354" i="7"/>
  <c r="AN354" i="7" s="1"/>
  <c r="AB354" i="7"/>
  <c r="AA354"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AJ353" i="7"/>
  <c r="AI353" i="7"/>
  <c r="AH353" i="7"/>
  <c r="AG353" i="7"/>
  <c r="AF353" i="7"/>
  <c r="AE353" i="7"/>
  <c r="AD353" i="7"/>
  <c r="AQ353" i="7" s="1"/>
  <c r="AC353" i="7"/>
  <c r="AN353" i="7" s="1"/>
  <c r="AB353" i="7"/>
  <c r="AA353" i="7"/>
  <c r="Z353" i="7"/>
  <c r="Y353" i="7"/>
  <c r="X353" i="7"/>
  <c r="W353" i="7"/>
  <c r="V353" i="7"/>
  <c r="U353" i="7"/>
  <c r="T353" i="7"/>
  <c r="S353" i="7"/>
  <c r="R353" i="7"/>
  <c r="Q353" i="7"/>
  <c r="P353" i="7"/>
  <c r="O353" i="7"/>
  <c r="N353" i="7"/>
  <c r="M353" i="7"/>
  <c r="L353" i="7"/>
  <c r="K353" i="7"/>
  <c r="J353" i="7"/>
  <c r="I353" i="7"/>
  <c r="H353" i="7"/>
  <c r="G353" i="7"/>
  <c r="F353" i="7"/>
  <c r="E353" i="7"/>
  <c r="D353" i="7"/>
  <c r="C353" i="7"/>
  <c r="B353" i="7"/>
  <c r="A353" i="7"/>
  <c r="AJ352" i="7"/>
  <c r="AI352" i="7"/>
  <c r="AH352" i="7"/>
  <c r="AG352" i="7"/>
  <c r="AF352" i="7"/>
  <c r="AE352" i="7"/>
  <c r="AD352" i="7"/>
  <c r="AQ352" i="7" s="1"/>
  <c r="AC352" i="7"/>
  <c r="AN352" i="7" s="1"/>
  <c r="AB352" i="7"/>
  <c r="AA352" i="7"/>
  <c r="Z352" i="7"/>
  <c r="Y352" i="7"/>
  <c r="X352" i="7"/>
  <c r="W352" i="7"/>
  <c r="V352" i="7"/>
  <c r="U352" i="7"/>
  <c r="T352" i="7"/>
  <c r="S352" i="7"/>
  <c r="R352" i="7"/>
  <c r="Q352" i="7"/>
  <c r="P352" i="7"/>
  <c r="O352" i="7"/>
  <c r="N352" i="7"/>
  <c r="M352" i="7"/>
  <c r="L352" i="7"/>
  <c r="K352" i="7"/>
  <c r="J352" i="7"/>
  <c r="I352" i="7"/>
  <c r="H352" i="7"/>
  <c r="G352" i="7"/>
  <c r="F352" i="7"/>
  <c r="E352" i="7"/>
  <c r="D352" i="7"/>
  <c r="C352" i="7"/>
  <c r="B352" i="7"/>
  <c r="A352" i="7"/>
  <c r="AJ351" i="7"/>
  <c r="AI351" i="7"/>
  <c r="AH351" i="7"/>
  <c r="AG351" i="7"/>
  <c r="AF351" i="7"/>
  <c r="AE351" i="7"/>
  <c r="AD351" i="7"/>
  <c r="AQ351" i="7" s="1"/>
  <c r="AC351" i="7"/>
  <c r="AN351" i="7" s="1"/>
  <c r="AB351" i="7"/>
  <c r="AA351"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AJ350" i="7"/>
  <c r="AI350" i="7"/>
  <c r="AH350" i="7"/>
  <c r="AG350" i="7"/>
  <c r="AF350" i="7"/>
  <c r="AE350" i="7"/>
  <c r="AD350" i="7"/>
  <c r="AQ350" i="7" s="1"/>
  <c r="AC350" i="7"/>
  <c r="AN350" i="7" s="1"/>
  <c r="AB350" i="7"/>
  <c r="AA350"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AJ349" i="7"/>
  <c r="AI349" i="7"/>
  <c r="AH349" i="7"/>
  <c r="AG349" i="7"/>
  <c r="AF349" i="7"/>
  <c r="AE349" i="7"/>
  <c r="AD349" i="7"/>
  <c r="AQ349" i="7" s="1"/>
  <c r="AC349" i="7"/>
  <c r="AN349" i="7" s="1"/>
  <c r="AB349" i="7"/>
  <c r="AA349" i="7"/>
  <c r="Z349" i="7"/>
  <c r="Y349" i="7"/>
  <c r="X349" i="7"/>
  <c r="W349" i="7"/>
  <c r="V349" i="7"/>
  <c r="U349" i="7"/>
  <c r="T349" i="7"/>
  <c r="S349" i="7"/>
  <c r="R349" i="7"/>
  <c r="Q349" i="7"/>
  <c r="P349" i="7"/>
  <c r="O349" i="7"/>
  <c r="N349" i="7"/>
  <c r="M349" i="7"/>
  <c r="L349" i="7"/>
  <c r="K349" i="7"/>
  <c r="J349" i="7"/>
  <c r="I349" i="7"/>
  <c r="H349" i="7"/>
  <c r="G349" i="7"/>
  <c r="F349" i="7"/>
  <c r="E349" i="7"/>
  <c r="D349" i="7"/>
  <c r="C349" i="7"/>
  <c r="B349" i="7"/>
  <c r="A349" i="7"/>
  <c r="AJ348" i="7"/>
  <c r="AI348" i="7"/>
  <c r="AH348" i="7"/>
  <c r="AG348" i="7"/>
  <c r="AF348" i="7"/>
  <c r="AE348" i="7"/>
  <c r="AD348" i="7"/>
  <c r="AQ348" i="7" s="1"/>
  <c r="AC348" i="7"/>
  <c r="AN348" i="7" s="1"/>
  <c r="AB348" i="7"/>
  <c r="AA348" i="7"/>
  <c r="Z348" i="7"/>
  <c r="Y348" i="7"/>
  <c r="X348" i="7"/>
  <c r="W348" i="7"/>
  <c r="V348" i="7"/>
  <c r="U348" i="7"/>
  <c r="T348" i="7"/>
  <c r="S348" i="7"/>
  <c r="R348" i="7"/>
  <c r="Q348" i="7"/>
  <c r="P348" i="7"/>
  <c r="O348" i="7"/>
  <c r="N348" i="7"/>
  <c r="M348" i="7"/>
  <c r="L348" i="7"/>
  <c r="K348" i="7"/>
  <c r="J348" i="7"/>
  <c r="I348" i="7"/>
  <c r="H348" i="7"/>
  <c r="G348" i="7"/>
  <c r="F348" i="7"/>
  <c r="E348" i="7"/>
  <c r="D348" i="7"/>
  <c r="C348" i="7"/>
  <c r="B348" i="7"/>
  <c r="AK348" i="7" s="1"/>
  <c r="A348" i="7"/>
  <c r="AJ347" i="7"/>
  <c r="AI347" i="7"/>
  <c r="AH347" i="7"/>
  <c r="AG347" i="7"/>
  <c r="AF347" i="7"/>
  <c r="AE347" i="7"/>
  <c r="AD347" i="7"/>
  <c r="AQ347" i="7" s="1"/>
  <c r="AC347" i="7"/>
  <c r="AN347" i="7" s="1"/>
  <c r="AB347" i="7"/>
  <c r="AA347" i="7"/>
  <c r="Z347" i="7"/>
  <c r="AL347" i="7" s="1"/>
  <c r="Y347" i="7"/>
  <c r="X347" i="7"/>
  <c r="W347" i="7"/>
  <c r="V347" i="7"/>
  <c r="AO347" i="7" s="1"/>
  <c r="U347" i="7"/>
  <c r="T347" i="7"/>
  <c r="S347" i="7"/>
  <c r="R347" i="7"/>
  <c r="Q347" i="7"/>
  <c r="P347" i="7"/>
  <c r="O347" i="7"/>
  <c r="N347" i="7"/>
  <c r="M347" i="7"/>
  <c r="L347" i="7"/>
  <c r="K347" i="7"/>
  <c r="J347" i="7"/>
  <c r="I347" i="7"/>
  <c r="H347" i="7"/>
  <c r="G347" i="7"/>
  <c r="F347" i="7"/>
  <c r="E347" i="7"/>
  <c r="D347" i="7"/>
  <c r="C347" i="7"/>
  <c r="B347" i="7"/>
  <c r="A347" i="7"/>
  <c r="AJ346" i="7"/>
  <c r="AI346" i="7"/>
  <c r="AH346" i="7"/>
  <c r="AG346" i="7"/>
  <c r="AF346" i="7"/>
  <c r="AE346" i="7"/>
  <c r="AD346" i="7"/>
  <c r="AQ346" i="7" s="1"/>
  <c r="AC346" i="7"/>
  <c r="AN346" i="7" s="1"/>
  <c r="AB346" i="7"/>
  <c r="AA346"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AJ345" i="7"/>
  <c r="AI345" i="7"/>
  <c r="AH345" i="7"/>
  <c r="AG345" i="7"/>
  <c r="AF345" i="7"/>
  <c r="AE345" i="7"/>
  <c r="AD345" i="7"/>
  <c r="AQ345" i="7" s="1"/>
  <c r="AC345" i="7"/>
  <c r="AN345" i="7" s="1"/>
  <c r="AB345" i="7"/>
  <c r="AA345" i="7"/>
  <c r="Z345" i="7"/>
  <c r="Y345" i="7"/>
  <c r="X345" i="7"/>
  <c r="W345" i="7"/>
  <c r="V345" i="7"/>
  <c r="AO345" i="7" s="1"/>
  <c r="U345" i="7"/>
  <c r="T345" i="7"/>
  <c r="S345" i="7"/>
  <c r="R345" i="7"/>
  <c r="Q345" i="7"/>
  <c r="P345" i="7"/>
  <c r="O345" i="7"/>
  <c r="N345" i="7"/>
  <c r="M345" i="7"/>
  <c r="L345" i="7"/>
  <c r="K345" i="7"/>
  <c r="J345" i="7"/>
  <c r="I345" i="7"/>
  <c r="H345" i="7"/>
  <c r="G345" i="7"/>
  <c r="F345" i="7"/>
  <c r="E345" i="7"/>
  <c r="D345" i="7"/>
  <c r="C345" i="7"/>
  <c r="B345" i="7"/>
  <c r="A345" i="7"/>
  <c r="AJ344" i="7"/>
  <c r="AI344" i="7"/>
  <c r="AH344" i="7"/>
  <c r="AG344" i="7"/>
  <c r="AF344" i="7"/>
  <c r="AE344" i="7"/>
  <c r="AD344" i="7"/>
  <c r="AQ344" i="7" s="1"/>
  <c r="AC344" i="7"/>
  <c r="AN344" i="7" s="1"/>
  <c r="AB344" i="7"/>
  <c r="AA344" i="7"/>
  <c r="Z344" i="7"/>
  <c r="Y344" i="7"/>
  <c r="X344" i="7"/>
  <c r="W344" i="7"/>
  <c r="V344" i="7"/>
  <c r="AO344" i="7" s="1"/>
  <c r="U344" i="7"/>
  <c r="T344" i="7"/>
  <c r="S344" i="7"/>
  <c r="R344" i="7"/>
  <c r="Q344" i="7"/>
  <c r="P344" i="7"/>
  <c r="O344" i="7"/>
  <c r="N344" i="7"/>
  <c r="M344" i="7"/>
  <c r="L344" i="7"/>
  <c r="K344" i="7"/>
  <c r="J344" i="7"/>
  <c r="I344" i="7"/>
  <c r="H344" i="7"/>
  <c r="G344" i="7"/>
  <c r="F344" i="7"/>
  <c r="E344" i="7"/>
  <c r="D344" i="7"/>
  <c r="C344" i="7"/>
  <c r="B344" i="7"/>
  <c r="A344" i="7"/>
  <c r="AJ343" i="7"/>
  <c r="AI343" i="7"/>
  <c r="AH343" i="7"/>
  <c r="AG343" i="7"/>
  <c r="AF343" i="7"/>
  <c r="AE343" i="7"/>
  <c r="AD343" i="7"/>
  <c r="AQ343" i="7" s="1"/>
  <c r="AC343" i="7"/>
  <c r="AN343" i="7" s="1"/>
  <c r="AB343" i="7"/>
  <c r="AA343"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AJ342" i="7"/>
  <c r="AI342" i="7"/>
  <c r="AH342" i="7"/>
  <c r="AG342" i="7"/>
  <c r="AF342" i="7"/>
  <c r="AE342" i="7"/>
  <c r="AD342" i="7"/>
  <c r="AQ342" i="7" s="1"/>
  <c r="AC342" i="7"/>
  <c r="AN342" i="7" s="1"/>
  <c r="AB342" i="7"/>
  <c r="AA342" i="7"/>
  <c r="Z342" i="7"/>
  <c r="Y342" i="7"/>
  <c r="X342" i="7"/>
  <c r="W342" i="7"/>
  <c r="V342" i="7"/>
  <c r="AO342" i="7" s="1"/>
  <c r="U342" i="7"/>
  <c r="T342" i="7"/>
  <c r="S342" i="7"/>
  <c r="R342" i="7"/>
  <c r="Q342" i="7"/>
  <c r="P342" i="7"/>
  <c r="O342" i="7"/>
  <c r="N342" i="7"/>
  <c r="M342" i="7"/>
  <c r="L342" i="7"/>
  <c r="K342" i="7"/>
  <c r="J342" i="7"/>
  <c r="I342" i="7"/>
  <c r="H342" i="7"/>
  <c r="G342" i="7"/>
  <c r="F342" i="7"/>
  <c r="E342" i="7"/>
  <c r="D342" i="7"/>
  <c r="C342" i="7"/>
  <c r="B342" i="7"/>
  <c r="A342" i="7"/>
  <c r="AJ341" i="7"/>
  <c r="AI341" i="7"/>
  <c r="AH341" i="7"/>
  <c r="AG341" i="7"/>
  <c r="AF341" i="7"/>
  <c r="AE341" i="7"/>
  <c r="AD341" i="7"/>
  <c r="AQ341" i="7" s="1"/>
  <c r="AC341" i="7"/>
  <c r="AN341" i="7" s="1"/>
  <c r="AB341" i="7"/>
  <c r="AA341" i="7"/>
  <c r="Z341" i="7"/>
  <c r="Y341" i="7"/>
  <c r="X341" i="7"/>
  <c r="W341" i="7"/>
  <c r="V341" i="7"/>
  <c r="AO341" i="7" s="1"/>
  <c r="U341" i="7"/>
  <c r="T341" i="7"/>
  <c r="S341" i="7"/>
  <c r="R341" i="7"/>
  <c r="Q341" i="7"/>
  <c r="P341" i="7"/>
  <c r="O341" i="7"/>
  <c r="N341" i="7"/>
  <c r="M341" i="7"/>
  <c r="L341" i="7"/>
  <c r="K341" i="7"/>
  <c r="J341" i="7"/>
  <c r="I341" i="7"/>
  <c r="H341" i="7"/>
  <c r="G341" i="7"/>
  <c r="F341" i="7"/>
  <c r="E341" i="7"/>
  <c r="D341" i="7"/>
  <c r="C341" i="7"/>
  <c r="B341" i="7"/>
  <c r="A341" i="7"/>
  <c r="AJ340" i="7"/>
  <c r="AI340" i="7"/>
  <c r="AH340" i="7"/>
  <c r="AG340" i="7"/>
  <c r="AF340" i="7"/>
  <c r="AE340" i="7"/>
  <c r="AD340" i="7"/>
  <c r="AQ340" i="7" s="1"/>
  <c r="AC340" i="7"/>
  <c r="AN340" i="7" s="1"/>
  <c r="AB340" i="7"/>
  <c r="AA340" i="7"/>
  <c r="Z340" i="7"/>
  <c r="Y340" i="7"/>
  <c r="X340" i="7"/>
  <c r="W340" i="7"/>
  <c r="V340" i="7"/>
  <c r="U340" i="7"/>
  <c r="T340" i="7"/>
  <c r="S340" i="7"/>
  <c r="R340" i="7"/>
  <c r="Q340" i="7"/>
  <c r="P340" i="7"/>
  <c r="O340" i="7"/>
  <c r="N340" i="7"/>
  <c r="M340" i="7"/>
  <c r="L340" i="7"/>
  <c r="K340" i="7"/>
  <c r="J340" i="7"/>
  <c r="I340" i="7"/>
  <c r="H340" i="7"/>
  <c r="G340" i="7"/>
  <c r="F340" i="7"/>
  <c r="E340" i="7"/>
  <c r="D340" i="7"/>
  <c r="C340" i="7"/>
  <c r="B340" i="7"/>
  <c r="A340" i="7"/>
  <c r="AJ339" i="7"/>
  <c r="AI339" i="7"/>
  <c r="AH339" i="7"/>
  <c r="AG339" i="7"/>
  <c r="AF339" i="7"/>
  <c r="AE339" i="7"/>
  <c r="AD339" i="7"/>
  <c r="AQ339" i="7" s="1"/>
  <c r="AC339" i="7"/>
  <c r="AN339" i="7" s="1"/>
  <c r="AB339" i="7"/>
  <c r="AA339" i="7"/>
  <c r="Z339" i="7"/>
  <c r="Y339" i="7"/>
  <c r="X339" i="7"/>
  <c r="W339" i="7"/>
  <c r="V339" i="7"/>
  <c r="AO339" i="7" s="1"/>
  <c r="U339" i="7"/>
  <c r="T339" i="7"/>
  <c r="S339" i="7"/>
  <c r="R339" i="7"/>
  <c r="Q339" i="7"/>
  <c r="P339" i="7"/>
  <c r="O339" i="7"/>
  <c r="N339" i="7"/>
  <c r="M339" i="7"/>
  <c r="L339" i="7"/>
  <c r="K339" i="7"/>
  <c r="J339" i="7"/>
  <c r="I339" i="7"/>
  <c r="H339" i="7"/>
  <c r="G339" i="7"/>
  <c r="F339" i="7"/>
  <c r="E339" i="7"/>
  <c r="D339" i="7"/>
  <c r="C339" i="7"/>
  <c r="B339" i="7"/>
  <c r="A339" i="7"/>
  <c r="AJ338" i="7"/>
  <c r="AI338" i="7"/>
  <c r="AH338" i="7"/>
  <c r="AG338" i="7"/>
  <c r="AF338" i="7"/>
  <c r="AE338" i="7"/>
  <c r="AD338" i="7"/>
  <c r="AQ338" i="7" s="1"/>
  <c r="AC338" i="7"/>
  <c r="AN338" i="7" s="1"/>
  <c r="AB338" i="7"/>
  <c r="AA338"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AJ337" i="7"/>
  <c r="AI337" i="7"/>
  <c r="AH337" i="7"/>
  <c r="AG337" i="7"/>
  <c r="AF337" i="7"/>
  <c r="AE337" i="7"/>
  <c r="AD337" i="7"/>
  <c r="AQ337" i="7" s="1"/>
  <c r="AC337" i="7"/>
  <c r="AN337" i="7" s="1"/>
  <c r="AB337" i="7"/>
  <c r="AA337" i="7"/>
  <c r="Z337" i="7"/>
  <c r="Y337" i="7"/>
  <c r="X337" i="7"/>
  <c r="W337" i="7"/>
  <c r="V337" i="7"/>
  <c r="U337" i="7"/>
  <c r="T337" i="7"/>
  <c r="S337" i="7"/>
  <c r="R337" i="7"/>
  <c r="Q337" i="7"/>
  <c r="P337" i="7"/>
  <c r="O337" i="7"/>
  <c r="N337" i="7"/>
  <c r="M337" i="7"/>
  <c r="L337" i="7"/>
  <c r="K337" i="7"/>
  <c r="J337" i="7"/>
  <c r="I337" i="7"/>
  <c r="H337" i="7"/>
  <c r="G337" i="7"/>
  <c r="F337" i="7"/>
  <c r="E337" i="7"/>
  <c r="D337" i="7"/>
  <c r="C337" i="7"/>
  <c r="B337" i="7"/>
  <c r="A337" i="7"/>
  <c r="AJ336" i="7"/>
  <c r="AI336" i="7"/>
  <c r="AH336" i="7"/>
  <c r="AG336" i="7"/>
  <c r="AF336" i="7"/>
  <c r="AE336" i="7"/>
  <c r="AD336" i="7"/>
  <c r="AQ336" i="7" s="1"/>
  <c r="AC336" i="7"/>
  <c r="AN336" i="7" s="1"/>
  <c r="AB336" i="7"/>
  <c r="AA336" i="7"/>
  <c r="Z336" i="7"/>
  <c r="Y336" i="7"/>
  <c r="X336" i="7"/>
  <c r="W336" i="7"/>
  <c r="V336" i="7"/>
  <c r="U336" i="7"/>
  <c r="T336" i="7"/>
  <c r="S336" i="7"/>
  <c r="R336" i="7"/>
  <c r="Q336" i="7"/>
  <c r="P336" i="7"/>
  <c r="O336" i="7"/>
  <c r="N336" i="7"/>
  <c r="M336" i="7"/>
  <c r="L336" i="7"/>
  <c r="K336" i="7"/>
  <c r="J336" i="7"/>
  <c r="I336" i="7"/>
  <c r="H336" i="7"/>
  <c r="G336" i="7"/>
  <c r="F336" i="7"/>
  <c r="E336" i="7"/>
  <c r="D336" i="7"/>
  <c r="C336" i="7"/>
  <c r="B336" i="7"/>
  <c r="A336" i="7"/>
  <c r="AJ335" i="7"/>
  <c r="AI335" i="7"/>
  <c r="AH335" i="7"/>
  <c r="AG335" i="7"/>
  <c r="AF335" i="7"/>
  <c r="AE335" i="7"/>
  <c r="AD335" i="7"/>
  <c r="AQ335" i="7" s="1"/>
  <c r="AC335" i="7"/>
  <c r="AN335" i="7" s="1"/>
  <c r="AB335" i="7"/>
  <c r="AA335"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AJ334" i="7"/>
  <c r="AI334" i="7"/>
  <c r="AH334" i="7"/>
  <c r="AG334" i="7"/>
  <c r="AF334" i="7"/>
  <c r="AE334" i="7"/>
  <c r="AD334" i="7"/>
  <c r="AQ334" i="7" s="1"/>
  <c r="AC334" i="7"/>
  <c r="AN334" i="7" s="1"/>
  <c r="AB334" i="7"/>
  <c r="AA334"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AJ333" i="7"/>
  <c r="AI333" i="7"/>
  <c r="AH333" i="7"/>
  <c r="AG333" i="7"/>
  <c r="AF333" i="7"/>
  <c r="AE333" i="7"/>
  <c r="AD333" i="7"/>
  <c r="AQ333" i="7" s="1"/>
  <c r="AC333" i="7"/>
  <c r="AN333" i="7" s="1"/>
  <c r="AB333" i="7"/>
  <c r="AA333" i="7"/>
  <c r="Z333" i="7"/>
  <c r="Y333" i="7"/>
  <c r="X333" i="7"/>
  <c r="W333" i="7"/>
  <c r="V333" i="7"/>
  <c r="U333" i="7"/>
  <c r="T333" i="7"/>
  <c r="S333" i="7"/>
  <c r="R333" i="7"/>
  <c r="Q333" i="7"/>
  <c r="P333" i="7"/>
  <c r="O333" i="7"/>
  <c r="N333" i="7"/>
  <c r="M333" i="7"/>
  <c r="L333" i="7"/>
  <c r="K333" i="7"/>
  <c r="J333" i="7"/>
  <c r="I333" i="7"/>
  <c r="H333" i="7"/>
  <c r="G333" i="7"/>
  <c r="F333" i="7"/>
  <c r="E333" i="7"/>
  <c r="D333" i="7"/>
  <c r="C333" i="7"/>
  <c r="B333" i="7"/>
  <c r="A333" i="7"/>
  <c r="AJ332" i="7"/>
  <c r="AI332" i="7"/>
  <c r="AH332" i="7"/>
  <c r="AG332" i="7"/>
  <c r="AF332" i="7"/>
  <c r="AE332" i="7"/>
  <c r="AD332" i="7"/>
  <c r="AQ332" i="7" s="1"/>
  <c r="AC332" i="7"/>
  <c r="AN332" i="7" s="1"/>
  <c r="AB332" i="7"/>
  <c r="AA332" i="7"/>
  <c r="Z332" i="7"/>
  <c r="Y332" i="7"/>
  <c r="X332" i="7"/>
  <c r="W332" i="7"/>
  <c r="V332" i="7"/>
  <c r="U332" i="7"/>
  <c r="T332" i="7"/>
  <c r="S332" i="7"/>
  <c r="R332" i="7"/>
  <c r="Q332" i="7"/>
  <c r="P332" i="7"/>
  <c r="O332" i="7"/>
  <c r="N332" i="7"/>
  <c r="M332" i="7"/>
  <c r="L332" i="7"/>
  <c r="K332" i="7"/>
  <c r="J332" i="7"/>
  <c r="I332" i="7"/>
  <c r="H332" i="7"/>
  <c r="G332" i="7"/>
  <c r="F332" i="7"/>
  <c r="E332" i="7"/>
  <c r="D332" i="7"/>
  <c r="C332" i="7"/>
  <c r="B332" i="7"/>
  <c r="A332" i="7"/>
  <c r="AJ331" i="7"/>
  <c r="AI331" i="7"/>
  <c r="AH331" i="7"/>
  <c r="AG331" i="7"/>
  <c r="AF331" i="7"/>
  <c r="AE331" i="7"/>
  <c r="AD331" i="7"/>
  <c r="AQ331" i="7" s="1"/>
  <c r="AC331" i="7"/>
  <c r="AN331" i="7" s="1"/>
  <c r="AB331" i="7"/>
  <c r="AA331" i="7"/>
  <c r="Z331" i="7"/>
  <c r="Y331" i="7"/>
  <c r="X331" i="7"/>
  <c r="W331" i="7"/>
  <c r="V331" i="7"/>
  <c r="AO331" i="7" s="1"/>
  <c r="U331" i="7"/>
  <c r="T331" i="7"/>
  <c r="S331" i="7"/>
  <c r="R331" i="7"/>
  <c r="Q331" i="7"/>
  <c r="P331" i="7"/>
  <c r="O331" i="7"/>
  <c r="N331" i="7"/>
  <c r="M331" i="7"/>
  <c r="L331" i="7"/>
  <c r="K331" i="7"/>
  <c r="J331" i="7"/>
  <c r="I331" i="7"/>
  <c r="H331" i="7"/>
  <c r="G331" i="7"/>
  <c r="F331" i="7"/>
  <c r="E331" i="7"/>
  <c r="D331" i="7"/>
  <c r="C331" i="7"/>
  <c r="B331" i="7"/>
  <c r="A331" i="7"/>
  <c r="AJ330" i="7"/>
  <c r="AI330" i="7"/>
  <c r="AH330" i="7"/>
  <c r="AG330" i="7"/>
  <c r="AF330" i="7"/>
  <c r="AE330" i="7"/>
  <c r="AD330" i="7"/>
  <c r="AQ330" i="7" s="1"/>
  <c r="AC330" i="7"/>
  <c r="AN330" i="7" s="1"/>
  <c r="AB330" i="7"/>
  <c r="AA330"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AJ329" i="7"/>
  <c r="AI329" i="7"/>
  <c r="AH329" i="7"/>
  <c r="AG329" i="7"/>
  <c r="AF329" i="7"/>
  <c r="AE329" i="7"/>
  <c r="AD329" i="7"/>
  <c r="AQ329" i="7" s="1"/>
  <c r="AC329" i="7"/>
  <c r="AN329" i="7" s="1"/>
  <c r="AB329" i="7"/>
  <c r="AA329" i="7"/>
  <c r="Z329" i="7"/>
  <c r="Y329" i="7"/>
  <c r="X329" i="7"/>
  <c r="W329" i="7"/>
  <c r="V329" i="7"/>
  <c r="AO329" i="7" s="1"/>
  <c r="U329" i="7"/>
  <c r="T329" i="7"/>
  <c r="S329" i="7"/>
  <c r="R329" i="7"/>
  <c r="Q329" i="7"/>
  <c r="P329" i="7"/>
  <c r="O329" i="7"/>
  <c r="N329" i="7"/>
  <c r="M329" i="7"/>
  <c r="L329" i="7"/>
  <c r="K329" i="7"/>
  <c r="J329" i="7"/>
  <c r="I329" i="7"/>
  <c r="H329" i="7"/>
  <c r="G329" i="7"/>
  <c r="F329" i="7"/>
  <c r="E329" i="7"/>
  <c r="D329" i="7"/>
  <c r="C329" i="7"/>
  <c r="B329" i="7"/>
  <c r="A329" i="7"/>
  <c r="AJ328" i="7"/>
  <c r="AI328" i="7"/>
  <c r="AH328" i="7"/>
  <c r="AG328" i="7"/>
  <c r="AF328" i="7"/>
  <c r="AE328" i="7"/>
  <c r="AD328" i="7"/>
  <c r="AQ328" i="7" s="1"/>
  <c r="AC328" i="7"/>
  <c r="AN328" i="7" s="1"/>
  <c r="AB328" i="7"/>
  <c r="AA328" i="7"/>
  <c r="Z328" i="7"/>
  <c r="Y328" i="7"/>
  <c r="X328" i="7"/>
  <c r="W328" i="7"/>
  <c r="V328" i="7"/>
  <c r="AO328" i="7" s="1"/>
  <c r="U328" i="7"/>
  <c r="T328" i="7"/>
  <c r="S328" i="7"/>
  <c r="R328" i="7"/>
  <c r="Q328" i="7"/>
  <c r="P328" i="7"/>
  <c r="O328" i="7"/>
  <c r="N328" i="7"/>
  <c r="M328" i="7"/>
  <c r="L328" i="7"/>
  <c r="K328" i="7"/>
  <c r="J328" i="7"/>
  <c r="I328" i="7"/>
  <c r="H328" i="7"/>
  <c r="G328" i="7"/>
  <c r="F328" i="7"/>
  <c r="E328" i="7"/>
  <c r="D328" i="7"/>
  <c r="C328" i="7"/>
  <c r="B328" i="7"/>
  <c r="A328" i="7"/>
  <c r="AJ327" i="7"/>
  <c r="AI327" i="7"/>
  <c r="AH327" i="7"/>
  <c r="AG327" i="7"/>
  <c r="AF327" i="7"/>
  <c r="AE327" i="7"/>
  <c r="AD327" i="7"/>
  <c r="AQ327" i="7" s="1"/>
  <c r="AC327" i="7"/>
  <c r="AN327" i="7" s="1"/>
  <c r="AB327" i="7"/>
  <c r="AA327"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AJ326" i="7"/>
  <c r="AI326" i="7"/>
  <c r="AH326" i="7"/>
  <c r="AG326" i="7"/>
  <c r="AF326" i="7"/>
  <c r="AE326" i="7"/>
  <c r="AD326" i="7"/>
  <c r="AQ326" i="7" s="1"/>
  <c r="AC326" i="7"/>
  <c r="AN326" i="7" s="1"/>
  <c r="AB326" i="7"/>
  <c r="AA326" i="7"/>
  <c r="Z326" i="7"/>
  <c r="Y326" i="7"/>
  <c r="X326" i="7"/>
  <c r="W326" i="7"/>
  <c r="V326" i="7"/>
  <c r="AO326" i="7" s="1"/>
  <c r="U326" i="7"/>
  <c r="T326" i="7"/>
  <c r="S326" i="7"/>
  <c r="R326" i="7"/>
  <c r="Q326" i="7"/>
  <c r="P326" i="7"/>
  <c r="O326" i="7"/>
  <c r="N326" i="7"/>
  <c r="M326" i="7"/>
  <c r="L326" i="7"/>
  <c r="K326" i="7"/>
  <c r="J326" i="7"/>
  <c r="I326" i="7"/>
  <c r="H326" i="7"/>
  <c r="G326" i="7"/>
  <c r="F326" i="7"/>
  <c r="E326" i="7"/>
  <c r="D326" i="7"/>
  <c r="C326" i="7"/>
  <c r="B326" i="7"/>
  <c r="A326" i="7"/>
  <c r="AJ325" i="7"/>
  <c r="AI325" i="7"/>
  <c r="AH325" i="7"/>
  <c r="AG325" i="7"/>
  <c r="AF325" i="7"/>
  <c r="AE325" i="7"/>
  <c r="AD325" i="7"/>
  <c r="AQ325" i="7" s="1"/>
  <c r="AC325" i="7"/>
  <c r="AN325" i="7" s="1"/>
  <c r="AB325" i="7"/>
  <c r="AA325" i="7"/>
  <c r="Z325" i="7"/>
  <c r="Y325" i="7"/>
  <c r="X325" i="7"/>
  <c r="W325" i="7"/>
  <c r="V325" i="7"/>
  <c r="AO325" i="7" s="1"/>
  <c r="U325" i="7"/>
  <c r="T325" i="7"/>
  <c r="S325" i="7"/>
  <c r="R325" i="7"/>
  <c r="Q325" i="7"/>
  <c r="P325" i="7"/>
  <c r="O325" i="7"/>
  <c r="N325" i="7"/>
  <c r="M325" i="7"/>
  <c r="L325" i="7"/>
  <c r="K325" i="7"/>
  <c r="J325" i="7"/>
  <c r="I325" i="7"/>
  <c r="H325" i="7"/>
  <c r="G325" i="7"/>
  <c r="F325" i="7"/>
  <c r="E325" i="7"/>
  <c r="D325" i="7"/>
  <c r="C325" i="7"/>
  <c r="B325" i="7"/>
  <c r="A325" i="7"/>
  <c r="AJ324" i="7"/>
  <c r="AI324" i="7"/>
  <c r="AH324" i="7"/>
  <c r="AG324" i="7"/>
  <c r="AF324" i="7"/>
  <c r="AE324" i="7"/>
  <c r="AD324" i="7"/>
  <c r="AQ324" i="7" s="1"/>
  <c r="AC324" i="7"/>
  <c r="AN324" i="7" s="1"/>
  <c r="AB324" i="7"/>
  <c r="AA324" i="7"/>
  <c r="Z324" i="7"/>
  <c r="Y324" i="7"/>
  <c r="X324" i="7"/>
  <c r="W324" i="7"/>
  <c r="V324" i="7"/>
  <c r="U324" i="7"/>
  <c r="T324" i="7"/>
  <c r="S324" i="7"/>
  <c r="R324" i="7"/>
  <c r="Q324" i="7"/>
  <c r="P324" i="7"/>
  <c r="O324" i="7"/>
  <c r="N324" i="7"/>
  <c r="M324" i="7"/>
  <c r="L324" i="7"/>
  <c r="K324" i="7"/>
  <c r="J324" i="7"/>
  <c r="I324" i="7"/>
  <c r="H324" i="7"/>
  <c r="G324" i="7"/>
  <c r="F324" i="7"/>
  <c r="E324" i="7"/>
  <c r="D324" i="7"/>
  <c r="C324" i="7"/>
  <c r="B324" i="7"/>
  <c r="A324" i="7"/>
  <c r="AJ323" i="7"/>
  <c r="AI323" i="7"/>
  <c r="AH323" i="7"/>
  <c r="AG323" i="7"/>
  <c r="AF323" i="7"/>
  <c r="AE323" i="7"/>
  <c r="AD323" i="7"/>
  <c r="AQ323" i="7" s="1"/>
  <c r="AC323" i="7"/>
  <c r="AN323" i="7" s="1"/>
  <c r="AB323" i="7"/>
  <c r="AA323" i="7"/>
  <c r="Z323" i="7"/>
  <c r="Y323" i="7"/>
  <c r="X323" i="7"/>
  <c r="W323" i="7"/>
  <c r="V323" i="7"/>
  <c r="AO323" i="7" s="1"/>
  <c r="U323" i="7"/>
  <c r="T323" i="7"/>
  <c r="S323" i="7"/>
  <c r="R323" i="7"/>
  <c r="Q323" i="7"/>
  <c r="P323" i="7"/>
  <c r="O323" i="7"/>
  <c r="N323" i="7"/>
  <c r="M323" i="7"/>
  <c r="L323" i="7"/>
  <c r="K323" i="7"/>
  <c r="J323" i="7"/>
  <c r="I323" i="7"/>
  <c r="H323" i="7"/>
  <c r="G323" i="7"/>
  <c r="F323" i="7"/>
  <c r="E323" i="7"/>
  <c r="D323" i="7"/>
  <c r="C323" i="7"/>
  <c r="B323" i="7"/>
  <c r="A323" i="7"/>
  <c r="AJ322" i="7"/>
  <c r="AI322" i="7"/>
  <c r="AH322" i="7"/>
  <c r="AG322" i="7"/>
  <c r="AF322" i="7"/>
  <c r="AE322" i="7"/>
  <c r="AD322" i="7"/>
  <c r="AQ322" i="7" s="1"/>
  <c r="AC322" i="7"/>
  <c r="AN322" i="7" s="1"/>
  <c r="AB322" i="7"/>
  <c r="AA322"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AJ321" i="7"/>
  <c r="AI321" i="7"/>
  <c r="AH321" i="7"/>
  <c r="AG321" i="7"/>
  <c r="AF321" i="7"/>
  <c r="AE321" i="7"/>
  <c r="AD321" i="7"/>
  <c r="AQ321" i="7" s="1"/>
  <c r="AC321" i="7"/>
  <c r="AN321" i="7" s="1"/>
  <c r="AB321" i="7"/>
  <c r="AA321" i="7"/>
  <c r="Z321" i="7"/>
  <c r="Y321" i="7"/>
  <c r="X321" i="7"/>
  <c r="W321" i="7"/>
  <c r="V321" i="7"/>
  <c r="U321" i="7"/>
  <c r="T321" i="7"/>
  <c r="S321" i="7"/>
  <c r="R321" i="7"/>
  <c r="Q321" i="7"/>
  <c r="P321" i="7"/>
  <c r="O321" i="7"/>
  <c r="N321" i="7"/>
  <c r="M321" i="7"/>
  <c r="L321" i="7"/>
  <c r="K321" i="7"/>
  <c r="J321" i="7"/>
  <c r="I321" i="7"/>
  <c r="H321" i="7"/>
  <c r="G321" i="7"/>
  <c r="F321" i="7"/>
  <c r="E321" i="7"/>
  <c r="D321" i="7"/>
  <c r="C321" i="7"/>
  <c r="B321" i="7"/>
  <c r="A321" i="7"/>
  <c r="AJ320" i="7"/>
  <c r="AI320" i="7"/>
  <c r="AH320" i="7"/>
  <c r="AG320" i="7"/>
  <c r="AF320" i="7"/>
  <c r="AE320" i="7"/>
  <c r="AD320" i="7"/>
  <c r="AQ320" i="7" s="1"/>
  <c r="AC320" i="7"/>
  <c r="AN320" i="7" s="1"/>
  <c r="AB320" i="7"/>
  <c r="AA320" i="7"/>
  <c r="Z320" i="7"/>
  <c r="Y320" i="7"/>
  <c r="X320" i="7"/>
  <c r="W320" i="7"/>
  <c r="V320" i="7"/>
  <c r="U320" i="7"/>
  <c r="T320" i="7"/>
  <c r="S320" i="7"/>
  <c r="R320" i="7"/>
  <c r="Q320" i="7"/>
  <c r="P320" i="7"/>
  <c r="O320" i="7"/>
  <c r="N320" i="7"/>
  <c r="M320" i="7"/>
  <c r="L320" i="7"/>
  <c r="K320" i="7"/>
  <c r="J320" i="7"/>
  <c r="I320" i="7"/>
  <c r="H320" i="7"/>
  <c r="G320" i="7"/>
  <c r="F320" i="7"/>
  <c r="E320" i="7"/>
  <c r="D320" i="7"/>
  <c r="C320" i="7"/>
  <c r="B320" i="7"/>
  <c r="A320" i="7"/>
  <c r="AJ319" i="7"/>
  <c r="AI319" i="7"/>
  <c r="AH319" i="7"/>
  <c r="AG319" i="7"/>
  <c r="AF319" i="7"/>
  <c r="AE319" i="7"/>
  <c r="AD319" i="7"/>
  <c r="AQ319" i="7" s="1"/>
  <c r="AC319" i="7"/>
  <c r="AN319" i="7" s="1"/>
  <c r="AB319" i="7"/>
  <c r="AA319"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AJ318" i="7"/>
  <c r="AI318" i="7"/>
  <c r="AH318" i="7"/>
  <c r="AG318" i="7"/>
  <c r="AF318" i="7"/>
  <c r="AE318" i="7"/>
  <c r="AD318" i="7"/>
  <c r="AQ318" i="7" s="1"/>
  <c r="AC318" i="7"/>
  <c r="AN318" i="7" s="1"/>
  <c r="AB318" i="7"/>
  <c r="AA318"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AJ317" i="7"/>
  <c r="AI317" i="7"/>
  <c r="AH317" i="7"/>
  <c r="AG317" i="7"/>
  <c r="AF317" i="7"/>
  <c r="AE317" i="7"/>
  <c r="AD317" i="7"/>
  <c r="AQ317" i="7" s="1"/>
  <c r="AC317" i="7"/>
  <c r="AN317" i="7" s="1"/>
  <c r="AB317" i="7"/>
  <c r="AA317" i="7"/>
  <c r="Z317" i="7"/>
  <c r="Y317" i="7"/>
  <c r="X317" i="7"/>
  <c r="W317" i="7"/>
  <c r="V317" i="7"/>
  <c r="AO317" i="7" s="1"/>
  <c r="U317" i="7"/>
  <c r="T317" i="7"/>
  <c r="S317" i="7"/>
  <c r="R317" i="7"/>
  <c r="Q317" i="7"/>
  <c r="P317" i="7"/>
  <c r="O317" i="7"/>
  <c r="N317" i="7"/>
  <c r="M317" i="7"/>
  <c r="L317" i="7"/>
  <c r="K317" i="7"/>
  <c r="J317" i="7"/>
  <c r="I317" i="7"/>
  <c r="H317" i="7"/>
  <c r="G317" i="7"/>
  <c r="F317" i="7"/>
  <c r="E317" i="7"/>
  <c r="D317" i="7"/>
  <c r="C317" i="7"/>
  <c r="B317" i="7"/>
  <c r="A317" i="7"/>
  <c r="AJ316" i="7"/>
  <c r="AI316" i="7"/>
  <c r="AH316" i="7"/>
  <c r="AG316" i="7"/>
  <c r="AF316" i="7"/>
  <c r="AE316" i="7"/>
  <c r="AD316" i="7"/>
  <c r="AQ316" i="7" s="1"/>
  <c r="AC316" i="7"/>
  <c r="AN316" i="7" s="1"/>
  <c r="AB316" i="7"/>
  <c r="AA316" i="7"/>
  <c r="Z316" i="7"/>
  <c r="Y316" i="7"/>
  <c r="X316" i="7"/>
  <c r="W316" i="7"/>
  <c r="V316" i="7"/>
  <c r="U316" i="7"/>
  <c r="T316" i="7"/>
  <c r="S316" i="7"/>
  <c r="R316" i="7"/>
  <c r="Q316" i="7"/>
  <c r="P316" i="7"/>
  <c r="O316" i="7"/>
  <c r="N316" i="7"/>
  <c r="M316" i="7"/>
  <c r="L316" i="7"/>
  <c r="K316" i="7"/>
  <c r="J316" i="7"/>
  <c r="I316" i="7"/>
  <c r="H316" i="7"/>
  <c r="G316" i="7"/>
  <c r="F316" i="7"/>
  <c r="E316" i="7"/>
  <c r="D316" i="7"/>
  <c r="C316" i="7"/>
  <c r="B316" i="7"/>
  <c r="A316" i="7"/>
  <c r="AJ315" i="7"/>
  <c r="AI315" i="7"/>
  <c r="AH315" i="7"/>
  <c r="AG315" i="7"/>
  <c r="AF315" i="7"/>
  <c r="AE315" i="7"/>
  <c r="AD315" i="7"/>
  <c r="AQ315" i="7" s="1"/>
  <c r="AC315" i="7"/>
  <c r="AN315" i="7" s="1"/>
  <c r="AB315" i="7"/>
  <c r="AA315" i="7"/>
  <c r="Z315" i="7"/>
  <c r="Y315" i="7"/>
  <c r="X315" i="7"/>
  <c r="W315" i="7"/>
  <c r="V315" i="7"/>
  <c r="AO315" i="7" s="1"/>
  <c r="U315" i="7"/>
  <c r="T315" i="7"/>
  <c r="S315" i="7"/>
  <c r="R315" i="7"/>
  <c r="Q315" i="7"/>
  <c r="P315" i="7"/>
  <c r="O315" i="7"/>
  <c r="N315" i="7"/>
  <c r="M315" i="7"/>
  <c r="L315" i="7"/>
  <c r="K315" i="7"/>
  <c r="J315" i="7"/>
  <c r="I315" i="7"/>
  <c r="H315" i="7"/>
  <c r="G315" i="7"/>
  <c r="F315" i="7"/>
  <c r="E315" i="7"/>
  <c r="D315" i="7"/>
  <c r="C315" i="7"/>
  <c r="B315" i="7"/>
  <c r="A315" i="7"/>
  <c r="AJ314" i="7"/>
  <c r="AI314" i="7"/>
  <c r="AH314" i="7"/>
  <c r="AG314" i="7"/>
  <c r="AF314" i="7"/>
  <c r="AE314" i="7"/>
  <c r="AD314" i="7"/>
  <c r="AQ314" i="7" s="1"/>
  <c r="AC314" i="7"/>
  <c r="AN314" i="7" s="1"/>
  <c r="AB314" i="7"/>
  <c r="AA314"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AJ313" i="7"/>
  <c r="AI313" i="7"/>
  <c r="AH313" i="7"/>
  <c r="AG313" i="7"/>
  <c r="AF313" i="7"/>
  <c r="AE313" i="7"/>
  <c r="AD313" i="7"/>
  <c r="AQ313" i="7" s="1"/>
  <c r="AC313" i="7"/>
  <c r="AN313" i="7" s="1"/>
  <c r="AB313" i="7"/>
  <c r="AA313" i="7"/>
  <c r="Z313" i="7"/>
  <c r="Y313" i="7"/>
  <c r="X313" i="7"/>
  <c r="W313" i="7"/>
  <c r="V313" i="7"/>
  <c r="U313" i="7"/>
  <c r="T313" i="7"/>
  <c r="S313" i="7"/>
  <c r="R313" i="7"/>
  <c r="Q313" i="7"/>
  <c r="P313" i="7"/>
  <c r="O313" i="7"/>
  <c r="N313" i="7"/>
  <c r="M313" i="7"/>
  <c r="L313" i="7"/>
  <c r="K313" i="7"/>
  <c r="J313" i="7"/>
  <c r="I313" i="7"/>
  <c r="H313" i="7"/>
  <c r="G313" i="7"/>
  <c r="F313" i="7"/>
  <c r="E313" i="7"/>
  <c r="D313" i="7"/>
  <c r="C313" i="7"/>
  <c r="B313" i="7"/>
  <c r="A313" i="7"/>
  <c r="AJ312" i="7"/>
  <c r="AI312" i="7"/>
  <c r="AH312" i="7"/>
  <c r="AG312" i="7"/>
  <c r="AF312" i="7"/>
  <c r="AE312" i="7"/>
  <c r="AD312" i="7"/>
  <c r="AQ312" i="7" s="1"/>
  <c r="AC312" i="7"/>
  <c r="AN312" i="7" s="1"/>
  <c r="AB312" i="7"/>
  <c r="AA312" i="7"/>
  <c r="Z312" i="7"/>
  <c r="AL312" i="7" s="1"/>
  <c r="Y312" i="7"/>
  <c r="X312" i="7"/>
  <c r="W312" i="7"/>
  <c r="V312" i="7"/>
  <c r="AO312" i="7" s="1"/>
  <c r="U312" i="7"/>
  <c r="T312" i="7"/>
  <c r="S312" i="7"/>
  <c r="R312" i="7"/>
  <c r="Q312" i="7"/>
  <c r="P312" i="7"/>
  <c r="O312" i="7"/>
  <c r="N312" i="7"/>
  <c r="M312" i="7"/>
  <c r="L312" i="7"/>
  <c r="K312" i="7"/>
  <c r="J312" i="7"/>
  <c r="I312" i="7"/>
  <c r="H312" i="7"/>
  <c r="G312" i="7"/>
  <c r="F312" i="7"/>
  <c r="E312" i="7"/>
  <c r="D312" i="7"/>
  <c r="C312" i="7"/>
  <c r="B312" i="7"/>
  <c r="A312" i="7"/>
  <c r="AJ311" i="7"/>
  <c r="AI311" i="7"/>
  <c r="AH311" i="7"/>
  <c r="AG311" i="7"/>
  <c r="AF311" i="7"/>
  <c r="AE311" i="7"/>
  <c r="AD311" i="7"/>
  <c r="AQ311" i="7" s="1"/>
  <c r="AC311" i="7"/>
  <c r="AN311" i="7" s="1"/>
  <c r="AB311" i="7"/>
  <c r="AA311"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AJ310" i="7"/>
  <c r="AI310" i="7"/>
  <c r="AH310" i="7"/>
  <c r="AG310" i="7"/>
  <c r="AF310" i="7"/>
  <c r="AE310" i="7"/>
  <c r="AD310" i="7"/>
  <c r="AQ310" i="7" s="1"/>
  <c r="AC310" i="7"/>
  <c r="AN310" i="7" s="1"/>
  <c r="AB310" i="7"/>
  <c r="AA310" i="7"/>
  <c r="Z310" i="7"/>
  <c r="Y310" i="7"/>
  <c r="X310" i="7"/>
  <c r="W310" i="7"/>
  <c r="V310" i="7"/>
  <c r="AO310" i="7" s="1"/>
  <c r="U310" i="7"/>
  <c r="T310" i="7"/>
  <c r="S310" i="7"/>
  <c r="R310" i="7"/>
  <c r="Q310" i="7"/>
  <c r="P310" i="7"/>
  <c r="O310" i="7"/>
  <c r="N310" i="7"/>
  <c r="M310" i="7"/>
  <c r="L310" i="7"/>
  <c r="K310" i="7"/>
  <c r="J310" i="7"/>
  <c r="I310" i="7"/>
  <c r="H310" i="7"/>
  <c r="G310" i="7"/>
  <c r="F310" i="7"/>
  <c r="E310" i="7"/>
  <c r="D310" i="7"/>
  <c r="C310" i="7"/>
  <c r="B310" i="7"/>
  <c r="A310" i="7"/>
  <c r="AJ309" i="7"/>
  <c r="AI309" i="7"/>
  <c r="AH309" i="7"/>
  <c r="AG309" i="7"/>
  <c r="AF309" i="7"/>
  <c r="AE309" i="7"/>
  <c r="AD309" i="7"/>
  <c r="AQ309" i="7" s="1"/>
  <c r="AC309" i="7"/>
  <c r="AN309" i="7" s="1"/>
  <c r="AB309" i="7"/>
  <c r="AA309" i="7"/>
  <c r="Z309" i="7"/>
  <c r="Y309" i="7"/>
  <c r="X309" i="7"/>
  <c r="W309" i="7"/>
  <c r="V309" i="7"/>
  <c r="U309" i="7"/>
  <c r="T309" i="7"/>
  <c r="S309" i="7"/>
  <c r="R309" i="7"/>
  <c r="Q309" i="7"/>
  <c r="P309" i="7"/>
  <c r="O309" i="7"/>
  <c r="N309" i="7"/>
  <c r="M309" i="7"/>
  <c r="L309" i="7"/>
  <c r="K309" i="7"/>
  <c r="J309" i="7"/>
  <c r="I309" i="7"/>
  <c r="H309" i="7"/>
  <c r="G309" i="7"/>
  <c r="F309" i="7"/>
  <c r="E309" i="7"/>
  <c r="D309" i="7"/>
  <c r="C309" i="7"/>
  <c r="B309" i="7"/>
  <c r="A309" i="7"/>
  <c r="AJ308" i="7"/>
  <c r="AI308" i="7"/>
  <c r="AH308" i="7"/>
  <c r="AG308" i="7"/>
  <c r="AF308" i="7"/>
  <c r="AE308" i="7"/>
  <c r="AD308" i="7"/>
  <c r="AQ308" i="7" s="1"/>
  <c r="AC308" i="7"/>
  <c r="AN308" i="7" s="1"/>
  <c r="AB308" i="7"/>
  <c r="AA308" i="7"/>
  <c r="Z308" i="7"/>
  <c r="Y308" i="7"/>
  <c r="X308" i="7"/>
  <c r="W308" i="7"/>
  <c r="V308" i="7"/>
  <c r="U308" i="7"/>
  <c r="T308" i="7"/>
  <c r="S308" i="7"/>
  <c r="R308" i="7"/>
  <c r="Q308" i="7"/>
  <c r="P308" i="7"/>
  <c r="O308" i="7"/>
  <c r="N308" i="7"/>
  <c r="M308" i="7"/>
  <c r="L308" i="7"/>
  <c r="K308" i="7"/>
  <c r="J308" i="7"/>
  <c r="I308" i="7"/>
  <c r="H308" i="7"/>
  <c r="G308" i="7"/>
  <c r="F308" i="7"/>
  <c r="E308" i="7"/>
  <c r="D308" i="7"/>
  <c r="C308" i="7"/>
  <c r="B308" i="7"/>
  <c r="A308" i="7"/>
  <c r="AJ307" i="7"/>
  <c r="AI307" i="7"/>
  <c r="AH307" i="7"/>
  <c r="AG307" i="7"/>
  <c r="AF307" i="7"/>
  <c r="AE307" i="7"/>
  <c r="AD307" i="7"/>
  <c r="AQ307" i="7" s="1"/>
  <c r="AC307" i="7"/>
  <c r="AN307" i="7" s="1"/>
  <c r="AB307" i="7"/>
  <c r="AA307" i="7"/>
  <c r="Z307" i="7"/>
  <c r="Y307" i="7"/>
  <c r="X307" i="7"/>
  <c r="W307" i="7"/>
  <c r="V307" i="7"/>
  <c r="AO307" i="7" s="1"/>
  <c r="U307" i="7"/>
  <c r="T307" i="7"/>
  <c r="S307" i="7"/>
  <c r="R307" i="7"/>
  <c r="Q307" i="7"/>
  <c r="P307" i="7"/>
  <c r="O307" i="7"/>
  <c r="N307" i="7"/>
  <c r="M307" i="7"/>
  <c r="L307" i="7"/>
  <c r="K307" i="7"/>
  <c r="J307" i="7"/>
  <c r="I307" i="7"/>
  <c r="H307" i="7"/>
  <c r="G307" i="7"/>
  <c r="F307" i="7"/>
  <c r="E307" i="7"/>
  <c r="D307" i="7"/>
  <c r="C307" i="7"/>
  <c r="B307" i="7"/>
  <c r="A307" i="7"/>
  <c r="AJ306" i="7"/>
  <c r="AI306" i="7"/>
  <c r="AH306" i="7"/>
  <c r="AG306" i="7"/>
  <c r="AF306" i="7"/>
  <c r="AE306" i="7"/>
  <c r="AD306" i="7"/>
  <c r="AQ306" i="7" s="1"/>
  <c r="AC306" i="7"/>
  <c r="AN306" i="7" s="1"/>
  <c r="AB306" i="7"/>
  <c r="AA306"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AJ305" i="7"/>
  <c r="AI305" i="7"/>
  <c r="AH305" i="7"/>
  <c r="AG305" i="7"/>
  <c r="AF305" i="7"/>
  <c r="AE305" i="7"/>
  <c r="AD305" i="7"/>
  <c r="AQ305" i="7" s="1"/>
  <c r="AC305" i="7"/>
  <c r="AN305" i="7" s="1"/>
  <c r="AB305" i="7"/>
  <c r="AA305" i="7"/>
  <c r="Z305" i="7"/>
  <c r="Y305" i="7"/>
  <c r="X305" i="7"/>
  <c r="W305" i="7"/>
  <c r="V305" i="7"/>
  <c r="U305" i="7"/>
  <c r="T305" i="7"/>
  <c r="S305" i="7"/>
  <c r="R305" i="7"/>
  <c r="Q305" i="7"/>
  <c r="P305" i="7"/>
  <c r="O305" i="7"/>
  <c r="N305" i="7"/>
  <c r="M305" i="7"/>
  <c r="L305" i="7"/>
  <c r="K305" i="7"/>
  <c r="J305" i="7"/>
  <c r="I305" i="7"/>
  <c r="H305" i="7"/>
  <c r="G305" i="7"/>
  <c r="F305" i="7"/>
  <c r="E305" i="7"/>
  <c r="D305" i="7"/>
  <c r="C305" i="7"/>
  <c r="B305" i="7"/>
  <c r="A305" i="7"/>
  <c r="AJ304" i="7"/>
  <c r="AI304" i="7"/>
  <c r="AH304" i="7"/>
  <c r="AG304" i="7"/>
  <c r="AF304" i="7"/>
  <c r="AE304" i="7"/>
  <c r="AD304" i="7"/>
  <c r="AQ304" i="7" s="1"/>
  <c r="AC304" i="7"/>
  <c r="AN304" i="7" s="1"/>
  <c r="AB304" i="7"/>
  <c r="AA304" i="7"/>
  <c r="Z304" i="7"/>
  <c r="Y304" i="7"/>
  <c r="X304" i="7"/>
  <c r="W304" i="7"/>
  <c r="V304" i="7"/>
  <c r="U304" i="7"/>
  <c r="T304" i="7"/>
  <c r="S304" i="7"/>
  <c r="R304" i="7"/>
  <c r="Q304" i="7"/>
  <c r="P304" i="7"/>
  <c r="O304" i="7"/>
  <c r="N304" i="7"/>
  <c r="M304" i="7"/>
  <c r="L304" i="7"/>
  <c r="K304" i="7"/>
  <c r="J304" i="7"/>
  <c r="I304" i="7"/>
  <c r="H304" i="7"/>
  <c r="G304" i="7"/>
  <c r="F304" i="7"/>
  <c r="E304" i="7"/>
  <c r="D304" i="7"/>
  <c r="C304" i="7"/>
  <c r="B304" i="7"/>
  <c r="A304" i="7"/>
  <c r="AJ303" i="7"/>
  <c r="AI303" i="7"/>
  <c r="AR303" i="7" s="1"/>
  <c r="AH303" i="7"/>
  <c r="AG303" i="7"/>
  <c r="AF303" i="7"/>
  <c r="AE303" i="7"/>
  <c r="AD303" i="7"/>
  <c r="AQ303" i="7" s="1"/>
  <c r="AC303" i="7"/>
  <c r="AN303" i="7" s="1"/>
  <c r="AB303" i="7"/>
  <c r="AA303"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AJ302" i="7"/>
  <c r="AI302" i="7"/>
  <c r="AH302" i="7"/>
  <c r="AG302" i="7"/>
  <c r="AF302" i="7"/>
  <c r="AE302" i="7"/>
  <c r="AD302" i="7"/>
  <c r="AQ302" i="7" s="1"/>
  <c r="AC302" i="7"/>
  <c r="AN302" i="7" s="1"/>
  <c r="AB302" i="7"/>
  <c r="AA302"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AJ301" i="7"/>
  <c r="AI301" i="7"/>
  <c r="AH301" i="7"/>
  <c r="AG301" i="7"/>
  <c r="AF301" i="7"/>
  <c r="AE301" i="7"/>
  <c r="AD301" i="7"/>
  <c r="AQ301" i="7" s="1"/>
  <c r="AC301" i="7"/>
  <c r="AN301" i="7" s="1"/>
  <c r="AB301" i="7"/>
  <c r="AA301" i="7"/>
  <c r="Z301" i="7"/>
  <c r="Y301" i="7"/>
  <c r="X301" i="7"/>
  <c r="W301" i="7"/>
  <c r="V301" i="7"/>
  <c r="AO301" i="7" s="1"/>
  <c r="U301" i="7"/>
  <c r="T301" i="7"/>
  <c r="S301" i="7"/>
  <c r="R301" i="7"/>
  <c r="Q301" i="7"/>
  <c r="P301" i="7"/>
  <c r="O301" i="7"/>
  <c r="N301" i="7"/>
  <c r="M301" i="7"/>
  <c r="L301" i="7"/>
  <c r="K301" i="7"/>
  <c r="J301" i="7"/>
  <c r="I301" i="7"/>
  <c r="H301" i="7"/>
  <c r="G301" i="7"/>
  <c r="F301" i="7"/>
  <c r="E301" i="7"/>
  <c r="D301" i="7"/>
  <c r="C301" i="7"/>
  <c r="B301" i="7"/>
  <c r="A301" i="7"/>
  <c r="AJ300" i="7"/>
  <c r="AI300" i="7"/>
  <c r="AH300" i="7"/>
  <c r="AG300" i="7"/>
  <c r="AF300" i="7"/>
  <c r="AE300" i="7"/>
  <c r="AD300" i="7"/>
  <c r="AQ300" i="7" s="1"/>
  <c r="AC300" i="7"/>
  <c r="AN300" i="7" s="1"/>
  <c r="AB300" i="7"/>
  <c r="AA300" i="7"/>
  <c r="Z300" i="7"/>
  <c r="Y300" i="7"/>
  <c r="X300" i="7"/>
  <c r="W300" i="7"/>
  <c r="V300" i="7"/>
  <c r="AO300" i="7" s="1"/>
  <c r="U300" i="7"/>
  <c r="T300" i="7"/>
  <c r="S300" i="7"/>
  <c r="R300" i="7"/>
  <c r="Q300" i="7"/>
  <c r="P300" i="7"/>
  <c r="O300" i="7"/>
  <c r="N300" i="7"/>
  <c r="M300" i="7"/>
  <c r="L300" i="7"/>
  <c r="K300" i="7"/>
  <c r="J300" i="7"/>
  <c r="I300" i="7"/>
  <c r="H300" i="7"/>
  <c r="G300" i="7"/>
  <c r="F300" i="7"/>
  <c r="E300" i="7"/>
  <c r="D300" i="7"/>
  <c r="C300" i="7"/>
  <c r="B300" i="7"/>
  <c r="A300" i="7"/>
  <c r="AJ299" i="7"/>
  <c r="AI299" i="7"/>
  <c r="AH299" i="7"/>
  <c r="AG299" i="7"/>
  <c r="AF299" i="7"/>
  <c r="AE299" i="7"/>
  <c r="AD299" i="7"/>
  <c r="AQ299" i="7" s="1"/>
  <c r="AC299" i="7"/>
  <c r="AN299" i="7" s="1"/>
  <c r="AB299" i="7"/>
  <c r="AA299"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AJ298" i="7"/>
  <c r="AI298" i="7"/>
  <c r="AH298" i="7"/>
  <c r="AG298" i="7"/>
  <c r="AF298" i="7"/>
  <c r="AE298" i="7"/>
  <c r="AD298" i="7"/>
  <c r="AQ298" i="7" s="1"/>
  <c r="AC298" i="7"/>
  <c r="AN298" i="7" s="1"/>
  <c r="AB298" i="7"/>
  <c r="AA298"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AJ297" i="7"/>
  <c r="AI297" i="7"/>
  <c r="AH297" i="7"/>
  <c r="AG297" i="7"/>
  <c r="AF297" i="7"/>
  <c r="AE297" i="7"/>
  <c r="AD297" i="7"/>
  <c r="AQ297" i="7" s="1"/>
  <c r="AC297" i="7"/>
  <c r="AN297" i="7" s="1"/>
  <c r="AB297" i="7"/>
  <c r="AA297" i="7"/>
  <c r="Z297" i="7"/>
  <c r="Y297" i="7"/>
  <c r="X297" i="7"/>
  <c r="W297" i="7"/>
  <c r="V297" i="7"/>
  <c r="U297" i="7"/>
  <c r="T297" i="7"/>
  <c r="S297" i="7"/>
  <c r="R297" i="7"/>
  <c r="Q297" i="7"/>
  <c r="P297" i="7"/>
  <c r="O297" i="7"/>
  <c r="N297" i="7"/>
  <c r="M297" i="7"/>
  <c r="L297" i="7"/>
  <c r="K297" i="7"/>
  <c r="J297" i="7"/>
  <c r="I297" i="7"/>
  <c r="H297" i="7"/>
  <c r="G297" i="7"/>
  <c r="F297" i="7"/>
  <c r="E297" i="7"/>
  <c r="D297" i="7"/>
  <c r="C297" i="7"/>
  <c r="B297" i="7"/>
  <c r="A297" i="7"/>
  <c r="AJ296" i="7"/>
  <c r="AI296" i="7"/>
  <c r="AH296" i="7"/>
  <c r="AG296" i="7"/>
  <c r="AF296" i="7"/>
  <c r="AE296" i="7"/>
  <c r="AD296" i="7"/>
  <c r="AQ296" i="7" s="1"/>
  <c r="AC296" i="7"/>
  <c r="AN296" i="7" s="1"/>
  <c r="AB296" i="7"/>
  <c r="AA296" i="7"/>
  <c r="Z296" i="7"/>
  <c r="Y296" i="7"/>
  <c r="X296" i="7"/>
  <c r="W296" i="7"/>
  <c r="V296" i="7"/>
  <c r="U296" i="7"/>
  <c r="T296" i="7"/>
  <c r="S296" i="7"/>
  <c r="R296" i="7"/>
  <c r="Q296" i="7"/>
  <c r="P296" i="7"/>
  <c r="O296" i="7"/>
  <c r="N296" i="7"/>
  <c r="M296" i="7"/>
  <c r="L296" i="7"/>
  <c r="K296" i="7"/>
  <c r="J296" i="7"/>
  <c r="I296" i="7"/>
  <c r="H296" i="7"/>
  <c r="G296" i="7"/>
  <c r="F296" i="7"/>
  <c r="E296" i="7"/>
  <c r="D296" i="7"/>
  <c r="C296" i="7"/>
  <c r="B296" i="7"/>
  <c r="A296" i="7"/>
  <c r="AJ295" i="7"/>
  <c r="AI295" i="7"/>
  <c r="AH295" i="7"/>
  <c r="AG295" i="7"/>
  <c r="AF295" i="7"/>
  <c r="AE295" i="7"/>
  <c r="AD295" i="7"/>
  <c r="AQ295" i="7" s="1"/>
  <c r="AC295" i="7"/>
  <c r="AN295" i="7" s="1"/>
  <c r="AB295" i="7"/>
  <c r="AA295"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AJ294" i="7"/>
  <c r="AI294" i="7"/>
  <c r="AH294" i="7"/>
  <c r="AG294" i="7"/>
  <c r="AF294" i="7"/>
  <c r="AE294" i="7"/>
  <c r="AD294" i="7"/>
  <c r="AQ294" i="7" s="1"/>
  <c r="AC294" i="7"/>
  <c r="AN294" i="7" s="1"/>
  <c r="AB294" i="7"/>
  <c r="AA294" i="7"/>
  <c r="Z294" i="7"/>
  <c r="Y294" i="7"/>
  <c r="X294" i="7"/>
  <c r="W294" i="7"/>
  <c r="V294" i="7"/>
  <c r="AO294" i="7" s="1"/>
  <c r="U294" i="7"/>
  <c r="T294" i="7"/>
  <c r="S294" i="7"/>
  <c r="R294" i="7"/>
  <c r="Q294" i="7"/>
  <c r="P294" i="7"/>
  <c r="O294" i="7"/>
  <c r="N294" i="7"/>
  <c r="M294" i="7"/>
  <c r="L294" i="7"/>
  <c r="K294" i="7"/>
  <c r="J294" i="7"/>
  <c r="I294" i="7"/>
  <c r="H294" i="7"/>
  <c r="G294" i="7"/>
  <c r="F294" i="7"/>
  <c r="E294" i="7"/>
  <c r="D294" i="7"/>
  <c r="C294" i="7"/>
  <c r="B294" i="7"/>
  <c r="A294" i="7"/>
  <c r="AJ293" i="7"/>
  <c r="AI293" i="7"/>
  <c r="AH293" i="7"/>
  <c r="AG293" i="7"/>
  <c r="AF293" i="7"/>
  <c r="AE293" i="7"/>
  <c r="AD293" i="7"/>
  <c r="AQ293" i="7" s="1"/>
  <c r="AC293" i="7"/>
  <c r="AN293" i="7" s="1"/>
  <c r="AB293" i="7"/>
  <c r="AA293" i="7"/>
  <c r="Z293" i="7"/>
  <c r="Y293" i="7"/>
  <c r="X293" i="7"/>
  <c r="W293" i="7"/>
  <c r="V293" i="7"/>
  <c r="AO293" i="7" s="1"/>
  <c r="U293" i="7"/>
  <c r="T293" i="7"/>
  <c r="S293" i="7"/>
  <c r="R293" i="7"/>
  <c r="Q293" i="7"/>
  <c r="P293" i="7"/>
  <c r="O293" i="7"/>
  <c r="N293" i="7"/>
  <c r="M293" i="7"/>
  <c r="L293" i="7"/>
  <c r="K293" i="7"/>
  <c r="J293" i="7"/>
  <c r="I293" i="7"/>
  <c r="H293" i="7"/>
  <c r="G293" i="7"/>
  <c r="F293" i="7"/>
  <c r="E293" i="7"/>
  <c r="D293" i="7"/>
  <c r="C293" i="7"/>
  <c r="B293" i="7"/>
  <c r="A293" i="7"/>
  <c r="AJ292" i="7"/>
  <c r="AI292" i="7"/>
  <c r="AH292" i="7"/>
  <c r="AG292" i="7"/>
  <c r="AF292" i="7"/>
  <c r="AE292" i="7"/>
  <c r="AD292" i="7"/>
  <c r="AQ292" i="7" s="1"/>
  <c r="AC292" i="7"/>
  <c r="AN292" i="7" s="1"/>
  <c r="AB292" i="7"/>
  <c r="AA292" i="7"/>
  <c r="Z292" i="7"/>
  <c r="Y292" i="7"/>
  <c r="X292" i="7"/>
  <c r="W292" i="7"/>
  <c r="V292" i="7"/>
  <c r="U292" i="7"/>
  <c r="T292" i="7"/>
  <c r="S292" i="7"/>
  <c r="R292" i="7"/>
  <c r="Q292" i="7"/>
  <c r="P292" i="7"/>
  <c r="O292" i="7"/>
  <c r="N292" i="7"/>
  <c r="M292" i="7"/>
  <c r="L292" i="7"/>
  <c r="K292" i="7"/>
  <c r="J292" i="7"/>
  <c r="I292" i="7"/>
  <c r="H292" i="7"/>
  <c r="G292" i="7"/>
  <c r="F292" i="7"/>
  <c r="E292" i="7"/>
  <c r="D292" i="7"/>
  <c r="C292" i="7"/>
  <c r="B292" i="7"/>
  <c r="A292" i="7"/>
  <c r="AJ291" i="7"/>
  <c r="AI291" i="7"/>
  <c r="AH291" i="7"/>
  <c r="AG291" i="7"/>
  <c r="AF291" i="7"/>
  <c r="AE291" i="7"/>
  <c r="AD291" i="7"/>
  <c r="AQ291" i="7" s="1"/>
  <c r="AC291" i="7"/>
  <c r="AN291" i="7" s="1"/>
  <c r="AB291" i="7"/>
  <c r="AA291"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AJ290" i="7"/>
  <c r="AI290" i="7"/>
  <c r="AH290" i="7"/>
  <c r="AG290" i="7"/>
  <c r="AF290" i="7"/>
  <c r="AE290" i="7"/>
  <c r="AD290" i="7"/>
  <c r="AQ290" i="7" s="1"/>
  <c r="AC290" i="7"/>
  <c r="AN290" i="7" s="1"/>
  <c r="AB290" i="7"/>
  <c r="AA290" i="7"/>
  <c r="Z290" i="7"/>
  <c r="Y290" i="7"/>
  <c r="X290" i="7"/>
  <c r="W290" i="7"/>
  <c r="V290" i="7"/>
  <c r="AO290" i="7" s="1"/>
  <c r="U290" i="7"/>
  <c r="T290" i="7"/>
  <c r="S290" i="7"/>
  <c r="R290" i="7"/>
  <c r="Q290" i="7"/>
  <c r="P290" i="7"/>
  <c r="O290" i="7"/>
  <c r="N290" i="7"/>
  <c r="M290" i="7"/>
  <c r="L290" i="7"/>
  <c r="K290" i="7"/>
  <c r="J290" i="7"/>
  <c r="I290" i="7"/>
  <c r="H290" i="7"/>
  <c r="G290" i="7"/>
  <c r="F290" i="7"/>
  <c r="E290" i="7"/>
  <c r="D290" i="7"/>
  <c r="C290" i="7"/>
  <c r="B290" i="7"/>
  <c r="A290" i="7"/>
  <c r="AJ289" i="7"/>
  <c r="AI289" i="7"/>
  <c r="AH289" i="7"/>
  <c r="AG289" i="7"/>
  <c r="AF289" i="7"/>
  <c r="AE289" i="7"/>
  <c r="AD289" i="7"/>
  <c r="AQ289" i="7" s="1"/>
  <c r="AC289" i="7"/>
  <c r="AN289" i="7" s="1"/>
  <c r="AB289" i="7"/>
  <c r="AA289" i="7"/>
  <c r="Z289" i="7"/>
  <c r="Y289" i="7"/>
  <c r="X289" i="7"/>
  <c r="W289" i="7"/>
  <c r="V289" i="7"/>
  <c r="U289" i="7"/>
  <c r="T289" i="7"/>
  <c r="S289" i="7"/>
  <c r="R289" i="7"/>
  <c r="Q289" i="7"/>
  <c r="P289" i="7"/>
  <c r="O289" i="7"/>
  <c r="N289" i="7"/>
  <c r="M289" i="7"/>
  <c r="L289" i="7"/>
  <c r="K289" i="7"/>
  <c r="J289" i="7"/>
  <c r="I289" i="7"/>
  <c r="H289" i="7"/>
  <c r="G289" i="7"/>
  <c r="F289" i="7"/>
  <c r="E289" i="7"/>
  <c r="D289" i="7"/>
  <c r="C289" i="7"/>
  <c r="B289" i="7"/>
  <c r="A289" i="7"/>
  <c r="AJ288" i="7"/>
  <c r="AI288" i="7"/>
  <c r="AH288" i="7"/>
  <c r="AG288" i="7"/>
  <c r="AF288" i="7"/>
  <c r="AE288" i="7"/>
  <c r="AD288" i="7"/>
  <c r="AQ288" i="7" s="1"/>
  <c r="AC288" i="7"/>
  <c r="AN288" i="7" s="1"/>
  <c r="AB288" i="7"/>
  <c r="AA288" i="7"/>
  <c r="Z288" i="7"/>
  <c r="Y288" i="7"/>
  <c r="X288" i="7"/>
  <c r="W288" i="7"/>
  <c r="V288" i="7"/>
  <c r="U288" i="7"/>
  <c r="T288" i="7"/>
  <c r="S288" i="7"/>
  <c r="R288" i="7"/>
  <c r="Q288" i="7"/>
  <c r="P288" i="7"/>
  <c r="O288" i="7"/>
  <c r="N288" i="7"/>
  <c r="M288" i="7"/>
  <c r="L288" i="7"/>
  <c r="K288" i="7"/>
  <c r="J288" i="7"/>
  <c r="I288" i="7"/>
  <c r="H288" i="7"/>
  <c r="G288" i="7"/>
  <c r="F288" i="7"/>
  <c r="E288" i="7"/>
  <c r="D288" i="7"/>
  <c r="C288" i="7"/>
  <c r="B288" i="7"/>
  <c r="A288" i="7"/>
  <c r="AJ287" i="7"/>
  <c r="AI287" i="7"/>
  <c r="AH287" i="7"/>
  <c r="AG287" i="7"/>
  <c r="AF287" i="7"/>
  <c r="AE287" i="7"/>
  <c r="AD287" i="7"/>
  <c r="AQ287" i="7" s="1"/>
  <c r="AC287" i="7"/>
  <c r="AN287" i="7" s="1"/>
  <c r="AB287" i="7"/>
  <c r="AA287"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AJ286" i="7"/>
  <c r="AI286" i="7"/>
  <c r="AH286" i="7"/>
  <c r="AG286" i="7"/>
  <c r="AF286" i="7"/>
  <c r="AE286" i="7"/>
  <c r="AD286" i="7"/>
  <c r="AQ286" i="7" s="1"/>
  <c r="AC286" i="7"/>
  <c r="AN286" i="7" s="1"/>
  <c r="AB286" i="7"/>
  <c r="AA286"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AJ285" i="7"/>
  <c r="AI285" i="7"/>
  <c r="AH285" i="7"/>
  <c r="AG285" i="7"/>
  <c r="AF285" i="7"/>
  <c r="AE285" i="7"/>
  <c r="AD285" i="7"/>
  <c r="AQ285" i="7" s="1"/>
  <c r="AC285" i="7"/>
  <c r="AN285" i="7" s="1"/>
  <c r="AB285" i="7"/>
  <c r="AA285" i="7"/>
  <c r="Z285" i="7"/>
  <c r="Y285" i="7"/>
  <c r="X285" i="7"/>
  <c r="W285" i="7"/>
  <c r="V285" i="7"/>
  <c r="AO285" i="7" s="1"/>
  <c r="U285" i="7"/>
  <c r="T285" i="7"/>
  <c r="S285" i="7"/>
  <c r="R285" i="7"/>
  <c r="Q285" i="7"/>
  <c r="P285" i="7"/>
  <c r="O285" i="7"/>
  <c r="N285" i="7"/>
  <c r="M285" i="7"/>
  <c r="L285" i="7"/>
  <c r="K285" i="7"/>
  <c r="J285" i="7"/>
  <c r="I285" i="7"/>
  <c r="H285" i="7"/>
  <c r="G285" i="7"/>
  <c r="F285" i="7"/>
  <c r="E285" i="7"/>
  <c r="D285" i="7"/>
  <c r="C285" i="7"/>
  <c r="B285" i="7"/>
  <c r="A285" i="7"/>
  <c r="AJ284" i="7"/>
  <c r="AI284" i="7"/>
  <c r="AH284" i="7"/>
  <c r="AG284" i="7"/>
  <c r="AF284" i="7"/>
  <c r="AE284" i="7"/>
  <c r="AD284" i="7"/>
  <c r="AQ284" i="7" s="1"/>
  <c r="AC284" i="7"/>
  <c r="AN284" i="7" s="1"/>
  <c r="AB284" i="7"/>
  <c r="AA284" i="7"/>
  <c r="Z284" i="7"/>
  <c r="Y284" i="7"/>
  <c r="X284" i="7"/>
  <c r="W284" i="7"/>
  <c r="V284" i="7"/>
  <c r="AO284" i="7" s="1"/>
  <c r="U284" i="7"/>
  <c r="T284" i="7"/>
  <c r="S284" i="7"/>
  <c r="R284" i="7"/>
  <c r="Q284" i="7"/>
  <c r="P284" i="7"/>
  <c r="O284" i="7"/>
  <c r="N284" i="7"/>
  <c r="M284" i="7"/>
  <c r="L284" i="7"/>
  <c r="K284" i="7"/>
  <c r="J284" i="7"/>
  <c r="I284" i="7"/>
  <c r="H284" i="7"/>
  <c r="G284" i="7"/>
  <c r="F284" i="7"/>
  <c r="E284" i="7"/>
  <c r="D284" i="7"/>
  <c r="C284" i="7"/>
  <c r="B284" i="7"/>
  <c r="A284" i="7"/>
  <c r="AJ283" i="7"/>
  <c r="AI283" i="7"/>
  <c r="AH283" i="7"/>
  <c r="AG283" i="7"/>
  <c r="AF283" i="7"/>
  <c r="AE283" i="7"/>
  <c r="AD283" i="7"/>
  <c r="AQ283" i="7" s="1"/>
  <c r="AC283" i="7"/>
  <c r="AN283" i="7" s="1"/>
  <c r="AB283" i="7"/>
  <c r="AA283"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AJ282" i="7"/>
  <c r="AI282" i="7"/>
  <c r="AH282" i="7"/>
  <c r="AG282" i="7"/>
  <c r="AF282" i="7"/>
  <c r="AE282" i="7"/>
  <c r="AD282" i="7"/>
  <c r="AQ282" i="7" s="1"/>
  <c r="AC282" i="7"/>
  <c r="AN282" i="7" s="1"/>
  <c r="AB282" i="7"/>
  <c r="AA282"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AJ281" i="7"/>
  <c r="AI281" i="7"/>
  <c r="AH281" i="7"/>
  <c r="AG281" i="7"/>
  <c r="AF281" i="7"/>
  <c r="AE281" i="7"/>
  <c r="AD281" i="7"/>
  <c r="AQ281" i="7" s="1"/>
  <c r="AC281" i="7"/>
  <c r="AN281" i="7" s="1"/>
  <c r="AB281" i="7"/>
  <c r="AA281" i="7"/>
  <c r="Z281" i="7"/>
  <c r="Y281" i="7"/>
  <c r="X281" i="7"/>
  <c r="W281" i="7"/>
  <c r="V281" i="7"/>
  <c r="U281" i="7"/>
  <c r="T281" i="7"/>
  <c r="S281" i="7"/>
  <c r="R281" i="7"/>
  <c r="Q281" i="7"/>
  <c r="P281" i="7"/>
  <c r="O281" i="7"/>
  <c r="N281" i="7"/>
  <c r="M281" i="7"/>
  <c r="L281" i="7"/>
  <c r="K281" i="7"/>
  <c r="J281" i="7"/>
  <c r="I281" i="7"/>
  <c r="H281" i="7"/>
  <c r="G281" i="7"/>
  <c r="F281" i="7"/>
  <c r="E281" i="7"/>
  <c r="D281" i="7"/>
  <c r="C281" i="7"/>
  <c r="B281" i="7"/>
  <c r="A281" i="7"/>
  <c r="AJ280" i="7"/>
  <c r="AI280" i="7"/>
  <c r="AH280" i="7"/>
  <c r="AG280" i="7"/>
  <c r="AF280" i="7"/>
  <c r="AE280" i="7"/>
  <c r="AD280" i="7"/>
  <c r="AQ280" i="7" s="1"/>
  <c r="AC280" i="7"/>
  <c r="AN280" i="7" s="1"/>
  <c r="AB280" i="7"/>
  <c r="AA280" i="7"/>
  <c r="Z280" i="7"/>
  <c r="Y280" i="7"/>
  <c r="X280" i="7"/>
  <c r="W280" i="7"/>
  <c r="V280" i="7"/>
  <c r="U280" i="7"/>
  <c r="T280" i="7"/>
  <c r="S280" i="7"/>
  <c r="R280" i="7"/>
  <c r="Q280" i="7"/>
  <c r="P280" i="7"/>
  <c r="O280" i="7"/>
  <c r="N280" i="7"/>
  <c r="M280" i="7"/>
  <c r="L280" i="7"/>
  <c r="K280" i="7"/>
  <c r="J280" i="7"/>
  <c r="I280" i="7"/>
  <c r="H280" i="7"/>
  <c r="G280" i="7"/>
  <c r="F280" i="7"/>
  <c r="E280" i="7"/>
  <c r="D280" i="7"/>
  <c r="C280" i="7"/>
  <c r="B280" i="7"/>
  <c r="A280" i="7"/>
  <c r="AJ279" i="7"/>
  <c r="AI279" i="7"/>
  <c r="AH279" i="7"/>
  <c r="AG279" i="7"/>
  <c r="AF279" i="7"/>
  <c r="AE279" i="7"/>
  <c r="AD279" i="7"/>
  <c r="AQ279" i="7" s="1"/>
  <c r="AC279" i="7"/>
  <c r="AN279" i="7" s="1"/>
  <c r="AB279" i="7"/>
  <c r="AA279"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AJ278" i="7"/>
  <c r="AI278" i="7"/>
  <c r="AH278" i="7"/>
  <c r="AG278" i="7"/>
  <c r="AF278" i="7"/>
  <c r="AE278" i="7"/>
  <c r="AD278" i="7"/>
  <c r="AQ278" i="7" s="1"/>
  <c r="AC278" i="7"/>
  <c r="AN278" i="7" s="1"/>
  <c r="AB278" i="7"/>
  <c r="AA278" i="7"/>
  <c r="Z278" i="7"/>
  <c r="Y278" i="7"/>
  <c r="X278" i="7"/>
  <c r="W278" i="7"/>
  <c r="V278" i="7"/>
  <c r="AO278" i="7" s="1"/>
  <c r="U278" i="7"/>
  <c r="T278" i="7"/>
  <c r="S278" i="7"/>
  <c r="R278" i="7"/>
  <c r="Q278" i="7"/>
  <c r="P278" i="7"/>
  <c r="O278" i="7"/>
  <c r="N278" i="7"/>
  <c r="M278" i="7"/>
  <c r="L278" i="7"/>
  <c r="K278" i="7"/>
  <c r="J278" i="7"/>
  <c r="I278" i="7"/>
  <c r="H278" i="7"/>
  <c r="G278" i="7"/>
  <c r="F278" i="7"/>
  <c r="E278" i="7"/>
  <c r="D278" i="7"/>
  <c r="C278" i="7"/>
  <c r="B278" i="7"/>
  <c r="A278" i="7"/>
  <c r="AJ277" i="7"/>
  <c r="AI277" i="7"/>
  <c r="AH277" i="7"/>
  <c r="AG277" i="7"/>
  <c r="AF277" i="7"/>
  <c r="AE277" i="7"/>
  <c r="AD277" i="7"/>
  <c r="AQ277" i="7" s="1"/>
  <c r="AC277" i="7"/>
  <c r="AN277" i="7" s="1"/>
  <c r="AB277" i="7"/>
  <c r="AA277" i="7"/>
  <c r="Z277" i="7"/>
  <c r="Y277" i="7"/>
  <c r="X277" i="7"/>
  <c r="W277" i="7"/>
  <c r="V277" i="7"/>
  <c r="AO277" i="7" s="1"/>
  <c r="U277" i="7"/>
  <c r="T277" i="7"/>
  <c r="S277" i="7"/>
  <c r="R277" i="7"/>
  <c r="Q277" i="7"/>
  <c r="P277" i="7"/>
  <c r="O277" i="7"/>
  <c r="N277" i="7"/>
  <c r="M277" i="7"/>
  <c r="L277" i="7"/>
  <c r="K277" i="7"/>
  <c r="J277" i="7"/>
  <c r="I277" i="7"/>
  <c r="H277" i="7"/>
  <c r="G277" i="7"/>
  <c r="F277" i="7"/>
  <c r="E277" i="7"/>
  <c r="D277" i="7"/>
  <c r="C277" i="7"/>
  <c r="B277" i="7"/>
  <c r="A277" i="7"/>
  <c r="AJ276" i="7"/>
  <c r="AI276" i="7"/>
  <c r="AH276" i="7"/>
  <c r="AG276" i="7"/>
  <c r="AF276" i="7"/>
  <c r="AE276" i="7"/>
  <c r="AD276" i="7"/>
  <c r="AQ276" i="7" s="1"/>
  <c r="AC276" i="7"/>
  <c r="AN276" i="7" s="1"/>
  <c r="AB276" i="7"/>
  <c r="AA276" i="7"/>
  <c r="Z276" i="7"/>
  <c r="Y276" i="7"/>
  <c r="X276" i="7"/>
  <c r="W276" i="7"/>
  <c r="V276" i="7"/>
  <c r="U276" i="7"/>
  <c r="T276" i="7"/>
  <c r="S276" i="7"/>
  <c r="R276" i="7"/>
  <c r="Q276" i="7"/>
  <c r="P276" i="7"/>
  <c r="O276" i="7"/>
  <c r="N276" i="7"/>
  <c r="M276" i="7"/>
  <c r="L276" i="7"/>
  <c r="K276" i="7"/>
  <c r="J276" i="7"/>
  <c r="I276" i="7"/>
  <c r="H276" i="7"/>
  <c r="G276" i="7"/>
  <c r="F276" i="7"/>
  <c r="E276" i="7"/>
  <c r="D276" i="7"/>
  <c r="C276" i="7"/>
  <c r="B276" i="7"/>
  <c r="A276" i="7"/>
  <c r="AJ275" i="7"/>
  <c r="AI275" i="7"/>
  <c r="AH275" i="7"/>
  <c r="AG275" i="7"/>
  <c r="AF275" i="7"/>
  <c r="AE275" i="7"/>
  <c r="AD275" i="7"/>
  <c r="AQ275" i="7" s="1"/>
  <c r="AC275" i="7"/>
  <c r="AN275" i="7" s="1"/>
  <c r="AB275" i="7"/>
  <c r="AA275"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AJ274" i="7"/>
  <c r="AI274" i="7"/>
  <c r="AH274" i="7"/>
  <c r="AG274" i="7"/>
  <c r="AF274" i="7"/>
  <c r="AE274" i="7"/>
  <c r="AD274" i="7"/>
  <c r="AQ274" i="7" s="1"/>
  <c r="AC274" i="7"/>
  <c r="AN274" i="7" s="1"/>
  <c r="AB274" i="7"/>
  <c r="AA274" i="7"/>
  <c r="Z274" i="7"/>
  <c r="Y274" i="7"/>
  <c r="X274" i="7"/>
  <c r="W274" i="7"/>
  <c r="V274" i="7"/>
  <c r="AO274" i="7" s="1"/>
  <c r="U274" i="7"/>
  <c r="T274" i="7"/>
  <c r="S274" i="7"/>
  <c r="R274" i="7"/>
  <c r="Q274" i="7"/>
  <c r="P274" i="7"/>
  <c r="O274" i="7"/>
  <c r="N274" i="7"/>
  <c r="M274" i="7"/>
  <c r="L274" i="7"/>
  <c r="K274" i="7"/>
  <c r="J274" i="7"/>
  <c r="I274" i="7"/>
  <c r="H274" i="7"/>
  <c r="G274" i="7"/>
  <c r="F274" i="7"/>
  <c r="E274" i="7"/>
  <c r="D274" i="7"/>
  <c r="C274" i="7"/>
  <c r="B274" i="7"/>
  <c r="A274" i="7"/>
  <c r="AJ273" i="7"/>
  <c r="AI273" i="7"/>
  <c r="AH273" i="7"/>
  <c r="AG273" i="7"/>
  <c r="AF273" i="7"/>
  <c r="AE273" i="7"/>
  <c r="AD273" i="7"/>
  <c r="AQ273" i="7" s="1"/>
  <c r="AC273" i="7"/>
  <c r="AN273" i="7" s="1"/>
  <c r="AB273" i="7"/>
  <c r="AA273" i="7"/>
  <c r="Z273" i="7"/>
  <c r="Y273" i="7"/>
  <c r="X273" i="7"/>
  <c r="W273" i="7"/>
  <c r="V273" i="7"/>
  <c r="AO273" i="7" s="1"/>
  <c r="U273" i="7"/>
  <c r="T273" i="7"/>
  <c r="S273" i="7"/>
  <c r="R273" i="7"/>
  <c r="Q273" i="7"/>
  <c r="P273" i="7"/>
  <c r="O273" i="7"/>
  <c r="N273" i="7"/>
  <c r="M273" i="7"/>
  <c r="L273" i="7"/>
  <c r="K273" i="7"/>
  <c r="J273" i="7"/>
  <c r="I273" i="7"/>
  <c r="H273" i="7"/>
  <c r="G273" i="7"/>
  <c r="F273" i="7"/>
  <c r="E273" i="7"/>
  <c r="D273" i="7"/>
  <c r="C273" i="7"/>
  <c r="B273" i="7"/>
  <c r="A273" i="7"/>
  <c r="AJ272" i="7"/>
  <c r="AI272" i="7"/>
  <c r="AH272" i="7"/>
  <c r="AG272" i="7"/>
  <c r="AF272" i="7"/>
  <c r="AE272" i="7"/>
  <c r="AD272" i="7"/>
  <c r="AQ272" i="7" s="1"/>
  <c r="AC272" i="7"/>
  <c r="AN272" i="7" s="1"/>
  <c r="AB272" i="7"/>
  <c r="AA272" i="7"/>
  <c r="Z272" i="7"/>
  <c r="Y272" i="7"/>
  <c r="X272" i="7"/>
  <c r="W272" i="7"/>
  <c r="V272" i="7"/>
  <c r="U272" i="7"/>
  <c r="T272" i="7"/>
  <c r="S272" i="7"/>
  <c r="R272" i="7"/>
  <c r="Q272" i="7"/>
  <c r="P272" i="7"/>
  <c r="O272" i="7"/>
  <c r="N272" i="7"/>
  <c r="M272" i="7"/>
  <c r="L272" i="7"/>
  <c r="K272" i="7"/>
  <c r="J272" i="7"/>
  <c r="I272" i="7"/>
  <c r="H272" i="7"/>
  <c r="G272" i="7"/>
  <c r="F272" i="7"/>
  <c r="E272" i="7"/>
  <c r="D272" i="7"/>
  <c r="C272" i="7"/>
  <c r="B272" i="7"/>
  <c r="A272" i="7"/>
  <c r="AJ271" i="7"/>
  <c r="AI271" i="7"/>
  <c r="AH271" i="7"/>
  <c r="AG271" i="7"/>
  <c r="AF271" i="7"/>
  <c r="AE271" i="7"/>
  <c r="AD271" i="7"/>
  <c r="AQ271" i="7" s="1"/>
  <c r="AC271" i="7"/>
  <c r="AN271" i="7" s="1"/>
  <c r="AB271" i="7"/>
  <c r="AA271"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AJ270" i="7"/>
  <c r="AI270" i="7"/>
  <c r="AH270" i="7"/>
  <c r="AG270" i="7"/>
  <c r="AF270" i="7"/>
  <c r="AE270" i="7"/>
  <c r="AD270" i="7"/>
  <c r="AQ270" i="7" s="1"/>
  <c r="AC270" i="7"/>
  <c r="AN270" i="7" s="1"/>
  <c r="AB270" i="7"/>
  <c r="AA270"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AJ269" i="7"/>
  <c r="AI269" i="7"/>
  <c r="AH269" i="7"/>
  <c r="AG269" i="7"/>
  <c r="AF269" i="7"/>
  <c r="AE269" i="7"/>
  <c r="AD269" i="7"/>
  <c r="AQ269" i="7" s="1"/>
  <c r="AC269" i="7"/>
  <c r="AN269" i="7" s="1"/>
  <c r="AB269" i="7"/>
  <c r="AA269" i="7"/>
  <c r="Z269" i="7"/>
  <c r="Y269" i="7"/>
  <c r="X269" i="7"/>
  <c r="W269" i="7"/>
  <c r="V269" i="7"/>
  <c r="AO269" i="7" s="1"/>
  <c r="U269" i="7"/>
  <c r="T269" i="7"/>
  <c r="S269" i="7"/>
  <c r="R269" i="7"/>
  <c r="Q269" i="7"/>
  <c r="P269" i="7"/>
  <c r="O269" i="7"/>
  <c r="N269" i="7"/>
  <c r="M269" i="7"/>
  <c r="L269" i="7"/>
  <c r="K269" i="7"/>
  <c r="J269" i="7"/>
  <c r="I269" i="7"/>
  <c r="H269" i="7"/>
  <c r="G269" i="7"/>
  <c r="F269" i="7"/>
  <c r="E269" i="7"/>
  <c r="D269" i="7"/>
  <c r="C269" i="7"/>
  <c r="B269" i="7"/>
  <c r="A269" i="7"/>
  <c r="AJ268" i="7"/>
  <c r="AI268" i="7"/>
  <c r="AH268" i="7"/>
  <c r="AG268" i="7"/>
  <c r="AF268" i="7"/>
  <c r="AE268" i="7"/>
  <c r="AD268" i="7"/>
  <c r="AQ268" i="7" s="1"/>
  <c r="AC268" i="7"/>
  <c r="AN268" i="7" s="1"/>
  <c r="AB268" i="7"/>
  <c r="AA268" i="7"/>
  <c r="Z268" i="7"/>
  <c r="Y268" i="7"/>
  <c r="X268" i="7"/>
  <c r="W268" i="7"/>
  <c r="V268" i="7"/>
  <c r="AO268" i="7" s="1"/>
  <c r="U268" i="7"/>
  <c r="T268" i="7"/>
  <c r="S268" i="7"/>
  <c r="R268" i="7"/>
  <c r="Q268" i="7"/>
  <c r="P268" i="7"/>
  <c r="O268" i="7"/>
  <c r="N268" i="7"/>
  <c r="M268" i="7"/>
  <c r="L268" i="7"/>
  <c r="K268" i="7"/>
  <c r="J268" i="7"/>
  <c r="I268" i="7"/>
  <c r="H268" i="7"/>
  <c r="G268" i="7"/>
  <c r="F268" i="7"/>
  <c r="E268" i="7"/>
  <c r="D268" i="7"/>
  <c r="C268" i="7"/>
  <c r="B268" i="7"/>
  <c r="A268" i="7"/>
  <c r="AJ267" i="7"/>
  <c r="AI267" i="7"/>
  <c r="AH267" i="7"/>
  <c r="AG267" i="7"/>
  <c r="AF267" i="7"/>
  <c r="AE267" i="7"/>
  <c r="AD267" i="7"/>
  <c r="AQ267" i="7" s="1"/>
  <c r="AC267" i="7"/>
  <c r="AN267" i="7" s="1"/>
  <c r="AB267" i="7"/>
  <c r="AA267" i="7"/>
  <c r="Z267" i="7"/>
  <c r="Y267" i="7"/>
  <c r="X267" i="7"/>
  <c r="W267" i="7"/>
  <c r="V267" i="7"/>
  <c r="AO267" i="7" s="1"/>
  <c r="U267" i="7"/>
  <c r="T267" i="7"/>
  <c r="S267" i="7"/>
  <c r="R267" i="7"/>
  <c r="Q267" i="7"/>
  <c r="P267" i="7"/>
  <c r="O267" i="7"/>
  <c r="N267" i="7"/>
  <c r="M267" i="7"/>
  <c r="L267" i="7"/>
  <c r="AK267" i="7" s="1"/>
  <c r="K267" i="7"/>
  <c r="J267" i="7"/>
  <c r="I267" i="7"/>
  <c r="H267" i="7"/>
  <c r="G267" i="7"/>
  <c r="F267" i="7"/>
  <c r="E267" i="7"/>
  <c r="D267" i="7"/>
  <c r="C267" i="7"/>
  <c r="B267" i="7"/>
  <c r="A267" i="7"/>
  <c r="AJ266" i="7"/>
  <c r="AI266" i="7"/>
  <c r="AH266" i="7"/>
  <c r="AG266" i="7"/>
  <c r="AF266" i="7"/>
  <c r="AE266" i="7"/>
  <c r="AD266" i="7"/>
  <c r="AQ266" i="7" s="1"/>
  <c r="AC266" i="7"/>
  <c r="AN266" i="7" s="1"/>
  <c r="AB266" i="7"/>
  <c r="AA266"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AJ265" i="7"/>
  <c r="AI265" i="7"/>
  <c r="AH265" i="7"/>
  <c r="AG265" i="7"/>
  <c r="AF265" i="7"/>
  <c r="AE265" i="7"/>
  <c r="AD265" i="7"/>
  <c r="AQ265" i="7" s="1"/>
  <c r="AC265" i="7"/>
  <c r="AN265" i="7" s="1"/>
  <c r="AB265" i="7"/>
  <c r="AA265" i="7"/>
  <c r="Z265" i="7"/>
  <c r="Y265" i="7"/>
  <c r="X265" i="7"/>
  <c r="W265" i="7"/>
  <c r="V265" i="7"/>
  <c r="U265" i="7"/>
  <c r="T265" i="7"/>
  <c r="S265" i="7"/>
  <c r="R265" i="7"/>
  <c r="Q265" i="7"/>
  <c r="P265" i="7"/>
  <c r="O265" i="7"/>
  <c r="N265" i="7"/>
  <c r="M265" i="7"/>
  <c r="L265" i="7"/>
  <c r="K265" i="7"/>
  <c r="J265" i="7"/>
  <c r="I265" i="7"/>
  <c r="H265" i="7"/>
  <c r="G265" i="7"/>
  <c r="F265" i="7"/>
  <c r="E265" i="7"/>
  <c r="D265" i="7"/>
  <c r="C265" i="7"/>
  <c r="B265" i="7"/>
  <c r="A265" i="7"/>
  <c r="AJ264" i="7"/>
  <c r="AI264" i="7"/>
  <c r="AH264" i="7"/>
  <c r="AG264" i="7"/>
  <c r="AF264" i="7"/>
  <c r="AE264" i="7"/>
  <c r="AD264" i="7"/>
  <c r="AQ264" i="7" s="1"/>
  <c r="AC264" i="7"/>
  <c r="AN264" i="7" s="1"/>
  <c r="AB264" i="7"/>
  <c r="AA264" i="7"/>
  <c r="Z264" i="7"/>
  <c r="Y264" i="7"/>
  <c r="X264" i="7"/>
  <c r="W264" i="7"/>
  <c r="V264" i="7"/>
  <c r="U264" i="7"/>
  <c r="T264" i="7"/>
  <c r="S264" i="7"/>
  <c r="R264" i="7"/>
  <c r="Q264" i="7"/>
  <c r="P264" i="7"/>
  <c r="O264" i="7"/>
  <c r="N264" i="7"/>
  <c r="M264" i="7"/>
  <c r="L264" i="7"/>
  <c r="K264" i="7"/>
  <c r="J264" i="7"/>
  <c r="I264" i="7"/>
  <c r="H264" i="7"/>
  <c r="G264" i="7"/>
  <c r="F264" i="7"/>
  <c r="E264" i="7"/>
  <c r="D264" i="7"/>
  <c r="C264" i="7"/>
  <c r="B264" i="7"/>
  <c r="A264" i="7"/>
  <c r="AJ263" i="7"/>
  <c r="AI263" i="7"/>
  <c r="AH263" i="7"/>
  <c r="AG263" i="7"/>
  <c r="AF263" i="7"/>
  <c r="AE263" i="7"/>
  <c r="AD263" i="7"/>
  <c r="AQ263" i="7" s="1"/>
  <c r="AC263" i="7"/>
  <c r="AN263" i="7" s="1"/>
  <c r="AB263" i="7"/>
  <c r="AA263"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AJ262" i="7"/>
  <c r="AI262" i="7"/>
  <c r="AH262" i="7"/>
  <c r="AG262" i="7"/>
  <c r="AF262" i="7"/>
  <c r="AE262" i="7"/>
  <c r="AD262" i="7"/>
  <c r="AQ262" i="7" s="1"/>
  <c r="AC262" i="7"/>
  <c r="AN262" i="7" s="1"/>
  <c r="AB262" i="7"/>
  <c r="AA262" i="7"/>
  <c r="Z262" i="7"/>
  <c r="Y262" i="7"/>
  <c r="X262" i="7"/>
  <c r="W262" i="7"/>
  <c r="V262" i="7"/>
  <c r="AO262" i="7" s="1"/>
  <c r="U262" i="7"/>
  <c r="T262" i="7"/>
  <c r="S262" i="7"/>
  <c r="R262" i="7"/>
  <c r="Q262" i="7"/>
  <c r="P262" i="7"/>
  <c r="O262" i="7"/>
  <c r="N262" i="7"/>
  <c r="M262" i="7"/>
  <c r="L262" i="7"/>
  <c r="K262" i="7"/>
  <c r="J262" i="7"/>
  <c r="I262" i="7"/>
  <c r="H262" i="7"/>
  <c r="G262" i="7"/>
  <c r="F262" i="7"/>
  <c r="E262" i="7"/>
  <c r="D262" i="7"/>
  <c r="C262" i="7"/>
  <c r="B262" i="7"/>
  <c r="A262" i="7"/>
  <c r="AJ261" i="7"/>
  <c r="AI261" i="7"/>
  <c r="AH261" i="7"/>
  <c r="AG261" i="7"/>
  <c r="AF261" i="7"/>
  <c r="AE261" i="7"/>
  <c r="AD261" i="7"/>
  <c r="AQ261" i="7" s="1"/>
  <c r="AC261" i="7"/>
  <c r="AN261" i="7" s="1"/>
  <c r="AB261" i="7"/>
  <c r="AA261" i="7"/>
  <c r="Z261" i="7"/>
  <c r="Y261" i="7"/>
  <c r="X261" i="7"/>
  <c r="W261" i="7"/>
  <c r="V261" i="7"/>
  <c r="AO261" i="7" s="1"/>
  <c r="U261" i="7"/>
  <c r="T261" i="7"/>
  <c r="S261" i="7"/>
  <c r="R261" i="7"/>
  <c r="Q261" i="7"/>
  <c r="P261" i="7"/>
  <c r="O261" i="7"/>
  <c r="N261" i="7"/>
  <c r="M261" i="7"/>
  <c r="L261" i="7"/>
  <c r="K261" i="7"/>
  <c r="J261" i="7"/>
  <c r="I261" i="7"/>
  <c r="H261" i="7"/>
  <c r="G261" i="7"/>
  <c r="F261" i="7"/>
  <c r="E261" i="7"/>
  <c r="D261" i="7"/>
  <c r="C261" i="7"/>
  <c r="B261" i="7"/>
  <c r="A261" i="7"/>
  <c r="AJ260" i="7"/>
  <c r="AI260" i="7"/>
  <c r="AH260" i="7"/>
  <c r="AG260" i="7"/>
  <c r="AF260" i="7"/>
  <c r="AE260" i="7"/>
  <c r="AD260" i="7"/>
  <c r="AQ260" i="7" s="1"/>
  <c r="AC260" i="7"/>
  <c r="AN260" i="7" s="1"/>
  <c r="AB260" i="7"/>
  <c r="AA260" i="7"/>
  <c r="Z260" i="7"/>
  <c r="Y260" i="7"/>
  <c r="X260" i="7"/>
  <c r="W260" i="7"/>
  <c r="V260" i="7"/>
  <c r="U260" i="7"/>
  <c r="T260" i="7"/>
  <c r="S260" i="7"/>
  <c r="R260" i="7"/>
  <c r="Q260" i="7"/>
  <c r="P260" i="7"/>
  <c r="O260" i="7"/>
  <c r="N260" i="7"/>
  <c r="M260" i="7"/>
  <c r="L260" i="7"/>
  <c r="K260" i="7"/>
  <c r="J260" i="7"/>
  <c r="I260" i="7"/>
  <c r="H260" i="7"/>
  <c r="G260" i="7"/>
  <c r="F260" i="7"/>
  <c r="E260" i="7"/>
  <c r="D260" i="7"/>
  <c r="C260" i="7"/>
  <c r="B260" i="7"/>
  <c r="A260" i="7"/>
  <c r="AJ259" i="7"/>
  <c r="AI259" i="7"/>
  <c r="AH259" i="7"/>
  <c r="AG259" i="7"/>
  <c r="AF259" i="7"/>
  <c r="AE259" i="7"/>
  <c r="AD259" i="7"/>
  <c r="AQ259" i="7" s="1"/>
  <c r="AC259" i="7"/>
  <c r="AN259" i="7" s="1"/>
  <c r="AB259" i="7"/>
  <c r="AA259"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AJ258" i="7"/>
  <c r="AI258" i="7"/>
  <c r="AH258" i="7"/>
  <c r="AG258" i="7"/>
  <c r="AF258" i="7"/>
  <c r="AE258" i="7"/>
  <c r="AD258" i="7"/>
  <c r="AQ258" i="7" s="1"/>
  <c r="AC258" i="7"/>
  <c r="AN258" i="7" s="1"/>
  <c r="AB258" i="7"/>
  <c r="AA258"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AJ257" i="7"/>
  <c r="AI257" i="7"/>
  <c r="AH257" i="7"/>
  <c r="AG257" i="7"/>
  <c r="AF257" i="7"/>
  <c r="AE257" i="7"/>
  <c r="AD257" i="7"/>
  <c r="AQ257" i="7" s="1"/>
  <c r="AC257" i="7"/>
  <c r="AN257" i="7" s="1"/>
  <c r="AB257" i="7"/>
  <c r="AA257" i="7"/>
  <c r="Z257" i="7"/>
  <c r="Y257" i="7"/>
  <c r="X257" i="7"/>
  <c r="W257" i="7"/>
  <c r="V257" i="7"/>
  <c r="AO257" i="7" s="1"/>
  <c r="U257" i="7"/>
  <c r="T257" i="7"/>
  <c r="S257" i="7"/>
  <c r="R257" i="7"/>
  <c r="Q257" i="7"/>
  <c r="P257" i="7"/>
  <c r="O257" i="7"/>
  <c r="N257" i="7"/>
  <c r="M257" i="7"/>
  <c r="L257" i="7"/>
  <c r="K257" i="7"/>
  <c r="J257" i="7"/>
  <c r="I257" i="7"/>
  <c r="H257" i="7"/>
  <c r="G257" i="7"/>
  <c r="F257" i="7"/>
  <c r="E257" i="7"/>
  <c r="D257" i="7"/>
  <c r="C257" i="7"/>
  <c r="B257" i="7"/>
  <c r="A257" i="7"/>
  <c r="AJ256" i="7"/>
  <c r="AI256" i="7"/>
  <c r="AH256" i="7"/>
  <c r="AG256" i="7"/>
  <c r="AF256" i="7"/>
  <c r="AE256" i="7"/>
  <c r="AD256" i="7"/>
  <c r="AQ256" i="7" s="1"/>
  <c r="AC256" i="7"/>
  <c r="AN256" i="7" s="1"/>
  <c r="AB256" i="7"/>
  <c r="AA256" i="7"/>
  <c r="Z256" i="7"/>
  <c r="Y256" i="7"/>
  <c r="X256" i="7"/>
  <c r="W256" i="7"/>
  <c r="V256" i="7"/>
  <c r="AO256" i="7" s="1"/>
  <c r="U256" i="7"/>
  <c r="T256" i="7"/>
  <c r="S256" i="7"/>
  <c r="R256" i="7"/>
  <c r="Q256" i="7"/>
  <c r="P256" i="7"/>
  <c r="O256" i="7"/>
  <c r="N256" i="7"/>
  <c r="M256" i="7"/>
  <c r="L256" i="7"/>
  <c r="K256" i="7"/>
  <c r="J256" i="7"/>
  <c r="I256" i="7"/>
  <c r="H256" i="7"/>
  <c r="G256" i="7"/>
  <c r="F256" i="7"/>
  <c r="E256" i="7"/>
  <c r="D256" i="7"/>
  <c r="C256" i="7"/>
  <c r="B256" i="7"/>
  <c r="A256" i="7"/>
  <c r="AJ255" i="7"/>
  <c r="AI255" i="7"/>
  <c r="AH255" i="7"/>
  <c r="AG255" i="7"/>
  <c r="AF255" i="7"/>
  <c r="AE255" i="7"/>
  <c r="AD255" i="7"/>
  <c r="AQ255" i="7" s="1"/>
  <c r="AC255" i="7"/>
  <c r="AN255" i="7" s="1"/>
  <c r="AB255" i="7"/>
  <c r="AA255"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AJ254" i="7"/>
  <c r="AI254" i="7"/>
  <c r="AH254" i="7"/>
  <c r="AG254" i="7"/>
  <c r="AF254" i="7"/>
  <c r="AE254" i="7"/>
  <c r="AD254" i="7"/>
  <c r="AQ254" i="7" s="1"/>
  <c r="AC254" i="7"/>
  <c r="AN254" i="7" s="1"/>
  <c r="AB254" i="7"/>
  <c r="AA254" i="7"/>
  <c r="Z254" i="7"/>
  <c r="Y254" i="7"/>
  <c r="X254" i="7"/>
  <c r="W254" i="7"/>
  <c r="V254" i="7"/>
  <c r="AO254" i="7" s="1"/>
  <c r="U254" i="7"/>
  <c r="T254" i="7"/>
  <c r="S254" i="7"/>
  <c r="R254" i="7"/>
  <c r="Q254" i="7"/>
  <c r="P254" i="7"/>
  <c r="O254" i="7"/>
  <c r="N254" i="7"/>
  <c r="M254" i="7"/>
  <c r="L254" i="7"/>
  <c r="K254" i="7"/>
  <c r="J254" i="7"/>
  <c r="I254" i="7"/>
  <c r="H254" i="7"/>
  <c r="G254" i="7"/>
  <c r="F254" i="7"/>
  <c r="E254" i="7"/>
  <c r="D254" i="7"/>
  <c r="C254" i="7"/>
  <c r="B254" i="7"/>
  <c r="A254" i="7"/>
  <c r="AJ253" i="7"/>
  <c r="AI253" i="7"/>
  <c r="AH253" i="7"/>
  <c r="AG253" i="7"/>
  <c r="AF253" i="7"/>
  <c r="AE253" i="7"/>
  <c r="AD253" i="7"/>
  <c r="AQ253" i="7" s="1"/>
  <c r="AC253" i="7"/>
  <c r="AN253" i="7" s="1"/>
  <c r="AB253" i="7"/>
  <c r="AA253" i="7"/>
  <c r="Z253" i="7"/>
  <c r="Y253" i="7"/>
  <c r="X253" i="7"/>
  <c r="W253" i="7"/>
  <c r="V253" i="7"/>
  <c r="U253" i="7"/>
  <c r="T253" i="7"/>
  <c r="S253" i="7"/>
  <c r="R253" i="7"/>
  <c r="Q253" i="7"/>
  <c r="P253" i="7"/>
  <c r="O253" i="7"/>
  <c r="N253" i="7"/>
  <c r="M253" i="7"/>
  <c r="L253" i="7"/>
  <c r="K253" i="7"/>
  <c r="J253" i="7"/>
  <c r="I253" i="7"/>
  <c r="H253" i="7"/>
  <c r="G253" i="7"/>
  <c r="F253" i="7"/>
  <c r="E253" i="7"/>
  <c r="D253" i="7"/>
  <c r="C253" i="7"/>
  <c r="B253" i="7"/>
  <c r="A253" i="7"/>
  <c r="AJ252" i="7"/>
  <c r="AI252" i="7"/>
  <c r="AH252" i="7"/>
  <c r="AG252" i="7"/>
  <c r="AF252" i="7"/>
  <c r="AE252" i="7"/>
  <c r="AD252" i="7"/>
  <c r="AQ252" i="7" s="1"/>
  <c r="AC252" i="7"/>
  <c r="AN252" i="7" s="1"/>
  <c r="AB252" i="7"/>
  <c r="AA252" i="7"/>
  <c r="Z252" i="7"/>
  <c r="Y252" i="7"/>
  <c r="X252" i="7"/>
  <c r="W252" i="7"/>
  <c r="V252" i="7"/>
  <c r="U252" i="7"/>
  <c r="T252" i="7"/>
  <c r="S252" i="7"/>
  <c r="R252" i="7"/>
  <c r="Q252" i="7"/>
  <c r="P252" i="7"/>
  <c r="O252" i="7"/>
  <c r="N252" i="7"/>
  <c r="M252" i="7"/>
  <c r="L252" i="7"/>
  <c r="K252" i="7"/>
  <c r="J252" i="7"/>
  <c r="I252" i="7"/>
  <c r="H252" i="7"/>
  <c r="G252" i="7"/>
  <c r="F252" i="7"/>
  <c r="E252" i="7"/>
  <c r="D252" i="7"/>
  <c r="C252" i="7"/>
  <c r="B252" i="7"/>
  <c r="A252" i="7"/>
  <c r="AJ251" i="7"/>
  <c r="AI251" i="7"/>
  <c r="AH251" i="7"/>
  <c r="AG251" i="7"/>
  <c r="AF251" i="7"/>
  <c r="AE251" i="7"/>
  <c r="AD251" i="7"/>
  <c r="AQ251" i="7" s="1"/>
  <c r="AC251" i="7"/>
  <c r="AN251" i="7" s="1"/>
  <c r="AB251" i="7"/>
  <c r="AA251"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AJ250" i="7"/>
  <c r="AI250" i="7"/>
  <c r="AH250" i="7"/>
  <c r="AG250" i="7"/>
  <c r="AF250" i="7"/>
  <c r="AE250" i="7"/>
  <c r="AD250" i="7"/>
  <c r="AQ250" i="7" s="1"/>
  <c r="AC250" i="7"/>
  <c r="AN250" i="7" s="1"/>
  <c r="AB250" i="7"/>
  <c r="AA250"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AJ249" i="7"/>
  <c r="AI249" i="7"/>
  <c r="AH249" i="7"/>
  <c r="AG249" i="7"/>
  <c r="AF249" i="7"/>
  <c r="AE249" i="7"/>
  <c r="AD249" i="7"/>
  <c r="AQ249" i="7" s="1"/>
  <c r="AC249" i="7"/>
  <c r="AN249" i="7" s="1"/>
  <c r="AB249" i="7"/>
  <c r="AA249"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249" i="7"/>
  <c r="AJ248" i="7"/>
  <c r="AI248" i="7"/>
  <c r="AH248" i="7"/>
  <c r="AG248" i="7"/>
  <c r="AF248" i="7"/>
  <c r="AE248" i="7"/>
  <c r="AD248" i="7"/>
  <c r="AQ248" i="7" s="1"/>
  <c r="AC248" i="7"/>
  <c r="AN248" i="7" s="1"/>
  <c r="AB248" i="7"/>
  <c r="AA248" i="7"/>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248" i="7"/>
  <c r="AJ247" i="7"/>
  <c r="AI247" i="7"/>
  <c r="AH247" i="7"/>
  <c r="AG247" i="7"/>
  <c r="AF247" i="7"/>
  <c r="AE247" i="7"/>
  <c r="AD247" i="7"/>
  <c r="AQ247" i="7" s="1"/>
  <c r="AC247" i="7"/>
  <c r="AN247" i="7" s="1"/>
  <c r="AB247" i="7"/>
  <c r="AA247"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AJ246" i="7"/>
  <c r="AI246" i="7"/>
  <c r="AH246" i="7"/>
  <c r="AG246" i="7"/>
  <c r="AF246" i="7"/>
  <c r="AE246" i="7"/>
  <c r="AD246" i="7"/>
  <c r="AQ246" i="7" s="1"/>
  <c r="AC246" i="7"/>
  <c r="AN246" i="7" s="1"/>
  <c r="AB246" i="7"/>
  <c r="AA246"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AJ245" i="7"/>
  <c r="AI245" i="7"/>
  <c r="AH245" i="7"/>
  <c r="AG245" i="7"/>
  <c r="AF245" i="7"/>
  <c r="AE245" i="7"/>
  <c r="AD245" i="7"/>
  <c r="AQ245" i="7" s="1"/>
  <c r="AC245" i="7"/>
  <c r="AN245" i="7" s="1"/>
  <c r="AB245" i="7"/>
  <c r="AA245" i="7"/>
  <c r="Z245" i="7"/>
  <c r="Y245" i="7"/>
  <c r="X245" i="7"/>
  <c r="W245" i="7"/>
  <c r="V245" i="7"/>
  <c r="AO245" i="7" s="1"/>
  <c r="U245" i="7"/>
  <c r="T245" i="7"/>
  <c r="S245" i="7"/>
  <c r="R245" i="7"/>
  <c r="Q245" i="7"/>
  <c r="P245" i="7"/>
  <c r="O245" i="7"/>
  <c r="N245" i="7"/>
  <c r="M245" i="7"/>
  <c r="L245" i="7"/>
  <c r="K245" i="7"/>
  <c r="J245" i="7"/>
  <c r="I245" i="7"/>
  <c r="H245" i="7"/>
  <c r="G245" i="7"/>
  <c r="F245" i="7"/>
  <c r="E245" i="7"/>
  <c r="D245" i="7"/>
  <c r="C245" i="7"/>
  <c r="B245" i="7"/>
  <c r="A245" i="7"/>
  <c r="AJ244" i="7"/>
  <c r="AI244" i="7"/>
  <c r="AH244" i="7"/>
  <c r="AG244" i="7"/>
  <c r="AF244" i="7"/>
  <c r="AE244" i="7"/>
  <c r="AD244" i="7"/>
  <c r="AQ244" i="7" s="1"/>
  <c r="AC244" i="7"/>
  <c r="AN244" i="7" s="1"/>
  <c r="AB244" i="7"/>
  <c r="AA244" i="7"/>
  <c r="Z244" i="7"/>
  <c r="Y244" i="7"/>
  <c r="X244" i="7"/>
  <c r="W244" i="7"/>
  <c r="V244" i="7"/>
  <c r="AO244" i="7" s="1"/>
  <c r="U244" i="7"/>
  <c r="T244" i="7"/>
  <c r="S244" i="7"/>
  <c r="R244" i="7"/>
  <c r="Q244" i="7"/>
  <c r="P244" i="7"/>
  <c r="O244" i="7"/>
  <c r="N244" i="7"/>
  <c r="M244" i="7"/>
  <c r="L244" i="7"/>
  <c r="K244" i="7"/>
  <c r="J244" i="7"/>
  <c r="I244" i="7"/>
  <c r="H244" i="7"/>
  <c r="G244" i="7"/>
  <c r="F244" i="7"/>
  <c r="E244" i="7"/>
  <c r="D244" i="7"/>
  <c r="C244" i="7"/>
  <c r="B244" i="7"/>
  <c r="A244" i="7"/>
  <c r="AJ243" i="7"/>
  <c r="AI243" i="7"/>
  <c r="AH243" i="7"/>
  <c r="AG243" i="7"/>
  <c r="AF243" i="7"/>
  <c r="AE243" i="7"/>
  <c r="AD243" i="7"/>
  <c r="AQ243" i="7" s="1"/>
  <c r="AC243" i="7"/>
  <c r="AN243" i="7" s="1"/>
  <c r="AB243" i="7"/>
  <c r="AA243" i="7"/>
  <c r="Z243" i="7"/>
  <c r="Y243" i="7"/>
  <c r="X243" i="7"/>
  <c r="W243" i="7"/>
  <c r="V243" i="7"/>
  <c r="U243" i="7"/>
  <c r="T243" i="7"/>
  <c r="S243" i="7"/>
  <c r="R243" i="7"/>
  <c r="Q243" i="7"/>
  <c r="P243" i="7"/>
  <c r="O243" i="7"/>
  <c r="N243" i="7"/>
  <c r="M243" i="7"/>
  <c r="L243" i="7"/>
  <c r="AK243" i="7" s="1"/>
  <c r="K243" i="7"/>
  <c r="J243" i="7"/>
  <c r="I243" i="7"/>
  <c r="H243" i="7"/>
  <c r="G243" i="7"/>
  <c r="F243" i="7"/>
  <c r="E243" i="7"/>
  <c r="D243" i="7"/>
  <c r="C243" i="7"/>
  <c r="B243" i="7"/>
  <c r="A243" i="7"/>
  <c r="AJ242" i="7"/>
  <c r="AI242" i="7"/>
  <c r="AH242" i="7"/>
  <c r="AG242" i="7"/>
  <c r="AF242" i="7"/>
  <c r="AE242" i="7"/>
  <c r="AD242" i="7"/>
  <c r="AQ242" i="7" s="1"/>
  <c r="AC242" i="7"/>
  <c r="AN242" i="7" s="1"/>
  <c r="AB242" i="7"/>
  <c r="AA242"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AJ241" i="7"/>
  <c r="AI241" i="7"/>
  <c r="AH241" i="7"/>
  <c r="AG241" i="7"/>
  <c r="AF241" i="7"/>
  <c r="AE241" i="7"/>
  <c r="AD241" i="7"/>
  <c r="AQ241" i="7" s="1"/>
  <c r="AC241" i="7"/>
  <c r="AN241" i="7" s="1"/>
  <c r="AB241" i="7"/>
  <c r="AA241" i="7"/>
  <c r="Z241" i="7"/>
  <c r="Y241" i="7"/>
  <c r="X241" i="7"/>
  <c r="W241" i="7"/>
  <c r="V241" i="7"/>
  <c r="AO241" i="7" s="1"/>
  <c r="U241" i="7"/>
  <c r="T241" i="7"/>
  <c r="S241" i="7"/>
  <c r="R241" i="7"/>
  <c r="Q241" i="7"/>
  <c r="P241" i="7"/>
  <c r="O241" i="7"/>
  <c r="N241" i="7"/>
  <c r="M241" i="7"/>
  <c r="L241" i="7"/>
  <c r="K241" i="7"/>
  <c r="J241" i="7"/>
  <c r="I241" i="7"/>
  <c r="H241" i="7"/>
  <c r="G241" i="7"/>
  <c r="F241" i="7"/>
  <c r="E241" i="7"/>
  <c r="D241" i="7"/>
  <c r="C241" i="7"/>
  <c r="B241" i="7"/>
  <c r="A241" i="7"/>
  <c r="AJ240" i="7"/>
  <c r="AI240" i="7"/>
  <c r="AH240" i="7"/>
  <c r="AG240" i="7"/>
  <c r="AF240" i="7"/>
  <c r="AE240" i="7"/>
  <c r="AD240" i="7"/>
  <c r="AQ240" i="7" s="1"/>
  <c r="AC240" i="7"/>
  <c r="AN240" i="7" s="1"/>
  <c r="AB240" i="7"/>
  <c r="AA240" i="7"/>
  <c r="Z240" i="7"/>
  <c r="Y240" i="7"/>
  <c r="X240" i="7"/>
  <c r="W240" i="7"/>
  <c r="V240" i="7"/>
  <c r="AO240" i="7" s="1"/>
  <c r="U240" i="7"/>
  <c r="T240" i="7"/>
  <c r="S240" i="7"/>
  <c r="R240" i="7"/>
  <c r="Q240" i="7"/>
  <c r="P240" i="7"/>
  <c r="O240" i="7"/>
  <c r="N240" i="7"/>
  <c r="M240" i="7"/>
  <c r="L240" i="7"/>
  <c r="K240" i="7"/>
  <c r="J240" i="7"/>
  <c r="I240" i="7"/>
  <c r="H240" i="7"/>
  <c r="G240" i="7"/>
  <c r="F240" i="7"/>
  <c r="E240" i="7"/>
  <c r="D240" i="7"/>
  <c r="C240" i="7"/>
  <c r="B240" i="7"/>
  <c r="A240" i="7"/>
  <c r="AJ239" i="7"/>
  <c r="AI239" i="7"/>
  <c r="AH239" i="7"/>
  <c r="AG239" i="7"/>
  <c r="AF239" i="7"/>
  <c r="AE239" i="7"/>
  <c r="AD239" i="7"/>
  <c r="AQ239" i="7" s="1"/>
  <c r="AC239" i="7"/>
  <c r="AN239" i="7" s="1"/>
  <c r="AB239" i="7"/>
  <c r="AA239"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AJ238" i="7"/>
  <c r="AI238" i="7"/>
  <c r="AH238" i="7"/>
  <c r="AG238" i="7"/>
  <c r="AF238" i="7"/>
  <c r="AE238" i="7"/>
  <c r="AD238" i="7"/>
  <c r="AQ238" i="7" s="1"/>
  <c r="AC238" i="7"/>
  <c r="AN238" i="7" s="1"/>
  <c r="AB238" i="7"/>
  <c r="AA238" i="7"/>
  <c r="Z238" i="7"/>
  <c r="Y238" i="7"/>
  <c r="X238" i="7"/>
  <c r="W238" i="7"/>
  <c r="V238" i="7"/>
  <c r="AO238" i="7" s="1"/>
  <c r="U238" i="7"/>
  <c r="T238" i="7"/>
  <c r="S238" i="7"/>
  <c r="R238" i="7"/>
  <c r="Q238" i="7"/>
  <c r="P238" i="7"/>
  <c r="O238" i="7"/>
  <c r="N238" i="7"/>
  <c r="M238" i="7"/>
  <c r="L238" i="7"/>
  <c r="K238" i="7"/>
  <c r="J238" i="7"/>
  <c r="I238" i="7"/>
  <c r="H238" i="7"/>
  <c r="G238" i="7"/>
  <c r="F238" i="7"/>
  <c r="E238" i="7"/>
  <c r="D238" i="7"/>
  <c r="C238" i="7"/>
  <c r="B238" i="7"/>
  <c r="AK238" i="7" s="1"/>
  <c r="A238" i="7"/>
  <c r="AJ237" i="7"/>
  <c r="AI237" i="7"/>
  <c r="AH237" i="7"/>
  <c r="AG237" i="7"/>
  <c r="AF237" i="7"/>
  <c r="AE237" i="7"/>
  <c r="AD237" i="7"/>
  <c r="AQ237" i="7" s="1"/>
  <c r="AC237" i="7"/>
  <c r="AN237" i="7" s="1"/>
  <c r="AB237" i="7"/>
  <c r="AA237" i="7"/>
  <c r="Z237" i="7"/>
  <c r="Y237" i="7"/>
  <c r="X237" i="7"/>
  <c r="W237" i="7"/>
  <c r="V237" i="7"/>
  <c r="U237" i="7"/>
  <c r="T237" i="7"/>
  <c r="S237" i="7"/>
  <c r="R237" i="7"/>
  <c r="Q237" i="7"/>
  <c r="P237" i="7"/>
  <c r="O237" i="7"/>
  <c r="N237" i="7"/>
  <c r="M237" i="7"/>
  <c r="L237" i="7"/>
  <c r="K237" i="7"/>
  <c r="J237" i="7"/>
  <c r="I237" i="7"/>
  <c r="H237" i="7"/>
  <c r="G237" i="7"/>
  <c r="F237" i="7"/>
  <c r="E237" i="7"/>
  <c r="D237" i="7"/>
  <c r="C237" i="7"/>
  <c r="B237" i="7"/>
  <c r="A237" i="7"/>
  <c r="AJ236" i="7"/>
  <c r="AI236" i="7"/>
  <c r="AH236" i="7"/>
  <c r="AG236" i="7"/>
  <c r="AF236" i="7"/>
  <c r="AE236" i="7"/>
  <c r="AD236" i="7"/>
  <c r="AQ236" i="7" s="1"/>
  <c r="AC236" i="7"/>
  <c r="AN236" i="7" s="1"/>
  <c r="AB236" i="7"/>
  <c r="AA236" i="7"/>
  <c r="Z236" i="7"/>
  <c r="AL236" i="7" s="1"/>
  <c r="Y236" i="7"/>
  <c r="X236" i="7"/>
  <c r="W236" i="7"/>
  <c r="V236" i="7"/>
  <c r="U236" i="7"/>
  <c r="T236" i="7"/>
  <c r="S236" i="7"/>
  <c r="R236" i="7"/>
  <c r="Q236" i="7"/>
  <c r="P236" i="7"/>
  <c r="O236" i="7"/>
  <c r="N236" i="7"/>
  <c r="M236" i="7"/>
  <c r="L236" i="7"/>
  <c r="K236" i="7"/>
  <c r="J236" i="7"/>
  <c r="I236" i="7"/>
  <c r="H236" i="7"/>
  <c r="G236" i="7"/>
  <c r="F236" i="7"/>
  <c r="E236" i="7"/>
  <c r="D236" i="7"/>
  <c r="C236" i="7"/>
  <c r="B236" i="7"/>
  <c r="A236" i="7"/>
  <c r="AJ235" i="7"/>
  <c r="AI235" i="7"/>
  <c r="AH235" i="7"/>
  <c r="AG235" i="7"/>
  <c r="AF235" i="7"/>
  <c r="AE235" i="7"/>
  <c r="AD235" i="7"/>
  <c r="AQ235" i="7" s="1"/>
  <c r="AC235" i="7"/>
  <c r="AN235" i="7" s="1"/>
  <c r="AB235" i="7"/>
  <c r="AA235"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AJ234" i="7"/>
  <c r="AI234" i="7"/>
  <c r="AH234" i="7"/>
  <c r="AG234" i="7"/>
  <c r="AF234" i="7"/>
  <c r="AE234" i="7"/>
  <c r="AD234" i="7"/>
  <c r="AQ234" i="7" s="1"/>
  <c r="AC234" i="7"/>
  <c r="AN234" i="7" s="1"/>
  <c r="AB234" i="7"/>
  <c r="AA234"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AJ233" i="7"/>
  <c r="AI233" i="7"/>
  <c r="AH233" i="7"/>
  <c r="AG233" i="7"/>
  <c r="AF233" i="7"/>
  <c r="AE233" i="7"/>
  <c r="AD233" i="7"/>
  <c r="AQ233" i="7" s="1"/>
  <c r="AC233" i="7"/>
  <c r="AN233" i="7" s="1"/>
  <c r="AB233" i="7"/>
  <c r="AA233" i="7"/>
  <c r="Z233" i="7"/>
  <c r="Y233" i="7"/>
  <c r="X233" i="7"/>
  <c r="W233" i="7"/>
  <c r="V233" i="7"/>
  <c r="U233" i="7"/>
  <c r="T233" i="7"/>
  <c r="S233" i="7"/>
  <c r="R233" i="7"/>
  <c r="Q233" i="7"/>
  <c r="P233" i="7"/>
  <c r="O233" i="7"/>
  <c r="N233" i="7"/>
  <c r="M233" i="7"/>
  <c r="L233" i="7"/>
  <c r="K233" i="7"/>
  <c r="J233" i="7"/>
  <c r="I233" i="7"/>
  <c r="H233" i="7"/>
  <c r="G233" i="7"/>
  <c r="F233" i="7"/>
  <c r="E233" i="7"/>
  <c r="D233" i="7"/>
  <c r="C233" i="7"/>
  <c r="B233" i="7"/>
  <c r="A233" i="7"/>
  <c r="AJ232" i="7"/>
  <c r="AI232" i="7"/>
  <c r="AH232" i="7"/>
  <c r="AG232" i="7"/>
  <c r="AF232" i="7"/>
  <c r="AE232" i="7"/>
  <c r="AD232" i="7"/>
  <c r="AQ232" i="7" s="1"/>
  <c r="AC232" i="7"/>
  <c r="AN232" i="7" s="1"/>
  <c r="AB232" i="7"/>
  <c r="AA232" i="7"/>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232" i="7"/>
  <c r="AJ231" i="7"/>
  <c r="AI231" i="7"/>
  <c r="AH231" i="7"/>
  <c r="AG231" i="7"/>
  <c r="AF231" i="7"/>
  <c r="AE231" i="7"/>
  <c r="AD231" i="7"/>
  <c r="AQ231" i="7" s="1"/>
  <c r="AC231" i="7"/>
  <c r="AN231" i="7" s="1"/>
  <c r="AB231" i="7"/>
  <c r="AA231"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AJ230" i="7"/>
  <c r="AI230" i="7"/>
  <c r="AH230" i="7"/>
  <c r="AG230" i="7"/>
  <c r="AF230" i="7"/>
  <c r="AE230" i="7"/>
  <c r="AD230" i="7"/>
  <c r="AQ230" i="7" s="1"/>
  <c r="AC230" i="7"/>
  <c r="AN230" i="7" s="1"/>
  <c r="AB230" i="7"/>
  <c r="AA230" i="7"/>
  <c r="Z230" i="7"/>
  <c r="Y230" i="7"/>
  <c r="X230" i="7"/>
  <c r="W230" i="7"/>
  <c r="V230" i="7"/>
  <c r="AO230" i="7" s="1"/>
  <c r="U230" i="7"/>
  <c r="T230" i="7"/>
  <c r="S230" i="7"/>
  <c r="R230" i="7"/>
  <c r="Q230" i="7"/>
  <c r="P230" i="7"/>
  <c r="O230" i="7"/>
  <c r="N230" i="7"/>
  <c r="M230" i="7"/>
  <c r="L230" i="7"/>
  <c r="K230" i="7"/>
  <c r="J230" i="7"/>
  <c r="I230" i="7"/>
  <c r="H230" i="7"/>
  <c r="G230" i="7"/>
  <c r="F230" i="7"/>
  <c r="E230" i="7"/>
  <c r="D230" i="7"/>
  <c r="C230" i="7"/>
  <c r="B230" i="7"/>
  <c r="A230" i="7"/>
  <c r="AJ229" i="7"/>
  <c r="AI229" i="7"/>
  <c r="AH229" i="7"/>
  <c r="AG229" i="7"/>
  <c r="AF229" i="7"/>
  <c r="AE229" i="7"/>
  <c r="AD229" i="7"/>
  <c r="AQ229" i="7" s="1"/>
  <c r="AC229" i="7"/>
  <c r="AN229" i="7" s="1"/>
  <c r="AB229" i="7"/>
  <c r="AA229" i="7"/>
  <c r="Z229" i="7"/>
  <c r="Y229" i="7"/>
  <c r="X229" i="7"/>
  <c r="W229" i="7"/>
  <c r="V229" i="7"/>
  <c r="AO229" i="7" s="1"/>
  <c r="U229" i="7"/>
  <c r="T229" i="7"/>
  <c r="S229" i="7"/>
  <c r="R229" i="7"/>
  <c r="Q229" i="7"/>
  <c r="P229" i="7"/>
  <c r="O229" i="7"/>
  <c r="N229" i="7"/>
  <c r="M229" i="7"/>
  <c r="L229" i="7"/>
  <c r="K229" i="7"/>
  <c r="J229" i="7"/>
  <c r="I229" i="7"/>
  <c r="H229" i="7"/>
  <c r="G229" i="7"/>
  <c r="F229" i="7"/>
  <c r="E229" i="7"/>
  <c r="D229" i="7"/>
  <c r="C229" i="7"/>
  <c r="B229" i="7"/>
  <c r="A229" i="7"/>
  <c r="AJ228" i="7"/>
  <c r="AI228" i="7"/>
  <c r="AH228" i="7"/>
  <c r="AG228" i="7"/>
  <c r="AF228" i="7"/>
  <c r="AE228" i="7"/>
  <c r="AD228" i="7"/>
  <c r="AQ228" i="7" s="1"/>
  <c r="AC228" i="7"/>
  <c r="AN228" i="7" s="1"/>
  <c r="AB228" i="7"/>
  <c r="AA228" i="7"/>
  <c r="Z228" i="7"/>
  <c r="Y228" i="7"/>
  <c r="X228" i="7"/>
  <c r="W228" i="7"/>
  <c r="V228" i="7"/>
  <c r="U228" i="7"/>
  <c r="T228" i="7"/>
  <c r="S228" i="7"/>
  <c r="R228" i="7"/>
  <c r="Q228" i="7"/>
  <c r="P228" i="7"/>
  <c r="O228" i="7"/>
  <c r="N228" i="7"/>
  <c r="M228" i="7"/>
  <c r="L228" i="7"/>
  <c r="K228" i="7"/>
  <c r="J228" i="7"/>
  <c r="I228" i="7"/>
  <c r="H228" i="7"/>
  <c r="G228" i="7"/>
  <c r="F228" i="7"/>
  <c r="E228" i="7"/>
  <c r="D228" i="7"/>
  <c r="C228" i="7"/>
  <c r="B228" i="7"/>
  <c r="A228" i="7"/>
  <c r="AJ227" i="7"/>
  <c r="AI227" i="7"/>
  <c r="AH227" i="7"/>
  <c r="AG227" i="7"/>
  <c r="AF227" i="7"/>
  <c r="AE227" i="7"/>
  <c r="AD227" i="7"/>
  <c r="AQ227" i="7" s="1"/>
  <c r="AC227" i="7"/>
  <c r="AN227" i="7" s="1"/>
  <c r="AB227" i="7"/>
  <c r="AA227"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AJ226" i="7"/>
  <c r="AI226" i="7"/>
  <c r="AH226" i="7"/>
  <c r="AG226" i="7"/>
  <c r="AF226" i="7"/>
  <c r="AE226" i="7"/>
  <c r="AD226" i="7"/>
  <c r="AQ226" i="7" s="1"/>
  <c r="AC226" i="7"/>
  <c r="AN226" i="7" s="1"/>
  <c r="AB226" i="7"/>
  <c r="AA226" i="7"/>
  <c r="Z226" i="7"/>
  <c r="Y226" i="7"/>
  <c r="X226" i="7"/>
  <c r="W226" i="7"/>
  <c r="V226" i="7"/>
  <c r="AO226" i="7" s="1"/>
  <c r="U226" i="7"/>
  <c r="T226" i="7"/>
  <c r="S226" i="7"/>
  <c r="R226" i="7"/>
  <c r="Q226" i="7"/>
  <c r="P226" i="7"/>
  <c r="O226" i="7"/>
  <c r="N226" i="7"/>
  <c r="M226" i="7"/>
  <c r="L226" i="7"/>
  <c r="K226" i="7"/>
  <c r="J226" i="7"/>
  <c r="I226" i="7"/>
  <c r="H226" i="7"/>
  <c r="G226" i="7"/>
  <c r="F226" i="7"/>
  <c r="E226" i="7"/>
  <c r="D226" i="7"/>
  <c r="C226" i="7"/>
  <c r="B226" i="7"/>
  <c r="A226" i="7"/>
  <c r="AJ225" i="7"/>
  <c r="AI225" i="7"/>
  <c r="AH225" i="7"/>
  <c r="AG225" i="7"/>
  <c r="AF225" i="7"/>
  <c r="AE225" i="7"/>
  <c r="AD225" i="7"/>
  <c r="AQ225" i="7" s="1"/>
  <c r="AC225" i="7"/>
  <c r="AN225" i="7" s="1"/>
  <c r="AB225" i="7"/>
  <c r="AA225" i="7"/>
  <c r="Z225" i="7"/>
  <c r="Y225" i="7"/>
  <c r="X225" i="7"/>
  <c r="W225" i="7"/>
  <c r="V225" i="7"/>
  <c r="U225" i="7"/>
  <c r="T225" i="7"/>
  <c r="S225" i="7"/>
  <c r="R225" i="7"/>
  <c r="Q225" i="7"/>
  <c r="P225" i="7"/>
  <c r="O225" i="7"/>
  <c r="N225" i="7"/>
  <c r="M225" i="7"/>
  <c r="L225" i="7"/>
  <c r="K225" i="7"/>
  <c r="J225" i="7"/>
  <c r="I225" i="7"/>
  <c r="H225" i="7"/>
  <c r="G225" i="7"/>
  <c r="F225" i="7"/>
  <c r="E225" i="7"/>
  <c r="D225" i="7"/>
  <c r="C225" i="7"/>
  <c r="B225" i="7"/>
  <c r="A225" i="7"/>
  <c r="AJ224" i="7"/>
  <c r="AI224" i="7"/>
  <c r="AH224" i="7"/>
  <c r="AG224" i="7"/>
  <c r="AF224" i="7"/>
  <c r="AE224" i="7"/>
  <c r="AD224" i="7"/>
  <c r="AQ224" i="7" s="1"/>
  <c r="AC224" i="7"/>
  <c r="AN224" i="7" s="1"/>
  <c r="AB224" i="7"/>
  <c r="AA224" i="7"/>
  <c r="Z224" i="7"/>
  <c r="Y224" i="7"/>
  <c r="X224" i="7"/>
  <c r="W224" i="7"/>
  <c r="V224" i="7"/>
  <c r="AO224" i="7" s="1"/>
  <c r="U224" i="7"/>
  <c r="T224" i="7"/>
  <c r="S224" i="7"/>
  <c r="R224" i="7"/>
  <c r="Q224" i="7"/>
  <c r="P224" i="7"/>
  <c r="O224" i="7"/>
  <c r="N224" i="7"/>
  <c r="M224" i="7"/>
  <c r="L224" i="7"/>
  <c r="K224" i="7"/>
  <c r="J224" i="7"/>
  <c r="I224" i="7"/>
  <c r="H224" i="7"/>
  <c r="G224" i="7"/>
  <c r="F224" i="7"/>
  <c r="E224" i="7"/>
  <c r="D224" i="7"/>
  <c r="C224" i="7"/>
  <c r="B224" i="7"/>
  <c r="A224" i="7"/>
  <c r="AJ223" i="7"/>
  <c r="AI223" i="7"/>
  <c r="AH223" i="7"/>
  <c r="AG223" i="7"/>
  <c r="AF223" i="7"/>
  <c r="AE223" i="7"/>
  <c r="AD223" i="7"/>
  <c r="AQ223" i="7" s="1"/>
  <c r="AC223" i="7"/>
  <c r="AN223" i="7" s="1"/>
  <c r="AB223" i="7"/>
  <c r="AA223"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AJ222" i="7"/>
  <c r="AI222" i="7"/>
  <c r="AH222" i="7"/>
  <c r="AG222" i="7"/>
  <c r="AF222" i="7"/>
  <c r="AE222" i="7"/>
  <c r="AD222" i="7"/>
  <c r="AQ222" i="7" s="1"/>
  <c r="AC222" i="7"/>
  <c r="AN222" i="7" s="1"/>
  <c r="AB222" i="7"/>
  <c r="AA222" i="7"/>
  <c r="Z222" i="7"/>
  <c r="Y222" i="7"/>
  <c r="X222" i="7"/>
  <c r="W222" i="7"/>
  <c r="V222" i="7"/>
  <c r="AO222" i="7" s="1"/>
  <c r="U222" i="7"/>
  <c r="T222" i="7"/>
  <c r="S222" i="7"/>
  <c r="R222" i="7"/>
  <c r="Q222" i="7"/>
  <c r="P222" i="7"/>
  <c r="O222" i="7"/>
  <c r="N222" i="7"/>
  <c r="M222" i="7"/>
  <c r="L222" i="7"/>
  <c r="K222" i="7"/>
  <c r="J222" i="7"/>
  <c r="I222" i="7"/>
  <c r="H222" i="7"/>
  <c r="G222" i="7"/>
  <c r="F222" i="7"/>
  <c r="E222" i="7"/>
  <c r="D222" i="7"/>
  <c r="C222" i="7"/>
  <c r="B222" i="7"/>
  <c r="A222" i="7"/>
  <c r="AJ221" i="7"/>
  <c r="AI221" i="7"/>
  <c r="AH221" i="7"/>
  <c r="AG221" i="7"/>
  <c r="AF221" i="7"/>
  <c r="AE221" i="7"/>
  <c r="AD221" i="7"/>
  <c r="AQ221" i="7" s="1"/>
  <c r="AC221" i="7"/>
  <c r="AN221" i="7" s="1"/>
  <c r="AB221" i="7"/>
  <c r="AA221" i="7"/>
  <c r="Z221" i="7"/>
  <c r="Y221" i="7"/>
  <c r="X221" i="7"/>
  <c r="W221" i="7"/>
  <c r="V221" i="7"/>
  <c r="AO221" i="7" s="1"/>
  <c r="U221" i="7"/>
  <c r="T221" i="7"/>
  <c r="S221" i="7"/>
  <c r="R221" i="7"/>
  <c r="Q221" i="7"/>
  <c r="P221" i="7"/>
  <c r="O221" i="7"/>
  <c r="N221" i="7"/>
  <c r="M221" i="7"/>
  <c r="L221" i="7"/>
  <c r="K221" i="7"/>
  <c r="J221" i="7"/>
  <c r="I221" i="7"/>
  <c r="H221" i="7"/>
  <c r="G221" i="7"/>
  <c r="F221" i="7"/>
  <c r="E221" i="7"/>
  <c r="D221" i="7"/>
  <c r="C221" i="7"/>
  <c r="B221" i="7"/>
  <c r="A221" i="7"/>
  <c r="AJ220" i="7"/>
  <c r="AI220" i="7"/>
  <c r="AH220" i="7"/>
  <c r="AG220" i="7"/>
  <c r="AF220" i="7"/>
  <c r="AE220" i="7"/>
  <c r="AD220" i="7"/>
  <c r="AQ220" i="7" s="1"/>
  <c r="AC220" i="7"/>
  <c r="AN220" i="7" s="1"/>
  <c r="AB220" i="7"/>
  <c r="AA220" i="7"/>
  <c r="Z220" i="7"/>
  <c r="Y220" i="7"/>
  <c r="X220" i="7"/>
  <c r="W220" i="7"/>
  <c r="V220" i="7"/>
  <c r="U220" i="7"/>
  <c r="T220" i="7"/>
  <c r="S220" i="7"/>
  <c r="R220" i="7"/>
  <c r="Q220" i="7"/>
  <c r="P220" i="7"/>
  <c r="O220" i="7"/>
  <c r="N220" i="7"/>
  <c r="M220" i="7"/>
  <c r="L220" i="7"/>
  <c r="K220" i="7"/>
  <c r="J220" i="7"/>
  <c r="I220" i="7"/>
  <c r="H220" i="7"/>
  <c r="G220" i="7"/>
  <c r="F220" i="7"/>
  <c r="E220" i="7"/>
  <c r="D220" i="7"/>
  <c r="C220" i="7"/>
  <c r="B220" i="7"/>
  <c r="A220" i="7"/>
  <c r="AJ219" i="7"/>
  <c r="AI219" i="7"/>
  <c r="AH219" i="7"/>
  <c r="AG219" i="7"/>
  <c r="AF219" i="7"/>
  <c r="AE219" i="7"/>
  <c r="AD219" i="7"/>
  <c r="AQ219" i="7" s="1"/>
  <c r="AC219" i="7"/>
  <c r="AN219" i="7" s="1"/>
  <c r="AB219" i="7"/>
  <c r="AA219"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AJ218" i="7"/>
  <c r="AI218" i="7"/>
  <c r="AH218" i="7"/>
  <c r="AG218" i="7"/>
  <c r="AF218" i="7"/>
  <c r="AE218" i="7"/>
  <c r="AD218" i="7"/>
  <c r="AQ218" i="7" s="1"/>
  <c r="AC218" i="7"/>
  <c r="AN218" i="7" s="1"/>
  <c r="AB218" i="7"/>
  <c r="AA218"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AJ217" i="7"/>
  <c r="AI217" i="7"/>
  <c r="AH217" i="7"/>
  <c r="AG217" i="7"/>
  <c r="AF217" i="7"/>
  <c r="AE217" i="7"/>
  <c r="AD217" i="7"/>
  <c r="AQ217" i="7" s="1"/>
  <c r="AC217" i="7"/>
  <c r="AN217" i="7" s="1"/>
  <c r="AB217" i="7"/>
  <c r="AA217" i="7"/>
  <c r="Z217" i="7"/>
  <c r="Y217" i="7"/>
  <c r="X217" i="7"/>
  <c r="W217" i="7"/>
  <c r="V217" i="7"/>
  <c r="U217" i="7"/>
  <c r="T217" i="7"/>
  <c r="S217" i="7"/>
  <c r="R217" i="7"/>
  <c r="Q217" i="7"/>
  <c r="P217" i="7"/>
  <c r="O217" i="7"/>
  <c r="N217" i="7"/>
  <c r="M217" i="7"/>
  <c r="L217" i="7"/>
  <c r="K217" i="7"/>
  <c r="J217" i="7"/>
  <c r="I217" i="7"/>
  <c r="H217" i="7"/>
  <c r="G217" i="7"/>
  <c r="F217" i="7"/>
  <c r="E217" i="7"/>
  <c r="D217" i="7"/>
  <c r="C217" i="7"/>
  <c r="B217" i="7"/>
  <c r="A217" i="7"/>
  <c r="AJ216" i="7"/>
  <c r="AI216" i="7"/>
  <c r="AH216" i="7"/>
  <c r="AG216" i="7"/>
  <c r="AF216" i="7"/>
  <c r="AE216" i="7"/>
  <c r="AD216" i="7"/>
  <c r="AQ216" i="7" s="1"/>
  <c r="AC216" i="7"/>
  <c r="AN216" i="7" s="1"/>
  <c r="AB216" i="7"/>
  <c r="AA216" i="7"/>
  <c r="Z216" i="7"/>
  <c r="AL216" i="7" s="1"/>
  <c r="Y216" i="7"/>
  <c r="X216" i="7"/>
  <c r="W216" i="7"/>
  <c r="V216" i="7"/>
  <c r="U216" i="7"/>
  <c r="T216" i="7"/>
  <c r="S216" i="7"/>
  <c r="R216" i="7"/>
  <c r="Q216" i="7"/>
  <c r="P216" i="7"/>
  <c r="O216" i="7"/>
  <c r="N216" i="7"/>
  <c r="M216" i="7"/>
  <c r="L216" i="7"/>
  <c r="K216" i="7"/>
  <c r="J216" i="7"/>
  <c r="I216" i="7"/>
  <c r="H216" i="7"/>
  <c r="G216" i="7"/>
  <c r="F216" i="7"/>
  <c r="E216" i="7"/>
  <c r="D216" i="7"/>
  <c r="C216" i="7"/>
  <c r="B216" i="7"/>
  <c r="A216" i="7"/>
  <c r="AJ215" i="7"/>
  <c r="AI215" i="7"/>
  <c r="AH215" i="7"/>
  <c r="AG215" i="7"/>
  <c r="AF215" i="7"/>
  <c r="AE215" i="7"/>
  <c r="AD215" i="7"/>
  <c r="AQ215" i="7" s="1"/>
  <c r="AC215" i="7"/>
  <c r="AN215" i="7" s="1"/>
  <c r="AB215" i="7"/>
  <c r="AA215" i="7"/>
  <c r="Z215" i="7"/>
  <c r="Y215" i="7"/>
  <c r="X215" i="7"/>
  <c r="W215" i="7"/>
  <c r="V215" i="7"/>
  <c r="AO215" i="7" s="1"/>
  <c r="U215" i="7"/>
  <c r="T215" i="7"/>
  <c r="S215" i="7"/>
  <c r="R215" i="7"/>
  <c r="Q215" i="7"/>
  <c r="P215" i="7"/>
  <c r="O215" i="7"/>
  <c r="N215" i="7"/>
  <c r="M215" i="7"/>
  <c r="L215" i="7"/>
  <c r="K215" i="7"/>
  <c r="J215" i="7"/>
  <c r="I215" i="7"/>
  <c r="H215" i="7"/>
  <c r="G215" i="7"/>
  <c r="F215" i="7"/>
  <c r="E215" i="7"/>
  <c r="D215" i="7"/>
  <c r="C215" i="7"/>
  <c r="B215" i="7"/>
  <c r="A215" i="7"/>
  <c r="AJ214" i="7"/>
  <c r="AI214" i="7"/>
  <c r="AH214" i="7"/>
  <c r="AG214" i="7"/>
  <c r="AF214" i="7"/>
  <c r="AE214" i="7"/>
  <c r="AD214" i="7"/>
  <c r="AQ214" i="7" s="1"/>
  <c r="AC214" i="7"/>
  <c r="AN214" i="7" s="1"/>
  <c r="AB214" i="7"/>
  <c r="AA214" i="7"/>
  <c r="Z214" i="7"/>
  <c r="Y214" i="7"/>
  <c r="X214" i="7"/>
  <c r="W214" i="7"/>
  <c r="V214" i="7"/>
  <c r="AO214" i="7" s="1"/>
  <c r="U214" i="7"/>
  <c r="T214" i="7"/>
  <c r="S214" i="7"/>
  <c r="R214" i="7"/>
  <c r="Q214" i="7"/>
  <c r="P214" i="7"/>
  <c r="O214" i="7"/>
  <c r="N214" i="7"/>
  <c r="M214" i="7"/>
  <c r="L214" i="7"/>
  <c r="K214" i="7"/>
  <c r="J214" i="7"/>
  <c r="I214" i="7"/>
  <c r="H214" i="7"/>
  <c r="G214" i="7"/>
  <c r="F214" i="7"/>
  <c r="E214" i="7"/>
  <c r="D214" i="7"/>
  <c r="C214" i="7"/>
  <c r="B214" i="7"/>
  <c r="A214" i="7"/>
  <c r="AJ213" i="7"/>
  <c r="AI213" i="7"/>
  <c r="AH213" i="7"/>
  <c r="AG213" i="7"/>
  <c r="AF213" i="7"/>
  <c r="AE213" i="7"/>
  <c r="AD213" i="7"/>
  <c r="AQ213" i="7" s="1"/>
  <c r="AC213" i="7"/>
  <c r="AN213" i="7" s="1"/>
  <c r="AB213" i="7"/>
  <c r="AA213" i="7"/>
  <c r="Z213" i="7"/>
  <c r="Y213" i="7"/>
  <c r="X213" i="7"/>
  <c r="W213" i="7"/>
  <c r="V213" i="7"/>
  <c r="AO213" i="7" s="1"/>
  <c r="U213" i="7"/>
  <c r="T213" i="7"/>
  <c r="S213" i="7"/>
  <c r="R213" i="7"/>
  <c r="Q213" i="7"/>
  <c r="P213" i="7"/>
  <c r="O213" i="7"/>
  <c r="N213" i="7"/>
  <c r="M213" i="7"/>
  <c r="L213" i="7"/>
  <c r="K213" i="7"/>
  <c r="J213" i="7"/>
  <c r="I213" i="7"/>
  <c r="H213" i="7"/>
  <c r="G213" i="7"/>
  <c r="F213" i="7"/>
  <c r="E213" i="7"/>
  <c r="D213" i="7"/>
  <c r="C213" i="7"/>
  <c r="B213" i="7"/>
  <c r="A213" i="7"/>
  <c r="AJ212" i="7"/>
  <c r="AI212" i="7"/>
  <c r="AH212" i="7"/>
  <c r="AG212" i="7"/>
  <c r="AF212" i="7"/>
  <c r="AE212" i="7"/>
  <c r="AD212" i="7"/>
  <c r="AQ212" i="7" s="1"/>
  <c r="AC212" i="7"/>
  <c r="AN212" i="7" s="1"/>
  <c r="AB212" i="7"/>
  <c r="AA212" i="7"/>
  <c r="Z212" i="7"/>
  <c r="Y212" i="7"/>
  <c r="X212" i="7"/>
  <c r="W212" i="7"/>
  <c r="V212" i="7"/>
  <c r="U212" i="7"/>
  <c r="T212" i="7"/>
  <c r="S212" i="7"/>
  <c r="R212" i="7"/>
  <c r="Q212" i="7"/>
  <c r="P212" i="7"/>
  <c r="O212" i="7"/>
  <c r="N212" i="7"/>
  <c r="M212" i="7"/>
  <c r="L212" i="7"/>
  <c r="K212" i="7"/>
  <c r="J212" i="7"/>
  <c r="I212" i="7"/>
  <c r="H212" i="7"/>
  <c r="G212" i="7"/>
  <c r="F212" i="7"/>
  <c r="E212" i="7"/>
  <c r="D212" i="7"/>
  <c r="C212" i="7"/>
  <c r="B212" i="7"/>
  <c r="A212" i="7"/>
  <c r="AJ211" i="7"/>
  <c r="AI211" i="7"/>
  <c r="AH211" i="7"/>
  <c r="AG211" i="7"/>
  <c r="AF211" i="7"/>
  <c r="AE211" i="7"/>
  <c r="AD211" i="7"/>
  <c r="AQ211" i="7" s="1"/>
  <c r="AC211" i="7"/>
  <c r="AN211" i="7" s="1"/>
  <c r="AB211" i="7"/>
  <c r="AA211"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AJ210" i="7"/>
  <c r="AI210" i="7"/>
  <c r="AH210" i="7"/>
  <c r="AG210" i="7"/>
  <c r="AF210" i="7"/>
  <c r="AE210" i="7"/>
  <c r="AD210" i="7"/>
  <c r="AQ210" i="7" s="1"/>
  <c r="AC210" i="7"/>
  <c r="AN210" i="7" s="1"/>
  <c r="AB210" i="7"/>
  <c r="AA210" i="7"/>
  <c r="Z210" i="7"/>
  <c r="Y210" i="7"/>
  <c r="X210" i="7"/>
  <c r="W210" i="7"/>
  <c r="V210" i="7"/>
  <c r="AO210" i="7" s="1"/>
  <c r="U210" i="7"/>
  <c r="T210" i="7"/>
  <c r="S210" i="7"/>
  <c r="R210" i="7"/>
  <c r="Q210" i="7"/>
  <c r="P210" i="7"/>
  <c r="O210" i="7"/>
  <c r="N210" i="7"/>
  <c r="M210" i="7"/>
  <c r="L210" i="7"/>
  <c r="K210" i="7"/>
  <c r="J210" i="7"/>
  <c r="I210" i="7"/>
  <c r="H210" i="7"/>
  <c r="G210" i="7"/>
  <c r="F210" i="7"/>
  <c r="E210" i="7"/>
  <c r="D210" i="7"/>
  <c r="C210" i="7"/>
  <c r="B210" i="7"/>
  <c r="A210" i="7"/>
  <c r="AJ209" i="7"/>
  <c r="AI209" i="7"/>
  <c r="AH209" i="7"/>
  <c r="AG209" i="7"/>
  <c r="AF209" i="7"/>
  <c r="AE209" i="7"/>
  <c r="AD209" i="7"/>
  <c r="AQ209" i="7" s="1"/>
  <c r="AC209" i="7"/>
  <c r="AN209" i="7" s="1"/>
  <c r="AB209" i="7"/>
  <c r="AA209" i="7"/>
  <c r="Z209" i="7"/>
  <c r="Y209" i="7"/>
  <c r="X209" i="7"/>
  <c r="W209" i="7"/>
  <c r="V209" i="7"/>
  <c r="U209" i="7"/>
  <c r="T209" i="7"/>
  <c r="S209" i="7"/>
  <c r="R209" i="7"/>
  <c r="Q209" i="7"/>
  <c r="P209" i="7"/>
  <c r="O209" i="7"/>
  <c r="N209" i="7"/>
  <c r="M209" i="7"/>
  <c r="L209" i="7"/>
  <c r="K209" i="7"/>
  <c r="J209" i="7"/>
  <c r="I209" i="7"/>
  <c r="H209" i="7"/>
  <c r="G209" i="7"/>
  <c r="F209" i="7"/>
  <c r="E209" i="7"/>
  <c r="D209" i="7"/>
  <c r="C209" i="7"/>
  <c r="B209" i="7"/>
  <c r="A209" i="7"/>
  <c r="AJ208" i="7"/>
  <c r="AI208" i="7"/>
  <c r="AH208" i="7"/>
  <c r="AG208" i="7"/>
  <c r="AF208" i="7"/>
  <c r="AE208" i="7"/>
  <c r="AD208" i="7"/>
  <c r="AQ208" i="7" s="1"/>
  <c r="AC208" i="7"/>
  <c r="AN208" i="7" s="1"/>
  <c r="AB208" i="7"/>
  <c r="AA208" i="7"/>
  <c r="Z208" i="7"/>
  <c r="Y208" i="7"/>
  <c r="X208" i="7"/>
  <c r="W208" i="7"/>
  <c r="V208" i="7"/>
  <c r="U208" i="7"/>
  <c r="T208" i="7"/>
  <c r="S208" i="7"/>
  <c r="R208" i="7"/>
  <c r="Q208" i="7"/>
  <c r="P208" i="7"/>
  <c r="O208" i="7"/>
  <c r="N208" i="7"/>
  <c r="M208" i="7"/>
  <c r="L208" i="7"/>
  <c r="K208" i="7"/>
  <c r="J208" i="7"/>
  <c r="I208" i="7"/>
  <c r="H208" i="7"/>
  <c r="G208" i="7"/>
  <c r="F208" i="7"/>
  <c r="E208" i="7"/>
  <c r="D208" i="7"/>
  <c r="C208" i="7"/>
  <c r="B208" i="7"/>
  <c r="A208" i="7"/>
  <c r="AJ207" i="7"/>
  <c r="AI207" i="7"/>
  <c r="AH207" i="7"/>
  <c r="AG207" i="7"/>
  <c r="AF207" i="7"/>
  <c r="AE207" i="7"/>
  <c r="AD207" i="7"/>
  <c r="AQ207" i="7" s="1"/>
  <c r="AC207" i="7"/>
  <c r="AN207" i="7" s="1"/>
  <c r="AB207" i="7"/>
  <c r="AA207"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AJ206" i="7"/>
  <c r="AI206" i="7"/>
  <c r="AH206" i="7"/>
  <c r="AG206" i="7"/>
  <c r="AF206" i="7"/>
  <c r="AE206" i="7"/>
  <c r="AD206" i="7"/>
  <c r="AQ206" i="7" s="1"/>
  <c r="AC206" i="7"/>
  <c r="AN206" i="7" s="1"/>
  <c r="AB206" i="7"/>
  <c r="AA206" i="7"/>
  <c r="Z206" i="7"/>
  <c r="Y206" i="7"/>
  <c r="X206" i="7"/>
  <c r="W206" i="7"/>
  <c r="V206" i="7"/>
  <c r="AO206" i="7" s="1"/>
  <c r="U206" i="7"/>
  <c r="T206" i="7"/>
  <c r="S206" i="7"/>
  <c r="R206" i="7"/>
  <c r="Q206" i="7"/>
  <c r="P206" i="7"/>
  <c r="O206" i="7"/>
  <c r="N206" i="7"/>
  <c r="M206" i="7"/>
  <c r="L206" i="7"/>
  <c r="K206" i="7"/>
  <c r="J206" i="7"/>
  <c r="I206" i="7"/>
  <c r="H206" i="7"/>
  <c r="G206" i="7"/>
  <c r="F206" i="7"/>
  <c r="E206" i="7"/>
  <c r="D206" i="7"/>
  <c r="C206" i="7"/>
  <c r="B206" i="7"/>
  <c r="A206" i="7"/>
  <c r="AJ205" i="7"/>
  <c r="AI205" i="7"/>
  <c r="AH205" i="7"/>
  <c r="AG205" i="7"/>
  <c r="AF205" i="7"/>
  <c r="AE205" i="7"/>
  <c r="AD205" i="7"/>
  <c r="AQ205" i="7" s="1"/>
  <c r="AC205" i="7"/>
  <c r="AN205" i="7" s="1"/>
  <c r="AB205" i="7"/>
  <c r="AA205" i="7"/>
  <c r="Z205" i="7"/>
  <c r="Y205" i="7"/>
  <c r="X205" i="7"/>
  <c r="W205" i="7"/>
  <c r="V205" i="7"/>
  <c r="AO205" i="7" s="1"/>
  <c r="U205" i="7"/>
  <c r="T205" i="7"/>
  <c r="S205" i="7"/>
  <c r="R205" i="7"/>
  <c r="Q205" i="7"/>
  <c r="P205" i="7"/>
  <c r="O205" i="7"/>
  <c r="N205" i="7"/>
  <c r="M205" i="7"/>
  <c r="L205" i="7"/>
  <c r="K205" i="7"/>
  <c r="J205" i="7"/>
  <c r="I205" i="7"/>
  <c r="H205" i="7"/>
  <c r="G205" i="7"/>
  <c r="F205" i="7"/>
  <c r="E205" i="7"/>
  <c r="D205" i="7"/>
  <c r="C205" i="7"/>
  <c r="B205" i="7"/>
  <c r="A205" i="7"/>
  <c r="AJ204" i="7"/>
  <c r="AI204" i="7"/>
  <c r="AH204" i="7"/>
  <c r="AG204" i="7"/>
  <c r="AF204" i="7"/>
  <c r="AE204" i="7"/>
  <c r="AD204" i="7"/>
  <c r="AQ204" i="7" s="1"/>
  <c r="AC204" i="7"/>
  <c r="AN204" i="7" s="1"/>
  <c r="AB204" i="7"/>
  <c r="AA204" i="7"/>
  <c r="Z204" i="7"/>
  <c r="Y204" i="7"/>
  <c r="X204" i="7"/>
  <c r="W204" i="7"/>
  <c r="V204" i="7"/>
  <c r="U204" i="7"/>
  <c r="T204" i="7"/>
  <c r="S204" i="7"/>
  <c r="R204" i="7"/>
  <c r="Q204" i="7"/>
  <c r="P204" i="7"/>
  <c r="O204" i="7"/>
  <c r="N204" i="7"/>
  <c r="M204" i="7"/>
  <c r="L204" i="7"/>
  <c r="K204" i="7"/>
  <c r="J204" i="7"/>
  <c r="I204" i="7"/>
  <c r="H204" i="7"/>
  <c r="G204" i="7"/>
  <c r="F204" i="7"/>
  <c r="E204" i="7"/>
  <c r="D204" i="7"/>
  <c r="C204" i="7"/>
  <c r="B204" i="7"/>
  <c r="A204" i="7"/>
  <c r="AJ203" i="7"/>
  <c r="AI203" i="7"/>
  <c r="AH203" i="7"/>
  <c r="AG203" i="7"/>
  <c r="AF203" i="7"/>
  <c r="AE203" i="7"/>
  <c r="AD203" i="7"/>
  <c r="AQ203" i="7" s="1"/>
  <c r="AC203" i="7"/>
  <c r="AN203" i="7" s="1"/>
  <c r="AB203" i="7"/>
  <c r="AA203"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AJ202" i="7"/>
  <c r="AI202" i="7"/>
  <c r="AH202" i="7"/>
  <c r="AG202" i="7"/>
  <c r="AF202" i="7"/>
  <c r="AE202" i="7"/>
  <c r="AD202" i="7"/>
  <c r="AQ202" i="7" s="1"/>
  <c r="AC202" i="7"/>
  <c r="AN202" i="7" s="1"/>
  <c r="AB202" i="7"/>
  <c r="AA202"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AJ201" i="7"/>
  <c r="AI201" i="7"/>
  <c r="AH201" i="7"/>
  <c r="AG201" i="7"/>
  <c r="AF201" i="7"/>
  <c r="AE201" i="7"/>
  <c r="AD201" i="7"/>
  <c r="AQ201" i="7" s="1"/>
  <c r="AC201" i="7"/>
  <c r="AN201" i="7" s="1"/>
  <c r="AB201" i="7"/>
  <c r="AA201"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AJ200" i="7"/>
  <c r="AI200" i="7"/>
  <c r="AH200" i="7"/>
  <c r="AG200" i="7"/>
  <c r="AF200" i="7"/>
  <c r="AE200" i="7"/>
  <c r="AD200" i="7"/>
  <c r="AQ200" i="7" s="1"/>
  <c r="AC200" i="7"/>
  <c r="AN200" i="7" s="1"/>
  <c r="AB200" i="7"/>
  <c r="AA200" i="7"/>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AJ199" i="7"/>
  <c r="AI199" i="7"/>
  <c r="AH199" i="7"/>
  <c r="AG199" i="7"/>
  <c r="AF199" i="7"/>
  <c r="AE199" i="7"/>
  <c r="AD199" i="7"/>
  <c r="AQ199" i="7" s="1"/>
  <c r="AC199" i="7"/>
  <c r="AN199" i="7" s="1"/>
  <c r="AB199" i="7"/>
  <c r="AA199"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AJ198" i="7"/>
  <c r="AI198" i="7"/>
  <c r="AH198" i="7"/>
  <c r="AG198" i="7"/>
  <c r="AF198" i="7"/>
  <c r="AE198" i="7"/>
  <c r="AD198" i="7"/>
  <c r="AQ198" i="7" s="1"/>
  <c r="AC198" i="7"/>
  <c r="AN198" i="7" s="1"/>
  <c r="AB198" i="7"/>
  <c r="AA198" i="7"/>
  <c r="Z198" i="7"/>
  <c r="Y198" i="7"/>
  <c r="X198" i="7"/>
  <c r="W198" i="7"/>
  <c r="V198" i="7"/>
  <c r="AO198" i="7" s="1"/>
  <c r="U198" i="7"/>
  <c r="T198" i="7"/>
  <c r="S198" i="7"/>
  <c r="R198" i="7"/>
  <c r="Q198" i="7"/>
  <c r="P198" i="7"/>
  <c r="O198" i="7"/>
  <c r="N198" i="7"/>
  <c r="M198" i="7"/>
  <c r="L198" i="7"/>
  <c r="K198" i="7"/>
  <c r="J198" i="7"/>
  <c r="I198" i="7"/>
  <c r="H198" i="7"/>
  <c r="G198" i="7"/>
  <c r="F198" i="7"/>
  <c r="E198" i="7"/>
  <c r="D198" i="7"/>
  <c r="C198" i="7"/>
  <c r="B198" i="7"/>
  <c r="A198" i="7"/>
  <c r="AJ197" i="7"/>
  <c r="AI197" i="7"/>
  <c r="AH197" i="7"/>
  <c r="AG197" i="7"/>
  <c r="AF197" i="7"/>
  <c r="AE197" i="7"/>
  <c r="AD197" i="7"/>
  <c r="AQ197" i="7" s="1"/>
  <c r="AC197" i="7"/>
  <c r="AN197" i="7" s="1"/>
  <c r="AB197" i="7"/>
  <c r="AA197" i="7"/>
  <c r="Z197" i="7"/>
  <c r="Y197" i="7"/>
  <c r="X197" i="7"/>
  <c r="W197" i="7"/>
  <c r="V197" i="7"/>
  <c r="AO197" i="7" s="1"/>
  <c r="U197" i="7"/>
  <c r="T197" i="7"/>
  <c r="S197" i="7"/>
  <c r="R197" i="7"/>
  <c r="Q197" i="7"/>
  <c r="P197" i="7"/>
  <c r="O197" i="7"/>
  <c r="N197" i="7"/>
  <c r="M197" i="7"/>
  <c r="L197" i="7"/>
  <c r="K197" i="7"/>
  <c r="J197" i="7"/>
  <c r="I197" i="7"/>
  <c r="H197" i="7"/>
  <c r="G197" i="7"/>
  <c r="F197" i="7"/>
  <c r="E197" i="7"/>
  <c r="D197" i="7"/>
  <c r="C197" i="7"/>
  <c r="B197" i="7"/>
  <c r="A197" i="7"/>
  <c r="AJ196" i="7"/>
  <c r="AI196" i="7"/>
  <c r="AH196" i="7"/>
  <c r="AG196" i="7"/>
  <c r="AF196" i="7"/>
  <c r="AE196" i="7"/>
  <c r="AD196" i="7"/>
  <c r="AQ196" i="7" s="1"/>
  <c r="AC196" i="7"/>
  <c r="AN196" i="7" s="1"/>
  <c r="AB196" i="7"/>
  <c r="AA196" i="7"/>
  <c r="Z196" i="7"/>
  <c r="Y196" i="7"/>
  <c r="X196" i="7"/>
  <c r="W196" i="7"/>
  <c r="V196" i="7"/>
  <c r="U196" i="7"/>
  <c r="T196" i="7"/>
  <c r="S196" i="7"/>
  <c r="R196" i="7"/>
  <c r="Q196" i="7"/>
  <c r="P196" i="7"/>
  <c r="O196" i="7"/>
  <c r="N196" i="7"/>
  <c r="M196" i="7"/>
  <c r="L196" i="7"/>
  <c r="K196" i="7"/>
  <c r="J196" i="7"/>
  <c r="I196" i="7"/>
  <c r="H196" i="7"/>
  <c r="G196" i="7"/>
  <c r="F196" i="7"/>
  <c r="E196" i="7"/>
  <c r="D196" i="7"/>
  <c r="C196" i="7"/>
  <c r="B196" i="7"/>
  <c r="A196" i="7"/>
  <c r="AJ195" i="7"/>
  <c r="AI195" i="7"/>
  <c r="AH195" i="7"/>
  <c r="AG195" i="7"/>
  <c r="AF195" i="7"/>
  <c r="AE195" i="7"/>
  <c r="AD195" i="7"/>
  <c r="AQ195" i="7" s="1"/>
  <c r="AC195" i="7"/>
  <c r="AN195" i="7" s="1"/>
  <c r="AB195" i="7"/>
  <c r="AA195"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AJ194" i="7"/>
  <c r="AI194" i="7"/>
  <c r="AH194" i="7"/>
  <c r="AG194" i="7"/>
  <c r="AF194" i="7"/>
  <c r="AE194" i="7"/>
  <c r="AD194" i="7"/>
  <c r="AQ194" i="7" s="1"/>
  <c r="AC194" i="7"/>
  <c r="AN194" i="7" s="1"/>
  <c r="AB194" i="7"/>
  <c r="AA194"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AJ193" i="7"/>
  <c r="AI193" i="7"/>
  <c r="AH193" i="7"/>
  <c r="AG193" i="7"/>
  <c r="AF193" i="7"/>
  <c r="AE193" i="7"/>
  <c r="AD193" i="7"/>
  <c r="AQ193" i="7" s="1"/>
  <c r="AC193" i="7"/>
  <c r="AN193" i="7" s="1"/>
  <c r="AB193" i="7"/>
  <c r="AA193"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AJ192" i="7"/>
  <c r="AI192" i="7"/>
  <c r="AH192" i="7"/>
  <c r="AG192" i="7"/>
  <c r="AF192" i="7"/>
  <c r="AE192" i="7"/>
  <c r="AD192" i="7"/>
  <c r="AQ192" i="7" s="1"/>
  <c r="AC192" i="7"/>
  <c r="AN192" i="7" s="1"/>
  <c r="AB192" i="7"/>
  <c r="AA192" i="7"/>
  <c r="Z192" i="7"/>
  <c r="Y192" i="7"/>
  <c r="X192" i="7"/>
  <c r="W192" i="7"/>
  <c r="V192" i="7"/>
  <c r="AP192" i="7" s="1"/>
  <c r="U192" i="7"/>
  <c r="T192" i="7"/>
  <c r="S192" i="7"/>
  <c r="R192" i="7"/>
  <c r="Q192" i="7"/>
  <c r="P192" i="7"/>
  <c r="O192" i="7"/>
  <c r="N192" i="7"/>
  <c r="M192" i="7"/>
  <c r="L192" i="7"/>
  <c r="K192" i="7"/>
  <c r="J192" i="7"/>
  <c r="I192" i="7"/>
  <c r="H192" i="7"/>
  <c r="G192" i="7"/>
  <c r="F192" i="7"/>
  <c r="E192" i="7"/>
  <c r="D192" i="7"/>
  <c r="C192" i="7"/>
  <c r="B192" i="7"/>
  <c r="A192" i="7"/>
  <c r="AJ191" i="7"/>
  <c r="AI191" i="7"/>
  <c r="AH191" i="7"/>
  <c r="AG191" i="7"/>
  <c r="AF191" i="7"/>
  <c r="AE191" i="7"/>
  <c r="AD191" i="7"/>
  <c r="AQ191" i="7" s="1"/>
  <c r="AC191" i="7"/>
  <c r="AN191" i="7" s="1"/>
  <c r="AB191" i="7"/>
  <c r="AA191"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AJ190" i="7"/>
  <c r="AI190" i="7"/>
  <c r="AH190" i="7"/>
  <c r="AG190" i="7"/>
  <c r="AF190" i="7"/>
  <c r="AE190" i="7"/>
  <c r="AD190" i="7"/>
  <c r="AQ190" i="7" s="1"/>
  <c r="AC190" i="7"/>
  <c r="AN190" i="7" s="1"/>
  <c r="AB190" i="7"/>
  <c r="AA190" i="7"/>
  <c r="Z190" i="7"/>
  <c r="Y190" i="7"/>
  <c r="X190" i="7"/>
  <c r="W190" i="7"/>
  <c r="V190" i="7"/>
  <c r="AO190" i="7" s="1"/>
  <c r="U190" i="7"/>
  <c r="T190" i="7"/>
  <c r="S190" i="7"/>
  <c r="R190" i="7"/>
  <c r="Q190" i="7"/>
  <c r="P190" i="7"/>
  <c r="O190" i="7"/>
  <c r="N190" i="7"/>
  <c r="M190" i="7"/>
  <c r="L190" i="7"/>
  <c r="K190" i="7"/>
  <c r="J190" i="7"/>
  <c r="I190" i="7"/>
  <c r="H190" i="7"/>
  <c r="G190" i="7"/>
  <c r="F190" i="7"/>
  <c r="E190" i="7"/>
  <c r="D190" i="7"/>
  <c r="C190" i="7"/>
  <c r="B190" i="7"/>
  <c r="A190" i="7"/>
  <c r="AJ189" i="7"/>
  <c r="AI189" i="7"/>
  <c r="AH189" i="7"/>
  <c r="AG189" i="7"/>
  <c r="AF189" i="7"/>
  <c r="AE189" i="7"/>
  <c r="AD189" i="7"/>
  <c r="AQ189" i="7" s="1"/>
  <c r="AC189" i="7"/>
  <c r="AN189" i="7" s="1"/>
  <c r="AB189" i="7"/>
  <c r="AA189" i="7"/>
  <c r="Z189" i="7"/>
  <c r="Y189" i="7"/>
  <c r="X189" i="7"/>
  <c r="W189" i="7"/>
  <c r="V189" i="7"/>
  <c r="U189" i="7"/>
  <c r="T189" i="7"/>
  <c r="S189" i="7"/>
  <c r="R189" i="7"/>
  <c r="Q189" i="7"/>
  <c r="P189" i="7"/>
  <c r="O189" i="7"/>
  <c r="N189" i="7"/>
  <c r="M189" i="7"/>
  <c r="L189" i="7"/>
  <c r="K189" i="7"/>
  <c r="J189" i="7"/>
  <c r="I189" i="7"/>
  <c r="H189" i="7"/>
  <c r="G189" i="7"/>
  <c r="F189" i="7"/>
  <c r="E189" i="7"/>
  <c r="D189" i="7"/>
  <c r="C189" i="7"/>
  <c r="B189" i="7"/>
  <c r="A189" i="7"/>
  <c r="AJ188" i="7"/>
  <c r="AI188" i="7"/>
  <c r="AH188" i="7"/>
  <c r="AG188" i="7"/>
  <c r="AF188" i="7"/>
  <c r="AE188" i="7"/>
  <c r="AD188" i="7"/>
  <c r="AQ188" i="7" s="1"/>
  <c r="AC188" i="7"/>
  <c r="AN188" i="7" s="1"/>
  <c r="AB188" i="7"/>
  <c r="AA188" i="7"/>
  <c r="Z188" i="7"/>
  <c r="Y188" i="7"/>
  <c r="X188" i="7"/>
  <c r="W188" i="7"/>
  <c r="V188" i="7"/>
  <c r="U188" i="7"/>
  <c r="T188" i="7"/>
  <c r="S188" i="7"/>
  <c r="R188" i="7"/>
  <c r="Q188" i="7"/>
  <c r="P188" i="7"/>
  <c r="O188" i="7"/>
  <c r="N188" i="7"/>
  <c r="M188" i="7"/>
  <c r="L188" i="7"/>
  <c r="K188" i="7"/>
  <c r="J188" i="7"/>
  <c r="I188" i="7"/>
  <c r="H188" i="7"/>
  <c r="G188" i="7"/>
  <c r="F188" i="7"/>
  <c r="E188" i="7"/>
  <c r="D188" i="7"/>
  <c r="C188" i="7"/>
  <c r="B188" i="7"/>
  <c r="A188" i="7"/>
  <c r="AJ187" i="7"/>
  <c r="AI187" i="7"/>
  <c r="AH187" i="7"/>
  <c r="AG187" i="7"/>
  <c r="AF187" i="7"/>
  <c r="AE187" i="7"/>
  <c r="AD187" i="7"/>
  <c r="AQ187" i="7" s="1"/>
  <c r="AC187" i="7"/>
  <c r="AN187" i="7" s="1"/>
  <c r="AB187" i="7"/>
  <c r="AA187" i="7"/>
  <c r="Z187" i="7"/>
  <c r="Y187" i="7"/>
  <c r="X187" i="7"/>
  <c r="W187" i="7"/>
  <c r="V187" i="7"/>
  <c r="AO187" i="7" s="1"/>
  <c r="U187" i="7"/>
  <c r="T187" i="7"/>
  <c r="S187" i="7"/>
  <c r="R187" i="7"/>
  <c r="Q187" i="7"/>
  <c r="P187" i="7"/>
  <c r="O187" i="7"/>
  <c r="N187" i="7"/>
  <c r="M187" i="7"/>
  <c r="L187" i="7"/>
  <c r="K187" i="7"/>
  <c r="J187" i="7"/>
  <c r="I187" i="7"/>
  <c r="H187" i="7"/>
  <c r="G187" i="7"/>
  <c r="F187" i="7"/>
  <c r="E187" i="7"/>
  <c r="D187" i="7"/>
  <c r="C187" i="7"/>
  <c r="B187" i="7"/>
  <c r="A187" i="7"/>
  <c r="AJ186" i="7"/>
  <c r="AI186" i="7"/>
  <c r="AH186" i="7"/>
  <c r="AG186" i="7"/>
  <c r="AF186" i="7"/>
  <c r="AE186" i="7"/>
  <c r="AD186" i="7"/>
  <c r="AQ186" i="7" s="1"/>
  <c r="AC186" i="7"/>
  <c r="AN186" i="7" s="1"/>
  <c r="AB186" i="7"/>
  <c r="AA186"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AJ185" i="7"/>
  <c r="AI185" i="7"/>
  <c r="AH185" i="7"/>
  <c r="AG185" i="7"/>
  <c r="AF185" i="7"/>
  <c r="AE185" i="7"/>
  <c r="AD185" i="7"/>
  <c r="AQ185" i="7" s="1"/>
  <c r="AC185" i="7"/>
  <c r="AN185" i="7" s="1"/>
  <c r="AB185" i="7"/>
  <c r="AA185" i="7"/>
  <c r="Z185" i="7"/>
  <c r="Y185" i="7"/>
  <c r="X185" i="7"/>
  <c r="W185" i="7"/>
  <c r="V185" i="7"/>
  <c r="AO185" i="7" s="1"/>
  <c r="U185" i="7"/>
  <c r="T185" i="7"/>
  <c r="S185" i="7"/>
  <c r="R185" i="7"/>
  <c r="Q185" i="7"/>
  <c r="P185" i="7"/>
  <c r="O185" i="7"/>
  <c r="N185" i="7"/>
  <c r="M185" i="7"/>
  <c r="L185" i="7"/>
  <c r="K185" i="7"/>
  <c r="J185" i="7"/>
  <c r="I185" i="7"/>
  <c r="H185" i="7"/>
  <c r="G185" i="7"/>
  <c r="F185" i="7"/>
  <c r="E185" i="7"/>
  <c r="D185" i="7"/>
  <c r="C185" i="7"/>
  <c r="B185" i="7"/>
  <c r="A185" i="7"/>
  <c r="AJ184" i="7"/>
  <c r="AI184" i="7"/>
  <c r="AH184" i="7"/>
  <c r="AG184" i="7"/>
  <c r="AF184" i="7"/>
  <c r="AE184" i="7"/>
  <c r="AD184" i="7"/>
  <c r="AQ184" i="7" s="1"/>
  <c r="AC184" i="7"/>
  <c r="AN184" i="7" s="1"/>
  <c r="AB184" i="7"/>
  <c r="AA184" i="7"/>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AJ183" i="7"/>
  <c r="AI183" i="7"/>
  <c r="AH183" i="7"/>
  <c r="AG183" i="7"/>
  <c r="AF183" i="7"/>
  <c r="AE183" i="7"/>
  <c r="AD183" i="7"/>
  <c r="AQ183" i="7" s="1"/>
  <c r="AC183" i="7"/>
  <c r="AN183" i="7" s="1"/>
  <c r="AB183" i="7"/>
  <c r="AA183"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AJ182" i="7"/>
  <c r="AI182" i="7"/>
  <c r="AH182" i="7"/>
  <c r="AG182" i="7"/>
  <c r="AF182" i="7"/>
  <c r="AE182" i="7"/>
  <c r="AD182" i="7"/>
  <c r="AQ182" i="7" s="1"/>
  <c r="AC182" i="7"/>
  <c r="AN182" i="7" s="1"/>
  <c r="AB182" i="7"/>
  <c r="AA182" i="7"/>
  <c r="Z182" i="7"/>
  <c r="Y182" i="7"/>
  <c r="X182" i="7"/>
  <c r="W182" i="7"/>
  <c r="V182" i="7"/>
  <c r="AO182" i="7" s="1"/>
  <c r="U182" i="7"/>
  <c r="T182" i="7"/>
  <c r="S182" i="7"/>
  <c r="R182" i="7"/>
  <c r="Q182" i="7"/>
  <c r="P182" i="7"/>
  <c r="O182" i="7"/>
  <c r="N182" i="7"/>
  <c r="M182" i="7"/>
  <c r="L182" i="7"/>
  <c r="K182" i="7"/>
  <c r="J182" i="7"/>
  <c r="I182" i="7"/>
  <c r="H182" i="7"/>
  <c r="G182" i="7"/>
  <c r="F182" i="7"/>
  <c r="E182" i="7"/>
  <c r="D182" i="7"/>
  <c r="C182" i="7"/>
  <c r="B182" i="7"/>
  <c r="A182" i="7"/>
  <c r="AJ181" i="7"/>
  <c r="AI181" i="7"/>
  <c r="AH181" i="7"/>
  <c r="AG181" i="7"/>
  <c r="AF181" i="7"/>
  <c r="AE181" i="7"/>
  <c r="AD181" i="7"/>
  <c r="AQ181" i="7" s="1"/>
  <c r="AC181" i="7"/>
  <c r="AN181" i="7" s="1"/>
  <c r="AB181" i="7"/>
  <c r="AA181" i="7"/>
  <c r="Z181" i="7"/>
  <c r="Y181" i="7"/>
  <c r="X181" i="7"/>
  <c r="W181" i="7"/>
  <c r="V181" i="7"/>
  <c r="U181" i="7"/>
  <c r="T181" i="7"/>
  <c r="S181" i="7"/>
  <c r="R181" i="7"/>
  <c r="Q181" i="7"/>
  <c r="P181" i="7"/>
  <c r="O181" i="7"/>
  <c r="N181" i="7"/>
  <c r="M181" i="7"/>
  <c r="L181" i="7"/>
  <c r="K181" i="7"/>
  <c r="J181" i="7"/>
  <c r="I181" i="7"/>
  <c r="H181" i="7"/>
  <c r="G181" i="7"/>
  <c r="F181" i="7"/>
  <c r="E181" i="7"/>
  <c r="D181" i="7"/>
  <c r="C181" i="7"/>
  <c r="B181" i="7"/>
  <c r="A181" i="7"/>
  <c r="AJ180" i="7"/>
  <c r="AI180" i="7"/>
  <c r="AH180" i="7"/>
  <c r="AG180" i="7"/>
  <c r="AF180" i="7"/>
  <c r="AE180" i="7"/>
  <c r="AD180" i="7"/>
  <c r="AQ180" i="7" s="1"/>
  <c r="AC180" i="7"/>
  <c r="AN180" i="7" s="1"/>
  <c r="AB180" i="7"/>
  <c r="AA180" i="7"/>
  <c r="Z180" i="7"/>
  <c r="Y180" i="7"/>
  <c r="X180" i="7"/>
  <c r="W180" i="7"/>
  <c r="V180" i="7"/>
  <c r="U180" i="7"/>
  <c r="T180" i="7"/>
  <c r="S180" i="7"/>
  <c r="R180" i="7"/>
  <c r="Q180" i="7"/>
  <c r="P180" i="7"/>
  <c r="O180" i="7"/>
  <c r="N180" i="7"/>
  <c r="M180" i="7"/>
  <c r="L180" i="7"/>
  <c r="K180" i="7"/>
  <c r="J180" i="7"/>
  <c r="I180" i="7"/>
  <c r="H180" i="7"/>
  <c r="G180" i="7"/>
  <c r="F180" i="7"/>
  <c r="E180" i="7"/>
  <c r="D180" i="7"/>
  <c r="C180" i="7"/>
  <c r="B180" i="7"/>
  <c r="A180" i="7"/>
  <c r="AJ179" i="7"/>
  <c r="AI179" i="7"/>
  <c r="AH179" i="7"/>
  <c r="AG179" i="7"/>
  <c r="AF179" i="7"/>
  <c r="AE179" i="7"/>
  <c r="AD179" i="7"/>
  <c r="AQ179" i="7" s="1"/>
  <c r="AC179" i="7"/>
  <c r="AN179" i="7" s="1"/>
  <c r="AB179" i="7"/>
  <c r="AA179"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AJ178" i="7"/>
  <c r="AI178" i="7"/>
  <c r="AH178" i="7"/>
  <c r="AG178" i="7"/>
  <c r="AF178" i="7"/>
  <c r="AE178" i="7"/>
  <c r="AD178" i="7"/>
  <c r="AQ178" i="7" s="1"/>
  <c r="AC178" i="7"/>
  <c r="AN178" i="7" s="1"/>
  <c r="AB178" i="7"/>
  <c r="AA178"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AJ177" i="7"/>
  <c r="AI177" i="7"/>
  <c r="AH177" i="7"/>
  <c r="AG177" i="7"/>
  <c r="AF177" i="7"/>
  <c r="AE177" i="7"/>
  <c r="AD177" i="7"/>
  <c r="AQ177" i="7" s="1"/>
  <c r="AC177" i="7"/>
  <c r="AN177" i="7" s="1"/>
  <c r="AB177" i="7"/>
  <c r="AA177"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177" i="7"/>
  <c r="AJ176" i="7"/>
  <c r="AI176" i="7"/>
  <c r="AH176" i="7"/>
  <c r="AG176" i="7"/>
  <c r="AF176" i="7"/>
  <c r="AE176" i="7"/>
  <c r="AD176" i="7"/>
  <c r="AQ176" i="7" s="1"/>
  <c r="AC176" i="7"/>
  <c r="AN176" i="7" s="1"/>
  <c r="AB176" i="7"/>
  <c r="AA176" i="7"/>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176" i="7"/>
  <c r="AJ175" i="7"/>
  <c r="AI175" i="7"/>
  <c r="AH175" i="7"/>
  <c r="AG175" i="7"/>
  <c r="AF175" i="7"/>
  <c r="AE175" i="7"/>
  <c r="AD175" i="7"/>
  <c r="AQ175" i="7" s="1"/>
  <c r="AC175" i="7"/>
  <c r="AN175" i="7" s="1"/>
  <c r="AB175" i="7"/>
  <c r="AA175"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AJ174" i="7"/>
  <c r="AI174" i="7"/>
  <c r="AH174" i="7"/>
  <c r="AG174" i="7"/>
  <c r="AF174" i="7"/>
  <c r="AE174" i="7"/>
  <c r="AD174" i="7"/>
  <c r="AQ174" i="7" s="1"/>
  <c r="AC174" i="7"/>
  <c r="AN174" i="7" s="1"/>
  <c r="AB174" i="7"/>
  <c r="AA174" i="7"/>
  <c r="Z174" i="7"/>
  <c r="Y174" i="7"/>
  <c r="X174" i="7"/>
  <c r="W174" i="7"/>
  <c r="V174" i="7"/>
  <c r="AO174" i="7" s="1"/>
  <c r="U174" i="7"/>
  <c r="T174" i="7"/>
  <c r="S174" i="7"/>
  <c r="R174" i="7"/>
  <c r="Q174" i="7"/>
  <c r="P174" i="7"/>
  <c r="O174" i="7"/>
  <c r="N174" i="7"/>
  <c r="M174" i="7"/>
  <c r="L174" i="7"/>
  <c r="K174" i="7"/>
  <c r="J174" i="7"/>
  <c r="I174" i="7"/>
  <c r="H174" i="7"/>
  <c r="G174" i="7"/>
  <c r="F174" i="7"/>
  <c r="E174" i="7"/>
  <c r="D174" i="7"/>
  <c r="C174" i="7"/>
  <c r="B174" i="7"/>
  <c r="A174" i="7"/>
  <c r="AJ173" i="7"/>
  <c r="AI173" i="7"/>
  <c r="AH173" i="7"/>
  <c r="AG173" i="7"/>
  <c r="AF173" i="7"/>
  <c r="AE173" i="7"/>
  <c r="AD173" i="7"/>
  <c r="AQ173" i="7" s="1"/>
  <c r="AC173" i="7"/>
  <c r="AN173" i="7" s="1"/>
  <c r="AB173" i="7"/>
  <c r="AA173" i="7"/>
  <c r="Z173" i="7"/>
  <c r="Y173" i="7"/>
  <c r="X173" i="7"/>
  <c r="W173" i="7"/>
  <c r="V173" i="7"/>
  <c r="U173" i="7"/>
  <c r="T173" i="7"/>
  <c r="S173" i="7"/>
  <c r="R173" i="7"/>
  <c r="Q173" i="7"/>
  <c r="P173" i="7"/>
  <c r="O173" i="7"/>
  <c r="N173" i="7"/>
  <c r="M173" i="7"/>
  <c r="L173" i="7"/>
  <c r="K173" i="7"/>
  <c r="J173" i="7"/>
  <c r="I173" i="7"/>
  <c r="H173" i="7"/>
  <c r="G173" i="7"/>
  <c r="F173" i="7"/>
  <c r="E173" i="7"/>
  <c r="D173" i="7"/>
  <c r="C173" i="7"/>
  <c r="B173" i="7"/>
  <c r="A173" i="7"/>
  <c r="AJ172" i="7"/>
  <c r="AI172" i="7"/>
  <c r="AH172" i="7"/>
  <c r="AG172" i="7"/>
  <c r="AF172" i="7"/>
  <c r="AE172" i="7"/>
  <c r="AD172" i="7"/>
  <c r="AQ172" i="7" s="1"/>
  <c r="AC172" i="7"/>
  <c r="AN172" i="7" s="1"/>
  <c r="AB172" i="7"/>
  <c r="AA172" i="7"/>
  <c r="Z172" i="7"/>
  <c r="Y172" i="7"/>
  <c r="X172" i="7"/>
  <c r="W172" i="7"/>
  <c r="V172" i="7"/>
  <c r="U172" i="7"/>
  <c r="T172" i="7"/>
  <c r="S172" i="7"/>
  <c r="R172" i="7"/>
  <c r="Q172" i="7"/>
  <c r="P172" i="7"/>
  <c r="O172" i="7"/>
  <c r="N172" i="7"/>
  <c r="M172" i="7"/>
  <c r="L172" i="7"/>
  <c r="K172" i="7"/>
  <c r="J172" i="7"/>
  <c r="I172" i="7"/>
  <c r="H172" i="7"/>
  <c r="G172" i="7"/>
  <c r="F172" i="7"/>
  <c r="E172" i="7"/>
  <c r="D172" i="7"/>
  <c r="C172" i="7"/>
  <c r="B172" i="7"/>
  <c r="A172" i="7"/>
  <c r="AJ171" i="7"/>
  <c r="AI171" i="7"/>
  <c r="AH171" i="7"/>
  <c r="AG171" i="7"/>
  <c r="AF171" i="7"/>
  <c r="AE171" i="7"/>
  <c r="AD171" i="7"/>
  <c r="AQ171" i="7" s="1"/>
  <c r="AC171" i="7"/>
  <c r="AN171" i="7" s="1"/>
  <c r="AB171" i="7"/>
  <c r="AA171"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AJ170" i="7"/>
  <c r="AI170" i="7"/>
  <c r="AH170" i="7"/>
  <c r="AG170" i="7"/>
  <c r="AF170" i="7"/>
  <c r="AE170" i="7"/>
  <c r="AD170" i="7"/>
  <c r="AQ170" i="7" s="1"/>
  <c r="AC170" i="7"/>
  <c r="AN170" i="7" s="1"/>
  <c r="AB170" i="7"/>
  <c r="AA170"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AJ169" i="7"/>
  <c r="AI169" i="7"/>
  <c r="AH169" i="7"/>
  <c r="AG169" i="7"/>
  <c r="AF169" i="7"/>
  <c r="AE169" i="7"/>
  <c r="AD169" i="7"/>
  <c r="AQ169" i="7" s="1"/>
  <c r="AC169" i="7"/>
  <c r="AN169" i="7" s="1"/>
  <c r="AB169" i="7"/>
  <c r="AA169"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169" i="7"/>
  <c r="AJ168" i="7"/>
  <c r="AI168" i="7"/>
  <c r="AH168" i="7"/>
  <c r="AG168" i="7"/>
  <c r="AF168" i="7"/>
  <c r="AE168" i="7"/>
  <c r="AD168" i="7"/>
  <c r="AQ168" i="7" s="1"/>
  <c r="AC168" i="7"/>
  <c r="AN168" i="7" s="1"/>
  <c r="AB168" i="7"/>
  <c r="AA168" i="7"/>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168" i="7"/>
  <c r="AJ167" i="7"/>
  <c r="AI167" i="7"/>
  <c r="AH167" i="7"/>
  <c r="AG167" i="7"/>
  <c r="AF167" i="7"/>
  <c r="AE167" i="7"/>
  <c r="AD167" i="7"/>
  <c r="AQ167" i="7" s="1"/>
  <c r="AC167" i="7"/>
  <c r="AN167" i="7" s="1"/>
  <c r="AB167" i="7"/>
  <c r="AA167"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AJ166" i="7"/>
  <c r="AI166" i="7"/>
  <c r="AH166" i="7"/>
  <c r="AG166" i="7"/>
  <c r="AF166" i="7"/>
  <c r="AE166" i="7"/>
  <c r="AD166" i="7"/>
  <c r="AQ166" i="7" s="1"/>
  <c r="AC166" i="7"/>
  <c r="AN166" i="7" s="1"/>
  <c r="AB166" i="7"/>
  <c r="AA166" i="7"/>
  <c r="Z166" i="7"/>
  <c r="Y166" i="7"/>
  <c r="X166" i="7"/>
  <c r="W166" i="7"/>
  <c r="V166" i="7"/>
  <c r="AO166" i="7" s="1"/>
  <c r="U166" i="7"/>
  <c r="T166" i="7"/>
  <c r="S166" i="7"/>
  <c r="R166" i="7"/>
  <c r="Q166" i="7"/>
  <c r="P166" i="7"/>
  <c r="O166" i="7"/>
  <c r="N166" i="7"/>
  <c r="M166" i="7"/>
  <c r="L166" i="7"/>
  <c r="K166" i="7"/>
  <c r="J166" i="7"/>
  <c r="I166" i="7"/>
  <c r="H166" i="7"/>
  <c r="G166" i="7"/>
  <c r="F166" i="7"/>
  <c r="E166" i="7"/>
  <c r="D166" i="7"/>
  <c r="C166" i="7"/>
  <c r="B166" i="7"/>
  <c r="A166" i="7"/>
  <c r="AJ165" i="7"/>
  <c r="AI165" i="7"/>
  <c r="AH165" i="7"/>
  <c r="AG165" i="7"/>
  <c r="AF165" i="7"/>
  <c r="AE165" i="7"/>
  <c r="AD165" i="7"/>
  <c r="AQ165" i="7" s="1"/>
  <c r="AC165" i="7"/>
  <c r="AN165" i="7" s="1"/>
  <c r="AB165" i="7"/>
  <c r="AA165" i="7"/>
  <c r="Z165" i="7"/>
  <c r="Y165" i="7"/>
  <c r="X165" i="7"/>
  <c r="W165" i="7"/>
  <c r="V165" i="7"/>
  <c r="U165" i="7"/>
  <c r="T165" i="7"/>
  <c r="S165" i="7"/>
  <c r="R165" i="7"/>
  <c r="Q165" i="7"/>
  <c r="P165" i="7"/>
  <c r="O165" i="7"/>
  <c r="N165" i="7"/>
  <c r="M165" i="7"/>
  <c r="L165" i="7"/>
  <c r="K165" i="7"/>
  <c r="J165" i="7"/>
  <c r="I165" i="7"/>
  <c r="H165" i="7"/>
  <c r="G165" i="7"/>
  <c r="F165" i="7"/>
  <c r="E165" i="7"/>
  <c r="D165" i="7"/>
  <c r="C165" i="7"/>
  <c r="B165" i="7"/>
  <c r="A165" i="7"/>
  <c r="AJ164" i="7"/>
  <c r="AI164" i="7"/>
  <c r="AH164" i="7"/>
  <c r="AG164" i="7"/>
  <c r="AF164" i="7"/>
  <c r="AE164" i="7"/>
  <c r="AD164" i="7"/>
  <c r="AQ164" i="7" s="1"/>
  <c r="AC164" i="7"/>
  <c r="AN164" i="7" s="1"/>
  <c r="AB164" i="7"/>
  <c r="AA164" i="7"/>
  <c r="Z164" i="7"/>
  <c r="Y164" i="7"/>
  <c r="X164" i="7"/>
  <c r="W164" i="7"/>
  <c r="V164" i="7"/>
  <c r="U164" i="7"/>
  <c r="T164" i="7"/>
  <c r="S164" i="7"/>
  <c r="R164" i="7"/>
  <c r="Q164" i="7"/>
  <c r="P164" i="7"/>
  <c r="O164" i="7"/>
  <c r="N164" i="7"/>
  <c r="M164" i="7"/>
  <c r="L164" i="7"/>
  <c r="K164" i="7"/>
  <c r="J164" i="7"/>
  <c r="I164" i="7"/>
  <c r="H164" i="7"/>
  <c r="G164" i="7"/>
  <c r="F164" i="7"/>
  <c r="E164" i="7"/>
  <c r="D164" i="7"/>
  <c r="C164" i="7"/>
  <c r="B164" i="7"/>
  <c r="A164" i="7"/>
  <c r="AJ163" i="7"/>
  <c r="AI163" i="7"/>
  <c r="AH163" i="7"/>
  <c r="AG163" i="7"/>
  <c r="AF163" i="7"/>
  <c r="AE163" i="7"/>
  <c r="AD163" i="7"/>
  <c r="AQ163" i="7" s="1"/>
  <c r="AC163" i="7"/>
  <c r="AN163" i="7" s="1"/>
  <c r="AB163" i="7"/>
  <c r="AA163" i="7"/>
  <c r="Z163" i="7"/>
  <c r="Y163" i="7"/>
  <c r="X163" i="7"/>
  <c r="W163" i="7"/>
  <c r="V163" i="7"/>
  <c r="AO163" i="7" s="1"/>
  <c r="U163" i="7"/>
  <c r="T163" i="7"/>
  <c r="S163" i="7"/>
  <c r="R163" i="7"/>
  <c r="Q163" i="7"/>
  <c r="P163" i="7"/>
  <c r="O163" i="7"/>
  <c r="N163" i="7"/>
  <c r="M163" i="7"/>
  <c r="L163" i="7"/>
  <c r="K163" i="7"/>
  <c r="J163" i="7"/>
  <c r="I163" i="7"/>
  <c r="H163" i="7"/>
  <c r="G163" i="7"/>
  <c r="F163" i="7"/>
  <c r="E163" i="7"/>
  <c r="D163" i="7"/>
  <c r="C163" i="7"/>
  <c r="B163" i="7"/>
  <c r="A163" i="7"/>
  <c r="AJ162" i="7"/>
  <c r="AI162" i="7"/>
  <c r="AH162" i="7"/>
  <c r="AG162" i="7"/>
  <c r="AF162" i="7"/>
  <c r="AE162" i="7"/>
  <c r="AD162" i="7"/>
  <c r="AQ162" i="7" s="1"/>
  <c r="AC162" i="7"/>
  <c r="AN162" i="7" s="1"/>
  <c r="AB162" i="7"/>
  <c r="AA162" i="7"/>
  <c r="Z162" i="7"/>
  <c r="Y162" i="7"/>
  <c r="X162" i="7"/>
  <c r="W162" i="7"/>
  <c r="V162" i="7"/>
  <c r="AO162" i="7" s="1"/>
  <c r="U162" i="7"/>
  <c r="T162" i="7"/>
  <c r="S162" i="7"/>
  <c r="R162" i="7"/>
  <c r="Q162" i="7"/>
  <c r="P162" i="7"/>
  <c r="O162" i="7"/>
  <c r="N162" i="7"/>
  <c r="M162" i="7"/>
  <c r="L162" i="7"/>
  <c r="K162" i="7"/>
  <c r="J162" i="7"/>
  <c r="I162" i="7"/>
  <c r="H162" i="7"/>
  <c r="G162" i="7"/>
  <c r="F162" i="7"/>
  <c r="E162" i="7"/>
  <c r="D162" i="7"/>
  <c r="C162" i="7"/>
  <c r="B162" i="7"/>
  <c r="A162" i="7"/>
  <c r="AJ161" i="7"/>
  <c r="AI161" i="7"/>
  <c r="AH161" i="7"/>
  <c r="AG161" i="7"/>
  <c r="AF161" i="7"/>
  <c r="AE161" i="7"/>
  <c r="AD161" i="7"/>
  <c r="AQ161" i="7" s="1"/>
  <c r="AC161" i="7"/>
  <c r="AN161" i="7" s="1"/>
  <c r="AB161" i="7"/>
  <c r="AA161"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AJ160" i="7"/>
  <c r="AI160" i="7"/>
  <c r="AH160" i="7"/>
  <c r="AG160" i="7"/>
  <c r="AF160" i="7"/>
  <c r="AE160" i="7"/>
  <c r="AD160" i="7"/>
  <c r="AQ160" i="7" s="1"/>
  <c r="AC160" i="7"/>
  <c r="AN160" i="7" s="1"/>
  <c r="AB160" i="7"/>
  <c r="AA160" i="7"/>
  <c r="Z160" i="7"/>
  <c r="Y160" i="7"/>
  <c r="X160" i="7"/>
  <c r="W160" i="7"/>
  <c r="V160" i="7"/>
  <c r="AO160" i="7" s="1"/>
  <c r="U160" i="7"/>
  <c r="T160" i="7"/>
  <c r="S160" i="7"/>
  <c r="R160" i="7"/>
  <c r="Q160" i="7"/>
  <c r="P160" i="7"/>
  <c r="O160" i="7"/>
  <c r="N160" i="7"/>
  <c r="M160" i="7"/>
  <c r="L160" i="7"/>
  <c r="K160" i="7"/>
  <c r="J160" i="7"/>
  <c r="I160" i="7"/>
  <c r="H160" i="7"/>
  <c r="G160" i="7"/>
  <c r="F160" i="7"/>
  <c r="E160" i="7"/>
  <c r="D160" i="7"/>
  <c r="C160" i="7"/>
  <c r="B160" i="7"/>
  <c r="A160" i="7"/>
  <c r="AJ159" i="7"/>
  <c r="AI159" i="7"/>
  <c r="AH159" i="7"/>
  <c r="AG159" i="7"/>
  <c r="AF159" i="7"/>
  <c r="AE159" i="7"/>
  <c r="AD159" i="7"/>
  <c r="AQ159" i="7" s="1"/>
  <c r="AC159" i="7"/>
  <c r="AN159" i="7" s="1"/>
  <c r="AB159" i="7"/>
  <c r="AA159" i="7"/>
  <c r="Z159" i="7"/>
  <c r="AL159" i="7" s="1"/>
  <c r="Y159" i="7"/>
  <c r="X159" i="7"/>
  <c r="W159" i="7"/>
  <c r="V159" i="7"/>
  <c r="U159" i="7"/>
  <c r="T159" i="7"/>
  <c r="S159" i="7"/>
  <c r="R159" i="7"/>
  <c r="Q159" i="7"/>
  <c r="P159" i="7"/>
  <c r="O159" i="7"/>
  <c r="N159" i="7"/>
  <c r="M159" i="7"/>
  <c r="L159" i="7"/>
  <c r="K159" i="7"/>
  <c r="J159" i="7"/>
  <c r="I159" i="7"/>
  <c r="H159" i="7"/>
  <c r="G159" i="7"/>
  <c r="F159" i="7"/>
  <c r="E159" i="7"/>
  <c r="D159" i="7"/>
  <c r="C159" i="7"/>
  <c r="B159" i="7"/>
  <c r="A159" i="7"/>
  <c r="AJ158" i="7"/>
  <c r="AI158" i="7"/>
  <c r="AH158" i="7"/>
  <c r="AG158" i="7"/>
  <c r="AF158" i="7"/>
  <c r="AE158" i="7"/>
  <c r="AD158" i="7"/>
  <c r="AQ158" i="7" s="1"/>
  <c r="AC158" i="7"/>
  <c r="AN158" i="7" s="1"/>
  <c r="AB158" i="7"/>
  <c r="AA158"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AJ157" i="7"/>
  <c r="AI157" i="7"/>
  <c r="AH157" i="7"/>
  <c r="AG157" i="7"/>
  <c r="AF157" i="7"/>
  <c r="AE157" i="7"/>
  <c r="AD157" i="7"/>
  <c r="AQ157" i="7" s="1"/>
  <c r="AC157" i="7"/>
  <c r="AN157" i="7" s="1"/>
  <c r="AB157" i="7"/>
  <c r="AA157" i="7"/>
  <c r="Z157" i="7"/>
  <c r="Y157" i="7"/>
  <c r="X157" i="7"/>
  <c r="W157" i="7"/>
  <c r="V157" i="7"/>
  <c r="AO157" i="7" s="1"/>
  <c r="U157" i="7"/>
  <c r="T157" i="7"/>
  <c r="S157" i="7"/>
  <c r="R157" i="7"/>
  <c r="Q157" i="7"/>
  <c r="P157" i="7"/>
  <c r="O157" i="7"/>
  <c r="N157" i="7"/>
  <c r="M157" i="7"/>
  <c r="L157" i="7"/>
  <c r="K157" i="7"/>
  <c r="J157" i="7"/>
  <c r="I157" i="7"/>
  <c r="H157" i="7"/>
  <c r="G157" i="7"/>
  <c r="F157" i="7"/>
  <c r="E157" i="7"/>
  <c r="D157" i="7"/>
  <c r="C157" i="7"/>
  <c r="B157" i="7"/>
  <c r="A157" i="7"/>
  <c r="AJ156" i="7"/>
  <c r="AI156" i="7"/>
  <c r="AH156" i="7"/>
  <c r="AG156" i="7"/>
  <c r="AF156" i="7"/>
  <c r="AE156" i="7"/>
  <c r="AD156" i="7"/>
  <c r="AQ156" i="7" s="1"/>
  <c r="AC156" i="7"/>
  <c r="AN156" i="7" s="1"/>
  <c r="AB156" i="7"/>
  <c r="AA156" i="7"/>
  <c r="Z156" i="7"/>
  <c r="Y156" i="7"/>
  <c r="X156" i="7"/>
  <c r="W156" i="7"/>
  <c r="V156" i="7"/>
  <c r="U156" i="7"/>
  <c r="T156" i="7"/>
  <c r="S156" i="7"/>
  <c r="R156" i="7"/>
  <c r="Q156" i="7"/>
  <c r="P156" i="7"/>
  <c r="O156" i="7"/>
  <c r="N156" i="7"/>
  <c r="M156" i="7"/>
  <c r="L156" i="7"/>
  <c r="K156" i="7"/>
  <c r="J156" i="7"/>
  <c r="I156" i="7"/>
  <c r="H156" i="7"/>
  <c r="G156" i="7"/>
  <c r="F156" i="7"/>
  <c r="E156" i="7"/>
  <c r="D156" i="7"/>
  <c r="C156" i="7"/>
  <c r="B156" i="7"/>
  <c r="A156" i="7"/>
  <c r="AJ155" i="7"/>
  <c r="AI155" i="7"/>
  <c r="AH155" i="7"/>
  <c r="AG155" i="7"/>
  <c r="AF155" i="7"/>
  <c r="AE155" i="7"/>
  <c r="AD155" i="7"/>
  <c r="AQ155" i="7" s="1"/>
  <c r="AC155" i="7"/>
  <c r="AN155" i="7" s="1"/>
  <c r="AB155" i="7"/>
  <c r="AA155" i="7"/>
  <c r="Z155" i="7"/>
  <c r="Y155" i="7"/>
  <c r="X155" i="7"/>
  <c r="W155" i="7"/>
  <c r="V155" i="7"/>
  <c r="AO155" i="7" s="1"/>
  <c r="U155" i="7"/>
  <c r="T155" i="7"/>
  <c r="S155" i="7"/>
  <c r="R155" i="7"/>
  <c r="Q155" i="7"/>
  <c r="P155" i="7"/>
  <c r="O155" i="7"/>
  <c r="N155" i="7"/>
  <c r="M155" i="7"/>
  <c r="L155" i="7"/>
  <c r="K155" i="7"/>
  <c r="J155" i="7"/>
  <c r="I155" i="7"/>
  <c r="H155" i="7"/>
  <c r="G155" i="7"/>
  <c r="F155" i="7"/>
  <c r="E155" i="7"/>
  <c r="D155" i="7"/>
  <c r="C155" i="7"/>
  <c r="B155" i="7"/>
  <c r="A155" i="7"/>
  <c r="AJ154" i="7"/>
  <c r="AI154" i="7"/>
  <c r="AH154" i="7"/>
  <c r="AG154" i="7"/>
  <c r="AF154" i="7"/>
  <c r="AE154" i="7"/>
  <c r="AD154" i="7"/>
  <c r="AQ154" i="7" s="1"/>
  <c r="AC154" i="7"/>
  <c r="AN154" i="7" s="1"/>
  <c r="AB154" i="7"/>
  <c r="AA154"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AJ153" i="7"/>
  <c r="AI153" i="7"/>
  <c r="AH153" i="7"/>
  <c r="AG153" i="7"/>
  <c r="AF153" i="7"/>
  <c r="AE153" i="7"/>
  <c r="AD153" i="7"/>
  <c r="AQ153" i="7" s="1"/>
  <c r="AC153" i="7"/>
  <c r="AN153" i="7" s="1"/>
  <c r="AB153" i="7"/>
  <c r="AA153" i="7"/>
  <c r="Z153" i="7"/>
  <c r="Y153" i="7"/>
  <c r="X153" i="7"/>
  <c r="W153" i="7"/>
  <c r="V153" i="7"/>
  <c r="AO153" i="7" s="1"/>
  <c r="U153" i="7"/>
  <c r="T153" i="7"/>
  <c r="S153" i="7"/>
  <c r="R153" i="7"/>
  <c r="Q153" i="7"/>
  <c r="P153" i="7"/>
  <c r="O153" i="7"/>
  <c r="N153" i="7"/>
  <c r="M153" i="7"/>
  <c r="L153" i="7"/>
  <c r="K153" i="7"/>
  <c r="J153" i="7"/>
  <c r="I153" i="7"/>
  <c r="H153" i="7"/>
  <c r="G153" i="7"/>
  <c r="F153" i="7"/>
  <c r="E153" i="7"/>
  <c r="D153" i="7"/>
  <c r="C153" i="7"/>
  <c r="B153" i="7"/>
  <c r="A153" i="7"/>
  <c r="AJ152" i="7"/>
  <c r="AI152" i="7"/>
  <c r="AH152" i="7"/>
  <c r="AG152" i="7"/>
  <c r="AF152" i="7"/>
  <c r="AE152" i="7"/>
  <c r="AD152" i="7"/>
  <c r="AQ152" i="7" s="1"/>
  <c r="AC152" i="7"/>
  <c r="AN152" i="7" s="1"/>
  <c r="AB152" i="7"/>
  <c r="AA152" i="7"/>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AJ151" i="7"/>
  <c r="AI151" i="7"/>
  <c r="AH151" i="7"/>
  <c r="AG151" i="7"/>
  <c r="AF151" i="7"/>
  <c r="AE151" i="7"/>
  <c r="AD151" i="7"/>
  <c r="AQ151" i="7" s="1"/>
  <c r="AC151" i="7"/>
  <c r="AN151" i="7" s="1"/>
  <c r="AB151" i="7"/>
  <c r="AA151"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AJ150" i="7"/>
  <c r="AI150" i="7"/>
  <c r="AH150" i="7"/>
  <c r="AG150" i="7"/>
  <c r="AF150" i="7"/>
  <c r="AE150" i="7"/>
  <c r="AD150" i="7"/>
  <c r="AQ150" i="7" s="1"/>
  <c r="AC150" i="7"/>
  <c r="AN150" i="7" s="1"/>
  <c r="AB150" i="7"/>
  <c r="AA150" i="7"/>
  <c r="Z150" i="7"/>
  <c r="Y150" i="7"/>
  <c r="X150" i="7"/>
  <c r="W150" i="7"/>
  <c r="V150" i="7"/>
  <c r="AO150" i="7" s="1"/>
  <c r="U150" i="7"/>
  <c r="AM150" i="7" s="1"/>
  <c r="T150" i="7"/>
  <c r="S150" i="7"/>
  <c r="R150" i="7"/>
  <c r="Q150" i="7"/>
  <c r="P150" i="7"/>
  <c r="O150" i="7"/>
  <c r="N150" i="7"/>
  <c r="M150" i="7"/>
  <c r="L150" i="7"/>
  <c r="K150" i="7"/>
  <c r="J150" i="7"/>
  <c r="I150" i="7"/>
  <c r="H150" i="7"/>
  <c r="G150" i="7"/>
  <c r="F150" i="7"/>
  <c r="E150" i="7"/>
  <c r="D150" i="7"/>
  <c r="C150" i="7"/>
  <c r="B150" i="7"/>
  <c r="A150" i="7"/>
  <c r="AJ149" i="7"/>
  <c r="AI149" i="7"/>
  <c r="AH149" i="7"/>
  <c r="AG149" i="7"/>
  <c r="AF149" i="7"/>
  <c r="AE149" i="7"/>
  <c r="AD149" i="7"/>
  <c r="AQ149" i="7" s="1"/>
  <c r="AC149" i="7"/>
  <c r="AN149" i="7" s="1"/>
  <c r="AB149" i="7"/>
  <c r="AA149" i="7"/>
  <c r="Z149" i="7"/>
  <c r="Y149" i="7"/>
  <c r="X149" i="7"/>
  <c r="W149" i="7"/>
  <c r="V149" i="7"/>
  <c r="U149" i="7"/>
  <c r="T149" i="7"/>
  <c r="S149" i="7"/>
  <c r="R149" i="7"/>
  <c r="Q149" i="7"/>
  <c r="P149" i="7"/>
  <c r="O149" i="7"/>
  <c r="N149" i="7"/>
  <c r="M149" i="7"/>
  <c r="L149" i="7"/>
  <c r="K149" i="7"/>
  <c r="J149" i="7"/>
  <c r="I149" i="7"/>
  <c r="H149" i="7"/>
  <c r="G149" i="7"/>
  <c r="F149" i="7"/>
  <c r="E149" i="7"/>
  <c r="D149" i="7"/>
  <c r="C149" i="7"/>
  <c r="B149" i="7"/>
  <c r="A149" i="7"/>
  <c r="AJ148" i="7"/>
  <c r="AI148" i="7"/>
  <c r="AH148" i="7"/>
  <c r="AG148" i="7"/>
  <c r="AF148" i="7"/>
  <c r="AE148" i="7"/>
  <c r="AD148" i="7"/>
  <c r="AQ148" i="7" s="1"/>
  <c r="AC148" i="7"/>
  <c r="AN148" i="7" s="1"/>
  <c r="AB148" i="7"/>
  <c r="AA148" i="7"/>
  <c r="Z148" i="7"/>
  <c r="Y148" i="7"/>
  <c r="X148" i="7"/>
  <c r="W148" i="7"/>
  <c r="V148" i="7"/>
  <c r="U148" i="7"/>
  <c r="T148" i="7"/>
  <c r="S148" i="7"/>
  <c r="R148" i="7"/>
  <c r="Q148" i="7"/>
  <c r="P148" i="7"/>
  <c r="O148" i="7"/>
  <c r="N148" i="7"/>
  <c r="M148" i="7"/>
  <c r="L148" i="7"/>
  <c r="K148" i="7"/>
  <c r="J148" i="7"/>
  <c r="I148" i="7"/>
  <c r="H148" i="7"/>
  <c r="G148" i="7"/>
  <c r="F148" i="7"/>
  <c r="E148" i="7"/>
  <c r="D148" i="7"/>
  <c r="C148" i="7"/>
  <c r="B148" i="7"/>
  <c r="A148" i="7"/>
  <c r="AJ147" i="7"/>
  <c r="AI147" i="7"/>
  <c r="AH147" i="7"/>
  <c r="AG147" i="7"/>
  <c r="AF147" i="7"/>
  <c r="AE147" i="7"/>
  <c r="AD147" i="7"/>
  <c r="AQ147" i="7" s="1"/>
  <c r="AC147" i="7"/>
  <c r="AN147" i="7" s="1"/>
  <c r="AB147" i="7"/>
  <c r="AA147"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AJ146" i="7"/>
  <c r="AI146" i="7"/>
  <c r="AH146" i="7"/>
  <c r="AG146" i="7"/>
  <c r="AF146" i="7"/>
  <c r="AE146" i="7"/>
  <c r="AD146" i="7"/>
  <c r="AQ146" i="7" s="1"/>
  <c r="AC146" i="7"/>
  <c r="AN146" i="7" s="1"/>
  <c r="AB146" i="7"/>
  <c r="AA146"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AJ145" i="7"/>
  <c r="AI145" i="7"/>
  <c r="AH145" i="7"/>
  <c r="AG145" i="7"/>
  <c r="AF145" i="7"/>
  <c r="AE145" i="7"/>
  <c r="AD145" i="7"/>
  <c r="AQ145" i="7" s="1"/>
  <c r="AC145" i="7"/>
  <c r="AN145" i="7" s="1"/>
  <c r="AB145" i="7"/>
  <c r="AA145"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AJ144" i="7"/>
  <c r="AI144" i="7"/>
  <c r="AH144" i="7"/>
  <c r="AG144" i="7"/>
  <c r="AF144" i="7"/>
  <c r="AE144" i="7"/>
  <c r="AD144" i="7"/>
  <c r="AQ144" i="7" s="1"/>
  <c r="AC144" i="7"/>
  <c r="AN144" i="7" s="1"/>
  <c r="AB144" i="7"/>
  <c r="AA144" i="7"/>
  <c r="Z144" i="7"/>
  <c r="Y144" i="7"/>
  <c r="X144" i="7"/>
  <c r="W144" i="7"/>
  <c r="V144" i="7"/>
  <c r="AO144" i="7" s="1"/>
  <c r="U144" i="7"/>
  <c r="T144" i="7"/>
  <c r="S144" i="7"/>
  <c r="R144" i="7"/>
  <c r="Q144" i="7"/>
  <c r="P144" i="7"/>
  <c r="O144" i="7"/>
  <c r="N144" i="7"/>
  <c r="M144" i="7"/>
  <c r="L144" i="7"/>
  <c r="K144" i="7"/>
  <c r="J144" i="7"/>
  <c r="I144" i="7"/>
  <c r="H144" i="7"/>
  <c r="G144" i="7"/>
  <c r="F144" i="7"/>
  <c r="E144" i="7"/>
  <c r="D144" i="7"/>
  <c r="C144" i="7"/>
  <c r="B144" i="7"/>
  <c r="A144" i="7"/>
  <c r="AJ143" i="7"/>
  <c r="AI143" i="7"/>
  <c r="AH143" i="7"/>
  <c r="AG143" i="7"/>
  <c r="AF143" i="7"/>
  <c r="AE143" i="7"/>
  <c r="AD143" i="7"/>
  <c r="AQ143" i="7" s="1"/>
  <c r="AC143" i="7"/>
  <c r="AN143" i="7" s="1"/>
  <c r="AB143" i="7"/>
  <c r="AA143"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AJ142" i="7"/>
  <c r="AI142" i="7"/>
  <c r="AH142" i="7"/>
  <c r="AG142" i="7"/>
  <c r="AF142" i="7"/>
  <c r="AE142" i="7"/>
  <c r="AD142" i="7"/>
  <c r="AQ142" i="7" s="1"/>
  <c r="AC142" i="7"/>
  <c r="AN142" i="7" s="1"/>
  <c r="AB142" i="7"/>
  <c r="AA142" i="7"/>
  <c r="Z142" i="7"/>
  <c r="Y142" i="7"/>
  <c r="X142" i="7"/>
  <c r="W142" i="7"/>
  <c r="V142" i="7"/>
  <c r="AO142" i="7" s="1"/>
  <c r="U142" i="7"/>
  <c r="T142" i="7"/>
  <c r="S142" i="7"/>
  <c r="R142" i="7"/>
  <c r="Q142" i="7"/>
  <c r="P142" i="7"/>
  <c r="O142" i="7"/>
  <c r="N142" i="7"/>
  <c r="M142" i="7"/>
  <c r="L142" i="7"/>
  <c r="K142" i="7"/>
  <c r="J142" i="7"/>
  <c r="I142" i="7"/>
  <c r="H142" i="7"/>
  <c r="G142" i="7"/>
  <c r="F142" i="7"/>
  <c r="E142" i="7"/>
  <c r="D142" i="7"/>
  <c r="C142" i="7"/>
  <c r="B142" i="7"/>
  <c r="A142" i="7"/>
  <c r="AJ141" i="7"/>
  <c r="AI141" i="7"/>
  <c r="AH141" i="7"/>
  <c r="AG141" i="7"/>
  <c r="AF141" i="7"/>
  <c r="AE141" i="7"/>
  <c r="AD141" i="7"/>
  <c r="AQ141" i="7" s="1"/>
  <c r="AC141" i="7"/>
  <c r="AN141" i="7" s="1"/>
  <c r="AB141" i="7"/>
  <c r="AA141" i="7"/>
  <c r="Z141" i="7"/>
  <c r="Y141" i="7"/>
  <c r="X141" i="7"/>
  <c r="W141" i="7"/>
  <c r="V141" i="7"/>
  <c r="AO141" i="7" s="1"/>
  <c r="U141" i="7"/>
  <c r="T141" i="7"/>
  <c r="S141" i="7"/>
  <c r="R141" i="7"/>
  <c r="Q141" i="7"/>
  <c r="P141" i="7"/>
  <c r="O141" i="7"/>
  <c r="N141" i="7"/>
  <c r="M141" i="7"/>
  <c r="L141" i="7"/>
  <c r="K141" i="7"/>
  <c r="J141" i="7"/>
  <c r="I141" i="7"/>
  <c r="H141" i="7"/>
  <c r="G141" i="7"/>
  <c r="F141" i="7"/>
  <c r="E141" i="7"/>
  <c r="D141" i="7"/>
  <c r="C141" i="7"/>
  <c r="B141" i="7"/>
  <c r="A141" i="7"/>
  <c r="AJ140" i="7"/>
  <c r="AI140" i="7"/>
  <c r="AH140" i="7"/>
  <c r="AG140" i="7"/>
  <c r="AF140" i="7"/>
  <c r="AE140" i="7"/>
  <c r="AD140" i="7"/>
  <c r="AQ140" i="7" s="1"/>
  <c r="AC140" i="7"/>
  <c r="AN140" i="7" s="1"/>
  <c r="AB140" i="7"/>
  <c r="AA140" i="7"/>
  <c r="Z140" i="7"/>
  <c r="Y140" i="7"/>
  <c r="X140" i="7"/>
  <c r="W140" i="7"/>
  <c r="V140" i="7"/>
  <c r="U140" i="7"/>
  <c r="T140" i="7"/>
  <c r="S140" i="7"/>
  <c r="R140" i="7"/>
  <c r="Q140" i="7"/>
  <c r="P140" i="7"/>
  <c r="O140" i="7"/>
  <c r="N140" i="7"/>
  <c r="M140" i="7"/>
  <c r="L140" i="7"/>
  <c r="K140" i="7"/>
  <c r="J140" i="7"/>
  <c r="I140" i="7"/>
  <c r="H140" i="7"/>
  <c r="G140" i="7"/>
  <c r="F140" i="7"/>
  <c r="E140" i="7"/>
  <c r="D140" i="7"/>
  <c r="C140" i="7"/>
  <c r="B140" i="7"/>
  <c r="A140" i="7"/>
  <c r="AJ139" i="7"/>
  <c r="AI139" i="7"/>
  <c r="AH139" i="7"/>
  <c r="AG139" i="7"/>
  <c r="AF139" i="7"/>
  <c r="AE139" i="7"/>
  <c r="AD139" i="7"/>
  <c r="AQ139" i="7" s="1"/>
  <c r="AC139" i="7"/>
  <c r="AN139" i="7" s="1"/>
  <c r="AB139" i="7"/>
  <c r="AA139" i="7"/>
  <c r="Z139" i="7"/>
  <c r="Y139" i="7"/>
  <c r="X139" i="7"/>
  <c r="W139" i="7"/>
  <c r="V139" i="7"/>
  <c r="AO139" i="7" s="1"/>
  <c r="U139" i="7"/>
  <c r="T139" i="7"/>
  <c r="S139" i="7"/>
  <c r="R139" i="7"/>
  <c r="Q139" i="7"/>
  <c r="P139" i="7"/>
  <c r="O139" i="7"/>
  <c r="N139" i="7"/>
  <c r="M139" i="7"/>
  <c r="L139" i="7"/>
  <c r="K139" i="7"/>
  <c r="J139" i="7"/>
  <c r="I139" i="7"/>
  <c r="H139" i="7"/>
  <c r="G139" i="7"/>
  <c r="F139" i="7"/>
  <c r="E139" i="7"/>
  <c r="D139" i="7"/>
  <c r="C139" i="7"/>
  <c r="B139" i="7"/>
  <c r="A139" i="7"/>
  <c r="AJ138" i="7"/>
  <c r="AI138" i="7"/>
  <c r="AH138" i="7"/>
  <c r="AG138" i="7"/>
  <c r="AF138" i="7"/>
  <c r="AE138" i="7"/>
  <c r="AD138" i="7"/>
  <c r="AQ138" i="7" s="1"/>
  <c r="AC138" i="7"/>
  <c r="AN138" i="7" s="1"/>
  <c r="AB138" i="7"/>
  <c r="AA138"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AJ137" i="7"/>
  <c r="AI137" i="7"/>
  <c r="AH137" i="7"/>
  <c r="AG137" i="7"/>
  <c r="AF137" i="7"/>
  <c r="AE137" i="7"/>
  <c r="AD137" i="7"/>
  <c r="AQ137" i="7" s="1"/>
  <c r="AC137" i="7"/>
  <c r="AN137" i="7" s="1"/>
  <c r="AB137" i="7"/>
  <c r="AA137" i="7"/>
  <c r="Z137" i="7"/>
  <c r="Y137" i="7"/>
  <c r="X137" i="7"/>
  <c r="W137" i="7"/>
  <c r="V137" i="7"/>
  <c r="AO137" i="7" s="1"/>
  <c r="U137" i="7"/>
  <c r="T137" i="7"/>
  <c r="S137" i="7"/>
  <c r="R137" i="7"/>
  <c r="Q137" i="7"/>
  <c r="P137" i="7"/>
  <c r="O137" i="7"/>
  <c r="N137" i="7"/>
  <c r="M137" i="7"/>
  <c r="L137" i="7"/>
  <c r="K137" i="7"/>
  <c r="J137" i="7"/>
  <c r="I137" i="7"/>
  <c r="H137" i="7"/>
  <c r="G137" i="7"/>
  <c r="F137" i="7"/>
  <c r="E137" i="7"/>
  <c r="D137" i="7"/>
  <c r="C137" i="7"/>
  <c r="B137" i="7"/>
  <c r="A137" i="7"/>
  <c r="AJ136" i="7"/>
  <c r="AI136" i="7"/>
  <c r="AH136" i="7"/>
  <c r="AG136" i="7"/>
  <c r="AF136" i="7"/>
  <c r="AE136" i="7"/>
  <c r="AD136" i="7"/>
  <c r="AQ136" i="7" s="1"/>
  <c r="AC136" i="7"/>
  <c r="AN136" i="7" s="1"/>
  <c r="AB136" i="7"/>
  <c r="AA136" i="7"/>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136" i="7"/>
  <c r="AJ135" i="7"/>
  <c r="AI135" i="7"/>
  <c r="AH135" i="7"/>
  <c r="AG135" i="7"/>
  <c r="AF135" i="7"/>
  <c r="AE135" i="7"/>
  <c r="AD135" i="7"/>
  <c r="AQ135" i="7" s="1"/>
  <c r="AC135" i="7"/>
  <c r="AN135" i="7" s="1"/>
  <c r="AB135" i="7"/>
  <c r="AA135"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AJ134" i="7"/>
  <c r="AI134" i="7"/>
  <c r="AH134" i="7"/>
  <c r="AG134" i="7"/>
  <c r="AF134" i="7"/>
  <c r="AE134" i="7"/>
  <c r="AD134" i="7"/>
  <c r="AQ134" i="7" s="1"/>
  <c r="AC134" i="7"/>
  <c r="AN134" i="7" s="1"/>
  <c r="AB134" i="7"/>
  <c r="AA134" i="7"/>
  <c r="Z134" i="7"/>
  <c r="Y134" i="7"/>
  <c r="X134" i="7"/>
  <c r="W134" i="7"/>
  <c r="V134" i="7"/>
  <c r="AO134" i="7" s="1"/>
  <c r="U134" i="7"/>
  <c r="T134" i="7"/>
  <c r="S134" i="7"/>
  <c r="R134" i="7"/>
  <c r="Q134" i="7"/>
  <c r="P134" i="7"/>
  <c r="O134" i="7"/>
  <c r="N134" i="7"/>
  <c r="M134" i="7"/>
  <c r="L134" i="7"/>
  <c r="K134" i="7"/>
  <c r="J134" i="7"/>
  <c r="I134" i="7"/>
  <c r="H134" i="7"/>
  <c r="G134" i="7"/>
  <c r="F134" i="7"/>
  <c r="E134" i="7"/>
  <c r="D134" i="7"/>
  <c r="C134" i="7"/>
  <c r="B134" i="7"/>
  <c r="A134" i="7"/>
  <c r="AJ133" i="7"/>
  <c r="AI133" i="7"/>
  <c r="AH133" i="7"/>
  <c r="AG133" i="7"/>
  <c r="AF133" i="7"/>
  <c r="AE133" i="7"/>
  <c r="AD133" i="7"/>
  <c r="AQ133" i="7" s="1"/>
  <c r="AC133" i="7"/>
  <c r="AN133" i="7" s="1"/>
  <c r="AB133" i="7"/>
  <c r="AA133" i="7"/>
  <c r="Z133" i="7"/>
  <c r="Y133" i="7"/>
  <c r="X133" i="7"/>
  <c r="W133" i="7"/>
  <c r="V133" i="7"/>
  <c r="AO133" i="7" s="1"/>
  <c r="U133" i="7"/>
  <c r="T133" i="7"/>
  <c r="S133" i="7"/>
  <c r="R133" i="7"/>
  <c r="Q133" i="7"/>
  <c r="P133" i="7"/>
  <c r="O133" i="7"/>
  <c r="N133" i="7"/>
  <c r="M133" i="7"/>
  <c r="L133" i="7"/>
  <c r="K133" i="7"/>
  <c r="J133" i="7"/>
  <c r="I133" i="7"/>
  <c r="H133" i="7"/>
  <c r="G133" i="7"/>
  <c r="F133" i="7"/>
  <c r="E133" i="7"/>
  <c r="D133" i="7"/>
  <c r="C133" i="7"/>
  <c r="B133" i="7"/>
  <c r="A133" i="7"/>
  <c r="AJ132" i="7"/>
  <c r="AI132" i="7"/>
  <c r="AH132" i="7"/>
  <c r="AG132" i="7"/>
  <c r="AF132" i="7"/>
  <c r="AE132" i="7"/>
  <c r="AD132" i="7"/>
  <c r="AQ132" i="7" s="1"/>
  <c r="AC132" i="7"/>
  <c r="AN132" i="7" s="1"/>
  <c r="AB132" i="7"/>
  <c r="AA132" i="7"/>
  <c r="Z132" i="7"/>
  <c r="Y132" i="7"/>
  <c r="X132" i="7"/>
  <c r="W132" i="7"/>
  <c r="V132" i="7"/>
  <c r="AO132" i="7" s="1"/>
  <c r="U132" i="7"/>
  <c r="T132" i="7"/>
  <c r="S132" i="7"/>
  <c r="R132" i="7"/>
  <c r="Q132" i="7"/>
  <c r="P132" i="7"/>
  <c r="O132" i="7"/>
  <c r="N132" i="7"/>
  <c r="M132" i="7"/>
  <c r="L132" i="7"/>
  <c r="K132" i="7"/>
  <c r="J132" i="7"/>
  <c r="I132" i="7"/>
  <c r="H132" i="7"/>
  <c r="G132" i="7"/>
  <c r="F132" i="7"/>
  <c r="E132" i="7"/>
  <c r="D132" i="7"/>
  <c r="C132" i="7"/>
  <c r="B132" i="7"/>
  <c r="A132" i="7"/>
  <c r="AJ131" i="7"/>
  <c r="AI131" i="7"/>
  <c r="AH131" i="7"/>
  <c r="AG131" i="7"/>
  <c r="AF131" i="7"/>
  <c r="AE131" i="7"/>
  <c r="AD131" i="7"/>
  <c r="AQ131" i="7" s="1"/>
  <c r="AC131" i="7"/>
  <c r="AN131" i="7" s="1"/>
  <c r="AB131" i="7"/>
  <c r="AA131" i="7"/>
  <c r="Z131" i="7"/>
  <c r="Y131" i="7"/>
  <c r="X131" i="7"/>
  <c r="W131" i="7"/>
  <c r="V131" i="7"/>
  <c r="AO131" i="7" s="1"/>
  <c r="U131" i="7"/>
  <c r="T131" i="7"/>
  <c r="S131" i="7"/>
  <c r="R131" i="7"/>
  <c r="Q131" i="7"/>
  <c r="P131" i="7"/>
  <c r="O131" i="7"/>
  <c r="N131" i="7"/>
  <c r="M131" i="7"/>
  <c r="L131" i="7"/>
  <c r="K131" i="7"/>
  <c r="J131" i="7"/>
  <c r="I131" i="7"/>
  <c r="H131" i="7"/>
  <c r="G131" i="7"/>
  <c r="F131" i="7"/>
  <c r="E131" i="7"/>
  <c r="D131" i="7"/>
  <c r="C131" i="7"/>
  <c r="B131" i="7"/>
  <c r="A131" i="7"/>
  <c r="AJ130" i="7"/>
  <c r="AI130" i="7"/>
  <c r="AH130" i="7"/>
  <c r="AG130" i="7"/>
  <c r="AF130" i="7"/>
  <c r="AE130" i="7"/>
  <c r="AD130" i="7"/>
  <c r="AQ130" i="7" s="1"/>
  <c r="AC130" i="7"/>
  <c r="AN130" i="7" s="1"/>
  <c r="AB130" i="7"/>
  <c r="AA130"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AJ129" i="7"/>
  <c r="AI129" i="7"/>
  <c r="AH129" i="7"/>
  <c r="AG129" i="7"/>
  <c r="AF129" i="7"/>
  <c r="AE129" i="7"/>
  <c r="AD129" i="7"/>
  <c r="AQ129" i="7" s="1"/>
  <c r="AC129" i="7"/>
  <c r="AN129" i="7" s="1"/>
  <c r="AB129" i="7"/>
  <c r="AA129" i="7"/>
  <c r="Z129" i="7"/>
  <c r="Y129" i="7"/>
  <c r="X129" i="7"/>
  <c r="W129" i="7"/>
  <c r="V129" i="7"/>
  <c r="AO129" i="7" s="1"/>
  <c r="U129" i="7"/>
  <c r="T129" i="7"/>
  <c r="S129" i="7"/>
  <c r="R129" i="7"/>
  <c r="Q129" i="7"/>
  <c r="P129" i="7"/>
  <c r="O129" i="7"/>
  <c r="N129" i="7"/>
  <c r="M129" i="7"/>
  <c r="L129" i="7"/>
  <c r="K129" i="7"/>
  <c r="J129" i="7"/>
  <c r="I129" i="7"/>
  <c r="H129" i="7"/>
  <c r="G129" i="7"/>
  <c r="F129" i="7"/>
  <c r="E129" i="7"/>
  <c r="D129" i="7"/>
  <c r="C129" i="7"/>
  <c r="B129" i="7"/>
  <c r="A129" i="7"/>
  <c r="AJ128" i="7"/>
  <c r="AI128" i="7"/>
  <c r="AH128" i="7"/>
  <c r="AG128" i="7"/>
  <c r="AF128" i="7"/>
  <c r="AE128" i="7"/>
  <c r="AD128" i="7"/>
  <c r="AQ128" i="7" s="1"/>
  <c r="AC128" i="7"/>
  <c r="AN128" i="7" s="1"/>
  <c r="AB128" i="7"/>
  <c r="AA128" i="7"/>
  <c r="Z128" i="7"/>
  <c r="Y128" i="7"/>
  <c r="X128" i="7"/>
  <c r="W128" i="7"/>
  <c r="V128" i="7"/>
  <c r="AO128" i="7" s="1"/>
  <c r="U128" i="7"/>
  <c r="T128" i="7"/>
  <c r="S128" i="7"/>
  <c r="R128" i="7"/>
  <c r="Q128" i="7"/>
  <c r="P128" i="7"/>
  <c r="O128" i="7"/>
  <c r="N128" i="7"/>
  <c r="M128" i="7"/>
  <c r="L128" i="7"/>
  <c r="K128" i="7"/>
  <c r="J128" i="7"/>
  <c r="I128" i="7"/>
  <c r="H128" i="7"/>
  <c r="G128" i="7"/>
  <c r="F128" i="7"/>
  <c r="E128" i="7"/>
  <c r="D128" i="7"/>
  <c r="C128" i="7"/>
  <c r="B128" i="7"/>
  <c r="A128" i="7"/>
  <c r="AJ127" i="7"/>
  <c r="AI127" i="7"/>
  <c r="AH127" i="7"/>
  <c r="AG127" i="7"/>
  <c r="AF127" i="7"/>
  <c r="AE127" i="7"/>
  <c r="AD127" i="7"/>
  <c r="AQ127" i="7" s="1"/>
  <c r="AC127" i="7"/>
  <c r="AN127" i="7" s="1"/>
  <c r="AB127" i="7"/>
  <c r="AA127" i="7"/>
  <c r="Z127" i="7"/>
  <c r="Y127" i="7"/>
  <c r="X127" i="7"/>
  <c r="W127" i="7"/>
  <c r="V127" i="7"/>
  <c r="AO127" i="7" s="1"/>
  <c r="U127" i="7"/>
  <c r="T127" i="7"/>
  <c r="S127" i="7"/>
  <c r="R127" i="7"/>
  <c r="Q127" i="7"/>
  <c r="P127" i="7"/>
  <c r="O127" i="7"/>
  <c r="N127" i="7"/>
  <c r="M127" i="7"/>
  <c r="L127" i="7"/>
  <c r="K127" i="7"/>
  <c r="J127" i="7"/>
  <c r="I127" i="7"/>
  <c r="H127" i="7"/>
  <c r="G127" i="7"/>
  <c r="F127" i="7"/>
  <c r="E127" i="7"/>
  <c r="D127" i="7"/>
  <c r="C127" i="7"/>
  <c r="B127" i="7"/>
  <c r="A127" i="7"/>
  <c r="AJ126" i="7"/>
  <c r="AI126" i="7"/>
  <c r="AH126" i="7"/>
  <c r="AG126" i="7"/>
  <c r="AF126" i="7"/>
  <c r="AE126" i="7"/>
  <c r="AD126" i="7"/>
  <c r="AQ126" i="7" s="1"/>
  <c r="AC126" i="7"/>
  <c r="AN126" i="7" s="1"/>
  <c r="AB126" i="7"/>
  <c r="AA126"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AJ125" i="7"/>
  <c r="AI125" i="7"/>
  <c r="AH125" i="7"/>
  <c r="AG125" i="7"/>
  <c r="AF125" i="7"/>
  <c r="AE125" i="7"/>
  <c r="AD125" i="7"/>
  <c r="AQ125" i="7" s="1"/>
  <c r="AC125" i="7"/>
  <c r="AN125" i="7" s="1"/>
  <c r="AB125" i="7"/>
  <c r="AA125" i="7"/>
  <c r="Z125" i="7"/>
  <c r="Y125" i="7"/>
  <c r="X125" i="7"/>
  <c r="W125" i="7"/>
  <c r="V125" i="7"/>
  <c r="AO125" i="7" s="1"/>
  <c r="U125" i="7"/>
  <c r="T125" i="7"/>
  <c r="S125" i="7"/>
  <c r="R125" i="7"/>
  <c r="Q125" i="7"/>
  <c r="P125" i="7"/>
  <c r="O125" i="7"/>
  <c r="N125" i="7"/>
  <c r="M125" i="7"/>
  <c r="L125" i="7"/>
  <c r="K125" i="7"/>
  <c r="J125" i="7"/>
  <c r="I125" i="7"/>
  <c r="H125" i="7"/>
  <c r="G125" i="7"/>
  <c r="F125" i="7"/>
  <c r="E125" i="7"/>
  <c r="D125" i="7"/>
  <c r="C125" i="7"/>
  <c r="B125" i="7"/>
  <c r="A125" i="7"/>
  <c r="AJ124" i="7"/>
  <c r="AI124" i="7"/>
  <c r="AH124" i="7"/>
  <c r="AG124" i="7"/>
  <c r="AF124" i="7"/>
  <c r="AE124" i="7"/>
  <c r="AD124" i="7"/>
  <c r="AQ124" i="7" s="1"/>
  <c r="AC124" i="7"/>
  <c r="AN124" i="7" s="1"/>
  <c r="AB124" i="7"/>
  <c r="AA124" i="7"/>
  <c r="Z124" i="7"/>
  <c r="Y124" i="7"/>
  <c r="X124" i="7"/>
  <c r="W124" i="7"/>
  <c r="V124" i="7"/>
  <c r="U124" i="7"/>
  <c r="T124" i="7"/>
  <c r="S124" i="7"/>
  <c r="R124" i="7"/>
  <c r="Q124" i="7"/>
  <c r="P124" i="7"/>
  <c r="O124" i="7"/>
  <c r="N124" i="7"/>
  <c r="M124" i="7"/>
  <c r="L124" i="7"/>
  <c r="K124" i="7"/>
  <c r="J124" i="7"/>
  <c r="I124" i="7"/>
  <c r="H124" i="7"/>
  <c r="G124" i="7"/>
  <c r="F124" i="7"/>
  <c r="E124" i="7"/>
  <c r="D124" i="7"/>
  <c r="C124" i="7"/>
  <c r="B124" i="7"/>
  <c r="A124" i="7"/>
  <c r="AJ123" i="7"/>
  <c r="AI123" i="7"/>
  <c r="AH123" i="7"/>
  <c r="AG123" i="7"/>
  <c r="AF123" i="7"/>
  <c r="AE123" i="7"/>
  <c r="AD123" i="7"/>
  <c r="AQ123" i="7" s="1"/>
  <c r="AC123" i="7"/>
  <c r="AN123" i="7" s="1"/>
  <c r="AB123" i="7"/>
  <c r="AA123"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AJ122" i="7"/>
  <c r="AI122" i="7"/>
  <c r="AH122" i="7"/>
  <c r="AG122" i="7"/>
  <c r="AF122" i="7"/>
  <c r="AE122" i="7"/>
  <c r="AD122" i="7"/>
  <c r="AQ122" i="7" s="1"/>
  <c r="AC122" i="7"/>
  <c r="AN122" i="7" s="1"/>
  <c r="AB122" i="7"/>
  <c r="AA122"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AJ121" i="7"/>
  <c r="AI121" i="7"/>
  <c r="AH121" i="7"/>
  <c r="AG121" i="7"/>
  <c r="AF121" i="7"/>
  <c r="AE121" i="7"/>
  <c r="AD121" i="7"/>
  <c r="AQ121" i="7" s="1"/>
  <c r="AC121" i="7"/>
  <c r="AN121" i="7" s="1"/>
  <c r="AB121" i="7"/>
  <c r="AA121" i="7"/>
  <c r="Z121" i="7"/>
  <c r="Y121" i="7"/>
  <c r="X121" i="7"/>
  <c r="W121" i="7"/>
  <c r="V121" i="7"/>
  <c r="AO121" i="7" s="1"/>
  <c r="U121" i="7"/>
  <c r="T121" i="7"/>
  <c r="S121" i="7"/>
  <c r="R121" i="7"/>
  <c r="Q121" i="7"/>
  <c r="P121" i="7"/>
  <c r="O121" i="7"/>
  <c r="N121" i="7"/>
  <c r="M121" i="7"/>
  <c r="L121" i="7"/>
  <c r="K121" i="7"/>
  <c r="J121" i="7"/>
  <c r="I121" i="7"/>
  <c r="H121" i="7"/>
  <c r="G121" i="7"/>
  <c r="F121" i="7"/>
  <c r="E121" i="7"/>
  <c r="D121" i="7"/>
  <c r="C121" i="7"/>
  <c r="B121" i="7"/>
  <c r="A121" i="7"/>
  <c r="AJ120" i="7"/>
  <c r="AI120" i="7"/>
  <c r="AH120" i="7"/>
  <c r="AG120" i="7"/>
  <c r="AF120" i="7"/>
  <c r="AE120" i="7"/>
  <c r="AD120" i="7"/>
  <c r="AQ120" i="7" s="1"/>
  <c r="AC120" i="7"/>
  <c r="AN120" i="7" s="1"/>
  <c r="AB120" i="7"/>
  <c r="AA120" i="7"/>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AJ119" i="7"/>
  <c r="AI119" i="7"/>
  <c r="AH119" i="7"/>
  <c r="AG119" i="7"/>
  <c r="AF119" i="7"/>
  <c r="AE119" i="7"/>
  <c r="AD119" i="7"/>
  <c r="AQ119" i="7" s="1"/>
  <c r="AC119" i="7"/>
  <c r="AN119" i="7" s="1"/>
  <c r="AB119" i="7"/>
  <c r="AA119"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AJ118" i="7"/>
  <c r="AI118" i="7"/>
  <c r="AH118" i="7"/>
  <c r="AG118" i="7"/>
  <c r="AF118" i="7"/>
  <c r="AE118" i="7"/>
  <c r="AD118" i="7"/>
  <c r="AQ118" i="7" s="1"/>
  <c r="AC118" i="7"/>
  <c r="AN118" i="7" s="1"/>
  <c r="AB118" i="7"/>
  <c r="AA118"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AJ117" i="7"/>
  <c r="AI117" i="7"/>
  <c r="AH117" i="7"/>
  <c r="AG117" i="7"/>
  <c r="AF117" i="7"/>
  <c r="AE117" i="7"/>
  <c r="AD117" i="7"/>
  <c r="AQ117" i="7" s="1"/>
  <c r="AC117" i="7"/>
  <c r="AN117" i="7" s="1"/>
  <c r="AB117" i="7"/>
  <c r="AA117" i="7"/>
  <c r="Z117" i="7"/>
  <c r="Y117" i="7"/>
  <c r="X117" i="7"/>
  <c r="W117" i="7"/>
  <c r="V117" i="7"/>
  <c r="U117" i="7"/>
  <c r="T117" i="7"/>
  <c r="S117" i="7"/>
  <c r="R117" i="7"/>
  <c r="Q117" i="7"/>
  <c r="P117" i="7"/>
  <c r="O117" i="7"/>
  <c r="N117" i="7"/>
  <c r="M117" i="7"/>
  <c r="L117" i="7"/>
  <c r="K117" i="7"/>
  <c r="J117" i="7"/>
  <c r="I117" i="7"/>
  <c r="H117" i="7"/>
  <c r="G117" i="7"/>
  <c r="F117" i="7"/>
  <c r="E117" i="7"/>
  <c r="D117" i="7"/>
  <c r="C117" i="7"/>
  <c r="B117" i="7"/>
  <c r="A117" i="7"/>
  <c r="AJ116" i="7"/>
  <c r="AI116" i="7"/>
  <c r="AH116" i="7"/>
  <c r="AG116" i="7"/>
  <c r="AF116" i="7"/>
  <c r="AE116" i="7"/>
  <c r="AD116" i="7"/>
  <c r="AQ116" i="7" s="1"/>
  <c r="AC116" i="7"/>
  <c r="AN116" i="7" s="1"/>
  <c r="AB116" i="7"/>
  <c r="AA116" i="7"/>
  <c r="Z116" i="7"/>
  <c r="Y116" i="7"/>
  <c r="X116" i="7"/>
  <c r="W116" i="7"/>
  <c r="V116" i="7"/>
  <c r="AO116" i="7" s="1"/>
  <c r="U116" i="7"/>
  <c r="T116" i="7"/>
  <c r="S116" i="7"/>
  <c r="R116" i="7"/>
  <c r="Q116" i="7"/>
  <c r="P116" i="7"/>
  <c r="O116" i="7"/>
  <c r="N116" i="7"/>
  <c r="M116" i="7"/>
  <c r="L116" i="7"/>
  <c r="K116" i="7"/>
  <c r="J116" i="7"/>
  <c r="I116" i="7"/>
  <c r="H116" i="7"/>
  <c r="G116" i="7"/>
  <c r="F116" i="7"/>
  <c r="E116" i="7"/>
  <c r="D116" i="7"/>
  <c r="C116" i="7"/>
  <c r="B116" i="7"/>
  <c r="A116" i="7"/>
  <c r="AJ115" i="7"/>
  <c r="AI115" i="7"/>
  <c r="AH115" i="7"/>
  <c r="AG115" i="7"/>
  <c r="AF115" i="7"/>
  <c r="AE115" i="7"/>
  <c r="AD115" i="7"/>
  <c r="AQ115" i="7" s="1"/>
  <c r="AC115" i="7"/>
  <c r="AN115" i="7" s="1"/>
  <c r="AB115" i="7"/>
  <c r="AA115"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AJ114" i="7"/>
  <c r="AI114" i="7"/>
  <c r="AH114" i="7"/>
  <c r="AG114" i="7"/>
  <c r="AF114" i="7"/>
  <c r="AE114" i="7"/>
  <c r="AD114" i="7"/>
  <c r="AQ114" i="7" s="1"/>
  <c r="AC114" i="7"/>
  <c r="AN114" i="7" s="1"/>
  <c r="AB114" i="7"/>
  <c r="AA114"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AJ113" i="7"/>
  <c r="AI113" i="7"/>
  <c r="AH113" i="7"/>
  <c r="AG113" i="7"/>
  <c r="AF113" i="7"/>
  <c r="AE113" i="7"/>
  <c r="AD113" i="7"/>
  <c r="AQ113" i="7" s="1"/>
  <c r="AC113" i="7"/>
  <c r="AN113" i="7" s="1"/>
  <c r="AB113" i="7"/>
  <c r="AA113" i="7"/>
  <c r="Z113" i="7"/>
  <c r="Y113" i="7"/>
  <c r="X113" i="7"/>
  <c r="W113" i="7"/>
  <c r="V113" i="7"/>
  <c r="AO113" i="7" s="1"/>
  <c r="U113" i="7"/>
  <c r="T113" i="7"/>
  <c r="S113" i="7"/>
  <c r="R113" i="7"/>
  <c r="Q113" i="7"/>
  <c r="P113" i="7"/>
  <c r="O113" i="7"/>
  <c r="N113" i="7"/>
  <c r="M113" i="7"/>
  <c r="L113" i="7"/>
  <c r="K113" i="7"/>
  <c r="J113" i="7"/>
  <c r="I113" i="7"/>
  <c r="H113" i="7"/>
  <c r="G113" i="7"/>
  <c r="F113" i="7"/>
  <c r="E113" i="7"/>
  <c r="D113" i="7"/>
  <c r="C113" i="7"/>
  <c r="B113" i="7"/>
  <c r="A113" i="7"/>
  <c r="AJ112" i="7"/>
  <c r="AI112" i="7"/>
  <c r="AH112" i="7"/>
  <c r="AG112" i="7"/>
  <c r="AF112" i="7"/>
  <c r="AE112" i="7"/>
  <c r="AD112" i="7"/>
  <c r="AQ112" i="7" s="1"/>
  <c r="AC112" i="7"/>
  <c r="AN112" i="7" s="1"/>
  <c r="AB112" i="7"/>
  <c r="AA112" i="7"/>
  <c r="Z112" i="7"/>
  <c r="Y112" i="7"/>
  <c r="X112" i="7"/>
  <c r="W112" i="7"/>
  <c r="V112" i="7"/>
  <c r="AO112" i="7" s="1"/>
  <c r="U112" i="7"/>
  <c r="T112" i="7"/>
  <c r="S112" i="7"/>
  <c r="R112" i="7"/>
  <c r="Q112" i="7"/>
  <c r="P112" i="7"/>
  <c r="O112" i="7"/>
  <c r="N112" i="7"/>
  <c r="M112" i="7"/>
  <c r="L112" i="7"/>
  <c r="K112" i="7"/>
  <c r="J112" i="7"/>
  <c r="I112" i="7"/>
  <c r="H112" i="7"/>
  <c r="G112" i="7"/>
  <c r="F112" i="7"/>
  <c r="E112" i="7"/>
  <c r="D112" i="7"/>
  <c r="C112" i="7"/>
  <c r="B112" i="7"/>
  <c r="A112" i="7"/>
  <c r="AJ111" i="7"/>
  <c r="AI111" i="7"/>
  <c r="AH111" i="7"/>
  <c r="AG111" i="7"/>
  <c r="AF111" i="7"/>
  <c r="AE111" i="7"/>
  <c r="AD111" i="7"/>
  <c r="AQ111" i="7" s="1"/>
  <c r="AC111" i="7"/>
  <c r="AN111" i="7" s="1"/>
  <c r="AB111" i="7"/>
  <c r="AA111" i="7"/>
  <c r="Z111" i="7"/>
  <c r="Y111" i="7"/>
  <c r="X111" i="7"/>
  <c r="W111" i="7"/>
  <c r="V111" i="7"/>
  <c r="AO111" i="7" s="1"/>
  <c r="U111" i="7"/>
  <c r="T111" i="7"/>
  <c r="S111" i="7"/>
  <c r="R111" i="7"/>
  <c r="Q111" i="7"/>
  <c r="P111" i="7"/>
  <c r="O111" i="7"/>
  <c r="N111" i="7"/>
  <c r="M111" i="7"/>
  <c r="L111" i="7"/>
  <c r="K111" i="7"/>
  <c r="J111" i="7"/>
  <c r="I111" i="7"/>
  <c r="H111" i="7"/>
  <c r="G111" i="7"/>
  <c r="F111" i="7"/>
  <c r="E111" i="7"/>
  <c r="D111" i="7"/>
  <c r="C111" i="7"/>
  <c r="B111" i="7"/>
  <c r="A111" i="7"/>
  <c r="AJ110" i="7"/>
  <c r="AI110" i="7"/>
  <c r="AH110" i="7"/>
  <c r="AG110" i="7"/>
  <c r="AF110" i="7"/>
  <c r="AE110" i="7"/>
  <c r="AD110" i="7"/>
  <c r="AQ110" i="7" s="1"/>
  <c r="AC110" i="7"/>
  <c r="AN110" i="7" s="1"/>
  <c r="AB110"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AJ109" i="7"/>
  <c r="AI109" i="7"/>
  <c r="AH109" i="7"/>
  <c r="AG109" i="7"/>
  <c r="AF109" i="7"/>
  <c r="AE109" i="7"/>
  <c r="AD109" i="7"/>
  <c r="AQ109" i="7" s="1"/>
  <c r="AC109" i="7"/>
  <c r="AN109" i="7" s="1"/>
  <c r="AB109" i="7"/>
  <c r="AA109" i="7"/>
  <c r="Z109" i="7"/>
  <c r="Y109" i="7"/>
  <c r="X109" i="7"/>
  <c r="W109" i="7"/>
  <c r="V109" i="7"/>
  <c r="AO109" i="7" s="1"/>
  <c r="U109" i="7"/>
  <c r="T109" i="7"/>
  <c r="S109" i="7"/>
  <c r="R109" i="7"/>
  <c r="Q109" i="7"/>
  <c r="P109" i="7"/>
  <c r="O109" i="7"/>
  <c r="N109" i="7"/>
  <c r="M109" i="7"/>
  <c r="L109" i="7"/>
  <c r="K109" i="7"/>
  <c r="J109" i="7"/>
  <c r="I109" i="7"/>
  <c r="H109" i="7"/>
  <c r="G109" i="7"/>
  <c r="F109" i="7"/>
  <c r="E109" i="7"/>
  <c r="D109" i="7"/>
  <c r="C109" i="7"/>
  <c r="B109" i="7"/>
  <c r="A109" i="7"/>
  <c r="AJ108" i="7"/>
  <c r="AI108" i="7"/>
  <c r="AH108" i="7"/>
  <c r="AG108" i="7"/>
  <c r="AF108" i="7"/>
  <c r="AE108" i="7"/>
  <c r="AD108" i="7"/>
  <c r="AQ108" i="7" s="1"/>
  <c r="AC108" i="7"/>
  <c r="AN108" i="7" s="1"/>
  <c r="AB108"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108" i="7"/>
  <c r="AJ107" i="7"/>
  <c r="AI107" i="7"/>
  <c r="AH107" i="7"/>
  <c r="AG107" i="7"/>
  <c r="AF107" i="7"/>
  <c r="AE107" i="7"/>
  <c r="AD107" i="7"/>
  <c r="AQ107" i="7" s="1"/>
  <c r="AC107" i="7"/>
  <c r="AN107" i="7" s="1"/>
  <c r="AB107"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AJ106" i="7"/>
  <c r="AI106" i="7"/>
  <c r="AH106" i="7"/>
  <c r="AG106" i="7"/>
  <c r="AF106" i="7"/>
  <c r="AE106" i="7"/>
  <c r="AD106" i="7"/>
  <c r="AQ106" i="7" s="1"/>
  <c r="AC106" i="7"/>
  <c r="AN106" i="7" s="1"/>
  <c r="AB106" i="7"/>
  <c r="AA106" i="7"/>
  <c r="Z106" i="7"/>
  <c r="Y106" i="7"/>
  <c r="X106" i="7"/>
  <c r="W106" i="7"/>
  <c r="V106" i="7"/>
  <c r="AO106" i="7" s="1"/>
  <c r="U106" i="7"/>
  <c r="T106" i="7"/>
  <c r="S106" i="7"/>
  <c r="R106" i="7"/>
  <c r="Q106" i="7"/>
  <c r="P106" i="7"/>
  <c r="O106" i="7"/>
  <c r="N106" i="7"/>
  <c r="M106" i="7"/>
  <c r="L106" i="7"/>
  <c r="K106" i="7"/>
  <c r="J106" i="7"/>
  <c r="I106" i="7"/>
  <c r="H106" i="7"/>
  <c r="G106" i="7"/>
  <c r="F106" i="7"/>
  <c r="E106" i="7"/>
  <c r="D106" i="7"/>
  <c r="C106" i="7"/>
  <c r="B106" i="7"/>
  <c r="A106" i="7"/>
  <c r="AJ105" i="7"/>
  <c r="AI105" i="7"/>
  <c r="AH105" i="7"/>
  <c r="AG105" i="7"/>
  <c r="AF105" i="7"/>
  <c r="AE105" i="7"/>
  <c r="AD105" i="7"/>
  <c r="AQ105" i="7" s="1"/>
  <c r="AC105" i="7"/>
  <c r="AN105" i="7" s="1"/>
  <c r="AB105" i="7"/>
  <c r="AA105" i="7"/>
  <c r="Z105" i="7"/>
  <c r="Y105" i="7"/>
  <c r="X105" i="7"/>
  <c r="W105" i="7"/>
  <c r="V105" i="7"/>
  <c r="AO105" i="7" s="1"/>
  <c r="U105" i="7"/>
  <c r="T105" i="7"/>
  <c r="S105" i="7"/>
  <c r="R105" i="7"/>
  <c r="Q105" i="7"/>
  <c r="P105" i="7"/>
  <c r="O105" i="7"/>
  <c r="N105" i="7"/>
  <c r="M105" i="7"/>
  <c r="L105" i="7"/>
  <c r="K105" i="7"/>
  <c r="J105" i="7"/>
  <c r="I105" i="7"/>
  <c r="H105" i="7"/>
  <c r="G105" i="7"/>
  <c r="F105" i="7"/>
  <c r="E105" i="7"/>
  <c r="D105" i="7"/>
  <c r="C105" i="7"/>
  <c r="B105" i="7"/>
  <c r="A105" i="7"/>
  <c r="AJ104" i="7"/>
  <c r="AI104" i="7"/>
  <c r="AH104" i="7"/>
  <c r="AG104" i="7"/>
  <c r="AF104" i="7"/>
  <c r="AE104" i="7"/>
  <c r="AD104" i="7"/>
  <c r="AQ104" i="7" s="1"/>
  <c r="AC104" i="7"/>
  <c r="AN104" i="7" s="1"/>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AJ103" i="7"/>
  <c r="AI103" i="7"/>
  <c r="AH103" i="7"/>
  <c r="AG103" i="7"/>
  <c r="AF103" i="7"/>
  <c r="AE103" i="7"/>
  <c r="AD103" i="7"/>
  <c r="AQ103" i="7" s="1"/>
  <c r="AC103" i="7"/>
  <c r="AN103" i="7" s="1"/>
  <c r="AB103"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AJ102" i="7"/>
  <c r="AI102" i="7"/>
  <c r="AH102" i="7"/>
  <c r="AG102" i="7"/>
  <c r="AF102" i="7"/>
  <c r="AE102" i="7"/>
  <c r="AD102" i="7"/>
  <c r="AQ102" i="7" s="1"/>
  <c r="AC102" i="7"/>
  <c r="AN102" i="7" s="1"/>
  <c r="AB102"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AJ101" i="7"/>
  <c r="AI101" i="7"/>
  <c r="AH101" i="7"/>
  <c r="AG101" i="7"/>
  <c r="AF101" i="7"/>
  <c r="AE101" i="7"/>
  <c r="AD101" i="7"/>
  <c r="AQ101" i="7" s="1"/>
  <c r="AC101" i="7"/>
  <c r="AN101" i="7" s="1"/>
  <c r="AB101"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101" i="7"/>
  <c r="AJ100" i="7"/>
  <c r="AI100" i="7"/>
  <c r="AH100" i="7"/>
  <c r="AG100" i="7"/>
  <c r="AF100" i="7"/>
  <c r="AE100" i="7"/>
  <c r="AD100" i="7"/>
  <c r="AQ100" i="7" s="1"/>
  <c r="AC100" i="7"/>
  <c r="AN100" i="7" s="1"/>
  <c r="AB100" i="7"/>
  <c r="AA100" i="7"/>
  <c r="Z100" i="7"/>
  <c r="Y100" i="7"/>
  <c r="X100" i="7"/>
  <c r="W100" i="7"/>
  <c r="V100" i="7"/>
  <c r="AO100" i="7" s="1"/>
  <c r="U100" i="7"/>
  <c r="T100" i="7"/>
  <c r="S100" i="7"/>
  <c r="R100" i="7"/>
  <c r="Q100" i="7"/>
  <c r="P100" i="7"/>
  <c r="O100" i="7"/>
  <c r="N100" i="7"/>
  <c r="M100" i="7"/>
  <c r="L100" i="7"/>
  <c r="K100" i="7"/>
  <c r="J100" i="7"/>
  <c r="I100" i="7"/>
  <c r="H100" i="7"/>
  <c r="G100" i="7"/>
  <c r="F100" i="7"/>
  <c r="E100" i="7"/>
  <c r="D100" i="7"/>
  <c r="C100" i="7"/>
  <c r="B100" i="7"/>
  <c r="A100" i="7"/>
  <c r="AJ99" i="7"/>
  <c r="AI99" i="7"/>
  <c r="AH99" i="7"/>
  <c r="AG99" i="7"/>
  <c r="AF99" i="7"/>
  <c r="AE99" i="7"/>
  <c r="AD99" i="7"/>
  <c r="AQ99" i="7" s="1"/>
  <c r="AC99" i="7"/>
  <c r="AN99" i="7" s="1"/>
  <c r="AB99" i="7"/>
  <c r="AA99" i="7"/>
  <c r="Z99" i="7"/>
  <c r="Y99" i="7"/>
  <c r="X99" i="7"/>
  <c r="W99" i="7"/>
  <c r="V99" i="7"/>
  <c r="U99" i="7"/>
  <c r="T99" i="7"/>
  <c r="S99" i="7"/>
  <c r="R99" i="7"/>
  <c r="Q99" i="7"/>
  <c r="P99" i="7"/>
  <c r="O99" i="7"/>
  <c r="N99" i="7"/>
  <c r="M99" i="7"/>
  <c r="L99" i="7"/>
  <c r="K99" i="7"/>
  <c r="J99" i="7"/>
  <c r="I99" i="7"/>
  <c r="H99" i="7"/>
  <c r="G99" i="7"/>
  <c r="F99" i="7"/>
  <c r="E99" i="7"/>
  <c r="D99" i="7"/>
  <c r="C99" i="7"/>
  <c r="B99" i="7"/>
  <c r="A99" i="7"/>
  <c r="AJ98" i="7"/>
  <c r="AI98" i="7"/>
  <c r="AH98" i="7"/>
  <c r="AG98" i="7"/>
  <c r="AF98" i="7"/>
  <c r="AE98" i="7"/>
  <c r="AD98" i="7"/>
  <c r="AQ98" i="7" s="1"/>
  <c r="AC98" i="7"/>
  <c r="AN98" i="7" s="1"/>
  <c r="AB98" i="7"/>
  <c r="AA98" i="7"/>
  <c r="Z98" i="7"/>
  <c r="Y98" i="7"/>
  <c r="X98" i="7"/>
  <c r="W98" i="7"/>
  <c r="V98" i="7"/>
  <c r="U98" i="7"/>
  <c r="T98" i="7"/>
  <c r="S98" i="7"/>
  <c r="R98" i="7"/>
  <c r="Q98" i="7"/>
  <c r="P98" i="7"/>
  <c r="O98" i="7"/>
  <c r="N98" i="7"/>
  <c r="M98" i="7"/>
  <c r="L98" i="7"/>
  <c r="K98" i="7"/>
  <c r="J98" i="7"/>
  <c r="I98" i="7"/>
  <c r="H98" i="7"/>
  <c r="G98" i="7"/>
  <c r="F98" i="7"/>
  <c r="E98" i="7"/>
  <c r="D98" i="7"/>
  <c r="C98" i="7"/>
  <c r="B98" i="7"/>
  <c r="A98" i="7"/>
  <c r="AJ97" i="7"/>
  <c r="AI97" i="7"/>
  <c r="AH97" i="7"/>
  <c r="AG97" i="7"/>
  <c r="AF97" i="7"/>
  <c r="AE97" i="7"/>
  <c r="AD97" i="7"/>
  <c r="AQ97" i="7" s="1"/>
  <c r="AC97" i="7"/>
  <c r="AN97" i="7" s="1"/>
  <c r="AB97" i="7"/>
  <c r="AA97" i="7"/>
  <c r="Z97" i="7"/>
  <c r="Y97" i="7"/>
  <c r="X97" i="7"/>
  <c r="W97" i="7"/>
  <c r="V97" i="7"/>
  <c r="AO97" i="7" s="1"/>
  <c r="U97" i="7"/>
  <c r="T97" i="7"/>
  <c r="S97" i="7"/>
  <c r="R97" i="7"/>
  <c r="Q97" i="7"/>
  <c r="P97" i="7"/>
  <c r="O97" i="7"/>
  <c r="N97" i="7"/>
  <c r="M97" i="7"/>
  <c r="L97" i="7"/>
  <c r="K97" i="7"/>
  <c r="J97" i="7"/>
  <c r="I97" i="7"/>
  <c r="H97" i="7"/>
  <c r="G97" i="7"/>
  <c r="F97" i="7"/>
  <c r="E97" i="7"/>
  <c r="D97" i="7"/>
  <c r="C97" i="7"/>
  <c r="B97" i="7"/>
  <c r="A97" i="7"/>
  <c r="AJ96" i="7"/>
  <c r="AI96" i="7"/>
  <c r="AH96" i="7"/>
  <c r="AG96" i="7"/>
  <c r="AF96" i="7"/>
  <c r="AE96" i="7"/>
  <c r="AD96" i="7"/>
  <c r="AQ96" i="7" s="1"/>
  <c r="AC96" i="7"/>
  <c r="AN96" i="7" s="1"/>
  <c r="AB96" i="7"/>
  <c r="AA96" i="7"/>
  <c r="Z96" i="7"/>
  <c r="Y96" i="7"/>
  <c r="X96" i="7"/>
  <c r="W96" i="7"/>
  <c r="V96" i="7"/>
  <c r="AO96" i="7" s="1"/>
  <c r="U96" i="7"/>
  <c r="T96" i="7"/>
  <c r="S96" i="7"/>
  <c r="R96" i="7"/>
  <c r="Q96" i="7"/>
  <c r="P96" i="7"/>
  <c r="O96" i="7"/>
  <c r="N96" i="7"/>
  <c r="M96" i="7"/>
  <c r="L96" i="7"/>
  <c r="K96" i="7"/>
  <c r="J96" i="7"/>
  <c r="I96" i="7"/>
  <c r="H96" i="7"/>
  <c r="G96" i="7"/>
  <c r="F96" i="7"/>
  <c r="E96" i="7"/>
  <c r="D96" i="7"/>
  <c r="C96" i="7"/>
  <c r="B96" i="7"/>
  <c r="A96" i="7"/>
  <c r="AJ95" i="7"/>
  <c r="AI95" i="7"/>
  <c r="AH95" i="7"/>
  <c r="AG95" i="7"/>
  <c r="AF95" i="7"/>
  <c r="AE95" i="7"/>
  <c r="AD95" i="7"/>
  <c r="AQ95" i="7" s="1"/>
  <c r="AC95" i="7"/>
  <c r="AN95" i="7" s="1"/>
  <c r="AB95" i="7"/>
  <c r="AA95" i="7"/>
  <c r="Z95" i="7"/>
  <c r="Y95" i="7"/>
  <c r="X95" i="7"/>
  <c r="W95" i="7"/>
  <c r="V95" i="7"/>
  <c r="AO95" i="7" s="1"/>
  <c r="U95" i="7"/>
  <c r="T95" i="7"/>
  <c r="S95" i="7"/>
  <c r="R95" i="7"/>
  <c r="Q95" i="7"/>
  <c r="P95" i="7"/>
  <c r="O95" i="7"/>
  <c r="N95" i="7"/>
  <c r="M95" i="7"/>
  <c r="L95" i="7"/>
  <c r="K95" i="7"/>
  <c r="J95" i="7"/>
  <c r="I95" i="7"/>
  <c r="H95" i="7"/>
  <c r="G95" i="7"/>
  <c r="F95" i="7"/>
  <c r="E95" i="7"/>
  <c r="D95" i="7"/>
  <c r="C95" i="7"/>
  <c r="B95" i="7"/>
  <c r="A95" i="7"/>
  <c r="AJ94" i="7"/>
  <c r="AI94" i="7"/>
  <c r="AH94" i="7"/>
  <c r="AG94" i="7"/>
  <c r="AF94" i="7"/>
  <c r="AE94" i="7"/>
  <c r="AD94" i="7"/>
  <c r="AQ94" i="7" s="1"/>
  <c r="AC94" i="7"/>
  <c r="AN94" i="7" s="1"/>
  <c r="AB94" i="7"/>
  <c r="AA94" i="7"/>
  <c r="Z94" i="7"/>
  <c r="Y94" i="7"/>
  <c r="X94" i="7"/>
  <c r="W94" i="7"/>
  <c r="V94" i="7"/>
  <c r="U94" i="7"/>
  <c r="T94" i="7"/>
  <c r="S94" i="7"/>
  <c r="R94" i="7"/>
  <c r="Q94" i="7"/>
  <c r="P94" i="7"/>
  <c r="O94" i="7"/>
  <c r="N94" i="7"/>
  <c r="M94" i="7"/>
  <c r="L94" i="7"/>
  <c r="K94" i="7"/>
  <c r="J94" i="7"/>
  <c r="I94" i="7"/>
  <c r="H94" i="7"/>
  <c r="G94" i="7"/>
  <c r="F94" i="7"/>
  <c r="E94" i="7"/>
  <c r="D94" i="7"/>
  <c r="C94" i="7"/>
  <c r="B94" i="7"/>
  <c r="A94" i="7"/>
  <c r="AJ93" i="7"/>
  <c r="AI93" i="7"/>
  <c r="AR93" i="7" s="1"/>
  <c r="AH93" i="7"/>
  <c r="AG93" i="7"/>
  <c r="AF93" i="7"/>
  <c r="AE93" i="7"/>
  <c r="AD93" i="7"/>
  <c r="AQ93" i="7" s="1"/>
  <c r="AC93" i="7"/>
  <c r="AN93" i="7" s="1"/>
  <c r="AB93" i="7"/>
  <c r="AA93" i="7"/>
  <c r="Z93" i="7"/>
  <c r="Y93" i="7"/>
  <c r="X93" i="7"/>
  <c r="W93" i="7"/>
  <c r="V93" i="7"/>
  <c r="AO93" i="7" s="1"/>
  <c r="U93" i="7"/>
  <c r="T93" i="7"/>
  <c r="S93" i="7"/>
  <c r="R93" i="7"/>
  <c r="Q93" i="7"/>
  <c r="P93" i="7"/>
  <c r="O93" i="7"/>
  <c r="N93" i="7"/>
  <c r="M93" i="7"/>
  <c r="L93" i="7"/>
  <c r="K93" i="7"/>
  <c r="J93" i="7"/>
  <c r="I93" i="7"/>
  <c r="H93" i="7"/>
  <c r="G93" i="7"/>
  <c r="F93" i="7"/>
  <c r="E93" i="7"/>
  <c r="D93" i="7"/>
  <c r="C93" i="7"/>
  <c r="B93" i="7"/>
  <c r="A93" i="7"/>
  <c r="AJ92" i="7"/>
  <c r="AI92" i="7"/>
  <c r="AH92" i="7"/>
  <c r="AG92" i="7"/>
  <c r="AF92" i="7"/>
  <c r="AE92" i="7"/>
  <c r="AD92" i="7"/>
  <c r="AQ92" i="7" s="1"/>
  <c r="AC92" i="7"/>
  <c r="AN92" i="7" s="1"/>
  <c r="AB92" i="7"/>
  <c r="AA92" i="7"/>
  <c r="Z92" i="7"/>
  <c r="Y92" i="7"/>
  <c r="X92" i="7"/>
  <c r="W92" i="7"/>
  <c r="V92" i="7"/>
  <c r="AO92" i="7" s="1"/>
  <c r="U92" i="7"/>
  <c r="T92" i="7"/>
  <c r="S92" i="7"/>
  <c r="R92" i="7"/>
  <c r="Q92" i="7"/>
  <c r="P92" i="7"/>
  <c r="O92" i="7"/>
  <c r="N92" i="7"/>
  <c r="M92" i="7"/>
  <c r="L92" i="7"/>
  <c r="K92" i="7"/>
  <c r="J92" i="7"/>
  <c r="I92" i="7"/>
  <c r="H92" i="7"/>
  <c r="G92" i="7"/>
  <c r="F92" i="7"/>
  <c r="E92" i="7"/>
  <c r="D92" i="7"/>
  <c r="C92" i="7"/>
  <c r="B92" i="7"/>
  <c r="A92" i="7"/>
  <c r="AJ91" i="7"/>
  <c r="AI91" i="7"/>
  <c r="AH91" i="7"/>
  <c r="AG91" i="7"/>
  <c r="AF91" i="7"/>
  <c r="AE91" i="7"/>
  <c r="AD91" i="7"/>
  <c r="AQ91" i="7" s="1"/>
  <c r="AC91" i="7"/>
  <c r="AN91" i="7" s="1"/>
  <c r="AB91" i="7"/>
  <c r="AA91" i="7"/>
  <c r="Z91" i="7"/>
  <c r="Y91" i="7"/>
  <c r="X91" i="7"/>
  <c r="W91" i="7"/>
  <c r="V91" i="7"/>
  <c r="U91" i="7"/>
  <c r="T91" i="7"/>
  <c r="S91" i="7"/>
  <c r="R91" i="7"/>
  <c r="Q91" i="7"/>
  <c r="P91" i="7"/>
  <c r="O91" i="7"/>
  <c r="N91" i="7"/>
  <c r="M91" i="7"/>
  <c r="L91" i="7"/>
  <c r="K91" i="7"/>
  <c r="J91" i="7"/>
  <c r="I91" i="7"/>
  <c r="H91" i="7"/>
  <c r="G91" i="7"/>
  <c r="F91" i="7"/>
  <c r="E91" i="7"/>
  <c r="D91" i="7"/>
  <c r="C91" i="7"/>
  <c r="B91" i="7"/>
  <c r="A91" i="7"/>
  <c r="AJ90" i="7"/>
  <c r="AI90" i="7"/>
  <c r="AH90" i="7"/>
  <c r="AG90" i="7"/>
  <c r="AF90" i="7"/>
  <c r="AE90" i="7"/>
  <c r="AD90" i="7"/>
  <c r="AQ90" i="7" s="1"/>
  <c r="AC90" i="7"/>
  <c r="AN90" i="7" s="1"/>
  <c r="AB90" i="7"/>
  <c r="AA90" i="7"/>
  <c r="Z90" i="7"/>
  <c r="Y90" i="7"/>
  <c r="X90" i="7"/>
  <c r="W90" i="7"/>
  <c r="V90" i="7"/>
  <c r="U90" i="7"/>
  <c r="T90" i="7"/>
  <c r="S90" i="7"/>
  <c r="R90" i="7"/>
  <c r="Q90" i="7"/>
  <c r="P90" i="7"/>
  <c r="O90" i="7"/>
  <c r="N90" i="7"/>
  <c r="M90" i="7"/>
  <c r="L90" i="7"/>
  <c r="K90" i="7"/>
  <c r="J90" i="7"/>
  <c r="I90" i="7"/>
  <c r="H90" i="7"/>
  <c r="G90" i="7"/>
  <c r="F90" i="7"/>
  <c r="E90" i="7"/>
  <c r="D90" i="7"/>
  <c r="C90" i="7"/>
  <c r="B90" i="7"/>
  <c r="A90" i="7"/>
  <c r="AJ89" i="7"/>
  <c r="AI89" i="7"/>
  <c r="AH89" i="7"/>
  <c r="AG89" i="7"/>
  <c r="AF89" i="7"/>
  <c r="AE89" i="7"/>
  <c r="AD89" i="7"/>
  <c r="AQ89" i="7" s="1"/>
  <c r="AC89" i="7"/>
  <c r="AN89" i="7" s="1"/>
  <c r="AB89" i="7"/>
  <c r="AA89" i="7"/>
  <c r="Z89" i="7"/>
  <c r="Y89" i="7"/>
  <c r="X89" i="7"/>
  <c r="W89" i="7"/>
  <c r="V89" i="7"/>
  <c r="AO89" i="7" s="1"/>
  <c r="U89" i="7"/>
  <c r="T89" i="7"/>
  <c r="S89" i="7"/>
  <c r="R89" i="7"/>
  <c r="Q89" i="7"/>
  <c r="P89" i="7"/>
  <c r="O89" i="7"/>
  <c r="N89" i="7"/>
  <c r="M89" i="7"/>
  <c r="L89" i="7"/>
  <c r="K89" i="7"/>
  <c r="J89" i="7"/>
  <c r="I89" i="7"/>
  <c r="H89" i="7"/>
  <c r="G89" i="7"/>
  <c r="F89" i="7"/>
  <c r="E89" i="7"/>
  <c r="D89" i="7"/>
  <c r="C89" i="7"/>
  <c r="B89" i="7"/>
  <c r="A89" i="7"/>
  <c r="AJ88" i="7"/>
  <c r="AI88" i="7"/>
  <c r="AH88" i="7"/>
  <c r="AG88" i="7"/>
  <c r="AF88" i="7"/>
  <c r="AE88" i="7"/>
  <c r="AD88" i="7"/>
  <c r="AQ88" i="7" s="1"/>
  <c r="AC88" i="7"/>
  <c r="AN88" i="7" s="1"/>
  <c r="AB88" i="7"/>
  <c r="AA88" i="7"/>
  <c r="Z88" i="7"/>
  <c r="Y88" i="7"/>
  <c r="X88" i="7"/>
  <c r="W88" i="7"/>
  <c r="V88" i="7"/>
  <c r="U88" i="7"/>
  <c r="T88" i="7"/>
  <c r="S88" i="7"/>
  <c r="R88" i="7"/>
  <c r="Q88" i="7"/>
  <c r="P88" i="7"/>
  <c r="O88" i="7"/>
  <c r="N88" i="7"/>
  <c r="M88" i="7"/>
  <c r="L88" i="7"/>
  <c r="K88" i="7"/>
  <c r="J88" i="7"/>
  <c r="I88" i="7"/>
  <c r="H88" i="7"/>
  <c r="G88" i="7"/>
  <c r="F88" i="7"/>
  <c r="E88" i="7"/>
  <c r="D88" i="7"/>
  <c r="C88" i="7"/>
  <c r="B88" i="7"/>
  <c r="A88" i="7"/>
  <c r="AJ87" i="7"/>
  <c r="AI87" i="7"/>
  <c r="AH87" i="7"/>
  <c r="AG87" i="7"/>
  <c r="AF87" i="7"/>
  <c r="AE87" i="7"/>
  <c r="AD87" i="7"/>
  <c r="AQ87" i="7" s="1"/>
  <c r="AC87" i="7"/>
  <c r="AN87" i="7" s="1"/>
  <c r="AB87" i="7"/>
  <c r="AA87" i="7"/>
  <c r="Z87" i="7"/>
  <c r="Y87" i="7"/>
  <c r="X87" i="7"/>
  <c r="W87" i="7"/>
  <c r="V87" i="7"/>
  <c r="U87" i="7"/>
  <c r="T87" i="7"/>
  <c r="S87" i="7"/>
  <c r="R87" i="7"/>
  <c r="Q87" i="7"/>
  <c r="P87" i="7"/>
  <c r="O87" i="7"/>
  <c r="N87" i="7"/>
  <c r="M87" i="7"/>
  <c r="L87" i="7"/>
  <c r="K87" i="7"/>
  <c r="J87" i="7"/>
  <c r="I87" i="7"/>
  <c r="H87" i="7"/>
  <c r="G87" i="7"/>
  <c r="F87" i="7"/>
  <c r="E87" i="7"/>
  <c r="D87" i="7"/>
  <c r="C87" i="7"/>
  <c r="B87" i="7"/>
  <c r="A87" i="7"/>
  <c r="AJ86" i="7"/>
  <c r="AI86" i="7"/>
  <c r="AH86" i="7"/>
  <c r="AG86" i="7"/>
  <c r="AF86" i="7"/>
  <c r="AE86" i="7"/>
  <c r="AD86" i="7"/>
  <c r="AQ86" i="7" s="1"/>
  <c r="AC86" i="7"/>
  <c r="AN86" i="7" s="1"/>
  <c r="AB86" i="7"/>
  <c r="AA86" i="7"/>
  <c r="Z86" i="7"/>
  <c r="Y86" i="7"/>
  <c r="X86" i="7"/>
  <c r="W86" i="7"/>
  <c r="V86" i="7"/>
  <c r="U86" i="7"/>
  <c r="T86" i="7"/>
  <c r="S86" i="7"/>
  <c r="R86" i="7"/>
  <c r="Q86" i="7"/>
  <c r="P86" i="7"/>
  <c r="O86" i="7"/>
  <c r="N86" i="7"/>
  <c r="M86" i="7"/>
  <c r="L86" i="7"/>
  <c r="K86" i="7"/>
  <c r="J86" i="7"/>
  <c r="I86" i="7"/>
  <c r="H86" i="7"/>
  <c r="G86" i="7"/>
  <c r="F86" i="7"/>
  <c r="E86" i="7"/>
  <c r="D86" i="7"/>
  <c r="C86" i="7"/>
  <c r="B86" i="7"/>
  <c r="A86" i="7"/>
  <c r="AJ85" i="7"/>
  <c r="AI85" i="7"/>
  <c r="AH85" i="7"/>
  <c r="AG85" i="7"/>
  <c r="AF85" i="7"/>
  <c r="AE85" i="7"/>
  <c r="AD85" i="7"/>
  <c r="AQ85" i="7" s="1"/>
  <c r="AC85" i="7"/>
  <c r="AN85" i="7" s="1"/>
  <c r="AB85" i="7"/>
  <c r="AA85" i="7"/>
  <c r="Z85" i="7"/>
  <c r="Y85" i="7"/>
  <c r="X85" i="7"/>
  <c r="W85" i="7"/>
  <c r="V85" i="7"/>
  <c r="U85" i="7"/>
  <c r="T85" i="7"/>
  <c r="S85" i="7"/>
  <c r="R85" i="7"/>
  <c r="Q85" i="7"/>
  <c r="P85" i="7"/>
  <c r="O85" i="7"/>
  <c r="N85" i="7"/>
  <c r="M85" i="7"/>
  <c r="L85" i="7"/>
  <c r="K85" i="7"/>
  <c r="J85" i="7"/>
  <c r="I85" i="7"/>
  <c r="H85" i="7"/>
  <c r="G85" i="7"/>
  <c r="F85" i="7"/>
  <c r="E85" i="7"/>
  <c r="D85" i="7"/>
  <c r="C85" i="7"/>
  <c r="B85" i="7"/>
  <c r="A85" i="7"/>
  <c r="AJ84" i="7"/>
  <c r="AI84" i="7"/>
  <c r="AH84" i="7"/>
  <c r="AG84" i="7"/>
  <c r="AF84" i="7"/>
  <c r="AE84" i="7"/>
  <c r="AD84" i="7"/>
  <c r="AQ84" i="7" s="1"/>
  <c r="AC84" i="7"/>
  <c r="AN84" i="7" s="1"/>
  <c r="AB84" i="7"/>
  <c r="AA84" i="7"/>
  <c r="Z84" i="7"/>
  <c r="Y84" i="7"/>
  <c r="X84" i="7"/>
  <c r="W84" i="7"/>
  <c r="V84" i="7"/>
  <c r="AO84" i="7" s="1"/>
  <c r="U84" i="7"/>
  <c r="T84" i="7"/>
  <c r="S84" i="7"/>
  <c r="R84" i="7"/>
  <c r="Q84" i="7"/>
  <c r="P84" i="7"/>
  <c r="O84" i="7"/>
  <c r="N84" i="7"/>
  <c r="M84" i="7"/>
  <c r="L84" i="7"/>
  <c r="K84" i="7"/>
  <c r="J84" i="7"/>
  <c r="I84" i="7"/>
  <c r="H84" i="7"/>
  <c r="G84" i="7"/>
  <c r="F84" i="7"/>
  <c r="E84" i="7"/>
  <c r="D84" i="7"/>
  <c r="C84" i="7"/>
  <c r="B84" i="7"/>
  <c r="A84" i="7"/>
  <c r="AJ83" i="7"/>
  <c r="AI83" i="7"/>
  <c r="AH83" i="7"/>
  <c r="AG83" i="7"/>
  <c r="AF83" i="7"/>
  <c r="AE83" i="7"/>
  <c r="AD83" i="7"/>
  <c r="AQ83" i="7" s="1"/>
  <c r="AC83" i="7"/>
  <c r="AN83" i="7" s="1"/>
  <c r="AB83" i="7"/>
  <c r="AA83" i="7"/>
  <c r="Z83" i="7"/>
  <c r="Y83" i="7"/>
  <c r="X83" i="7"/>
  <c r="W83" i="7"/>
  <c r="V83" i="7"/>
  <c r="AO83" i="7" s="1"/>
  <c r="U83" i="7"/>
  <c r="T83" i="7"/>
  <c r="S83" i="7"/>
  <c r="R83" i="7"/>
  <c r="Q83" i="7"/>
  <c r="P83" i="7"/>
  <c r="O83" i="7"/>
  <c r="N83" i="7"/>
  <c r="M83" i="7"/>
  <c r="L83" i="7"/>
  <c r="K83" i="7"/>
  <c r="J83" i="7"/>
  <c r="I83" i="7"/>
  <c r="H83" i="7"/>
  <c r="G83" i="7"/>
  <c r="F83" i="7"/>
  <c r="E83" i="7"/>
  <c r="D83" i="7"/>
  <c r="C83" i="7"/>
  <c r="B83" i="7"/>
  <c r="A83" i="7"/>
  <c r="AJ82" i="7"/>
  <c r="AI82" i="7"/>
  <c r="AH82" i="7"/>
  <c r="AG82" i="7"/>
  <c r="AF82" i="7"/>
  <c r="AE82" i="7"/>
  <c r="AD82" i="7"/>
  <c r="AQ82" i="7" s="1"/>
  <c r="AC82" i="7"/>
  <c r="AN82" i="7" s="1"/>
  <c r="AB82" i="7"/>
  <c r="AA82" i="7"/>
  <c r="Z82" i="7"/>
  <c r="Y82" i="7"/>
  <c r="X82" i="7"/>
  <c r="W82" i="7"/>
  <c r="V82" i="7"/>
  <c r="U82" i="7"/>
  <c r="T82" i="7"/>
  <c r="S82" i="7"/>
  <c r="R82" i="7"/>
  <c r="Q82" i="7"/>
  <c r="P82" i="7"/>
  <c r="O82" i="7"/>
  <c r="N82" i="7"/>
  <c r="M82" i="7"/>
  <c r="L82" i="7"/>
  <c r="K82" i="7"/>
  <c r="J82" i="7"/>
  <c r="I82" i="7"/>
  <c r="H82" i="7"/>
  <c r="G82" i="7"/>
  <c r="F82" i="7"/>
  <c r="E82" i="7"/>
  <c r="D82" i="7"/>
  <c r="C82" i="7"/>
  <c r="B82" i="7"/>
  <c r="A82" i="7"/>
  <c r="AJ81" i="7"/>
  <c r="AI81" i="7"/>
  <c r="AH81" i="7"/>
  <c r="AG81" i="7"/>
  <c r="AF81" i="7"/>
  <c r="AE81" i="7"/>
  <c r="AD81" i="7"/>
  <c r="AQ81" i="7" s="1"/>
  <c r="AC81" i="7"/>
  <c r="AN81" i="7" s="1"/>
  <c r="AB81" i="7"/>
  <c r="AA81" i="7"/>
  <c r="Z81" i="7"/>
  <c r="Y81" i="7"/>
  <c r="X81" i="7"/>
  <c r="W81" i="7"/>
  <c r="V81" i="7"/>
  <c r="AO81" i="7" s="1"/>
  <c r="U81" i="7"/>
  <c r="T81" i="7"/>
  <c r="S81" i="7"/>
  <c r="R81" i="7"/>
  <c r="Q81" i="7"/>
  <c r="P81" i="7"/>
  <c r="O81" i="7"/>
  <c r="N81" i="7"/>
  <c r="M81" i="7"/>
  <c r="L81" i="7"/>
  <c r="K81" i="7"/>
  <c r="J81" i="7"/>
  <c r="I81" i="7"/>
  <c r="H81" i="7"/>
  <c r="G81" i="7"/>
  <c r="F81" i="7"/>
  <c r="E81" i="7"/>
  <c r="D81" i="7"/>
  <c r="C81" i="7"/>
  <c r="B81" i="7"/>
  <c r="A81" i="7"/>
  <c r="AJ80" i="7"/>
  <c r="AI80" i="7"/>
  <c r="AH80" i="7"/>
  <c r="AG80" i="7"/>
  <c r="AF80" i="7"/>
  <c r="AE80" i="7"/>
  <c r="AD80" i="7"/>
  <c r="AQ80" i="7" s="1"/>
  <c r="AC80" i="7"/>
  <c r="AN80" i="7" s="1"/>
  <c r="AB80" i="7"/>
  <c r="AA80" i="7"/>
  <c r="Z80" i="7"/>
  <c r="Y80" i="7"/>
  <c r="X80" i="7"/>
  <c r="W80" i="7"/>
  <c r="V80" i="7"/>
  <c r="U80" i="7"/>
  <c r="T80" i="7"/>
  <c r="S80" i="7"/>
  <c r="R80" i="7"/>
  <c r="Q80" i="7"/>
  <c r="P80" i="7"/>
  <c r="O80" i="7"/>
  <c r="N80" i="7"/>
  <c r="M80" i="7"/>
  <c r="L80" i="7"/>
  <c r="K80" i="7"/>
  <c r="J80" i="7"/>
  <c r="I80" i="7"/>
  <c r="H80" i="7"/>
  <c r="G80" i="7"/>
  <c r="F80" i="7"/>
  <c r="E80" i="7"/>
  <c r="D80" i="7"/>
  <c r="C80" i="7"/>
  <c r="B80" i="7"/>
  <c r="A80" i="7"/>
  <c r="AJ79" i="7"/>
  <c r="AI79" i="7"/>
  <c r="AH79" i="7"/>
  <c r="AG79" i="7"/>
  <c r="AF79" i="7"/>
  <c r="AE79" i="7"/>
  <c r="AD79" i="7"/>
  <c r="AQ79" i="7" s="1"/>
  <c r="AC79" i="7"/>
  <c r="AN79" i="7" s="1"/>
  <c r="AB79" i="7"/>
  <c r="AA79" i="7"/>
  <c r="Z79" i="7"/>
  <c r="Y79" i="7"/>
  <c r="X79" i="7"/>
  <c r="W79" i="7"/>
  <c r="V79" i="7"/>
  <c r="AO79" i="7" s="1"/>
  <c r="U79" i="7"/>
  <c r="T79" i="7"/>
  <c r="S79" i="7"/>
  <c r="R79" i="7"/>
  <c r="Q79" i="7"/>
  <c r="P79" i="7"/>
  <c r="O79" i="7"/>
  <c r="N79" i="7"/>
  <c r="M79" i="7"/>
  <c r="L79" i="7"/>
  <c r="K79" i="7"/>
  <c r="J79" i="7"/>
  <c r="I79" i="7"/>
  <c r="H79" i="7"/>
  <c r="G79" i="7"/>
  <c r="F79" i="7"/>
  <c r="E79" i="7"/>
  <c r="D79" i="7"/>
  <c r="C79" i="7"/>
  <c r="B79" i="7"/>
  <c r="A79" i="7"/>
  <c r="AJ78" i="7"/>
  <c r="AI78" i="7"/>
  <c r="AH78" i="7"/>
  <c r="AG78" i="7"/>
  <c r="AF78" i="7"/>
  <c r="AE78" i="7"/>
  <c r="AD78" i="7"/>
  <c r="AQ78" i="7" s="1"/>
  <c r="AC78" i="7"/>
  <c r="AN78" i="7" s="1"/>
  <c r="AB78" i="7"/>
  <c r="AA78" i="7"/>
  <c r="Z78" i="7"/>
  <c r="Y78" i="7"/>
  <c r="X78" i="7"/>
  <c r="W78" i="7"/>
  <c r="V78" i="7"/>
  <c r="U78" i="7"/>
  <c r="T78" i="7"/>
  <c r="S78" i="7"/>
  <c r="R78" i="7"/>
  <c r="Q78" i="7"/>
  <c r="P78" i="7"/>
  <c r="O78" i="7"/>
  <c r="N78" i="7"/>
  <c r="M78" i="7"/>
  <c r="L78" i="7"/>
  <c r="K78" i="7"/>
  <c r="J78" i="7"/>
  <c r="I78" i="7"/>
  <c r="H78" i="7"/>
  <c r="G78" i="7"/>
  <c r="F78" i="7"/>
  <c r="E78" i="7"/>
  <c r="D78" i="7"/>
  <c r="C78" i="7"/>
  <c r="B78" i="7"/>
  <c r="A78" i="7"/>
  <c r="AJ77" i="7"/>
  <c r="AI77" i="7"/>
  <c r="AH77" i="7"/>
  <c r="AG77" i="7"/>
  <c r="AF77" i="7"/>
  <c r="AE77" i="7"/>
  <c r="AD77" i="7"/>
  <c r="AQ77" i="7" s="1"/>
  <c r="AC77" i="7"/>
  <c r="AN77" i="7" s="1"/>
  <c r="AB77" i="7"/>
  <c r="AA77" i="7"/>
  <c r="Z77" i="7"/>
  <c r="Y77" i="7"/>
  <c r="X77" i="7"/>
  <c r="W77" i="7"/>
  <c r="V77" i="7"/>
  <c r="AO77" i="7" s="1"/>
  <c r="U77" i="7"/>
  <c r="T77" i="7"/>
  <c r="S77" i="7"/>
  <c r="R77" i="7"/>
  <c r="Q77" i="7"/>
  <c r="P77" i="7"/>
  <c r="O77" i="7"/>
  <c r="N77" i="7"/>
  <c r="M77" i="7"/>
  <c r="L77" i="7"/>
  <c r="K77" i="7"/>
  <c r="J77" i="7"/>
  <c r="I77" i="7"/>
  <c r="H77" i="7"/>
  <c r="G77" i="7"/>
  <c r="F77" i="7"/>
  <c r="E77" i="7"/>
  <c r="D77" i="7"/>
  <c r="C77" i="7"/>
  <c r="B77" i="7"/>
  <c r="A77" i="7"/>
  <c r="AJ76" i="7"/>
  <c r="AI76" i="7"/>
  <c r="AH76" i="7"/>
  <c r="AG76" i="7"/>
  <c r="AF76" i="7"/>
  <c r="AE76" i="7"/>
  <c r="AD76" i="7"/>
  <c r="AQ76" i="7" s="1"/>
  <c r="AC76" i="7"/>
  <c r="AN76" i="7" s="1"/>
  <c r="AB76" i="7"/>
  <c r="AA76" i="7"/>
  <c r="Z76" i="7"/>
  <c r="Y76" i="7"/>
  <c r="X76" i="7"/>
  <c r="W76" i="7"/>
  <c r="V76" i="7"/>
  <c r="AO76" i="7" s="1"/>
  <c r="U76" i="7"/>
  <c r="T76" i="7"/>
  <c r="S76" i="7"/>
  <c r="R76" i="7"/>
  <c r="Q76" i="7"/>
  <c r="P76" i="7"/>
  <c r="O76" i="7"/>
  <c r="N76" i="7"/>
  <c r="M76" i="7"/>
  <c r="L76" i="7"/>
  <c r="K76" i="7"/>
  <c r="J76" i="7"/>
  <c r="I76" i="7"/>
  <c r="H76" i="7"/>
  <c r="G76" i="7"/>
  <c r="F76" i="7"/>
  <c r="E76" i="7"/>
  <c r="D76" i="7"/>
  <c r="C76" i="7"/>
  <c r="B76" i="7"/>
  <c r="A76" i="7"/>
  <c r="AJ75" i="7"/>
  <c r="AI75" i="7"/>
  <c r="AH75" i="7"/>
  <c r="AG75" i="7"/>
  <c r="AF75" i="7"/>
  <c r="AE75" i="7"/>
  <c r="AD75" i="7"/>
  <c r="AQ75" i="7" s="1"/>
  <c r="AC75" i="7"/>
  <c r="AN75" i="7" s="1"/>
  <c r="AB75" i="7"/>
  <c r="AA75" i="7"/>
  <c r="Z75" i="7"/>
  <c r="Y75" i="7"/>
  <c r="X75" i="7"/>
  <c r="W75" i="7"/>
  <c r="V75" i="7"/>
  <c r="U75" i="7"/>
  <c r="T75" i="7"/>
  <c r="S75" i="7"/>
  <c r="R75" i="7"/>
  <c r="Q75" i="7"/>
  <c r="P75" i="7"/>
  <c r="O75" i="7"/>
  <c r="N75" i="7"/>
  <c r="M75" i="7"/>
  <c r="L75" i="7"/>
  <c r="K75" i="7"/>
  <c r="J75" i="7"/>
  <c r="I75" i="7"/>
  <c r="H75" i="7"/>
  <c r="G75" i="7"/>
  <c r="F75" i="7"/>
  <c r="E75" i="7"/>
  <c r="D75" i="7"/>
  <c r="C75" i="7"/>
  <c r="B75" i="7"/>
  <c r="A75" i="7"/>
  <c r="AJ74" i="7"/>
  <c r="AI74" i="7"/>
  <c r="AH74" i="7"/>
  <c r="AG74" i="7"/>
  <c r="AF74" i="7"/>
  <c r="AE74" i="7"/>
  <c r="AD74" i="7"/>
  <c r="AQ74" i="7" s="1"/>
  <c r="AC74" i="7"/>
  <c r="AN74" i="7" s="1"/>
  <c r="AB74" i="7"/>
  <c r="AA74" i="7"/>
  <c r="Z74" i="7"/>
  <c r="Y74" i="7"/>
  <c r="X74" i="7"/>
  <c r="W74" i="7"/>
  <c r="V74" i="7"/>
  <c r="U74" i="7"/>
  <c r="T74" i="7"/>
  <c r="S74" i="7"/>
  <c r="R74" i="7"/>
  <c r="Q74" i="7"/>
  <c r="P74" i="7"/>
  <c r="O74" i="7"/>
  <c r="N74" i="7"/>
  <c r="M74" i="7"/>
  <c r="L74" i="7"/>
  <c r="K74" i="7"/>
  <c r="J74" i="7"/>
  <c r="I74" i="7"/>
  <c r="H74" i="7"/>
  <c r="G74" i="7"/>
  <c r="F74" i="7"/>
  <c r="E74" i="7"/>
  <c r="D74" i="7"/>
  <c r="C74" i="7"/>
  <c r="B74" i="7"/>
  <c r="A74" i="7"/>
  <c r="AJ73" i="7"/>
  <c r="AI73" i="7"/>
  <c r="AH73" i="7"/>
  <c r="AG73" i="7"/>
  <c r="AF73" i="7"/>
  <c r="AE73" i="7"/>
  <c r="AD73" i="7"/>
  <c r="AQ73" i="7" s="1"/>
  <c r="AC73" i="7"/>
  <c r="AN73" i="7" s="1"/>
  <c r="AB73" i="7"/>
  <c r="AA73" i="7"/>
  <c r="Z73" i="7"/>
  <c r="Y73" i="7"/>
  <c r="X73" i="7"/>
  <c r="W73" i="7"/>
  <c r="V73" i="7"/>
  <c r="AO73" i="7" s="1"/>
  <c r="U73" i="7"/>
  <c r="T73" i="7"/>
  <c r="S73" i="7"/>
  <c r="R73" i="7"/>
  <c r="Q73" i="7"/>
  <c r="P73" i="7"/>
  <c r="O73" i="7"/>
  <c r="N73" i="7"/>
  <c r="M73" i="7"/>
  <c r="L73" i="7"/>
  <c r="K73" i="7"/>
  <c r="J73" i="7"/>
  <c r="I73" i="7"/>
  <c r="H73" i="7"/>
  <c r="G73" i="7"/>
  <c r="F73" i="7"/>
  <c r="E73" i="7"/>
  <c r="D73" i="7"/>
  <c r="C73" i="7"/>
  <c r="B73" i="7"/>
  <c r="A73" i="7"/>
  <c r="AJ72" i="7"/>
  <c r="AI72" i="7"/>
  <c r="AH72" i="7"/>
  <c r="AG72" i="7"/>
  <c r="AF72" i="7"/>
  <c r="AE72" i="7"/>
  <c r="AD72" i="7"/>
  <c r="AQ72" i="7" s="1"/>
  <c r="AC72" i="7"/>
  <c r="AN72" i="7" s="1"/>
  <c r="AB72" i="7"/>
  <c r="AA72" i="7"/>
  <c r="Z72" i="7"/>
  <c r="Y72" i="7"/>
  <c r="X72" i="7"/>
  <c r="W72" i="7"/>
  <c r="V72" i="7"/>
  <c r="U72" i="7"/>
  <c r="T72" i="7"/>
  <c r="S72" i="7"/>
  <c r="R72" i="7"/>
  <c r="Q72" i="7"/>
  <c r="P72" i="7"/>
  <c r="O72" i="7"/>
  <c r="N72" i="7"/>
  <c r="M72" i="7"/>
  <c r="L72" i="7"/>
  <c r="K72" i="7"/>
  <c r="J72" i="7"/>
  <c r="I72" i="7"/>
  <c r="H72" i="7"/>
  <c r="G72" i="7"/>
  <c r="F72" i="7"/>
  <c r="E72" i="7"/>
  <c r="D72" i="7"/>
  <c r="C72" i="7"/>
  <c r="B72" i="7"/>
  <c r="A72" i="7"/>
  <c r="AJ71" i="7"/>
  <c r="AI71" i="7"/>
  <c r="AH71" i="7"/>
  <c r="AG71" i="7"/>
  <c r="AF71" i="7"/>
  <c r="AE71" i="7"/>
  <c r="AD71" i="7"/>
  <c r="AQ71" i="7" s="1"/>
  <c r="AC71" i="7"/>
  <c r="AN71" i="7" s="1"/>
  <c r="AB71" i="7"/>
  <c r="AA71" i="7"/>
  <c r="Z71" i="7"/>
  <c r="Y71" i="7"/>
  <c r="X71" i="7"/>
  <c r="W71" i="7"/>
  <c r="V71" i="7"/>
  <c r="U71" i="7"/>
  <c r="T71" i="7"/>
  <c r="S71" i="7"/>
  <c r="R71" i="7"/>
  <c r="Q71" i="7"/>
  <c r="P71" i="7"/>
  <c r="O71" i="7"/>
  <c r="N71" i="7"/>
  <c r="M71" i="7"/>
  <c r="L71" i="7"/>
  <c r="K71" i="7"/>
  <c r="J71" i="7"/>
  <c r="I71" i="7"/>
  <c r="H71" i="7"/>
  <c r="G71" i="7"/>
  <c r="F71" i="7"/>
  <c r="E71" i="7"/>
  <c r="D71" i="7"/>
  <c r="C71" i="7"/>
  <c r="B71" i="7"/>
  <c r="A71" i="7"/>
  <c r="AJ70" i="7"/>
  <c r="AI70" i="7"/>
  <c r="AH70" i="7"/>
  <c r="AG70" i="7"/>
  <c r="AF70" i="7"/>
  <c r="AE70" i="7"/>
  <c r="AD70" i="7"/>
  <c r="AQ70" i="7" s="1"/>
  <c r="AC70" i="7"/>
  <c r="AN70" i="7" s="1"/>
  <c r="AB70" i="7"/>
  <c r="AA70" i="7"/>
  <c r="Z70" i="7"/>
  <c r="Y70" i="7"/>
  <c r="X70" i="7"/>
  <c r="W70" i="7"/>
  <c r="V70" i="7"/>
  <c r="U70" i="7"/>
  <c r="T70" i="7"/>
  <c r="S70" i="7"/>
  <c r="R70" i="7"/>
  <c r="Q70" i="7"/>
  <c r="P70" i="7"/>
  <c r="O70" i="7"/>
  <c r="N70" i="7"/>
  <c r="M70" i="7"/>
  <c r="L70" i="7"/>
  <c r="K70" i="7"/>
  <c r="J70" i="7"/>
  <c r="I70" i="7"/>
  <c r="H70" i="7"/>
  <c r="G70" i="7"/>
  <c r="F70" i="7"/>
  <c r="E70" i="7"/>
  <c r="D70" i="7"/>
  <c r="C70" i="7"/>
  <c r="B70" i="7"/>
  <c r="A70" i="7"/>
  <c r="AJ69" i="7"/>
  <c r="AI69" i="7"/>
  <c r="AH69" i="7"/>
  <c r="AG69" i="7"/>
  <c r="AF69" i="7"/>
  <c r="AE69" i="7"/>
  <c r="AD69" i="7"/>
  <c r="AQ69" i="7" s="1"/>
  <c r="AC69" i="7"/>
  <c r="AN69" i="7" s="1"/>
  <c r="AB69" i="7"/>
  <c r="AA69" i="7"/>
  <c r="Z69" i="7"/>
  <c r="AL69" i="7" s="1"/>
  <c r="Y69" i="7"/>
  <c r="X69" i="7"/>
  <c r="W69" i="7"/>
  <c r="V69" i="7"/>
  <c r="U69" i="7"/>
  <c r="T69" i="7"/>
  <c r="S69" i="7"/>
  <c r="R69" i="7"/>
  <c r="Q69" i="7"/>
  <c r="P69" i="7"/>
  <c r="O69" i="7"/>
  <c r="N69" i="7"/>
  <c r="M69" i="7"/>
  <c r="L69" i="7"/>
  <c r="K69" i="7"/>
  <c r="J69" i="7"/>
  <c r="I69" i="7"/>
  <c r="H69" i="7"/>
  <c r="G69" i="7"/>
  <c r="F69" i="7"/>
  <c r="E69" i="7"/>
  <c r="D69" i="7"/>
  <c r="C69" i="7"/>
  <c r="B69" i="7"/>
  <c r="A69" i="7"/>
  <c r="AJ68" i="7"/>
  <c r="AI68" i="7"/>
  <c r="AH68" i="7"/>
  <c r="AG68" i="7"/>
  <c r="AF68" i="7"/>
  <c r="AE68" i="7"/>
  <c r="AD68" i="7"/>
  <c r="AQ68" i="7" s="1"/>
  <c r="AC68" i="7"/>
  <c r="AN68" i="7" s="1"/>
  <c r="AB68" i="7"/>
  <c r="AA68" i="7"/>
  <c r="Z68" i="7"/>
  <c r="Y68" i="7"/>
  <c r="X68" i="7"/>
  <c r="W68" i="7"/>
  <c r="V68" i="7"/>
  <c r="AO68" i="7" s="1"/>
  <c r="U68" i="7"/>
  <c r="T68" i="7"/>
  <c r="S68" i="7"/>
  <c r="R68" i="7"/>
  <c r="Q68" i="7"/>
  <c r="P68" i="7"/>
  <c r="O68" i="7"/>
  <c r="N68" i="7"/>
  <c r="M68" i="7"/>
  <c r="L68" i="7"/>
  <c r="K68" i="7"/>
  <c r="J68" i="7"/>
  <c r="I68" i="7"/>
  <c r="H68" i="7"/>
  <c r="G68" i="7"/>
  <c r="F68" i="7"/>
  <c r="E68" i="7"/>
  <c r="D68" i="7"/>
  <c r="C68" i="7"/>
  <c r="B68" i="7"/>
  <c r="A68" i="7"/>
  <c r="AJ67" i="7"/>
  <c r="AI67" i="7"/>
  <c r="AH67" i="7"/>
  <c r="AG67" i="7"/>
  <c r="AF67" i="7"/>
  <c r="AE67" i="7"/>
  <c r="AD67" i="7"/>
  <c r="AQ67" i="7" s="1"/>
  <c r="AC67" i="7"/>
  <c r="AN67" i="7" s="1"/>
  <c r="AB67" i="7"/>
  <c r="AA67" i="7"/>
  <c r="Z67" i="7"/>
  <c r="Y67" i="7"/>
  <c r="X67" i="7"/>
  <c r="W67" i="7"/>
  <c r="V67" i="7"/>
  <c r="U67" i="7"/>
  <c r="T67" i="7"/>
  <c r="S67" i="7"/>
  <c r="R67" i="7"/>
  <c r="Q67" i="7"/>
  <c r="P67" i="7"/>
  <c r="O67" i="7"/>
  <c r="N67" i="7"/>
  <c r="M67" i="7"/>
  <c r="L67" i="7"/>
  <c r="K67" i="7"/>
  <c r="J67" i="7"/>
  <c r="I67" i="7"/>
  <c r="H67" i="7"/>
  <c r="G67" i="7"/>
  <c r="F67" i="7"/>
  <c r="E67" i="7"/>
  <c r="D67" i="7"/>
  <c r="C67" i="7"/>
  <c r="B67" i="7"/>
  <c r="A67" i="7"/>
  <c r="AJ66" i="7"/>
  <c r="AI66" i="7"/>
  <c r="AH66" i="7"/>
  <c r="AG66" i="7"/>
  <c r="AF66" i="7"/>
  <c r="AE66" i="7"/>
  <c r="AD66" i="7"/>
  <c r="AQ66" i="7" s="1"/>
  <c r="AC66" i="7"/>
  <c r="AN66" i="7" s="1"/>
  <c r="AB66" i="7"/>
  <c r="AA66" i="7"/>
  <c r="Z66" i="7"/>
  <c r="Y66" i="7"/>
  <c r="X66" i="7"/>
  <c r="W66" i="7"/>
  <c r="V66" i="7"/>
  <c r="U66" i="7"/>
  <c r="T66" i="7"/>
  <c r="S66" i="7"/>
  <c r="R66" i="7"/>
  <c r="Q66" i="7"/>
  <c r="P66" i="7"/>
  <c r="O66" i="7"/>
  <c r="N66" i="7"/>
  <c r="M66" i="7"/>
  <c r="L66" i="7"/>
  <c r="K66" i="7"/>
  <c r="J66" i="7"/>
  <c r="I66" i="7"/>
  <c r="H66" i="7"/>
  <c r="G66" i="7"/>
  <c r="F66" i="7"/>
  <c r="E66" i="7"/>
  <c r="D66" i="7"/>
  <c r="C66" i="7"/>
  <c r="B66" i="7"/>
  <c r="A66" i="7"/>
  <c r="AJ65" i="7"/>
  <c r="AI65" i="7"/>
  <c r="AH65" i="7"/>
  <c r="AG65" i="7"/>
  <c r="AF65" i="7"/>
  <c r="AE65" i="7"/>
  <c r="AD65" i="7"/>
  <c r="AQ65" i="7" s="1"/>
  <c r="AC65" i="7"/>
  <c r="AN65" i="7" s="1"/>
  <c r="AB65" i="7"/>
  <c r="AA65" i="7"/>
  <c r="Z65" i="7"/>
  <c r="Y65" i="7"/>
  <c r="X65" i="7"/>
  <c r="W65" i="7"/>
  <c r="V65" i="7"/>
  <c r="AO65" i="7" s="1"/>
  <c r="U65" i="7"/>
  <c r="T65" i="7"/>
  <c r="S65" i="7"/>
  <c r="R65" i="7"/>
  <c r="Q65" i="7"/>
  <c r="P65" i="7"/>
  <c r="O65" i="7"/>
  <c r="N65" i="7"/>
  <c r="M65" i="7"/>
  <c r="L65" i="7"/>
  <c r="K65" i="7"/>
  <c r="J65" i="7"/>
  <c r="I65" i="7"/>
  <c r="H65" i="7"/>
  <c r="G65" i="7"/>
  <c r="F65" i="7"/>
  <c r="E65" i="7"/>
  <c r="D65" i="7"/>
  <c r="C65" i="7"/>
  <c r="B65" i="7"/>
  <c r="A65" i="7"/>
  <c r="AJ64" i="7"/>
  <c r="AI64" i="7"/>
  <c r="AH64" i="7"/>
  <c r="AG64" i="7"/>
  <c r="AF64" i="7"/>
  <c r="AE64" i="7"/>
  <c r="AD64" i="7"/>
  <c r="AQ64" i="7" s="1"/>
  <c r="AC64" i="7"/>
  <c r="AN64" i="7" s="1"/>
  <c r="AB64" i="7"/>
  <c r="AA64" i="7"/>
  <c r="Z64" i="7"/>
  <c r="Y64" i="7"/>
  <c r="X64" i="7"/>
  <c r="W64" i="7"/>
  <c r="V64" i="7"/>
  <c r="AO64" i="7" s="1"/>
  <c r="U64" i="7"/>
  <c r="T64" i="7"/>
  <c r="S64" i="7"/>
  <c r="R64" i="7"/>
  <c r="Q64" i="7"/>
  <c r="P64" i="7"/>
  <c r="O64" i="7"/>
  <c r="N64" i="7"/>
  <c r="M64" i="7"/>
  <c r="L64" i="7"/>
  <c r="K64" i="7"/>
  <c r="J64" i="7"/>
  <c r="I64" i="7"/>
  <c r="H64" i="7"/>
  <c r="G64" i="7"/>
  <c r="F64" i="7"/>
  <c r="E64" i="7"/>
  <c r="D64" i="7"/>
  <c r="C64" i="7"/>
  <c r="B64" i="7"/>
  <c r="A64" i="7"/>
  <c r="AJ63" i="7"/>
  <c r="AI63" i="7"/>
  <c r="AH63" i="7"/>
  <c r="AG63" i="7"/>
  <c r="AF63" i="7"/>
  <c r="AE63" i="7"/>
  <c r="AD63" i="7"/>
  <c r="AQ63" i="7" s="1"/>
  <c r="AC63" i="7"/>
  <c r="AN63" i="7" s="1"/>
  <c r="AB63" i="7"/>
  <c r="AA63" i="7"/>
  <c r="Z63" i="7"/>
  <c r="Y63" i="7"/>
  <c r="X63" i="7"/>
  <c r="W63" i="7"/>
  <c r="V63" i="7"/>
  <c r="AO63" i="7" s="1"/>
  <c r="U63" i="7"/>
  <c r="T63" i="7"/>
  <c r="S63" i="7"/>
  <c r="R63" i="7"/>
  <c r="Q63" i="7"/>
  <c r="P63" i="7"/>
  <c r="O63" i="7"/>
  <c r="N63" i="7"/>
  <c r="M63" i="7"/>
  <c r="L63" i="7"/>
  <c r="K63" i="7"/>
  <c r="J63" i="7"/>
  <c r="I63" i="7"/>
  <c r="H63" i="7"/>
  <c r="G63" i="7"/>
  <c r="F63" i="7"/>
  <c r="E63" i="7"/>
  <c r="D63" i="7"/>
  <c r="C63" i="7"/>
  <c r="B63" i="7"/>
  <c r="A63" i="7"/>
  <c r="AJ62" i="7"/>
  <c r="AI62" i="7"/>
  <c r="AH62" i="7"/>
  <c r="AG62" i="7"/>
  <c r="AF62" i="7"/>
  <c r="AE62" i="7"/>
  <c r="AD62" i="7"/>
  <c r="AQ62" i="7" s="1"/>
  <c r="AC62" i="7"/>
  <c r="AN62" i="7" s="1"/>
  <c r="AB62" i="7"/>
  <c r="AA62" i="7"/>
  <c r="Z62" i="7"/>
  <c r="Y62" i="7"/>
  <c r="X62" i="7"/>
  <c r="W62" i="7"/>
  <c r="V62" i="7"/>
  <c r="AO62" i="7" s="1"/>
  <c r="U62" i="7"/>
  <c r="T62" i="7"/>
  <c r="S62" i="7"/>
  <c r="R62" i="7"/>
  <c r="Q62" i="7"/>
  <c r="P62" i="7"/>
  <c r="O62" i="7"/>
  <c r="N62" i="7"/>
  <c r="M62" i="7"/>
  <c r="L62" i="7"/>
  <c r="K62" i="7"/>
  <c r="J62" i="7"/>
  <c r="I62" i="7"/>
  <c r="H62" i="7"/>
  <c r="G62" i="7"/>
  <c r="F62" i="7"/>
  <c r="E62" i="7"/>
  <c r="D62" i="7"/>
  <c r="C62" i="7"/>
  <c r="B62" i="7"/>
  <c r="A62" i="7"/>
  <c r="AJ61" i="7"/>
  <c r="AI61" i="7"/>
  <c r="AH61" i="7"/>
  <c r="AG61" i="7"/>
  <c r="AF61" i="7"/>
  <c r="AE61" i="7"/>
  <c r="AD61" i="7"/>
  <c r="AQ61" i="7" s="1"/>
  <c r="AC61" i="7"/>
  <c r="AN61" i="7" s="1"/>
  <c r="AB61" i="7"/>
  <c r="AA61" i="7"/>
  <c r="Z61" i="7"/>
  <c r="Y61" i="7"/>
  <c r="X61" i="7"/>
  <c r="W61" i="7"/>
  <c r="V61" i="7"/>
  <c r="AO61" i="7" s="1"/>
  <c r="U61" i="7"/>
  <c r="T61" i="7"/>
  <c r="S61" i="7"/>
  <c r="R61" i="7"/>
  <c r="Q61" i="7"/>
  <c r="P61" i="7"/>
  <c r="O61" i="7"/>
  <c r="N61" i="7"/>
  <c r="M61" i="7"/>
  <c r="L61" i="7"/>
  <c r="K61" i="7"/>
  <c r="J61" i="7"/>
  <c r="I61" i="7"/>
  <c r="H61" i="7"/>
  <c r="G61" i="7"/>
  <c r="F61" i="7"/>
  <c r="E61" i="7"/>
  <c r="D61" i="7"/>
  <c r="C61" i="7"/>
  <c r="B61" i="7"/>
  <c r="A61" i="7"/>
  <c r="AJ60" i="7"/>
  <c r="AI60" i="7"/>
  <c r="AH60" i="7"/>
  <c r="AG60" i="7"/>
  <c r="AF60" i="7"/>
  <c r="AE60" i="7"/>
  <c r="AD60" i="7"/>
  <c r="AQ60" i="7" s="1"/>
  <c r="AC60" i="7"/>
  <c r="AN60" i="7" s="1"/>
  <c r="AB60" i="7"/>
  <c r="AA60" i="7"/>
  <c r="Z60" i="7"/>
  <c r="Y60" i="7"/>
  <c r="X60" i="7"/>
  <c r="W60" i="7"/>
  <c r="V60" i="7"/>
  <c r="U60" i="7"/>
  <c r="T60" i="7"/>
  <c r="S60" i="7"/>
  <c r="R60" i="7"/>
  <c r="Q60" i="7"/>
  <c r="P60" i="7"/>
  <c r="O60" i="7"/>
  <c r="N60" i="7"/>
  <c r="M60" i="7"/>
  <c r="L60" i="7"/>
  <c r="K60" i="7"/>
  <c r="J60" i="7"/>
  <c r="I60" i="7"/>
  <c r="H60" i="7"/>
  <c r="G60" i="7"/>
  <c r="F60" i="7"/>
  <c r="E60" i="7"/>
  <c r="D60" i="7"/>
  <c r="C60" i="7"/>
  <c r="B60" i="7"/>
  <c r="A60" i="7"/>
  <c r="AJ59" i="7"/>
  <c r="AI59" i="7"/>
  <c r="AH59" i="7"/>
  <c r="AG59" i="7"/>
  <c r="AF59" i="7"/>
  <c r="AE59" i="7"/>
  <c r="AD59" i="7"/>
  <c r="AQ59" i="7" s="1"/>
  <c r="AC59" i="7"/>
  <c r="AN59" i="7" s="1"/>
  <c r="AB59" i="7"/>
  <c r="AA59" i="7"/>
  <c r="Z59" i="7"/>
  <c r="Y59" i="7"/>
  <c r="X59" i="7"/>
  <c r="W59" i="7"/>
  <c r="V59" i="7"/>
  <c r="U59" i="7"/>
  <c r="T59" i="7"/>
  <c r="S59" i="7"/>
  <c r="R59" i="7"/>
  <c r="Q59" i="7"/>
  <c r="P59" i="7"/>
  <c r="O59" i="7"/>
  <c r="N59" i="7"/>
  <c r="M59" i="7"/>
  <c r="L59" i="7"/>
  <c r="K59" i="7"/>
  <c r="J59" i="7"/>
  <c r="I59" i="7"/>
  <c r="H59" i="7"/>
  <c r="G59" i="7"/>
  <c r="F59" i="7"/>
  <c r="E59" i="7"/>
  <c r="D59" i="7"/>
  <c r="C59" i="7"/>
  <c r="B59" i="7"/>
  <c r="A59" i="7"/>
  <c r="AJ58" i="7"/>
  <c r="AI58" i="7"/>
  <c r="AH58" i="7"/>
  <c r="AG58" i="7"/>
  <c r="AF58" i="7"/>
  <c r="AE58" i="7"/>
  <c r="AD58" i="7"/>
  <c r="AQ58" i="7" s="1"/>
  <c r="AC58" i="7"/>
  <c r="AN58" i="7" s="1"/>
  <c r="AB58" i="7"/>
  <c r="AA58" i="7"/>
  <c r="Z58" i="7"/>
  <c r="Y58" i="7"/>
  <c r="X58" i="7"/>
  <c r="W58" i="7"/>
  <c r="V58" i="7"/>
  <c r="U58" i="7"/>
  <c r="T58" i="7"/>
  <c r="S58" i="7"/>
  <c r="R58" i="7"/>
  <c r="Q58" i="7"/>
  <c r="P58" i="7"/>
  <c r="O58" i="7"/>
  <c r="N58" i="7"/>
  <c r="M58" i="7"/>
  <c r="L58" i="7"/>
  <c r="K58" i="7"/>
  <c r="J58" i="7"/>
  <c r="I58" i="7"/>
  <c r="H58" i="7"/>
  <c r="G58" i="7"/>
  <c r="F58" i="7"/>
  <c r="E58" i="7"/>
  <c r="D58" i="7"/>
  <c r="C58" i="7"/>
  <c r="B58" i="7"/>
  <c r="A58" i="7"/>
  <c r="AJ57" i="7"/>
  <c r="AI57" i="7"/>
  <c r="AH57" i="7"/>
  <c r="AG57" i="7"/>
  <c r="AF57" i="7"/>
  <c r="AE57" i="7"/>
  <c r="AD57" i="7"/>
  <c r="AQ57" i="7" s="1"/>
  <c r="AC57" i="7"/>
  <c r="AN57" i="7" s="1"/>
  <c r="AB57" i="7"/>
  <c r="AA57" i="7"/>
  <c r="Z57" i="7"/>
  <c r="Y57" i="7"/>
  <c r="X57" i="7"/>
  <c r="W57" i="7"/>
  <c r="V57" i="7"/>
  <c r="AO57" i="7" s="1"/>
  <c r="U57" i="7"/>
  <c r="T57" i="7"/>
  <c r="S57" i="7"/>
  <c r="R57" i="7"/>
  <c r="Q57" i="7"/>
  <c r="P57" i="7"/>
  <c r="O57" i="7"/>
  <c r="N57" i="7"/>
  <c r="M57" i="7"/>
  <c r="L57" i="7"/>
  <c r="K57" i="7"/>
  <c r="J57" i="7"/>
  <c r="I57" i="7"/>
  <c r="H57" i="7"/>
  <c r="G57" i="7"/>
  <c r="F57" i="7"/>
  <c r="E57" i="7"/>
  <c r="D57" i="7"/>
  <c r="C57" i="7"/>
  <c r="B57" i="7"/>
  <c r="A57" i="7"/>
  <c r="AJ56" i="7"/>
  <c r="AI56" i="7"/>
  <c r="AH56" i="7"/>
  <c r="AG56" i="7"/>
  <c r="AF56" i="7"/>
  <c r="AE56" i="7"/>
  <c r="AD56" i="7"/>
  <c r="AQ56" i="7" s="1"/>
  <c r="AC56" i="7"/>
  <c r="AN56" i="7" s="1"/>
  <c r="AB56" i="7"/>
  <c r="AA56" i="7"/>
  <c r="Z56" i="7"/>
  <c r="Y56" i="7"/>
  <c r="X56" i="7"/>
  <c r="W56" i="7"/>
  <c r="V56" i="7"/>
  <c r="AO56" i="7" s="1"/>
  <c r="U56" i="7"/>
  <c r="T56" i="7"/>
  <c r="S56" i="7"/>
  <c r="R56" i="7"/>
  <c r="Q56" i="7"/>
  <c r="P56" i="7"/>
  <c r="O56" i="7"/>
  <c r="N56" i="7"/>
  <c r="M56" i="7"/>
  <c r="L56" i="7"/>
  <c r="K56" i="7"/>
  <c r="J56" i="7"/>
  <c r="I56" i="7"/>
  <c r="H56" i="7"/>
  <c r="G56" i="7"/>
  <c r="F56" i="7"/>
  <c r="E56" i="7"/>
  <c r="D56" i="7"/>
  <c r="C56" i="7"/>
  <c r="B56" i="7"/>
  <c r="A56" i="7"/>
  <c r="AJ55" i="7"/>
  <c r="AI55" i="7"/>
  <c r="AH55" i="7"/>
  <c r="AG55" i="7"/>
  <c r="AF55" i="7"/>
  <c r="AE55" i="7"/>
  <c r="AD55" i="7"/>
  <c r="AQ55" i="7" s="1"/>
  <c r="AC55" i="7"/>
  <c r="AN55" i="7" s="1"/>
  <c r="AB55" i="7"/>
  <c r="AA55" i="7"/>
  <c r="Z55" i="7"/>
  <c r="Y55" i="7"/>
  <c r="X55" i="7"/>
  <c r="W55" i="7"/>
  <c r="V55" i="7"/>
  <c r="U55" i="7"/>
  <c r="T55" i="7"/>
  <c r="S55" i="7"/>
  <c r="R55" i="7"/>
  <c r="Q55" i="7"/>
  <c r="P55" i="7"/>
  <c r="O55" i="7"/>
  <c r="N55" i="7"/>
  <c r="M55" i="7"/>
  <c r="L55" i="7"/>
  <c r="K55" i="7"/>
  <c r="J55" i="7"/>
  <c r="I55" i="7"/>
  <c r="H55" i="7"/>
  <c r="G55" i="7"/>
  <c r="F55" i="7"/>
  <c r="E55" i="7"/>
  <c r="D55" i="7"/>
  <c r="C55" i="7"/>
  <c r="B55" i="7"/>
  <c r="A55" i="7"/>
  <c r="AN54" i="7"/>
  <c r="AJ54" i="7"/>
  <c r="AI54" i="7"/>
  <c r="AH54" i="7"/>
  <c r="AG54" i="7"/>
  <c r="AF54" i="7"/>
  <c r="AE54" i="7"/>
  <c r="AD54" i="7"/>
  <c r="AQ54" i="7" s="1"/>
  <c r="AC54" i="7"/>
  <c r="AB54" i="7"/>
  <c r="AA54" i="7"/>
  <c r="Z54" i="7"/>
  <c r="Y54" i="7"/>
  <c r="X54" i="7"/>
  <c r="W54" i="7"/>
  <c r="V54" i="7"/>
  <c r="U54" i="7"/>
  <c r="T54" i="7"/>
  <c r="S54" i="7"/>
  <c r="R54" i="7"/>
  <c r="Q54" i="7"/>
  <c r="P54" i="7"/>
  <c r="O54" i="7"/>
  <c r="N54" i="7"/>
  <c r="M54" i="7"/>
  <c r="L54" i="7"/>
  <c r="K54" i="7"/>
  <c r="J54" i="7"/>
  <c r="I54" i="7"/>
  <c r="H54" i="7"/>
  <c r="G54" i="7"/>
  <c r="F54" i="7"/>
  <c r="E54" i="7"/>
  <c r="D54" i="7"/>
  <c r="C54" i="7"/>
  <c r="B54" i="7"/>
  <c r="A54" i="7"/>
  <c r="AJ53" i="7"/>
  <c r="AI53" i="7"/>
  <c r="AH53" i="7"/>
  <c r="AG53" i="7"/>
  <c r="AF53" i="7"/>
  <c r="AE53" i="7"/>
  <c r="AD53" i="7"/>
  <c r="AQ53" i="7" s="1"/>
  <c r="AC53" i="7"/>
  <c r="AN53" i="7" s="1"/>
  <c r="AB53" i="7"/>
  <c r="AA53" i="7"/>
  <c r="Z53" i="7"/>
  <c r="Y53" i="7"/>
  <c r="X53" i="7"/>
  <c r="W53" i="7"/>
  <c r="V53" i="7"/>
  <c r="U53" i="7"/>
  <c r="T53" i="7"/>
  <c r="S53" i="7"/>
  <c r="R53" i="7"/>
  <c r="Q53" i="7"/>
  <c r="P53" i="7"/>
  <c r="O53" i="7"/>
  <c r="N53" i="7"/>
  <c r="M53" i="7"/>
  <c r="L53" i="7"/>
  <c r="K53" i="7"/>
  <c r="J53" i="7"/>
  <c r="I53" i="7"/>
  <c r="H53" i="7"/>
  <c r="G53" i="7"/>
  <c r="F53" i="7"/>
  <c r="E53" i="7"/>
  <c r="D53" i="7"/>
  <c r="C53" i="7"/>
  <c r="B53" i="7"/>
  <c r="A53" i="7"/>
  <c r="AJ52" i="7"/>
  <c r="AI52" i="7"/>
  <c r="AH52" i="7"/>
  <c r="AG52" i="7"/>
  <c r="AF52" i="7"/>
  <c r="AE52" i="7"/>
  <c r="AD52" i="7"/>
  <c r="AQ52" i="7" s="1"/>
  <c r="AC52" i="7"/>
  <c r="AN52" i="7" s="1"/>
  <c r="AB52" i="7"/>
  <c r="AA52" i="7"/>
  <c r="Z52" i="7"/>
  <c r="Y52" i="7"/>
  <c r="X52" i="7"/>
  <c r="W52" i="7"/>
  <c r="V52" i="7"/>
  <c r="AO52" i="7" s="1"/>
  <c r="U52" i="7"/>
  <c r="T52" i="7"/>
  <c r="S52" i="7"/>
  <c r="R52" i="7"/>
  <c r="Q52" i="7"/>
  <c r="P52" i="7"/>
  <c r="O52" i="7"/>
  <c r="N52" i="7"/>
  <c r="M52" i="7"/>
  <c r="L52" i="7"/>
  <c r="K52" i="7"/>
  <c r="J52" i="7"/>
  <c r="I52" i="7"/>
  <c r="H52" i="7"/>
  <c r="G52" i="7"/>
  <c r="F52" i="7"/>
  <c r="E52" i="7"/>
  <c r="D52" i="7"/>
  <c r="C52" i="7"/>
  <c r="B52" i="7"/>
  <c r="A52" i="7"/>
  <c r="AJ51" i="7"/>
  <c r="AI51" i="7"/>
  <c r="AH51" i="7"/>
  <c r="AG51" i="7"/>
  <c r="AF51" i="7"/>
  <c r="AE51" i="7"/>
  <c r="AD51" i="7"/>
  <c r="AQ51" i="7" s="1"/>
  <c r="AC51" i="7"/>
  <c r="AN51" i="7" s="1"/>
  <c r="AB51" i="7"/>
  <c r="AA51" i="7"/>
  <c r="Z51" i="7"/>
  <c r="Y51" i="7"/>
  <c r="X51" i="7"/>
  <c r="W51" i="7"/>
  <c r="V51" i="7"/>
  <c r="U51" i="7"/>
  <c r="T51" i="7"/>
  <c r="S51" i="7"/>
  <c r="R51" i="7"/>
  <c r="Q51" i="7"/>
  <c r="P51" i="7"/>
  <c r="O51" i="7"/>
  <c r="N51" i="7"/>
  <c r="M51" i="7"/>
  <c r="L51" i="7"/>
  <c r="K51" i="7"/>
  <c r="J51" i="7"/>
  <c r="I51" i="7"/>
  <c r="H51" i="7"/>
  <c r="G51" i="7"/>
  <c r="F51" i="7"/>
  <c r="E51" i="7"/>
  <c r="D51" i="7"/>
  <c r="C51" i="7"/>
  <c r="B51" i="7"/>
  <c r="A51" i="7"/>
  <c r="AJ50" i="7"/>
  <c r="AI50" i="7"/>
  <c r="AH50" i="7"/>
  <c r="AG50" i="7"/>
  <c r="AF50" i="7"/>
  <c r="AE50" i="7"/>
  <c r="AD50" i="7"/>
  <c r="AQ50" i="7" s="1"/>
  <c r="AC50" i="7"/>
  <c r="AN50" i="7" s="1"/>
  <c r="AB50" i="7"/>
  <c r="AA50" i="7"/>
  <c r="Z50" i="7"/>
  <c r="Y50" i="7"/>
  <c r="X50" i="7"/>
  <c r="W50" i="7"/>
  <c r="V50" i="7"/>
  <c r="U50" i="7"/>
  <c r="T50" i="7"/>
  <c r="S50" i="7"/>
  <c r="R50" i="7"/>
  <c r="Q50" i="7"/>
  <c r="P50" i="7"/>
  <c r="O50" i="7"/>
  <c r="N50" i="7"/>
  <c r="M50" i="7"/>
  <c r="L50" i="7"/>
  <c r="K50" i="7"/>
  <c r="J50" i="7"/>
  <c r="I50" i="7"/>
  <c r="H50" i="7"/>
  <c r="G50" i="7"/>
  <c r="F50" i="7"/>
  <c r="E50" i="7"/>
  <c r="D50" i="7"/>
  <c r="C50" i="7"/>
  <c r="B50" i="7"/>
  <c r="A50" i="7"/>
  <c r="AJ49" i="7"/>
  <c r="AI49" i="7"/>
  <c r="AH49" i="7"/>
  <c r="AG49" i="7"/>
  <c r="AF49" i="7"/>
  <c r="AE49" i="7"/>
  <c r="AD49" i="7"/>
  <c r="AQ49" i="7" s="1"/>
  <c r="AC49" i="7"/>
  <c r="AN49" i="7" s="1"/>
  <c r="AB49" i="7"/>
  <c r="AA49" i="7"/>
  <c r="Z49" i="7"/>
  <c r="Y49" i="7"/>
  <c r="X49" i="7"/>
  <c r="W49" i="7"/>
  <c r="V49" i="7"/>
  <c r="AO49" i="7" s="1"/>
  <c r="U49" i="7"/>
  <c r="T49" i="7"/>
  <c r="S49" i="7"/>
  <c r="R49" i="7"/>
  <c r="Q49" i="7"/>
  <c r="P49" i="7"/>
  <c r="O49" i="7"/>
  <c r="N49" i="7"/>
  <c r="M49" i="7"/>
  <c r="L49" i="7"/>
  <c r="K49" i="7"/>
  <c r="J49" i="7"/>
  <c r="I49" i="7"/>
  <c r="H49" i="7"/>
  <c r="G49" i="7"/>
  <c r="F49" i="7"/>
  <c r="E49" i="7"/>
  <c r="D49" i="7"/>
  <c r="C49" i="7"/>
  <c r="B49" i="7"/>
  <c r="A49" i="7"/>
  <c r="AJ48" i="7"/>
  <c r="AI48" i="7"/>
  <c r="AH48" i="7"/>
  <c r="AG48" i="7"/>
  <c r="AF48" i="7"/>
  <c r="AE48" i="7"/>
  <c r="AD48" i="7"/>
  <c r="AQ48" i="7" s="1"/>
  <c r="AC48" i="7"/>
  <c r="AN48" i="7" s="1"/>
  <c r="AB48" i="7"/>
  <c r="AA48" i="7"/>
  <c r="Z48" i="7"/>
  <c r="Y48" i="7"/>
  <c r="X48" i="7"/>
  <c r="W48" i="7"/>
  <c r="V48" i="7"/>
  <c r="AO48" i="7" s="1"/>
  <c r="U48" i="7"/>
  <c r="T48" i="7"/>
  <c r="S48" i="7"/>
  <c r="R48" i="7"/>
  <c r="Q48" i="7"/>
  <c r="P48" i="7"/>
  <c r="O48" i="7"/>
  <c r="N48" i="7"/>
  <c r="M48" i="7"/>
  <c r="L48" i="7"/>
  <c r="K48" i="7"/>
  <c r="J48" i="7"/>
  <c r="I48" i="7"/>
  <c r="H48" i="7"/>
  <c r="G48" i="7"/>
  <c r="F48" i="7"/>
  <c r="E48" i="7"/>
  <c r="D48" i="7"/>
  <c r="C48" i="7"/>
  <c r="B48" i="7"/>
  <c r="A48" i="7"/>
  <c r="AJ47" i="7"/>
  <c r="AI47" i="7"/>
  <c r="AH47" i="7"/>
  <c r="AG47" i="7"/>
  <c r="AF47" i="7"/>
  <c r="AE47" i="7"/>
  <c r="AD47" i="7"/>
  <c r="AQ47" i="7" s="1"/>
  <c r="AC47" i="7"/>
  <c r="AN47" i="7" s="1"/>
  <c r="AB47" i="7"/>
  <c r="AA47" i="7"/>
  <c r="Z47" i="7"/>
  <c r="Y47" i="7"/>
  <c r="X47" i="7"/>
  <c r="W47" i="7"/>
  <c r="V47" i="7"/>
  <c r="AO47" i="7" s="1"/>
  <c r="U47" i="7"/>
  <c r="T47" i="7"/>
  <c r="S47" i="7"/>
  <c r="R47" i="7"/>
  <c r="Q47" i="7"/>
  <c r="P47" i="7"/>
  <c r="O47" i="7"/>
  <c r="N47" i="7"/>
  <c r="M47" i="7"/>
  <c r="L47" i="7"/>
  <c r="K47" i="7"/>
  <c r="J47" i="7"/>
  <c r="I47" i="7"/>
  <c r="H47" i="7"/>
  <c r="G47" i="7"/>
  <c r="F47" i="7"/>
  <c r="E47" i="7"/>
  <c r="D47" i="7"/>
  <c r="C47" i="7"/>
  <c r="B47" i="7"/>
  <c r="A47" i="7"/>
  <c r="AJ46" i="7"/>
  <c r="AI46" i="7"/>
  <c r="AH46" i="7"/>
  <c r="AG46" i="7"/>
  <c r="AF46" i="7"/>
  <c r="AE46" i="7"/>
  <c r="AD46" i="7"/>
  <c r="AQ46" i="7" s="1"/>
  <c r="AC46" i="7"/>
  <c r="AN46" i="7" s="1"/>
  <c r="AB46" i="7"/>
  <c r="AA46" i="7"/>
  <c r="Z46" i="7"/>
  <c r="Y46" i="7"/>
  <c r="X46" i="7"/>
  <c r="W46" i="7"/>
  <c r="V46" i="7"/>
  <c r="U46" i="7"/>
  <c r="T46" i="7"/>
  <c r="S46" i="7"/>
  <c r="R46" i="7"/>
  <c r="Q46" i="7"/>
  <c r="P46" i="7"/>
  <c r="O46" i="7"/>
  <c r="N46" i="7"/>
  <c r="M46" i="7"/>
  <c r="L46" i="7"/>
  <c r="K46" i="7"/>
  <c r="J46" i="7"/>
  <c r="I46" i="7"/>
  <c r="H46" i="7"/>
  <c r="G46" i="7"/>
  <c r="F46" i="7"/>
  <c r="E46" i="7"/>
  <c r="D46" i="7"/>
  <c r="C46" i="7"/>
  <c r="B46" i="7"/>
  <c r="A46" i="7"/>
  <c r="AJ45" i="7"/>
  <c r="AI45" i="7"/>
  <c r="AH45" i="7"/>
  <c r="AG45" i="7"/>
  <c r="AF45" i="7"/>
  <c r="AE45" i="7"/>
  <c r="AD45" i="7"/>
  <c r="AQ45" i="7" s="1"/>
  <c r="AC45" i="7"/>
  <c r="AN45" i="7" s="1"/>
  <c r="AB45" i="7"/>
  <c r="AA45" i="7"/>
  <c r="Z45" i="7"/>
  <c r="Y45" i="7"/>
  <c r="X45" i="7"/>
  <c r="W45" i="7"/>
  <c r="V45" i="7"/>
  <c r="AO45" i="7" s="1"/>
  <c r="U45" i="7"/>
  <c r="T45" i="7"/>
  <c r="S45" i="7"/>
  <c r="R45" i="7"/>
  <c r="Q45" i="7"/>
  <c r="P45" i="7"/>
  <c r="O45" i="7"/>
  <c r="N45" i="7"/>
  <c r="M45" i="7"/>
  <c r="L45" i="7"/>
  <c r="K45" i="7"/>
  <c r="J45" i="7"/>
  <c r="I45" i="7"/>
  <c r="H45" i="7"/>
  <c r="G45" i="7"/>
  <c r="F45" i="7"/>
  <c r="E45" i="7"/>
  <c r="D45" i="7"/>
  <c r="C45" i="7"/>
  <c r="B45" i="7"/>
  <c r="A45" i="7"/>
  <c r="AJ44" i="7"/>
  <c r="AI44" i="7"/>
  <c r="AH44" i="7"/>
  <c r="AG44" i="7"/>
  <c r="AF44" i="7"/>
  <c r="AE44" i="7"/>
  <c r="AD44" i="7"/>
  <c r="AQ44" i="7" s="1"/>
  <c r="AC44" i="7"/>
  <c r="AN44" i="7" s="1"/>
  <c r="AB44" i="7"/>
  <c r="AA44" i="7"/>
  <c r="Z44" i="7"/>
  <c r="Y44" i="7"/>
  <c r="X44" i="7"/>
  <c r="W44" i="7"/>
  <c r="V44" i="7"/>
  <c r="AO44" i="7" s="1"/>
  <c r="U44" i="7"/>
  <c r="T44" i="7"/>
  <c r="S44" i="7"/>
  <c r="R44" i="7"/>
  <c r="Q44" i="7"/>
  <c r="P44" i="7"/>
  <c r="O44" i="7"/>
  <c r="N44" i="7"/>
  <c r="M44" i="7"/>
  <c r="L44" i="7"/>
  <c r="K44" i="7"/>
  <c r="J44" i="7"/>
  <c r="I44" i="7"/>
  <c r="H44" i="7"/>
  <c r="G44" i="7"/>
  <c r="F44" i="7"/>
  <c r="E44" i="7"/>
  <c r="D44" i="7"/>
  <c r="C44" i="7"/>
  <c r="B44" i="7"/>
  <c r="A44" i="7"/>
  <c r="AJ43" i="7"/>
  <c r="AI43" i="7"/>
  <c r="AH43" i="7"/>
  <c r="AG43" i="7"/>
  <c r="AF43" i="7"/>
  <c r="AE43" i="7"/>
  <c r="AD43" i="7"/>
  <c r="AQ43" i="7" s="1"/>
  <c r="AC43" i="7"/>
  <c r="AN43" i="7" s="1"/>
  <c r="AB43" i="7"/>
  <c r="AA43" i="7"/>
  <c r="Z43" i="7"/>
  <c r="Y43" i="7"/>
  <c r="X43" i="7"/>
  <c r="W43" i="7"/>
  <c r="V43" i="7"/>
  <c r="U43" i="7"/>
  <c r="T43" i="7"/>
  <c r="S43" i="7"/>
  <c r="R43" i="7"/>
  <c r="Q43" i="7"/>
  <c r="P43" i="7"/>
  <c r="O43" i="7"/>
  <c r="N43" i="7"/>
  <c r="M43" i="7"/>
  <c r="L43" i="7"/>
  <c r="K43" i="7"/>
  <c r="J43" i="7"/>
  <c r="I43" i="7"/>
  <c r="H43" i="7"/>
  <c r="G43" i="7"/>
  <c r="F43" i="7"/>
  <c r="E43" i="7"/>
  <c r="D43" i="7"/>
  <c r="C43" i="7"/>
  <c r="B43" i="7"/>
  <c r="A43" i="7"/>
  <c r="AJ42" i="7"/>
  <c r="AI42" i="7"/>
  <c r="AH42" i="7"/>
  <c r="AG42" i="7"/>
  <c r="AF42" i="7"/>
  <c r="AE42" i="7"/>
  <c r="AD42" i="7"/>
  <c r="AQ42" i="7" s="1"/>
  <c r="AC42" i="7"/>
  <c r="AN42" i="7" s="1"/>
  <c r="AB42" i="7"/>
  <c r="AA42" i="7"/>
  <c r="Z42" i="7"/>
  <c r="Y42" i="7"/>
  <c r="X42" i="7"/>
  <c r="W42" i="7"/>
  <c r="V42" i="7"/>
  <c r="U42" i="7"/>
  <c r="T42" i="7"/>
  <c r="S42" i="7"/>
  <c r="R42" i="7"/>
  <c r="Q42" i="7"/>
  <c r="P42" i="7"/>
  <c r="O42" i="7"/>
  <c r="N42" i="7"/>
  <c r="M42" i="7"/>
  <c r="L42" i="7"/>
  <c r="K42" i="7"/>
  <c r="J42" i="7"/>
  <c r="I42" i="7"/>
  <c r="H42" i="7"/>
  <c r="G42" i="7"/>
  <c r="F42" i="7"/>
  <c r="E42" i="7"/>
  <c r="D42" i="7"/>
  <c r="C42" i="7"/>
  <c r="B42" i="7"/>
  <c r="A42" i="7"/>
  <c r="AJ41" i="7"/>
  <c r="AI41" i="7"/>
  <c r="AH41" i="7"/>
  <c r="AG41" i="7"/>
  <c r="AF41" i="7"/>
  <c r="AE41" i="7"/>
  <c r="AD41" i="7"/>
  <c r="AQ41" i="7" s="1"/>
  <c r="AC41" i="7"/>
  <c r="AN41" i="7" s="1"/>
  <c r="AB41" i="7"/>
  <c r="AA41" i="7"/>
  <c r="Z41" i="7"/>
  <c r="Y41" i="7"/>
  <c r="X41" i="7"/>
  <c r="W41" i="7"/>
  <c r="V41" i="7"/>
  <c r="AO41" i="7" s="1"/>
  <c r="U41" i="7"/>
  <c r="T41" i="7"/>
  <c r="S41" i="7"/>
  <c r="R41" i="7"/>
  <c r="Q41" i="7"/>
  <c r="P41" i="7"/>
  <c r="O41" i="7"/>
  <c r="N41" i="7"/>
  <c r="M41" i="7"/>
  <c r="L41" i="7"/>
  <c r="K41" i="7"/>
  <c r="J41" i="7"/>
  <c r="I41" i="7"/>
  <c r="H41" i="7"/>
  <c r="G41" i="7"/>
  <c r="F41" i="7"/>
  <c r="E41" i="7"/>
  <c r="D41" i="7"/>
  <c r="C41" i="7"/>
  <c r="B41" i="7"/>
  <c r="A41" i="7"/>
  <c r="AJ40" i="7"/>
  <c r="AI40" i="7"/>
  <c r="AH40" i="7"/>
  <c r="AG40" i="7"/>
  <c r="AF40" i="7"/>
  <c r="AE40" i="7"/>
  <c r="AD40" i="7"/>
  <c r="AQ40" i="7" s="1"/>
  <c r="AC40" i="7"/>
  <c r="AN40" i="7" s="1"/>
  <c r="AB40" i="7"/>
  <c r="AA40" i="7"/>
  <c r="Z40" i="7"/>
  <c r="Y40" i="7"/>
  <c r="X40" i="7"/>
  <c r="W40" i="7"/>
  <c r="V40" i="7"/>
  <c r="AO40" i="7" s="1"/>
  <c r="U40" i="7"/>
  <c r="T40" i="7"/>
  <c r="S40" i="7"/>
  <c r="R40" i="7"/>
  <c r="Q40" i="7"/>
  <c r="P40" i="7"/>
  <c r="O40" i="7"/>
  <c r="N40" i="7"/>
  <c r="M40" i="7"/>
  <c r="L40" i="7"/>
  <c r="K40" i="7"/>
  <c r="J40" i="7"/>
  <c r="I40" i="7"/>
  <c r="H40" i="7"/>
  <c r="G40" i="7"/>
  <c r="F40" i="7"/>
  <c r="E40" i="7"/>
  <c r="D40" i="7"/>
  <c r="C40" i="7"/>
  <c r="B40" i="7"/>
  <c r="A40" i="7"/>
  <c r="AJ39" i="7"/>
  <c r="AI39" i="7"/>
  <c r="AH39" i="7"/>
  <c r="AG39" i="7"/>
  <c r="AF39" i="7"/>
  <c r="AE39" i="7"/>
  <c r="AD39" i="7"/>
  <c r="AQ39" i="7" s="1"/>
  <c r="AC39" i="7"/>
  <c r="AN39" i="7" s="1"/>
  <c r="AB39" i="7"/>
  <c r="AA39" i="7"/>
  <c r="Z39" i="7"/>
  <c r="Y39" i="7"/>
  <c r="X39" i="7"/>
  <c r="W39" i="7"/>
  <c r="V39" i="7"/>
  <c r="U39" i="7"/>
  <c r="T39" i="7"/>
  <c r="S39" i="7"/>
  <c r="R39" i="7"/>
  <c r="Q39" i="7"/>
  <c r="P39" i="7"/>
  <c r="O39" i="7"/>
  <c r="N39" i="7"/>
  <c r="M39" i="7"/>
  <c r="L39" i="7"/>
  <c r="K39" i="7"/>
  <c r="J39" i="7"/>
  <c r="I39" i="7"/>
  <c r="H39" i="7"/>
  <c r="G39" i="7"/>
  <c r="F39" i="7"/>
  <c r="E39" i="7"/>
  <c r="D39" i="7"/>
  <c r="C39" i="7"/>
  <c r="B39" i="7"/>
  <c r="A39" i="7"/>
  <c r="AJ38" i="7"/>
  <c r="AI38" i="7"/>
  <c r="AH38" i="7"/>
  <c r="AG38" i="7"/>
  <c r="AF38" i="7"/>
  <c r="AE38" i="7"/>
  <c r="AD38" i="7"/>
  <c r="AQ38" i="7" s="1"/>
  <c r="AC38" i="7"/>
  <c r="AN38" i="7" s="1"/>
  <c r="AB38" i="7"/>
  <c r="AA38" i="7"/>
  <c r="Z38" i="7"/>
  <c r="Y38" i="7"/>
  <c r="X38" i="7"/>
  <c r="W38" i="7"/>
  <c r="V38" i="7"/>
  <c r="AO38" i="7" s="1"/>
  <c r="U38" i="7"/>
  <c r="T38" i="7"/>
  <c r="S38" i="7"/>
  <c r="R38" i="7"/>
  <c r="Q38" i="7"/>
  <c r="P38" i="7"/>
  <c r="O38" i="7"/>
  <c r="N38" i="7"/>
  <c r="M38" i="7"/>
  <c r="L38" i="7"/>
  <c r="K38" i="7"/>
  <c r="J38" i="7"/>
  <c r="I38" i="7"/>
  <c r="H38" i="7"/>
  <c r="G38" i="7"/>
  <c r="F38" i="7"/>
  <c r="E38" i="7"/>
  <c r="D38" i="7"/>
  <c r="C38" i="7"/>
  <c r="B38" i="7"/>
  <c r="A38" i="7"/>
  <c r="AJ37" i="7"/>
  <c r="AI37" i="7"/>
  <c r="AH37" i="7"/>
  <c r="AG37" i="7"/>
  <c r="AF37" i="7"/>
  <c r="AE37" i="7"/>
  <c r="AD37" i="7"/>
  <c r="AQ37" i="7" s="1"/>
  <c r="AC37" i="7"/>
  <c r="AN37" i="7" s="1"/>
  <c r="AB37" i="7"/>
  <c r="AA37" i="7"/>
  <c r="Z37" i="7"/>
  <c r="Y37" i="7"/>
  <c r="X37" i="7"/>
  <c r="W37" i="7"/>
  <c r="V37" i="7"/>
  <c r="U37" i="7"/>
  <c r="T37" i="7"/>
  <c r="S37" i="7"/>
  <c r="R37" i="7"/>
  <c r="Q37" i="7"/>
  <c r="P37" i="7"/>
  <c r="O37" i="7"/>
  <c r="N37" i="7"/>
  <c r="M37" i="7"/>
  <c r="L37" i="7"/>
  <c r="K37" i="7"/>
  <c r="J37" i="7"/>
  <c r="I37" i="7"/>
  <c r="H37" i="7"/>
  <c r="G37" i="7"/>
  <c r="F37" i="7"/>
  <c r="E37" i="7"/>
  <c r="D37" i="7"/>
  <c r="C37" i="7"/>
  <c r="B37" i="7"/>
  <c r="A37" i="7"/>
  <c r="AJ36" i="7"/>
  <c r="AI36" i="7"/>
  <c r="AH36" i="7"/>
  <c r="AG36" i="7"/>
  <c r="AF36" i="7"/>
  <c r="AE36" i="7"/>
  <c r="AD36" i="7"/>
  <c r="AQ36" i="7" s="1"/>
  <c r="AC36" i="7"/>
  <c r="AN36" i="7" s="1"/>
  <c r="AB36" i="7"/>
  <c r="AA36" i="7"/>
  <c r="Z36" i="7"/>
  <c r="Y36" i="7"/>
  <c r="X36" i="7"/>
  <c r="W36" i="7"/>
  <c r="V36" i="7"/>
  <c r="AO36" i="7" s="1"/>
  <c r="U36" i="7"/>
  <c r="T36" i="7"/>
  <c r="S36" i="7"/>
  <c r="R36" i="7"/>
  <c r="Q36" i="7"/>
  <c r="P36" i="7"/>
  <c r="O36" i="7"/>
  <c r="N36" i="7"/>
  <c r="M36" i="7"/>
  <c r="L36" i="7"/>
  <c r="K36" i="7"/>
  <c r="J36" i="7"/>
  <c r="I36" i="7"/>
  <c r="H36" i="7"/>
  <c r="G36" i="7"/>
  <c r="F36" i="7"/>
  <c r="E36" i="7"/>
  <c r="D36" i="7"/>
  <c r="C36" i="7"/>
  <c r="B36" i="7"/>
  <c r="A36" i="7"/>
  <c r="AJ35" i="7"/>
  <c r="AI35" i="7"/>
  <c r="AH35" i="7"/>
  <c r="AG35" i="7"/>
  <c r="AF35" i="7"/>
  <c r="AE35" i="7"/>
  <c r="AD35" i="7"/>
  <c r="AQ35" i="7" s="1"/>
  <c r="AC35" i="7"/>
  <c r="AN35" i="7" s="1"/>
  <c r="AB35" i="7"/>
  <c r="AA35" i="7"/>
  <c r="Z35" i="7"/>
  <c r="Y35" i="7"/>
  <c r="X35" i="7"/>
  <c r="W35" i="7"/>
  <c r="V35" i="7"/>
  <c r="U35" i="7"/>
  <c r="T35" i="7"/>
  <c r="S35" i="7"/>
  <c r="R35" i="7"/>
  <c r="Q35" i="7"/>
  <c r="P35" i="7"/>
  <c r="O35" i="7"/>
  <c r="N35" i="7"/>
  <c r="M35" i="7"/>
  <c r="L35" i="7"/>
  <c r="K35" i="7"/>
  <c r="J35" i="7"/>
  <c r="I35" i="7"/>
  <c r="H35" i="7"/>
  <c r="G35" i="7"/>
  <c r="F35" i="7"/>
  <c r="E35" i="7"/>
  <c r="D35" i="7"/>
  <c r="C35" i="7"/>
  <c r="B35" i="7"/>
  <c r="A35" i="7"/>
  <c r="AJ34" i="7"/>
  <c r="AI34" i="7"/>
  <c r="AH34" i="7"/>
  <c r="AG34" i="7"/>
  <c r="AF34" i="7"/>
  <c r="AE34" i="7"/>
  <c r="AD34" i="7"/>
  <c r="AQ34" i="7" s="1"/>
  <c r="AC34" i="7"/>
  <c r="AN34" i="7" s="1"/>
  <c r="AB34" i="7"/>
  <c r="AA34" i="7"/>
  <c r="Z34" i="7"/>
  <c r="Y34" i="7"/>
  <c r="X34" i="7"/>
  <c r="W34" i="7"/>
  <c r="V34" i="7"/>
  <c r="U34" i="7"/>
  <c r="T34" i="7"/>
  <c r="S34" i="7"/>
  <c r="R34" i="7"/>
  <c r="Q34" i="7"/>
  <c r="P34" i="7"/>
  <c r="O34" i="7"/>
  <c r="N34" i="7"/>
  <c r="M34" i="7"/>
  <c r="L34" i="7"/>
  <c r="K34" i="7"/>
  <c r="J34" i="7"/>
  <c r="I34" i="7"/>
  <c r="H34" i="7"/>
  <c r="G34" i="7"/>
  <c r="F34" i="7"/>
  <c r="E34" i="7"/>
  <c r="D34" i="7"/>
  <c r="C34" i="7"/>
  <c r="B34" i="7"/>
  <c r="A34" i="7"/>
  <c r="AJ33" i="7"/>
  <c r="AI33" i="7"/>
  <c r="AH33" i="7"/>
  <c r="AG33" i="7"/>
  <c r="AF33" i="7"/>
  <c r="AE33" i="7"/>
  <c r="AD33" i="7"/>
  <c r="AQ33" i="7" s="1"/>
  <c r="AC33" i="7"/>
  <c r="AN33" i="7" s="1"/>
  <c r="AB33" i="7"/>
  <c r="AA33" i="7"/>
  <c r="Z33" i="7"/>
  <c r="Y33" i="7"/>
  <c r="X33" i="7"/>
  <c r="W33" i="7"/>
  <c r="V33" i="7"/>
  <c r="AO33" i="7" s="1"/>
  <c r="U33" i="7"/>
  <c r="T33" i="7"/>
  <c r="S33" i="7"/>
  <c r="R33" i="7"/>
  <c r="Q33" i="7"/>
  <c r="P33" i="7"/>
  <c r="O33" i="7"/>
  <c r="N33" i="7"/>
  <c r="M33" i="7"/>
  <c r="L33" i="7"/>
  <c r="K33" i="7"/>
  <c r="J33" i="7"/>
  <c r="I33" i="7"/>
  <c r="H33" i="7"/>
  <c r="G33" i="7"/>
  <c r="F33" i="7"/>
  <c r="E33" i="7"/>
  <c r="D33" i="7"/>
  <c r="C33" i="7"/>
  <c r="B33" i="7"/>
  <c r="A33" i="7"/>
  <c r="AJ32" i="7"/>
  <c r="AI32" i="7"/>
  <c r="AH32" i="7"/>
  <c r="AG32" i="7"/>
  <c r="AF32" i="7"/>
  <c r="AE32" i="7"/>
  <c r="AD32" i="7"/>
  <c r="AQ32" i="7" s="1"/>
  <c r="AC32" i="7"/>
  <c r="AN32" i="7" s="1"/>
  <c r="AB32" i="7"/>
  <c r="AA32" i="7"/>
  <c r="Z32" i="7"/>
  <c r="Y32" i="7"/>
  <c r="X32" i="7"/>
  <c r="W32" i="7"/>
  <c r="V32" i="7"/>
  <c r="AO32" i="7" s="1"/>
  <c r="U32" i="7"/>
  <c r="T32" i="7"/>
  <c r="S32" i="7"/>
  <c r="R32" i="7"/>
  <c r="Q32" i="7"/>
  <c r="P32" i="7"/>
  <c r="O32" i="7"/>
  <c r="N32" i="7"/>
  <c r="M32" i="7"/>
  <c r="L32" i="7"/>
  <c r="K32" i="7"/>
  <c r="J32" i="7"/>
  <c r="I32" i="7"/>
  <c r="H32" i="7"/>
  <c r="G32" i="7"/>
  <c r="F32" i="7"/>
  <c r="E32" i="7"/>
  <c r="D32" i="7"/>
  <c r="C32" i="7"/>
  <c r="B32" i="7"/>
  <c r="A32" i="7"/>
  <c r="AJ31" i="7"/>
  <c r="AI31" i="7"/>
  <c r="AH31" i="7"/>
  <c r="AG31" i="7"/>
  <c r="AF31" i="7"/>
  <c r="AE31" i="7"/>
  <c r="AD31" i="7"/>
  <c r="AQ31" i="7" s="1"/>
  <c r="AC31" i="7"/>
  <c r="AN31" i="7" s="1"/>
  <c r="AB31" i="7"/>
  <c r="AA31" i="7"/>
  <c r="Z31" i="7"/>
  <c r="Y31" i="7"/>
  <c r="X31" i="7"/>
  <c r="W31" i="7"/>
  <c r="V31" i="7"/>
  <c r="AO31" i="7" s="1"/>
  <c r="U31" i="7"/>
  <c r="T31" i="7"/>
  <c r="S31" i="7"/>
  <c r="R31" i="7"/>
  <c r="Q31" i="7"/>
  <c r="P31" i="7"/>
  <c r="O31" i="7"/>
  <c r="N31" i="7"/>
  <c r="M31" i="7"/>
  <c r="L31" i="7"/>
  <c r="K31" i="7"/>
  <c r="J31" i="7"/>
  <c r="I31" i="7"/>
  <c r="H31" i="7"/>
  <c r="G31" i="7"/>
  <c r="F31" i="7"/>
  <c r="E31" i="7"/>
  <c r="D31" i="7"/>
  <c r="C31" i="7"/>
  <c r="B31" i="7"/>
  <c r="A31" i="7"/>
  <c r="AJ30" i="7"/>
  <c r="AI30" i="7"/>
  <c r="AH30" i="7"/>
  <c r="AG30" i="7"/>
  <c r="AF30" i="7"/>
  <c r="AE30" i="7"/>
  <c r="AD30" i="7"/>
  <c r="AQ30" i="7" s="1"/>
  <c r="AC30" i="7"/>
  <c r="AN30" i="7" s="1"/>
  <c r="AB30" i="7"/>
  <c r="AA30" i="7"/>
  <c r="Z30" i="7"/>
  <c r="Y30" i="7"/>
  <c r="X30" i="7"/>
  <c r="W30" i="7"/>
  <c r="V30" i="7"/>
  <c r="AO30" i="7" s="1"/>
  <c r="U30" i="7"/>
  <c r="T30" i="7"/>
  <c r="S30" i="7"/>
  <c r="R30" i="7"/>
  <c r="Q30" i="7"/>
  <c r="P30" i="7"/>
  <c r="O30" i="7"/>
  <c r="N30" i="7"/>
  <c r="M30" i="7"/>
  <c r="L30" i="7"/>
  <c r="K30" i="7"/>
  <c r="J30" i="7"/>
  <c r="I30" i="7"/>
  <c r="H30" i="7"/>
  <c r="G30" i="7"/>
  <c r="F30" i="7"/>
  <c r="E30" i="7"/>
  <c r="D30" i="7"/>
  <c r="C30" i="7"/>
  <c r="B30" i="7"/>
  <c r="A30" i="7"/>
  <c r="AJ29" i="7"/>
  <c r="AI29" i="7"/>
  <c r="AH29" i="7"/>
  <c r="AG29" i="7"/>
  <c r="AF29" i="7"/>
  <c r="AE29" i="7"/>
  <c r="AD29" i="7"/>
  <c r="AQ29" i="7" s="1"/>
  <c r="AC29" i="7"/>
  <c r="AN29" i="7" s="1"/>
  <c r="AB29" i="7"/>
  <c r="AA29" i="7"/>
  <c r="Z29" i="7"/>
  <c r="Y29" i="7"/>
  <c r="X29" i="7"/>
  <c r="W29" i="7"/>
  <c r="V29" i="7"/>
  <c r="AO29" i="7" s="1"/>
  <c r="U29" i="7"/>
  <c r="T29" i="7"/>
  <c r="S29" i="7"/>
  <c r="R29" i="7"/>
  <c r="Q29" i="7"/>
  <c r="P29" i="7"/>
  <c r="O29" i="7"/>
  <c r="N29" i="7"/>
  <c r="M29" i="7"/>
  <c r="L29" i="7"/>
  <c r="K29" i="7"/>
  <c r="J29" i="7"/>
  <c r="I29" i="7"/>
  <c r="H29" i="7"/>
  <c r="G29" i="7"/>
  <c r="F29" i="7"/>
  <c r="E29" i="7"/>
  <c r="D29" i="7"/>
  <c r="C29" i="7"/>
  <c r="B29" i="7"/>
  <c r="A29" i="7"/>
  <c r="AJ28" i="7"/>
  <c r="AI28" i="7"/>
  <c r="AH28" i="7"/>
  <c r="AG28" i="7"/>
  <c r="AF28" i="7"/>
  <c r="AE28" i="7"/>
  <c r="AD28" i="7"/>
  <c r="AQ28" i="7" s="1"/>
  <c r="AC28" i="7"/>
  <c r="AN28" i="7" s="1"/>
  <c r="AB28" i="7"/>
  <c r="AA28" i="7"/>
  <c r="Z28" i="7"/>
  <c r="Y28" i="7"/>
  <c r="X28" i="7"/>
  <c r="W28" i="7"/>
  <c r="V28" i="7"/>
  <c r="U28" i="7"/>
  <c r="T28" i="7"/>
  <c r="S28" i="7"/>
  <c r="R28" i="7"/>
  <c r="Q28" i="7"/>
  <c r="P28" i="7"/>
  <c r="O28" i="7"/>
  <c r="N28" i="7"/>
  <c r="M28" i="7"/>
  <c r="L28" i="7"/>
  <c r="K28" i="7"/>
  <c r="J28" i="7"/>
  <c r="I28" i="7"/>
  <c r="H28" i="7"/>
  <c r="G28" i="7"/>
  <c r="F28" i="7"/>
  <c r="E28" i="7"/>
  <c r="D28" i="7"/>
  <c r="C28" i="7"/>
  <c r="B28" i="7"/>
  <c r="A28" i="7"/>
  <c r="AJ27" i="7"/>
  <c r="AI27" i="7"/>
  <c r="AH27" i="7"/>
  <c r="AG27" i="7"/>
  <c r="AF27" i="7"/>
  <c r="AE27" i="7"/>
  <c r="AD27" i="7"/>
  <c r="AQ27" i="7" s="1"/>
  <c r="AC27" i="7"/>
  <c r="AN27" i="7" s="1"/>
  <c r="AB27" i="7"/>
  <c r="AA27" i="7"/>
  <c r="Z27" i="7"/>
  <c r="Y27" i="7"/>
  <c r="X27" i="7"/>
  <c r="W27" i="7"/>
  <c r="V27" i="7"/>
  <c r="U27" i="7"/>
  <c r="T27" i="7"/>
  <c r="S27" i="7"/>
  <c r="R27" i="7"/>
  <c r="Q27" i="7"/>
  <c r="P27" i="7"/>
  <c r="O27" i="7"/>
  <c r="N27" i="7"/>
  <c r="M27" i="7"/>
  <c r="L27" i="7"/>
  <c r="K27" i="7"/>
  <c r="J27" i="7"/>
  <c r="I27" i="7"/>
  <c r="H27" i="7"/>
  <c r="G27" i="7"/>
  <c r="F27" i="7"/>
  <c r="E27" i="7"/>
  <c r="D27" i="7"/>
  <c r="C27" i="7"/>
  <c r="B27" i="7"/>
  <c r="A27" i="7"/>
  <c r="AJ26" i="7"/>
  <c r="AI26" i="7"/>
  <c r="AH26" i="7"/>
  <c r="AG26" i="7"/>
  <c r="AF26" i="7"/>
  <c r="AE26" i="7"/>
  <c r="AD26" i="7"/>
  <c r="AQ26" i="7" s="1"/>
  <c r="AC26" i="7"/>
  <c r="AN26" i="7" s="1"/>
  <c r="AB26" i="7"/>
  <c r="AA26" i="7"/>
  <c r="Z26" i="7"/>
  <c r="Y26" i="7"/>
  <c r="X26" i="7"/>
  <c r="W26" i="7"/>
  <c r="V26" i="7"/>
  <c r="U26" i="7"/>
  <c r="T26" i="7"/>
  <c r="S26" i="7"/>
  <c r="R26" i="7"/>
  <c r="Q26" i="7"/>
  <c r="P26" i="7"/>
  <c r="O26" i="7"/>
  <c r="N26" i="7"/>
  <c r="M26" i="7"/>
  <c r="L26" i="7"/>
  <c r="K26" i="7"/>
  <c r="J26" i="7"/>
  <c r="I26" i="7"/>
  <c r="H26" i="7"/>
  <c r="G26" i="7"/>
  <c r="F26" i="7"/>
  <c r="E26" i="7"/>
  <c r="D26" i="7"/>
  <c r="C26" i="7"/>
  <c r="B26" i="7"/>
  <c r="A26" i="7"/>
  <c r="AJ25" i="7"/>
  <c r="AI25" i="7"/>
  <c r="AH25" i="7"/>
  <c r="AG25" i="7"/>
  <c r="AF25" i="7"/>
  <c r="AE25" i="7"/>
  <c r="AD25" i="7"/>
  <c r="AQ25" i="7" s="1"/>
  <c r="AC25" i="7"/>
  <c r="AN25" i="7" s="1"/>
  <c r="AB25" i="7"/>
  <c r="AA25" i="7"/>
  <c r="Z25" i="7"/>
  <c r="Y25" i="7"/>
  <c r="X25" i="7"/>
  <c r="W25" i="7"/>
  <c r="V25" i="7"/>
  <c r="AO25" i="7" s="1"/>
  <c r="U25" i="7"/>
  <c r="T25" i="7"/>
  <c r="S25" i="7"/>
  <c r="R25" i="7"/>
  <c r="Q25" i="7"/>
  <c r="P25" i="7"/>
  <c r="O25" i="7"/>
  <c r="N25" i="7"/>
  <c r="M25" i="7"/>
  <c r="L25" i="7"/>
  <c r="K25" i="7"/>
  <c r="J25" i="7"/>
  <c r="I25" i="7"/>
  <c r="H25" i="7"/>
  <c r="G25" i="7"/>
  <c r="F25" i="7"/>
  <c r="E25" i="7"/>
  <c r="D25" i="7"/>
  <c r="C25" i="7"/>
  <c r="B25" i="7"/>
  <c r="A25" i="7"/>
  <c r="AJ24" i="7"/>
  <c r="AI24" i="7"/>
  <c r="AH24" i="7"/>
  <c r="AG24" i="7"/>
  <c r="AF24" i="7"/>
  <c r="AE24" i="7"/>
  <c r="AD24" i="7"/>
  <c r="AQ24" i="7" s="1"/>
  <c r="AC24" i="7"/>
  <c r="AN24" i="7" s="1"/>
  <c r="AB24" i="7"/>
  <c r="AA24" i="7"/>
  <c r="Z24" i="7"/>
  <c r="Y24" i="7"/>
  <c r="X24" i="7"/>
  <c r="W24" i="7"/>
  <c r="V24" i="7"/>
  <c r="AO24" i="7" s="1"/>
  <c r="U24" i="7"/>
  <c r="T24" i="7"/>
  <c r="S24" i="7"/>
  <c r="R24" i="7"/>
  <c r="Q24" i="7"/>
  <c r="P24" i="7"/>
  <c r="O24" i="7"/>
  <c r="N24" i="7"/>
  <c r="M24" i="7"/>
  <c r="L24" i="7"/>
  <c r="K24" i="7"/>
  <c r="J24" i="7"/>
  <c r="I24" i="7"/>
  <c r="H24" i="7"/>
  <c r="G24" i="7"/>
  <c r="F24" i="7"/>
  <c r="E24" i="7"/>
  <c r="D24" i="7"/>
  <c r="C24" i="7"/>
  <c r="B24" i="7"/>
  <c r="A24" i="7"/>
  <c r="AJ23" i="7"/>
  <c r="AI23" i="7"/>
  <c r="AH23" i="7"/>
  <c r="AG23" i="7"/>
  <c r="AF23" i="7"/>
  <c r="AE23" i="7"/>
  <c r="AD23" i="7"/>
  <c r="AQ23" i="7" s="1"/>
  <c r="AC23" i="7"/>
  <c r="AN23" i="7" s="1"/>
  <c r="AB23" i="7"/>
  <c r="AA23" i="7"/>
  <c r="Z23" i="7"/>
  <c r="Y23" i="7"/>
  <c r="X23" i="7"/>
  <c r="W23" i="7"/>
  <c r="V23" i="7"/>
  <c r="U23" i="7"/>
  <c r="T23" i="7"/>
  <c r="S23" i="7"/>
  <c r="R23" i="7"/>
  <c r="Q23" i="7"/>
  <c r="P23" i="7"/>
  <c r="O23" i="7"/>
  <c r="N23" i="7"/>
  <c r="M23" i="7"/>
  <c r="L23" i="7"/>
  <c r="K23" i="7"/>
  <c r="J23" i="7"/>
  <c r="I23" i="7"/>
  <c r="H23" i="7"/>
  <c r="G23" i="7"/>
  <c r="F23" i="7"/>
  <c r="E23" i="7"/>
  <c r="D23" i="7"/>
  <c r="C23" i="7"/>
  <c r="B23" i="7"/>
  <c r="A23" i="7"/>
  <c r="AJ22" i="7"/>
  <c r="AI22" i="7"/>
  <c r="AH22" i="7"/>
  <c r="AG22" i="7"/>
  <c r="AF22" i="7"/>
  <c r="AE22" i="7"/>
  <c r="AD22" i="7"/>
  <c r="AQ22" i="7" s="1"/>
  <c r="AC22" i="7"/>
  <c r="AN22" i="7" s="1"/>
  <c r="AB22" i="7"/>
  <c r="AA22" i="7"/>
  <c r="Z22" i="7"/>
  <c r="Y22" i="7"/>
  <c r="X22" i="7"/>
  <c r="W22" i="7"/>
  <c r="V22" i="7"/>
  <c r="AO22" i="7" s="1"/>
  <c r="U22" i="7"/>
  <c r="T22" i="7"/>
  <c r="S22" i="7"/>
  <c r="R22" i="7"/>
  <c r="Q22" i="7"/>
  <c r="P22" i="7"/>
  <c r="O22" i="7"/>
  <c r="N22" i="7"/>
  <c r="M22" i="7"/>
  <c r="L22" i="7"/>
  <c r="K22" i="7"/>
  <c r="J22" i="7"/>
  <c r="I22" i="7"/>
  <c r="H22" i="7"/>
  <c r="G22" i="7"/>
  <c r="F22" i="7"/>
  <c r="E22" i="7"/>
  <c r="D22" i="7"/>
  <c r="C22" i="7"/>
  <c r="B22" i="7"/>
  <c r="A22" i="7"/>
  <c r="AJ21" i="7"/>
  <c r="AI21" i="7"/>
  <c r="AH21" i="7"/>
  <c r="AG21" i="7"/>
  <c r="AF21" i="7"/>
  <c r="AE21" i="7"/>
  <c r="AD21" i="7"/>
  <c r="AQ21" i="7" s="1"/>
  <c r="AC21" i="7"/>
  <c r="AN21" i="7" s="1"/>
  <c r="AB21" i="7"/>
  <c r="AA21" i="7"/>
  <c r="Z21" i="7"/>
  <c r="Y21" i="7"/>
  <c r="X21" i="7"/>
  <c r="W21" i="7"/>
  <c r="V21" i="7"/>
  <c r="U21" i="7"/>
  <c r="T21" i="7"/>
  <c r="S21" i="7"/>
  <c r="R21" i="7"/>
  <c r="Q21" i="7"/>
  <c r="P21" i="7"/>
  <c r="O21" i="7"/>
  <c r="N21" i="7"/>
  <c r="M21" i="7"/>
  <c r="L21" i="7"/>
  <c r="K21" i="7"/>
  <c r="J21" i="7"/>
  <c r="I21" i="7"/>
  <c r="H21" i="7"/>
  <c r="G21" i="7"/>
  <c r="F21" i="7"/>
  <c r="E21" i="7"/>
  <c r="D21" i="7"/>
  <c r="C21" i="7"/>
  <c r="B21" i="7"/>
  <c r="A21" i="7"/>
  <c r="AJ20" i="7"/>
  <c r="AI20" i="7"/>
  <c r="AH20" i="7"/>
  <c r="AG20" i="7"/>
  <c r="AF20" i="7"/>
  <c r="AE20" i="7"/>
  <c r="AD20" i="7"/>
  <c r="AQ20" i="7" s="1"/>
  <c r="AC20" i="7"/>
  <c r="AN20" i="7" s="1"/>
  <c r="AB20" i="7"/>
  <c r="AA20" i="7"/>
  <c r="Z20" i="7"/>
  <c r="Y20" i="7"/>
  <c r="X20" i="7"/>
  <c r="W20" i="7"/>
  <c r="V20" i="7"/>
  <c r="AO20" i="7" s="1"/>
  <c r="U20" i="7"/>
  <c r="T20" i="7"/>
  <c r="S20" i="7"/>
  <c r="R20" i="7"/>
  <c r="Q20" i="7"/>
  <c r="P20" i="7"/>
  <c r="O20" i="7"/>
  <c r="N20" i="7"/>
  <c r="M20" i="7"/>
  <c r="L20" i="7"/>
  <c r="K20" i="7"/>
  <c r="J20" i="7"/>
  <c r="I20" i="7"/>
  <c r="H20" i="7"/>
  <c r="G20" i="7"/>
  <c r="F20" i="7"/>
  <c r="E20" i="7"/>
  <c r="D20" i="7"/>
  <c r="C20" i="7"/>
  <c r="B20" i="7"/>
  <c r="A20" i="7"/>
  <c r="AJ19" i="7"/>
  <c r="AI19" i="7"/>
  <c r="AH19" i="7"/>
  <c r="AG19" i="7"/>
  <c r="AF19" i="7"/>
  <c r="AE19" i="7"/>
  <c r="AD19" i="7"/>
  <c r="AQ19" i="7" s="1"/>
  <c r="AC19" i="7"/>
  <c r="AN19" i="7" s="1"/>
  <c r="AB19" i="7"/>
  <c r="AA19" i="7"/>
  <c r="Z19" i="7"/>
  <c r="Y19" i="7"/>
  <c r="X19" i="7"/>
  <c r="W19" i="7"/>
  <c r="V19" i="7"/>
  <c r="AO19" i="7" s="1"/>
  <c r="U19" i="7"/>
  <c r="T19" i="7"/>
  <c r="S19" i="7"/>
  <c r="R19" i="7"/>
  <c r="Q19" i="7"/>
  <c r="P19" i="7"/>
  <c r="O19" i="7"/>
  <c r="N19" i="7"/>
  <c r="M19" i="7"/>
  <c r="L19" i="7"/>
  <c r="K19" i="7"/>
  <c r="J19" i="7"/>
  <c r="I19" i="7"/>
  <c r="H19" i="7"/>
  <c r="G19" i="7"/>
  <c r="F19" i="7"/>
  <c r="E19" i="7"/>
  <c r="D19" i="7"/>
  <c r="C19" i="7"/>
  <c r="B19" i="7"/>
  <c r="A19" i="7"/>
  <c r="AJ18" i="7"/>
  <c r="AI18" i="7"/>
  <c r="AH18" i="7"/>
  <c r="AG18" i="7"/>
  <c r="AF18" i="7"/>
  <c r="AE18" i="7"/>
  <c r="AD18" i="7"/>
  <c r="AQ18" i="7" s="1"/>
  <c r="AC18" i="7"/>
  <c r="AN18" i="7" s="1"/>
  <c r="AB18" i="7"/>
  <c r="AA18" i="7"/>
  <c r="Z18" i="7"/>
  <c r="Y18" i="7"/>
  <c r="X18" i="7"/>
  <c r="W18" i="7"/>
  <c r="V18" i="7"/>
  <c r="U18" i="7"/>
  <c r="T18" i="7"/>
  <c r="S18" i="7"/>
  <c r="R18" i="7"/>
  <c r="Q18" i="7"/>
  <c r="P18" i="7"/>
  <c r="O18" i="7"/>
  <c r="N18" i="7"/>
  <c r="M18" i="7"/>
  <c r="L18" i="7"/>
  <c r="K18" i="7"/>
  <c r="J18" i="7"/>
  <c r="I18" i="7"/>
  <c r="H18" i="7"/>
  <c r="G18" i="7"/>
  <c r="F18" i="7"/>
  <c r="E18" i="7"/>
  <c r="D18" i="7"/>
  <c r="C18" i="7"/>
  <c r="B18" i="7"/>
  <c r="A18" i="7"/>
  <c r="AJ17" i="7"/>
  <c r="AI17" i="7"/>
  <c r="AH17" i="7"/>
  <c r="AG17" i="7"/>
  <c r="AF17" i="7"/>
  <c r="AE17" i="7"/>
  <c r="AD17" i="7"/>
  <c r="AQ17" i="7" s="1"/>
  <c r="AC17" i="7"/>
  <c r="AN17" i="7" s="1"/>
  <c r="AB17" i="7"/>
  <c r="AA17" i="7"/>
  <c r="Z17" i="7"/>
  <c r="Y17" i="7"/>
  <c r="X17" i="7"/>
  <c r="W17" i="7"/>
  <c r="V17" i="7"/>
  <c r="AO17" i="7" s="1"/>
  <c r="U17" i="7"/>
  <c r="T17" i="7"/>
  <c r="S17" i="7"/>
  <c r="R17" i="7"/>
  <c r="Q17" i="7"/>
  <c r="P17" i="7"/>
  <c r="O17" i="7"/>
  <c r="N17" i="7"/>
  <c r="M17" i="7"/>
  <c r="L17" i="7"/>
  <c r="K17" i="7"/>
  <c r="J17" i="7"/>
  <c r="I17" i="7"/>
  <c r="H17" i="7"/>
  <c r="G17" i="7"/>
  <c r="F17" i="7"/>
  <c r="E17" i="7"/>
  <c r="D17" i="7"/>
  <c r="C17" i="7"/>
  <c r="B17" i="7"/>
  <c r="A17" i="7"/>
  <c r="AJ16" i="7"/>
  <c r="AI16" i="7"/>
  <c r="AH16" i="7"/>
  <c r="AG16" i="7"/>
  <c r="AF16" i="7"/>
  <c r="AE16" i="7"/>
  <c r="AD16" i="7"/>
  <c r="AQ16" i="7" s="1"/>
  <c r="AC16" i="7"/>
  <c r="AN16" i="7" s="1"/>
  <c r="AB16" i="7"/>
  <c r="AA16" i="7"/>
  <c r="Z16" i="7"/>
  <c r="Y16" i="7"/>
  <c r="X16" i="7"/>
  <c r="W16" i="7"/>
  <c r="V16" i="7"/>
  <c r="U16" i="7"/>
  <c r="T16" i="7"/>
  <c r="S16" i="7"/>
  <c r="R16" i="7"/>
  <c r="Q16" i="7"/>
  <c r="P16" i="7"/>
  <c r="O16" i="7"/>
  <c r="N16" i="7"/>
  <c r="M16" i="7"/>
  <c r="L16" i="7"/>
  <c r="K16" i="7"/>
  <c r="J16" i="7"/>
  <c r="I16" i="7"/>
  <c r="H16" i="7"/>
  <c r="G16" i="7"/>
  <c r="F16" i="7"/>
  <c r="E16" i="7"/>
  <c r="D16" i="7"/>
  <c r="C16" i="7"/>
  <c r="B16" i="7"/>
  <c r="A16" i="7"/>
  <c r="AJ15" i="7"/>
  <c r="AI15" i="7"/>
  <c r="AH15" i="7"/>
  <c r="AG15" i="7"/>
  <c r="AF15" i="7"/>
  <c r="AE15" i="7"/>
  <c r="AD15" i="7"/>
  <c r="AQ15" i="7" s="1"/>
  <c r="AC15" i="7"/>
  <c r="AN15" i="7" s="1"/>
  <c r="AB15" i="7"/>
  <c r="AA15" i="7"/>
  <c r="Z15" i="7"/>
  <c r="Y15" i="7"/>
  <c r="X15" i="7"/>
  <c r="W15" i="7"/>
  <c r="V15" i="7"/>
  <c r="U15" i="7"/>
  <c r="T15" i="7"/>
  <c r="S15" i="7"/>
  <c r="R15" i="7"/>
  <c r="Q15" i="7"/>
  <c r="P15" i="7"/>
  <c r="O15" i="7"/>
  <c r="N15" i="7"/>
  <c r="M15" i="7"/>
  <c r="L15" i="7"/>
  <c r="K15" i="7"/>
  <c r="J15" i="7"/>
  <c r="I15" i="7"/>
  <c r="H15" i="7"/>
  <c r="G15" i="7"/>
  <c r="F15" i="7"/>
  <c r="E15" i="7"/>
  <c r="D15" i="7"/>
  <c r="C15" i="7"/>
  <c r="B15" i="7"/>
  <c r="A15" i="7"/>
  <c r="AJ14" i="7"/>
  <c r="AI14" i="7"/>
  <c r="AH14" i="7"/>
  <c r="AG14" i="7"/>
  <c r="AF14" i="7"/>
  <c r="AE14" i="7"/>
  <c r="AD14" i="7"/>
  <c r="AQ14" i="7" s="1"/>
  <c r="AC14" i="7"/>
  <c r="AN14" i="7" s="1"/>
  <c r="AB14" i="7"/>
  <c r="AA14" i="7"/>
  <c r="Z14" i="7"/>
  <c r="Y14" i="7"/>
  <c r="X14" i="7"/>
  <c r="W14" i="7"/>
  <c r="V14" i="7"/>
  <c r="U14" i="7"/>
  <c r="T14" i="7"/>
  <c r="S14" i="7"/>
  <c r="R14" i="7"/>
  <c r="Q14" i="7"/>
  <c r="P14" i="7"/>
  <c r="O14" i="7"/>
  <c r="N14" i="7"/>
  <c r="M14" i="7"/>
  <c r="L14" i="7"/>
  <c r="K14" i="7"/>
  <c r="J14" i="7"/>
  <c r="I14" i="7"/>
  <c r="H14" i="7"/>
  <c r="G14" i="7"/>
  <c r="F14" i="7"/>
  <c r="E14" i="7"/>
  <c r="D14" i="7"/>
  <c r="C14" i="7"/>
  <c r="B14" i="7"/>
  <c r="A14" i="7"/>
  <c r="AJ13" i="7"/>
  <c r="AI13" i="7"/>
  <c r="AH13" i="7"/>
  <c r="AG13" i="7"/>
  <c r="AF13" i="7"/>
  <c r="AE13" i="7"/>
  <c r="AD13" i="7"/>
  <c r="AQ13" i="7" s="1"/>
  <c r="AC13" i="7"/>
  <c r="AN13" i="7" s="1"/>
  <c r="AB13" i="7"/>
  <c r="AA13" i="7"/>
  <c r="Z13" i="7"/>
  <c r="Y13" i="7"/>
  <c r="X13" i="7"/>
  <c r="W13" i="7"/>
  <c r="V13" i="7"/>
  <c r="AO13" i="7" s="1"/>
  <c r="U13" i="7"/>
  <c r="T13" i="7"/>
  <c r="S13" i="7"/>
  <c r="R13" i="7"/>
  <c r="Q13" i="7"/>
  <c r="P13" i="7"/>
  <c r="O13" i="7"/>
  <c r="N13" i="7"/>
  <c r="M13" i="7"/>
  <c r="L13" i="7"/>
  <c r="K13" i="7"/>
  <c r="J13" i="7"/>
  <c r="I13" i="7"/>
  <c r="H13" i="7"/>
  <c r="G13" i="7"/>
  <c r="F13" i="7"/>
  <c r="E13" i="7"/>
  <c r="D13" i="7"/>
  <c r="C13" i="7"/>
  <c r="B13" i="7"/>
  <c r="A13" i="7"/>
  <c r="AJ12" i="7"/>
  <c r="AI12" i="7"/>
  <c r="AH12" i="7"/>
  <c r="AG12" i="7"/>
  <c r="AF12" i="7"/>
  <c r="AE12" i="7"/>
  <c r="AD12" i="7"/>
  <c r="AQ12" i="7" s="1"/>
  <c r="AC12" i="7"/>
  <c r="AN12" i="7" s="1"/>
  <c r="AB12" i="7"/>
  <c r="AA12" i="7"/>
  <c r="Z12" i="7"/>
  <c r="Y12" i="7"/>
  <c r="X12" i="7"/>
  <c r="W12" i="7"/>
  <c r="V12" i="7"/>
  <c r="AO12" i="7" s="1"/>
  <c r="U12" i="7"/>
  <c r="T12" i="7"/>
  <c r="S12" i="7"/>
  <c r="R12" i="7"/>
  <c r="Q12" i="7"/>
  <c r="P12" i="7"/>
  <c r="O12" i="7"/>
  <c r="N12" i="7"/>
  <c r="M12" i="7"/>
  <c r="L12" i="7"/>
  <c r="K12" i="7"/>
  <c r="J12" i="7"/>
  <c r="I12" i="7"/>
  <c r="H12" i="7"/>
  <c r="G12" i="7"/>
  <c r="F12" i="7"/>
  <c r="E12" i="7"/>
  <c r="D12" i="7"/>
  <c r="C12" i="7"/>
  <c r="B12" i="7"/>
  <c r="A12" i="7"/>
  <c r="AJ11" i="7"/>
  <c r="AI11" i="7"/>
  <c r="AH11" i="7"/>
  <c r="AG11" i="7"/>
  <c r="AF11" i="7"/>
  <c r="AE11" i="7"/>
  <c r="AD11" i="7"/>
  <c r="AQ11" i="7" s="1"/>
  <c r="AC11" i="7"/>
  <c r="AN11" i="7" s="1"/>
  <c r="AB11" i="7"/>
  <c r="AA11" i="7"/>
  <c r="Z11" i="7"/>
  <c r="Y11" i="7"/>
  <c r="X11" i="7"/>
  <c r="W11" i="7"/>
  <c r="V11" i="7"/>
  <c r="U11" i="7"/>
  <c r="T11" i="7"/>
  <c r="S11" i="7"/>
  <c r="R11" i="7"/>
  <c r="Q11" i="7"/>
  <c r="P11" i="7"/>
  <c r="O11" i="7"/>
  <c r="N11" i="7"/>
  <c r="M11" i="7"/>
  <c r="L11" i="7"/>
  <c r="K11" i="7"/>
  <c r="J11" i="7"/>
  <c r="I11" i="7"/>
  <c r="H11" i="7"/>
  <c r="G11" i="7"/>
  <c r="F11" i="7"/>
  <c r="E11" i="7"/>
  <c r="D11" i="7"/>
  <c r="C11" i="7"/>
  <c r="B11" i="7"/>
  <c r="A11" i="7"/>
  <c r="AJ10" i="7"/>
  <c r="AI10" i="7"/>
  <c r="AH10" i="7"/>
  <c r="AG10" i="7"/>
  <c r="AF10" i="7"/>
  <c r="AE10" i="7"/>
  <c r="AD10" i="7"/>
  <c r="AQ10" i="7" s="1"/>
  <c r="AC10" i="7"/>
  <c r="AN10" i="7" s="1"/>
  <c r="AB10" i="7"/>
  <c r="AA10" i="7"/>
  <c r="Z10" i="7"/>
  <c r="Y10" i="7"/>
  <c r="X10" i="7"/>
  <c r="W10" i="7"/>
  <c r="V10" i="7"/>
  <c r="U10" i="7"/>
  <c r="T10" i="7"/>
  <c r="S10" i="7"/>
  <c r="R10" i="7"/>
  <c r="Q10" i="7"/>
  <c r="P10" i="7"/>
  <c r="O10" i="7"/>
  <c r="N10" i="7"/>
  <c r="M10" i="7"/>
  <c r="L10" i="7"/>
  <c r="K10" i="7"/>
  <c r="J10" i="7"/>
  <c r="I10" i="7"/>
  <c r="H10" i="7"/>
  <c r="G10" i="7"/>
  <c r="F10" i="7"/>
  <c r="E10" i="7"/>
  <c r="D10" i="7"/>
  <c r="C10" i="7"/>
  <c r="B10" i="7"/>
  <c r="A10" i="7"/>
  <c r="AJ9" i="7"/>
  <c r="AI9" i="7"/>
  <c r="AH9" i="7"/>
  <c r="AG9" i="7"/>
  <c r="AF9" i="7"/>
  <c r="AE9" i="7"/>
  <c r="AD9" i="7"/>
  <c r="AQ9" i="7" s="1"/>
  <c r="AC9" i="7"/>
  <c r="AN9" i="7" s="1"/>
  <c r="AB9" i="7"/>
  <c r="AA9" i="7"/>
  <c r="Z9" i="7"/>
  <c r="Y9" i="7"/>
  <c r="X9" i="7"/>
  <c r="W9" i="7"/>
  <c r="V9" i="7"/>
  <c r="AO9" i="7" s="1"/>
  <c r="U9" i="7"/>
  <c r="T9" i="7"/>
  <c r="S9" i="7"/>
  <c r="R9" i="7"/>
  <c r="Q9" i="7"/>
  <c r="P9" i="7"/>
  <c r="O9" i="7"/>
  <c r="N9" i="7"/>
  <c r="M9" i="7"/>
  <c r="L9" i="7"/>
  <c r="K9" i="7"/>
  <c r="J9" i="7"/>
  <c r="I9" i="7"/>
  <c r="H9" i="7"/>
  <c r="G9" i="7"/>
  <c r="F9" i="7"/>
  <c r="E9" i="7"/>
  <c r="D9" i="7"/>
  <c r="C9" i="7"/>
  <c r="B9" i="7"/>
  <c r="A9" i="7"/>
  <c r="AJ8" i="7"/>
  <c r="AI8" i="7"/>
  <c r="AH8" i="7"/>
  <c r="AG8" i="7"/>
  <c r="AF8" i="7"/>
  <c r="AE8" i="7"/>
  <c r="AD8" i="7"/>
  <c r="AQ8" i="7" s="1"/>
  <c r="AC8" i="7"/>
  <c r="AN8" i="7" s="1"/>
  <c r="AB8" i="7"/>
  <c r="AA8" i="7"/>
  <c r="Z8" i="7"/>
  <c r="Y8" i="7"/>
  <c r="X8" i="7"/>
  <c r="W8" i="7"/>
  <c r="V8" i="7"/>
  <c r="U8" i="7"/>
  <c r="T8" i="7"/>
  <c r="S8" i="7"/>
  <c r="R8" i="7"/>
  <c r="Q8" i="7"/>
  <c r="P8" i="7"/>
  <c r="O8" i="7"/>
  <c r="N8" i="7"/>
  <c r="M8" i="7"/>
  <c r="L8" i="7"/>
  <c r="K8" i="7"/>
  <c r="J8" i="7"/>
  <c r="I8" i="7"/>
  <c r="H8" i="7"/>
  <c r="G8" i="7"/>
  <c r="F8" i="7"/>
  <c r="E8" i="7"/>
  <c r="D8" i="7"/>
  <c r="C8" i="7"/>
  <c r="B8" i="7"/>
  <c r="A8" i="7"/>
  <c r="AJ7" i="7"/>
  <c r="AI7" i="7"/>
  <c r="AH7" i="7"/>
  <c r="AG7" i="7"/>
  <c r="AF7" i="7"/>
  <c r="AE7" i="7"/>
  <c r="AD7" i="7"/>
  <c r="AQ7" i="7" s="1"/>
  <c r="AC7" i="7"/>
  <c r="AN7" i="7" s="1"/>
  <c r="AB7" i="7"/>
  <c r="AA7" i="7"/>
  <c r="Z7" i="7"/>
  <c r="Y7" i="7"/>
  <c r="X7" i="7"/>
  <c r="W7" i="7"/>
  <c r="V7" i="7"/>
  <c r="AO7" i="7" s="1"/>
  <c r="U7" i="7"/>
  <c r="T7" i="7"/>
  <c r="S7" i="7"/>
  <c r="R7" i="7"/>
  <c r="Q7" i="7"/>
  <c r="P7" i="7"/>
  <c r="O7" i="7"/>
  <c r="N7" i="7"/>
  <c r="M7" i="7"/>
  <c r="L7" i="7"/>
  <c r="K7" i="7"/>
  <c r="J7" i="7"/>
  <c r="I7" i="7"/>
  <c r="H7" i="7"/>
  <c r="G7" i="7"/>
  <c r="F7" i="7"/>
  <c r="E7" i="7"/>
  <c r="D7" i="7"/>
  <c r="C7" i="7"/>
  <c r="B7" i="7"/>
  <c r="A7" i="7"/>
  <c r="AJ6" i="7"/>
  <c r="AI6" i="7"/>
  <c r="AH6" i="7"/>
  <c r="AG6" i="7"/>
  <c r="AF6" i="7"/>
  <c r="AE6" i="7"/>
  <c r="AD6" i="7"/>
  <c r="AQ6" i="7" s="1"/>
  <c r="AC6" i="7"/>
  <c r="AN6" i="7" s="1"/>
  <c r="AB6" i="7"/>
  <c r="AA6" i="7"/>
  <c r="Z6" i="7"/>
  <c r="Y6" i="7"/>
  <c r="X6" i="7"/>
  <c r="W6" i="7"/>
  <c r="V6" i="7"/>
  <c r="U6" i="7"/>
  <c r="T6" i="7"/>
  <c r="S6" i="7"/>
  <c r="R6" i="7"/>
  <c r="Q6" i="7"/>
  <c r="P6" i="7"/>
  <c r="O6" i="7"/>
  <c r="N6" i="7"/>
  <c r="M6" i="7"/>
  <c r="L6" i="7"/>
  <c r="K6" i="7"/>
  <c r="J6" i="7"/>
  <c r="I6" i="7"/>
  <c r="H6" i="7"/>
  <c r="G6" i="7"/>
  <c r="F6" i="7"/>
  <c r="E6" i="7"/>
  <c r="D6" i="7"/>
  <c r="C6" i="7"/>
  <c r="B6" i="7"/>
  <c r="A6" i="7"/>
  <c r="AJ5" i="7"/>
  <c r="AI5" i="7"/>
  <c r="AH5" i="7"/>
  <c r="AG5" i="7"/>
  <c r="AF5" i="7"/>
  <c r="AE5" i="7"/>
  <c r="AD5" i="7"/>
  <c r="AQ5" i="7" s="1"/>
  <c r="AC5" i="7"/>
  <c r="AN5" i="7" s="1"/>
  <c r="AB5" i="7"/>
  <c r="AA5" i="7"/>
  <c r="Y5" i="7"/>
  <c r="X5" i="7"/>
  <c r="W5" i="7"/>
  <c r="V5" i="7"/>
  <c r="AO5" i="7" s="1"/>
  <c r="U5" i="7"/>
  <c r="T5" i="7"/>
  <c r="S5" i="7"/>
  <c r="R5" i="7"/>
  <c r="Q5" i="7"/>
  <c r="P5" i="7"/>
  <c r="O5" i="7"/>
  <c r="N5" i="7"/>
  <c r="M5" i="7"/>
  <c r="L5" i="7"/>
  <c r="K5" i="7"/>
  <c r="J5" i="7"/>
  <c r="I5" i="7"/>
  <c r="H5" i="7"/>
  <c r="G5" i="7"/>
  <c r="F5" i="7"/>
  <c r="E5" i="7"/>
  <c r="D5" i="7"/>
  <c r="C5" i="7"/>
  <c r="B5" i="7"/>
  <c r="A5" i="7"/>
  <c r="G632" i="15" l="1"/>
  <c r="G616" i="15"/>
  <c r="G600" i="15"/>
  <c r="G584" i="15"/>
  <c r="G568" i="15"/>
  <c r="G552" i="15"/>
  <c r="G536" i="15"/>
  <c r="G520" i="15"/>
  <c r="G504" i="15"/>
  <c r="G488" i="15"/>
  <c r="G376" i="15"/>
  <c r="G344" i="15"/>
  <c r="G328" i="15"/>
  <c r="G312" i="15"/>
  <c r="G296" i="15"/>
  <c r="G280" i="15"/>
  <c r="G264" i="15"/>
  <c r="G248" i="15"/>
  <c r="G232" i="15"/>
  <c r="G216" i="15"/>
  <c r="G136" i="15"/>
  <c r="G120" i="15"/>
  <c r="G104" i="15"/>
  <c r="G88" i="15"/>
  <c r="G159" i="15"/>
  <c r="G15" i="15"/>
  <c r="I628" i="15"/>
  <c r="G628" i="15"/>
  <c r="I612" i="15"/>
  <c r="G612" i="15"/>
  <c r="I596" i="15"/>
  <c r="G596" i="15"/>
  <c r="I580" i="15"/>
  <c r="G580" i="15"/>
  <c r="I564" i="15"/>
  <c r="G564" i="15"/>
  <c r="I548" i="15"/>
  <c r="G548" i="15"/>
  <c r="I532" i="15"/>
  <c r="G532" i="15"/>
  <c r="I516" i="15"/>
  <c r="G516" i="15"/>
  <c r="I500" i="15"/>
  <c r="G500" i="15"/>
  <c r="I484" i="15"/>
  <c r="G484" i="15"/>
  <c r="I468" i="15"/>
  <c r="G468" i="15"/>
  <c r="I452" i="15"/>
  <c r="G452" i="15"/>
  <c r="I436" i="15"/>
  <c r="G436" i="15"/>
  <c r="I420" i="15"/>
  <c r="G420" i="15"/>
  <c r="I404" i="15"/>
  <c r="G404" i="15"/>
  <c r="I388" i="15"/>
  <c r="G388" i="15"/>
  <c r="I372" i="15"/>
  <c r="G372" i="15"/>
  <c r="I356" i="15"/>
  <c r="G356" i="15"/>
  <c r="I340" i="15"/>
  <c r="G340" i="15"/>
  <c r="I324" i="15"/>
  <c r="G324" i="15"/>
  <c r="I308" i="15"/>
  <c r="G308" i="15"/>
  <c r="I292" i="15"/>
  <c r="G292" i="15"/>
  <c r="I276" i="15"/>
  <c r="G276" i="15"/>
  <c r="I260" i="15"/>
  <c r="G260" i="15"/>
  <c r="I244" i="15"/>
  <c r="G244" i="15"/>
  <c r="I228" i="15"/>
  <c r="G228" i="15"/>
  <c r="I212" i="15"/>
  <c r="G212" i="15"/>
  <c r="I196" i="15"/>
  <c r="G196" i="15"/>
  <c r="I180" i="15"/>
  <c r="G180" i="15"/>
  <c r="I164" i="15"/>
  <c r="G164" i="15"/>
  <c r="I148" i="15"/>
  <c r="G148" i="15"/>
  <c r="I132" i="15"/>
  <c r="G132" i="15"/>
  <c r="I116" i="15"/>
  <c r="G116" i="15"/>
  <c r="I100" i="15"/>
  <c r="G100" i="15"/>
  <c r="I84" i="15"/>
  <c r="G84" i="15"/>
  <c r="I68" i="15"/>
  <c r="G68" i="15"/>
  <c r="I52" i="15"/>
  <c r="G52" i="15"/>
  <c r="I36" i="15"/>
  <c r="G36" i="15"/>
  <c r="I20" i="15"/>
  <c r="G20" i="15"/>
  <c r="I4" i="15"/>
  <c r="G4" i="15"/>
  <c r="G168" i="15"/>
  <c r="G31" i="15"/>
  <c r="G408" i="15"/>
  <c r="I611" i="15"/>
  <c r="G611" i="15"/>
  <c r="I595" i="15"/>
  <c r="G595" i="15"/>
  <c r="I579" i="15"/>
  <c r="G579" i="15"/>
  <c r="I563" i="15"/>
  <c r="G563" i="15"/>
  <c r="I547" i="15"/>
  <c r="G547" i="15"/>
  <c r="I531" i="15"/>
  <c r="G531" i="15"/>
  <c r="I515" i="15"/>
  <c r="G515" i="15"/>
  <c r="I499" i="15"/>
  <c r="G499" i="15"/>
  <c r="I483" i="15"/>
  <c r="G483" i="15"/>
  <c r="I467" i="15"/>
  <c r="G467" i="15"/>
  <c r="I451" i="15"/>
  <c r="G451" i="15"/>
  <c r="I435" i="15"/>
  <c r="G435" i="15"/>
  <c r="I419" i="15"/>
  <c r="G419" i="15"/>
  <c r="I403" i="15"/>
  <c r="G403" i="15"/>
  <c r="I387" i="15"/>
  <c r="G387" i="15"/>
  <c r="I371" i="15"/>
  <c r="G371" i="15"/>
  <c r="I355" i="15"/>
  <c r="G355" i="15"/>
  <c r="I339" i="15"/>
  <c r="G339" i="15"/>
  <c r="I323" i="15"/>
  <c r="G323" i="15"/>
  <c r="I307" i="15"/>
  <c r="G307" i="15"/>
  <c r="I291" i="15"/>
  <c r="G291" i="15"/>
  <c r="I275" i="15"/>
  <c r="G275" i="15"/>
  <c r="I259" i="15"/>
  <c r="G259" i="15"/>
  <c r="I243" i="15"/>
  <c r="G243" i="15"/>
  <c r="I227" i="15"/>
  <c r="G227" i="15"/>
  <c r="I211" i="15"/>
  <c r="G211" i="15"/>
  <c r="I195" i="15"/>
  <c r="G195" i="15"/>
  <c r="I179" i="15"/>
  <c r="G179" i="15"/>
  <c r="I163" i="15"/>
  <c r="G163" i="15"/>
  <c r="I147" i="15"/>
  <c r="G147" i="15"/>
  <c r="I131" i="15"/>
  <c r="G131" i="15"/>
  <c r="I115" i="15"/>
  <c r="G115" i="15"/>
  <c r="I99" i="15"/>
  <c r="G99" i="15"/>
  <c r="F626" i="15"/>
  <c r="I626" i="15"/>
  <c r="G626" i="15"/>
  <c r="H626" i="15" s="1"/>
  <c r="F610" i="15"/>
  <c r="I610" i="15"/>
  <c r="G610" i="15"/>
  <c r="H610" i="15" s="1"/>
  <c r="I594" i="15"/>
  <c r="G594" i="15"/>
  <c r="I578" i="15"/>
  <c r="G578" i="15"/>
  <c r="I562" i="15"/>
  <c r="G562" i="15"/>
  <c r="I546" i="15"/>
  <c r="G546" i="15"/>
  <c r="I530" i="15"/>
  <c r="G530" i="15"/>
  <c r="F514" i="15"/>
  <c r="I514" i="15"/>
  <c r="G514" i="15"/>
  <c r="H514" i="15" s="1"/>
  <c r="I498" i="15"/>
  <c r="G498" i="15"/>
  <c r="I482" i="15"/>
  <c r="G482" i="15"/>
  <c r="I466" i="15"/>
  <c r="G466" i="15"/>
  <c r="I450" i="15"/>
  <c r="G450" i="15"/>
  <c r="I434" i="15"/>
  <c r="G434" i="15"/>
  <c r="I418" i="15"/>
  <c r="G418" i="15"/>
  <c r="I402" i="15"/>
  <c r="G402" i="15"/>
  <c r="I386" i="15"/>
  <c r="G386" i="15"/>
  <c r="I370" i="15"/>
  <c r="G370" i="15"/>
  <c r="I354" i="15"/>
  <c r="G354" i="15"/>
  <c r="I338" i="15"/>
  <c r="G338" i="15"/>
  <c r="F322" i="15"/>
  <c r="I322" i="15"/>
  <c r="G322" i="15"/>
  <c r="H322" i="15" s="1"/>
  <c r="I306" i="15"/>
  <c r="G306" i="15"/>
  <c r="I290" i="15"/>
  <c r="G290" i="15"/>
  <c r="I274" i="15"/>
  <c r="G274" i="15"/>
  <c r="I258" i="15"/>
  <c r="G258" i="15"/>
  <c r="I242" i="15"/>
  <c r="G242" i="15"/>
  <c r="I226" i="15"/>
  <c r="G226" i="15"/>
  <c r="I210" i="15"/>
  <c r="G210" i="15"/>
  <c r="F194" i="15"/>
  <c r="I194" i="15"/>
  <c r="G194" i="15"/>
  <c r="I178" i="15"/>
  <c r="G178" i="15"/>
  <c r="I162" i="15"/>
  <c r="G162" i="15"/>
  <c r="I146" i="15"/>
  <c r="G146" i="15"/>
  <c r="I130" i="15"/>
  <c r="G130" i="15"/>
  <c r="I114" i="15"/>
  <c r="G114" i="15"/>
  <c r="I98" i="15"/>
  <c r="G98" i="15"/>
  <c r="I82" i="15"/>
  <c r="G82" i="15"/>
  <c r="I66" i="15"/>
  <c r="G66" i="15"/>
  <c r="I50" i="15"/>
  <c r="G50" i="15"/>
  <c r="I34" i="15"/>
  <c r="G34" i="15"/>
  <c r="G5" i="15"/>
  <c r="G152" i="15"/>
  <c r="I627" i="15"/>
  <c r="G627" i="15"/>
  <c r="I625" i="15"/>
  <c r="G625" i="15"/>
  <c r="I609" i="15"/>
  <c r="G609" i="15"/>
  <c r="I593" i="15"/>
  <c r="G593" i="15"/>
  <c r="I577" i="15"/>
  <c r="G577" i="15"/>
  <c r="I561" i="15"/>
  <c r="G561" i="15"/>
  <c r="I545" i="15"/>
  <c r="G545" i="15"/>
  <c r="I529" i="15"/>
  <c r="G529" i="15"/>
  <c r="I513" i="15"/>
  <c r="G513" i="15"/>
  <c r="I497" i="15"/>
  <c r="G497" i="15"/>
  <c r="I481" i="15"/>
  <c r="G481" i="15"/>
  <c r="I465" i="15"/>
  <c r="G465" i="15"/>
  <c r="I449" i="15"/>
  <c r="G449" i="15"/>
  <c r="I433" i="15"/>
  <c r="G433" i="15"/>
  <c r="I417" i="15"/>
  <c r="G417" i="15"/>
  <c r="I401" i="15"/>
  <c r="G401" i="15"/>
  <c r="I385" i="15"/>
  <c r="G385" i="15"/>
  <c r="I369" i="15"/>
  <c r="G369" i="15"/>
  <c r="I353" i="15"/>
  <c r="G353" i="15"/>
  <c r="I337" i="15"/>
  <c r="G337" i="15"/>
  <c r="I321" i="15"/>
  <c r="G321" i="15"/>
  <c r="I305" i="15"/>
  <c r="G305" i="15"/>
  <c r="I289" i="15"/>
  <c r="G289" i="15"/>
  <c r="I273" i="15"/>
  <c r="G273" i="15"/>
  <c r="I257" i="15"/>
  <c r="G257" i="15"/>
  <c r="I241" i="15"/>
  <c r="G241" i="15"/>
  <c r="I225" i="15"/>
  <c r="G225" i="15"/>
  <c r="I209" i="15"/>
  <c r="G209" i="15"/>
  <c r="I193" i="15"/>
  <c r="G193" i="15"/>
  <c r="I177" i="15"/>
  <c r="G177" i="15"/>
  <c r="I161" i="15"/>
  <c r="G161" i="15"/>
  <c r="I145" i="15"/>
  <c r="G145" i="15"/>
  <c r="I129" i="15"/>
  <c r="G129" i="15"/>
  <c r="I113" i="15"/>
  <c r="G113" i="15"/>
  <c r="I97" i="15"/>
  <c r="G97" i="15"/>
  <c r="I81" i="15"/>
  <c r="G81" i="15"/>
  <c r="I65" i="15"/>
  <c r="G65" i="15"/>
  <c r="I49" i="15"/>
  <c r="G49" i="15"/>
  <c r="I33" i="15"/>
  <c r="G33" i="15"/>
  <c r="I17" i="15"/>
  <c r="G271" i="15"/>
  <c r="G143" i="15"/>
  <c r="G360" i="15"/>
  <c r="I2" i="15"/>
  <c r="G8" i="15"/>
  <c r="G24" i="15"/>
  <c r="G40" i="15"/>
  <c r="G6" i="15"/>
  <c r="G11" i="15"/>
  <c r="G12" i="15"/>
  <c r="G28" i="15"/>
  <c r="G44" i="15"/>
  <c r="G2" i="15"/>
  <c r="H2" i="15" s="1"/>
  <c r="F2" i="15"/>
  <c r="I624" i="15"/>
  <c r="G624" i="15"/>
  <c r="I608" i="15"/>
  <c r="G608" i="15"/>
  <c r="I592" i="15"/>
  <c r="G592" i="15"/>
  <c r="I576" i="15"/>
  <c r="G576" i="15"/>
  <c r="I560" i="15"/>
  <c r="G560" i="15"/>
  <c r="I544" i="15"/>
  <c r="G544" i="15"/>
  <c r="I528" i="15"/>
  <c r="G528" i="15"/>
  <c r="I512" i="15"/>
  <c r="G512" i="15"/>
  <c r="I496" i="15"/>
  <c r="G496" i="15"/>
  <c r="I480" i="15"/>
  <c r="G480" i="15"/>
  <c r="I464" i="15"/>
  <c r="G464" i="15"/>
  <c r="I448" i="15"/>
  <c r="G448" i="15"/>
  <c r="I432" i="15"/>
  <c r="G432" i="15"/>
  <c r="I416" i="15"/>
  <c r="G416" i="15"/>
  <c r="I400" i="15"/>
  <c r="G400" i="15"/>
  <c r="I384" i="15"/>
  <c r="G384" i="15"/>
  <c r="I368" i="15"/>
  <c r="G368" i="15"/>
  <c r="I352" i="15"/>
  <c r="G352" i="15"/>
  <c r="I336" i="15"/>
  <c r="G336" i="15"/>
  <c r="I320" i="15"/>
  <c r="G320" i="15"/>
  <c r="I304" i="15"/>
  <c r="G304" i="15"/>
  <c r="I288" i="15"/>
  <c r="G288" i="15"/>
  <c r="I272" i="15"/>
  <c r="G272" i="15"/>
  <c r="I256" i="15"/>
  <c r="G256" i="15"/>
  <c r="I240" i="15"/>
  <c r="G240" i="15"/>
  <c r="I224" i="15"/>
  <c r="G224" i="15"/>
  <c r="I208" i="15"/>
  <c r="G208" i="15"/>
  <c r="I192" i="15"/>
  <c r="G192" i="15"/>
  <c r="I176" i="15"/>
  <c r="G176" i="15"/>
  <c r="I160" i="15"/>
  <c r="G160" i="15"/>
  <c r="I144" i="15"/>
  <c r="G144" i="15"/>
  <c r="I128" i="15"/>
  <c r="G128" i="15"/>
  <c r="I112" i="15"/>
  <c r="G112" i="15"/>
  <c r="I96" i="15"/>
  <c r="G96" i="15"/>
  <c r="I80" i="15"/>
  <c r="G80" i="15"/>
  <c r="I64" i="15"/>
  <c r="G64" i="15"/>
  <c r="G48" i="15"/>
  <c r="G32" i="15"/>
  <c r="G16" i="15"/>
  <c r="I83" i="15"/>
  <c r="G83" i="15"/>
  <c r="I639" i="15"/>
  <c r="G639" i="15"/>
  <c r="I623" i="15"/>
  <c r="G623" i="15"/>
  <c r="I607" i="15"/>
  <c r="G607" i="15"/>
  <c r="I591" i="15"/>
  <c r="G591" i="15"/>
  <c r="I575" i="15"/>
  <c r="G575" i="15"/>
  <c r="I559" i="15"/>
  <c r="G559" i="15"/>
  <c r="I543" i="15"/>
  <c r="G543" i="15"/>
  <c r="I527" i="15"/>
  <c r="G527" i="15"/>
  <c r="I511" i="15"/>
  <c r="G511" i="15"/>
  <c r="I495" i="15"/>
  <c r="G495" i="15"/>
  <c r="I479" i="15"/>
  <c r="G479" i="15"/>
  <c r="I463" i="15"/>
  <c r="G463" i="15"/>
  <c r="I447" i="15"/>
  <c r="G447" i="15"/>
  <c r="I431" i="15"/>
  <c r="G431" i="15"/>
  <c r="I415" i="15"/>
  <c r="G415" i="15"/>
  <c r="I399" i="15"/>
  <c r="G399" i="15"/>
  <c r="I383" i="15"/>
  <c r="G383" i="15"/>
  <c r="I367" i="15"/>
  <c r="G367" i="15"/>
  <c r="I351" i="15"/>
  <c r="G351" i="15"/>
  <c r="I335" i="15"/>
  <c r="G335" i="15"/>
  <c r="I319" i="15"/>
  <c r="G319" i="15"/>
  <c r="I303" i="15"/>
  <c r="G303" i="15"/>
  <c r="I287" i="15"/>
  <c r="G287" i="15"/>
  <c r="I271" i="15"/>
  <c r="I255" i="15"/>
  <c r="I239" i="15"/>
  <c r="I223" i="15"/>
  <c r="I207" i="15"/>
  <c r="I191" i="15"/>
  <c r="I175" i="15"/>
  <c r="I159" i="15"/>
  <c r="I143" i="15"/>
  <c r="I127" i="15"/>
  <c r="I111" i="15"/>
  <c r="I95" i="15"/>
  <c r="I79" i="15"/>
  <c r="I63" i="15"/>
  <c r="I47" i="15"/>
  <c r="G255" i="15"/>
  <c r="G127" i="15"/>
  <c r="I638" i="15"/>
  <c r="G638" i="15"/>
  <c r="I622" i="15"/>
  <c r="G622" i="15"/>
  <c r="I606" i="15"/>
  <c r="G606" i="15"/>
  <c r="I590" i="15"/>
  <c r="G590" i="15"/>
  <c r="I574" i="15"/>
  <c r="G574" i="15"/>
  <c r="I558" i="15"/>
  <c r="G558" i="15"/>
  <c r="I542" i="15"/>
  <c r="G542" i="15"/>
  <c r="I526" i="15"/>
  <c r="G526" i="15"/>
  <c r="I510" i="15"/>
  <c r="G510" i="15"/>
  <c r="I494" i="15"/>
  <c r="G494" i="15"/>
  <c r="I478" i="15"/>
  <c r="G478" i="15"/>
  <c r="I462" i="15"/>
  <c r="G462" i="15"/>
  <c r="I446" i="15"/>
  <c r="G446" i="15"/>
  <c r="I430" i="15"/>
  <c r="G430" i="15"/>
  <c r="I414" i="15"/>
  <c r="G414" i="15"/>
  <c r="I398" i="15"/>
  <c r="G398" i="15"/>
  <c r="I382" i="15"/>
  <c r="G382" i="15"/>
  <c r="I366" i="15"/>
  <c r="G366" i="15"/>
  <c r="I350" i="15"/>
  <c r="G350" i="15"/>
  <c r="I334" i="15"/>
  <c r="G334" i="15"/>
  <c r="I318" i="15"/>
  <c r="G318" i="15"/>
  <c r="I302" i="15"/>
  <c r="G302" i="15"/>
  <c r="I286" i="15"/>
  <c r="G286" i="15"/>
  <c r="I270" i="15"/>
  <c r="G270" i="15"/>
  <c r="I254" i="15"/>
  <c r="G254" i="15"/>
  <c r="I238" i="15"/>
  <c r="G238" i="15"/>
  <c r="I222" i="15"/>
  <c r="G222" i="15"/>
  <c r="I206" i="15"/>
  <c r="G206" i="15"/>
  <c r="I190" i="15"/>
  <c r="G190" i="15"/>
  <c r="I174" i="15"/>
  <c r="G174" i="15"/>
  <c r="I158" i="15"/>
  <c r="G158" i="15"/>
  <c r="I142" i="15"/>
  <c r="G142" i="15"/>
  <c r="I126" i="15"/>
  <c r="G126" i="15"/>
  <c r="I110" i="15"/>
  <c r="G110" i="15"/>
  <c r="I94" i="15"/>
  <c r="G94" i="15"/>
  <c r="I78" i="15"/>
  <c r="G78" i="15"/>
  <c r="G62" i="15"/>
  <c r="G46" i="15"/>
  <c r="G30" i="15"/>
  <c r="G14" i="15"/>
  <c r="I637" i="15"/>
  <c r="G637" i="15"/>
  <c r="I621" i="15"/>
  <c r="G621" i="15"/>
  <c r="I605" i="15"/>
  <c r="G605" i="15"/>
  <c r="I589" i="15"/>
  <c r="G589" i="15"/>
  <c r="I573" i="15"/>
  <c r="G573" i="15"/>
  <c r="I557" i="15"/>
  <c r="G557" i="15"/>
  <c r="I541" i="15"/>
  <c r="G541" i="15"/>
  <c r="I525" i="15"/>
  <c r="G525" i="15"/>
  <c r="I509" i="15"/>
  <c r="G509" i="15"/>
  <c r="I493" i="15"/>
  <c r="G493" i="15"/>
  <c r="I477" i="15"/>
  <c r="G477" i="15"/>
  <c r="I461" i="15"/>
  <c r="G461" i="15"/>
  <c r="I445" i="15"/>
  <c r="G445" i="15"/>
  <c r="I429" i="15"/>
  <c r="G429" i="15"/>
  <c r="I413" i="15"/>
  <c r="G413" i="15"/>
  <c r="I397" i="15"/>
  <c r="G397" i="15"/>
  <c r="I381" i="15"/>
  <c r="G381" i="15"/>
  <c r="I365" i="15"/>
  <c r="G365" i="15"/>
  <c r="I349" i="15"/>
  <c r="G349" i="15"/>
  <c r="I333" i="15"/>
  <c r="G333" i="15"/>
  <c r="I317" i="15"/>
  <c r="G317" i="15"/>
  <c r="I301" i="15"/>
  <c r="G301" i="15"/>
  <c r="I285" i="15"/>
  <c r="G285" i="15"/>
  <c r="I269" i="15"/>
  <c r="G269" i="15"/>
  <c r="I253" i="15"/>
  <c r="G253" i="15"/>
  <c r="I237" i="15"/>
  <c r="G237" i="15"/>
  <c r="I221" i="15"/>
  <c r="G221" i="15"/>
  <c r="I205" i="15"/>
  <c r="G205" i="15"/>
  <c r="I189" i="15"/>
  <c r="G189" i="15"/>
  <c r="I173" i="15"/>
  <c r="G173" i="15"/>
  <c r="I157" i="15"/>
  <c r="G157" i="15"/>
  <c r="I141" i="15"/>
  <c r="G141" i="15"/>
  <c r="I125" i="15"/>
  <c r="G125" i="15"/>
  <c r="I109" i="15"/>
  <c r="G109" i="15"/>
  <c r="I93" i="15"/>
  <c r="G93" i="15"/>
  <c r="I77" i="15"/>
  <c r="G77" i="15"/>
  <c r="I61" i="15"/>
  <c r="G61" i="15"/>
  <c r="I45" i="15"/>
  <c r="G45" i="15"/>
  <c r="I29" i="15"/>
  <c r="G29" i="15"/>
  <c r="I13" i="15"/>
  <c r="G13" i="15"/>
  <c r="G239" i="15"/>
  <c r="G111" i="15"/>
  <c r="I636" i="15"/>
  <c r="G636" i="15"/>
  <c r="I620" i="15"/>
  <c r="G620" i="15"/>
  <c r="I604" i="15"/>
  <c r="G604" i="15"/>
  <c r="I588" i="15"/>
  <c r="G588" i="15"/>
  <c r="I572" i="15"/>
  <c r="G572" i="15"/>
  <c r="I556" i="15"/>
  <c r="G556" i="15"/>
  <c r="I540" i="15"/>
  <c r="G540" i="15"/>
  <c r="I524" i="15"/>
  <c r="G524" i="15"/>
  <c r="I508" i="15"/>
  <c r="G508" i="15"/>
  <c r="I492" i="15"/>
  <c r="G492" i="15"/>
  <c r="I476" i="15"/>
  <c r="G476" i="15"/>
  <c r="I460" i="15"/>
  <c r="G460" i="15"/>
  <c r="I444" i="15"/>
  <c r="G444" i="15"/>
  <c r="I428" i="15"/>
  <c r="G428" i="15"/>
  <c r="I412" i="15"/>
  <c r="G412" i="15"/>
  <c r="I396" i="15"/>
  <c r="G396" i="15"/>
  <c r="I380" i="15"/>
  <c r="G380" i="15"/>
  <c r="I364" i="15"/>
  <c r="G364" i="15"/>
  <c r="I348" i="15"/>
  <c r="G348" i="15"/>
  <c r="I332" i="15"/>
  <c r="G332" i="15"/>
  <c r="I316" i="15"/>
  <c r="G316" i="15"/>
  <c r="I300" i="15"/>
  <c r="G300" i="15"/>
  <c r="I284" i="15"/>
  <c r="G284" i="15"/>
  <c r="I268" i="15"/>
  <c r="G268" i="15"/>
  <c r="I252" i="15"/>
  <c r="G252" i="15"/>
  <c r="I236" i="15"/>
  <c r="G236" i="15"/>
  <c r="I220" i="15"/>
  <c r="G220" i="15"/>
  <c r="I204" i="15"/>
  <c r="G204" i="15"/>
  <c r="I188" i="15"/>
  <c r="G188" i="15"/>
  <c r="I172" i="15"/>
  <c r="G172" i="15"/>
  <c r="I156" i="15"/>
  <c r="G156" i="15"/>
  <c r="I140" i="15"/>
  <c r="G140" i="15"/>
  <c r="I124" i="15"/>
  <c r="G124" i="15"/>
  <c r="I108" i="15"/>
  <c r="G108" i="15"/>
  <c r="I92" i="15"/>
  <c r="G92" i="15"/>
  <c r="G76" i="15"/>
  <c r="G60" i="15"/>
  <c r="I51" i="15"/>
  <c r="G51" i="15"/>
  <c r="I635" i="15"/>
  <c r="G635" i="15"/>
  <c r="I619" i="15"/>
  <c r="G619" i="15"/>
  <c r="I603" i="15"/>
  <c r="G603" i="15"/>
  <c r="I587" i="15"/>
  <c r="G587" i="15"/>
  <c r="I571" i="15"/>
  <c r="G571" i="15"/>
  <c r="I555" i="15"/>
  <c r="G555" i="15"/>
  <c r="I539" i="15"/>
  <c r="G539" i="15"/>
  <c r="I523" i="15"/>
  <c r="G523" i="15"/>
  <c r="I507" i="15"/>
  <c r="G507" i="15"/>
  <c r="I491" i="15"/>
  <c r="G491" i="15"/>
  <c r="I475" i="15"/>
  <c r="G475" i="15"/>
  <c r="I459" i="15"/>
  <c r="G459" i="15"/>
  <c r="I443" i="15"/>
  <c r="G443" i="15"/>
  <c r="I427" i="15"/>
  <c r="G427" i="15"/>
  <c r="I411" i="15"/>
  <c r="G411" i="15"/>
  <c r="I395" i="15"/>
  <c r="G395" i="15"/>
  <c r="I379" i="15"/>
  <c r="G379" i="15"/>
  <c r="I363" i="15"/>
  <c r="G363" i="15"/>
  <c r="I347" i="15"/>
  <c r="G347" i="15"/>
  <c r="I331" i="15"/>
  <c r="G331" i="15"/>
  <c r="I315" i="15"/>
  <c r="G315" i="15"/>
  <c r="I299" i="15"/>
  <c r="G299" i="15"/>
  <c r="I283" i="15"/>
  <c r="G283" i="15"/>
  <c r="I267" i="15"/>
  <c r="G267" i="15"/>
  <c r="I251" i="15"/>
  <c r="G251" i="15"/>
  <c r="I235" i="15"/>
  <c r="G235" i="15"/>
  <c r="H235" i="15" s="1"/>
  <c r="I219" i="15"/>
  <c r="G219" i="15"/>
  <c r="I203" i="15"/>
  <c r="G203" i="15"/>
  <c r="I187" i="15"/>
  <c r="G187" i="15"/>
  <c r="I171" i="15"/>
  <c r="G171" i="15"/>
  <c r="H171" i="15" s="1"/>
  <c r="I155" i="15"/>
  <c r="G155" i="15"/>
  <c r="I139" i="15"/>
  <c r="G139" i="15"/>
  <c r="I123" i="15"/>
  <c r="G123" i="15"/>
  <c r="I107" i="15"/>
  <c r="G107" i="15"/>
  <c r="I91" i="15"/>
  <c r="G91" i="15"/>
  <c r="G75" i="15"/>
  <c r="G59" i="15"/>
  <c r="G43" i="15"/>
  <c r="G27" i="15"/>
  <c r="G223" i="15"/>
  <c r="G95" i="15"/>
  <c r="G392" i="15"/>
  <c r="I634" i="15"/>
  <c r="G634" i="15"/>
  <c r="I618" i="15"/>
  <c r="G618" i="15"/>
  <c r="I602" i="15"/>
  <c r="G602" i="15"/>
  <c r="I586" i="15"/>
  <c r="G586" i="15"/>
  <c r="I570" i="15"/>
  <c r="G570" i="15"/>
  <c r="I554" i="15"/>
  <c r="G554" i="15"/>
  <c r="I538" i="15"/>
  <c r="G538" i="15"/>
  <c r="I522" i="15"/>
  <c r="G522" i="15"/>
  <c r="I506" i="15"/>
  <c r="G506" i="15"/>
  <c r="I490" i="15"/>
  <c r="G490" i="15"/>
  <c r="I474" i="15"/>
  <c r="G474" i="15"/>
  <c r="I458" i="15"/>
  <c r="G458" i="15"/>
  <c r="I442" i="15"/>
  <c r="G442" i="15"/>
  <c r="I426" i="15"/>
  <c r="G426" i="15"/>
  <c r="I410" i="15"/>
  <c r="G410" i="15"/>
  <c r="I394" i="15"/>
  <c r="G394" i="15"/>
  <c r="I378" i="15"/>
  <c r="G378" i="15"/>
  <c r="I362" i="15"/>
  <c r="G362" i="15"/>
  <c r="I346" i="15"/>
  <c r="G346" i="15"/>
  <c r="I330" i="15"/>
  <c r="G330" i="15"/>
  <c r="I314" i="15"/>
  <c r="G314" i="15"/>
  <c r="I298" i="15"/>
  <c r="G298" i="15"/>
  <c r="I282" i="15"/>
  <c r="G282" i="15"/>
  <c r="I266" i="15"/>
  <c r="G266" i="15"/>
  <c r="I250" i="15"/>
  <c r="G250" i="15"/>
  <c r="I234" i="15"/>
  <c r="G234" i="15"/>
  <c r="I218" i="15"/>
  <c r="G218" i="15"/>
  <c r="I202" i="15"/>
  <c r="G202" i="15"/>
  <c r="I186" i="15"/>
  <c r="G186" i="15"/>
  <c r="I170" i="15"/>
  <c r="G170" i="15"/>
  <c r="I154" i="15"/>
  <c r="G154" i="15"/>
  <c r="I138" i="15"/>
  <c r="G138" i="15"/>
  <c r="I122" i="15"/>
  <c r="G122" i="15"/>
  <c r="I106" i="15"/>
  <c r="G106" i="15"/>
  <c r="I90" i="15"/>
  <c r="G90" i="15"/>
  <c r="I74" i="15"/>
  <c r="G74" i="15"/>
  <c r="I58" i="15"/>
  <c r="G58" i="15"/>
  <c r="G42" i="15"/>
  <c r="H42" i="15" s="1"/>
  <c r="G26" i="15"/>
  <c r="G10" i="15"/>
  <c r="H10" i="15" s="1"/>
  <c r="I67" i="15"/>
  <c r="G67" i="15"/>
  <c r="I633" i="15"/>
  <c r="G633" i="15"/>
  <c r="I617" i="15"/>
  <c r="G617" i="15"/>
  <c r="I601" i="15"/>
  <c r="G601" i="15"/>
  <c r="I585" i="15"/>
  <c r="G585" i="15"/>
  <c r="I569" i="15"/>
  <c r="G569" i="15"/>
  <c r="I553" i="15"/>
  <c r="G553" i="15"/>
  <c r="H553" i="15" s="1"/>
  <c r="I537" i="15"/>
  <c r="G537" i="15"/>
  <c r="I521" i="15"/>
  <c r="G521" i="15"/>
  <c r="H521" i="15" s="1"/>
  <c r="I505" i="15"/>
  <c r="G505" i="15"/>
  <c r="I489" i="15"/>
  <c r="G489" i="15"/>
  <c r="I473" i="15"/>
  <c r="G473" i="15"/>
  <c r="I457" i="15"/>
  <c r="G457" i="15"/>
  <c r="H457" i="15" s="1"/>
  <c r="I441" i="15"/>
  <c r="G441" i="15"/>
  <c r="I425" i="15"/>
  <c r="G425" i="15"/>
  <c r="H425" i="15" s="1"/>
  <c r="I409" i="15"/>
  <c r="G409" i="15"/>
  <c r="I393" i="15"/>
  <c r="G393" i="15"/>
  <c r="H393" i="15" s="1"/>
  <c r="I377" i="15"/>
  <c r="G377" i="15"/>
  <c r="I361" i="15"/>
  <c r="G361" i="15"/>
  <c r="I345" i="15"/>
  <c r="G345" i="15"/>
  <c r="I329" i="15"/>
  <c r="G329" i="15"/>
  <c r="H329" i="15" s="1"/>
  <c r="I313" i="15"/>
  <c r="G313" i="15"/>
  <c r="I297" i="15"/>
  <c r="G297" i="15"/>
  <c r="H297" i="15" s="1"/>
  <c r="I281" i="15"/>
  <c r="G281" i="15"/>
  <c r="I265" i="15"/>
  <c r="G265" i="15"/>
  <c r="H265" i="15" s="1"/>
  <c r="I249" i="15"/>
  <c r="G249" i="15"/>
  <c r="I233" i="15"/>
  <c r="G233" i="15"/>
  <c r="H233" i="15" s="1"/>
  <c r="I217" i="15"/>
  <c r="G217" i="15"/>
  <c r="I201" i="15"/>
  <c r="G201" i="15"/>
  <c r="H201" i="15" s="1"/>
  <c r="I185" i="15"/>
  <c r="G185" i="15"/>
  <c r="I169" i="15"/>
  <c r="G169" i="15"/>
  <c r="H169" i="15" s="1"/>
  <c r="I153" i="15"/>
  <c r="G153" i="15"/>
  <c r="I137" i="15"/>
  <c r="G137" i="15"/>
  <c r="H137" i="15" s="1"/>
  <c r="I121" i="15"/>
  <c r="G121" i="15"/>
  <c r="I105" i="15"/>
  <c r="G105" i="15"/>
  <c r="I89" i="15"/>
  <c r="G89" i="15"/>
  <c r="G73" i="15"/>
  <c r="G57" i="15"/>
  <c r="G41" i="15"/>
  <c r="G25" i="15"/>
  <c r="G9" i="15"/>
  <c r="G207" i="15"/>
  <c r="H207" i="15" s="1"/>
  <c r="G79" i="15"/>
  <c r="I35" i="15"/>
  <c r="I632" i="15"/>
  <c r="I616" i="15"/>
  <c r="I600" i="15"/>
  <c r="I584" i="15"/>
  <c r="I568" i="15"/>
  <c r="I552" i="15"/>
  <c r="I536" i="15"/>
  <c r="I520" i="15"/>
  <c r="I504" i="15"/>
  <c r="I488" i="15"/>
  <c r="I472" i="15"/>
  <c r="I456" i="15"/>
  <c r="I440" i="15"/>
  <c r="I424" i="15"/>
  <c r="I408" i="15"/>
  <c r="I392" i="15"/>
  <c r="I376" i="15"/>
  <c r="I360" i="15"/>
  <c r="I344" i="15"/>
  <c r="I328" i="15"/>
  <c r="I312" i="15"/>
  <c r="I296" i="15"/>
  <c r="I280" i="15"/>
  <c r="I264" i="15"/>
  <c r="I248" i="15"/>
  <c r="I232" i="15"/>
  <c r="I216" i="15"/>
  <c r="I200" i="15"/>
  <c r="I184" i="15"/>
  <c r="I168" i="15"/>
  <c r="I152" i="15"/>
  <c r="I136" i="15"/>
  <c r="I120" i="15"/>
  <c r="I104" i="15"/>
  <c r="I88" i="15"/>
  <c r="G200" i="15"/>
  <c r="G72" i="15"/>
  <c r="G472" i="15"/>
  <c r="I631" i="15"/>
  <c r="G631" i="15"/>
  <c r="I615" i="15"/>
  <c r="G615" i="15"/>
  <c r="H615" i="15" s="1"/>
  <c r="I599" i="15"/>
  <c r="G599" i="15"/>
  <c r="I583" i="15"/>
  <c r="G583" i="15"/>
  <c r="H583" i="15" s="1"/>
  <c r="I567" i="15"/>
  <c r="G567" i="15"/>
  <c r="I551" i="15"/>
  <c r="G551" i="15"/>
  <c r="H551" i="15" s="1"/>
  <c r="I535" i="15"/>
  <c r="G535" i="15"/>
  <c r="I519" i="15"/>
  <c r="G519" i="15"/>
  <c r="H519" i="15" s="1"/>
  <c r="I503" i="15"/>
  <c r="G503" i="15"/>
  <c r="I487" i="15"/>
  <c r="G487" i="15"/>
  <c r="H487" i="15" s="1"/>
  <c r="I471" i="15"/>
  <c r="G471" i="15"/>
  <c r="I455" i="15"/>
  <c r="G455" i="15"/>
  <c r="H455" i="15" s="1"/>
  <c r="I439" i="15"/>
  <c r="G439" i="15"/>
  <c r="I423" i="15"/>
  <c r="G423" i="15"/>
  <c r="H423" i="15" s="1"/>
  <c r="I407" i="15"/>
  <c r="G407" i="15"/>
  <c r="I391" i="15"/>
  <c r="G391" i="15"/>
  <c r="H391" i="15" s="1"/>
  <c r="I375" i="15"/>
  <c r="G375" i="15"/>
  <c r="I359" i="15"/>
  <c r="G359" i="15"/>
  <c r="H359" i="15" s="1"/>
  <c r="I343" i="15"/>
  <c r="G343" i="15"/>
  <c r="I327" i="15"/>
  <c r="G327" i="15"/>
  <c r="H327" i="15" s="1"/>
  <c r="I311" i="15"/>
  <c r="G311" i="15"/>
  <c r="I295" i="15"/>
  <c r="G295" i="15"/>
  <c r="H295" i="15" s="1"/>
  <c r="I279" i="15"/>
  <c r="G279" i="15"/>
  <c r="I263" i="15"/>
  <c r="G263" i="15"/>
  <c r="H263" i="15" s="1"/>
  <c r="I247" i="15"/>
  <c r="G247" i="15"/>
  <c r="I231" i="15"/>
  <c r="G231" i="15"/>
  <c r="H231" i="15" s="1"/>
  <c r="I215" i="15"/>
  <c r="G215" i="15"/>
  <c r="I199" i="15"/>
  <c r="G199" i="15"/>
  <c r="H199" i="15" s="1"/>
  <c r="I183" i="15"/>
  <c r="G183" i="15"/>
  <c r="I167" i="15"/>
  <c r="G167" i="15"/>
  <c r="H167" i="15" s="1"/>
  <c r="I151" i="15"/>
  <c r="G151" i="15"/>
  <c r="I135" i="15"/>
  <c r="G135" i="15"/>
  <c r="H135" i="15" s="1"/>
  <c r="I119" i="15"/>
  <c r="G119" i="15"/>
  <c r="I103" i="15"/>
  <c r="G103" i="15"/>
  <c r="H103" i="15" s="1"/>
  <c r="I87" i="15"/>
  <c r="G87" i="15"/>
  <c r="I71" i="15"/>
  <c r="G71" i="15"/>
  <c r="H71" i="15" s="1"/>
  <c r="G55" i="15"/>
  <c r="G39" i="15"/>
  <c r="H39" i="15" s="1"/>
  <c r="G23" i="15"/>
  <c r="G7" i="15"/>
  <c r="G191" i="15"/>
  <c r="G63" i="15"/>
  <c r="G456" i="15"/>
  <c r="I630" i="15"/>
  <c r="G630" i="15"/>
  <c r="I614" i="15"/>
  <c r="G614" i="15"/>
  <c r="I598" i="15"/>
  <c r="G598" i="15"/>
  <c r="I582" i="15"/>
  <c r="G582" i="15"/>
  <c r="I566" i="15"/>
  <c r="G566" i="15"/>
  <c r="I550" i="15"/>
  <c r="G550" i="15"/>
  <c r="I534" i="15"/>
  <c r="G534" i="15"/>
  <c r="I518" i="15"/>
  <c r="G518" i="15"/>
  <c r="I502" i="15"/>
  <c r="G502" i="15"/>
  <c r="I486" i="15"/>
  <c r="G486" i="15"/>
  <c r="I470" i="15"/>
  <c r="G470" i="15"/>
  <c r="I454" i="15"/>
  <c r="G454" i="15"/>
  <c r="I438" i="15"/>
  <c r="G438" i="15"/>
  <c r="I422" i="15"/>
  <c r="G422" i="15"/>
  <c r="I406" i="15"/>
  <c r="G406" i="15"/>
  <c r="I390" i="15"/>
  <c r="G390" i="15"/>
  <c r="I374" i="15"/>
  <c r="G374" i="15"/>
  <c r="I358" i="15"/>
  <c r="G358" i="15"/>
  <c r="I342" i="15"/>
  <c r="G342" i="15"/>
  <c r="I326" i="15"/>
  <c r="G326" i="15"/>
  <c r="I310" i="15"/>
  <c r="G310" i="15"/>
  <c r="I294" i="15"/>
  <c r="G294" i="15"/>
  <c r="I278" i="15"/>
  <c r="G278" i="15"/>
  <c r="I262" i="15"/>
  <c r="G262" i="15"/>
  <c r="I246" i="15"/>
  <c r="G246" i="15"/>
  <c r="I230" i="15"/>
  <c r="G230" i="15"/>
  <c r="I214" i="15"/>
  <c r="G214" i="15"/>
  <c r="I198" i="15"/>
  <c r="G198" i="15"/>
  <c r="I182" i="15"/>
  <c r="G182" i="15"/>
  <c r="H182" i="15" s="1"/>
  <c r="I166" i="15"/>
  <c r="G166" i="15"/>
  <c r="I150" i="15"/>
  <c r="G150" i="15"/>
  <c r="I134" i="15"/>
  <c r="G134" i="15"/>
  <c r="I118" i="15"/>
  <c r="G118" i="15"/>
  <c r="I102" i="15"/>
  <c r="G102" i="15"/>
  <c r="I86" i="15"/>
  <c r="G86" i="15"/>
  <c r="G70" i="15"/>
  <c r="G54" i="15"/>
  <c r="G38" i="15"/>
  <c r="G22" i="15"/>
  <c r="G184" i="15"/>
  <c r="G56" i="15"/>
  <c r="G440" i="15"/>
  <c r="H440" i="15" s="1"/>
  <c r="I629" i="15"/>
  <c r="G629" i="15"/>
  <c r="I613" i="15"/>
  <c r="G613" i="15"/>
  <c r="H613" i="15" s="1"/>
  <c r="I597" i="15"/>
  <c r="G597" i="15"/>
  <c r="I581" i="15"/>
  <c r="G581" i="15"/>
  <c r="H581" i="15" s="1"/>
  <c r="I565" i="15"/>
  <c r="G565" i="15"/>
  <c r="I549" i="15"/>
  <c r="G549" i="15"/>
  <c r="H549" i="15" s="1"/>
  <c r="I533" i="15"/>
  <c r="G533" i="15"/>
  <c r="I517" i="15"/>
  <c r="G517" i="15"/>
  <c r="H517" i="15" s="1"/>
  <c r="I501" i="15"/>
  <c r="G501" i="15"/>
  <c r="I485" i="15"/>
  <c r="G485" i="15"/>
  <c r="H485" i="15" s="1"/>
  <c r="I469" i="15"/>
  <c r="G469" i="15"/>
  <c r="I453" i="15"/>
  <c r="G453" i="15"/>
  <c r="H453" i="15" s="1"/>
  <c r="I437" i="15"/>
  <c r="G437" i="15"/>
  <c r="I421" i="15"/>
  <c r="G421" i="15"/>
  <c r="H421" i="15" s="1"/>
  <c r="I405" i="15"/>
  <c r="G405" i="15"/>
  <c r="H405" i="15" s="1"/>
  <c r="I389" i="15"/>
  <c r="G389" i="15"/>
  <c r="H389" i="15" s="1"/>
  <c r="I373" i="15"/>
  <c r="G373" i="15"/>
  <c r="I357" i="15"/>
  <c r="G357" i="15"/>
  <c r="H357" i="15" s="1"/>
  <c r="I341" i="15"/>
  <c r="G341" i="15"/>
  <c r="I325" i="15"/>
  <c r="G325" i="15"/>
  <c r="H325" i="15" s="1"/>
  <c r="I309" i="15"/>
  <c r="G309" i="15"/>
  <c r="I293" i="15"/>
  <c r="G293" i="15"/>
  <c r="H293" i="15" s="1"/>
  <c r="I277" i="15"/>
  <c r="G277" i="15"/>
  <c r="I261" i="15"/>
  <c r="G261" i="15"/>
  <c r="H261" i="15" s="1"/>
  <c r="I245" i="15"/>
  <c r="G245" i="15"/>
  <c r="I229" i="15"/>
  <c r="G229" i="15"/>
  <c r="H229" i="15" s="1"/>
  <c r="I213" i="15"/>
  <c r="G213" i="15"/>
  <c r="I197" i="15"/>
  <c r="G197" i="15"/>
  <c r="H197" i="15" s="1"/>
  <c r="I181" i="15"/>
  <c r="G181" i="15"/>
  <c r="H181" i="15" s="1"/>
  <c r="I165" i="15"/>
  <c r="G165" i="15"/>
  <c r="H165" i="15" s="1"/>
  <c r="I149" i="15"/>
  <c r="G149" i="15"/>
  <c r="H149" i="15" s="1"/>
  <c r="I133" i="15"/>
  <c r="G133" i="15"/>
  <c r="H133" i="15" s="1"/>
  <c r="I117" i="15"/>
  <c r="G117" i="15"/>
  <c r="I101" i="15"/>
  <c r="G101" i="15"/>
  <c r="H101" i="15" s="1"/>
  <c r="I85" i="15"/>
  <c r="G175" i="15"/>
  <c r="H175" i="15" s="1"/>
  <c r="G47" i="15"/>
  <c r="G424" i="15"/>
  <c r="I69" i="15"/>
  <c r="I53" i="15"/>
  <c r="I37" i="15"/>
  <c r="I21" i="15"/>
  <c r="I5" i="15"/>
  <c r="I19" i="15"/>
  <c r="I3" i="15"/>
  <c r="I18" i="15"/>
  <c r="I48" i="15"/>
  <c r="I32" i="15"/>
  <c r="I16" i="15"/>
  <c r="I31" i="15"/>
  <c r="I15" i="15"/>
  <c r="G3" i="15"/>
  <c r="H3" i="15" s="1"/>
  <c r="I62" i="15"/>
  <c r="I46" i="15"/>
  <c r="I30" i="15"/>
  <c r="I14" i="15"/>
  <c r="I76" i="15"/>
  <c r="I60" i="15"/>
  <c r="I44" i="15"/>
  <c r="I28" i="15"/>
  <c r="I12" i="15"/>
  <c r="I75" i="15"/>
  <c r="I59" i="15"/>
  <c r="I43" i="15"/>
  <c r="I27" i="15"/>
  <c r="I11" i="15"/>
  <c r="I42" i="15"/>
  <c r="I26" i="15"/>
  <c r="I10" i="15"/>
  <c r="G85" i="15"/>
  <c r="H85" i="15" s="1"/>
  <c r="G69" i="15"/>
  <c r="G53" i="15"/>
  <c r="H53" i="15" s="1"/>
  <c r="G37" i="15"/>
  <c r="G21" i="15"/>
  <c r="H21" i="15" s="1"/>
  <c r="I73" i="15"/>
  <c r="I57" i="15"/>
  <c r="I41" i="15"/>
  <c r="I25" i="15"/>
  <c r="I9" i="15"/>
  <c r="I72" i="15"/>
  <c r="I56" i="15"/>
  <c r="I40" i="15"/>
  <c r="I24" i="15"/>
  <c r="I8" i="15"/>
  <c r="G35" i="15"/>
  <c r="G19" i="15"/>
  <c r="H19" i="15" s="1"/>
  <c r="I55" i="15"/>
  <c r="I39" i="15"/>
  <c r="I23" i="15"/>
  <c r="I7" i="15"/>
  <c r="G18" i="15"/>
  <c r="I70" i="15"/>
  <c r="I54" i="15"/>
  <c r="I38" i="15"/>
  <c r="I22" i="15"/>
  <c r="I6" i="15"/>
  <c r="G17" i="15"/>
  <c r="F562" i="15"/>
  <c r="F434" i="15"/>
  <c r="F354" i="15"/>
  <c r="F306" i="15"/>
  <c r="F274" i="15"/>
  <c r="F226" i="15"/>
  <c r="F34" i="15"/>
  <c r="F609" i="15"/>
  <c r="F561" i="15"/>
  <c r="F481" i="15"/>
  <c r="F417" i="15"/>
  <c r="F401" i="15"/>
  <c r="F337" i="15"/>
  <c r="F257" i="15"/>
  <c r="F177" i="15"/>
  <c r="F113" i="15"/>
  <c r="F17" i="15"/>
  <c r="F624" i="15"/>
  <c r="F608" i="15"/>
  <c r="F592" i="15"/>
  <c r="F576" i="15"/>
  <c r="F560" i="15"/>
  <c r="F544" i="15"/>
  <c r="F528" i="15"/>
  <c r="F512" i="15"/>
  <c r="F496" i="15"/>
  <c r="F480" i="15"/>
  <c r="F464" i="15"/>
  <c r="F448" i="15"/>
  <c r="F432" i="15"/>
  <c r="F416" i="15"/>
  <c r="F400" i="15"/>
  <c r="F384" i="15"/>
  <c r="F368" i="15"/>
  <c r="F352" i="15"/>
  <c r="F336" i="15"/>
  <c r="F320" i="15"/>
  <c r="F304" i="15"/>
  <c r="F288" i="15"/>
  <c r="F272" i="15"/>
  <c r="F256" i="15"/>
  <c r="F240" i="15"/>
  <c r="F224" i="15"/>
  <c r="F208" i="15"/>
  <c r="F192" i="15"/>
  <c r="F176" i="15"/>
  <c r="F160" i="15"/>
  <c r="F144" i="15"/>
  <c r="F128" i="15"/>
  <c r="F112" i="15"/>
  <c r="F96" i="15"/>
  <c r="F80" i="15"/>
  <c r="F64" i="15"/>
  <c r="F48" i="15"/>
  <c r="F32" i="15"/>
  <c r="F16" i="15"/>
  <c r="F546" i="15"/>
  <c r="F450" i="15"/>
  <c r="F386" i="15"/>
  <c r="F338" i="15"/>
  <c r="F290" i="15"/>
  <c r="F258" i="15"/>
  <c r="F242" i="15"/>
  <c r="F18" i="15"/>
  <c r="F577" i="15"/>
  <c r="F545" i="15"/>
  <c r="F497" i="15"/>
  <c r="F433" i="15"/>
  <c r="F369" i="15"/>
  <c r="F321" i="15"/>
  <c r="F273" i="15"/>
  <c r="F193" i="15"/>
  <c r="F129" i="15"/>
  <c r="F33" i="15"/>
  <c r="F639" i="15"/>
  <c r="F623" i="15"/>
  <c r="F607" i="15"/>
  <c r="F591" i="15"/>
  <c r="F575" i="15"/>
  <c r="F559" i="15"/>
  <c r="F543" i="15"/>
  <c r="F527" i="15"/>
  <c r="F511" i="15"/>
  <c r="F495" i="15"/>
  <c r="F479" i="15"/>
  <c r="F463" i="15"/>
  <c r="F447" i="15"/>
  <c r="F431" i="15"/>
  <c r="F415" i="15"/>
  <c r="F399" i="15"/>
  <c r="F383" i="15"/>
  <c r="F367" i="15"/>
  <c r="F351" i="15"/>
  <c r="F335" i="15"/>
  <c r="F319" i="15"/>
  <c r="F303" i="15"/>
  <c r="F287" i="15"/>
  <c r="F271" i="15"/>
  <c r="F255" i="15"/>
  <c r="F239" i="15"/>
  <c r="F223" i="15"/>
  <c r="F207" i="15"/>
  <c r="F191" i="15"/>
  <c r="F175" i="15"/>
  <c r="F159" i="15"/>
  <c r="H159" i="15" s="1"/>
  <c r="F143" i="15"/>
  <c r="F127" i="15"/>
  <c r="F111" i="15"/>
  <c r="F95" i="15"/>
  <c r="F79" i="15"/>
  <c r="F63" i="15"/>
  <c r="F47" i="15"/>
  <c r="F31" i="15"/>
  <c r="F15" i="15"/>
  <c r="H15" i="15" s="1"/>
  <c r="F482" i="15"/>
  <c r="F50" i="15"/>
  <c r="F593" i="15"/>
  <c r="F513" i="15"/>
  <c r="F465" i="15"/>
  <c r="F353" i="15"/>
  <c r="F289" i="15"/>
  <c r="F225" i="15"/>
  <c r="F145" i="15"/>
  <c r="F65" i="15"/>
  <c r="F638" i="15"/>
  <c r="F622" i="15"/>
  <c r="F606" i="15"/>
  <c r="F590" i="15"/>
  <c r="F574" i="15"/>
  <c r="F558" i="15"/>
  <c r="F542" i="15"/>
  <c r="F526" i="15"/>
  <c r="F510" i="15"/>
  <c r="F494" i="15"/>
  <c r="F478" i="15"/>
  <c r="F462" i="15"/>
  <c r="F446" i="15"/>
  <c r="F430" i="15"/>
  <c r="F414" i="15"/>
  <c r="F398" i="15"/>
  <c r="F382" i="15"/>
  <c r="F366" i="15"/>
  <c r="F350" i="15"/>
  <c r="F334" i="15"/>
  <c r="F318" i="15"/>
  <c r="F302" i="15"/>
  <c r="F286" i="15"/>
  <c r="F270" i="15"/>
  <c r="F254" i="15"/>
  <c r="F238" i="15"/>
  <c r="F222" i="15"/>
  <c r="F206" i="15"/>
  <c r="F190" i="15"/>
  <c r="F174" i="15"/>
  <c r="F158" i="15"/>
  <c r="F142" i="15"/>
  <c r="F126" i="15"/>
  <c r="F110" i="15"/>
  <c r="F94" i="15"/>
  <c r="F78" i="15"/>
  <c r="F62" i="15"/>
  <c r="F46" i="15"/>
  <c r="F30" i="15"/>
  <c r="F14" i="15"/>
  <c r="F594" i="15"/>
  <c r="F466" i="15"/>
  <c r="F370" i="15"/>
  <c r="F66" i="15"/>
  <c r="F625" i="15"/>
  <c r="F529" i="15"/>
  <c r="F449" i="15"/>
  <c r="F385" i="15"/>
  <c r="F305" i="15"/>
  <c r="F241" i="15"/>
  <c r="F161" i="15"/>
  <c r="F97" i="15"/>
  <c r="F49" i="15"/>
  <c r="F637" i="15"/>
  <c r="F621" i="15"/>
  <c r="F605" i="15"/>
  <c r="F589" i="15"/>
  <c r="F573" i="15"/>
  <c r="F557" i="15"/>
  <c r="F541" i="15"/>
  <c r="F525" i="15"/>
  <c r="F509" i="15"/>
  <c r="F493" i="15"/>
  <c r="F477" i="15"/>
  <c r="F461" i="15"/>
  <c r="F445" i="15"/>
  <c r="F429" i="15"/>
  <c r="F413" i="15"/>
  <c r="F397" i="15"/>
  <c r="F381" i="15"/>
  <c r="F365" i="15"/>
  <c r="F349" i="15"/>
  <c r="F333" i="15"/>
  <c r="F317" i="15"/>
  <c r="F301" i="15"/>
  <c r="F285" i="15"/>
  <c r="F269" i="15"/>
  <c r="F253" i="15"/>
  <c r="F237" i="15"/>
  <c r="F221" i="15"/>
  <c r="F205" i="15"/>
  <c r="F189" i="15"/>
  <c r="F173" i="15"/>
  <c r="F157" i="15"/>
  <c r="F141" i="15"/>
  <c r="F125" i="15"/>
  <c r="F109" i="15"/>
  <c r="F93" i="15"/>
  <c r="F77" i="15"/>
  <c r="F61" i="15"/>
  <c r="F45" i="15"/>
  <c r="F29" i="15"/>
  <c r="F13" i="15"/>
  <c r="F210" i="15"/>
  <c r="F81" i="15"/>
  <c r="F636" i="15"/>
  <c r="F620" i="15"/>
  <c r="F604" i="15"/>
  <c r="F588" i="15"/>
  <c r="F572" i="15"/>
  <c r="F556" i="15"/>
  <c r="F540" i="15"/>
  <c r="F524" i="15"/>
  <c r="F508" i="15"/>
  <c r="F492" i="15"/>
  <c r="F476" i="15"/>
  <c r="F460" i="15"/>
  <c r="F444" i="15"/>
  <c r="F428" i="15"/>
  <c r="F412" i="15"/>
  <c r="F396" i="15"/>
  <c r="F380" i="15"/>
  <c r="F364" i="15"/>
  <c r="F348" i="15"/>
  <c r="F332" i="15"/>
  <c r="F316" i="15"/>
  <c r="F300" i="15"/>
  <c r="F284" i="15"/>
  <c r="F268" i="15"/>
  <c r="F252" i="15"/>
  <c r="F236" i="15"/>
  <c r="F220" i="15"/>
  <c r="F204" i="15"/>
  <c r="F188" i="15"/>
  <c r="F172" i="15"/>
  <c r="F156" i="15"/>
  <c r="F140" i="15"/>
  <c r="F124" i="15"/>
  <c r="F108" i="15"/>
  <c r="F92" i="15"/>
  <c r="F76" i="15"/>
  <c r="F60" i="15"/>
  <c r="F44" i="15"/>
  <c r="F28" i="15"/>
  <c r="F12" i="15"/>
  <c r="F209" i="15"/>
  <c r="F635" i="15"/>
  <c r="F619" i="15"/>
  <c r="F603" i="15"/>
  <c r="F587" i="15"/>
  <c r="F571" i="15"/>
  <c r="F555" i="15"/>
  <c r="F539" i="15"/>
  <c r="F523" i="15"/>
  <c r="F507" i="15"/>
  <c r="F491" i="15"/>
  <c r="F475" i="15"/>
  <c r="F459" i="15"/>
  <c r="F443" i="15"/>
  <c r="F427" i="15"/>
  <c r="F411" i="15"/>
  <c r="F395" i="15"/>
  <c r="F379" i="15"/>
  <c r="F363" i="15"/>
  <c r="F347" i="15"/>
  <c r="F331" i="15"/>
  <c r="F315" i="15"/>
  <c r="F299" i="15"/>
  <c r="F283" i="15"/>
  <c r="F267" i="15"/>
  <c r="F251" i="15"/>
  <c r="F235" i="15"/>
  <c r="F219" i="15"/>
  <c r="F203" i="15"/>
  <c r="F187" i="15"/>
  <c r="F171" i="15"/>
  <c r="F155" i="15"/>
  <c r="F139" i="15"/>
  <c r="F123" i="15"/>
  <c r="F107" i="15"/>
  <c r="F91" i="15"/>
  <c r="F75" i="15"/>
  <c r="F59" i="15"/>
  <c r="F43" i="15"/>
  <c r="F27" i="15"/>
  <c r="F11" i="15"/>
  <c r="F602" i="15"/>
  <c r="F586" i="15"/>
  <c r="F570" i="15"/>
  <c r="F554" i="15"/>
  <c r="F538" i="15"/>
  <c r="F522" i="15"/>
  <c r="F506" i="15"/>
  <c r="F490" i="15"/>
  <c r="F474" i="15"/>
  <c r="F458" i="15"/>
  <c r="F442" i="15"/>
  <c r="F426" i="15"/>
  <c r="F410" i="15"/>
  <c r="F394" i="15"/>
  <c r="F378" i="15"/>
  <c r="F362" i="15"/>
  <c r="F346" i="15"/>
  <c r="F330" i="15"/>
  <c r="F314" i="15"/>
  <c r="F298" i="15"/>
  <c r="F282" i="15"/>
  <c r="F266" i="15"/>
  <c r="F250" i="15"/>
  <c r="F234" i="15"/>
  <c r="F218" i="15"/>
  <c r="F202" i="15"/>
  <c r="F186" i="15"/>
  <c r="F170" i="15"/>
  <c r="F154" i="15"/>
  <c r="F138" i="15"/>
  <c r="F122" i="15"/>
  <c r="F106" i="15"/>
  <c r="F90" i="15"/>
  <c r="F74" i="15"/>
  <c r="F58" i="15"/>
  <c r="F42" i="15"/>
  <c r="F26" i="15"/>
  <c r="F10" i="15"/>
  <c r="F498" i="15"/>
  <c r="F402" i="15"/>
  <c r="F98" i="15"/>
  <c r="F618" i="15"/>
  <c r="F633" i="15"/>
  <c r="F617" i="15"/>
  <c r="F601" i="15"/>
  <c r="F585" i="15"/>
  <c r="F569" i="15"/>
  <c r="F553" i="15"/>
  <c r="F537" i="15"/>
  <c r="F521" i="15"/>
  <c r="F505" i="15"/>
  <c r="F489" i="15"/>
  <c r="F473" i="15"/>
  <c r="F457" i="15"/>
  <c r="F441" i="15"/>
  <c r="F425" i="15"/>
  <c r="F409" i="15"/>
  <c r="F393" i="15"/>
  <c r="F377" i="15"/>
  <c r="F361" i="15"/>
  <c r="F345" i="15"/>
  <c r="F329" i="15"/>
  <c r="F313" i="15"/>
  <c r="F297" i="15"/>
  <c r="F281" i="15"/>
  <c r="F265" i="15"/>
  <c r="F249" i="15"/>
  <c r="F233" i="15"/>
  <c r="F217" i="15"/>
  <c r="F201" i="15"/>
  <c r="F185" i="15"/>
  <c r="F169" i="15"/>
  <c r="F153" i="15"/>
  <c r="F137" i="15"/>
  <c r="F121" i="15"/>
  <c r="F105" i="15"/>
  <c r="F89" i="15"/>
  <c r="F73" i="15"/>
  <c r="F57" i="15"/>
  <c r="F41" i="15"/>
  <c r="F25" i="15"/>
  <c r="F9" i="15"/>
  <c r="F130" i="15"/>
  <c r="F8" i="15"/>
  <c r="F82" i="15"/>
  <c r="F530" i="15"/>
  <c r="F146" i="15"/>
  <c r="F162" i="15"/>
  <c r="F578" i="15"/>
  <c r="F418" i="15"/>
  <c r="F114" i="15"/>
  <c r="F634" i="15"/>
  <c r="F216" i="15"/>
  <c r="H216" i="15" s="1"/>
  <c r="F612" i="15"/>
  <c r="F596" i="15"/>
  <c r="F580" i="15"/>
  <c r="F168" i="15"/>
  <c r="F548" i="15"/>
  <c r="F532" i="15"/>
  <c r="F516" i="15"/>
  <c r="F500" i="15"/>
  <c r="F484" i="15"/>
  <c r="F468" i="15"/>
  <c r="F452" i="15"/>
  <c r="F436" i="15"/>
  <c r="F420" i="15"/>
  <c r="F404" i="15"/>
  <c r="F388" i="15"/>
  <c r="F372" i="15"/>
  <c r="F356" i="15"/>
  <c r="F340" i="15"/>
  <c r="F324" i="15"/>
  <c r="F308" i="15"/>
  <c r="F292" i="15"/>
  <c r="F276" i="15"/>
  <c r="F260" i="15"/>
  <c r="F244" i="15"/>
  <c r="F228" i="15"/>
  <c r="F212" i="15"/>
  <c r="F196" i="15"/>
  <c r="F180" i="15"/>
  <c r="F164" i="15"/>
  <c r="F148" i="15"/>
  <c r="F132" i="15"/>
  <c r="F116" i="15"/>
  <c r="F100" i="15"/>
  <c r="F84" i="15"/>
  <c r="F68" i="15"/>
  <c r="F52" i="15"/>
  <c r="F136" i="15"/>
  <c r="H136" i="15" s="1"/>
  <c r="F20" i="15"/>
  <c r="F4" i="15"/>
  <c r="F178" i="15"/>
  <c r="F627" i="15"/>
  <c r="F611" i="15"/>
  <c r="F595" i="15"/>
  <c r="F579" i="15"/>
  <c r="F563" i="15"/>
  <c r="F547" i="15"/>
  <c r="F531" i="15"/>
  <c r="F515" i="15"/>
  <c r="F499" i="15"/>
  <c r="F483" i="15"/>
  <c r="F467" i="15"/>
  <c r="F451" i="15"/>
  <c r="F435" i="15"/>
  <c r="F419" i="15"/>
  <c r="F403" i="15"/>
  <c r="F387" i="15"/>
  <c r="F371" i="15"/>
  <c r="F355" i="15"/>
  <c r="F339" i="15"/>
  <c r="F323" i="15"/>
  <c r="F307" i="15"/>
  <c r="F291" i="15"/>
  <c r="F275" i="15"/>
  <c r="F259" i="15"/>
  <c r="F243" i="15"/>
  <c r="F227" i="15"/>
  <c r="F211" i="15"/>
  <c r="F195" i="15"/>
  <c r="F179" i="15"/>
  <c r="F163" i="15"/>
  <c r="F147" i="15"/>
  <c r="F131" i="15"/>
  <c r="F115" i="15"/>
  <c r="F99" i="15"/>
  <c r="F83" i="15"/>
  <c r="F67" i="15"/>
  <c r="F51" i="15"/>
  <c r="F35" i="15"/>
  <c r="F19" i="15"/>
  <c r="F7" i="15"/>
  <c r="F616" i="15"/>
  <c r="H616" i="15" s="1"/>
  <c r="F392" i="15"/>
  <c r="F24" i="15"/>
  <c r="F631" i="15"/>
  <c r="F615" i="15"/>
  <c r="F599" i="15"/>
  <c r="F583" i="15"/>
  <c r="F567" i="15"/>
  <c r="F551" i="15"/>
  <c r="F535" i="15"/>
  <c r="F519" i="15"/>
  <c r="F503" i="15"/>
  <c r="F487" i="15"/>
  <c r="F471" i="15"/>
  <c r="F455" i="15"/>
  <c r="F439" i="15"/>
  <c r="F423" i="15"/>
  <c r="F407" i="15"/>
  <c r="F391" i="15"/>
  <c r="F375" i="15"/>
  <c r="F359" i="15"/>
  <c r="F343" i="15"/>
  <c r="F327" i="15"/>
  <c r="F311" i="15"/>
  <c r="F295" i="15"/>
  <c r="F279" i="15"/>
  <c r="F263" i="15"/>
  <c r="F247" i="15"/>
  <c r="F231" i="15"/>
  <c r="F215" i="15"/>
  <c r="F199" i="15"/>
  <c r="F183" i="15"/>
  <c r="F167" i="15"/>
  <c r="F151" i="15"/>
  <c r="F135" i="15"/>
  <c r="F119" i="15"/>
  <c r="F103" i="15"/>
  <c r="F87" i="15"/>
  <c r="F71" i="15"/>
  <c r="F55" i="15"/>
  <c r="F39" i="15"/>
  <c r="F23" i="15"/>
  <c r="F568" i="15"/>
  <c r="H568" i="15" s="1"/>
  <c r="F72" i="15"/>
  <c r="F630" i="15"/>
  <c r="F614" i="15"/>
  <c r="F598" i="15"/>
  <c r="F582" i="15"/>
  <c r="F566" i="15"/>
  <c r="F550" i="15"/>
  <c r="F534" i="15"/>
  <c r="F518" i="15"/>
  <c r="F502" i="15"/>
  <c r="F486" i="15"/>
  <c r="F470" i="15"/>
  <c r="F454" i="15"/>
  <c r="F438" i="15"/>
  <c r="F422" i="15"/>
  <c r="F406" i="15"/>
  <c r="F390" i="15"/>
  <c r="F374" i="15"/>
  <c r="F358" i="15"/>
  <c r="F342" i="15"/>
  <c r="F326" i="15"/>
  <c r="F310" i="15"/>
  <c r="F294" i="15"/>
  <c r="F278" i="15"/>
  <c r="F262" i="15"/>
  <c r="F246" i="15"/>
  <c r="F230" i="15"/>
  <c r="F214" i="15"/>
  <c r="F198" i="15"/>
  <c r="F182" i="15"/>
  <c r="F166" i="15"/>
  <c r="F150" i="15"/>
  <c r="F134" i="15"/>
  <c r="F118" i="15"/>
  <c r="F102" i="15"/>
  <c r="F86" i="15"/>
  <c r="F70" i="15"/>
  <c r="F54" i="15"/>
  <c r="F38" i="15"/>
  <c r="F22" i="15"/>
  <c r="F600" i="15"/>
  <c r="H600" i="15" s="1"/>
  <c r="F488" i="15"/>
  <c r="H488" i="15" s="1"/>
  <c r="F376" i="15"/>
  <c r="H376" i="15" s="1"/>
  <c r="F312" i="15"/>
  <c r="H312" i="15" s="1"/>
  <c r="F280" i="15"/>
  <c r="H280" i="15" s="1"/>
  <c r="F264" i="15"/>
  <c r="H264" i="15" s="1"/>
  <c r="F184" i="15"/>
  <c r="F3" i="15"/>
  <c r="F629" i="15"/>
  <c r="F613" i="15"/>
  <c r="F597" i="15"/>
  <c r="F581" i="15"/>
  <c r="F565" i="15"/>
  <c r="F549" i="15"/>
  <c r="F533" i="15"/>
  <c r="F517" i="15"/>
  <c r="F501" i="15"/>
  <c r="F485" i="15"/>
  <c r="F469" i="15"/>
  <c r="F453" i="15"/>
  <c r="F437" i="15"/>
  <c r="F421" i="15"/>
  <c r="F405" i="15"/>
  <c r="F389" i="15"/>
  <c r="F373" i="15"/>
  <c r="F357" i="15"/>
  <c r="F341" i="15"/>
  <c r="F325" i="15"/>
  <c r="F309" i="15"/>
  <c r="F293" i="15"/>
  <c r="F277" i="15"/>
  <c r="F261" i="15"/>
  <c r="F245" i="15"/>
  <c r="F229" i="15"/>
  <c r="F213" i="15"/>
  <c r="F197" i="15"/>
  <c r="F181" i="15"/>
  <c r="F165" i="15"/>
  <c r="F149" i="15"/>
  <c r="F133" i="15"/>
  <c r="F117" i="15"/>
  <c r="F101" i="15"/>
  <c r="F85" i="15"/>
  <c r="F69" i="15"/>
  <c r="F53" i="15"/>
  <c r="F37" i="15"/>
  <c r="F21" i="15"/>
  <c r="F440" i="15"/>
  <c r="F232" i="15"/>
  <c r="H232" i="15" s="1"/>
  <c r="F6" i="15"/>
  <c r="F628" i="15"/>
  <c r="F564" i="15"/>
  <c r="F36" i="15"/>
  <c r="F248" i="15"/>
  <c r="H248" i="15" s="1"/>
  <c r="F5" i="15"/>
  <c r="F152" i="15"/>
  <c r="F200" i="15"/>
  <c r="F536" i="15"/>
  <c r="H536" i="15" s="1"/>
  <c r="F472" i="15"/>
  <c r="F344" i="15"/>
  <c r="H344" i="15" s="1"/>
  <c r="F120" i="15"/>
  <c r="H120" i="15" s="1"/>
  <c r="F632" i="15"/>
  <c r="H632" i="15" s="1"/>
  <c r="F424" i="15"/>
  <c r="F88" i="15"/>
  <c r="H88" i="15" s="1"/>
  <c r="F552" i="15"/>
  <c r="H552" i="15" s="1"/>
  <c r="F456" i="15"/>
  <c r="F328" i="15"/>
  <c r="H328" i="15" s="1"/>
  <c r="F40" i="15"/>
  <c r="F584" i="15"/>
  <c r="H584" i="15" s="1"/>
  <c r="F56" i="15"/>
  <c r="F520" i="15"/>
  <c r="H520" i="15" s="1"/>
  <c r="F408" i="15"/>
  <c r="F360" i="15"/>
  <c r="F296" i="15"/>
  <c r="H296" i="15" s="1"/>
  <c r="F104" i="15"/>
  <c r="H104" i="15" s="1"/>
  <c r="F504" i="15"/>
  <c r="H504" i="15" s="1"/>
  <c r="Y562" i="13"/>
  <c r="AR289" i="7"/>
  <c r="AN5" i="5"/>
  <c r="V2" i="13" s="1"/>
  <c r="U2" i="13" s="1"/>
  <c r="AM113" i="7"/>
  <c r="AK271" i="7"/>
  <c r="AN571" i="5"/>
  <c r="V568" i="13" s="1"/>
  <c r="U568" i="13" s="1"/>
  <c r="AN443" i="5"/>
  <c r="V440" i="13" s="1"/>
  <c r="U440" i="13" s="1"/>
  <c r="AN315" i="5"/>
  <c r="V312" i="13" s="1"/>
  <c r="AN187" i="5"/>
  <c r="V184" i="13" s="1"/>
  <c r="U184" i="13" s="1"/>
  <c r="AR30" i="7"/>
  <c r="AL496" i="7"/>
  <c r="AL500" i="7"/>
  <c r="AL524" i="7"/>
  <c r="AN555" i="5"/>
  <c r="V552" i="13" s="1"/>
  <c r="AN427" i="5"/>
  <c r="V424" i="13" s="1"/>
  <c r="U424" i="13" s="1"/>
  <c r="AN299" i="5"/>
  <c r="V296" i="13" s="1"/>
  <c r="U296" i="13" s="1"/>
  <c r="AK64" i="7"/>
  <c r="AK80" i="7"/>
  <c r="AK132" i="7"/>
  <c r="AR406" i="7"/>
  <c r="AL53" i="7"/>
  <c r="AP113" i="7"/>
  <c r="AN539" i="5"/>
  <c r="V536" i="13" s="1"/>
  <c r="AN411" i="5"/>
  <c r="V408" i="13" s="1"/>
  <c r="U408" i="13" s="1"/>
  <c r="AN283" i="5"/>
  <c r="V280" i="13" s="1"/>
  <c r="U280" i="13" s="1"/>
  <c r="AL361" i="7"/>
  <c r="AL393" i="7"/>
  <c r="AK407" i="7"/>
  <c r="AN523" i="5"/>
  <c r="V520" i="13" s="1"/>
  <c r="U520" i="13" s="1"/>
  <c r="AN395" i="5"/>
  <c r="V392" i="13" s="1"/>
  <c r="U392" i="13" s="1"/>
  <c r="AN267" i="5"/>
  <c r="V264" i="13" s="1"/>
  <c r="AN635" i="5"/>
  <c r="V632" i="13" s="1"/>
  <c r="U632" i="13" s="1"/>
  <c r="AN507" i="5"/>
  <c r="V504" i="13" s="1"/>
  <c r="AN379" i="5"/>
  <c r="V376" i="13" s="1"/>
  <c r="U376" i="13" s="1"/>
  <c r="AN251" i="5"/>
  <c r="V248" i="13" s="1"/>
  <c r="U248" i="13" s="1"/>
  <c r="T2" i="13"/>
  <c r="AR300" i="7"/>
  <c r="AN619" i="5"/>
  <c r="V616" i="13" s="1"/>
  <c r="U616" i="13" s="1"/>
  <c r="AN491" i="5"/>
  <c r="V488" i="13" s="1"/>
  <c r="U488" i="13" s="1"/>
  <c r="AN363" i="5"/>
  <c r="V360" i="13" s="1"/>
  <c r="AN235" i="5"/>
  <c r="V232" i="13" s="1"/>
  <c r="U232" i="13" s="1"/>
  <c r="S12" i="13"/>
  <c r="AP623" i="7"/>
  <c r="S11" i="13"/>
  <c r="U109" i="13"/>
  <c r="U77" i="13"/>
  <c r="AN603" i="5"/>
  <c r="V600" i="13" s="1"/>
  <c r="U600" i="13" s="1"/>
  <c r="AN475" i="5"/>
  <c r="V472" i="13" s="1"/>
  <c r="U472" i="13" s="1"/>
  <c r="AN347" i="5"/>
  <c r="V344" i="13" s="1"/>
  <c r="U344" i="13" s="1"/>
  <c r="AN219" i="5"/>
  <c r="V216" i="13" s="1"/>
  <c r="U216" i="13" s="1"/>
  <c r="S188" i="13"/>
  <c r="AR581" i="7"/>
  <c r="AR585" i="7"/>
  <c r="AN638" i="5"/>
  <c r="AO638" i="5"/>
  <c r="AP638" i="5" s="1"/>
  <c r="O635" i="13" s="1"/>
  <c r="P635" i="13" s="1"/>
  <c r="AO622" i="5"/>
  <c r="AP622" i="5" s="1"/>
  <c r="O619" i="13" s="1"/>
  <c r="P619" i="13" s="1"/>
  <c r="AN622" i="5"/>
  <c r="AO606" i="5"/>
  <c r="AP606" i="5" s="1"/>
  <c r="O603" i="13" s="1"/>
  <c r="P603" i="13" s="1"/>
  <c r="AN606" i="5"/>
  <c r="T587" i="13"/>
  <c r="AN590" i="5"/>
  <c r="V587" i="13" s="1"/>
  <c r="U587" i="13" s="1"/>
  <c r="AO590" i="5"/>
  <c r="X587" i="13" s="1"/>
  <c r="W587" i="13" s="1"/>
  <c r="AN574" i="5"/>
  <c r="AO574" i="5"/>
  <c r="AP574" i="5" s="1"/>
  <c r="O571" i="13" s="1"/>
  <c r="P571" i="13" s="1"/>
  <c r="T555" i="13"/>
  <c r="AO558" i="5"/>
  <c r="X555" i="13" s="1"/>
  <c r="W555" i="13" s="1"/>
  <c r="AN558" i="5"/>
  <c r="V555" i="13" s="1"/>
  <c r="U555" i="13" s="1"/>
  <c r="T539" i="13"/>
  <c r="AO542" i="5"/>
  <c r="X539" i="13" s="1"/>
  <c r="AN542" i="5"/>
  <c r="V539" i="13" s="1"/>
  <c r="T523" i="13"/>
  <c r="AN526" i="5"/>
  <c r="V523" i="13" s="1"/>
  <c r="U523" i="13" s="1"/>
  <c r="AO526" i="5"/>
  <c r="X523" i="13" s="1"/>
  <c r="W523" i="13" s="1"/>
  <c r="T507" i="13"/>
  <c r="AN510" i="5"/>
  <c r="V507" i="13" s="1"/>
  <c r="AO510" i="5"/>
  <c r="X507" i="13" s="1"/>
  <c r="T491" i="13"/>
  <c r="AO494" i="5"/>
  <c r="X491" i="13" s="1"/>
  <c r="AN494" i="5"/>
  <c r="V491" i="13" s="1"/>
  <c r="T475" i="13"/>
  <c r="S475" i="13" s="1"/>
  <c r="AO478" i="5"/>
  <c r="X475" i="13" s="1"/>
  <c r="W475" i="13" s="1"/>
  <c r="AN478" i="5"/>
  <c r="V475" i="13" s="1"/>
  <c r="U475" i="13" s="1"/>
  <c r="T459" i="13"/>
  <c r="AN462" i="5"/>
  <c r="V459" i="13" s="1"/>
  <c r="AO462" i="5"/>
  <c r="X459" i="13" s="1"/>
  <c r="T443" i="13"/>
  <c r="AO446" i="5"/>
  <c r="X443" i="13" s="1"/>
  <c r="W443" i="13" s="1"/>
  <c r="AN446" i="5"/>
  <c r="V443" i="13" s="1"/>
  <c r="U443" i="13" s="1"/>
  <c r="T427" i="13"/>
  <c r="AO430" i="5"/>
  <c r="X427" i="13" s="1"/>
  <c r="W427" i="13" s="1"/>
  <c r="AN430" i="5"/>
  <c r="V427" i="13" s="1"/>
  <c r="U427" i="13" s="1"/>
  <c r="T411" i="13"/>
  <c r="AN414" i="5"/>
  <c r="V411" i="13" s="1"/>
  <c r="U411" i="13" s="1"/>
  <c r="AO414" i="5"/>
  <c r="X411" i="13" s="1"/>
  <c r="W411" i="13" s="1"/>
  <c r="T395" i="13"/>
  <c r="S395" i="13" s="1"/>
  <c r="AO398" i="5"/>
  <c r="X395" i="13" s="1"/>
  <c r="W395" i="13" s="1"/>
  <c r="AN398" i="5"/>
  <c r="V395" i="13" s="1"/>
  <c r="U395" i="13" s="1"/>
  <c r="T379" i="13"/>
  <c r="AO382" i="5"/>
  <c r="X379" i="13" s="1"/>
  <c r="AN382" i="5"/>
  <c r="V379" i="13" s="1"/>
  <c r="T363" i="13"/>
  <c r="AN366" i="5"/>
  <c r="V363" i="13" s="1"/>
  <c r="AO366" i="5"/>
  <c r="X363" i="13" s="1"/>
  <c r="T347" i="13"/>
  <c r="AO350" i="5"/>
  <c r="X347" i="13" s="1"/>
  <c r="AN350" i="5"/>
  <c r="V347" i="13" s="1"/>
  <c r="T331" i="13"/>
  <c r="AO334" i="5"/>
  <c r="X331" i="13" s="1"/>
  <c r="W331" i="13" s="1"/>
  <c r="AN334" i="5"/>
  <c r="V331" i="13" s="1"/>
  <c r="U331" i="13" s="1"/>
  <c r="T315" i="13"/>
  <c r="AN318" i="5"/>
  <c r="V315" i="13" s="1"/>
  <c r="U315" i="13" s="1"/>
  <c r="AO318" i="5"/>
  <c r="X315" i="13" s="1"/>
  <c r="W315" i="13" s="1"/>
  <c r="T299" i="13"/>
  <c r="AN302" i="5"/>
  <c r="V299" i="13" s="1"/>
  <c r="U299" i="13" s="1"/>
  <c r="AO302" i="5"/>
  <c r="X299" i="13" s="1"/>
  <c r="W299" i="13" s="1"/>
  <c r="T283" i="13"/>
  <c r="AO286" i="5"/>
  <c r="X283" i="13" s="1"/>
  <c r="AN286" i="5"/>
  <c r="V283" i="13" s="1"/>
  <c r="T267" i="13"/>
  <c r="S267" i="13" s="1"/>
  <c r="AN270" i="5"/>
  <c r="V267" i="13" s="1"/>
  <c r="U267" i="13" s="1"/>
  <c r="AO270" i="5"/>
  <c r="X267" i="13" s="1"/>
  <c r="W267" i="13" s="1"/>
  <c r="T251" i="13"/>
  <c r="AO254" i="5"/>
  <c r="X251" i="13" s="1"/>
  <c r="W251" i="13" s="1"/>
  <c r="AN254" i="5"/>
  <c r="V251" i="13" s="1"/>
  <c r="U251" i="13" s="1"/>
  <c r="T235" i="13"/>
  <c r="AN238" i="5"/>
  <c r="V235" i="13" s="1"/>
  <c r="U235" i="13" s="1"/>
  <c r="AO238" i="5"/>
  <c r="X235" i="13" s="1"/>
  <c r="W235" i="13" s="1"/>
  <c r="T219" i="13"/>
  <c r="S219" i="13" s="1"/>
  <c r="AO222" i="5"/>
  <c r="X219" i="13" s="1"/>
  <c r="W219" i="13" s="1"/>
  <c r="AN222" i="5"/>
  <c r="V219" i="13" s="1"/>
  <c r="U219" i="13" s="1"/>
  <c r="T203" i="13"/>
  <c r="AN206" i="5"/>
  <c r="V203" i="13" s="1"/>
  <c r="U203" i="13" s="1"/>
  <c r="AO206" i="5"/>
  <c r="X203" i="13" s="1"/>
  <c r="W203" i="13" s="1"/>
  <c r="T187" i="13"/>
  <c r="AO190" i="5"/>
  <c r="X187" i="13" s="1"/>
  <c r="W187" i="13" s="1"/>
  <c r="AN190" i="5"/>
  <c r="V187" i="13" s="1"/>
  <c r="U187" i="13" s="1"/>
  <c r="T171" i="13"/>
  <c r="AN174" i="5"/>
  <c r="V171" i="13" s="1"/>
  <c r="U171" i="13" s="1"/>
  <c r="AO174" i="5"/>
  <c r="X171" i="13" s="1"/>
  <c r="W171" i="13" s="1"/>
  <c r="T155" i="13"/>
  <c r="AO158" i="5"/>
  <c r="X155" i="13" s="1"/>
  <c r="W155" i="13" s="1"/>
  <c r="AN158" i="5"/>
  <c r="V155" i="13" s="1"/>
  <c r="U155" i="13" s="1"/>
  <c r="T139" i="13"/>
  <c r="S139" i="13" s="1"/>
  <c r="AO142" i="5"/>
  <c r="X139" i="13" s="1"/>
  <c r="W139" i="13" s="1"/>
  <c r="AN142" i="5"/>
  <c r="V139" i="13" s="1"/>
  <c r="U139" i="13" s="1"/>
  <c r="T123" i="13"/>
  <c r="AN126" i="5"/>
  <c r="V123" i="13" s="1"/>
  <c r="U123" i="13" s="1"/>
  <c r="AO126" i="5"/>
  <c r="X123" i="13" s="1"/>
  <c r="W123" i="13" s="1"/>
  <c r="T107" i="13"/>
  <c r="AO110" i="5"/>
  <c r="X107" i="13" s="1"/>
  <c r="AN110" i="5"/>
  <c r="V107" i="13" s="1"/>
  <c r="T91" i="13"/>
  <c r="AO94" i="5"/>
  <c r="X91" i="13" s="1"/>
  <c r="W91" i="13" s="1"/>
  <c r="AN94" i="5"/>
  <c r="V91" i="13" s="1"/>
  <c r="U91" i="13" s="1"/>
  <c r="T75" i="13"/>
  <c r="AO78" i="5"/>
  <c r="X75" i="13" s="1"/>
  <c r="AN78" i="5"/>
  <c r="V75" i="13" s="1"/>
  <c r="AP25" i="7"/>
  <c r="AM30" i="7"/>
  <c r="AR94" i="7"/>
  <c r="AR98" i="7"/>
  <c r="AM453" i="7"/>
  <c r="AM42" i="7"/>
  <c r="AM46" i="7"/>
  <c r="AP58" i="7"/>
  <c r="AL119" i="7"/>
  <c r="AR235" i="7"/>
  <c r="AL409" i="7"/>
  <c r="AL425" i="7"/>
  <c r="AM498" i="7"/>
  <c r="T629" i="13"/>
  <c r="AN632" i="5"/>
  <c r="V629" i="13" s="1"/>
  <c r="U629" i="13" s="1"/>
  <c r="AO632" i="5"/>
  <c r="X629" i="13" s="1"/>
  <c r="W629" i="13" s="1"/>
  <c r="T613" i="13"/>
  <c r="AN616" i="5"/>
  <c r="V613" i="13" s="1"/>
  <c r="U613" i="13" s="1"/>
  <c r="AO616" i="5"/>
  <c r="X613" i="13" s="1"/>
  <c r="W613" i="13" s="1"/>
  <c r="T597" i="13"/>
  <c r="AO600" i="5"/>
  <c r="X597" i="13" s="1"/>
  <c r="W597" i="13" s="1"/>
  <c r="AN600" i="5"/>
  <c r="V597" i="13" s="1"/>
  <c r="U597" i="13" s="1"/>
  <c r="AN584" i="5"/>
  <c r="AO584" i="5"/>
  <c r="AP584" i="5" s="1"/>
  <c r="O581" i="13" s="1"/>
  <c r="P581" i="13" s="1"/>
  <c r="AN568" i="5"/>
  <c r="AO568" i="5"/>
  <c r="AP568" i="5" s="1"/>
  <c r="O565" i="13" s="1"/>
  <c r="P565" i="13" s="1"/>
  <c r="AN552" i="5"/>
  <c r="V549" i="13" s="1"/>
  <c r="U549" i="13" s="1"/>
  <c r="T549" i="13"/>
  <c r="AO552" i="5"/>
  <c r="X549" i="13" s="1"/>
  <c r="W549" i="13" s="1"/>
  <c r="AO536" i="5"/>
  <c r="X533" i="13" s="1"/>
  <c r="AN536" i="5"/>
  <c r="V533" i="13" s="1"/>
  <c r="T533" i="13"/>
  <c r="AN520" i="5"/>
  <c r="V517" i="13" s="1"/>
  <c r="U517" i="13" s="1"/>
  <c r="AO520" i="5"/>
  <c r="X517" i="13" s="1"/>
  <c r="W517" i="13" s="1"/>
  <c r="T517" i="13"/>
  <c r="S517" i="13" s="1"/>
  <c r="AN504" i="5"/>
  <c r="V501" i="13" s="1"/>
  <c r="T501" i="13"/>
  <c r="AO504" i="5"/>
  <c r="X501" i="13" s="1"/>
  <c r="T485" i="13"/>
  <c r="AN488" i="5"/>
  <c r="V485" i="13" s="1"/>
  <c r="AO488" i="5"/>
  <c r="X485" i="13" s="1"/>
  <c r="AM131" i="7"/>
  <c r="AP478" i="7"/>
  <c r="AL493" i="7"/>
  <c r="AP194" i="7"/>
  <c r="AP206" i="7"/>
  <c r="AL411" i="7"/>
  <c r="AK413" i="7"/>
  <c r="AR132" i="7"/>
  <c r="AK180" i="7"/>
  <c r="AK196" i="7"/>
  <c r="AK94" i="7"/>
  <c r="AK98" i="7"/>
  <c r="AK114" i="7"/>
  <c r="AO628" i="5"/>
  <c r="AP628" i="5" s="1"/>
  <c r="O625" i="13" s="1"/>
  <c r="P625" i="13" s="1"/>
  <c r="AN628" i="5"/>
  <c r="AO612" i="5"/>
  <c r="AP612" i="5" s="1"/>
  <c r="O609" i="13" s="1"/>
  <c r="P609" i="13" s="1"/>
  <c r="AN612" i="5"/>
  <c r="AO596" i="5"/>
  <c r="AP596" i="5" s="1"/>
  <c r="O593" i="13" s="1"/>
  <c r="P593" i="13" s="1"/>
  <c r="AN596" i="5"/>
  <c r="AO580" i="5"/>
  <c r="T577" i="13"/>
  <c r="AN580" i="5"/>
  <c r="V577" i="13" s="1"/>
  <c r="U577" i="13" s="1"/>
  <c r="T561" i="13"/>
  <c r="AO564" i="5"/>
  <c r="X561" i="13" s="1"/>
  <c r="W561" i="13" s="1"/>
  <c r="AN564" i="5"/>
  <c r="V561" i="13" s="1"/>
  <c r="U561" i="13" s="1"/>
  <c r="T545" i="13"/>
  <c r="S545" i="13" s="1"/>
  <c r="AO548" i="5"/>
  <c r="AN548" i="5"/>
  <c r="V545" i="13" s="1"/>
  <c r="U545" i="13" s="1"/>
  <c r="T529" i="13"/>
  <c r="AO532" i="5"/>
  <c r="AN532" i="5"/>
  <c r="V529" i="13" s="1"/>
  <c r="T513" i="13"/>
  <c r="AO516" i="5"/>
  <c r="X513" i="13" s="1"/>
  <c r="W513" i="13" s="1"/>
  <c r="AN516" i="5"/>
  <c r="V513" i="13" s="1"/>
  <c r="U513" i="13" s="1"/>
  <c r="T497" i="13"/>
  <c r="AO500" i="5"/>
  <c r="AN500" i="5"/>
  <c r="V497" i="13" s="1"/>
  <c r="U497" i="13" s="1"/>
  <c r="T481" i="13"/>
  <c r="AO484" i="5"/>
  <c r="AN484" i="5"/>
  <c r="V481" i="13" s="1"/>
  <c r="U481" i="13" s="1"/>
  <c r="T465" i="13"/>
  <c r="S465" i="13" s="1"/>
  <c r="AO468" i="5"/>
  <c r="X465" i="13" s="1"/>
  <c r="W465" i="13" s="1"/>
  <c r="AN468" i="5"/>
  <c r="V465" i="13" s="1"/>
  <c r="U465" i="13" s="1"/>
  <c r="AP139" i="7"/>
  <c r="AP503" i="7"/>
  <c r="AP511" i="7"/>
  <c r="AO642" i="5"/>
  <c r="AP642" i="5" s="1"/>
  <c r="O639" i="13" s="1"/>
  <c r="P639" i="13" s="1"/>
  <c r="AN642" i="5"/>
  <c r="AO626" i="5"/>
  <c r="AP626" i="5" s="1"/>
  <c r="O623" i="13" s="1"/>
  <c r="P623" i="13" s="1"/>
  <c r="AN626" i="5"/>
  <c r="T607" i="13"/>
  <c r="AO610" i="5"/>
  <c r="X607" i="13" s="1"/>
  <c r="AN610" i="5"/>
  <c r="V607" i="13" s="1"/>
  <c r="T591" i="13"/>
  <c r="AN594" i="5"/>
  <c r="V591" i="13" s="1"/>
  <c r="U591" i="13" s="1"/>
  <c r="AO594" i="5"/>
  <c r="X591" i="13" s="1"/>
  <c r="W591" i="13" s="1"/>
  <c r="T575" i="13"/>
  <c r="S575" i="13" s="1"/>
  <c r="AO578" i="5"/>
  <c r="X575" i="13" s="1"/>
  <c r="W575" i="13" s="1"/>
  <c r="AN578" i="5"/>
  <c r="V575" i="13" s="1"/>
  <c r="U575" i="13" s="1"/>
  <c r="AO562" i="5"/>
  <c r="AP562" i="5" s="1"/>
  <c r="O559" i="13" s="1"/>
  <c r="P559" i="13" s="1"/>
  <c r="AN562" i="5"/>
  <c r="AO546" i="5"/>
  <c r="X543" i="13" s="1"/>
  <c r="W543" i="13" s="1"/>
  <c r="T543" i="13"/>
  <c r="AN546" i="5"/>
  <c r="V543" i="13" s="1"/>
  <c r="U543" i="13" s="1"/>
  <c r="T527" i="13"/>
  <c r="S527" i="13" s="1"/>
  <c r="AN530" i="5"/>
  <c r="V527" i="13" s="1"/>
  <c r="U527" i="13" s="1"/>
  <c r="AO530" i="5"/>
  <c r="X527" i="13" s="1"/>
  <c r="W527" i="13" s="1"/>
  <c r="AO514" i="5"/>
  <c r="X511" i="13" s="1"/>
  <c r="W511" i="13" s="1"/>
  <c r="T511" i="13"/>
  <c r="AN514" i="5"/>
  <c r="V511" i="13" s="1"/>
  <c r="U511" i="13" s="1"/>
  <c r="T495" i="13"/>
  <c r="AO498" i="5"/>
  <c r="X495" i="13" s="1"/>
  <c r="AN498" i="5"/>
  <c r="V495" i="13" s="1"/>
  <c r="T479" i="13"/>
  <c r="AO482" i="5"/>
  <c r="X479" i="13" s="1"/>
  <c r="AN482" i="5"/>
  <c r="V479" i="13" s="1"/>
  <c r="AN466" i="5"/>
  <c r="V463" i="13" s="1"/>
  <c r="U463" i="13" s="1"/>
  <c r="T463" i="13"/>
  <c r="AO466" i="5"/>
  <c r="X463" i="13" s="1"/>
  <c r="W463" i="13" s="1"/>
  <c r="AO450" i="5"/>
  <c r="X447" i="13" s="1"/>
  <c r="W447" i="13" s="1"/>
  <c r="T447" i="13"/>
  <c r="S447" i="13" s="1"/>
  <c r="AN450" i="5"/>
  <c r="V447" i="13" s="1"/>
  <c r="U447" i="13" s="1"/>
  <c r="T431" i="13"/>
  <c r="AO434" i="5"/>
  <c r="X431" i="13" s="1"/>
  <c r="W431" i="13" s="1"/>
  <c r="AN434" i="5"/>
  <c r="V431" i="13" s="1"/>
  <c r="U431" i="13" s="1"/>
  <c r="T415" i="13"/>
  <c r="AN418" i="5"/>
  <c r="V415" i="13" s="1"/>
  <c r="AO418" i="5"/>
  <c r="X415" i="13" s="1"/>
  <c r="T399" i="13"/>
  <c r="AO402" i="5"/>
  <c r="X399" i="13" s="1"/>
  <c r="W399" i="13" s="1"/>
  <c r="AN402" i="5"/>
  <c r="V399" i="13" s="1"/>
  <c r="U399" i="13" s="1"/>
  <c r="AO386" i="5"/>
  <c r="X383" i="13" s="1"/>
  <c r="W383" i="13" s="1"/>
  <c r="AN386" i="5"/>
  <c r="V383" i="13" s="1"/>
  <c r="U383" i="13" s="1"/>
  <c r="T383" i="13"/>
  <c r="T367" i="13"/>
  <c r="AN370" i="5"/>
  <c r="V367" i="13" s="1"/>
  <c r="AO370" i="5"/>
  <c r="X367" i="13" s="1"/>
  <c r="AO354" i="5"/>
  <c r="X351" i="13" s="1"/>
  <c r="T351" i="13"/>
  <c r="AN354" i="5"/>
  <c r="V351" i="13" s="1"/>
  <c r="AO338" i="5"/>
  <c r="X335" i="13" s="1"/>
  <c r="W335" i="13" s="1"/>
  <c r="T335" i="13"/>
  <c r="AN338" i="5"/>
  <c r="V335" i="13" s="1"/>
  <c r="U335" i="13" s="1"/>
  <c r="T319" i="13"/>
  <c r="AO322" i="5"/>
  <c r="X319" i="13" s="1"/>
  <c r="W319" i="13" s="1"/>
  <c r="AN322" i="5"/>
  <c r="V319" i="13" s="1"/>
  <c r="U319" i="13" s="1"/>
  <c r="AO306" i="5"/>
  <c r="X303" i="13" s="1"/>
  <c r="T303" i="13"/>
  <c r="AN306" i="5"/>
  <c r="V303" i="13" s="1"/>
  <c r="T287" i="13"/>
  <c r="AO290" i="5"/>
  <c r="X287" i="13" s="1"/>
  <c r="W287" i="13" s="1"/>
  <c r="AN290" i="5"/>
  <c r="V287" i="13" s="1"/>
  <c r="U287" i="13" s="1"/>
  <c r="T271" i="13"/>
  <c r="S271" i="13" s="1"/>
  <c r="AN274" i="5"/>
  <c r="V271" i="13" s="1"/>
  <c r="U271" i="13" s="1"/>
  <c r="AO274" i="5"/>
  <c r="X271" i="13" s="1"/>
  <c r="W271" i="13" s="1"/>
  <c r="AO258" i="5"/>
  <c r="X255" i="13" s="1"/>
  <c r="W255" i="13" s="1"/>
  <c r="AN258" i="5"/>
  <c r="V255" i="13" s="1"/>
  <c r="U255" i="13" s="1"/>
  <c r="T255" i="13"/>
  <c r="T239" i="13"/>
  <c r="AN242" i="5"/>
  <c r="V239" i="13" s="1"/>
  <c r="U239" i="13" s="1"/>
  <c r="AO242" i="5"/>
  <c r="X239" i="13" s="1"/>
  <c r="W239" i="13" s="1"/>
  <c r="AO226" i="5"/>
  <c r="X223" i="13" s="1"/>
  <c r="W223" i="13" s="1"/>
  <c r="T223" i="13"/>
  <c r="AN226" i="5"/>
  <c r="V223" i="13" s="1"/>
  <c r="U223" i="13" s="1"/>
  <c r="T207" i="13"/>
  <c r="AN210" i="5"/>
  <c r="V207" i="13" s="1"/>
  <c r="U207" i="13" s="1"/>
  <c r="AO210" i="5"/>
  <c r="X207" i="13" s="1"/>
  <c r="W207" i="13" s="1"/>
  <c r="T191" i="13"/>
  <c r="AO194" i="5"/>
  <c r="X191" i="13" s="1"/>
  <c r="W191" i="13" s="1"/>
  <c r="AN194" i="5"/>
  <c r="V191" i="13" s="1"/>
  <c r="U191" i="13" s="1"/>
  <c r="T175" i="13"/>
  <c r="AN178" i="5"/>
  <c r="V175" i="13" s="1"/>
  <c r="U175" i="13" s="1"/>
  <c r="AO178" i="5"/>
  <c r="X175" i="13" s="1"/>
  <c r="W175" i="13" s="1"/>
  <c r="T159" i="13"/>
  <c r="AO162" i="5"/>
  <c r="X159" i="13" s="1"/>
  <c r="W159" i="13" s="1"/>
  <c r="AN162" i="5"/>
  <c r="V159" i="13" s="1"/>
  <c r="U159" i="13" s="1"/>
  <c r="T143" i="13"/>
  <c r="S143" i="13" s="1"/>
  <c r="AO146" i="5"/>
  <c r="X143" i="13" s="1"/>
  <c r="W143" i="13" s="1"/>
  <c r="AN146" i="5"/>
  <c r="V143" i="13" s="1"/>
  <c r="U143" i="13" s="1"/>
  <c r="AN130" i="5"/>
  <c r="V127" i="13" s="1"/>
  <c r="U127" i="13" s="1"/>
  <c r="T127" i="13"/>
  <c r="AO130" i="5"/>
  <c r="X127" i="13" s="1"/>
  <c r="W127" i="13" s="1"/>
  <c r="AO114" i="5"/>
  <c r="X111" i="13" s="1"/>
  <c r="W111" i="13" s="1"/>
  <c r="T111" i="13"/>
  <c r="AN114" i="5"/>
  <c r="V111" i="13" s="1"/>
  <c r="U111" i="13" s="1"/>
  <c r="AO98" i="5"/>
  <c r="X95" i="13" s="1"/>
  <c r="W95" i="13" s="1"/>
  <c r="T95" i="13"/>
  <c r="AN98" i="5"/>
  <c r="V95" i="13" s="1"/>
  <c r="U95" i="13" s="1"/>
  <c r="AO82" i="5"/>
  <c r="X79" i="13" s="1"/>
  <c r="T79" i="13"/>
  <c r="AN82" i="5"/>
  <c r="V79" i="13" s="1"/>
  <c r="T638" i="13"/>
  <c r="AO641" i="5"/>
  <c r="X638" i="13" s="1"/>
  <c r="W638" i="13" s="1"/>
  <c r="AN641" i="5"/>
  <c r="V638" i="13" s="1"/>
  <c r="U638" i="13" s="1"/>
  <c r="T622" i="13"/>
  <c r="AO625" i="5"/>
  <c r="X622" i="13" s="1"/>
  <c r="W622" i="13" s="1"/>
  <c r="AN625" i="5"/>
  <c r="V622" i="13" s="1"/>
  <c r="U622" i="13" s="1"/>
  <c r="T606" i="13"/>
  <c r="AO609" i="5"/>
  <c r="X606" i="13" s="1"/>
  <c r="W606" i="13" s="1"/>
  <c r="AN609" i="5"/>
  <c r="V606" i="13" s="1"/>
  <c r="U606" i="13" s="1"/>
  <c r="T590" i="13"/>
  <c r="S590" i="13" s="1"/>
  <c r="AO593" i="5"/>
  <c r="X590" i="13" s="1"/>
  <c r="W590" i="13" s="1"/>
  <c r="AN593" i="5"/>
  <c r="V590" i="13" s="1"/>
  <c r="U590" i="13" s="1"/>
  <c r="AO577" i="5"/>
  <c r="X574" i="13" s="1"/>
  <c r="W574" i="13" s="1"/>
  <c r="T574" i="13"/>
  <c r="AN577" i="5"/>
  <c r="V574" i="13" s="1"/>
  <c r="U574" i="13" s="1"/>
  <c r="T558" i="13"/>
  <c r="AO561" i="5"/>
  <c r="X558" i="13" s="1"/>
  <c r="W558" i="13" s="1"/>
  <c r="AN561" i="5"/>
  <c r="V558" i="13" s="1"/>
  <c r="U558" i="13" s="1"/>
  <c r="T542" i="13"/>
  <c r="AO545" i="5"/>
  <c r="X542" i="13" s="1"/>
  <c r="W542" i="13" s="1"/>
  <c r="AN545" i="5"/>
  <c r="V542" i="13" s="1"/>
  <c r="U542" i="13" s="1"/>
  <c r="T526" i="13"/>
  <c r="AO529" i="5"/>
  <c r="X526" i="13" s="1"/>
  <c r="AN529" i="5"/>
  <c r="V526" i="13" s="1"/>
  <c r="T510" i="13"/>
  <c r="AO513" i="5"/>
  <c r="X510" i="13" s="1"/>
  <c r="W510" i="13" s="1"/>
  <c r="AN513" i="5"/>
  <c r="V510" i="13" s="1"/>
  <c r="U510" i="13" s="1"/>
  <c r="T494" i="13"/>
  <c r="AO497" i="5"/>
  <c r="X494" i="13" s="1"/>
  <c r="AN497" i="5"/>
  <c r="V494" i="13" s="1"/>
  <c r="T478" i="13"/>
  <c r="AO481" i="5"/>
  <c r="X478" i="13" s="1"/>
  <c r="W478" i="13" s="1"/>
  <c r="AN481" i="5"/>
  <c r="V478" i="13" s="1"/>
  <c r="U478" i="13" s="1"/>
  <c r="T462" i="13"/>
  <c r="AO465" i="5"/>
  <c r="X462" i="13" s="1"/>
  <c r="AN465" i="5"/>
  <c r="V462" i="13" s="1"/>
  <c r="T446" i="13"/>
  <c r="AO449" i="5"/>
  <c r="X446" i="13" s="1"/>
  <c r="AN449" i="5"/>
  <c r="V446" i="13" s="1"/>
  <c r="AO640" i="5"/>
  <c r="X637" i="13" s="1"/>
  <c r="AN640" i="5"/>
  <c r="V637" i="13" s="1"/>
  <c r="AO624" i="5"/>
  <c r="AP624" i="5" s="1"/>
  <c r="O621" i="13" s="1"/>
  <c r="P621" i="13" s="1"/>
  <c r="AN624" i="5"/>
  <c r="AO608" i="5"/>
  <c r="AP608" i="5" s="1"/>
  <c r="O605" i="13" s="1"/>
  <c r="P605" i="13" s="1"/>
  <c r="AN608" i="5"/>
  <c r="T589" i="13"/>
  <c r="AN592" i="5"/>
  <c r="V589" i="13" s="1"/>
  <c r="U589" i="13" s="1"/>
  <c r="AO592" i="5"/>
  <c r="X589" i="13" s="1"/>
  <c r="W589" i="13" s="1"/>
  <c r="AO576" i="5"/>
  <c r="AP576" i="5" s="1"/>
  <c r="O573" i="13" s="1"/>
  <c r="P573" i="13" s="1"/>
  <c r="AN576" i="5"/>
  <c r="T557" i="13"/>
  <c r="AO560" i="5"/>
  <c r="X557" i="13" s="1"/>
  <c r="AN560" i="5"/>
  <c r="V557" i="13" s="1"/>
  <c r="T541" i="13"/>
  <c r="AO544" i="5"/>
  <c r="X541" i="13" s="1"/>
  <c r="W541" i="13" s="1"/>
  <c r="AN544" i="5"/>
  <c r="V541" i="13" s="1"/>
  <c r="U541" i="13" s="1"/>
  <c r="T525" i="13"/>
  <c r="AN528" i="5"/>
  <c r="V525" i="13" s="1"/>
  <c r="U525" i="13" s="1"/>
  <c r="AO528" i="5"/>
  <c r="X525" i="13" s="1"/>
  <c r="W525" i="13" s="1"/>
  <c r="T509" i="13"/>
  <c r="AO512" i="5"/>
  <c r="X509" i="13" s="1"/>
  <c r="W509" i="13" s="1"/>
  <c r="AN512" i="5"/>
  <c r="V509" i="13" s="1"/>
  <c r="U509" i="13" s="1"/>
  <c r="AN629" i="5"/>
  <c r="AN613" i="5"/>
  <c r="V610" i="13" s="1"/>
  <c r="U610" i="13" s="1"/>
  <c r="AN597" i="5"/>
  <c r="V594" i="13" s="1"/>
  <c r="U594" i="13" s="1"/>
  <c r="AN581" i="5"/>
  <c r="AN565" i="5"/>
  <c r="AN549" i="5"/>
  <c r="V546" i="13" s="1"/>
  <c r="AN533" i="5"/>
  <c r="V530" i="13" s="1"/>
  <c r="U530" i="13" s="1"/>
  <c r="AN517" i="5"/>
  <c r="V514" i="13" s="1"/>
  <c r="U514" i="13" s="1"/>
  <c r="AN501" i="5"/>
  <c r="V498" i="13" s="1"/>
  <c r="U498" i="13" s="1"/>
  <c r="AN485" i="5"/>
  <c r="V482" i="13" s="1"/>
  <c r="AN469" i="5"/>
  <c r="V466" i="13" s="1"/>
  <c r="U466" i="13" s="1"/>
  <c r="AN453" i="5"/>
  <c r="V450" i="13" s="1"/>
  <c r="U450" i="13" s="1"/>
  <c r="AN437" i="5"/>
  <c r="V434" i="13" s="1"/>
  <c r="U434" i="13" s="1"/>
  <c r="AN421" i="5"/>
  <c r="V418" i="13" s="1"/>
  <c r="U418" i="13" s="1"/>
  <c r="AN405" i="5"/>
  <c r="V402" i="13" s="1"/>
  <c r="U402" i="13" s="1"/>
  <c r="AN389" i="5"/>
  <c r="V386" i="13" s="1"/>
  <c r="U386" i="13" s="1"/>
  <c r="AN373" i="5"/>
  <c r="V370" i="13" s="1"/>
  <c r="AN357" i="5"/>
  <c r="V354" i="13" s="1"/>
  <c r="AN341" i="5"/>
  <c r="V338" i="13" s="1"/>
  <c r="U338" i="13" s="1"/>
  <c r="AN325" i="5"/>
  <c r="V322" i="13" s="1"/>
  <c r="U322" i="13" s="1"/>
  <c r="AN309" i="5"/>
  <c r="V306" i="13" s="1"/>
  <c r="U306" i="13" s="1"/>
  <c r="AN293" i="5"/>
  <c r="V290" i="13" s="1"/>
  <c r="U290" i="13" s="1"/>
  <c r="AN277" i="5"/>
  <c r="V274" i="13" s="1"/>
  <c r="U274" i="13" s="1"/>
  <c r="AN261" i="5"/>
  <c r="V258" i="13" s="1"/>
  <c r="U258" i="13" s="1"/>
  <c r="AN245" i="5"/>
  <c r="V242" i="13" s="1"/>
  <c r="U242" i="13" s="1"/>
  <c r="AN229" i="5"/>
  <c r="V226" i="13" s="1"/>
  <c r="U226" i="13" s="1"/>
  <c r="AN213" i="5"/>
  <c r="V210" i="13" s="1"/>
  <c r="AN197" i="5"/>
  <c r="V194" i="13" s="1"/>
  <c r="AN181" i="5"/>
  <c r="V178" i="13" s="1"/>
  <c r="U178" i="13" s="1"/>
  <c r="AO617" i="5"/>
  <c r="X614" i="13" s="1"/>
  <c r="W614" i="13" s="1"/>
  <c r="AO597" i="5"/>
  <c r="AO553" i="5"/>
  <c r="X550" i="13" s="1"/>
  <c r="W550" i="13" s="1"/>
  <c r="AO533" i="5"/>
  <c r="AO442" i="5"/>
  <c r="AP442" i="5" s="1"/>
  <c r="AO419" i="5"/>
  <c r="X416" i="13" s="1"/>
  <c r="AO395" i="5"/>
  <c r="X392" i="13" s="1"/>
  <c r="W392" i="13" s="1"/>
  <c r="AO373" i="5"/>
  <c r="X370" i="13" s="1"/>
  <c r="AO349" i="5"/>
  <c r="X346" i="13" s="1"/>
  <c r="W346" i="13" s="1"/>
  <c r="AO326" i="5"/>
  <c r="X323" i="13" s="1"/>
  <c r="W323" i="13" s="1"/>
  <c r="AO136" i="5"/>
  <c r="X133" i="13" s="1"/>
  <c r="T560" i="13"/>
  <c r="T474" i="13"/>
  <c r="S474" i="13" s="1"/>
  <c r="T389" i="13"/>
  <c r="T261" i="13"/>
  <c r="T133" i="13"/>
  <c r="T132" i="13"/>
  <c r="AO135" i="5"/>
  <c r="X132" i="13" s="1"/>
  <c r="W132" i="13" s="1"/>
  <c r="T116" i="13"/>
  <c r="AO119" i="5"/>
  <c r="X116" i="13" s="1"/>
  <c r="W116" i="13" s="1"/>
  <c r="T100" i="13"/>
  <c r="AO103" i="5"/>
  <c r="X100" i="13" s="1"/>
  <c r="W100" i="13" s="1"/>
  <c r="T84" i="13"/>
  <c r="S84" i="13" s="1"/>
  <c r="AO87" i="5"/>
  <c r="X84" i="13" s="1"/>
  <c r="W84" i="13" s="1"/>
  <c r="AN56" i="5"/>
  <c r="V53" i="13" s="1"/>
  <c r="U53" i="13" s="1"/>
  <c r="AO637" i="5"/>
  <c r="AP637" i="5" s="1"/>
  <c r="O634" i="13" s="1"/>
  <c r="P634" i="13" s="1"/>
  <c r="AO595" i="5"/>
  <c r="X592" i="13" s="1"/>
  <c r="W592" i="13" s="1"/>
  <c r="AO573" i="5"/>
  <c r="X570" i="13" s="1"/>
  <c r="W570" i="13" s="1"/>
  <c r="AO531" i="5"/>
  <c r="X528" i="13" s="1"/>
  <c r="W528" i="13" s="1"/>
  <c r="AO509" i="5"/>
  <c r="X506" i="13" s="1"/>
  <c r="W506" i="13" s="1"/>
  <c r="AO487" i="5"/>
  <c r="X484" i="13" s="1"/>
  <c r="AO464" i="5"/>
  <c r="X461" i="13" s="1"/>
  <c r="W461" i="13" s="1"/>
  <c r="AO440" i="5"/>
  <c r="X437" i="13" s="1"/>
  <c r="W437" i="13" s="1"/>
  <c r="AO394" i="5"/>
  <c r="X391" i="13" s="1"/>
  <c r="AO371" i="5"/>
  <c r="X368" i="13" s="1"/>
  <c r="W368" i="13" s="1"/>
  <c r="AO347" i="5"/>
  <c r="X344" i="13" s="1"/>
  <c r="W344" i="13" s="1"/>
  <c r="AO325" i="5"/>
  <c r="AO301" i="5"/>
  <c r="X298" i="13" s="1"/>
  <c r="W298" i="13" s="1"/>
  <c r="AO272" i="5"/>
  <c r="X269" i="13" s="1"/>
  <c r="W269" i="13" s="1"/>
  <c r="AO240" i="5"/>
  <c r="X237" i="13" s="1"/>
  <c r="W237" i="13" s="1"/>
  <c r="AO208" i="5"/>
  <c r="X205" i="13" s="1"/>
  <c r="W205" i="13" s="1"/>
  <c r="AO176" i="5"/>
  <c r="X173" i="13" s="1"/>
  <c r="W173" i="13" s="1"/>
  <c r="T554" i="13"/>
  <c r="T469" i="13"/>
  <c r="T291" i="13"/>
  <c r="AO294" i="5"/>
  <c r="X291" i="13" s="1"/>
  <c r="W291" i="13" s="1"/>
  <c r="T275" i="13"/>
  <c r="S275" i="13" s="1"/>
  <c r="AO278" i="5"/>
  <c r="X275" i="13" s="1"/>
  <c r="W275" i="13" s="1"/>
  <c r="T259" i="13"/>
  <c r="AO262" i="5"/>
  <c r="AP262" i="5" s="1"/>
  <c r="T243" i="13"/>
  <c r="AO246" i="5"/>
  <c r="X243" i="13" s="1"/>
  <c r="T227" i="13"/>
  <c r="AO230" i="5"/>
  <c r="X227" i="13" s="1"/>
  <c r="W227" i="13" s="1"/>
  <c r="T211" i="13"/>
  <c r="AO214" i="5"/>
  <c r="X211" i="13" s="1"/>
  <c r="T195" i="13"/>
  <c r="AO198" i="5"/>
  <c r="X195" i="13" s="1"/>
  <c r="W195" i="13" s="1"/>
  <c r="T179" i="13"/>
  <c r="AO182" i="5"/>
  <c r="X179" i="13" s="1"/>
  <c r="T163" i="13"/>
  <c r="AO166" i="5"/>
  <c r="X163" i="13" s="1"/>
  <c r="W163" i="13" s="1"/>
  <c r="T147" i="13"/>
  <c r="S147" i="13" s="1"/>
  <c r="AO150" i="5"/>
  <c r="X147" i="13" s="1"/>
  <c r="W147" i="13" s="1"/>
  <c r="T131" i="13"/>
  <c r="AO134" i="5"/>
  <c r="X131" i="13" s="1"/>
  <c r="W131" i="13" s="1"/>
  <c r="T115" i="13"/>
  <c r="AO118" i="5"/>
  <c r="X115" i="13" s="1"/>
  <c r="W115" i="13" s="1"/>
  <c r="T99" i="13"/>
  <c r="AO102" i="5"/>
  <c r="X99" i="13" s="1"/>
  <c r="W99" i="13" s="1"/>
  <c r="T83" i="13"/>
  <c r="S83" i="13" s="1"/>
  <c r="AO86" i="5"/>
  <c r="X83" i="13" s="1"/>
  <c r="W83" i="13" s="1"/>
  <c r="AN627" i="5"/>
  <c r="AN611" i="5"/>
  <c r="V608" i="13" s="1"/>
  <c r="U608" i="13" s="1"/>
  <c r="AN595" i="5"/>
  <c r="V592" i="13" s="1"/>
  <c r="U592" i="13" s="1"/>
  <c r="AN579" i="5"/>
  <c r="AN563" i="5"/>
  <c r="V560" i="13" s="1"/>
  <c r="U560" i="13" s="1"/>
  <c r="AN547" i="5"/>
  <c r="V544" i="13" s="1"/>
  <c r="U544" i="13" s="1"/>
  <c r="AN531" i="5"/>
  <c r="V528" i="13" s="1"/>
  <c r="U528" i="13" s="1"/>
  <c r="AN515" i="5"/>
  <c r="V512" i="13" s="1"/>
  <c r="U512" i="13" s="1"/>
  <c r="AN499" i="5"/>
  <c r="V496" i="13" s="1"/>
  <c r="AN483" i="5"/>
  <c r="V480" i="13" s="1"/>
  <c r="U480" i="13" s="1"/>
  <c r="AN467" i="5"/>
  <c r="V464" i="13" s="1"/>
  <c r="U464" i="13" s="1"/>
  <c r="AN451" i="5"/>
  <c r="V448" i="13" s="1"/>
  <c r="AN435" i="5"/>
  <c r="V432" i="13" s="1"/>
  <c r="AN419" i="5"/>
  <c r="V416" i="13" s="1"/>
  <c r="AN403" i="5"/>
  <c r="V400" i="13" s="1"/>
  <c r="U400" i="13" s="1"/>
  <c r="AN387" i="5"/>
  <c r="V384" i="13" s="1"/>
  <c r="U384" i="13" s="1"/>
  <c r="AN371" i="5"/>
  <c r="V368" i="13" s="1"/>
  <c r="U368" i="13" s="1"/>
  <c r="AN355" i="5"/>
  <c r="V352" i="13" s="1"/>
  <c r="U352" i="13" s="1"/>
  <c r="AN339" i="5"/>
  <c r="V336" i="13" s="1"/>
  <c r="U336" i="13" s="1"/>
  <c r="AN323" i="5"/>
  <c r="V320" i="13" s="1"/>
  <c r="U320" i="13" s="1"/>
  <c r="AN307" i="5"/>
  <c r="V304" i="13" s="1"/>
  <c r="U304" i="13" s="1"/>
  <c r="AN291" i="5"/>
  <c r="V288" i="13" s="1"/>
  <c r="U288" i="13" s="1"/>
  <c r="AO635" i="5"/>
  <c r="X632" i="13" s="1"/>
  <c r="W632" i="13" s="1"/>
  <c r="AO615" i="5"/>
  <c r="X612" i="13" s="1"/>
  <c r="W612" i="13" s="1"/>
  <c r="AO571" i="5"/>
  <c r="X568" i="13" s="1"/>
  <c r="W568" i="13" s="1"/>
  <c r="AO551" i="5"/>
  <c r="X548" i="13" s="1"/>
  <c r="W548" i="13" s="1"/>
  <c r="AO507" i="5"/>
  <c r="X504" i="13" s="1"/>
  <c r="AO486" i="5"/>
  <c r="X483" i="13" s="1"/>
  <c r="W483" i="13" s="1"/>
  <c r="AO439" i="5"/>
  <c r="X436" i="13" s="1"/>
  <c r="AO416" i="5"/>
  <c r="X413" i="13" s="1"/>
  <c r="AO392" i="5"/>
  <c r="X389" i="13" s="1"/>
  <c r="W389" i="13" s="1"/>
  <c r="AO346" i="5"/>
  <c r="X343" i="13" s="1"/>
  <c r="AO323" i="5"/>
  <c r="X320" i="13" s="1"/>
  <c r="W320" i="13" s="1"/>
  <c r="AO299" i="5"/>
  <c r="X296" i="13" s="1"/>
  <c r="W296" i="13" s="1"/>
  <c r="AO128" i="5"/>
  <c r="X125" i="13" s="1"/>
  <c r="W125" i="13" s="1"/>
  <c r="T373" i="13"/>
  <c r="T245" i="13"/>
  <c r="T117" i="13"/>
  <c r="S108" i="13"/>
  <c r="T162" i="13"/>
  <c r="AO165" i="5"/>
  <c r="T146" i="13"/>
  <c r="AO149" i="5"/>
  <c r="T130" i="13"/>
  <c r="AO133" i="5"/>
  <c r="T114" i="13"/>
  <c r="AO117" i="5"/>
  <c r="X114" i="13" s="1"/>
  <c r="T98" i="13"/>
  <c r="S98" i="13" s="1"/>
  <c r="AO101" i="5"/>
  <c r="T82" i="13"/>
  <c r="AO85" i="5"/>
  <c r="AO69" i="5"/>
  <c r="T66" i="13"/>
  <c r="AO634" i="5"/>
  <c r="AP634" i="5" s="1"/>
  <c r="O631" i="13" s="1"/>
  <c r="P631" i="13" s="1"/>
  <c r="AO614" i="5"/>
  <c r="AP614" i="5" s="1"/>
  <c r="O611" i="13" s="1"/>
  <c r="P611" i="13" s="1"/>
  <c r="AO570" i="5"/>
  <c r="X567" i="13" s="1"/>
  <c r="W567" i="13" s="1"/>
  <c r="AO550" i="5"/>
  <c r="X547" i="13" s="1"/>
  <c r="W547" i="13" s="1"/>
  <c r="AO506" i="5"/>
  <c r="X503" i="13" s="1"/>
  <c r="AO485" i="5"/>
  <c r="AO461" i="5"/>
  <c r="X458" i="13" s="1"/>
  <c r="AO438" i="5"/>
  <c r="X435" i="13" s="1"/>
  <c r="W435" i="13" s="1"/>
  <c r="AO391" i="5"/>
  <c r="X388" i="13" s="1"/>
  <c r="AO368" i="5"/>
  <c r="X365" i="13" s="1"/>
  <c r="W365" i="13" s="1"/>
  <c r="AO344" i="5"/>
  <c r="X341" i="13" s="1"/>
  <c r="W341" i="13" s="1"/>
  <c r="AO298" i="5"/>
  <c r="X295" i="13" s="1"/>
  <c r="AO269" i="5"/>
  <c r="X266" i="13" s="1"/>
  <c r="W266" i="13" s="1"/>
  <c r="AO237" i="5"/>
  <c r="X234" i="13" s="1"/>
  <c r="W234" i="13" s="1"/>
  <c r="AO205" i="5"/>
  <c r="X202" i="13" s="1"/>
  <c r="AO173" i="5"/>
  <c r="X170" i="13" s="1"/>
  <c r="W170" i="13" s="1"/>
  <c r="T458" i="13"/>
  <c r="T449" i="13"/>
  <c r="S449" i="13" s="1"/>
  <c r="AO452" i="5"/>
  <c r="X449" i="13" s="1"/>
  <c r="W449" i="13" s="1"/>
  <c r="T433" i="13"/>
  <c r="AO436" i="5"/>
  <c r="T417" i="13"/>
  <c r="AO420" i="5"/>
  <c r="T401" i="13"/>
  <c r="AO404" i="5"/>
  <c r="X401" i="13" s="1"/>
  <c r="W401" i="13" s="1"/>
  <c r="T385" i="13"/>
  <c r="S385" i="13" s="1"/>
  <c r="AO388" i="5"/>
  <c r="X385" i="13" s="1"/>
  <c r="W385" i="13" s="1"/>
  <c r="T369" i="13"/>
  <c r="AO372" i="5"/>
  <c r="T353" i="13"/>
  <c r="AO356" i="5"/>
  <c r="T337" i="13"/>
  <c r="AO340" i="5"/>
  <c r="T321" i="13"/>
  <c r="S321" i="13" s="1"/>
  <c r="AO324" i="5"/>
  <c r="X321" i="13" s="1"/>
  <c r="W321" i="13" s="1"/>
  <c r="T305" i="13"/>
  <c r="AO308" i="5"/>
  <c r="T289" i="13"/>
  <c r="AO292" i="5"/>
  <c r="T273" i="13"/>
  <c r="AO276" i="5"/>
  <c r="X273" i="13" s="1"/>
  <c r="T257" i="13"/>
  <c r="AO260" i="5"/>
  <c r="X257" i="13" s="1"/>
  <c r="W257" i="13" s="1"/>
  <c r="T241" i="13"/>
  <c r="AO244" i="5"/>
  <c r="T225" i="13"/>
  <c r="AO228" i="5"/>
  <c r="T209" i="13"/>
  <c r="AO212" i="5"/>
  <c r="X209" i="13" s="1"/>
  <c r="T193" i="13"/>
  <c r="S193" i="13" s="1"/>
  <c r="AO196" i="5"/>
  <c r="X193" i="13" s="1"/>
  <c r="W193" i="13" s="1"/>
  <c r="T177" i="13"/>
  <c r="AO180" i="5"/>
  <c r="T161" i="13"/>
  <c r="AO164" i="5"/>
  <c r="T145" i="13"/>
  <c r="AO148" i="5"/>
  <c r="AP148" i="5" s="1"/>
  <c r="T129" i="13"/>
  <c r="AO132" i="5"/>
  <c r="X129" i="13" s="1"/>
  <c r="W129" i="13" s="1"/>
  <c r="T113" i="13"/>
  <c r="AO116" i="5"/>
  <c r="T97" i="13"/>
  <c r="AO100" i="5"/>
  <c r="T81" i="13"/>
  <c r="AO84" i="5"/>
  <c r="X81" i="13" s="1"/>
  <c r="W81" i="13" s="1"/>
  <c r="AO633" i="5"/>
  <c r="X630" i="13" s="1"/>
  <c r="W630" i="13" s="1"/>
  <c r="AO613" i="5"/>
  <c r="AP613" i="5" s="1"/>
  <c r="AO569" i="5"/>
  <c r="AP569" i="5" s="1"/>
  <c r="O566" i="13" s="1"/>
  <c r="P566" i="13" s="1"/>
  <c r="AO549" i="5"/>
  <c r="AO505" i="5"/>
  <c r="X502" i="13" s="1"/>
  <c r="AO483" i="5"/>
  <c r="X480" i="13" s="1"/>
  <c r="W480" i="13" s="1"/>
  <c r="AO459" i="5"/>
  <c r="X456" i="13" s="1"/>
  <c r="W456" i="13" s="1"/>
  <c r="AO437" i="5"/>
  <c r="X434" i="13" s="1"/>
  <c r="W434" i="13" s="1"/>
  <c r="AO413" i="5"/>
  <c r="X410" i="13" s="1"/>
  <c r="W410" i="13" s="1"/>
  <c r="AO390" i="5"/>
  <c r="X387" i="13" s="1"/>
  <c r="AO343" i="5"/>
  <c r="X340" i="13" s="1"/>
  <c r="W340" i="13" s="1"/>
  <c r="AO320" i="5"/>
  <c r="X317" i="13" s="1"/>
  <c r="W317" i="13" s="1"/>
  <c r="AO296" i="5"/>
  <c r="X293" i="13" s="1"/>
  <c r="W293" i="13" s="1"/>
  <c r="AO267" i="5"/>
  <c r="X264" i="13" s="1"/>
  <c r="AO235" i="5"/>
  <c r="X232" i="13" s="1"/>
  <c r="W232" i="13" s="1"/>
  <c r="AO203" i="5"/>
  <c r="X200" i="13" s="1"/>
  <c r="W200" i="13" s="1"/>
  <c r="AO168" i="5"/>
  <c r="X165" i="13" s="1"/>
  <c r="AO125" i="5"/>
  <c r="X122" i="13" s="1"/>
  <c r="T538" i="13"/>
  <c r="S538" i="13" s="1"/>
  <c r="T453" i="13"/>
  <c r="T357" i="13"/>
  <c r="T229" i="13"/>
  <c r="T101" i="13"/>
  <c r="S618" i="13"/>
  <c r="S506" i="13"/>
  <c r="S490" i="13"/>
  <c r="S426" i="13"/>
  <c r="S378" i="13"/>
  <c r="S314" i="13"/>
  <c r="S298" i="13"/>
  <c r="S250" i="13"/>
  <c r="S234" i="13"/>
  <c r="S186" i="13"/>
  <c r="S170" i="13"/>
  <c r="U106" i="13"/>
  <c r="S106" i="13"/>
  <c r="Y26" i="13"/>
  <c r="U26" i="13"/>
  <c r="S26" i="13"/>
  <c r="T272" i="13"/>
  <c r="AO275" i="5"/>
  <c r="X272" i="13" s="1"/>
  <c r="W272" i="13" s="1"/>
  <c r="T256" i="13"/>
  <c r="S256" i="13" s="1"/>
  <c r="AO259" i="5"/>
  <c r="X256" i="13" s="1"/>
  <c r="W256" i="13" s="1"/>
  <c r="T240" i="13"/>
  <c r="AO243" i="5"/>
  <c r="X240" i="13" s="1"/>
  <c r="W240" i="13" s="1"/>
  <c r="T224" i="13"/>
  <c r="AO227" i="5"/>
  <c r="X224" i="13" s="1"/>
  <c r="T208" i="13"/>
  <c r="AO211" i="5"/>
  <c r="X208" i="13" s="1"/>
  <c r="W208" i="13" s="1"/>
  <c r="T192" i="13"/>
  <c r="AO195" i="5"/>
  <c r="X192" i="13" s="1"/>
  <c r="W192" i="13" s="1"/>
  <c r="T176" i="13"/>
  <c r="AO179" i="5"/>
  <c r="X176" i="13" s="1"/>
  <c r="T160" i="13"/>
  <c r="AO163" i="5"/>
  <c r="X160" i="13" s="1"/>
  <c r="W160" i="13" s="1"/>
  <c r="T144" i="13"/>
  <c r="AO147" i="5"/>
  <c r="X144" i="13" s="1"/>
  <c r="W144" i="13" s="1"/>
  <c r="T128" i="13"/>
  <c r="S128" i="13" s="1"/>
  <c r="AO131" i="5"/>
  <c r="X128" i="13" s="1"/>
  <c r="W128" i="13" s="1"/>
  <c r="T112" i="13"/>
  <c r="AO115" i="5"/>
  <c r="X112" i="13" s="1"/>
  <c r="W112" i="13" s="1"/>
  <c r="T96" i="13"/>
  <c r="AO99" i="5"/>
  <c r="X96" i="13" s="1"/>
  <c r="W96" i="13" s="1"/>
  <c r="T80" i="13"/>
  <c r="AO83" i="5"/>
  <c r="X80" i="13" s="1"/>
  <c r="AN496" i="5"/>
  <c r="V493" i="13" s="1"/>
  <c r="AN480" i="5"/>
  <c r="V477" i="13" s="1"/>
  <c r="AN464" i="5"/>
  <c r="V461" i="13" s="1"/>
  <c r="U461" i="13" s="1"/>
  <c r="AN448" i="5"/>
  <c r="V445" i="13" s="1"/>
  <c r="AN432" i="5"/>
  <c r="V429" i="13" s="1"/>
  <c r="AN416" i="5"/>
  <c r="V413" i="13" s="1"/>
  <c r="AN400" i="5"/>
  <c r="V397" i="13" s="1"/>
  <c r="U397" i="13" s="1"/>
  <c r="AN384" i="5"/>
  <c r="V381" i="13" s="1"/>
  <c r="U381" i="13" s="1"/>
  <c r="AN368" i="5"/>
  <c r="V365" i="13" s="1"/>
  <c r="U365" i="13" s="1"/>
  <c r="AN352" i="5"/>
  <c r="V349" i="13" s="1"/>
  <c r="AN336" i="5"/>
  <c r="V333" i="13" s="1"/>
  <c r="U333" i="13" s="1"/>
  <c r="AN320" i="5"/>
  <c r="V317" i="13" s="1"/>
  <c r="U317" i="13" s="1"/>
  <c r="AN304" i="5"/>
  <c r="V301" i="13" s="1"/>
  <c r="U301" i="13" s="1"/>
  <c r="AN288" i="5"/>
  <c r="V285" i="13" s="1"/>
  <c r="U285" i="13" s="1"/>
  <c r="AN272" i="5"/>
  <c r="V269" i="13" s="1"/>
  <c r="U269" i="13" s="1"/>
  <c r="AN256" i="5"/>
  <c r="V253" i="13" s="1"/>
  <c r="AN240" i="5"/>
  <c r="V237" i="13" s="1"/>
  <c r="U237" i="13" s="1"/>
  <c r="AN224" i="5"/>
  <c r="V221" i="13" s="1"/>
  <c r="U221" i="13" s="1"/>
  <c r="AN208" i="5"/>
  <c r="V205" i="13" s="1"/>
  <c r="U205" i="13" s="1"/>
  <c r="AN192" i="5"/>
  <c r="V189" i="13" s="1"/>
  <c r="U189" i="13" s="1"/>
  <c r="AN176" i="5"/>
  <c r="V173" i="13" s="1"/>
  <c r="U173" i="13" s="1"/>
  <c r="AN160" i="5"/>
  <c r="V157" i="13" s="1"/>
  <c r="U157" i="13" s="1"/>
  <c r="AN144" i="5"/>
  <c r="V141" i="13" s="1"/>
  <c r="U141" i="13" s="1"/>
  <c r="AN128" i="5"/>
  <c r="V125" i="13" s="1"/>
  <c r="U125" i="13" s="1"/>
  <c r="AO611" i="5"/>
  <c r="X608" i="13" s="1"/>
  <c r="W608" i="13" s="1"/>
  <c r="AO589" i="5"/>
  <c r="AP589" i="5" s="1"/>
  <c r="O586" i="13" s="1"/>
  <c r="P586" i="13" s="1"/>
  <c r="AO547" i="5"/>
  <c r="X544" i="13" s="1"/>
  <c r="W544" i="13" s="1"/>
  <c r="AO525" i="5"/>
  <c r="X522" i="13" s="1"/>
  <c r="W522" i="13" s="1"/>
  <c r="AO458" i="5"/>
  <c r="X455" i="13" s="1"/>
  <c r="AO435" i="5"/>
  <c r="X432" i="13" s="1"/>
  <c r="AO411" i="5"/>
  <c r="X408" i="13" s="1"/>
  <c r="W408" i="13" s="1"/>
  <c r="AO389" i="5"/>
  <c r="X386" i="13" s="1"/>
  <c r="W386" i="13" s="1"/>
  <c r="AO365" i="5"/>
  <c r="X362" i="13" s="1"/>
  <c r="AO342" i="5"/>
  <c r="X339" i="13" s="1"/>
  <c r="W339" i="13" s="1"/>
  <c r="AO295" i="5"/>
  <c r="X292" i="13" s="1"/>
  <c r="W292" i="13" s="1"/>
  <c r="AO264" i="5"/>
  <c r="X261" i="13" s="1"/>
  <c r="W261" i="13" s="1"/>
  <c r="AO232" i="5"/>
  <c r="X229" i="13" s="1"/>
  <c r="W229" i="13" s="1"/>
  <c r="AO200" i="5"/>
  <c r="X197" i="13" s="1"/>
  <c r="W197" i="13" s="1"/>
  <c r="AO167" i="5"/>
  <c r="X164" i="13" s="1"/>
  <c r="W164" i="13" s="1"/>
  <c r="AO120" i="5"/>
  <c r="X117" i="13" s="1"/>
  <c r="AO631" i="5"/>
  <c r="X628" i="13" s="1"/>
  <c r="W628" i="13" s="1"/>
  <c r="AO587" i="5"/>
  <c r="X584" i="13" s="1"/>
  <c r="W584" i="13" s="1"/>
  <c r="AO567" i="5"/>
  <c r="X564" i="13" s="1"/>
  <c r="W564" i="13" s="1"/>
  <c r="AO523" i="5"/>
  <c r="X520" i="13" s="1"/>
  <c r="W520" i="13" s="1"/>
  <c r="AO503" i="5"/>
  <c r="AP503" i="5" s="1"/>
  <c r="O500" i="13" s="1"/>
  <c r="P500" i="13" s="1"/>
  <c r="AO480" i="5"/>
  <c r="X477" i="13" s="1"/>
  <c r="AO456" i="5"/>
  <c r="X453" i="13" s="1"/>
  <c r="W453" i="13" s="1"/>
  <c r="AO410" i="5"/>
  <c r="X407" i="13" s="1"/>
  <c r="W407" i="13" s="1"/>
  <c r="AO387" i="5"/>
  <c r="X384" i="13" s="1"/>
  <c r="W384" i="13" s="1"/>
  <c r="AO363" i="5"/>
  <c r="X360" i="13" s="1"/>
  <c r="AO341" i="5"/>
  <c r="AO317" i="5"/>
  <c r="X314" i="13" s="1"/>
  <c r="W314" i="13" s="1"/>
  <c r="AO293" i="5"/>
  <c r="AO263" i="5"/>
  <c r="X260" i="13" s="1"/>
  <c r="W260" i="13" s="1"/>
  <c r="AO231" i="5"/>
  <c r="X228" i="13" s="1"/>
  <c r="W228" i="13" s="1"/>
  <c r="AO199" i="5"/>
  <c r="X196" i="13" s="1"/>
  <c r="W196" i="13" s="1"/>
  <c r="T442" i="13"/>
  <c r="T341" i="13"/>
  <c r="T213" i="13"/>
  <c r="T85" i="13"/>
  <c r="T430" i="13"/>
  <c r="AO433" i="5"/>
  <c r="X430" i="13" s="1"/>
  <c r="T414" i="13"/>
  <c r="AO417" i="5"/>
  <c r="X414" i="13" s="1"/>
  <c r="W414" i="13" s="1"/>
  <c r="T398" i="13"/>
  <c r="AO401" i="5"/>
  <c r="X398" i="13" s="1"/>
  <c r="W398" i="13" s="1"/>
  <c r="T382" i="13"/>
  <c r="AO385" i="5"/>
  <c r="X382" i="13" s="1"/>
  <c r="T366" i="13"/>
  <c r="AO369" i="5"/>
  <c r="AP369" i="5" s="1"/>
  <c r="T350" i="13"/>
  <c r="AO353" i="5"/>
  <c r="X350" i="13" s="1"/>
  <c r="T334" i="13"/>
  <c r="S334" i="13" s="1"/>
  <c r="AO337" i="5"/>
  <c r="X334" i="13" s="1"/>
  <c r="W334" i="13" s="1"/>
  <c r="T318" i="13"/>
  <c r="AO321" i="5"/>
  <c r="X318" i="13" s="1"/>
  <c r="T302" i="13"/>
  <c r="AO305" i="5"/>
  <c r="X302" i="13" s="1"/>
  <c r="T286" i="13"/>
  <c r="AO289" i="5"/>
  <c r="X286" i="13" s="1"/>
  <c r="W286" i="13" s="1"/>
  <c r="T270" i="13"/>
  <c r="AO273" i="5"/>
  <c r="X270" i="13" s="1"/>
  <c r="W270" i="13" s="1"/>
  <c r="T254" i="13"/>
  <c r="AO257" i="5"/>
  <c r="X254" i="13" s="1"/>
  <c r="W254" i="13" s="1"/>
  <c r="T238" i="13"/>
  <c r="AO241" i="5"/>
  <c r="X238" i="13" s="1"/>
  <c r="W238" i="13" s="1"/>
  <c r="T222" i="13"/>
  <c r="AO225" i="5"/>
  <c r="X222" i="13" s="1"/>
  <c r="W222" i="13" s="1"/>
  <c r="T206" i="13"/>
  <c r="AO209" i="5"/>
  <c r="X206" i="13" s="1"/>
  <c r="T190" i="13"/>
  <c r="AO193" i="5"/>
  <c r="X190" i="13" s="1"/>
  <c r="W190" i="13" s="1"/>
  <c r="T174" i="13"/>
  <c r="AO177" i="5"/>
  <c r="X174" i="13" s="1"/>
  <c r="W174" i="13" s="1"/>
  <c r="T158" i="13"/>
  <c r="AO161" i="5"/>
  <c r="X158" i="13" s="1"/>
  <c r="W158" i="13" s="1"/>
  <c r="T142" i="13"/>
  <c r="AO145" i="5"/>
  <c r="X142" i="13" s="1"/>
  <c r="W142" i="13" s="1"/>
  <c r="T126" i="13"/>
  <c r="AO129" i="5"/>
  <c r="X126" i="13" s="1"/>
  <c r="W126" i="13" s="1"/>
  <c r="T110" i="13"/>
  <c r="AO113" i="5"/>
  <c r="X110" i="13" s="1"/>
  <c r="T94" i="13"/>
  <c r="AO97" i="5"/>
  <c r="X94" i="13" s="1"/>
  <c r="T78" i="13"/>
  <c r="AO81" i="5"/>
  <c r="X78" i="13" s="1"/>
  <c r="M249" i="13"/>
  <c r="M233" i="13"/>
  <c r="M217" i="13"/>
  <c r="M201" i="13"/>
  <c r="M185" i="13"/>
  <c r="M169" i="13"/>
  <c r="M153" i="13"/>
  <c r="M137" i="13"/>
  <c r="M121" i="13"/>
  <c r="M105" i="13"/>
  <c r="M89" i="13"/>
  <c r="M73" i="13"/>
  <c r="M57" i="13"/>
  <c r="M41" i="13"/>
  <c r="M25" i="13"/>
  <c r="AO630" i="5"/>
  <c r="X627" i="13" s="1"/>
  <c r="W627" i="13" s="1"/>
  <c r="AO586" i="5"/>
  <c r="X583" i="13" s="1"/>
  <c r="AO566" i="5"/>
  <c r="X563" i="13" s="1"/>
  <c r="W563" i="13" s="1"/>
  <c r="AO522" i="5"/>
  <c r="X519" i="13" s="1"/>
  <c r="AO502" i="5"/>
  <c r="X499" i="13" s="1"/>
  <c r="W499" i="13" s="1"/>
  <c r="AO455" i="5"/>
  <c r="X452" i="13" s="1"/>
  <c r="W452" i="13" s="1"/>
  <c r="AO432" i="5"/>
  <c r="X429" i="13" s="1"/>
  <c r="AO408" i="5"/>
  <c r="X405" i="13" s="1"/>
  <c r="AO362" i="5"/>
  <c r="X359" i="13" s="1"/>
  <c r="AO339" i="5"/>
  <c r="X336" i="13" s="1"/>
  <c r="W336" i="13" s="1"/>
  <c r="AO315" i="5"/>
  <c r="X312" i="13" s="1"/>
  <c r="AO291" i="5"/>
  <c r="X288" i="13" s="1"/>
  <c r="W288" i="13" s="1"/>
  <c r="AO261" i="5"/>
  <c r="AO229" i="5"/>
  <c r="X226" i="13" s="1"/>
  <c r="W226" i="13" s="1"/>
  <c r="AO197" i="5"/>
  <c r="X194" i="13" s="1"/>
  <c r="AO160" i="5"/>
  <c r="X157" i="13" s="1"/>
  <c r="W157" i="13" s="1"/>
  <c r="AO109" i="5"/>
  <c r="X106" i="13" s="1"/>
  <c r="T522" i="13"/>
  <c r="S522" i="13" s="1"/>
  <c r="T437" i="13"/>
  <c r="T109" i="13"/>
  <c r="AO112" i="5"/>
  <c r="X109" i="13" s="1"/>
  <c r="W109" i="13" s="1"/>
  <c r="T93" i="13"/>
  <c r="AO96" i="5"/>
  <c r="X93" i="13" s="1"/>
  <c r="T77" i="13"/>
  <c r="AO80" i="5"/>
  <c r="X77" i="13" s="1"/>
  <c r="W77" i="13" s="1"/>
  <c r="AN621" i="5"/>
  <c r="V618" i="13" s="1"/>
  <c r="U618" i="13" s="1"/>
  <c r="AN605" i="5"/>
  <c r="AN573" i="5"/>
  <c r="V570" i="13" s="1"/>
  <c r="U570" i="13" s="1"/>
  <c r="AN557" i="5"/>
  <c r="V554" i="13" s="1"/>
  <c r="AN541" i="5"/>
  <c r="V538" i="13" s="1"/>
  <c r="U538" i="13" s="1"/>
  <c r="AN509" i="5"/>
  <c r="V506" i="13" s="1"/>
  <c r="U506" i="13" s="1"/>
  <c r="AN493" i="5"/>
  <c r="V490" i="13" s="1"/>
  <c r="U490" i="13" s="1"/>
  <c r="AN477" i="5"/>
  <c r="V474" i="13" s="1"/>
  <c r="U474" i="13" s="1"/>
  <c r="AN445" i="5"/>
  <c r="V442" i="13" s="1"/>
  <c r="AN429" i="5"/>
  <c r="V426" i="13" s="1"/>
  <c r="U426" i="13" s="1"/>
  <c r="AN413" i="5"/>
  <c r="V410" i="13" s="1"/>
  <c r="U410" i="13" s="1"/>
  <c r="AN397" i="5"/>
  <c r="V394" i="13" s="1"/>
  <c r="AN381" i="5"/>
  <c r="V378" i="13" s="1"/>
  <c r="U378" i="13" s="1"/>
  <c r="AN365" i="5"/>
  <c r="V362" i="13" s="1"/>
  <c r="AN349" i="5"/>
  <c r="V346" i="13" s="1"/>
  <c r="U346" i="13" s="1"/>
  <c r="AN333" i="5"/>
  <c r="V330" i="13" s="1"/>
  <c r="AN317" i="5"/>
  <c r="V314" i="13" s="1"/>
  <c r="U314" i="13" s="1"/>
  <c r="AN301" i="5"/>
  <c r="V298" i="13" s="1"/>
  <c r="U298" i="13" s="1"/>
  <c r="AN285" i="5"/>
  <c r="V282" i="13" s="1"/>
  <c r="U282" i="13" s="1"/>
  <c r="AN269" i="5"/>
  <c r="V266" i="13" s="1"/>
  <c r="U266" i="13" s="1"/>
  <c r="AN253" i="5"/>
  <c r="V250" i="13" s="1"/>
  <c r="U250" i="13" s="1"/>
  <c r="AN237" i="5"/>
  <c r="V234" i="13" s="1"/>
  <c r="U234" i="13" s="1"/>
  <c r="AN221" i="5"/>
  <c r="V218" i="13" s="1"/>
  <c r="U218" i="13" s="1"/>
  <c r="AN205" i="5"/>
  <c r="V202" i="13" s="1"/>
  <c r="AN189" i="5"/>
  <c r="V186" i="13" s="1"/>
  <c r="U186" i="13" s="1"/>
  <c r="AN173" i="5"/>
  <c r="V170" i="13" s="1"/>
  <c r="U170" i="13" s="1"/>
  <c r="AN157" i="5"/>
  <c r="V154" i="13" s="1"/>
  <c r="U154" i="13" s="1"/>
  <c r="AN141" i="5"/>
  <c r="V138" i="13" s="1"/>
  <c r="U138" i="13" s="1"/>
  <c r="AN125" i="5"/>
  <c r="V122" i="13" s="1"/>
  <c r="AN109" i="5"/>
  <c r="V106" i="13" s="1"/>
  <c r="AN93" i="5"/>
  <c r="V90" i="13" s="1"/>
  <c r="AN77" i="5"/>
  <c r="V74" i="13" s="1"/>
  <c r="AO585" i="5"/>
  <c r="AP585" i="5" s="1"/>
  <c r="O582" i="13" s="1"/>
  <c r="P582" i="13" s="1"/>
  <c r="AO521" i="5"/>
  <c r="X518" i="13" s="1"/>
  <c r="AO501" i="5"/>
  <c r="AO454" i="5"/>
  <c r="X451" i="13" s="1"/>
  <c r="W451" i="13" s="1"/>
  <c r="AO407" i="5"/>
  <c r="X404" i="13" s="1"/>
  <c r="W404" i="13" s="1"/>
  <c r="AO384" i="5"/>
  <c r="X381" i="13" s="1"/>
  <c r="W381" i="13" s="1"/>
  <c r="AO360" i="5"/>
  <c r="X357" i="13" s="1"/>
  <c r="W357" i="13" s="1"/>
  <c r="AO314" i="5"/>
  <c r="X311" i="13" s="1"/>
  <c r="AO104" i="5"/>
  <c r="X101" i="13" s="1"/>
  <c r="T325" i="13"/>
  <c r="T197" i="13"/>
  <c r="T68" i="13"/>
  <c r="S550" i="13"/>
  <c r="T636" i="13"/>
  <c r="S636" i="13" s="1"/>
  <c r="AO639" i="5"/>
  <c r="X636" i="13" s="1"/>
  <c r="W636" i="13" s="1"/>
  <c r="AO623" i="5"/>
  <c r="X620" i="13" s="1"/>
  <c r="W620" i="13" s="1"/>
  <c r="T620" i="13"/>
  <c r="T604" i="13"/>
  <c r="AO607" i="5"/>
  <c r="X604" i="13" s="1"/>
  <c r="W604" i="13" s="1"/>
  <c r="T588" i="13"/>
  <c r="AO591" i="5"/>
  <c r="X588" i="13" s="1"/>
  <c r="W588" i="13" s="1"/>
  <c r="AO575" i="5"/>
  <c r="X572" i="13" s="1"/>
  <c r="W572" i="13" s="1"/>
  <c r="T572" i="13"/>
  <c r="S572" i="13" s="1"/>
  <c r="T556" i="13"/>
  <c r="AO559" i="5"/>
  <c r="X556" i="13" s="1"/>
  <c r="W556" i="13" s="1"/>
  <c r="T540" i="13"/>
  <c r="AO543" i="5"/>
  <c r="X540" i="13" s="1"/>
  <c r="W540" i="13" s="1"/>
  <c r="T524" i="13"/>
  <c r="AO527" i="5"/>
  <c r="X524" i="13" s="1"/>
  <c r="W524" i="13" s="1"/>
  <c r="T508" i="13"/>
  <c r="S508" i="13" s="1"/>
  <c r="AO511" i="5"/>
  <c r="X508" i="13" s="1"/>
  <c r="W508" i="13" s="1"/>
  <c r="T492" i="13"/>
  <c r="AO495" i="5"/>
  <c r="X492" i="13" s="1"/>
  <c r="W492" i="13" s="1"/>
  <c r="T476" i="13"/>
  <c r="AO479" i="5"/>
  <c r="X476" i="13" s="1"/>
  <c r="W476" i="13" s="1"/>
  <c r="T460" i="13"/>
  <c r="AO463" i="5"/>
  <c r="X460" i="13" s="1"/>
  <c r="W460" i="13" s="1"/>
  <c r="T444" i="13"/>
  <c r="S444" i="13" s="1"/>
  <c r="AO447" i="5"/>
  <c r="X444" i="13" s="1"/>
  <c r="W444" i="13" s="1"/>
  <c r="T428" i="13"/>
  <c r="AO431" i="5"/>
  <c r="X428" i="13" s="1"/>
  <c r="T412" i="13"/>
  <c r="AO415" i="5"/>
  <c r="X412" i="13" s="1"/>
  <c r="W412" i="13" s="1"/>
  <c r="T396" i="13"/>
  <c r="AO399" i="5"/>
  <c r="X396" i="13" s="1"/>
  <c r="W396" i="13" s="1"/>
  <c r="T380" i="13"/>
  <c r="S380" i="13" s="1"/>
  <c r="AO383" i="5"/>
  <c r="X380" i="13" s="1"/>
  <c r="W380" i="13" s="1"/>
  <c r="T364" i="13"/>
  <c r="AO367" i="5"/>
  <c r="X364" i="13" s="1"/>
  <c r="W364" i="13" s="1"/>
  <c r="T348" i="13"/>
  <c r="AO351" i="5"/>
  <c r="X348" i="13" s="1"/>
  <c r="T332" i="13"/>
  <c r="AO335" i="5"/>
  <c r="AP335" i="5" s="1"/>
  <c r="Z332" i="13" s="1"/>
  <c r="Y332" i="13" s="1"/>
  <c r="T316" i="13"/>
  <c r="S316" i="13" s="1"/>
  <c r="AO319" i="5"/>
  <c r="X316" i="13" s="1"/>
  <c r="W316" i="13" s="1"/>
  <c r="T300" i="13"/>
  <c r="AO303" i="5"/>
  <c r="X300" i="13" s="1"/>
  <c r="W300" i="13" s="1"/>
  <c r="T284" i="13"/>
  <c r="AO287" i="5"/>
  <c r="X284" i="13" s="1"/>
  <c r="W284" i="13" s="1"/>
  <c r="T268" i="13"/>
  <c r="AO271" i="5"/>
  <c r="X268" i="13" s="1"/>
  <c r="W268" i="13" s="1"/>
  <c r="T252" i="13"/>
  <c r="S252" i="13" s="1"/>
  <c r="AO255" i="5"/>
  <c r="X252" i="13" s="1"/>
  <c r="W252" i="13" s="1"/>
  <c r="T236" i="13"/>
  <c r="AO239" i="5"/>
  <c r="X236" i="13" s="1"/>
  <c r="W236" i="13" s="1"/>
  <c r="T220" i="13"/>
  <c r="AO223" i="5"/>
  <c r="X220" i="13" s="1"/>
  <c r="W220" i="13" s="1"/>
  <c r="T204" i="13"/>
  <c r="AO207" i="5"/>
  <c r="X204" i="13" s="1"/>
  <c r="T188" i="13"/>
  <c r="AO191" i="5"/>
  <c r="X188" i="13" s="1"/>
  <c r="T172" i="13"/>
  <c r="AO175" i="5"/>
  <c r="X172" i="13" s="1"/>
  <c r="T156" i="13"/>
  <c r="AO159" i="5"/>
  <c r="X156" i="13" s="1"/>
  <c r="T140" i="13"/>
  <c r="AO143" i="5"/>
  <c r="X140" i="13" s="1"/>
  <c r="W140" i="13" s="1"/>
  <c r="T124" i="13"/>
  <c r="S124" i="13" s="1"/>
  <c r="AO127" i="5"/>
  <c r="AP127" i="5" s="1"/>
  <c r="Z124" i="13" s="1"/>
  <c r="Y124" i="13" s="1"/>
  <c r="T108" i="13"/>
  <c r="AO111" i="5"/>
  <c r="X108" i="13" s="1"/>
  <c r="W108" i="13" s="1"/>
  <c r="T92" i="13"/>
  <c r="AO95" i="5"/>
  <c r="AP95" i="5" s="1"/>
  <c r="T76" i="13"/>
  <c r="AO79" i="5"/>
  <c r="X76" i="13" s="1"/>
  <c r="W76" i="13" s="1"/>
  <c r="AN636" i="5"/>
  <c r="AO499" i="5"/>
  <c r="X496" i="13" s="1"/>
  <c r="AO475" i="5"/>
  <c r="X472" i="13" s="1"/>
  <c r="W472" i="13" s="1"/>
  <c r="AO453" i="5"/>
  <c r="AO429" i="5"/>
  <c r="X426" i="13" s="1"/>
  <c r="W426" i="13" s="1"/>
  <c r="AO406" i="5"/>
  <c r="X403" i="13" s="1"/>
  <c r="W403" i="13" s="1"/>
  <c r="AO359" i="5"/>
  <c r="X356" i="13" s="1"/>
  <c r="AO336" i="5"/>
  <c r="X333" i="13" s="1"/>
  <c r="W333" i="13" s="1"/>
  <c r="AO312" i="5"/>
  <c r="X309" i="13" s="1"/>
  <c r="W309" i="13" s="1"/>
  <c r="AO288" i="5"/>
  <c r="X285" i="13" s="1"/>
  <c r="W285" i="13" s="1"/>
  <c r="AO256" i="5"/>
  <c r="X253" i="13" s="1"/>
  <c r="AO224" i="5"/>
  <c r="X221" i="13" s="1"/>
  <c r="W221" i="13" s="1"/>
  <c r="AO192" i="5"/>
  <c r="X189" i="13" s="1"/>
  <c r="W189" i="13" s="1"/>
  <c r="AO157" i="5"/>
  <c r="X154" i="13" s="1"/>
  <c r="W154" i="13" s="1"/>
  <c r="T615" i="13"/>
  <c r="AO603" i="5"/>
  <c r="X600" i="13" s="1"/>
  <c r="W600" i="13" s="1"/>
  <c r="AO583" i="5"/>
  <c r="X580" i="13" s="1"/>
  <c r="W580" i="13" s="1"/>
  <c r="AO539" i="5"/>
  <c r="X536" i="13" s="1"/>
  <c r="AO519" i="5"/>
  <c r="X516" i="13" s="1"/>
  <c r="AO474" i="5"/>
  <c r="X471" i="13" s="1"/>
  <c r="AO451" i="5"/>
  <c r="X448" i="13" s="1"/>
  <c r="AO427" i="5"/>
  <c r="X424" i="13" s="1"/>
  <c r="W424" i="13" s="1"/>
  <c r="AO405" i="5"/>
  <c r="AO381" i="5"/>
  <c r="X378" i="13" s="1"/>
  <c r="W378" i="13" s="1"/>
  <c r="AO358" i="5"/>
  <c r="X355" i="13" s="1"/>
  <c r="W355" i="13" s="1"/>
  <c r="AO311" i="5"/>
  <c r="X308" i="13" s="1"/>
  <c r="W308" i="13" s="1"/>
  <c r="AO152" i="5"/>
  <c r="AP152" i="5" s="1"/>
  <c r="AO93" i="5"/>
  <c r="X90" i="13" s="1"/>
  <c r="T421" i="13"/>
  <c r="T309" i="13"/>
  <c r="T181" i="13"/>
  <c r="S628" i="13"/>
  <c r="AN618" i="5"/>
  <c r="V615" i="13" s="1"/>
  <c r="U615" i="13" s="1"/>
  <c r="AN602" i="5"/>
  <c r="V599" i="13" s="1"/>
  <c r="U599" i="13" s="1"/>
  <c r="AN586" i="5"/>
  <c r="V583" i="13" s="1"/>
  <c r="AN570" i="5"/>
  <c r="V567" i="13" s="1"/>
  <c r="U567" i="13" s="1"/>
  <c r="AN554" i="5"/>
  <c r="V551" i="13" s="1"/>
  <c r="AN538" i="5"/>
  <c r="V535" i="13" s="1"/>
  <c r="U535" i="13" s="1"/>
  <c r="AN522" i="5"/>
  <c r="V519" i="13" s="1"/>
  <c r="AN506" i="5"/>
  <c r="V503" i="13" s="1"/>
  <c r="AN490" i="5"/>
  <c r="V487" i="13" s="1"/>
  <c r="U487" i="13" s="1"/>
  <c r="AN474" i="5"/>
  <c r="V471" i="13" s="1"/>
  <c r="U471" i="13" s="1"/>
  <c r="AN458" i="5"/>
  <c r="V455" i="13" s="1"/>
  <c r="AN442" i="5"/>
  <c r="V439" i="13" s="1"/>
  <c r="AN426" i="5"/>
  <c r="V423" i="13" s="1"/>
  <c r="AN410" i="5"/>
  <c r="V407" i="13" s="1"/>
  <c r="AN394" i="5"/>
  <c r="V391" i="13" s="1"/>
  <c r="AN378" i="5"/>
  <c r="V375" i="13" s="1"/>
  <c r="U375" i="13" s="1"/>
  <c r="AN362" i="5"/>
  <c r="V359" i="13" s="1"/>
  <c r="AN346" i="5"/>
  <c r="V343" i="13" s="1"/>
  <c r="AN330" i="5"/>
  <c r="V327" i="13" s="1"/>
  <c r="AN314" i="5"/>
  <c r="V311" i="13" s="1"/>
  <c r="U311" i="13" s="1"/>
  <c r="AN298" i="5"/>
  <c r="V295" i="13" s="1"/>
  <c r="AO602" i="5"/>
  <c r="X599" i="13" s="1"/>
  <c r="W599" i="13" s="1"/>
  <c r="AO582" i="5"/>
  <c r="AP582" i="5" s="1"/>
  <c r="O579" i="13" s="1"/>
  <c r="P579" i="13" s="1"/>
  <c r="AO538" i="5"/>
  <c r="X535" i="13" s="1"/>
  <c r="W535" i="13" s="1"/>
  <c r="AO518" i="5"/>
  <c r="X515" i="13" s="1"/>
  <c r="AO496" i="5"/>
  <c r="X493" i="13" s="1"/>
  <c r="AO472" i="5"/>
  <c r="X469" i="13" s="1"/>
  <c r="W469" i="13" s="1"/>
  <c r="AO426" i="5"/>
  <c r="X423" i="13" s="1"/>
  <c r="AO403" i="5"/>
  <c r="X400" i="13" s="1"/>
  <c r="W400" i="13" s="1"/>
  <c r="AO379" i="5"/>
  <c r="X376" i="13" s="1"/>
  <c r="W376" i="13" s="1"/>
  <c r="AO357" i="5"/>
  <c r="AO333" i="5"/>
  <c r="X330" i="13" s="1"/>
  <c r="AO310" i="5"/>
  <c r="X307" i="13" s="1"/>
  <c r="AO285" i="5"/>
  <c r="X282" i="13" s="1"/>
  <c r="W282" i="13" s="1"/>
  <c r="AO253" i="5"/>
  <c r="X250" i="13" s="1"/>
  <c r="W250" i="13" s="1"/>
  <c r="AO221" i="5"/>
  <c r="X218" i="13" s="1"/>
  <c r="W218" i="13" s="1"/>
  <c r="AO189" i="5"/>
  <c r="X186" i="13" s="1"/>
  <c r="W186" i="13" s="1"/>
  <c r="AO151" i="5"/>
  <c r="X148" i="13" s="1"/>
  <c r="AO88" i="5"/>
  <c r="X85" i="13" s="1"/>
  <c r="AO620" i="5"/>
  <c r="X617" i="13" s="1"/>
  <c r="W617" i="13" s="1"/>
  <c r="T617" i="13"/>
  <c r="S617" i="13" s="1"/>
  <c r="T601" i="13"/>
  <c r="AO604" i="5"/>
  <c r="X601" i="13" s="1"/>
  <c r="W601" i="13" s="1"/>
  <c r="T585" i="13"/>
  <c r="AO588" i="5"/>
  <c r="X585" i="13" s="1"/>
  <c r="W585" i="13" s="1"/>
  <c r="AO572" i="5"/>
  <c r="X569" i="13" s="1"/>
  <c r="W569" i="13" s="1"/>
  <c r="T569" i="13"/>
  <c r="T553" i="13"/>
  <c r="AO556" i="5"/>
  <c r="X553" i="13" s="1"/>
  <c r="T537" i="13"/>
  <c r="S537" i="13" s="1"/>
  <c r="AO540" i="5"/>
  <c r="X537" i="13" s="1"/>
  <c r="W537" i="13" s="1"/>
  <c r="T521" i="13"/>
  <c r="AO524" i="5"/>
  <c r="X521" i="13" s="1"/>
  <c r="W521" i="13" s="1"/>
  <c r="T505" i="13"/>
  <c r="AO508" i="5"/>
  <c r="X505" i="13" s="1"/>
  <c r="T489" i="13"/>
  <c r="AO492" i="5"/>
  <c r="X489" i="13" s="1"/>
  <c r="T473" i="13"/>
  <c r="AO476" i="5"/>
  <c r="X473" i="13" s="1"/>
  <c r="W473" i="13" s="1"/>
  <c r="T457" i="13"/>
  <c r="AO460" i="5"/>
  <c r="X457" i="13" s="1"/>
  <c r="W457" i="13" s="1"/>
  <c r="T441" i="13"/>
  <c r="AO444" i="5"/>
  <c r="X441" i="13" s="1"/>
  <c r="W441" i="13" s="1"/>
  <c r="T425" i="13"/>
  <c r="AO428" i="5"/>
  <c r="X425" i="13" s="1"/>
  <c r="W425" i="13" s="1"/>
  <c r="T409" i="13"/>
  <c r="AO412" i="5"/>
  <c r="X409" i="13" s="1"/>
  <c r="T393" i="13"/>
  <c r="AO396" i="5"/>
  <c r="X393" i="13" s="1"/>
  <c r="W393" i="13" s="1"/>
  <c r="T377" i="13"/>
  <c r="AO380" i="5"/>
  <c r="X377" i="13" s="1"/>
  <c r="W377" i="13" s="1"/>
  <c r="T361" i="13"/>
  <c r="AO364" i="5"/>
  <c r="X361" i="13" s="1"/>
  <c r="T345" i="13"/>
  <c r="AO348" i="5"/>
  <c r="X345" i="13" s="1"/>
  <c r="W345" i="13" s="1"/>
  <c r="T329" i="13"/>
  <c r="AO332" i="5"/>
  <c r="X329" i="13" s="1"/>
  <c r="W329" i="13" s="1"/>
  <c r="T313" i="13"/>
  <c r="AO316" i="5"/>
  <c r="X313" i="13" s="1"/>
  <c r="W313" i="13" s="1"/>
  <c r="T297" i="13"/>
  <c r="AO300" i="5"/>
  <c r="X297" i="13" s="1"/>
  <c r="W297" i="13" s="1"/>
  <c r="T281" i="13"/>
  <c r="AO284" i="5"/>
  <c r="X281" i="13" s="1"/>
  <c r="T265" i="13"/>
  <c r="AO268" i="5"/>
  <c r="X265" i="13" s="1"/>
  <c r="W265" i="13" s="1"/>
  <c r="T249" i="13"/>
  <c r="AO252" i="5"/>
  <c r="X249" i="13" s="1"/>
  <c r="T233" i="13"/>
  <c r="AO236" i="5"/>
  <c r="X233" i="13" s="1"/>
  <c r="W233" i="13" s="1"/>
  <c r="T217" i="13"/>
  <c r="AO220" i="5"/>
  <c r="X217" i="13" s="1"/>
  <c r="T201" i="13"/>
  <c r="AO204" i="5"/>
  <c r="X201" i="13" s="1"/>
  <c r="W201" i="13" s="1"/>
  <c r="T185" i="13"/>
  <c r="AO188" i="5"/>
  <c r="X185" i="13" s="1"/>
  <c r="W185" i="13" s="1"/>
  <c r="T169" i="13"/>
  <c r="AO172" i="5"/>
  <c r="X169" i="13" s="1"/>
  <c r="W169" i="13" s="1"/>
  <c r="T153" i="13"/>
  <c r="S153" i="13" s="1"/>
  <c r="AO156" i="5"/>
  <c r="X153" i="13" s="1"/>
  <c r="W153" i="13" s="1"/>
  <c r="T137" i="13"/>
  <c r="AO140" i="5"/>
  <c r="X137" i="13" s="1"/>
  <c r="W137" i="13" s="1"/>
  <c r="T121" i="13"/>
  <c r="AO124" i="5"/>
  <c r="X121" i="13" s="1"/>
  <c r="T105" i="13"/>
  <c r="AO108" i="5"/>
  <c r="X105" i="13" s="1"/>
  <c r="T89" i="13"/>
  <c r="AO92" i="5"/>
  <c r="X89" i="13" s="1"/>
  <c r="W89" i="13" s="1"/>
  <c r="T73" i="13"/>
  <c r="AO76" i="5"/>
  <c r="X73" i="13" s="1"/>
  <c r="W73" i="13" s="1"/>
  <c r="AN633" i="5"/>
  <c r="V630" i="13" s="1"/>
  <c r="U630" i="13" s="1"/>
  <c r="AN617" i="5"/>
  <c r="V614" i="13" s="1"/>
  <c r="U614" i="13" s="1"/>
  <c r="AN601" i="5"/>
  <c r="V598" i="13" s="1"/>
  <c r="U598" i="13" s="1"/>
  <c r="AN553" i="5"/>
  <c r="V550" i="13" s="1"/>
  <c r="U550" i="13" s="1"/>
  <c r="AN537" i="5"/>
  <c r="V534" i="13" s="1"/>
  <c r="U534" i="13" s="1"/>
  <c r="AN521" i="5"/>
  <c r="V518" i="13" s="1"/>
  <c r="AN505" i="5"/>
  <c r="V502" i="13" s="1"/>
  <c r="AO601" i="5"/>
  <c r="AP601" i="5" s="1"/>
  <c r="AO537" i="5"/>
  <c r="X534" i="13" s="1"/>
  <c r="W534" i="13" s="1"/>
  <c r="AO517" i="5"/>
  <c r="AO471" i="5"/>
  <c r="X468" i="13" s="1"/>
  <c r="W468" i="13" s="1"/>
  <c r="AO448" i="5"/>
  <c r="X445" i="13" s="1"/>
  <c r="AO424" i="5"/>
  <c r="X421" i="13" s="1"/>
  <c r="W421" i="13" s="1"/>
  <c r="AO378" i="5"/>
  <c r="X375" i="13" s="1"/>
  <c r="AO355" i="5"/>
  <c r="X352" i="13" s="1"/>
  <c r="W352" i="13" s="1"/>
  <c r="AO331" i="5"/>
  <c r="X328" i="13" s="1"/>
  <c r="W328" i="13" s="1"/>
  <c r="AO309" i="5"/>
  <c r="AO283" i="5"/>
  <c r="X280" i="13" s="1"/>
  <c r="W280" i="13" s="1"/>
  <c r="AO251" i="5"/>
  <c r="X248" i="13" s="1"/>
  <c r="W248" i="13" s="1"/>
  <c r="AO219" i="5"/>
  <c r="X216" i="13" s="1"/>
  <c r="W216" i="13" s="1"/>
  <c r="AO187" i="5"/>
  <c r="X184" i="13" s="1"/>
  <c r="W184" i="13" s="1"/>
  <c r="T293" i="13"/>
  <c r="T165" i="13"/>
  <c r="T168" i="13"/>
  <c r="AO171" i="5"/>
  <c r="X168" i="13" s="1"/>
  <c r="W168" i="13" s="1"/>
  <c r="T152" i="13"/>
  <c r="AO155" i="5"/>
  <c r="X152" i="13" s="1"/>
  <c r="T136" i="13"/>
  <c r="S136" i="13" s="1"/>
  <c r="AO139" i="5"/>
  <c r="X136" i="13" s="1"/>
  <c r="W136" i="13" s="1"/>
  <c r="T120" i="13"/>
  <c r="AO123" i="5"/>
  <c r="X120" i="13" s="1"/>
  <c r="W120" i="13" s="1"/>
  <c r="T104" i="13"/>
  <c r="AO107" i="5"/>
  <c r="X104" i="13" s="1"/>
  <c r="T88" i="13"/>
  <c r="AO91" i="5"/>
  <c r="X88" i="13" s="1"/>
  <c r="T72" i="13"/>
  <c r="AO75" i="5"/>
  <c r="X72" i="13" s="1"/>
  <c r="AN408" i="5"/>
  <c r="V405" i="13" s="1"/>
  <c r="AN376" i="5"/>
  <c r="V373" i="13" s="1"/>
  <c r="AN328" i="5"/>
  <c r="V325" i="13" s="1"/>
  <c r="U325" i="13" s="1"/>
  <c r="AN280" i="5"/>
  <c r="V277" i="13" s="1"/>
  <c r="U277" i="13" s="1"/>
  <c r="AN248" i="5"/>
  <c r="V245" i="13" s="1"/>
  <c r="AN216" i="5"/>
  <c r="V213" i="13" s="1"/>
  <c r="U213" i="13" s="1"/>
  <c r="AN184" i="5"/>
  <c r="V181" i="13" s="1"/>
  <c r="AN152" i="5"/>
  <c r="V149" i="13" s="1"/>
  <c r="AN72" i="5"/>
  <c r="AO621" i="5"/>
  <c r="X618" i="13" s="1"/>
  <c r="W618" i="13" s="1"/>
  <c r="AO515" i="5"/>
  <c r="X512" i="13" s="1"/>
  <c r="W512" i="13" s="1"/>
  <c r="AO493" i="5"/>
  <c r="X490" i="13" s="1"/>
  <c r="W490" i="13" s="1"/>
  <c r="AO470" i="5"/>
  <c r="X467" i="13" s="1"/>
  <c r="AO423" i="5"/>
  <c r="X420" i="13" s="1"/>
  <c r="AO400" i="5"/>
  <c r="X397" i="13" s="1"/>
  <c r="W397" i="13" s="1"/>
  <c r="AO330" i="5"/>
  <c r="X327" i="13" s="1"/>
  <c r="W327" i="13" s="1"/>
  <c r="AO307" i="5"/>
  <c r="X304" i="13" s="1"/>
  <c r="W304" i="13" s="1"/>
  <c r="AO280" i="5"/>
  <c r="X277" i="13" s="1"/>
  <c r="W277" i="13" s="1"/>
  <c r="AO144" i="5"/>
  <c r="X141" i="13" s="1"/>
  <c r="W141" i="13" s="1"/>
  <c r="AO77" i="5"/>
  <c r="X74" i="13" s="1"/>
  <c r="T279" i="13"/>
  <c r="AO282" i="5"/>
  <c r="AP282" i="5" s="1"/>
  <c r="T263" i="13"/>
  <c r="S263" i="13" s="1"/>
  <c r="AO266" i="5"/>
  <c r="X263" i="13" s="1"/>
  <c r="W263" i="13" s="1"/>
  <c r="T247" i="13"/>
  <c r="AO250" i="5"/>
  <c r="X247" i="13" s="1"/>
  <c r="W247" i="13" s="1"/>
  <c r="T231" i="13"/>
  <c r="AO234" i="5"/>
  <c r="X231" i="13" s="1"/>
  <c r="W231" i="13" s="1"/>
  <c r="T215" i="13"/>
  <c r="AO218" i="5"/>
  <c r="X215" i="13" s="1"/>
  <c r="W215" i="13" s="1"/>
  <c r="T199" i="13"/>
  <c r="AO202" i="5"/>
  <c r="X199" i="13" s="1"/>
  <c r="T183" i="13"/>
  <c r="AO186" i="5"/>
  <c r="X183" i="13" s="1"/>
  <c r="T167" i="13"/>
  <c r="AO170" i="5"/>
  <c r="X167" i="13" s="1"/>
  <c r="W167" i="13" s="1"/>
  <c r="T151" i="13"/>
  <c r="AO154" i="5"/>
  <c r="X151" i="13" s="1"/>
  <c r="T135" i="13"/>
  <c r="AO138" i="5"/>
  <c r="X135" i="13" s="1"/>
  <c r="T119" i="13"/>
  <c r="AO122" i="5"/>
  <c r="X119" i="13" s="1"/>
  <c r="W119" i="13" s="1"/>
  <c r="T103" i="13"/>
  <c r="AO106" i="5"/>
  <c r="X103" i="13" s="1"/>
  <c r="W103" i="13" s="1"/>
  <c r="T87" i="13"/>
  <c r="AO90" i="5"/>
  <c r="X87" i="13" s="1"/>
  <c r="T71" i="13"/>
  <c r="S71" i="13" s="1"/>
  <c r="AO74" i="5"/>
  <c r="X71" i="13" s="1"/>
  <c r="W71" i="13" s="1"/>
  <c r="AN631" i="5"/>
  <c r="V628" i="13" s="1"/>
  <c r="U628" i="13" s="1"/>
  <c r="AN615" i="5"/>
  <c r="V612" i="13" s="1"/>
  <c r="U612" i="13" s="1"/>
  <c r="AN599" i="5"/>
  <c r="V596" i="13" s="1"/>
  <c r="U596" i="13" s="1"/>
  <c r="AN583" i="5"/>
  <c r="V580" i="13" s="1"/>
  <c r="U580" i="13" s="1"/>
  <c r="AN567" i="5"/>
  <c r="V564" i="13" s="1"/>
  <c r="U564" i="13" s="1"/>
  <c r="AN551" i="5"/>
  <c r="V548" i="13" s="1"/>
  <c r="U548" i="13" s="1"/>
  <c r="AN535" i="5"/>
  <c r="V532" i="13" s="1"/>
  <c r="AN519" i="5"/>
  <c r="V516" i="13" s="1"/>
  <c r="AN503" i="5"/>
  <c r="V500" i="13" s="1"/>
  <c r="AN487" i="5"/>
  <c r="V484" i="13" s="1"/>
  <c r="AN471" i="5"/>
  <c r="V468" i="13" s="1"/>
  <c r="U468" i="13" s="1"/>
  <c r="AN455" i="5"/>
  <c r="V452" i="13" s="1"/>
  <c r="U452" i="13" s="1"/>
  <c r="AN439" i="5"/>
  <c r="V436" i="13" s="1"/>
  <c r="AN423" i="5"/>
  <c r="V420" i="13" s="1"/>
  <c r="AN407" i="5"/>
  <c r="V404" i="13" s="1"/>
  <c r="U404" i="13" s="1"/>
  <c r="AN391" i="5"/>
  <c r="V388" i="13" s="1"/>
  <c r="AN375" i="5"/>
  <c r="V372" i="13" s="1"/>
  <c r="U372" i="13" s="1"/>
  <c r="AN359" i="5"/>
  <c r="V356" i="13" s="1"/>
  <c r="AN343" i="5"/>
  <c r="V340" i="13" s="1"/>
  <c r="U340" i="13" s="1"/>
  <c r="AN327" i="5"/>
  <c r="V324" i="13" s="1"/>
  <c r="U324" i="13" s="1"/>
  <c r="AN311" i="5"/>
  <c r="V308" i="13" s="1"/>
  <c r="U308" i="13" s="1"/>
  <c r="AN295" i="5"/>
  <c r="V292" i="13" s="1"/>
  <c r="U292" i="13" s="1"/>
  <c r="AN279" i="5"/>
  <c r="V276" i="13" s="1"/>
  <c r="U276" i="13" s="1"/>
  <c r="AN263" i="5"/>
  <c r="V260" i="13" s="1"/>
  <c r="U260" i="13" s="1"/>
  <c r="AN247" i="5"/>
  <c r="V244" i="13" s="1"/>
  <c r="AN231" i="5"/>
  <c r="V228" i="13" s="1"/>
  <c r="U228" i="13" s="1"/>
  <c r="AN215" i="5"/>
  <c r="V212" i="13" s="1"/>
  <c r="AN199" i="5"/>
  <c r="V196" i="13" s="1"/>
  <c r="U196" i="13" s="1"/>
  <c r="AN183" i="5"/>
  <c r="V180" i="13" s="1"/>
  <c r="U180" i="13" s="1"/>
  <c r="AN167" i="5"/>
  <c r="V164" i="13" s="1"/>
  <c r="U164" i="13" s="1"/>
  <c r="AN151" i="5"/>
  <c r="V148" i="13" s="1"/>
  <c r="AN135" i="5"/>
  <c r="V132" i="13" s="1"/>
  <c r="U132" i="13" s="1"/>
  <c r="AN119" i="5"/>
  <c r="V116" i="13" s="1"/>
  <c r="U116" i="13" s="1"/>
  <c r="AN103" i="5"/>
  <c r="V100" i="13" s="1"/>
  <c r="U100" i="13" s="1"/>
  <c r="AN87" i="5"/>
  <c r="V84" i="13" s="1"/>
  <c r="U84" i="13" s="1"/>
  <c r="AN71" i="5"/>
  <c r="V68" i="13" s="1"/>
  <c r="U68" i="13" s="1"/>
  <c r="AO619" i="5"/>
  <c r="X616" i="13" s="1"/>
  <c r="W616" i="13" s="1"/>
  <c r="AO599" i="5"/>
  <c r="X596" i="13" s="1"/>
  <c r="W596" i="13" s="1"/>
  <c r="AO555" i="5"/>
  <c r="X552" i="13" s="1"/>
  <c r="AO535" i="5"/>
  <c r="X532" i="13" s="1"/>
  <c r="AO491" i="5"/>
  <c r="X488" i="13" s="1"/>
  <c r="W488" i="13" s="1"/>
  <c r="AO469" i="5"/>
  <c r="AO422" i="5"/>
  <c r="X419" i="13" s="1"/>
  <c r="AO375" i="5"/>
  <c r="X372" i="13" s="1"/>
  <c r="W372" i="13" s="1"/>
  <c r="AO352" i="5"/>
  <c r="X349" i="13" s="1"/>
  <c r="AO279" i="5"/>
  <c r="X276" i="13" s="1"/>
  <c r="W276" i="13" s="1"/>
  <c r="AO247" i="5"/>
  <c r="X244" i="13" s="1"/>
  <c r="AO215" i="5"/>
  <c r="X212" i="13" s="1"/>
  <c r="AO183" i="5"/>
  <c r="X180" i="13" s="1"/>
  <c r="W180" i="13" s="1"/>
  <c r="T486" i="13"/>
  <c r="AO489" i="5"/>
  <c r="X486" i="13" s="1"/>
  <c r="T470" i="13"/>
  <c r="AO473" i="5"/>
  <c r="X470" i="13" s="1"/>
  <c r="T454" i="13"/>
  <c r="AO457" i="5"/>
  <c r="X454" i="13" s="1"/>
  <c r="W454" i="13" s="1"/>
  <c r="T438" i="13"/>
  <c r="AO441" i="5"/>
  <c r="X438" i="13" s="1"/>
  <c r="W438" i="13" s="1"/>
  <c r="T422" i="13"/>
  <c r="AO425" i="5"/>
  <c r="X422" i="13" s="1"/>
  <c r="W422" i="13" s="1"/>
  <c r="T406" i="13"/>
  <c r="AO409" i="5"/>
  <c r="X406" i="13" s="1"/>
  <c r="W406" i="13" s="1"/>
  <c r="T390" i="13"/>
  <c r="AO393" i="5"/>
  <c r="X390" i="13" s="1"/>
  <c r="T374" i="13"/>
  <c r="AO377" i="5"/>
  <c r="X374" i="13" s="1"/>
  <c r="T358" i="13"/>
  <c r="AO361" i="5"/>
  <c r="X358" i="13" s="1"/>
  <c r="W358" i="13" s="1"/>
  <c r="T342" i="13"/>
  <c r="AO345" i="5"/>
  <c r="X342" i="13" s="1"/>
  <c r="T326" i="13"/>
  <c r="AO329" i="5"/>
  <c r="X326" i="13" s="1"/>
  <c r="W326" i="13" s="1"/>
  <c r="T310" i="13"/>
  <c r="AO313" i="5"/>
  <c r="X310" i="13" s="1"/>
  <c r="W310" i="13" s="1"/>
  <c r="T294" i="13"/>
  <c r="AO297" i="5"/>
  <c r="X294" i="13" s="1"/>
  <c r="W294" i="13" s="1"/>
  <c r="T278" i="13"/>
  <c r="AO281" i="5"/>
  <c r="X278" i="13" s="1"/>
  <c r="W278" i="13" s="1"/>
  <c r="T262" i="13"/>
  <c r="AO265" i="5"/>
  <c r="X262" i="13" s="1"/>
  <c r="W262" i="13" s="1"/>
  <c r="T246" i="13"/>
  <c r="AO249" i="5"/>
  <c r="X246" i="13" s="1"/>
  <c r="T230" i="13"/>
  <c r="AO233" i="5"/>
  <c r="X230" i="13" s="1"/>
  <c r="T214" i="13"/>
  <c r="AO217" i="5"/>
  <c r="X214" i="13" s="1"/>
  <c r="T198" i="13"/>
  <c r="AO201" i="5"/>
  <c r="X198" i="13" s="1"/>
  <c r="W198" i="13" s="1"/>
  <c r="T182" i="13"/>
  <c r="AO185" i="5"/>
  <c r="X182" i="13" s="1"/>
  <c r="W182" i="13" s="1"/>
  <c r="T166" i="13"/>
  <c r="AO169" i="5"/>
  <c r="X166" i="13" s="1"/>
  <c r="T150" i="13"/>
  <c r="AO153" i="5"/>
  <c r="X150" i="13" s="1"/>
  <c r="W150" i="13" s="1"/>
  <c r="T134" i="13"/>
  <c r="AO137" i="5"/>
  <c r="X134" i="13" s="1"/>
  <c r="T118" i="13"/>
  <c r="AO121" i="5"/>
  <c r="X118" i="13" s="1"/>
  <c r="T102" i="13"/>
  <c r="AO105" i="5"/>
  <c r="X102" i="13" s="1"/>
  <c r="W102" i="13" s="1"/>
  <c r="T86" i="13"/>
  <c r="AO89" i="5"/>
  <c r="X86" i="13" s="1"/>
  <c r="T70" i="13"/>
  <c r="AO73" i="5"/>
  <c r="X70" i="13" s="1"/>
  <c r="W70" i="13" s="1"/>
  <c r="AN630" i="5"/>
  <c r="V627" i="13" s="1"/>
  <c r="U627" i="13" s="1"/>
  <c r="AN598" i="5"/>
  <c r="AN566" i="5"/>
  <c r="V563" i="13" s="1"/>
  <c r="U563" i="13" s="1"/>
  <c r="AN550" i="5"/>
  <c r="V547" i="13" s="1"/>
  <c r="U547" i="13" s="1"/>
  <c r="AN534" i="5"/>
  <c r="V531" i="13" s="1"/>
  <c r="AN518" i="5"/>
  <c r="V515" i="13" s="1"/>
  <c r="AN502" i="5"/>
  <c r="V499" i="13" s="1"/>
  <c r="U499" i="13" s="1"/>
  <c r="AN486" i="5"/>
  <c r="V483" i="13" s="1"/>
  <c r="U483" i="13" s="1"/>
  <c r="AN470" i="5"/>
  <c r="V467" i="13" s="1"/>
  <c r="AN454" i="5"/>
  <c r="V451" i="13" s="1"/>
  <c r="U451" i="13" s="1"/>
  <c r="AN438" i="5"/>
  <c r="V435" i="13" s="1"/>
  <c r="U435" i="13" s="1"/>
  <c r="AN422" i="5"/>
  <c r="V419" i="13" s="1"/>
  <c r="AN406" i="5"/>
  <c r="V403" i="13" s="1"/>
  <c r="U403" i="13" s="1"/>
  <c r="AN390" i="5"/>
  <c r="V387" i="13" s="1"/>
  <c r="AN374" i="5"/>
  <c r="V371" i="13" s="1"/>
  <c r="U371" i="13" s="1"/>
  <c r="AN358" i="5"/>
  <c r="V355" i="13" s="1"/>
  <c r="U355" i="13" s="1"/>
  <c r="AN342" i="5"/>
  <c r="V339" i="13" s="1"/>
  <c r="U339" i="13" s="1"/>
  <c r="AN326" i="5"/>
  <c r="V323" i="13" s="1"/>
  <c r="U323" i="13" s="1"/>
  <c r="AN310" i="5"/>
  <c r="V307" i="13" s="1"/>
  <c r="AN294" i="5"/>
  <c r="V291" i="13" s="1"/>
  <c r="U291" i="13" s="1"/>
  <c r="AN278" i="5"/>
  <c r="V275" i="13" s="1"/>
  <c r="U275" i="13" s="1"/>
  <c r="AN262" i="5"/>
  <c r="V259" i="13" s="1"/>
  <c r="U259" i="13" s="1"/>
  <c r="AN246" i="5"/>
  <c r="V243" i="13" s="1"/>
  <c r="AN230" i="5"/>
  <c r="V227" i="13" s="1"/>
  <c r="U227" i="13" s="1"/>
  <c r="AN214" i="5"/>
  <c r="V211" i="13" s="1"/>
  <c r="AN198" i="5"/>
  <c r="V195" i="13" s="1"/>
  <c r="U195" i="13" s="1"/>
  <c r="AN182" i="5"/>
  <c r="V179" i="13" s="1"/>
  <c r="AN166" i="5"/>
  <c r="V163" i="13" s="1"/>
  <c r="U163" i="13" s="1"/>
  <c r="AN150" i="5"/>
  <c r="V147" i="13" s="1"/>
  <c r="U147" i="13" s="1"/>
  <c r="AN134" i="5"/>
  <c r="V131" i="13" s="1"/>
  <c r="U131" i="13" s="1"/>
  <c r="AN118" i="5"/>
  <c r="V115" i="13" s="1"/>
  <c r="U115" i="13" s="1"/>
  <c r="AN102" i="5"/>
  <c r="V99" i="13" s="1"/>
  <c r="U99" i="13" s="1"/>
  <c r="AN86" i="5"/>
  <c r="V83" i="13" s="1"/>
  <c r="U83" i="13" s="1"/>
  <c r="AN70" i="5"/>
  <c r="AO554" i="5"/>
  <c r="X551" i="13" s="1"/>
  <c r="W551" i="13" s="1"/>
  <c r="AO534" i="5"/>
  <c r="X531" i="13" s="1"/>
  <c r="AO490" i="5"/>
  <c r="X487" i="13" s="1"/>
  <c r="W487" i="13" s="1"/>
  <c r="AO467" i="5"/>
  <c r="X464" i="13" s="1"/>
  <c r="W464" i="13" s="1"/>
  <c r="AO443" i="5"/>
  <c r="X440" i="13" s="1"/>
  <c r="W440" i="13" s="1"/>
  <c r="AO421" i="5"/>
  <c r="AP421" i="5" s="1"/>
  <c r="AO397" i="5"/>
  <c r="X394" i="13" s="1"/>
  <c r="AO374" i="5"/>
  <c r="X371" i="13" s="1"/>
  <c r="W371" i="13" s="1"/>
  <c r="AO327" i="5"/>
  <c r="X324" i="13" s="1"/>
  <c r="W324" i="13" s="1"/>
  <c r="AO304" i="5"/>
  <c r="X301" i="13" s="1"/>
  <c r="W301" i="13" s="1"/>
  <c r="AO277" i="5"/>
  <c r="X274" i="13" s="1"/>
  <c r="W274" i="13" s="1"/>
  <c r="AO245" i="5"/>
  <c r="AO213" i="5"/>
  <c r="X210" i="13" s="1"/>
  <c r="AO181" i="5"/>
  <c r="X178" i="13" s="1"/>
  <c r="W178" i="13" s="1"/>
  <c r="AO141" i="5"/>
  <c r="X138" i="13" s="1"/>
  <c r="W138" i="13" s="1"/>
  <c r="S632" i="13"/>
  <c r="S616" i="13"/>
  <c r="S600" i="13"/>
  <c r="S568" i="13"/>
  <c r="S615" i="13"/>
  <c r="S599" i="13"/>
  <c r="S583" i="13"/>
  <c r="S567" i="13"/>
  <c r="S551" i="13"/>
  <c r="S459" i="13"/>
  <c r="S630" i="13"/>
  <c r="S614" i="13"/>
  <c r="S598" i="13"/>
  <c r="S629" i="13"/>
  <c r="S613" i="13"/>
  <c r="S627" i="13"/>
  <c r="S577" i="13"/>
  <c r="S2" i="13"/>
  <c r="S638" i="13"/>
  <c r="S622" i="13"/>
  <c r="U25" i="13"/>
  <c r="S589" i="13"/>
  <c r="S541" i="13"/>
  <c r="S525" i="13"/>
  <c r="S509" i="13"/>
  <c r="S461" i="13"/>
  <c r="S540" i="13"/>
  <c r="S524" i="13"/>
  <c r="S492" i="13"/>
  <c r="S476" i="13"/>
  <c r="S460" i="13"/>
  <c r="S412" i="13"/>
  <c r="S396" i="13"/>
  <c r="S364" i="13"/>
  <c r="S332" i="13"/>
  <c r="S300" i="13"/>
  <c r="S284" i="13"/>
  <c r="S268" i="13"/>
  <c r="S236" i="13"/>
  <c r="S220" i="13"/>
  <c r="S140" i="13"/>
  <c r="S92" i="13"/>
  <c r="S76" i="13"/>
  <c r="U104" i="13"/>
  <c r="S587" i="13"/>
  <c r="S555" i="13"/>
  <c r="S523" i="13"/>
  <c r="S443" i="13"/>
  <c r="S427" i="13"/>
  <c r="S411" i="13"/>
  <c r="S331" i="13"/>
  <c r="S315" i="13"/>
  <c r="S299" i="13"/>
  <c r="S251" i="13"/>
  <c r="S235" i="13"/>
  <c r="S203" i="13"/>
  <c r="S187" i="13"/>
  <c r="S171" i="13"/>
  <c r="S155" i="13"/>
  <c r="S123" i="13"/>
  <c r="S91" i="13"/>
  <c r="S59" i="13"/>
  <c r="W578" i="13"/>
  <c r="AK71" i="7"/>
  <c r="AK11" i="7"/>
  <c r="AL13" i="7"/>
  <c r="AK52" i="7"/>
  <c r="AL54" i="7"/>
  <c r="AL88" i="7"/>
  <c r="AL100" i="7"/>
  <c r="AR110" i="7"/>
  <c r="AM149" i="7"/>
  <c r="AM181" i="7"/>
  <c r="AM229" i="7"/>
  <c r="AP260" i="7"/>
  <c r="AR261" i="7"/>
  <c r="AP347" i="7"/>
  <c r="AL388" i="7"/>
  <c r="AM467" i="7"/>
  <c r="AN57" i="5"/>
  <c r="AN8" i="5"/>
  <c r="V5" i="13" s="1"/>
  <c r="U5" i="13" s="1"/>
  <c r="S584" i="13"/>
  <c r="S520" i="13"/>
  <c r="S488" i="13"/>
  <c r="S472" i="13"/>
  <c r="S456" i="13"/>
  <c r="S440" i="13"/>
  <c r="S424" i="13"/>
  <c r="S408" i="13"/>
  <c r="S392" i="13"/>
  <c r="S376" i="13"/>
  <c r="S344" i="13"/>
  <c r="S328" i="13"/>
  <c r="S296" i="13"/>
  <c r="S280" i="13"/>
  <c r="S248" i="13"/>
  <c r="S232" i="13"/>
  <c r="S216" i="13"/>
  <c r="S200" i="13"/>
  <c r="S184" i="13"/>
  <c r="S168" i="13"/>
  <c r="S120" i="13"/>
  <c r="S40" i="13"/>
  <c r="S379" i="13"/>
  <c r="S202" i="13"/>
  <c r="S122" i="13"/>
  <c r="S27" i="13"/>
  <c r="U445" i="13"/>
  <c r="U105" i="13"/>
  <c r="W619" i="13"/>
  <c r="Y571" i="13"/>
  <c r="Y101" i="13"/>
  <c r="S199" i="13"/>
  <c r="AR186" i="7"/>
  <c r="AR194" i="7"/>
  <c r="AR313" i="7"/>
  <c r="AN55" i="5"/>
  <c r="V52" i="13" s="1"/>
  <c r="U52" i="13" s="1"/>
  <c r="S534" i="13"/>
  <c r="S454" i="13"/>
  <c r="S438" i="13"/>
  <c r="S422" i="13"/>
  <c r="S406" i="13"/>
  <c r="S358" i="13"/>
  <c r="S326" i="13"/>
  <c r="S310" i="13"/>
  <c r="S294" i="13"/>
  <c r="S278" i="13"/>
  <c r="S262" i="13"/>
  <c r="S198" i="13"/>
  <c r="S182" i="13"/>
  <c r="S150" i="13"/>
  <c r="S102" i="13"/>
  <c r="S70" i="13"/>
  <c r="S458" i="13"/>
  <c r="S107" i="13"/>
  <c r="S635" i="13"/>
  <c r="U394" i="13"/>
  <c r="U93" i="13"/>
  <c r="W571" i="13"/>
  <c r="Y526" i="13"/>
  <c r="AN50" i="5"/>
  <c r="S597" i="13"/>
  <c r="S539" i="13"/>
  <c r="S363" i="13"/>
  <c r="S283" i="13"/>
  <c r="S634" i="13"/>
  <c r="U390" i="13"/>
  <c r="U61" i="13"/>
  <c r="W526" i="13"/>
  <c r="AR413" i="7"/>
  <c r="AR417" i="7"/>
  <c r="AR421" i="7"/>
  <c r="AN46" i="5"/>
  <c r="S612" i="13"/>
  <c r="S596" i="13"/>
  <c r="S580" i="13"/>
  <c r="S564" i="13"/>
  <c r="S362" i="13"/>
  <c r="S619" i="13"/>
  <c r="U24" i="13"/>
  <c r="U382" i="13"/>
  <c r="W350" i="13"/>
  <c r="W495" i="13"/>
  <c r="Y491" i="13"/>
  <c r="AL154" i="7"/>
  <c r="AP146" i="7"/>
  <c r="AR155" i="7"/>
  <c r="AL177" i="7"/>
  <c r="AL213" i="7"/>
  <c r="AP396" i="7"/>
  <c r="AN41" i="5"/>
  <c r="V38" i="13" s="1"/>
  <c r="U38" i="13" s="1"/>
  <c r="M635" i="13"/>
  <c r="M619" i="13"/>
  <c r="M603" i="13"/>
  <c r="M571" i="13"/>
  <c r="M539" i="13"/>
  <c r="W615" i="13"/>
  <c r="W583" i="13"/>
  <c r="W471" i="13"/>
  <c r="W455" i="13"/>
  <c r="W423" i="13"/>
  <c r="W391" i="13"/>
  <c r="W375" i="13"/>
  <c r="W311" i="13"/>
  <c r="W295" i="13"/>
  <c r="W183" i="13"/>
  <c r="S563" i="13"/>
  <c r="S547" i="13"/>
  <c r="S499" i="13"/>
  <c r="S483" i="13"/>
  <c r="S451" i="13"/>
  <c r="S435" i="13"/>
  <c r="S403" i="13"/>
  <c r="S371" i="13"/>
  <c r="S355" i="13"/>
  <c r="S339" i="13"/>
  <c r="S323" i="13"/>
  <c r="S291" i="13"/>
  <c r="S259" i="13"/>
  <c r="S227" i="13"/>
  <c r="S195" i="13"/>
  <c r="S163" i="13"/>
  <c r="S131" i="13"/>
  <c r="S115" i="13"/>
  <c r="S99" i="13"/>
  <c r="S442" i="13"/>
  <c r="S359" i="13"/>
  <c r="S172" i="13"/>
  <c r="U18" i="13"/>
  <c r="U354" i="13"/>
  <c r="W347" i="13"/>
  <c r="W491" i="13"/>
  <c r="Y442" i="13"/>
  <c r="AM8" i="7"/>
  <c r="AM16" i="7"/>
  <c r="AL286" i="7"/>
  <c r="AR334" i="7"/>
  <c r="AR338" i="7"/>
  <c r="AP385" i="7"/>
  <c r="AM421" i="7"/>
  <c r="AP484" i="7"/>
  <c r="AN40" i="5"/>
  <c r="V37" i="13" s="1"/>
  <c r="U37" i="13" s="1"/>
  <c r="S530" i="13"/>
  <c r="S514" i="13"/>
  <c r="S498" i="13"/>
  <c r="S466" i="13"/>
  <c r="S450" i="13"/>
  <c r="S434" i="13"/>
  <c r="S418" i="13"/>
  <c r="S402" i="13"/>
  <c r="S386" i="13"/>
  <c r="S338" i="13"/>
  <c r="S322" i="13"/>
  <c r="S306" i="13"/>
  <c r="S290" i="13"/>
  <c r="S274" i="13"/>
  <c r="S258" i="13"/>
  <c r="S242" i="13"/>
  <c r="S226" i="13"/>
  <c r="S178" i="13"/>
  <c r="S82" i="13"/>
  <c r="S519" i="13"/>
  <c r="S439" i="13"/>
  <c r="S348" i="13"/>
  <c r="S90" i="13"/>
  <c r="U623" i="13"/>
  <c r="U351" i="13"/>
  <c r="W264" i="13"/>
  <c r="AL227" i="7"/>
  <c r="AP242" i="7"/>
  <c r="AK332" i="7"/>
  <c r="AL412" i="7"/>
  <c r="AK459" i="7"/>
  <c r="AL595" i="7"/>
  <c r="S561" i="13"/>
  <c r="S113" i="13"/>
  <c r="S97" i="13"/>
  <c r="S81" i="13"/>
  <c r="S428" i="13"/>
  <c r="S347" i="13"/>
  <c r="S87" i="13"/>
  <c r="U621" i="13"/>
  <c r="U348" i="13"/>
  <c r="W246" i="13"/>
  <c r="W442" i="13"/>
  <c r="Y388" i="13"/>
  <c r="AR17" i="7"/>
  <c r="AP99" i="7"/>
  <c r="AK108" i="7"/>
  <c r="AM231" i="7"/>
  <c r="AP349" i="7"/>
  <c r="AR418" i="7"/>
  <c r="U583" i="13"/>
  <c r="U551" i="13"/>
  <c r="U455" i="13"/>
  <c r="U423" i="13"/>
  <c r="U407" i="13"/>
  <c r="U391" i="13"/>
  <c r="U327" i="13"/>
  <c r="U295" i="13"/>
  <c r="U279" i="13"/>
  <c r="U263" i="13"/>
  <c r="U247" i="13"/>
  <c r="U231" i="13"/>
  <c r="U215" i="13"/>
  <c r="U183" i="13"/>
  <c r="U167" i="13"/>
  <c r="U119" i="13"/>
  <c r="U103" i="13"/>
  <c r="U71" i="13"/>
  <c r="AN34" i="5"/>
  <c r="V31" i="13" s="1"/>
  <c r="U31" i="13" s="1"/>
  <c r="S608" i="13"/>
  <c r="S560" i="13"/>
  <c r="S544" i="13"/>
  <c r="S528" i="13"/>
  <c r="S512" i="13"/>
  <c r="S480" i="13"/>
  <c r="S464" i="13"/>
  <c r="S400" i="13"/>
  <c r="S384" i="13"/>
  <c r="S368" i="13"/>
  <c r="S352" i="13"/>
  <c r="S336" i="13"/>
  <c r="S320" i="13"/>
  <c r="S304" i="13"/>
  <c r="S288" i="13"/>
  <c r="S272" i="13"/>
  <c r="S240" i="13"/>
  <c r="S208" i="13"/>
  <c r="S192" i="13"/>
  <c r="S160" i="13"/>
  <c r="S144" i="13"/>
  <c r="S112" i="13"/>
  <c r="S96" i="13"/>
  <c r="S507" i="13"/>
  <c r="S343" i="13"/>
  <c r="S156" i="13"/>
  <c r="S603" i="13"/>
  <c r="U578" i="13"/>
  <c r="U281" i="13"/>
  <c r="W204" i="13"/>
  <c r="Y379" i="13"/>
  <c r="AM410" i="7"/>
  <c r="AN30" i="5"/>
  <c r="S543" i="13"/>
  <c r="S511" i="13"/>
  <c r="S463" i="13"/>
  <c r="S431" i="13"/>
  <c r="S399" i="13"/>
  <c r="S383" i="13"/>
  <c r="S335" i="13"/>
  <c r="S319" i="13"/>
  <c r="S287" i="13"/>
  <c r="S255" i="13"/>
  <c r="S239" i="13"/>
  <c r="S223" i="13"/>
  <c r="S207" i="13"/>
  <c r="S191" i="13"/>
  <c r="S175" i="13"/>
  <c r="S159" i="13"/>
  <c r="S127" i="13"/>
  <c r="S111" i="13"/>
  <c r="S95" i="13"/>
  <c r="S75" i="13"/>
  <c r="S602" i="13"/>
  <c r="U573" i="13"/>
  <c r="U273" i="13"/>
  <c r="W194" i="13"/>
  <c r="Y12" i="13"/>
  <c r="Y350" i="13"/>
  <c r="AN25" i="5"/>
  <c r="V22" i="13" s="1"/>
  <c r="U22" i="13" s="1"/>
  <c r="S535" i="13"/>
  <c r="S487" i="13"/>
  <c r="S471" i="13"/>
  <c r="S455" i="13"/>
  <c r="S423" i="13"/>
  <c r="S407" i="13"/>
  <c r="S391" i="13"/>
  <c r="S375" i="13"/>
  <c r="S327" i="13"/>
  <c r="S311" i="13"/>
  <c r="S295" i="13"/>
  <c r="S279" i="13"/>
  <c r="S247" i="13"/>
  <c r="S231" i="13"/>
  <c r="S215" i="13"/>
  <c r="S183" i="13"/>
  <c r="S167" i="13"/>
  <c r="S119" i="13"/>
  <c r="S103" i="13"/>
  <c r="S606" i="13"/>
  <c r="S574" i="13"/>
  <c r="S558" i="13"/>
  <c r="S542" i="13"/>
  <c r="S510" i="13"/>
  <c r="S478" i="13"/>
  <c r="S414" i="13"/>
  <c r="S398" i="13"/>
  <c r="S366" i="13"/>
  <c r="S286" i="13"/>
  <c r="S270" i="13"/>
  <c r="S254" i="13"/>
  <c r="S238" i="13"/>
  <c r="S222" i="13"/>
  <c r="S190" i="13"/>
  <c r="S174" i="13"/>
  <c r="S158" i="13"/>
  <c r="S142" i="13"/>
  <c r="S126" i="13"/>
  <c r="S503" i="13"/>
  <c r="S151" i="13"/>
  <c r="S74" i="13"/>
  <c r="U518" i="13"/>
  <c r="U249" i="13"/>
  <c r="Y93" i="13"/>
  <c r="Y347" i="13"/>
  <c r="AK150" i="7"/>
  <c r="AK170" i="7"/>
  <c r="AL295" i="7"/>
  <c r="AR558" i="7"/>
  <c r="U55" i="13"/>
  <c r="W23" i="13"/>
  <c r="U7" i="13"/>
  <c r="AN24" i="5"/>
  <c r="L39" i="13"/>
  <c r="AO65" i="5"/>
  <c r="AP65" i="5" s="1"/>
  <c r="O62" i="13" s="1"/>
  <c r="P62" i="13" s="1"/>
  <c r="S397" i="13"/>
  <c r="S381" i="13"/>
  <c r="S365" i="13"/>
  <c r="S333" i="13"/>
  <c r="S317" i="13"/>
  <c r="S301" i="13"/>
  <c r="S285" i="13"/>
  <c r="S269" i="13"/>
  <c r="S237" i="13"/>
  <c r="S221" i="13"/>
  <c r="S205" i="13"/>
  <c r="S189" i="13"/>
  <c r="S173" i="13"/>
  <c r="S157" i="13"/>
  <c r="S141" i="13"/>
  <c r="S125" i="13"/>
  <c r="S109" i="13"/>
  <c r="S77" i="13"/>
  <c r="S330" i="13"/>
  <c r="U495" i="13"/>
  <c r="U209" i="13"/>
  <c r="W134" i="13"/>
  <c r="Y61" i="13"/>
  <c r="Y264" i="13"/>
  <c r="AK325" i="7"/>
  <c r="AM172" i="7"/>
  <c r="AK353" i="7"/>
  <c r="AR415" i="7"/>
  <c r="AM454" i="7"/>
  <c r="AK492" i="7"/>
  <c r="AK536" i="7"/>
  <c r="AK540" i="7"/>
  <c r="AN23" i="5"/>
  <c r="AO53" i="5"/>
  <c r="S620" i="13"/>
  <c r="S604" i="13"/>
  <c r="S588" i="13"/>
  <c r="S556" i="13"/>
  <c r="S491" i="13"/>
  <c r="S58" i="13"/>
  <c r="S586" i="13"/>
  <c r="U494" i="13"/>
  <c r="U206" i="13"/>
  <c r="W90" i="13"/>
  <c r="Y24" i="13"/>
  <c r="Y246" i="13"/>
  <c r="AN18" i="5"/>
  <c r="AO43" i="5"/>
  <c r="X40" i="13" s="1"/>
  <c r="W40" i="13" s="1"/>
  <c r="S135" i="13"/>
  <c r="S43" i="13"/>
  <c r="S571" i="13"/>
  <c r="U493" i="13"/>
  <c r="U199" i="13"/>
  <c r="W65" i="13"/>
  <c r="Y18" i="13"/>
  <c r="Y204" i="13"/>
  <c r="AM73" i="7"/>
  <c r="AK79" i="7"/>
  <c r="AL85" i="7"/>
  <c r="AR161" i="7"/>
  <c r="AR332" i="7"/>
  <c r="AR475" i="7"/>
  <c r="AP486" i="7"/>
  <c r="AP490" i="7"/>
  <c r="AN66" i="5"/>
  <c r="V63" i="13" s="1"/>
  <c r="U63" i="13" s="1"/>
  <c r="AN14" i="5"/>
  <c r="AO21" i="5"/>
  <c r="AP21" i="5" s="1"/>
  <c r="O18" i="13" s="1"/>
  <c r="P18" i="13" s="1"/>
  <c r="T53" i="13"/>
  <c r="S394" i="13"/>
  <c r="S204" i="13"/>
  <c r="S39" i="13"/>
  <c r="U486" i="13"/>
  <c r="U151" i="13"/>
  <c r="W58" i="13"/>
  <c r="Y619" i="13"/>
  <c r="Y194" i="13"/>
  <c r="AP10" i="7"/>
  <c r="AL68" i="7"/>
  <c r="AM284" i="7"/>
  <c r="AR364" i="7"/>
  <c r="AR372" i="7"/>
  <c r="AN62" i="5"/>
  <c r="V59" i="13" s="1"/>
  <c r="U59" i="13" s="1"/>
  <c r="AN9" i="5"/>
  <c r="V6" i="13" s="1"/>
  <c r="U6" i="13" s="1"/>
  <c r="AO11" i="5"/>
  <c r="X8" i="13" s="1"/>
  <c r="W8" i="13" s="1"/>
  <c r="T22" i="13"/>
  <c r="S22" i="13" s="1"/>
  <c r="S601" i="13"/>
  <c r="S585" i="13"/>
  <c r="S569" i="13"/>
  <c r="S13" i="13"/>
  <c r="S28" i="13"/>
  <c r="S554" i="13"/>
  <c r="U446" i="13"/>
  <c r="U135" i="13"/>
  <c r="W17" i="13"/>
  <c r="Y607" i="13"/>
  <c r="Y134" i="13"/>
  <c r="AR41" i="7"/>
  <c r="AM139" i="7"/>
  <c r="AR434" i="7"/>
  <c r="AO48" i="5"/>
  <c r="X45" i="13" s="1"/>
  <c r="W45" i="13" s="1"/>
  <c r="T45" i="13"/>
  <c r="S45" i="13" s="1"/>
  <c r="AN61" i="5"/>
  <c r="AN45" i="5"/>
  <c r="V42" i="13" s="1"/>
  <c r="U42" i="13" s="1"/>
  <c r="AN29" i="5"/>
  <c r="AN13" i="5"/>
  <c r="V10" i="13" s="1"/>
  <c r="U10" i="13" s="1"/>
  <c r="AO49" i="5"/>
  <c r="X46" i="13" s="1"/>
  <c r="W46" i="13" s="1"/>
  <c r="AO17" i="5"/>
  <c r="X14" i="13" s="1"/>
  <c r="W14" i="13" s="1"/>
  <c r="T19" i="13"/>
  <c r="S19" i="13" s="1"/>
  <c r="AR18" i="7"/>
  <c r="AR61" i="7"/>
  <c r="AK161" i="7"/>
  <c r="AR215" i="7"/>
  <c r="AR304" i="7"/>
  <c r="AR316" i="7"/>
  <c r="AP319" i="7"/>
  <c r="AR395" i="7"/>
  <c r="AP421" i="7"/>
  <c r="AK561" i="7"/>
  <c r="AL563" i="7"/>
  <c r="AL579" i="7"/>
  <c r="AK589" i="7"/>
  <c r="AK610" i="7"/>
  <c r="AK614" i="7"/>
  <c r="AN60" i="5"/>
  <c r="V57" i="13" s="1"/>
  <c r="U57" i="13" s="1"/>
  <c r="AN44" i="5"/>
  <c r="V41" i="13" s="1"/>
  <c r="U41" i="13" s="1"/>
  <c r="AN28" i="5"/>
  <c r="AN12" i="5"/>
  <c r="V9" i="13" s="1"/>
  <c r="U9" i="13" s="1"/>
  <c r="M3" i="13"/>
  <c r="AO68" i="5"/>
  <c r="AP68" i="5" s="1"/>
  <c r="O65" i="13" s="1"/>
  <c r="P65" i="13" s="1"/>
  <c r="T14" i="13"/>
  <c r="AP32" i="7"/>
  <c r="AM167" i="7"/>
  <c r="AL207" i="7"/>
  <c r="AK209" i="7"/>
  <c r="AL211" i="7"/>
  <c r="AK263" i="7"/>
  <c r="AN59" i="5"/>
  <c r="AN43" i="5"/>
  <c r="V40" i="13" s="1"/>
  <c r="U40" i="13" s="1"/>
  <c r="AN27" i="5"/>
  <c r="AN11" i="5"/>
  <c r="V8" i="13" s="1"/>
  <c r="U8" i="13" s="1"/>
  <c r="AO67" i="5"/>
  <c r="X64" i="13" s="1"/>
  <c r="W64" i="13" s="1"/>
  <c r="AO45" i="5"/>
  <c r="X42" i="13" s="1"/>
  <c r="W42" i="13" s="1"/>
  <c r="AO13" i="5"/>
  <c r="X10" i="13" s="1"/>
  <c r="W10" i="13" s="1"/>
  <c r="S10" i="13"/>
  <c r="AL48" i="7"/>
  <c r="AK54" i="7"/>
  <c r="AM69" i="7"/>
  <c r="AL95" i="7"/>
  <c r="AR152" i="7"/>
  <c r="AP379" i="7"/>
  <c r="AM395" i="7"/>
  <c r="AP525" i="7"/>
  <c r="AR601" i="7"/>
  <c r="AP608" i="7"/>
  <c r="AN42" i="5"/>
  <c r="AN26" i="5"/>
  <c r="V23" i="13" s="1"/>
  <c r="U23" i="13" s="1"/>
  <c r="M434" i="13"/>
  <c r="M418" i="13"/>
  <c r="M402" i="13"/>
  <c r="M386" i="13"/>
  <c r="M370" i="13"/>
  <c r="M338" i="13"/>
  <c r="M322" i="13"/>
  <c r="M306" i="13"/>
  <c r="M290" i="13"/>
  <c r="AO66" i="5"/>
  <c r="X63" i="13" s="1"/>
  <c r="W63" i="13" s="1"/>
  <c r="AO44" i="5"/>
  <c r="X41" i="13" s="1"/>
  <c r="W41" i="13" s="1"/>
  <c r="AO12" i="5"/>
  <c r="X9" i="13" s="1"/>
  <c r="W9" i="13" s="1"/>
  <c r="T3" i="13"/>
  <c r="W633" i="13"/>
  <c r="U633" i="13"/>
  <c r="Y633" i="13"/>
  <c r="W553" i="13"/>
  <c r="U553" i="13"/>
  <c r="Y553" i="13"/>
  <c r="S521" i="13"/>
  <c r="S473" i="13"/>
  <c r="S457" i="13"/>
  <c r="S441" i="13"/>
  <c r="S425" i="13"/>
  <c r="S393" i="13"/>
  <c r="S377" i="13"/>
  <c r="S345" i="13"/>
  <c r="S329" i="13"/>
  <c r="S313" i="13"/>
  <c r="S297" i="13"/>
  <c r="S265" i="13"/>
  <c r="S233" i="13"/>
  <c r="S201" i="13"/>
  <c r="S185" i="13"/>
  <c r="S169" i="13"/>
  <c r="S137" i="13"/>
  <c r="S89" i="13"/>
  <c r="S73" i="13"/>
  <c r="S57" i="13"/>
  <c r="S41" i="13"/>
  <c r="S9" i="13"/>
  <c r="AO64" i="5"/>
  <c r="AP64" i="5" s="1"/>
  <c r="O61" i="13" s="1"/>
  <c r="P61" i="13" s="1"/>
  <c r="AO41" i="5"/>
  <c r="X38" i="13" s="1"/>
  <c r="W38" i="13" s="1"/>
  <c r="AO9" i="5"/>
  <c r="X6" i="13" s="1"/>
  <c r="W6" i="13" s="1"/>
  <c r="AR554" i="7"/>
  <c r="T55" i="13"/>
  <c r="S55" i="13" s="1"/>
  <c r="AO58" i="5"/>
  <c r="AP58" i="5" s="1"/>
  <c r="Z55" i="13" s="1"/>
  <c r="Y55" i="13" s="1"/>
  <c r="T7" i="13"/>
  <c r="S7" i="13" s="1"/>
  <c r="AO10" i="5"/>
  <c r="X7" i="13" s="1"/>
  <c r="W7" i="13" s="1"/>
  <c r="AO63" i="5"/>
  <c r="X60" i="13" s="1"/>
  <c r="W60" i="13" s="1"/>
  <c r="AO40" i="5"/>
  <c r="X37" i="13" s="1"/>
  <c r="W37" i="13" s="1"/>
  <c r="AO8" i="5"/>
  <c r="X5" i="13" s="1"/>
  <c r="W5" i="13" s="1"/>
  <c r="T50" i="13"/>
  <c r="W582" i="13"/>
  <c r="U582" i="13"/>
  <c r="Y582" i="13"/>
  <c r="W566" i="13"/>
  <c r="U566" i="13"/>
  <c r="Y566" i="13"/>
  <c r="S38" i="13"/>
  <c r="S6" i="13"/>
  <c r="AR141" i="7"/>
  <c r="AK29" i="7"/>
  <c r="AR78" i="7"/>
  <c r="AR82" i="7"/>
  <c r="AM109" i="7"/>
  <c r="AM208" i="7"/>
  <c r="AM212" i="7"/>
  <c r="AP215" i="7"/>
  <c r="AR274" i="7"/>
  <c r="AK335" i="7"/>
  <c r="AL363" i="7"/>
  <c r="AL367" i="7"/>
  <c r="AL375" i="7"/>
  <c r="AL379" i="7"/>
  <c r="AK385" i="7"/>
  <c r="AL467" i="7"/>
  <c r="AL475" i="7"/>
  <c r="AK564" i="7"/>
  <c r="AK576" i="7"/>
  <c r="AN54" i="5"/>
  <c r="V51" i="13" s="1"/>
  <c r="U51" i="13" s="1"/>
  <c r="AN22" i="5"/>
  <c r="V19" i="13" s="1"/>
  <c r="U19" i="13" s="1"/>
  <c r="AN6" i="5"/>
  <c r="V3" i="13" s="1"/>
  <c r="U3" i="13" s="1"/>
  <c r="M222" i="13"/>
  <c r="M190" i="13"/>
  <c r="M78" i="13"/>
  <c r="AO62" i="5"/>
  <c r="X59" i="13" s="1"/>
  <c r="W59" i="13" s="1"/>
  <c r="AO37" i="5"/>
  <c r="T49" i="13"/>
  <c r="W581" i="13"/>
  <c r="U581" i="13"/>
  <c r="Y581" i="13"/>
  <c r="S581" i="13"/>
  <c r="W565" i="13"/>
  <c r="S565" i="13"/>
  <c r="Y565" i="13"/>
  <c r="S549" i="13"/>
  <c r="W533" i="13"/>
  <c r="U533" i="13"/>
  <c r="Y533" i="13"/>
  <c r="S533" i="13"/>
  <c r="W501" i="13"/>
  <c r="U501" i="13"/>
  <c r="Y501" i="13"/>
  <c r="S501" i="13"/>
  <c r="W485" i="13"/>
  <c r="S485" i="13"/>
  <c r="U485" i="13"/>
  <c r="S469" i="13"/>
  <c r="S453" i="13"/>
  <c r="S437" i="13"/>
  <c r="S421" i="13"/>
  <c r="U405" i="13"/>
  <c r="Y405" i="13"/>
  <c r="S405" i="13"/>
  <c r="S389" i="13"/>
  <c r="W373" i="13"/>
  <c r="U373" i="13"/>
  <c r="Y373" i="13"/>
  <c r="S373" i="13"/>
  <c r="S357" i="13"/>
  <c r="S341" i="13"/>
  <c r="S325" i="13"/>
  <c r="S309" i="13"/>
  <c r="S293" i="13"/>
  <c r="S277" i="13"/>
  <c r="S261" i="13"/>
  <c r="U245" i="13"/>
  <c r="S245" i="13"/>
  <c r="Y245" i="13"/>
  <c r="W245" i="13"/>
  <c r="S229" i="13"/>
  <c r="S213" i="13"/>
  <c r="S197" i="13"/>
  <c r="U181" i="13"/>
  <c r="Y181" i="13"/>
  <c r="W181" i="13"/>
  <c r="S181" i="13"/>
  <c r="U165" i="13"/>
  <c r="Y165" i="13"/>
  <c r="W165" i="13"/>
  <c r="S165" i="13"/>
  <c r="Y149" i="13"/>
  <c r="W149" i="13"/>
  <c r="S149" i="13"/>
  <c r="U133" i="13"/>
  <c r="S133" i="13"/>
  <c r="Y133" i="13"/>
  <c r="W133" i="13"/>
  <c r="U117" i="13"/>
  <c r="Y117" i="13"/>
  <c r="W117" i="13"/>
  <c r="S117" i="13"/>
  <c r="S101" i="13"/>
  <c r="U101" i="13"/>
  <c r="Y85" i="13"/>
  <c r="U85" i="13"/>
  <c r="W85" i="13"/>
  <c r="S85" i="13"/>
  <c r="Y69" i="13"/>
  <c r="W69" i="13"/>
  <c r="S69" i="13"/>
  <c r="S53" i="13"/>
  <c r="S37" i="13"/>
  <c r="S21" i="13"/>
  <c r="Y21" i="13"/>
  <c r="U21" i="13"/>
  <c r="S5" i="13"/>
  <c r="W21" i="13"/>
  <c r="AL127" i="7"/>
  <c r="AL572" i="7"/>
  <c r="AR361" i="7"/>
  <c r="AR377" i="7"/>
  <c r="AL399" i="7"/>
  <c r="AP404" i="7"/>
  <c r="AR499" i="7"/>
  <c r="AP538" i="7"/>
  <c r="AR610" i="7"/>
  <c r="AR614" i="7"/>
  <c r="AR618" i="7"/>
  <c r="AN37" i="5"/>
  <c r="V34" i="13" s="1"/>
  <c r="U34" i="13" s="1"/>
  <c r="M525" i="13"/>
  <c r="M509" i="13"/>
  <c r="M493" i="13"/>
  <c r="M477" i="13"/>
  <c r="M461" i="13"/>
  <c r="M445" i="13"/>
  <c r="M429" i="13"/>
  <c r="M413" i="13"/>
  <c r="M397" i="13"/>
  <c r="M381" i="13"/>
  <c r="M365" i="13"/>
  <c r="M349" i="13"/>
  <c r="M333" i="13"/>
  <c r="M317" i="13"/>
  <c r="M301" i="13"/>
  <c r="M285" i="13"/>
  <c r="M269" i="13"/>
  <c r="M253" i="13"/>
  <c r="M237" i="13"/>
  <c r="M221" i="13"/>
  <c r="M205" i="13"/>
  <c r="M189" i="13"/>
  <c r="M173" i="13"/>
  <c r="M157" i="13"/>
  <c r="M141" i="13"/>
  <c r="M125" i="13"/>
  <c r="M109" i="13"/>
  <c r="M93" i="13"/>
  <c r="M77" i="13"/>
  <c r="M61" i="13"/>
  <c r="M45" i="13"/>
  <c r="M29" i="13"/>
  <c r="M13" i="13"/>
  <c r="AO33" i="5"/>
  <c r="AP33" i="5" s="1"/>
  <c r="O30" i="13" s="1"/>
  <c r="P30" i="13" s="1"/>
  <c r="T48" i="13"/>
  <c r="S548" i="13"/>
  <c r="U532" i="13"/>
  <c r="Y532" i="13"/>
  <c r="S532" i="13"/>
  <c r="W516" i="13"/>
  <c r="S516" i="13"/>
  <c r="U516" i="13"/>
  <c r="W500" i="13"/>
  <c r="U500" i="13"/>
  <c r="Y500" i="13"/>
  <c r="S500" i="13"/>
  <c r="W484" i="13"/>
  <c r="S484" i="13"/>
  <c r="U484" i="13"/>
  <c r="Y484" i="13"/>
  <c r="S468" i="13"/>
  <c r="S452" i="13"/>
  <c r="S436" i="13"/>
  <c r="W436" i="13"/>
  <c r="Y436" i="13"/>
  <c r="W420" i="13"/>
  <c r="U420" i="13"/>
  <c r="Y420" i="13"/>
  <c r="S420" i="13"/>
  <c r="S404" i="13"/>
  <c r="S388" i="13"/>
  <c r="U388" i="13"/>
  <c r="S372" i="13"/>
  <c r="U356" i="13"/>
  <c r="Y356" i="13"/>
  <c r="W356" i="13"/>
  <c r="S356" i="13"/>
  <c r="S340" i="13"/>
  <c r="S324" i="13"/>
  <c r="S308" i="13"/>
  <c r="S292" i="13"/>
  <c r="S276" i="13"/>
  <c r="S260" i="13"/>
  <c r="U244" i="13"/>
  <c r="S244" i="13"/>
  <c r="Y244" i="13"/>
  <c r="W244" i="13"/>
  <c r="S228" i="13"/>
  <c r="U212" i="13"/>
  <c r="Y212" i="13"/>
  <c r="W212" i="13"/>
  <c r="S212" i="13"/>
  <c r="S196" i="13"/>
  <c r="S180" i="13"/>
  <c r="S164" i="13"/>
  <c r="S148" i="13"/>
  <c r="U148" i="13"/>
  <c r="S132" i="13"/>
  <c r="S116" i="13"/>
  <c r="S100" i="13"/>
  <c r="S68" i="13"/>
  <c r="S52" i="13"/>
  <c r="S20" i="13"/>
  <c r="Y20" i="13"/>
  <c r="U20" i="13"/>
  <c r="W20" i="13"/>
  <c r="S582" i="13"/>
  <c r="U69" i="13"/>
  <c r="AR16" i="7"/>
  <c r="AR67" i="7"/>
  <c r="AL136" i="7"/>
  <c r="AK159" i="7"/>
  <c r="AR209" i="7"/>
  <c r="AL320" i="7"/>
  <c r="AL328" i="7"/>
  <c r="AL466" i="7"/>
  <c r="AR551" i="7"/>
  <c r="AL569" i="7"/>
  <c r="AL573" i="7"/>
  <c r="T36" i="13"/>
  <c r="S36" i="13" s="1"/>
  <c r="AO39" i="5"/>
  <c r="X36" i="13" s="1"/>
  <c r="W36" i="13" s="1"/>
  <c r="T4" i="13"/>
  <c r="S4" i="13" s="1"/>
  <c r="AO7" i="5"/>
  <c r="X4" i="13" s="1"/>
  <c r="W4" i="13" s="1"/>
  <c r="AN52" i="5"/>
  <c r="V49" i="13" s="1"/>
  <c r="U49" i="13" s="1"/>
  <c r="AN20" i="5"/>
  <c r="L47" i="13"/>
  <c r="M637" i="13"/>
  <c r="M621" i="13"/>
  <c r="M605" i="13"/>
  <c r="M589" i="13"/>
  <c r="M573" i="13"/>
  <c r="M557" i="13"/>
  <c r="M541" i="13"/>
  <c r="M524" i="13"/>
  <c r="M508" i="13"/>
  <c r="M492" i="13"/>
  <c r="M476" i="13"/>
  <c r="M460" i="13"/>
  <c r="M444" i="13"/>
  <c r="M428" i="13"/>
  <c r="M412" i="13"/>
  <c r="M396" i="13"/>
  <c r="M380" i="13"/>
  <c r="M364" i="13"/>
  <c r="M348" i="13"/>
  <c r="M332" i="13"/>
  <c r="M316" i="13"/>
  <c r="M300" i="13"/>
  <c r="M284" i="13"/>
  <c r="M268" i="13"/>
  <c r="M252" i="13"/>
  <c r="M236" i="13"/>
  <c r="M220" i="13"/>
  <c r="M204" i="13"/>
  <c r="M188" i="13"/>
  <c r="M172" i="13"/>
  <c r="M156" i="13"/>
  <c r="M140" i="13"/>
  <c r="M124" i="13"/>
  <c r="M108" i="13"/>
  <c r="M92" i="13"/>
  <c r="M76" i="13"/>
  <c r="M60" i="13"/>
  <c r="M44" i="13"/>
  <c r="M28" i="13"/>
  <c r="M12" i="13"/>
  <c r="AO60" i="5"/>
  <c r="X57" i="13" s="1"/>
  <c r="W57" i="13" s="1"/>
  <c r="T46" i="13"/>
  <c r="S46" i="13" s="1"/>
  <c r="S611" i="13"/>
  <c r="W611" i="13"/>
  <c r="U611" i="13"/>
  <c r="Y611" i="13"/>
  <c r="W595" i="13"/>
  <c r="U595" i="13"/>
  <c r="Y595" i="13"/>
  <c r="S595" i="13"/>
  <c r="W579" i="13"/>
  <c r="U579" i="13"/>
  <c r="Y579" i="13"/>
  <c r="S579" i="13"/>
  <c r="Y531" i="13"/>
  <c r="S531" i="13"/>
  <c r="W531" i="13"/>
  <c r="W515" i="13"/>
  <c r="S515" i="13"/>
  <c r="U515" i="13"/>
  <c r="Y515" i="13"/>
  <c r="W467" i="13"/>
  <c r="U467" i="13"/>
  <c r="Y467" i="13"/>
  <c r="S467" i="13"/>
  <c r="W419" i="13"/>
  <c r="U419" i="13"/>
  <c r="Y419" i="13"/>
  <c r="S419" i="13"/>
  <c r="S387" i="13"/>
  <c r="W387" i="13"/>
  <c r="U387" i="13"/>
  <c r="Y387" i="13"/>
  <c r="U307" i="13"/>
  <c r="Y307" i="13"/>
  <c r="W307" i="13"/>
  <c r="S307" i="13"/>
  <c r="U243" i="13"/>
  <c r="S243" i="13"/>
  <c r="Y243" i="13"/>
  <c r="W243" i="13"/>
  <c r="U211" i="13"/>
  <c r="Y211" i="13"/>
  <c r="W211" i="13"/>
  <c r="S211" i="13"/>
  <c r="U179" i="13"/>
  <c r="S179" i="13"/>
  <c r="Y179" i="13"/>
  <c r="W179" i="13"/>
  <c r="W67" i="13"/>
  <c r="S67" i="13"/>
  <c r="S51" i="13"/>
  <c r="S3" i="13"/>
  <c r="U67" i="13"/>
  <c r="AL8" i="7"/>
  <c r="AK61" i="7"/>
  <c r="AL81" i="7"/>
  <c r="AM98" i="7"/>
  <c r="AR114" i="7"/>
  <c r="AR126" i="7"/>
  <c r="AK146" i="7"/>
  <c r="AP160" i="7"/>
  <c r="AK191" i="7"/>
  <c r="AM240" i="7"/>
  <c r="AP479" i="7"/>
  <c r="AM535" i="7"/>
  <c r="T35" i="13"/>
  <c r="S35" i="13" s="1"/>
  <c r="AO38" i="5"/>
  <c r="X35" i="13" s="1"/>
  <c r="W35" i="13" s="1"/>
  <c r="AN67" i="5"/>
  <c r="V64" i="13" s="1"/>
  <c r="U64" i="13" s="1"/>
  <c r="AN51" i="5"/>
  <c r="V48" i="13" s="1"/>
  <c r="U48" i="13" s="1"/>
  <c r="M636" i="13"/>
  <c r="M620" i="13"/>
  <c r="M604" i="13"/>
  <c r="M588" i="13"/>
  <c r="M572" i="13"/>
  <c r="M556" i="13"/>
  <c r="M540" i="13"/>
  <c r="M107" i="13"/>
  <c r="M91" i="13"/>
  <c r="M75" i="13"/>
  <c r="M59" i="13"/>
  <c r="M43" i="13"/>
  <c r="M27" i="13"/>
  <c r="M11" i="13"/>
  <c r="T44" i="13"/>
  <c r="S44" i="13" s="1"/>
  <c r="S610" i="13"/>
  <c r="S594" i="13"/>
  <c r="S66" i="13"/>
  <c r="S50" i="13"/>
  <c r="S34" i="13"/>
  <c r="AL152" i="7"/>
  <c r="AK162" i="7"/>
  <c r="AP301" i="7"/>
  <c r="AL510" i="7"/>
  <c r="AL530" i="7"/>
  <c r="W625" i="13"/>
  <c r="U625" i="13"/>
  <c r="Y625" i="13"/>
  <c r="S625" i="13"/>
  <c r="S609" i="13"/>
  <c r="W609" i="13"/>
  <c r="Y609" i="13"/>
  <c r="W593" i="13"/>
  <c r="U593" i="13"/>
  <c r="Y593" i="13"/>
  <c r="S593" i="13"/>
  <c r="Y529" i="13"/>
  <c r="S529" i="13"/>
  <c r="W529" i="13"/>
  <c r="S513" i="13"/>
  <c r="S497" i="13"/>
  <c r="S481" i="13"/>
  <c r="S433" i="13"/>
  <c r="S417" i="13"/>
  <c r="S401" i="13"/>
  <c r="S369" i="13"/>
  <c r="S353" i="13"/>
  <c r="S337" i="13"/>
  <c r="S289" i="13"/>
  <c r="S257" i="13"/>
  <c r="S241" i="13"/>
  <c r="S225" i="13"/>
  <c r="S177" i="13"/>
  <c r="S161" i="13"/>
  <c r="S145" i="13"/>
  <c r="S129" i="13"/>
  <c r="S49" i="13"/>
  <c r="S633" i="13"/>
  <c r="U565" i="13"/>
  <c r="AR23" i="7"/>
  <c r="AL19" i="7"/>
  <c r="AK21" i="7"/>
  <c r="AR21" i="7"/>
  <c r="AL23" i="7"/>
  <c r="AP189" i="7"/>
  <c r="AK273" i="7"/>
  <c r="AK281" i="7"/>
  <c r="AK285" i="7"/>
  <c r="AK289" i="7"/>
  <c r="AP298" i="7"/>
  <c r="AK299" i="7"/>
  <c r="AL396" i="7"/>
  <c r="AR429" i="7"/>
  <c r="AL439" i="7"/>
  <c r="AK441" i="7"/>
  <c r="AL550" i="7"/>
  <c r="AR603" i="7"/>
  <c r="AR623" i="7"/>
  <c r="AL629" i="7"/>
  <c r="AL633" i="7"/>
  <c r="AP638" i="7"/>
  <c r="T33" i="13"/>
  <c r="S33" i="13" s="1"/>
  <c r="AO36" i="5"/>
  <c r="AP36" i="5" s="1"/>
  <c r="U624" i="13"/>
  <c r="Y624" i="13"/>
  <c r="S624" i="13"/>
  <c r="S592" i="13"/>
  <c r="Y576" i="13"/>
  <c r="S576" i="13"/>
  <c r="W576" i="13"/>
  <c r="W496" i="13"/>
  <c r="U496" i="13"/>
  <c r="Y496" i="13"/>
  <c r="S496" i="13"/>
  <c r="U448" i="13"/>
  <c r="Y448" i="13"/>
  <c r="S448" i="13"/>
  <c r="S432" i="13"/>
  <c r="W432" i="13"/>
  <c r="U432" i="13"/>
  <c r="W416" i="13"/>
  <c r="U416" i="13"/>
  <c r="S416" i="13"/>
  <c r="Y416" i="13"/>
  <c r="S224" i="13"/>
  <c r="U224" i="13"/>
  <c r="Y224" i="13"/>
  <c r="W224" i="13"/>
  <c r="S176" i="13"/>
  <c r="U176" i="13"/>
  <c r="Y176" i="13"/>
  <c r="W176" i="13"/>
  <c r="S80" i="13"/>
  <c r="Y80" i="13"/>
  <c r="U80" i="13"/>
  <c r="W80" i="13"/>
  <c r="S64" i="13"/>
  <c r="S48" i="13"/>
  <c r="S566" i="13"/>
  <c r="U531" i="13"/>
  <c r="AK435" i="7"/>
  <c r="AK494" i="7"/>
  <c r="AR536" i="7"/>
  <c r="T32" i="13"/>
  <c r="S32" i="13" s="1"/>
  <c r="AO35" i="5"/>
  <c r="X32" i="13" s="1"/>
  <c r="W32" i="13" s="1"/>
  <c r="AO19" i="5"/>
  <c r="AP19" i="5" s="1"/>
  <c r="T16" i="13"/>
  <c r="S16" i="13" s="1"/>
  <c r="AN48" i="5"/>
  <c r="V45" i="13" s="1"/>
  <c r="U45" i="13" s="1"/>
  <c r="AN32" i="5"/>
  <c r="AN16" i="5"/>
  <c r="AO55" i="5"/>
  <c r="X52" i="13" s="1"/>
  <c r="W52" i="13" s="1"/>
  <c r="T31" i="13"/>
  <c r="S591" i="13"/>
  <c r="S63" i="13"/>
  <c r="S31" i="13"/>
  <c r="U529" i="13"/>
  <c r="W532" i="13"/>
  <c r="Y148" i="13"/>
  <c r="AK19" i="7"/>
  <c r="AL21" i="7"/>
  <c r="AK23" i="7"/>
  <c r="AM32" i="7"/>
  <c r="AR76" i="7"/>
  <c r="AR123" i="7"/>
  <c r="AR139" i="7"/>
  <c r="AR245" i="7"/>
  <c r="AR292" i="7"/>
  <c r="AK297" i="7"/>
  <c r="AR319" i="7"/>
  <c r="AR465" i="7"/>
  <c r="AR473" i="7"/>
  <c r="AN63" i="5"/>
  <c r="V60" i="13" s="1"/>
  <c r="U60" i="13" s="1"/>
  <c r="AN47" i="5"/>
  <c r="V44" i="13" s="1"/>
  <c r="U44" i="13" s="1"/>
  <c r="AN31" i="5"/>
  <c r="AN15" i="5"/>
  <c r="M503" i="13"/>
  <c r="M295" i="13"/>
  <c r="M279" i="13"/>
  <c r="M263" i="13"/>
  <c r="M247" i="13"/>
  <c r="M231" i="13"/>
  <c r="M215" i="13"/>
  <c r="M199" i="13"/>
  <c r="M183" i="13"/>
  <c r="M167" i="13"/>
  <c r="M151" i="13"/>
  <c r="M135" i="13"/>
  <c r="M119" i="13"/>
  <c r="M103" i="13"/>
  <c r="M87" i="13"/>
  <c r="M71" i="13"/>
  <c r="M55" i="13"/>
  <c r="M39" i="13"/>
  <c r="M23" i="13"/>
  <c r="M7" i="13"/>
  <c r="AO54" i="5"/>
  <c r="X51" i="13" s="1"/>
  <c r="W51" i="13" s="1"/>
  <c r="T23" i="13"/>
  <c r="S23" i="13" s="1"/>
  <c r="S14" i="13"/>
  <c r="S505" i="13"/>
  <c r="S489" i="13"/>
  <c r="S409" i="13"/>
  <c r="S361" i="13"/>
  <c r="S281" i="13"/>
  <c r="S249" i="13"/>
  <c r="S217" i="13"/>
  <c r="S121" i="13"/>
  <c r="S105" i="13"/>
  <c r="S25" i="13"/>
  <c r="S552" i="13"/>
  <c r="U526" i="13"/>
  <c r="U350" i="13"/>
  <c r="U264" i="13"/>
  <c r="U65" i="13"/>
  <c r="W349" i="13"/>
  <c r="W253" i="13"/>
  <c r="W202" i="13"/>
  <c r="W146" i="13"/>
  <c r="W94" i="13"/>
  <c r="W62" i="13"/>
  <c r="W623" i="13"/>
  <c r="W494" i="13"/>
  <c r="W446" i="13"/>
  <c r="W394" i="13"/>
  <c r="Y11" i="13"/>
  <c r="Y65" i="13"/>
  <c r="Y519" i="13"/>
  <c r="Y489" i="13"/>
  <c r="Y439" i="13"/>
  <c r="Y349" i="13"/>
  <c r="Y253" i="13"/>
  <c r="Y202" i="13"/>
  <c r="Y146" i="13"/>
  <c r="S536" i="13"/>
  <c r="S504" i="13"/>
  <c r="S360" i="13"/>
  <c r="S312" i="13"/>
  <c r="S152" i="13"/>
  <c r="S104" i="13"/>
  <c r="S88" i="13"/>
  <c r="S72" i="13"/>
  <c r="S56" i="13"/>
  <c r="S24" i="13"/>
  <c r="S631" i="13"/>
  <c r="U519" i="13"/>
  <c r="U489" i="13"/>
  <c r="U439" i="13"/>
  <c r="U349" i="13"/>
  <c r="U253" i="13"/>
  <c r="U146" i="13"/>
  <c r="U94" i="13"/>
  <c r="U62" i="13"/>
  <c r="W348" i="13"/>
  <c r="W249" i="13"/>
  <c r="W199" i="13"/>
  <c r="W135" i="13"/>
  <c r="W93" i="13"/>
  <c r="W61" i="13"/>
  <c r="W18" i="13"/>
  <c r="W621" i="13"/>
  <c r="W573" i="13"/>
  <c r="W493" i="13"/>
  <c r="W445" i="13"/>
  <c r="W390" i="13"/>
  <c r="Y94" i="13"/>
  <c r="Y62" i="13"/>
  <c r="Y518" i="13"/>
  <c r="Y486" i="13"/>
  <c r="Y382" i="13"/>
  <c r="S518" i="13"/>
  <c r="S502" i="13"/>
  <c r="S486" i="13"/>
  <c r="S470" i="13"/>
  <c r="S390" i="13"/>
  <c r="S374" i="13"/>
  <c r="S342" i="13"/>
  <c r="S246" i="13"/>
  <c r="S230" i="13"/>
  <c r="S214" i="13"/>
  <c r="S166" i="13"/>
  <c r="S134" i="13"/>
  <c r="S118" i="13"/>
  <c r="S86" i="13"/>
  <c r="S54" i="13"/>
  <c r="U17" i="13"/>
  <c r="U607" i="13"/>
  <c r="U562" i="13"/>
  <c r="U379" i="13"/>
  <c r="U194" i="13"/>
  <c r="U90" i="13"/>
  <c r="U58" i="13"/>
  <c r="W343" i="13"/>
  <c r="W188" i="13"/>
  <c r="W88" i="13"/>
  <c r="W56" i="13"/>
  <c r="W15" i="13"/>
  <c r="Y17" i="13"/>
  <c r="Y605" i="13"/>
  <c r="Y559" i="13"/>
  <c r="Y430" i="13"/>
  <c r="Y374" i="13"/>
  <c r="Y343" i="13"/>
  <c r="Y188" i="13"/>
  <c r="U15" i="13"/>
  <c r="U605" i="13"/>
  <c r="U559" i="13"/>
  <c r="U430" i="13"/>
  <c r="U374" i="13"/>
  <c r="U88" i="13"/>
  <c r="U56" i="13"/>
  <c r="W342" i="13"/>
  <c r="W130" i="13"/>
  <c r="W87" i="13"/>
  <c r="W54" i="13"/>
  <c r="W13" i="13"/>
  <c r="W382" i="13"/>
  <c r="Y639" i="13"/>
  <c r="Y603" i="13"/>
  <c r="Y557" i="13"/>
  <c r="Y507" i="13"/>
  <c r="Y482" i="13"/>
  <c r="Y429" i="13"/>
  <c r="Y342" i="13"/>
  <c r="Y130" i="13"/>
  <c r="U639" i="13"/>
  <c r="U603" i="13"/>
  <c r="U557" i="13"/>
  <c r="U507" i="13"/>
  <c r="U482" i="13"/>
  <c r="U429" i="13"/>
  <c r="U130" i="13"/>
  <c r="U87" i="13"/>
  <c r="U54" i="13"/>
  <c r="W330" i="13"/>
  <c r="W122" i="13"/>
  <c r="W86" i="13"/>
  <c r="W47" i="13"/>
  <c r="W12" i="13"/>
  <c r="W607" i="13"/>
  <c r="W562" i="13"/>
  <c r="Y637" i="13"/>
  <c r="Y602" i="13"/>
  <c r="Y554" i="13"/>
  <c r="Y505" i="13"/>
  <c r="Y479" i="13"/>
  <c r="Y428" i="13"/>
  <c r="Y370" i="13"/>
  <c r="Y330" i="13"/>
  <c r="Y122" i="13"/>
  <c r="S626" i="13"/>
  <c r="S578" i="13"/>
  <c r="S546" i="13"/>
  <c r="U637" i="13"/>
  <c r="U602" i="13"/>
  <c r="U554" i="13"/>
  <c r="U505" i="13"/>
  <c r="U479" i="13"/>
  <c r="U428" i="13"/>
  <c r="U370" i="13"/>
  <c r="U86" i="13"/>
  <c r="U47" i="13"/>
  <c r="W318" i="13"/>
  <c r="W230" i="13"/>
  <c r="W121" i="13"/>
  <c r="W43" i="13"/>
  <c r="W11" i="13"/>
  <c r="W605" i="13"/>
  <c r="W559" i="13"/>
  <c r="W430" i="13"/>
  <c r="Y47" i="13"/>
  <c r="Y635" i="13"/>
  <c r="Y504" i="13"/>
  <c r="Y477" i="13"/>
  <c r="Y367" i="13"/>
  <c r="Y318" i="13"/>
  <c r="Y230" i="13"/>
  <c r="Y121" i="13"/>
  <c r="S482" i="13"/>
  <c r="S370" i="13"/>
  <c r="S354" i="13"/>
  <c r="S210" i="13"/>
  <c r="S162" i="13"/>
  <c r="S114" i="13"/>
  <c r="U13" i="13"/>
  <c r="U635" i="13"/>
  <c r="U504" i="13"/>
  <c r="U477" i="13"/>
  <c r="U367" i="13"/>
  <c r="U318" i="13"/>
  <c r="U43" i="13"/>
  <c r="W312" i="13"/>
  <c r="W172" i="13"/>
  <c r="W118" i="13"/>
  <c r="W39" i="13"/>
  <c r="W639" i="13"/>
  <c r="W557" i="13"/>
  <c r="W429" i="13"/>
  <c r="Y634" i="13"/>
  <c r="Y552" i="13"/>
  <c r="Y503" i="13"/>
  <c r="Y470" i="13"/>
  <c r="Y363" i="13"/>
  <c r="Y312" i="13"/>
  <c r="Y172" i="13"/>
  <c r="Y118" i="13"/>
  <c r="S305" i="13"/>
  <c r="S273" i="13"/>
  <c r="S209" i="13"/>
  <c r="U634" i="13"/>
  <c r="U552" i="13"/>
  <c r="U503" i="13"/>
  <c r="U470" i="13"/>
  <c r="U363" i="13"/>
  <c r="U39" i="13"/>
  <c r="W217" i="13"/>
  <c r="W166" i="13"/>
  <c r="W79" i="13"/>
  <c r="W30" i="13"/>
  <c r="W637" i="13"/>
  <c r="W479" i="13"/>
  <c r="Y586" i="13"/>
  <c r="Y546" i="13"/>
  <c r="Y502" i="13"/>
  <c r="Y362" i="13"/>
  <c r="Y217" i="13"/>
  <c r="Y166" i="13"/>
  <c r="S623" i="13"/>
  <c r="U586" i="13"/>
  <c r="U546" i="13"/>
  <c r="U502" i="13"/>
  <c r="U362" i="13"/>
  <c r="U79" i="13"/>
  <c r="U30" i="13"/>
  <c r="W305" i="13"/>
  <c r="W214" i="13"/>
  <c r="W114" i="13"/>
  <c r="W78" i="13"/>
  <c r="W29" i="13"/>
  <c r="W477" i="13"/>
  <c r="W367" i="13"/>
  <c r="Y79" i="13"/>
  <c r="Y30" i="13"/>
  <c r="Y631" i="13"/>
  <c r="Y539" i="13"/>
  <c r="Y462" i="13"/>
  <c r="Y415" i="13"/>
  <c r="Y361" i="13"/>
  <c r="Y305" i="13"/>
  <c r="Y214" i="13"/>
  <c r="Y114" i="13"/>
  <c r="S495" i="13"/>
  <c r="S415" i="13"/>
  <c r="S351" i="13"/>
  <c r="S303" i="13"/>
  <c r="U29" i="13"/>
  <c r="U631" i="13"/>
  <c r="U539" i="13"/>
  <c r="U462" i="13"/>
  <c r="U415" i="13"/>
  <c r="U361" i="13"/>
  <c r="U78" i="13"/>
  <c r="W360" i="13"/>
  <c r="W303" i="13"/>
  <c r="W162" i="13"/>
  <c r="W110" i="13"/>
  <c r="W75" i="13"/>
  <c r="W28" i="13"/>
  <c r="Y78" i="13"/>
  <c r="Y29" i="13"/>
  <c r="Y626" i="13"/>
  <c r="Y536" i="13"/>
  <c r="Y459" i="13"/>
  <c r="Y413" i="13"/>
  <c r="Y360" i="13"/>
  <c r="Y303" i="13"/>
  <c r="Y162" i="13"/>
  <c r="Y110" i="13"/>
  <c r="S15" i="13"/>
  <c r="S494" i="13"/>
  <c r="S462" i="13"/>
  <c r="S446" i="13"/>
  <c r="S302" i="13"/>
  <c r="S206" i="13"/>
  <c r="S110" i="13"/>
  <c r="S621" i="13"/>
  <c r="S573" i="13"/>
  <c r="U28" i="13"/>
  <c r="U626" i="13"/>
  <c r="U536" i="13"/>
  <c r="U459" i="13"/>
  <c r="U413" i="13"/>
  <c r="U75" i="13"/>
  <c r="W359" i="13"/>
  <c r="W302" i="13"/>
  <c r="W156" i="13"/>
  <c r="W107" i="13"/>
  <c r="W74" i="13"/>
  <c r="W27" i="13"/>
  <c r="Y458" i="13"/>
  <c r="Y409" i="13"/>
  <c r="Y359" i="13"/>
  <c r="Y302" i="13"/>
  <c r="Y156" i="13"/>
  <c r="Y107" i="13"/>
  <c r="S493" i="13"/>
  <c r="S445" i="13"/>
  <c r="S413" i="13"/>
  <c r="U27" i="13"/>
  <c r="U458" i="13"/>
  <c r="U409" i="13"/>
  <c r="U74" i="13"/>
  <c r="W283" i="13"/>
  <c r="W210" i="13"/>
  <c r="W152" i="13"/>
  <c r="W106" i="13"/>
  <c r="W72" i="13"/>
  <c r="W26" i="13"/>
  <c r="Y283" i="13"/>
  <c r="Y210" i="13"/>
  <c r="Y152" i="13"/>
  <c r="Y106" i="13"/>
  <c r="U72" i="13"/>
  <c r="W354" i="13"/>
  <c r="W281" i="13"/>
  <c r="W209" i="13"/>
  <c r="W151" i="13"/>
  <c r="W105" i="13"/>
  <c r="W25" i="13"/>
  <c r="W351" i="13"/>
  <c r="W273" i="13"/>
  <c r="W206" i="13"/>
  <c r="W104" i="13"/>
  <c r="AP515" i="5"/>
  <c r="O512" i="13" s="1"/>
  <c r="P512" i="13" s="1"/>
  <c r="AP259" i="5"/>
  <c r="O256" i="13" s="1"/>
  <c r="P256" i="13" s="1"/>
  <c r="AP131" i="5"/>
  <c r="Z128" i="13" s="1"/>
  <c r="Y128" i="13" s="1"/>
  <c r="X149" i="13"/>
  <c r="AP514" i="5"/>
  <c r="O511" i="13" s="1"/>
  <c r="P511" i="13" s="1"/>
  <c r="AP386" i="5"/>
  <c r="O383" i="13" s="1"/>
  <c r="P383" i="13" s="1"/>
  <c r="AP258" i="5"/>
  <c r="O255" i="13" s="1"/>
  <c r="P255" i="13" s="1"/>
  <c r="AP130" i="5"/>
  <c r="Z127" i="13" s="1"/>
  <c r="Y127" i="13" s="1"/>
  <c r="AP371" i="5"/>
  <c r="O368" i="13" s="1"/>
  <c r="P368" i="13" s="1"/>
  <c r="AP243" i="5"/>
  <c r="Z240" i="13" s="1"/>
  <c r="Y240" i="13" s="1"/>
  <c r="AP115" i="5"/>
  <c r="Z112" i="13" s="1"/>
  <c r="Y112" i="13" s="1"/>
  <c r="AP498" i="5"/>
  <c r="O495" i="13" s="1"/>
  <c r="P495" i="13" s="1"/>
  <c r="AP114" i="5"/>
  <c r="Z111" i="13" s="1"/>
  <c r="Y111" i="13" s="1"/>
  <c r="AP483" i="5"/>
  <c r="O480" i="13" s="1"/>
  <c r="P480" i="13" s="1"/>
  <c r="AP355" i="5"/>
  <c r="AP227" i="5"/>
  <c r="Z224" i="13" s="1"/>
  <c r="AP99" i="5"/>
  <c r="Z96" i="13" s="1"/>
  <c r="Y96" i="13" s="1"/>
  <c r="AP610" i="5"/>
  <c r="Z607" i="13" s="1"/>
  <c r="AP482" i="5"/>
  <c r="Z479" i="13" s="1"/>
  <c r="AP595" i="5"/>
  <c r="O592" i="13" s="1"/>
  <c r="P592" i="13" s="1"/>
  <c r="AP467" i="5"/>
  <c r="O464" i="13" s="1"/>
  <c r="P464" i="13" s="1"/>
  <c r="AP339" i="5"/>
  <c r="O336" i="13" s="1"/>
  <c r="P336" i="13" s="1"/>
  <c r="AP466" i="5"/>
  <c r="Z463" i="13" s="1"/>
  <c r="Y463" i="13" s="1"/>
  <c r="AP338" i="5"/>
  <c r="O335" i="13" s="1"/>
  <c r="P335" i="13" s="1"/>
  <c r="AP210" i="5"/>
  <c r="Z207" i="13" s="1"/>
  <c r="Y207" i="13" s="1"/>
  <c r="AP82" i="5"/>
  <c r="O79" i="13" s="1"/>
  <c r="P79" i="13" s="1"/>
  <c r="AP451" i="5"/>
  <c r="O448" i="13" s="1"/>
  <c r="P448" i="13" s="1"/>
  <c r="AP323" i="5"/>
  <c r="Z320" i="13" s="1"/>
  <c r="Y320" i="13" s="1"/>
  <c r="AP195" i="5"/>
  <c r="Z192" i="13" s="1"/>
  <c r="Y192" i="13" s="1"/>
  <c r="AP563" i="5"/>
  <c r="O560" i="13" s="1"/>
  <c r="P560" i="13" s="1"/>
  <c r="AP435" i="5"/>
  <c r="Z432" i="13" s="1"/>
  <c r="AP307" i="5"/>
  <c r="Z304" i="13" s="1"/>
  <c r="Y304" i="13" s="1"/>
  <c r="AP179" i="5"/>
  <c r="Z176" i="13" s="1"/>
  <c r="AP434" i="5"/>
  <c r="Z431" i="13" s="1"/>
  <c r="Y431" i="13" s="1"/>
  <c r="AP306" i="5"/>
  <c r="O303" i="13" s="1"/>
  <c r="P303" i="13" s="1"/>
  <c r="AP178" i="5"/>
  <c r="Z175" i="13" s="1"/>
  <c r="Y175" i="13" s="1"/>
  <c r="AP48" i="5"/>
  <c r="Z45" i="13" s="1"/>
  <c r="Y45" i="13" s="1"/>
  <c r="AP547" i="5"/>
  <c r="O544" i="13" s="1"/>
  <c r="P544" i="13" s="1"/>
  <c r="AP419" i="5"/>
  <c r="O416" i="13" s="1"/>
  <c r="P416" i="13" s="1"/>
  <c r="AP291" i="5"/>
  <c r="O288" i="13" s="1"/>
  <c r="P288" i="13" s="1"/>
  <c r="AP163" i="5"/>
  <c r="O160" i="13" s="1"/>
  <c r="P160" i="13" s="1"/>
  <c r="AP546" i="5"/>
  <c r="O543" i="13" s="1"/>
  <c r="P543" i="13" s="1"/>
  <c r="AP290" i="5"/>
  <c r="O287" i="13" s="1"/>
  <c r="P287" i="13" s="1"/>
  <c r="AP162" i="5"/>
  <c r="Z159" i="13" s="1"/>
  <c r="Y159" i="13" s="1"/>
  <c r="AP531" i="5"/>
  <c r="Z528" i="13" s="1"/>
  <c r="Y528" i="13" s="1"/>
  <c r="AP403" i="5"/>
  <c r="O400" i="13" s="1"/>
  <c r="P400" i="13" s="1"/>
  <c r="X366" i="13"/>
  <c r="W366" i="13" s="1"/>
  <c r="AP530" i="5"/>
  <c r="Z527" i="13" s="1"/>
  <c r="Y527" i="13" s="1"/>
  <c r="AP274" i="5"/>
  <c r="Z271" i="13" s="1"/>
  <c r="Y271" i="13" s="1"/>
  <c r="Z439" i="13"/>
  <c r="O439" i="13"/>
  <c r="P439" i="13" s="1"/>
  <c r="Z279" i="13"/>
  <c r="Y279" i="13" s="1"/>
  <c r="O279" i="13"/>
  <c r="P279" i="13" s="1"/>
  <c r="Z598" i="13"/>
  <c r="Y598" i="13" s="1"/>
  <c r="O598" i="13"/>
  <c r="P598" i="13" s="1"/>
  <c r="Z288" i="13"/>
  <c r="Y288" i="13" s="1"/>
  <c r="Z160" i="13"/>
  <c r="Y160" i="13" s="1"/>
  <c r="Z149" i="13"/>
  <c r="O149" i="13"/>
  <c r="P149" i="13" s="1"/>
  <c r="Z500" i="13"/>
  <c r="Z259" i="13"/>
  <c r="Y259" i="13" s="1"/>
  <c r="O259" i="13"/>
  <c r="P259" i="13" s="1"/>
  <c r="X594" i="13"/>
  <c r="W594" i="13" s="1"/>
  <c r="AP597" i="5"/>
  <c r="X546" i="13"/>
  <c r="AP549" i="5"/>
  <c r="X530" i="13"/>
  <c r="W530" i="13" s="1"/>
  <c r="AP533" i="5"/>
  <c r="X514" i="13"/>
  <c r="W514" i="13" s="1"/>
  <c r="AP517" i="5"/>
  <c r="X498" i="13"/>
  <c r="W498" i="13" s="1"/>
  <c r="AP501" i="5"/>
  <c r="X482" i="13"/>
  <c r="AP485" i="5"/>
  <c r="X466" i="13"/>
  <c r="W466" i="13" s="1"/>
  <c r="AP469" i="5"/>
  <c r="X450" i="13"/>
  <c r="W450" i="13" s="1"/>
  <c r="AP453" i="5"/>
  <c r="X402" i="13"/>
  <c r="W402" i="13" s="1"/>
  <c r="AP405" i="5"/>
  <c r="X354" i="13"/>
  <c r="AP357" i="5"/>
  <c r="X338" i="13"/>
  <c r="W338" i="13" s="1"/>
  <c r="AP341" i="5"/>
  <c r="X322" i="13"/>
  <c r="W322" i="13" s="1"/>
  <c r="AP325" i="5"/>
  <c r="X306" i="13"/>
  <c r="W306" i="13" s="1"/>
  <c r="AP309" i="5"/>
  <c r="X290" i="13"/>
  <c r="W290" i="13" s="1"/>
  <c r="AP293" i="5"/>
  <c r="X258" i="13"/>
  <c r="W258" i="13" s="1"/>
  <c r="AP261" i="5"/>
  <c r="X242" i="13"/>
  <c r="W242" i="13" s="1"/>
  <c r="AP245" i="5"/>
  <c r="X162" i="13"/>
  <c r="AP165" i="5"/>
  <c r="X146" i="13"/>
  <c r="AP149" i="5"/>
  <c r="X130" i="13"/>
  <c r="AP133" i="5"/>
  <c r="X98" i="13"/>
  <c r="W98" i="13" s="1"/>
  <c r="AP101" i="5"/>
  <c r="X82" i="13"/>
  <c r="W82" i="13" s="1"/>
  <c r="AP85" i="5"/>
  <c r="X66" i="13"/>
  <c r="W66" i="13" s="1"/>
  <c r="AP69" i="5"/>
  <c r="X50" i="13"/>
  <c r="W50" i="13" s="1"/>
  <c r="AP53" i="5"/>
  <c r="X34" i="13"/>
  <c r="W34" i="13" s="1"/>
  <c r="AP37" i="5"/>
  <c r="X2" i="13"/>
  <c r="W2" i="13" s="1"/>
  <c r="AP5" i="5"/>
  <c r="X577" i="13"/>
  <c r="W577" i="13" s="1"/>
  <c r="AP580" i="5"/>
  <c r="X545" i="13"/>
  <c r="W545" i="13" s="1"/>
  <c r="AP548" i="5"/>
  <c r="X529" i="13"/>
  <c r="AP532" i="5"/>
  <c r="X497" i="13"/>
  <c r="W497" i="13" s="1"/>
  <c r="AP500" i="5"/>
  <c r="X481" i="13"/>
  <c r="W481" i="13" s="1"/>
  <c r="AP484" i="5"/>
  <c r="X433" i="13"/>
  <c r="W433" i="13" s="1"/>
  <c r="AP436" i="5"/>
  <c r="X417" i="13"/>
  <c r="W417" i="13" s="1"/>
  <c r="AP420" i="5"/>
  <c r="X369" i="13"/>
  <c r="W369" i="13" s="1"/>
  <c r="AP372" i="5"/>
  <c r="X353" i="13"/>
  <c r="W353" i="13" s="1"/>
  <c r="AP356" i="5"/>
  <c r="X337" i="13"/>
  <c r="W337" i="13" s="1"/>
  <c r="AP340" i="5"/>
  <c r="AP308" i="5"/>
  <c r="X305" i="13"/>
  <c r="X289" i="13"/>
  <c r="W289" i="13" s="1"/>
  <c r="AP292" i="5"/>
  <c r="X241" i="13"/>
  <c r="W241" i="13" s="1"/>
  <c r="AP244" i="5"/>
  <c r="X225" i="13"/>
  <c r="W225" i="13" s="1"/>
  <c r="AP228" i="5"/>
  <c r="X177" i="13"/>
  <c r="W177" i="13" s="1"/>
  <c r="AP180" i="5"/>
  <c r="X161" i="13"/>
  <c r="W161" i="13" s="1"/>
  <c r="AP164" i="5"/>
  <c r="X145" i="13"/>
  <c r="W145" i="13" s="1"/>
  <c r="X113" i="13"/>
  <c r="W113" i="13" s="1"/>
  <c r="AP116" i="5"/>
  <c r="X97" i="13"/>
  <c r="W97" i="13" s="1"/>
  <c r="AP100" i="5"/>
  <c r="X49" i="13"/>
  <c r="W49" i="13" s="1"/>
  <c r="AP52" i="5"/>
  <c r="Z366" i="13"/>
  <c r="Y366" i="13" s="1"/>
  <c r="O366" i="13"/>
  <c r="P366" i="13" s="1"/>
  <c r="Z352" i="13"/>
  <c r="Y352" i="13" s="1"/>
  <c r="O352" i="13"/>
  <c r="P352" i="13" s="1"/>
  <c r="Z92" i="13"/>
  <c r="Y92" i="13" s="1"/>
  <c r="O92" i="13"/>
  <c r="P92" i="13" s="1"/>
  <c r="Z592" i="13"/>
  <c r="Y592" i="13" s="1"/>
  <c r="AP625" i="5"/>
  <c r="AP609" i="5"/>
  <c r="AP577" i="5"/>
  <c r="AP545" i="5"/>
  <c r="AP529" i="5"/>
  <c r="AP497" i="5"/>
  <c r="AP481" i="5"/>
  <c r="AP449" i="5"/>
  <c r="AP433" i="5"/>
  <c r="AP401" i="5"/>
  <c r="AP385" i="5"/>
  <c r="AP337" i="5"/>
  <c r="AP321" i="5"/>
  <c r="AP305" i="5"/>
  <c r="AP273" i="5"/>
  <c r="AP257" i="5"/>
  <c r="AP241" i="5"/>
  <c r="AP209" i="5"/>
  <c r="AP193" i="5"/>
  <c r="AP177" i="5"/>
  <c r="AP145" i="5"/>
  <c r="AP129" i="5"/>
  <c r="AP113" i="5"/>
  <c r="AP81" i="5"/>
  <c r="AP47" i="5"/>
  <c r="AP640" i="5"/>
  <c r="AP592" i="5"/>
  <c r="AP560" i="5"/>
  <c r="AP544" i="5"/>
  <c r="AP512" i="5"/>
  <c r="AP480" i="5"/>
  <c r="AP416" i="5"/>
  <c r="AP352" i="5"/>
  <c r="AP336" i="5"/>
  <c r="AP320" i="5"/>
  <c r="AP304" i="5"/>
  <c r="AP256" i="5"/>
  <c r="AP224" i="5"/>
  <c r="AP208" i="5"/>
  <c r="AP192" i="5"/>
  <c r="AP176" i="5"/>
  <c r="AP144" i="5"/>
  <c r="AP128" i="5"/>
  <c r="AP112" i="5"/>
  <c r="AP80" i="5"/>
  <c r="AP11" i="5"/>
  <c r="X92" i="13"/>
  <c r="W92" i="13" s="1"/>
  <c r="AP623" i="5"/>
  <c r="AP607" i="5"/>
  <c r="AP559" i="5"/>
  <c r="AP495" i="5"/>
  <c r="AP479" i="5"/>
  <c r="AP431" i="5"/>
  <c r="AP367" i="5"/>
  <c r="AP351" i="5"/>
  <c r="AP303" i="5"/>
  <c r="AP239" i="5"/>
  <c r="AP223" i="5"/>
  <c r="AP175" i="5"/>
  <c r="AP111" i="5"/>
  <c r="AP79" i="5"/>
  <c r="AP558" i="5"/>
  <c r="AP542" i="5"/>
  <c r="AP526" i="5"/>
  <c r="AP510" i="5"/>
  <c r="AP478" i="5"/>
  <c r="AP462" i="5"/>
  <c r="AP430" i="5"/>
  <c r="AP382" i="5"/>
  <c r="AP350" i="5"/>
  <c r="AP334" i="5"/>
  <c r="AP302" i="5"/>
  <c r="AP286" i="5"/>
  <c r="AP270" i="5"/>
  <c r="AP254" i="5"/>
  <c r="AP222" i="5"/>
  <c r="AP206" i="5"/>
  <c r="AP174" i="5"/>
  <c r="AP158" i="5"/>
  <c r="AP126" i="5"/>
  <c r="AP94" i="5"/>
  <c r="AP78" i="5"/>
  <c r="AP621" i="5"/>
  <c r="AP573" i="5"/>
  <c r="AP557" i="5"/>
  <c r="AP541" i="5"/>
  <c r="AP525" i="5"/>
  <c r="AP493" i="5"/>
  <c r="AP477" i="5"/>
  <c r="AP461" i="5"/>
  <c r="AP445" i="5"/>
  <c r="AP429" i="5"/>
  <c r="AP349" i="5"/>
  <c r="AP317" i="5"/>
  <c r="AP301" i="5"/>
  <c r="AP269" i="5"/>
  <c r="AP253" i="5"/>
  <c r="AP237" i="5"/>
  <c r="AP221" i="5"/>
  <c r="AP205" i="5"/>
  <c r="AP189" i="5"/>
  <c r="AP173" i="5"/>
  <c r="AP157" i="5"/>
  <c r="AP109" i="5"/>
  <c r="AP93" i="5"/>
  <c r="AP26" i="5"/>
  <c r="AP620" i="5"/>
  <c r="AP604" i="5"/>
  <c r="AP588" i="5"/>
  <c r="AP572" i="5"/>
  <c r="AP540" i="5"/>
  <c r="AP524" i="5"/>
  <c r="AP508" i="5"/>
  <c r="AP476" i="5"/>
  <c r="AP460" i="5"/>
  <c r="AP444" i="5"/>
  <c r="AP412" i="5"/>
  <c r="AP396" i="5"/>
  <c r="AP380" i="5"/>
  <c r="AP348" i="5"/>
  <c r="AP332" i="5"/>
  <c r="AP316" i="5"/>
  <c r="AP284" i="5"/>
  <c r="AP268" i="5"/>
  <c r="AP252" i="5"/>
  <c r="AP220" i="5"/>
  <c r="AP204" i="5"/>
  <c r="AP188" i="5"/>
  <c r="AP156" i="5"/>
  <c r="AP140" i="5"/>
  <c r="AP124" i="5"/>
  <c r="AP92" i="5"/>
  <c r="AP76" i="5"/>
  <c r="AP25" i="5"/>
  <c r="AP7" i="5"/>
  <c r="AP619" i="5"/>
  <c r="AP587" i="5"/>
  <c r="AP571" i="5"/>
  <c r="AP523" i="5"/>
  <c r="AP507" i="5"/>
  <c r="AP491" i="5"/>
  <c r="AP475" i="5"/>
  <c r="AP459" i="5"/>
  <c r="AP379" i="5"/>
  <c r="AP363" i="5"/>
  <c r="AP347" i="5"/>
  <c r="AP331" i="5"/>
  <c r="AP315" i="5"/>
  <c r="AP299" i="5"/>
  <c r="AP283" i="5"/>
  <c r="AP267" i="5"/>
  <c r="AP235" i="5"/>
  <c r="AP203" i="5"/>
  <c r="AP123" i="5"/>
  <c r="AP107" i="5"/>
  <c r="AP6" i="5"/>
  <c r="X598" i="13"/>
  <c r="W598" i="13" s="1"/>
  <c r="X439" i="13"/>
  <c r="AP618" i="5"/>
  <c r="AP586" i="5"/>
  <c r="AP554" i="5"/>
  <c r="AP506" i="5"/>
  <c r="AP490" i="5"/>
  <c r="AP474" i="5"/>
  <c r="AP426" i="5"/>
  <c r="AP394" i="5"/>
  <c r="AP378" i="5"/>
  <c r="AP362" i="5"/>
  <c r="AP314" i="5"/>
  <c r="AP298" i="5"/>
  <c r="AP250" i="5"/>
  <c r="AP234" i="5"/>
  <c r="AP186" i="5"/>
  <c r="AP122" i="5"/>
  <c r="AP106" i="5"/>
  <c r="X259" i="13"/>
  <c r="W259" i="13" s="1"/>
  <c r="AP617" i="5"/>
  <c r="AP553" i="5"/>
  <c r="AP537" i="5"/>
  <c r="AP521" i="5"/>
  <c r="AP505" i="5"/>
  <c r="AP489" i="5"/>
  <c r="AP473" i="5"/>
  <c r="AP441" i="5"/>
  <c r="AP425" i="5"/>
  <c r="AP409" i="5"/>
  <c r="AP377" i="5"/>
  <c r="AP361" i="5"/>
  <c r="AP345" i="5"/>
  <c r="AP313" i="5"/>
  <c r="AP297" i="5"/>
  <c r="AP281" i="5"/>
  <c r="AP249" i="5"/>
  <c r="AP233" i="5"/>
  <c r="AP217" i="5"/>
  <c r="AP185" i="5"/>
  <c r="AP169" i="5"/>
  <c r="AP153" i="5"/>
  <c r="AP121" i="5"/>
  <c r="AP105" i="5"/>
  <c r="AP89" i="5"/>
  <c r="AP56" i="5"/>
  <c r="AP22" i="5"/>
  <c r="AP632" i="5"/>
  <c r="AP600" i="5"/>
  <c r="AP552" i="5"/>
  <c r="AP536" i="5"/>
  <c r="AP504" i="5"/>
  <c r="AP472" i="5"/>
  <c r="AP440" i="5"/>
  <c r="AP376" i="5"/>
  <c r="AP328" i="5"/>
  <c r="AP296" i="5"/>
  <c r="AP280" i="5"/>
  <c r="AP264" i="5"/>
  <c r="AP248" i="5"/>
  <c r="AP232" i="5"/>
  <c r="AP216" i="5"/>
  <c r="AP200" i="5"/>
  <c r="AP184" i="5"/>
  <c r="AP136" i="5"/>
  <c r="AP104" i="5"/>
  <c r="AP88" i="5"/>
  <c r="AP567" i="5"/>
  <c r="AP551" i="5"/>
  <c r="AP519" i="5"/>
  <c r="AP471" i="5"/>
  <c r="AP439" i="5"/>
  <c r="AP423" i="5"/>
  <c r="AP407" i="5"/>
  <c r="AP375" i="5"/>
  <c r="AP359" i="5"/>
  <c r="AP343" i="5"/>
  <c r="AP327" i="5"/>
  <c r="AP295" i="5"/>
  <c r="AP263" i="5"/>
  <c r="AP183" i="5"/>
  <c r="AP135" i="5"/>
  <c r="AP119" i="5"/>
  <c r="AP103" i="5"/>
  <c r="AP71" i="5"/>
  <c r="AP630" i="5"/>
  <c r="AP566" i="5"/>
  <c r="AP550" i="5"/>
  <c r="AP534" i="5"/>
  <c r="AP502" i="5"/>
  <c r="AP486" i="5"/>
  <c r="AP470" i="5"/>
  <c r="AP454" i="5"/>
  <c r="AP438" i="5"/>
  <c r="AP422" i="5"/>
  <c r="AP406" i="5"/>
  <c r="AP374" i="5"/>
  <c r="AP342" i="5"/>
  <c r="AP326" i="5"/>
  <c r="AP246" i="5"/>
  <c r="AP198" i="5"/>
  <c r="AP182" i="5"/>
  <c r="AP134" i="5"/>
  <c r="AP118" i="5"/>
  <c r="AP17" i="5"/>
  <c r="AP51" i="5"/>
  <c r="AP34" i="5"/>
  <c r="L65" i="13"/>
  <c r="M79" i="13"/>
  <c r="M47" i="13"/>
  <c r="L587" i="13"/>
  <c r="L573" i="13"/>
  <c r="L492" i="13"/>
  <c r="L610" i="13"/>
  <c r="L84" i="13"/>
  <c r="L36" i="13"/>
  <c r="M625" i="13"/>
  <c r="M481" i="13"/>
  <c r="M257" i="13"/>
  <c r="M113" i="13"/>
  <c r="L349" i="13"/>
  <c r="M191" i="13"/>
  <c r="M639" i="13"/>
  <c r="L623" i="13"/>
  <c r="L607" i="13"/>
  <c r="M591" i="13"/>
  <c r="L555" i="13"/>
  <c r="L234" i="13"/>
  <c r="L218" i="13"/>
  <c r="L186" i="13"/>
  <c r="L22" i="13"/>
  <c r="L612" i="13"/>
  <c r="L532" i="13"/>
  <c r="L451" i="13"/>
  <c r="L419" i="13"/>
  <c r="L387" i="13"/>
  <c r="L355" i="13"/>
  <c r="L323" i="13"/>
  <c r="L291" i="13"/>
  <c r="L195" i="13"/>
  <c r="L147" i="13"/>
  <c r="M624" i="13"/>
  <c r="M512" i="13"/>
  <c r="M432" i="13"/>
  <c r="M368" i="13"/>
  <c r="L605" i="13"/>
  <c r="L348" i="13"/>
  <c r="L4" i="13"/>
  <c r="L547" i="13"/>
  <c r="L450" i="13"/>
  <c r="L386" i="13"/>
  <c r="L354" i="13"/>
  <c r="M274" i="13"/>
  <c r="M258" i="13"/>
  <c r="M242" i="13"/>
  <c r="M226" i="13"/>
  <c r="M210" i="13"/>
  <c r="M194" i="13"/>
  <c r="M178" i="13"/>
  <c r="M162" i="13"/>
  <c r="M146" i="13"/>
  <c r="M130" i="13"/>
  <c r="M114" i="13"/>
  <c r="M98" i="13"/>
  <c r="M82" i="13"/>
  <c r="L50" i="13"/>
  <c r="M575" i="13"/>
  <c r="M271" i="13"/>
  <c r="M223" i="13"/>
  <c r="M111" i="13"/>
  <c r="L604" i="13"/>
  <c r="L322" i="13"/>
  <c r="L3" i="13"/>
  <c r="M234" i="13"/>
  <c r="L513" i="13"/>
  <c r="L497" i="13"/>
  <c r="L481" i="13"/>
  <c r="L465" i="13"/>
  <c r="L449" i="13"/>
  <c r="L433" i="13"/>
  <c r="L417" i="13"/>
  <c r="L401" i="13"/>
  <c r="L385" i="13"/>
  <c r="L369" i="13"/>
  <c r="L353" i="13"/>
  <c r="L337" i="13"/>
  <c r="L321" i="13"/>
  <c r="L305" i="13"/>
  <c r="L289" i="13"/>
  <c r="L273" i="13"/>
  <c r="L257" i="13"/>
  <c r="L241" i="13"/>
  <c r="L209" i="13"/>
  <c r="L177" i="13"/>
  <c r="L161" i="13"/>
  <c r="L145" i="13"/>
  <c r="L129" i="13"/>
  <c r="L113" i="13"/>
  <c r="L97" i="13"/>
  <c r="M81" i="13"/>
  <c r="M65" i="13"/>
  <c r="M49" i="13"/>
  <c r="L33" i="13"/>
  <c r="M17" i="13"/>
  <c r="L594" i="13"/>
  <c r="L317" i="13"/>
  <c r="L578" i="13"/>
  <c r="L268" i="13"/>
  <c r="M607" i="13"/>
  <c r="M186" i="13"/>
  <c r="L2" i="13"/>
  <c r="L624" i="13"/>
  <c r="L576" i="13"/>
  <c r="L560" i="13"/>
  <c r="L544" i="13"/>
  <c r="L527" i="13"/>
  <c r="L511" i="13"/>
  <c r="L495" i="13"/>
  <c r="L479" i="13"/>
  <c r="L463" i="13"/>
  <c r="L447" i="13"/>
  <c r="L431" i="13"/>
  <c r="L415" i="13"/>
  <c r="L399" i="13"/>
  <c r="L383" i="13"/>
  <c r="L367" i="13"/>
  <c r="L351" i="13"/>
  <c r="L335" i="13"/>
  <c r="L319" i="13"/>
  <c r="L303" i="13"/>
  <c r="L287" i="13"/>
  <c r="L271" i="13"/>
  <c r="L255" i="13"/>
  <c r="L239" i="13"/>
  <c r="L223" i="13"/>
  <c r="L207" i="13"/>
  <c r="L175" i="13"/>
  <c r="L159" i="13"/>
  <c r="L143" i="13"/>
  <c r="L127" i="13"/>
  <c r="L111" i="13"/>
  <c r="L95" i="13"/>
  <c r="L63" i="13"/>
  <c r="L31" i="13"/>
  <c r="L15" i="13"/>
  <c r="L562" i="13"/>
  <c r="L258" i="13"/>
  <c r="M161" i="13"/>
  <c r="L575" i="13"/>
  <c r="L559" i="13"/>
  <c r="L543" i="13"/>
  <c r="L526" i="13"/>
  <c r="L510" i="13"/>
  <c r="L494" i="13"/>
  <c r="L478" i="13"/>
  <c r="L462" i="13"/>
  <c r="L446" i="13"/>
  <c r="L430" i="13"/>
  <c r="L414" i="13"/>
  <c r="L398" i="13"/>
  <c r="L382" i="13"/>
  <c r="L366" i="13"/>
  <c r="L350" i="13"/>
  <c r="L334" i="13"/>
  <c r="L318" i="13"/>
  <c r="L302" i="13"/>
  <c r="L286" i="13"/>
  <c r="L270" i="13"/>
  <c r="L254" i="13"/>
  <c r="L238" i="13"/>
  <c r="L222" i="13"/>
  <c r="L206" i="13"/>
  <c r="L174" i="13"/>
  <c r="L158" i="13"/>
  <c r="L142" i="13"/>
  <c r="L126" i="13"/>
  <c r="L110" i="13"/>
  <c r="L94" i="13"/>
  <c r="L546" i="13"/>
  <c r="L237" i="13"/>
  <c r="M587" i="13"/>
  <c r="M126" i="13"/>
  <c r="L530" i="13"/>
  <c r="L178" i="13"/>
  <c r="M84" i="13"/>
  <c r="L524" i="13"/>
  <c r="L173" i="13"/>
  <c r="L514" i="13"/>
  <c r="L162" i="13"/>
  <c r="M555" i="13"/>
  <c r="L74" i="13"/>
  <c r="L493" i="13"/>
  <c r="L156" i="13"/>
  <c r="M15" i="13"/>
  <c r="L434" i="13"/>
  <c r="L146" i="13"/>
  <c r="M532" i="13"/>
  <c r="L504" i="13"/>
  <c r="L488" i="13"/>
  <c r="L429" i="13"/>
  <c r="L114" i="13"/>
  <c r="M527" i="13"/>
  <c r="L418" i="13"/>
  <c r="L93" i="13"/>
  <c r="M526" i="13"/>
  <c r="L412" i="13"/>
  <c r="L92" i="13"/>
  <c r="L626" i="13"/>
  <c r="L402" i="13"/>
  <c r="L82" i="13"/>
  <c r="M387" i="13"/>
  <c r="L638" i="13"/>
  <c r="M638" i="13"/>
  <c r="L622" i="13"/>
  <c r="M622" i="13"/>
  <c r="L606" i="13"/>
  <c r="M590" i="13"/>
  <c r="L590" i="13"/>
  <c r="L574" i="13"/>
  <c r="M574" i="13"/>
  <c r="L558" i="13"/>
  <c r="M558" i="13"/>
  <c r="L542" i="13"/>
  <c r="M542" i="13"/>
  <c r="L509" i="13"/>
  <c r="L428" i="13"/>
  <c r="L338" i="13"/>
  <c r="L253" i="13"/>
  <c r="M147" i="13"/>
  <c r="L589" i="13"/>
  <c r="L508" i="13"/>
  <c r="L333" i="13"/>
  <c r="M355" i="13"/>
  <c r="M523" i="13"/>
  <c r="L523" i="13"/>
  <c r="M507" i="13"/>
  <c r="L507" i="13"/>
  <c r="M491" i="13"/>
  <c r="L491" i="13"/>
  <c r="M475" i="13"/>
  <c r="L475" i="13"/>
  <c r="M459" i="13"/>
  <c r="L459" i="13"/>
  <c r="M443" i="13"/>
  <c r="L443" i="13"/>
  <c r="M427" i="13"/>
  <c r="L427" i="13"/>
  <c r="M411" i="13"/>
  <c r="L411" i="13"/>
  <c r="M395" i="13"/>
  <c r="L395" i="13"/>
  <c r="M379" i="13"/>
  <c r="L379" i="13"/>
  <c r="M363" i="13"/>
  <c r="L363" i="13"/>
  <c r="M347" i="13"/>
  <c r="L347" i="13"/>
  <c r="M331" i="13"/>
  <c r="L331" i="13"/>
  <c r="M315" i="13"/>
  <c r="L315" i="13"/>
  <c r="M299" i="13"/>
  <c r="L299" i="13"/>
  <c r="M283" i="13"/>
  <c r="L283" i="13"/>
  <c r="M267" i="13"/>
  <c r="L267" i="13"/>
  <c r="M251" i="13"/>
  <c r="L251" i="13"/>
  <c r="M235" i="13"/>
  <c r="L235" i="13"/>
  <c r="M219" i="13"/>
  <c r="L219" i="13"/>
  <c r="M203" i="13"/>
  <c r="L203" i="13"/>
  <c r="M187" i="13"/>
  <c r="L187" i="13"/>
  <c r="M171" i="13"/>
  <c r="L171" i="13"/>
  <c r="M155" i="13"/>
  <c r="L155" i="13"/>
  <c r="M139" i="13"/>
  <c r="L139" i="13"/>
  <c r="M123" i="13"/>
  <c r="L123" i="13"/>
  <c r="L588" i="13"/>
  <c r="L498" i="13"/>
  <c r="L413" i="13"/>
  <c r="L332" i="13"/>
  <c r="L242" i="13"/>
  <c r="L157" i="13"/>
  <c r="M612" i="13"/>
  <c r="M504" i="13"/>
  <c r="M354" i="13"/>
  <c r="M634" i="13"/>
  <c r="L634" i="13"/>
  <c r="M618" i="13"/>
  <c r="L618" i="13"/>
  <c r="M602" i="13"/>
  <c r="L602" i="13"/>
  <c r="L586" i="13"/>
  <c r="M586" i="13"/>
  <c r="M570" i="13"/>
  <c r="L570" i="13"/>
  <c r="M554" i="13"/>
  <c r="L554" i="13"/>
  <c r="M538" i="13"/>
  <c r="L538" i="13"/>
  <c r="M521" i="13"/>
  <c r="L521" i="13"/>
  <c r="M505" i="13"/>
  <c r="L505" i="13"/>
  <c r="M489" i="13"/>
  <c r="L489" i="13"/>
  <c r="M473" i="13"/>
  <c r="L473" i="13"/>
  <c r="M457" i="13"/>
  <c r="L457" i="13"/>
  <c r="M441" i="13"/>
  <c r="L441" i="13"/>
  <c r="M425" i="13"/>
  <c r="L425" i="13"/>
  <c r="M409" i="13"/>
  <c r="L409" i="13"/>
  <c r="M393" i="13"/>
  <c r="L393" i="13"/>
  <c r="M606" i="13"/>
  <c r="M488" i="13"/>
  <c r="M323" i="13"/>
  <c r="M633" i="13"/>
  <c r="L633" i="13"/>
  <c r="M617" i="13"/>
  <c r="L617" i="13"/>
  <c r="M601" i="13"/>
  <c r="L601" i="13"/>
  <c r="M585" i="13"/>
  <c r="L585" i="13"/>
  <c r="M569" i="13"/>
  <c r="L569" i="13"/>
  <c r="M553" i="13"/>
  <c r="L553" i="13"/>
  <c r="M537" i="13"/>
  <c r="L537" i="13"/>
  <c r="M520" i="13"/>
  <c r="L520" i="13"/>
  <c r="M472" i="13"/>
  <c r="L472" i="13"/>
  <c r="M456" i="13"/>
  <c r="L456" i="13"/>
  <c r="M440" i="13"/>
  <c r="L440" i="13"/>
  <c r="M424" i="13"/>
  <c r="L424" i="13"/>
  <c r="M408" i="13"/>
  <c r="L408" i="13"/>
  <c r="M392" i="13"/>
  <c r="L392" i="13"/>
  <c r="M376" i="13"/>
  <c r="L376" i="13"/>
  <c r="M360" i="13"/>
  <c r="L360" i="13"/>
  <c r="M344" i="13"/>
  <c r="L344" i="13"/>
  <c r="M328" i="13"/>
  <c r="L328" i="13"/>
  <c r="M312" i="13"/>
  <c r="L312" i="13"/>
  <c r="M296" i="13"/>
  <c r="L296" i="13"/>
  <c r="M280" i="13"/>
  <c r="L280" i="13"/>
  <c r="M264" i="13"/>
  <c r="L264" i="13"/>
  <c r="M248" i="13"/>
  <c r="L248" i="13"/>
  <c r="M232" i="13"/>
  <c r="L232" i="13"/>
  <c r="M216" i="13"/>
  <c r="L216" i="13"/>
  <c r="M200" i="13"/>
  <c r="L200" i="13"/>
  <c r="M184" i="13"/>
  <c r="L184" i="13"/>
  <c r="M168" i="13"/>
  <c r="L168" i="13"/>
  <c r="M152" i="13"/>
  <c r="L152" i="13"/>
  <c r="M136" i="13"/>
  <c r="L136" i="13"/>
  <c r="M120" i="13"/>
  <c r="L120" i="13"/>
  <c r="M104" i="13"/>
  <c r="L104" i="13"/>
  <c r="M88" i="13"/>
  <c r="L88" i="13"/>
  <c r="M72" i="13"/>
  <c r="L72" i="13"/>
  <c r="M56" i="13"/>
  <c r="L56" i="13"/>
  <c r="M24" i="13"/>
  <c r="L24" i="13"/>
  <c r="M8" i="13"/>
  <c r="L8" i="13"/>
  <c r="L572" i="13"/>
  <c r="L482" i="13"/>
  <c r="L397" i="13"/>
  <c r="L316" i="13"/>
  <c r="L226" i="13"/>
  <c r="L141" i="13"/>
  <c r="M632" i="13"/>
  <c r="L632" i="13"/>
  <c r="M616" i="13"/>
  <c r="L616" i="13"/>
  <c r="M600" i="13"/>
  <c r="L600" i="13"/>
  <c r="L584" i="13"/>
  <c r="M584" i="13"/>
  <c r="L568" i="13"/>
  <c r="M552" i="13"/>
  <c r="L552" i="13"/>
  <c r="M536" i="13"/>
  <c r="L536" i="13"/>
  <c r="M519" i="13"/>
  <c r="L519" i="13"/>
  <c r="L503" i="13"/>
  <c r="M487" i="13"/>
  <c r="L487" i="13"/>
  <c r="M471" i="13"/>
  <c r="L471" i="13"/>
  <c r="M455" i="13"/>
  <c r="L455" i="13"/>
  <c r="M439" i="13"/>
  <c r="L439" i="13"/>
  <c r="M423" i="13"/>
  <c r="L423" i="13"/>
  <c r="M407" i="13"/>
  <c r="L407" i="13"/>
  <c r="M391" i="13"/>
  <c r="L391" i="13"/>
  <c r="M375" i="13"/>
  <c r="L375" i="13"/>
  <c r="M359" i="13"/>
  <c r="L359" i="13"/>
  <c r="M343" i="13"/>
  <c r="L343" i="13"/>
  <c r="M327" i="13"/>
  <c r="L327" i="13"/>
  <c r="M311" i="13"/>
  <c r="L311" i="13"/>
  <c r="L477" i="13"/>
  <c r="L396" i="13"/>
  <c r="L306" i="13"/>
  <c r="L221" i="13"/>
  <c r="M50" i="13"/>
  <c r="M631" i="13"/>
  <c r="L631" i="13"/>
  <c r="M615" i="13"/>
  <c r="L615" i="13"/>
  <c r="M599" i="13"/>
  <c r="L599" i="13"/>
  <c r="L583" i="13"/>
  <c r="M583" i="13"/>
  <c r="L567" i="13"/>
  <c r="M551" i="13"/>
  <c r="L551" i="13"/>
  <c r="M535" i="13"/>
  <c r="L535" i="13"/>
  <c r="M518" i="13"/>
  <c r="L518" i="13"/>
  <c r="M502" i="13"/>
  <c r="L502" i="13"/>
  <c r="M486" i="13"/>
  <c r="L486" i="13"/>
  <c r="M470" i="13"/>
  <c r="L470" i="13"/>
  <c r="M454" i="13"/>
  <c r="L454" i="13"/>
  <c r="M438" i="13"/>
  <c r="L438" i="13"/>
  <c r="M422" i="13"/>
  <c r="L422" i="13"/>
  <c r="L557" i="13"/>
  <c r="L476" i="13"/>
  <c r="L301" i="13"/>
  <c r="L130" i="13"/>
  <c r="L40" i="13"/>
  <c r="M291" i="13"/>
  <c r="M36" i="13"/>
  <c r="L630" i="13"/>
  <c r="M614" i="13"/>
  <c r="L614" i="13"/>
  <c r="M598" i="13"/>
  <c r="L598" i="13"/>
  <c r="L582" i="13"/>
  <c r="M582" i="13"/>
  <c r="L566" i="13"/>
  <c r="M566" i="13"/>
  <c r="M550" i="13"/>
  <c r="L550" i="13"/>
  <c r="M534" i="13"/>
  <c r="L534" i="13"/>
  <c r="M517" i="13"/>
  <c r="L517" i="13"/>
  <c r="M501" i="13"/>
  <c r="L501" i="13"/>
  <c r="M485" i="13"/>
  <c r="L485" i="13"/>
  <c r="M469" i="13"/>
  <c r="L469" i="13"/>
  <c r="M453" i="13"/>
  <c r="L453" i="13"/>
  <c r="M437" i="13"/>
  <c r="L437" i="13"/>
  <c r="M421" i="13"/>
  <c r="L421" i="13"/>
  <c r="M405" i="13"/>
  <c r="L405" i="13"/>
  <c r="M389" i="13"/>
  <c r="L389" i="13"/>
  <c r="L373" i="13"/>
  <c r="L357" i="13"/>
  <c r="L341" i="13"/>
  <c r="L325" i="13"/>
  <c r="L309" i="13"/>
  <c r="L293" i="13"/>
  <c r="L277" i="13"/>
  <c r="L261" i="13"/>
  <c r="L245" i="13"/>
  <c r="L229" i="13"/>
  <c r="L213" i="13"/>
  <c r="L197" i="13"/>
  <c r="L181" i="13"/>
  <c r="L165" i="13"/>
  <c r="L149" i="13"/>
  <c r="L133" i="13"/>
  <c r="L117" i="13"/>
  <c r="L101" i="13"/>
  <c r="L85" i="13"/>
  <c r="L69" i="13"/>
  <c r="L53" i="13"/>
  <c r="L37" i="13"/>
  <c r="L637" i="13"/>
  <c r="L556" i="13"/>
  <c r="L466" i="13"/>
  <c r="L381" i="13"/>
  <c r="L300" i="13"/>
  <c r="L210" i="13"/>
  <c r="L125" i="13"/>
  <c r="M451" i="13"/>
  <c r="M629" i="13"/>
  <c r="L629" i="13"/>
  <c r="M613" i="13"/>
  <c r="L613" i="13"/>
  <c r="M597" i="13"/>
  <c r="L597" i="13"/>
  <c r="M581" i="13"/>
  <c r="L581" i="13"/>
  <c r="M565" i="13"/>
  <c r="L565" i="13"/>
  <c r="M549" i="13"/>
  <c r="L549" i="13"/>
  <c r="M533" i="13"/>
  <c r="L533" i="13"/>
  <c r="L516" i="13"/>
  <c r="M516" i="13"/>
  <c r="L500" i="13"/>
  <c r="M500" i="13"/>
  <c r="M484" i="13"/>
  <c r="L484" i="13"/>
  <c r="L468" i="13"/>
  <c r="M468" i="13"/>
  <c r="M452" i="13"/>
  <c r="L452" i="13"/>
  <c r="L436" i="13"/>
  <c r="M436" i="13"/>
  <c r="M420" i="13"/>
  <c r="L420" i="13"/>
  <c r="L404" i="13"/>
  <c r="M404" i="13"/>
  <c r="M388" i="13"/>
  <c r="L388" i="13"/>
  <c r="L372" i="13"/>
  <c r="M372" i="13"/>
  <c r="M356" i="13"/>
  <c r="L356" i="13"/>
  <c r="L340" i="13"/>
  <c r="M340" i="13"/>
  <c r="M324" i="13"/>
  <c r="L324" i="13"/>
  <c r="L308" i="13"/>
  <c r="M308" i="13"/>
  <c r="M292" i="13"/>
  <c r="L292" i="13"/>
  <c r="L276" i="13"/>
  <c r="M276" i="13"/>
  <c r="M260" i="13"/>
  <c r="L260" i="13"/>
  <c r="L244" i="13"/>
  <c r="M244" i="13"/>
  <c r="M228" i="13"/>
  <c r="L228" i="13"/>
  <c r="L212" i="13"/>
  <c r="M212" i="13"/>
  <c r="M196" i="13"/>
  <c r="L196" i="13"/>
  <c r="L180" i="13"/>
  <c r="M180" i="13"/>
  <c r="L164" i="13"/>
  <c r="M164" i="13"/>
  <c r="M148" i="13"/>
  <c r="L148" i="13"/>
  <c r="L132" i="13"/>
  <c r="M132" i="13"/>
  <c r="M116" i="13"/>
  <c r="L116" i="13"/>
  <c r="L100" i="13"/>
  <c r="M100" i="13"/>
  <c r="L68" i="13"/>
  <c r="M68" i="13"/>
  <c r="M52" i="13"/>
  <c r="L52" i="13"/>
  <c r="M20" i="13"/>
  <c r="L20" i="13"/>
  <c r="L461" i="13"/>
  <c r="L380" i="13"/>
  <c r="L290" i="13"/>
  <c r="L205" i="13"/>
  <c r="M450" i="13"/>
  <c r="M5" i="13"/>
  <c r="L5" i="13"/>
  <c r="M628" i="13"/>
  <c r="L628" i="13"/>
  <c r="M596" i="13"/>
  <c r="L596" i="13"/>
  <c r="L580" i="13"/>
  <c r="M580" i="13"/>
  <c r="L564" i="13"/>
  <c r="M564" i="13"/>
  <c r="M548" i="13"/>
  <c r="L548" i="13"/>
  <c r="L515" i="13"/>
  <c r="M515" i="13"/>
  <c r="L499" i="13"/>
  <c r="M499" i="13"/>
  <c r="M483" i="13"/>
  <c r="L483" i="13"/>
  <c r="L467" i="13"/>
  <c r="M467" i="13"/>
  <c r="L435" i="13"/>
  <c r="M435" i="13"/>
  <c r="L403" i="13"/>
  <c r="M403" i="13"/>
  <c r="L371" i="13"/>
  <c r="M371" i="13"/>
  <c r="L339" i="13"/>
  <c r="M339" i="13"/>
  <c r="L307" i="13"/>
  <c r="M307" i="13"/>
  <c r="L275" i="13"/>
  <c r="M275" i="13"/>
  <c r="M259" i="13"/>
  <c r="L259" i="13"/>
  <c r="L243" i="13"/>
  <c r="M243" i="13"/>
  <c r="M227" i="13"/>
  <c r="L227" i="13"/>
  <c r="L211" i="13"/>
  <c r="M211" i="13"/>
  <c r="L179" i="13"/>
  <c r="M179" i="13"/>
  <c r="L163" i="13"/>
  <c r="M163" i="13"/>
  <c r="L131" i="13"/>
  <c r="M131" i="13"/>
  <c r="M115" i="13"/>
  <c r="L115" i="13"/>
  <c r="L99" i="13"/>
  <c r="M99" i="13"/>
  <c r="M83" i="13"/>
  <c r="L83" i="13"/>
  <c r="L67" i="13"/>
  <c r="M67" i="13"/>
  <c r="M51" i="13"/>
  <c r="L51" i="13"/>
  <c r="L35" i="13"/>
  <c r="M35" i="13"/>
  <c r="M19" i="13"/>
  <c r="L19" i="13"/>
  <c r="L541" i="13"/>
  <c r="L460" i="13"/>
  <c r="L370" i="13"/>
  <c r="L285" i="13"/>
  <c r="M627" i="13"/>
  <c r="L627" i="13"/>
  <c r="M611" i="13"/>
  <c r="L611" i="13"/>
  <c r="M595" i="13"/>
  <c r="L595" i="13"/>
  <c r="L579" i="13"/>
  <c r="M579" i="13"/>
  <c r="L563" i="13"/>
  <c r="M563" i="13"/>
  <c r="M531" i="13"/>
  <c r="L531" i="13"/>
  <c r="L66" i="13"/>
  <c r="M66" i="13"/>
  <c r="L34" i="13"/>
  <c r="M34" i="13"/>
  <c r="M18" i="13"/>
  <c r="L18" i="13"/>
  <c r="L621" i="13"/>
  <c r="L540" i="13"/>
  <c r="L365" i="13"/>
  <c r="L284" i="13"/>
  <c r="L194" i="13"/>
  <c r="L109" i="13"/>
  <c r="M419" i="13"/>
  <c r="M225" i="13"/>
  <c r="M193" i="13"/>
  <c r="L620" i="13"/>
  <c r="L445" i="13"/>
  <c r="L364" i="13"/>
  <c r="L274" i="13"/>
  <c r="L189" i="13"/>
  <c r="M547" i="13"/>
  <c r="L625" i="13"/>
  <c r="M609" i="13"/>
  <c r="L609" i="13"/>
  <c r="M593" i="13"/>
  <c r="L593" i="13"/>
  <c r="L577" i="13"/>
  <c r="M577" i="13"/>
  <c r="L561" i="13"/>
  <c r="M561" i="13"/>
  <c r="L545" i="13"/>
  <c r="M545" i="13"/>
  <c r="M529" i="13"/>
  <c r="L529" i="13"/>
  <c r="L512" i="13"/>
  <c r="L496" i="13"/>
  <c r="M496" i="13"/>
  <c r="L480" i="13"/>
  <c r="L464" i="13"/>
  <c r="L448" i="13"/>
  <c r="M448" i="13"/>
  <c r="L432" i="13"/>
  <c r="L416" i="13"/>
  <c r="M416" i="13"/>
  <c r="L400" i="13"/>
  <c r="L384" i="13"/>
  <c r="M384" i="13"/>
  <c r="L368" i="13"/>
  <c r="L352" i="13"/>
  <c r="M352" i="13"/>
  <c r="L336" i="13"/>
  <c r="L320" i="13"/>
  <c r="M320" i="13"/>
  <c r="L304" i="13"/>
  <c r="L288" i="13"/>
  <c r="M288" i="13"/>
  <c r="M272" i="13"/>
  <c r="L272" i="13"/>
  <c r="M256" i="13"/>
  <c r="L256" i="13"/>
  <c r="M240" i="13"/>
  <c r="L240" i="13"/>
  <c r="M224" i="13"/>
  <c r="L224" i="13"/>
  <c r="M208" i="13"/>
  <c r="L208" i="13"/>
  <c r="M192" i="13"/>
  <c r="L525" i="13"/>
  <c r="L444" i="13"/>
  <c r="L269" i="13"/>
  <c r="L98" i="13"/>
  <c r="M400" i="13"/>
  <c r="M195" i="13"/>
  <c r="L635" i="13"/>
  <c r="L619" i="13"/>
  <c r="L603" i="13"/>
  <c r="L571" i="13"/>
  <c r="L539" i="13"/>
  <c r="L107" i="13"/>
  <c r="L91" i="13"/>
  <c r="L38" i="13"/>
  <c r="L639" i="13"/>
  <c r="M623" i="13"/>
  <c r="M479" i="13"/>
  <c r="M449" i="13"/>
  <c r="M417" i="13"/>
  <c r="M385" i="13"/>
  <c r="M353" i="13"/>
  <c r="M321" i="13"/>
  <c r="M289" i="13"/>
  <c r="M255" i="13"/>
  <c r="M218" i="13"/>
  <c r="M145" i="13"/>
  <c r="M110" i="13"/>
  <c r="M176" i="13"/>
  <c r="M160" i="13"/>
  <c r="M144" i="13"/>
  <c r="M128" i="13"/>
  <c r="M112" i="13"/>
  <c r="M96" i="13"/>
  <c r="M80" i="13"/>
  <c r="M64" i="13"/>
  <c r="M48" i="13"/>
  <c r="M32" i="13"/>
  <c r="M16" i="13"/>
  <c r="L522" i="13"/>
  <c r="L506" i="13"/>
  <c r="L490" i="13"/>
  <c r="L474" i="13"/>
  <c r="L458" i="13"/>
  <c r="L442" i="13"/>
  <c r="L426" i="13"/>
  <c r="L410" i="13"/>
  <c r="L394" i="13"/>
  <c r="L378" i="13"/>
  <c r="L362" i="13"/>
  <c r="L346" i="13"/>
  <c r="L330" i="13"/>
  <c r="L314" i="13"/>
  <c r="L298" i="13"/>
  <c r="L282" i="13"/>
  <c r="L266" i="13"/>
  <c r="L250" i="13"/>
  <c r="L202" i="13"/>
  <c r="L170" i="13"/>
  <c r="L154" i="13"/>
  <c r="L138" i="13"/>
  <c r="L122" i="13"/>
  <c r="L106" i="13"/>
  <c r="L90" i="13"/>
  <c r="L73" i="13"/>
  <c r="L55" i="13"/>
  <c r="M2" i="13"/>
  <c r="M544" i="13"/>
  <c r="M478" i="13"/>
  <c r="M254" i="13"/>
  <c r="M143" i="13"/>
  <c r="M33" i="13"/>
  <c r="L377" i="13"/>
  <c r="L361" i="13"/>
  <c r="L345" i="13"/>
  <c r="L329" i="13"/>
  <c r="L313" i="13"/>
  <c r="L297" i="13"/>
  <c r="L281" i="13"/>
  <c r="L265" i="13"/>
  <c r="L249" i="13"/>
  <c r="L233" i="13"/>
  <c r="L217" i="13"/>
  <c r="L201" i="13"/>
  <c r="L185" i="13"/>
  <c r="L169" i="13"/>
  <c r="L153" i="13"/>
  <c r="L137" i="13"/>
  <c r="L121" i="13"/>
  <c r="L105" i="13"/>
  <c r="L89" i="13"/>
  <c r="L54" i="13"/>
  <c r="M543" i="13"/>
  <c r="M447" i="13"/>
  <c r="M415" i="13"/>
  <c r="M383" i="13"/>
  <c r="M351" i="13"/>
  <c r="M319" i="13"/>
  <c r="M287" i="13"/>
  <c r="M177" i="13"/>
  <c r="M142" i="13"/>
  <c r="M31" i="13"/>
  <c r="L78" i="13"/>
  <c r="L62" i="13"/>
  <c r="L46" i="13"/>
  <c r="L30" i="13"/>
  <c r="L14" i="13"/>
  <c r="L71" i="13"/>
  <c r="L17" i="13"/>
  <c r="M497" i="13"/>
  <c r="M446" i="13"/>
  <c r="M414" i="13"/>
  <c r="M382" i="13"/>
  <c r="M350" i="13"/>
  <c r="M318" i="13"/>
  <c r="M286" i="13"/>
  <c r="M175" i="13"/>
  <c r="M30" i="13"/>
  <c r="L295" i="13"/>
  <c r="L279" i="13"/>
  <c r="L263" i="13"/>
  <c r="L247" i="13"/>
  <c r="L231" i="13"/>
  <c r="L215" i="13"/>
  <c r="L199" i="13"/>
  <c r="L183" i="13"/>
  <c r="L167" i="13"/>
  <c r="L151" i="13"/>
  <c r="L135" i="13"/>
  <c r="L119" i="13"/>
  <c r="L103" i="13"/>
  <c r="L87" i="13"/>
  <c r="L70" i="13"/>
  <c r="L16" i="13"/>
  <c r="M209" i="13"/>
  <c r="M174" i="13"/>
  <c r="M63" i="13"/>
  <c r="L406" i="13"/>
  <c r="L390" i="13"/>
  <c r="L374" i="13"/>
  <c r="L358" i="13"/>
  <c r="L342" i="13"/>
  <c r="L326" i="13"/>
  <c r="L310" i="13"/>
  <c r="L294" i="13"/>
  <c r="L278" i="13"/>
  <c r="L262" i="13"/>
  <c r="L246" i="13"/>
  <c r="L230" i="13"/>
  <c r="L214" i="13"/>
  <c r="L198" i="13"/>
  <c r="L182" i="13"/>
  <c r="L166" i="13"/>
  <c r="L150" i="13"/>
  <c r="L134" i="13"/>
  <c r="L118" i="13"/>
  <c r="L102" i="13"/>
  <c r="L86" i="13"/>
  <c r="M560" i="13"/>
  <c r="M495" i="13"/>
  <c r="M207" i="13"/>
  <c r="M97" i="13"/>
  <c r="M62" i="13"/>
  <c r="L32" i="13"/>
  <c r="L13" i="13"/>
  <c r="M559" i="13"/>
  <c r="M494" i="13"/>
  <c r="M241" i="13"/>
  <c r="M206" i="13"/>
  <c r="M95" i="13"/>
  <c r="L58" i="13"/>
  <c r="L42" i="13"/>
  <c r="L26" i="13"/>
  <c r="L10" i="13"/>
  <c r="L49" i="13"/>
  <c r="L12" i="13"/>
  <c r="M239" i="13"/>
  <c r="M129" i="13"/>
  <c r="M94" i="13"/>
  <c r="L48" i="13"/>
  <c r="L29" i="13"/>
  <c r="L11" i="13"/>
  <c r="M576" i="13"/>
  <c r="M513" i="13"/>
  <c r="M465" i="13"/>
  <c r="M433" i="13"/>
  <c r="M401" i="13"/>
  <c r="M369" i="13"/>
  <c r="M337" i="13"/>
  <c r="M305" i="13"/>
  <c r="M273" i="13"/>
  <c r="M238" i="13"/>
  <c r="M127" i="13"/>
  <c r="L225" i="13"/>
  <c r="L193" i="13"/>
  <c r="L81" i="13"/>
  <c r="L64" i="13"/>
  <c r="L45" i="13"/>
  <c r="L27" i="13"/>
  <c r="M511" i="13"/>
  <c r="M463" i="13"/>
  <c r="M431" i="13"/>
  <c r="M399" i="13"/>
  <c r="M367" i="13"/>
  <c r="M335" i="13"/>
  <c r="M303" i="13"/>
  <c r="M270" i="13"/>
  <c r="M159" i="13"/>
  <c r="M14" i="13"/>
  <c r="L608" i="13"/>
  <c r="L592" i="13"/>
  <c r="L192" i="13"/>
  <c r="L176" i="13"/>
  <c r="L160" i="13"/>
  <c r="L144" i="13"/>
  <c r="L128" i="13"/>
  <c r="L112" i="13"/>
  <c r="L96" i="13"/>
  <c r="L80" i="13"/>
  <c r="L44" i="13"/>
  <c r="L25" i="13"/>
  <c r="L7" i="13"/>
  <c r="M510" i="13"/>
  <c r="M462" i="13"/>
  <c r="M430" i="13"/>
  <c r="M398" i="13"/>
  <c r="M366" i="13"/>
  <c r="M334" i="13"/>
  <c r="M302" i="13"/>
  <c r="M158" i="13"/>
  <c r="M10" i="13"/>
  <c r="M373" i="13"/>
  <c r="M357" i="13"/>
  <c r="M341" i="13"/>
  <c r="M325" i="13"/>
  <c r="M309" i="13"/>
  <c r="M293" i="13"/>
  <c r="M277" i="13"/>
  <c r="M261" i="13"/>
  <c r="M245" i="13"/>
  <c r="M229" i="13"/>
  <c r="M213" i="13"/>
  <c r="M197" i="13"/>
  <c r="M181" i="13"/>
  <c r="M165" i="13"/>
  <c r="M149" i="13"/>
  <c r="M133" i="13"/>
  <c r="M117" i="13"/>
  <c r="M101" i="13"/>
  <c r="M85" i="13"/>
  <c r="M69" i="13"/>
  <c r="M53" i="13"/>
  <c r="M37" i="13"/>
  <c r="M21" i="13"/>
  <c r="L591" i="13"/>
  <c r="L191" i="13"/>
  <c r="L79" i="13"/>
  <c r="L61" i="13"/>
  <c r="L43" i="13"/>
  <c r="L6" i="13"/>
  <c r="M46" i="13"/>
  <c r="L190" i="13"/>
  <c r="L77" i="13"/>
  <c r="L60" i="13"/>
  <c r="L41" i="13"/>
  <c r="L23" i="13"/>
  <c r="M42" i="13"/>
  <c r="AK14" i="7"/>
  <c r="AK18" i="7"/>
  <c r="AP20" i="7"/>
  <c r="AR25" i="7"/>
  <c r="AR40" i="7"/>
  <c r="AR52" i="7"/>
  <c r="AR79" i="7"/>
  <c r="AK106" i="7"/>
  <c r="AK124" i="7"/>
  <c r="AK128" i="7"/>
  <c r="AL145" i="7"/>
  <c r="AR147" i="7"/>
  <c r="AR154" i="7"/>
  <c r="AP204" i="7"/>
  <c r="AL245" i="7"/>
  <c r="AR273" i="7"/>
  <c r="AL279" i="7"/>
  <c r="AP280" i="7"/>
  <c r="AK340" i="7"/>
  <c r="AR354" i="7"/>
  <c r="AR370" i="7"/>
  <c r="AK378" i="7"/>
  <c r="AR438" i="7"/>
  <c r="AP460" i="7"/>
  <c r="AR492" i="7"/>
  <c r="AM523" i="7"/>
  <c r="AM566" i="7"/>
  <c r="AP569" i="7"/>
  <c r="AR617" i="7"/>
  <c r="AP108" i="7"/>
  <c r="AL164" i="7"/>
  <c r="AL201" i="7"/>
  <c r="AK245" i="7"/>
  <c r="AK279" i="7"/>
  <c r="AL362" i="7"/>
  <c r="AL366" i="7"/>
  <c r="AK372" i="7"/>
  <c r="AL378" i="7"/>
  <c r="AR382" i="7"/>
  <c r="AL446" i="7"/>
  <c r="AK448" i="7"/>
  <c r="AR454" i="7"/>
  <c r="AR520" i="7"/>
  <c r="AR524" i="7"/>
  <c r="AP542" i="7"/>
  <c r="AK553" i="7"/>
  <c r="AR559" i="7"/>
  <c r="AK583" i="7"/>
  <c r="AP589" i="7"/>
  <c r="AR72" i="7"/>
  <c r="AR109" i="7"/>
  <c r="AM132" i="7"/>
  <c r="AR174" i="7"/>
  <c r="AK198" i="7"/>
  <c r="AK223" i="7"/>
  <c r="AL266" i="7"/>
  <c r="AL268" i="7"/>
  <c r="AL272" i="7"/>
  <c r="AM362" i="7"/>
  <c r="AK380" i="7"/>
  <c r="AR401" i="7"/>
  <c r="AK405" i="7"/>
  <c r="AL407" i="7"/>
  <c r="AL481" i="7"/>
  <c r="AK493" i="7"/>
  <c r="AM496" i="7"/>
  <c r="AK530" i="7"/>
  <c r="AL542" i="7"/>
  <c r="AL546" i="7"/>
  <c r="AL620" i="7"/>
  <c r="AK626" i="7"/>
  <c r="AK585" i="7"/>
  <c r="AL587" i="7"/>
  <c r="AK39" i="7"/>
  <c r="AR87" i="7"/>
  <c r="AL104" i="7"/>
  <c r="AK111" i="7"/>
  <c r="AR144" i="7"/>
  <c r="AR148" i="7"/>
  <c r="AM174" i="7"/>
  <c r="AR202" i="7"/>
  <c r="AR206" i="7"/>
  <c r="AL254" i="7"/>
  <c r="AL261" i="7"/>
  <c r="AK268" i="7"/>
  <c r="AR286" i="7"/>
  <c r="AR305" i="7"/>
  <c r="AL311" i="7"/>
  <c r="AM347" i="7"/>
  <c r="AR363" i="7"/>
  <c r="AK383" i="7"/>
  <c r="AL457" i="7"/>
  <c r="AL480" i="7"/>
  <c r="AK491" i="7"/>
  <c r="AR505" i="7"/>
  <c r="AL540" i="7"/>
  <c r="AP559" i="7"/>
  <c r="AR634" i="7"/>
  <c r="AP90" i="7"/>
  <c r="AP94" i="7"/>
  <c r="AM117" i="7"/>
  <c r="AR133" i="7"/>
  <c r="AL161" i="7"/>
  <c r="AK212" i="7"/>
  <c r="AR226" i="7"/>
  <c r="AR290" i="7"/>
  <c r="AL336" i="7"/>
  <c r="AL420" i="7"/>
  <c r="AL497" i="7"/>
  <c r="AK499" i="7"/>
  <c r="AP583" i="7"/>
  <c r="AP587" i="7"/>
  <c r="AK632" i="7"/>
  <c r="AP37" i="7"/>
  <c r="AL143" i="7"/>
  <c r="AM206" i="7"/>
  <c r="AM244" i="7"/>
  <c r="AL248" i="7"/>
  <c r="AK254" i="7"/>
  <c r="AP259" i="7"/>
  <c r="AP285" i="7"/>
  <c r="AL323" i="7"/>
  <c r="AP324" i="7"/>
  <c r="AR340" i="7"/>
  <c r="AK381" i="7"/>
  <c r="AK411" i="7"/>
  <c r="AK422" i="7"/>
  <c r="AK480" i="7"/>
  <c r="AL488" i="7"/>
  <c r="AK527" i="7"/>
  <c r="AL529" i="7"/>
  <c r="AK545" i="7"/>
  <c r="AL547" i="7"/>
  <c r="AL609" i="7"/>
  <c r="AL617" i="7"/>
  <c r="AM61" i="7"/>
  <c r="AP202" i="7"/>
  <c r="AM509" i="7"/>
  <c r="AM533" i="7"/>
  <c r="AM564" i="7"/>
  <c r="AM607" i="7"/>
  <c r="AP607" i="7"/>
  <c r="AR103" i="7"/>
  <c r="AR156" i="7"/>
  <c r="AM352" i="7"/>
  <c r="AM391" i="7"/>
  <c r="AR456" i="7"/>
  <c r="AR514" i="7"/>
  <c r="AR526" i="7"/>
  <c r="AM615" i="7"/>
  <c r="AK151" i="7"/>
  <c r="AR164" i="7"/>
  <c r="AK293" i="7"/>
  <c r="AK454" i="7"/>
  <c r="G504" i="13"/>
  <c r="G248" i="13"/>
  <c r="AR138" i="7"/>
  <c r="AK225" i="7"/>
  <c r="AR5" i="7"/>
  <c r="AR9" i="7"/>
  <c r="AK17" i="7"/>
  <c r="AP50" i="7"/>
  <c r="AK68" i="7"/>
  <c r="AM156" i="7"/>
  <c r="AR184" i="7"/>
  <c r="AP234" i="7"/>
  <c r="AP290" i="7"/>
  <c r="AR322" i="7"/>
  <c r="AM333" i="7"/>
  <c r="AP337" i="7"/>
  <c r="AP463" i="7"/>
  <c r="AR487" i="7"/>
  <c r="AR538" i="7"/>
  <c r="AM581" i="7"/>
  <c r="AM604" i="7"/>
  <c r="G423" i="13"/>
  <c r="G167" i="13"/>
  <c r="AR24" i="7"/>
  <c r="G598" i="13"/>
  <c r="G342" i="13"/>
  <c r="G86" i="13"/>
  <c r="AL5" i="7"/>
  <c r="AM39" i="7"/>
  <c r="AM47" i="7"/>
  <c r="AK87" i="7"/>
  <c r="AR89" i="7"/>
  <c r="AL110" i="7"/>
  <c r="AK148" i="7"/>
  <c r="AM184" i="7"/>
  <c r="AK202" i="7"/>
  <c r="AP227" i="7"/>
  <c r="AR228" i="7"/>
  <c r="AR239" i="7"/>
  <c r="AK244" i="7"/>
  <c r="AL284" i="7"/>
  <c r="AK305" i="7"/>
  <c r="AM353" i="7"/>
  <c r="AR411" i="7"/>
  <c r="AL428" i="7"/>
  <c r="AL449" i="7"/>
  <c r="AR457" i="7"/>
  <c r="AM476" i="7"/>
  <c r="AR480" i="7"/>
  <c r="AL499" i="7"/>
  <c r="AR523" i="7"/>
  <c r="AR531" i="7"/>
  <c r="AM542" i="7"/>
  <c r="AR566" i="7"/>
  <c r="AR570" i="7"/>
  <c r="AR578" i="7"/>
  <c r="AM589" i="7"/>
  <c r="AM620" i="7"/>
  <c r="AL183" i="7"/>
  <c r="AL195" i="7"/>
  <c r="AL199" i="7"/>
  <c r="AL271" i="7"/>
  <c r="AL352" i="7"/>
  <c r="AK484" i="7"/>
  <c r="AR10" i="7"/>
  <c r="AM31" i="7"/>
  <c r="AM35" i="7"/>
  <c r="AP54" i="7"/>
  <c r="AM80" i="7"/>
  <c r="AR84" i="7"/>
  <c r="AM112" i="7"/>
  <c r="AM116" i="7"/>
  <c r="AM142" i="7"/>
  <c r="AM185" i="7"/>
  <c r="AR193" i="7"/>
  <c r="AP196" i="7"/>
  <c r="AM204" i="7"/>
  <c r="AP219" i="7"/>
  <c r="AR220" i="7"/>
  <c r="AM262" i="7"/>
  <c r="AR295" i="7"/>
  <c r="AM298" i="7"/>
  <c r="AR306" i="7"/>
  <c r="AR348" i="7"/>
  <c r="AM351" i="7"/>
  <c r="AP425" i="7"/>
  <c r="AM10" i="7"/>
  <c r="AO10" i="7"/>
  <c r="AK16" i="7"/>
  <c r="AR29" i="7"/>
  <c r="AK40" i="7"/>
  <c r="AK44" i="7"/>
  <c r="AM51" i="7"/>
  <c r="AK89" i="7"/>
  <c r="AR95" i="7"/>
  <c r="AR106" i="7"/>
  <c r="AR113" i="7"/>
  <c r="AK122" i="7"/>
  <c r="AK130" i="7"/>
  <c r="AM135" i="7"/>
  <c r="AR143" i="7"/>
  <c r="AM153" i="7"/>
  <c r="AK171" i="7"/>
  <c r="AK205" i="7"/>
  <c r="AR205" i="7"/>
  <c r="AL215" i="7"/>
  <c r="AK224" i="7"/>
  <c r="AL231" i="7"/>
  <c r="AK235" i="7"/>
  <c r="AM241" i="7"/>
  <c r="AP241" i="7"/>
  <c r="AL283" i="7"/>
  <c r="AR285" i="7"/>
  <c r="AR333" i="7"/>
  <c r="AM397" i="7"/>
  <c r="AP397" i="7"/>
  <c r="AR408" i="7"/>
  <c r="AR419" i="7"/>
  <c r="AM422" i="7"/>
  <c r="AR426" i="7"/>
  <c r="AR453" i="7"/>
  <c r="AR533" i="7"/>
  <c r="AM7" i="7"/>
  <c r="AP14" i="7"/>
  <c r="AR26" i="7"/>
  <c r="AL40" i="7"/>
  <c r="AK42" i="7"/>
  <c r="AR63" i="7"/>
  <c r="AP66" i="7"/>
  <c r="AR99" i="7"/>
  <c r="AP105" i="7"/>
  <c r="AP112" i="7"/>
  <c r="AP116" i="7"/>
  <c r="AK119" i="7"/>
  <c r="AR125" i="7"/>
  <c r="AR136" i="7"/>
  <c r="AK169" i="7"/>
  <c r="AL175" i="7"/>
  <c r="AR179" i="7"/>
  <c r="AK207" i="7"/>
  <c r="AP220" i="7"/>
  <c r="AL224" i="7"/>
  <c r="AK226" i="7"/>
  <c r="AM238" i="7"/>
  <c r="AM292" i="7"/>
  <c r="AM314" i="7"/>
  <c r="AR345" i="7"/>
  <c r="AR412" i="7"/>
  <c r="AK421" i="7"/>
  <c r="AL440" i="7"/>
  <c r="AK446" i="7"/>
  <c r="AM472" i="7"/>
  <c r="AR522" i="7"/>
  <c r="AM529" i="7"/>
  <c r="AK566" i="7"/>
  <c r="AL568" i="7"/>
  <c r="AL640" i="7"/>
  <c r="AK642" i="7"/>
  <c r="AR11" i="7"/>
  <c r="AR15" i="7"/>
  <c r="AL70" i="7"/>
  <c r="AK83" i="7"/>
  <c r="AK92" i="7"/>
  <c r="AM106" i="7"/>
  <c r="AL142" i="7"/>
  <c r="AK145" i="7"/>
  <c r="AL147" i="7"/>
  <c r="AK192" i="7"/>
  <c r="AM205" i="7"/>
  <c r="AM213" i="7"/>
  <c r="AM245" i="7"/>
  <c r="AK258" i="7"/>
  <c r="AM274" i="7"/>
  <c r="AK276" i="7"/>
  <c r="AM281" i="7"/>
  <c r="AM289" i="7"/>
  <c r="AM322" i="7"/>
  <c r="AK324" i="7"/>
  <c r="AL370" i="7"/>
  <c r="AL387" i="7"/>
  <c r="AK403" i="7"/>
  <c r="AK495" i="7"/>
  <c r="AP354" i="7"/>
  <c r="AO354" i="7"/>
  <c r="AK13" i="7"/>
  <c r="AR19" i="7"/>
  <c r="AR33" i="7"/>
  <c r="AL39" i="7"/>
  <c r="AR56" i="7"/>
  <c r="AK96" i="7"/>
  <c r="AM99" i="7"/>
  <c r="AK127" i="7"/>
  <c r="AP153" i="7"/>
  <c r="AL170" i="7"/>
  <c r="AP171" i="7"/>
  <c r="AL223" i="7"/>
  <c r="AK230" i="7"/>
  <c r="AL234" i="7"/>
  <c r="AP235" i="7"/>
  <c r="AK239" i="7"/>
  <c r="AL253" i="7"/>
  <c r="AL288" i="7"/>
  <c r="AK294" i="7"/>
  <c r="AP386" i="7"/>
  <c r="AP482" i="7"/>
  <c r="AL491" i="7"/>
  <c r="AK508" i="7"/>
  <c r="AP306" i="7"/>
  <c r="AO306" i="7"/>
  <c r="AM15" i="7"/>
  <c r="AK35" i="7"/>
  <c r="AL37" i="7"/>
  <c r="AL62" i="7"/>
  <c r="AM67" i="7"/>
  <c r="AM74" i="7"/>
  <c r="AM85" i="7"/>
  <c r="AM110" i="7"/>
  <c r="AK112" i="7"/>
  <c r="AK116" i="7"/>
  <c r="AL120" i="7"/>
  <c r="AK137" i="7"/>
  <c r="AK144" i="7"/>
  <c r="AP147" i="7"/>
  <c r="AK185" i="7"/>
  <c r="AL193" i="7"/>
  <c r="AP249" i="7"/>
  <c r="AL252" i="7"/>
  <c r="AL259" i="7"/>
  <c r="AM278" i="7"/>
  <c r="AL306" i="7"/>
  <c r="AM356" i="7"/>
  <c r="AP438" i="7"/>
  <c r="AK467" i="7"/>
  <c r="AL473" i="7"/>
  <c r="AK475" i="7"/>
  <c r="AM510" i="7"/>
  <c r="AM19" i="7"/>
  <c r="AP67" i="7"/>
  <c r="AM78" i="7"/>
  <c r="AR122" i="7"/>
  <c r="AM133" i="7"/>
  <c r="AR180" i="7"/>
  <c r="AR195" i="7"/>
  <c r="AM271" i="7"/>
  <c r="AM293" i="7"/>
  <c r="AM409" i="7"/>
  <c r="AP423" i="7"/>
  <c r="AM427" i="7"/>
  <c r="AL445" i="7"/>
  <c r="AP588" i="7"/>
  <c r="AL55" i="7"/>
  <c r="AK155" i="7"/>
  <c r="AL186" i="7"/>
  <c r="AK189" i="7"/>
  <c r="AL191" i="7"/>
  <c r="AK241" i="7"/>
  <c r="AK248" i="7"/>
  <c r="AL250" i="7"/>
  <c r="AK272" i="7"/>
  <c r="AL333" i="7"/>
  <c r="AK410" i="7"/>
  <c r="AL464" i="7"/>
  <c r="AL503" i="7"/>
  <c r="AK10" i="7"/>
  <c r="AL32" i="7"/>
  <c r="AK135" i="7"/>
  <c r="AR20" i="7"/>
  <c r="AK25" i="7"/>
  <c r="AP30" i="7"/>
  <c r="AR34" i="7"/>
  <c r="AP60" i="7"/>
  <c r="AR68" i="7"/>
  <c r="AR86" i="7"/>
  <c r="AK109" i="7"/>
  <c r="AR115" i="7"/>
  <c r="AR134" i="7"/>
  <c r="AK139" i="7"/>
  <c r="AM148" i="7"/>
  <c r="AK167" i="7"/>
  <c r="AK182" i="7"/>
  <c r="AL184" i="7"/>
  <c r="AL218" i="7"/>
  <c r="AR222" i="7"/>
  <c r="AM236" i="7"/>
  <c r="AP246" i="7"/>
  <c r="AR335" i="7"/>
  <c r="AM413" i="7"/>
  <c r="AL417" i="7"/>
  <c r="AR428" i="7"/>
  <c r="AR496" i="7"/>
  <c r="AK509" i="7"/>
  <c r="AM585" i="7"/>
  <c r="AK587" i="7"/>
  <c r="AK318" i="7"/>
  <c r="AL369" i="7"/>
  <c r="AL373" i="7"/>
  <c r="AK32" i="7"/>
  <c r="AK55" i="7"/>
  <c r="AK201" i="7"/>
  <c r="AL233" i="7"/>
  <c r="AM5" i="7"/>
  <c r="AM27" i="7"/>
  <c r="AM34" i="7"/>
  <c r="AM38" i="7"/>
  <c r="AM68" i="7"/>
  <c r="AP68" i="7"/>
  <c r="AM79" i="7"/>
  <c r="AR83" i="7"/>
  <c r="AM93" i="7"/>
  <c r="AM115" i="7"/>
  <c r="AP126" i="7"/>
  <c r="AP130" i="7"/>
  <c r="AR159" i="7"/>
  <c r="AP180" i="7"/>
  <c r="AP199" i="7"/>
  <c r="AP218" i="7"/>
  <c r="AR219" i="7"/>
  <c r="AM261" i="7"/>
  <c r="AM272" i="7"/>
  <c r="AM279" i="7"/>
  <c r="AM297" i="7"/>
  <c r="AR309" i="7"/>
  <c r="AM316" i="7"/>
  <c r="AR328" i="7"/>
  <c r="AR339" i="7"/>
  <c r="AR343" i="7"/>
  <c r="AR347" i="7"/>
  <c r="AR403" i="7"/>
  <c r="AR407" i="7"/>
  <c r="AR414" i="7"/>
  <c r="AK498" i="7"/>
  <c r="AK560" i="7"/>
  <c r="AL642" i="7"/>
  <c r="AL34" i="7"/>
  <c r="AK63" i="7"/>
  <c r="AL72" i="7"/>
  <c r="AP86" i="7"/>
  <c r="AK136" i="7"/>
  <c r="AK157" i="7"/>
  <c r="AP222" i="7"/>
  <c r="AK228" i="7"/>
  <c r="AL276" i="7"/>
  <c r="AK387" i="7"/>
  <c r="AL504" i="7"/>
  <c r="AK607" i="7"/>
  <c r="AK630" i="7"/>
  <c r="AL27" i="7"/>
  <c r="AK186" i="7"/>
  <c r="AR35" i="7"/>
  <c r="AL45" i="7"/>
  <c r="AL56" i="7"/>
  <c r="AL60" i="7"/>
  <c r="AM65" i="7"/>
  <c r="AP65" i="7"/>
  <c r="AR142" i="7"/>
  <c r="AP144" i="7"/>
  <c r="AK154" i="7"/>
  <c r="AM159" i="7"/>
  <c r="AP169" i="7"/>
  <c r="AR170" i="7"/>
  <c r="AK179" i="7"/>
  <c r="AL206" i="7"/>
  <c r="AK221" i="7"/>
  <c r="AL225" i="7"/>
  <c r="AL239" i="7"/>
  <c r="AM251" i="7"/>
  <c r="AK253" i="7"/>
  <c r="AL282" i="7"/>
  <c r="AL304" i="7"/>
  <c r="AP305" i="7"/>
  <c r="AK311" i="7"/>
  <c r="AR378" i="7"/>
  <c r="AL380" i="7"/>
  <c r="AL384" i="7"/>
  <c r="AR478" i="7"/>
  <c r="AK518" i="7"/>
  <c r="AR555" i="7"/>
  <c r="AK594" i="7"/>
  <c r="AM527" i="7"/>
  <c r="AP530" i="7"/>
  <c r="AL533" i="7"/>
  <c r="AK546" i="7"/>
  <c r="AL574" i="7"/>
  <c r="AL596" i="7"/>
  <c r="AL618" i="7"/>
  <c r="AR627" i="7"/>
  <c r="G59" i="13"/>
  <c r="G43" i="13"/>
  <c r="AK496" i="7"/>
  <c r="AR498" i="7"/>
  <c r="AR550" i="7"/>
  <c r="AR598" i="7"/>
  <c r="AM616" i="7"/>
  <c r="AK507" i="7"/>
  <c r="AL509" i="7"/>
  <c r="AL515" i="7"/>
  <c r="AK559" i="7"/>
  <c r="AK582" i="7"/>
  <c r="AL593" i="7"/>
  <c r="G632" i="13"/>
  <c r="G616" i="13"/>
  <c r="G600" i="13"/>
  <c r="G584" i="13"/>
  <c r="G568" i="13"/>
  <c r="G552" i="13"/>
  <c r="G536" i="13"/>
  <c r="G520" i="13"/>
  <c r="G488" i="13"/>
  <c r="G472" i="13"/>
  <c r="G456" i="13"/>
  <c r="G440" i="13"/>
  <c r="G424" i="13"/>
  <c r="G408" i="13"/>
  <c r="G392" i="13"/>
  <c r="G376" i="13"/>
  <c r="G360" i="13"/>
  <c r="G344" i="13"/>
  <c r="G328" i="13"/>
  <c r="G312" i="13"/>
  <c r="G296" i="13"/>
  <c r="G280" i="13"/>
  <c r="G264" i="13"/>
  <c r="G232" i="13"/>
  <c r="G216" i="13"/>
  <c r="G200" i="13"/>
  <c r="G184" i="13"/>
  <c r="G168" i="13"/>
  <c r="G152" i="13"/>
  <c r="G136" i="13"/>
  <c r="G120" i="13"/>
  <c r="G104" i="13"/>
  <c r="G88" i="13"/>
  <c r="G72" i="13"/>
  <c r="G56" i="13"/>
  <c r="G40" i="13"/>
  <c r="G8" i="13"/>
  <c r="AR371" i="7"/>
  <c r="AK416" i="7"/>
  <c r="AP439" i="7"/>
  <c r="AL462" i="7"/>
  <c r="AR513" i="7"/>
  <c r="AR569" i="7"/>
  <c r="AP572" i="7"/>
  <c r="AR588" i="7"/>
  <c r="AL635" i="7"/>
  <c r="AK637" i="7"/>
  <c r="G631" i="13"/>
  <c r="G615" i="13"/>
  <c r="G599" i="13"/>
  <c r="G583" i="13"/>
  <c r="G567" i="13"/>
  <c r="G551" i="13"/>
  <c r="G535" i="13"/>
  <c r="G519" i="13"/>
  <c r="G503" i="13"/>
  <c r="G487" i="13"/>
  <c r="G471" i="13"/>
  <c r="G455" i="13"/>
  <c r="G439" i="13"/>
  <c r="G407" i="13"/>
  <c r="G391" i="13"/>
  <c r="G375" i="13"/>
  <c r="G359" i="13"/>
  <c r="G343" i="13"/>
  <c r="G327" i="13"/>
  <c r="G311" i="13"/>
  <c r="G295" i="13"/>
  <c r="G279" i="13"/>
  <c r="G263" i="13"/>
  <c r="G247" i="13"/>
  <c r="G231" i="13"/>
  <c r="G215" i="13"/>
  <c r="G183" i="13"/>
  <c r="G151" i="13"/>
  <c r="G135" i="13"/>
  <c r="G119" i="13"/>
  <c r="G103" i="13"/>
  <c r="G87" i="13"/>
  <c r="G55" i="13"/>
  <c r="G7" i="13"/>
  <c r="AM250" i="7"/>
  <c r="AR268" i="7"/>
  <c r="AP296" i="7"/>
  <c r="AR308" i="7"/>
  <c r="AR312" i="7"/>
  <c r="AL319" i="7"/>
  <c r="AM330" i="7"/>
  <c r="AP344" i="7"/>
  <c r="AP355" i="7"/>
  <c r="AK356" i="7"/>
  <c r="AM363" i="7"/>
  <c r="AM382" i="7"/>
  <c r="AL402" i="7"/>
  <c r="AM407" i="7"/>
  <c r="AM443" i="7"/>
  <c r="AM451" i="7"/>
  <c r="AR470" i="7"/>
  <c r="AR477" i="7"/>
  <c r="AL479" i="7"/>
  <c r="AL486" i="7"/>
  <c r="AP494" i="7"/>
  <c r="AK504" i="7"/>
  <c r="AL508" i="7"/>
  <c r="AK529" i="7"/>
  <c r="AR543" i="7"/>
  <c r="AM554" i="7"/>
  <c r="AM565" i="7"/>
  <c r="AR573" i="7"/>
  <c r="AK586" i="7"/>
  <c r="AM606" i="7"/>
  <c r="AL608" i="7"/>
  <c r="AM613" i="7"/>
  <c r="AM617" i="7"/>
  <c r="AR628" i="7"/>
  <c r="AP631" i="7"/>
  <c r="AL639" i="7"/>
  <c r="G630" i="13"/>
  <c r="G614" i="13"/>
  <c r="G582" i="13"/>
  <c r="G566" i="13"/>
  <c r="G550" i="13"/>
  <c r="G534" i="13"/>
  <c r="G518" i="13"/>
  <c r="G502" i="13"/>
  <c r="G486" i="13"/>
  <c r="G470" i="13"/>
  <c r="G454" i="13"/>
  <c r="G438" i="13"/>
  <c r="G422" i="13"/>
  <c r="G406" i="13"/>
  <c r="G390" i="13"/>
  <c r="G374" i="13"/>
  <c r="G358" i="13"/>
  <c r="G326" i="13"/>
  <c r="G310" i="13"/>
  <c r="G294" i="13"/>
  <c r="G278" i="13"/>
  <c r="G262" i="13"/>
  <c r="G246" i="13"/>
  <c r="G230" i="13"/>
  <c r="G214" i="13"/>
  <c r="G198" i="13"/>
  <c r="G182" i="13"/>
  <c r="G166" i="13"/>
  <c r="G150" i="13"/>
  <c r="G134" i="13"/>
  <c r="G118" i="13"/>
  <c r="G102" i="13"/>
  <c r="G70" i="13"/>
  <c r="G54" i="13"/>
  <c r="G38" i="13"/>
  <c r="G22" i="13"/>
  <c r="G6" i="13"/>
  <c r="AP304" i="7"/>
  <c r="AL308" i="7"/>
  <c r="AK321" i="7"/>
  <c r="AM334" i="7"/>
  <c r="AK351" i="7"/>
  <c r="AL358" i="7"/>
  <c r="AP367" i="7"/>
  <c r="AR368" i="7"/>
  <c r="AK377" i="7"/>
  <c r="AR390" i="7"/>
  <c r="AK395" i="7"/>
  <c r="AL406" i="7"/>
  <c r="AK409" i="7"/>
  <c r="AK438" i="7"/>
  <c r="AK457" i="7"/>
  <c r="AL461" i="7"/>
  <c r="AP462" i="7"/>
  <c r="AK463" i="7"/>
  <c r="AL470" i="7"/>
  <c r="AL474" i="7"/>
  <c r="AL484" i="7"/>
  <c r="AL501" i="7"/>
  <c r="AK523" i="7"/>
  <c r="AL531" i="7"/>
  <c r="AM558" i="7"/>
  <c r="AL577" i="7"/>
  <c r="AM588" i="7"/>
  <c r="AP591" i="7"/>
  <c r="AL616" i="7"/>
  <c r="AM624" i="7"/>
  <c r="AM599" i="7"/>
  <c r="AM610" i="7"/>
  <c r="AP603" i="7"/>
  <c r="AP614" i="7"/>
  <c r="AR633" i="7"/>
  <c r="AK550" i="7"/>
  <c r="AP581" i="7"/>
  <c r="AR611" i="7"/>
  <c r="AR622" i="7"/>
  <c r="G7" i="10"/>
  <c r="AM339" i="7"/>
  <c r="AL343" i="7"/>
  <c r="AL416" i="7"/>
  <c r="AM419" i="7"/>
  <c r="AM500" i="7"/>
  <c r="AR504" i="7"/>
  <c r="AR515" i="7"/>
  <c r="AR519" i="7"/>
  <c r="AM530" i="7"/>
  <c r="AP533" i="7"/>
  <c r="AM552" i="7"/>
  <c r="AR556" i="7"/>
  <c r="AP562" i="7"/>
  <c r="AR567" i="7"/>
  <c r="AR586" i="7"/>
  <c r="AR590" i="7"/>
  <c r="AL611" i="7"/>
  <c r="AK617" i="7"/>
  <c r="AM629" i="7"/>
  <c r="AM633" i="7"/>
  <c r="AL637" i="7"/>
  <c r="AK303" i="7"/>
  <c r="AM306" i="7"/>
  <c r="AL331" i="7"/>
  <c r="AM336" i="7"/>
  <c r="AM354" i="7"/>
  <c r="AL360" i="7"/>
  <c r="AL368" i="7"/>
  <c r="AK386" i="7"/>
  <c r="AL395" i="7"/>
  <c r="AL422" i="7"/>
  <c r="AR431" i="7"/>
  <c r="AK470" i="7"/>
  <c r="AK474" i="7"/>
  <c r="AK477" i="7"/>
  <c r="AR486" i="7"/>
  <c r="AK501" i="7"/>
  <c r="AR501" i="7"/>
  <c r="AP514" i="7"/>
  <c r="AM519" i="7"/>
  <c r="AR527" i="7"/>
  <c r="AK532" i="7"/>
  <c r="AR534" i="7"/>
  <c r="AL545" i="7"/>
  <c r="AK547" i="7"/>
  <c r="AR560" i="7"/>
  <c r="AK581" i="7"/>
  <c r="AR612" i="7"/>
  <c r="AP615" i="7"/>
  <c r="AK616" i="7"/>
  <c r="AM626" i="7"/>
  <c r="AR630" i="7"/>
  <c r="AR8" i="7"/>
  <c r="AP13" i="7"/>
  <c r="AM14" i="7"/>
  <c r="AO14" i="7"/>
  <c r="AR27" i="7"/>
  <c r="AM43" i="7"/>
  <c r="AR47" i="7"/>
  <c r="AP49" i="7"/>
  <c r="AM50" i="7"/>
  <c r="AP53" i="7"/>
  <c r="AM60" i="7"/>
  <c r="AM66" i="7"/>
  <c r="AR73" i="7"/>
  <c r="AM95" i="7"/>
  <c r="AM108" i="7"/>
  <c r="AM124" i="7"/>
  <c r="AP134" i="7"/>
  <c r="AM137" i="7"/>
  <c r="AM140" i="7"/>
  <c r="AP158" i="7"/>
  <c r="AP164" i="7"/>
  <c r="AM180" i="7"/>
  <c r="AP203" i="7"/>
  <c r="AR204" i="7"/>
  <c r="AM217" i="7"/>
  <c r="AM224" i="7"/>
  <c r="AM246" i="7"/>
  <c r="AO246" i="7"/>
  <c r="AM249" i="7"/>
  <c r="AM259" i="7"/>
  <c r="AM328" i="7"/>
  <c r="AM516" i="7"/>
  <c r="AP516" i="7"/>
  <c r="AO487" i="7"/>
  <c r="AP487" i="7"/>
  <c r="G635" i="13"/>
  <c r="G619" i="13"/>
  <c r="G603" i="13"/>
  <c r="G587" i="13"/>
  <c r="G571" i="13"/>
  <c r="G555" i="13"/>
  <c r="G539" i="13"/>
  <c r="G523" i="13"/>
  <c r="G507" i="13"/>
  <c r="G491" i="13"/>
  <c r="G475" i="13"/>
  <c r="G459" i="13"/>
  <c r="G443" i="13"/>
  <c r="G427" i="13"/>
  <c r="G411" i="13"/>
  <c r="G395" i="13"/>
  <c r="G379" i="13"/>
  <c r="G363" i="13"/>
  <c r="G347" i="13"/>
  <c r="G331" i="13"/>
  <c r="G315" i="13"/>
  <c r="G299" i="13"/>
  <c r="G283" i="13"/>
  <c r="G267" i="13"/>
  <c r="G251" i="13"/>
  <c r="G235" i="13"/>
  <c r="G219" i="13"/>
  <c r="G203" i="13"/>
  <c r="G187" i="13"/>
  <c r="G171" i="13"/>
  <c r="G155" i="13"/>
  <c r="G139" i="13"/>
  <c r="G123" i="13"/>
  <c r="G107" i="13"/>
  <c r="G91" i="13"/>
  <c r="G75" i="13"/>
  <c r="G27" i="13"/>
  <c r="G11" i="13"/>
  <c r="AM33" i="7"/>
  <c r="AP33" i="7"/>
  <c r="AR51" i="7"/>
  <c r="AR54" i="7"/>
  <c r="AR57" i="7"/>
  <c r="AM63" i="7"/>
  <c r="AR77" i="7"/>
  <c r="AM83" i="7"/>
  <c r="AP83" i="7"/>
  <c r="AM86" i="7"/>
  <c r="AM89" i="7"/>
  <c r="AM102" i="7"/>
  <c r="AP149" i="7"/>
  <c r="AR150" i="7"/>
  <c r="AR165" i="7"/>
  <c r="AR168" i="7"/>
  <c r="AR171" i="7"/>
  <c r="AR187" i="7"/>
  <c r="AM190" i="7"/>
  <c r="AM207" i="7"/>
  <c r="AR211" i="7"/>
  <c r="AR218" i="7"/>
  <c r="AP221" i="7"/>
  <c r="AK236" i="7"/>
  <c r="AP240" i="7"/>
  <c r="AR250" i="7"/>
  <c r="AM253" i="7"/>
  <c r="AK274" i="7"/>
  <c r="AP275" i="7"/>
  <c r="AO275" i="7"/>
  <c r="AM300" i="7"/>
  <c r="AM325" i="7"/>
  <c r="AK408" i="7"/>
  <c r="AR424" i="7"/>
  <c r="AR471" i="7"/>
  <c r="AR595" i="7"/>
  <c r="AL101" i="7"/>
  <c r="AL117" i="7"/>
  <c r="AK153" i="7"/>
  <c r="AP253" i="7"/>
  <c r="AO253" i="7"/>
  <c r="AL318" i="7"/>
  <c r="AL364" i="7"/>
  <c r="AL26" i="7"/>
  <c r="AL46" i="7"/>
  <c r="AM21" i="7"/>
  <c r="AP36" i="7"/>
  <c r="AM44" i="7"/>
  <c r="AM54" i="7"/>
  <c r="AR70" i="7"/>
  <c r="AM96" i="7"/>
  <c r="AP96" i="7"/>
  <c r="AP125" i="7"/>
  <c r="AM128" i="7"/>
  <c r="AR135" i="7"/>
  <c r="AM141" i="7"/>
  <c r="AP141" i="7"/>
  <c r="AM147" i="7"/>
  <c r="AO147" i="7"/>
  <c r="AR153" i="7"/>
  <c r="AM162" i="7"/>
  <c r="AM165" i="7"/>
  <c r="AM168" i="7"/>
  <c r="AM171" i="7"/>
  <c r="AM187" i="7"/>
  <c r="AM197" i="7"/>
  <c r="AR225" i="7"/>
  <c r="AR232" i="7"/>
  <c r="AM235" i="7"/>
  <c r="AR241" i="7"/>
  <c r="AR244" i="7"/>
  <c r="AR247" i="7"/>
  <c r="AR297" i="7"/>
  <c r="AP328" i="7"/>
  <c r="AR450" i="7"/>
  <c r="AP541" i="7"/>
  <c r="AO541" i="7"/>
  <c r="AP594" i="7"/>
  <c r="AL641" i="7"/>
  <c r="AO283" i="7"/>
  <c r="AP283" i="7"/>
  <c r="AR12" i="7"/>
  <c r="AP15" i="7"/>
  <c r="AR31" i="7"/>
  <c r="AK38" i="7"/>
  <c r="AR45" i="7"/>
  <c r="AR58" i="7"/>
  <c r="AP64" i="7"/>
  <c r="AR81" i="7"/>
  <c r="AR90" i="7"/>
  <c r="AR100" i="7"/>
  <c r="AP115" i="7"/>
  <c r="AL121" i="7"/>
  <c r="AL131" i="7"/>
  <c r="AP156" i="7"/>
  <c r="AK160" i="7"/>
  <c r="AR188" i="7"/>
  <c r="AK216" i="7"/>
  <c r="AL243" i="7"/>
  <c r="AK284" i="7"/>
  <c r="AP300" i="7"/>
  <c r="AP393" i="7"/>
  <c r="AR461" i="7"/>
  <c r="AL630" i="7"/>
  <c r="AK50" i="7"/>
  <c r="AM87" i="7"/>
  <c r="AL89" i="7"/>
  <c r="AR97" i="7"/>
  <c r="AM103" i="7"/>
  <c r="AL111" i="7"/>
  <c r="AR116" i="7"/>
  <c r="AP135" i="7"/>
  <c r="AK143" i="7"/>
  <c r="AM144" i="7"/>
  <c r="AK152" i="7"/>
  <c r="AR157" i="7"/>
  <c r="AR163" i="7"/>
  <c r="AR172" i="7"/>
  <c r="AR182" i="7"/>
  <c r="AL190" i="7"/>
  <c r="AK193" i="7"/>
  <c r="AM232" i="7"/>
  <c r="AK234" i="7"/>
  <c r="AK237" i="7"/>
  <c r="AK259" i="7"/>
  <c r="AK264" i="7"/>
  <c r="AK265" i="7"/>
  <c r="AR267" i="7"/>
  <c r="AR284" i="7"/>
  <c r="AM305" i="7"/>
  <c r="AO305" i="7"/>
  <c r="AO361" i="7"/>
  <c r="AP361" i="7"/>
  <c r="AK367" i="7"/>
  <c r="AK369" i="7"/>
  <c r="AR447" i="7"/>
  <c r="AL502" i="7"/>
  <c r="AR507" i="7"/>
  <c r="AP528" i="7"/>
  <c r="AK36" i="7"/>
  <c r="AK66" i="7"/>
  <c r="AP73" i="7"/>
  <c r="AL83" i="7"/>
  <c r="AR6" i="7"/>
  <c r="AL11" i="7"/>
  <c r="AM12" i="7"/>
  <c r="AL24" i="7"/>
  <c r="AP28" i="7"/>
  <c r="AK30" i="7"/>
  <c r="AR42" i="7"/>
  <c r="AP44" i="7"/>
  <c r="AL47" i="7"/>
  <c r="AM48" i="7"/>
  <c r="AP57" i="7"/>
  <c r="AK65" i="7"/>
  <c r="AK69" i="7"/>
  <c r="AR71" i="7"/>
  <c r="AL73" i="7"/>
  <c r="AP74" i="7"/>
  <c r="AL80" i="7"/>
  <c r="AM100" i="7"/>
  <c r="AP100" i="7"/>
  <c r="AK105" i="7"/>
  <c r="AK113" i="7"/>
  <c r="AK123" i="7"/>
  <c r="AK131" i="7"/>
  <c r="AK133" i="7"/>
  <c r="AK149" i="7"/>
  <c r="AL174" i="7"/>
  <c r="AK177" i="7"/>
  <c r="AR236" i="7"/>
  <c r="AM254" i="7"/>
  <c r="AM280" i="7"/>
  <c r="AR302" i="7"/>
  <c r="AM312" i="7"/>
  <c r="AP312" i="7"/>
  <c r="AR440" i="7"/>
  <c r="AK49" i="7"/>
  <c r="AL57" i="7"/>
  <c r="AK91" i="7"/>
  <c r="AP166" i="7"/>
  <c r="AK497" i="7"/>
  <c r="AP574" i="7"/>
  <c r="AR579" i="7"/>
  <c r="AR600" i="7"/>
  <c r="AO228" i="7"/>
  <c r="AP228" i="7"/>
  <c r="AL77" i="7"/>
  <c r="AL141" i="7"/>
  <c r="AL197" i="7"/>
  <c r="AL228" i="7"/>
  <c r="AK8" i="7"/>
  <c r="AR13" i="7"/>
  <c r="AK27" i="7"/>
  <c r="AP38" i="7"/>
  <c r="AM52" i="7"/>
  <c r="AP52" i="7"/>
  <c r="AL61" i="7"/>
  <c r="AR62" i="7"/>
  <c r="AL75" i="7"/>
  <c r="AP78" i="7"/>
  <c r="AM94" i="7"/>
  <c r="AO94" i="7"/>
  <c r="AK99" i="7"/>
  <c r="AK104" i="7"/>
  <c r="AL107" i="7"/>
  <c r="AL123" i="7"/>
  <c r="AM126" i="7"/>
  <c r="AR130" i="7"/>
  <c r="AR145" i="7"/>
  <c r="AP148" i="7"/>
  <c r="AL156" i="7"/>
  <c r="AM157" i="7"/>
  <c r="AM163" i="7"/>
  <c r="AK173" i="7"/>
  <c r="AK174" i="7"/>
  <c r="AL181" i="7"/>
  <c r="AP182" i="7"/>
  <c r="AK184" i="7"/>
  <c r="AR189" i="7"/>
  <c r="AL209" i="7"/>
  <c r="AP212" i="7"/>
  <c r="AR223" i="7"/>
  <c r="AM226" i="7"/>
  <c r="AP238" i="7"/>
  <c r="AP251" i="7"/>
  <c r="AR281" i="7"/>
  <c r="AR327" i="7"/>
  <c r="AM348" i="7"/>
  <c r="AR366" i="7"/>
  <c r="AP493" i="7"/>
  <c r="AR497" i="7"/>
  <c r="AP575" i="7"/>
  <c r="AO596" i="7"/>
  <c r="AP596" i="7"/>
  <c r="AK598" i="7"/>
  <c r="AO621" i="7"/>
  <c r="AP621" i="7"/>
  <c r="AL96" i="7"/>
  <c r="AS18" i="7"/>
  <c r="AK46" i="7"/>
  <c r="AK56" i="7"/>
  <c r="AK67" i="7"/>
  <c r="AK77" i="7"/>
  <c r="AL82" i="7"/>
  <c r="AL112" i="7"/>
  <c r="AK125" i="7"/>
  <c r="AL130" i="7"/>
  <c r="AL138" i="7"/>
  <c r="AK141" i="7"/>
  <c r="AL151" i="7"/>
  <c r="AK168" i="7"/>
  <c r="AL179" i="7"/>
  <c r="AL220" i="7"/>
  <c r="AL241" i="7"/>
  <c r="AK250" i="7"/>
  <c r="AL258" i="7"/>
  <c r="AP264" i="7"/>
  <c r="AL315" i="7"/>
  <c r="AL341" i="7"/>
  <c r="AK424" i="7"/>
  <c r="AL432" i="7"/>
  <c r="AM568" i="7"/>
  <c r="AL18" i="7"/>
  <c r="AL51" i="7"/>
  <c r="AK59" i="7"/>
  <c r="AK82" i="7"/>
  <c r="AK7" i="7"/>
  <c r="AK37" i="7"/>
  <c r="AK51" i="7"/>
  <c r="AK57" i="7"/>
  <c r="AK72" i="7"/>
  <c r="AR7" i="7"/>
  <c r="AP12" i="7"/>
  <c r="AM13" i="7"/>
  <c r="AP35" i="7"/>
  <c r="AP42" i="7"/>
  <c r="AR46" i="7"/>
  <c r="AP48" i="7"/>
  <c r="AM49" i="7"/>
  <c r="AM59" i="7"/>
  <c r="AM62" i="7"/>
  <c r="AP62" i="7"/>
  <c r="AK76" i="7"/>
  <c r="AM82" i="7"/>
  <c r="AL84" i="7"/>
  <c r="AL87" i="7"/>
  <c r="AK93" i="7"/>
  <c r="AL98" i="7"/>
  <c r="AL103" i="7"/>
  <c r="AP107" i="7"/>
  <c r="AP110" i="7"/>
  <c r="AK115" i="7"/>
  <c r="AR127" i="7"/>
  <c r="AP142" i="7"/>
  <c r="AL144" i="7"/>
  <c r="AM151" i="7"/>
  <c r="AK156" i="7"/>
  <c r="AK158" i="7"/>
  <c r="AK164" i="7"/>
  <c r="AR167" i="7"/>
  <c r="AL176" i="7"/>
  <c r="AP178" i="7"/>
  <c r="AK181" i="7"/>
  <c r="AM199" i="7"/>
  <c r="AR203" i="7"/>
  <c r="AM220" i="7"/>
  <c r="AM242" i="7"/>
  <c r="AP254" i="7"/>
  <c r="AL255" i="7"/>
  <c r="AP274" i="7"/>
  <c r="AM331" i="7"/>
  <c r="AP331" i="7"/>
  <c r="AR359" i="7"/>
  <c r="AR385" i="7"/>
  <c r="AL483" i="7"/>
  <c r="AM526" i="7"/>
  <c r="AM543" i="7"/>
  <c r="AP543" i="7"/>
  <c r="AO189" i="7"/>
  <c r="AK9" i="7"/>
  <c r="AR14" i="7"/>
  <c r="AL16" i="7"/>
  <c r="AL17" i="7"/>
  <c r="AL25" i="7"/>
  <c r="AK34" i="7"/>
  <c r="AR50" i="7"/>
  <c r="AR66" i="7"/>
  <c r="AK84" i="7"/>
  <c r="AP98" i="7"/>
  <c r="AL114" i="7"/>
  <c r="AR140" i="7"/>
  <c r="AP173" i="7"/>
  <c r="AO173" i="7"/>
  <c r="AK175" i="7"/>
  <c r="AP176" i="7"/>
  <c r="AM186" i="7"/>
  <c r="AR196" i="7"/>
  <c r="AR200" i="7"/>
  <c r="AK214" i="7"/>
  <c r="AR224" i="7"/>
  <c r="AP252" i="7"/>
  <c r="AP255" i="7"/>
  <c r="AK262" i="7"/>
  <c r="AR265" i="7"/>
  <c r="AP338" i="7"/>
  <c r="AL344" i="7"/>
  <c r="AK346" i="7"/>
  <c r="AP455" i="7"/>
  <c r="AR562" i="7"/>
  <c r="AL6" i="7"/>
  <c r="AK12" i="7"/>
  <c r="AM20" i="7"/>
  <c r="AP26" i="7"/>
  <c r="AK33" i="7"/>
  <c r="AL43" i="7"/>
  <c r="AP46" i="7"/>
  <c r="AK48" i="7"/>
  <c r="AL52" i="7"/>
  <c r="AL71" i="7"/>
  <c r="AK90" i="7"/>
  <c r="AK100" i="7"/>
  <c r="AP101" i="7"/>
  <c r="AK102" i="7"/>
  <c r="AR105" i="7"/>
  <c r="AL108" i="7"/>
  <c r="AM114" i="7"/>
  <c r="AP117" i="7"/>
  <c r="AR121" i="7"/>
  <c r="AL124" i="7"/>
  <c r="AM127" i="7"/>
  <c r="AR131" i="7"/>
  <c r="AL134" i="7"/>
  <c r="AL140" i="7"/>
  <c r="AL146" i="7"/>
  <c r="AM158" i="7"/>
  <c r="AL163" i="7"/>
  <c r="AK166" i="7"/>
  <c r="AP167" i="7"/>
  <c r="AR177" i="7"/>
  <c r="AM183" i="7"/>
  <c r="AK188" i="7"/>
  <c r="AL200" i="7"/>
  <c r="AL202" i="7"/>
  <c r="AM203" i="7"/>
  <c r="AR207" i="7"/>
  <c r="AR214" i="7"/>
  <c r="AK219" i="7"/>
  <c r="AR221" i="7"/>
  <c r="AL226" i="7"/>
  <c r="AK231" i="7"/>
  <c r="AR253" i="7"/>
  <c r="AR262" i="7"/>
  <c r="AO299" i="7"/>
  <c r="AP299" i="7"/>
  <c r="AR346" i="7"/>
  <c r="AM374" i="7"/>
  <c r="AM385" i="7"/>
  <c r="AR392" i="7"/>
  <c r="AK425" i="7"/>
  <c r="AM445" i="7"/>
  <c r="AP445" i="7"/>
  <c r="AM551" i="7"/>
  <c r="AM580" i="7"/>
  <c r="AM608" i="7"/>
  <c r="AL287" i="7"/>
  <c r="AM290" i="7"/>
  <c r="AP293" i="7"/>
  <c r="AL303" i="7"/>
  <c r="AP322" i="7"/>
  <c r="AO322" i="7"/>
  <c r="AR329" i="7"/>
  <c r="AM332" i="7"/>
  <c r="AK337" i="7"/>
  <c r="AR342" i="7"/>
  <c r="AL351" i="7"/>
  <c r="AP352" i="7"/>
  <c r="AO352" i="7"/>
  <c r="AL354" i="7"/>
  <c r="AK360" i="7"/>
  <c r="AK362" i="7"/>
  <c r="AK370" i="7"/>
  <c r="AP371" i="7"/>
  <c r="AR375" i="7"/>
  <c r="AM378" i="7"/>
  <c r="AM381" i="7"/>
  <c r="AL385" i="7"/>
  <c r="AK390" i="7"/>
  <c r="AK396" i="7"/>
  <c r="AK399" i="7"/>
  <c r="AK414" i="7"/>
  <c r="AP420" i="7"/>
  <c r="AK427" i="7"/>
  <c r="AR427" i="7"/>
  <c r="AR443" i="7"/>
  <c r="AM446" i="7"/>
  <c r="AR459" i="7"/>
  <c r="AR462" i="7"/>
  <c r="AL465" i="7"/>
  <c r="AP468" i="7"/>
  <c r="AK469" i="7"/>
  <c r="AL477" i="7"/>
  <c r="AL478" i="7"/>
  <c r="AM487" i="7"/>
  <c r="AR491" i="7"/>
  <c r="AP519" i="7"/>
  <c r="AL538" i="7"/>
  <c r="AL551" i="7"/>
  <c r="AP554" i="7"/>
  <c r="AR571" i="7"/>
  <c r="AR575" i="7"/>
  <c r="AL590" i="7"/>
  <c r="AP597" i="7"/>
  <c r="AL607" i="7"/>
  <c r="AL615" i="7"/>
  <c r="AM621" i="7"/>
  <c r="AM631" i="7"/>
  <c r="AR632" i="7"/>
  <c r="AM635" i="7"/>
  <c r="AK302" i="7"/>
  <c r="AR317" i="7"/>
  <c r="AM326" i="7"/>
  <c r="AR330" i="7"/>
  <c r="AL335" i="7"/>
  <c r="AK338" i="7"/>
  <c r="AP339" i="7"/>
  <c r="AM346" i="7"/>
  <c r="AR350" i="7"/>
  <c r="AR353" i="7"/>
  <c r="AL359" i="7"/>
  <c r="AP365" i="7"/>
  <c r="AM366" i="7"/>
  <c r="AM369" i="7"/>
  <c r="AK373" i="7"/>
  <c r="AP382" i="7"/>
  <c r="AR386" i="7"/>
  <c r="AL391" i="7"/>
  <c r="AM408" i="7"/>
  <c r="AL413" i="7"/>
  <c r="AK415" i="7"/>
  <c r="AM424" i="7"/>
  <c r="AR444" i="7"/>
  <c r="AR466" i="7"/>
  <c r="AK473" i="7"/>
  <c r="AR476" i="7"/>
  <c r="AM491" i="7"/>
  <c r="AM507" i="7"/>
  <c r="AR510" i="7"/>
  <c r="AK514" i="7"/>
  <c r="AR517" i="7"/>
  <c r="AR530" i="7"/>
  <c r="AM532" i="7"/>
  <c r="AK534" i="7"/>
  <c r="AR539" i="7"/>
  <c r="AR542" i="7"/>
  <c r="AR552" i="7"/>
  <c r="AL554" i="7"/>
  <c r="AM562" i="7"/>
  <c r="AL564" i="7"/>
  <c r="AP565" i="7"/>
  <c r="AR572" i="7"/>
  <c r="AM582" i="7"/>
  <c r="AR589" i="7"/>
  <c r="AL597" i="7"/>
  <c r="AK600" i="7"/>
  <c r="AR606" i="7"/>
  <c r="AL232" i="7"/>
  <c r="AP233" i="7"/>
  <c r="AK240" i="7"/>
  <c r="AP244" i="7"/>
  <c r="AM247" i="7"/>
  <c r="AP250" i="7"/>
  <c r="AK252" i="7"/>
  <c r="AM256" i="7"/>
  <c r="AK261" i="7"/>
  <c r="AP262" i="7"/>
  <c r="AL280" i="7"/>
  <c r="AP281" i="7"/>
  <c r="AK282" i="7"/>
  <c r="AL290" i="7"/>
  <c r="AR291" i="7"/>
  <c r="AK298" i="7"/>
  <c r="AM304" i="7"/>
  <c r="AM323" i="7"/>
  <c r="AK328" i="7"/>
  <c r="AL332" i="7"/>
  <c r="AP346" i="7"/>
  <c r="AL350" i="7"/>
  <c r="AL365" i="7"/>
  <c r="AP366" i="7"/>
  <c r="AK374" i="7"/>
  <c r="AM379" i="7"/>
  <c r="AM389" i="7"/>
  <c r="AM398" i="7"/>
  <c r="AR422" i="7"/>
  <c r="AM450" i="7"/>
  <c r="AM479" i="7"/>
  <c r="AM485" i="7"/>
  <c r="AL487" i="7"/>
  <c r="AM488" i="7"/>
  <c r="AK490" i="7"/>
  <c r="AP497" i="7"/>
  <c r="AK522" i="7"/>
  <c r="AK528" i="7"/>
  <c r="AP555" i="7"/>
  <c r="AL561" i="7"/>
  <c r="AK574" i="7"/>
  <c r="AK584" i="7"/>
  <c r="AL588" i="7"/>
  <c r="AM619" i="7"/>
  <c r="AK627" i="7"/>
  <c r="AR629" i="7"/>
  <c r="AM227" i="7"/>
  <c r="AK232" i="7"/>
  <c r="AR234" i="7"/>
  <c r="AR237" i="7"/>
  <c r="AK242" i="7"/>
  <c r="AK249" i="7"/>
  <c r="AK260" i="7"/>
  <c r="AP272" i="7"/>
  <c r="AM275" i="7"/>
  <c r="AK280" i="7"/>
  <c r="AM285" i="7"/>
  <c r="AK290" i="7"/>
  <c r="AL300" i="7"/>
  <c r="AM301" i="7"/>
  <c r="AK309" i="7"/>
  <c r="AR311" i="7"/>
  <c r="AL316" i="7"/>
  <c r="AK319" i="7"/>
  <c r="AK331" i="7"/>
  <c r="AR337" i="7"/>
  <c r="AL340" i="7"/>
  <c r="AL342" i="7"/>
  <c r="AL349" i="7"/>
  <c r="AP353" i="7"/>
  <c r="AP356" i="7"/>
  <c r="AK365" i="7"/>
  <c r="AR367" i="7"/>
  <c r="AM373" i="7"/>
  <c r="AM376" i="7"/>
  <c r="AP376" i="7"/>
  <c r="AR380" i="7"/>
  <c r="AM386" i="7"/>
  <c r="AK393" i="7"/>
  <c r="AR396" i="7"/>
  <c r="AK406" i="7"/>
  <c r="AM415" i="7"/>
  <c r="AK417" i="7"/>
  <c r="AR425" i="7"/>
  <c r="AL433" i="7"/>
  <c r="AR445" i="7"/>
  <c r="AR448" i="7"/>
  <c r="AK449" i="7"/>
  <c r="AM460" i="7"/>
  <c r="AM482" i="7"/>
  <c r="AK486" i="7"/>
  <c r="AK487" i="7"/>
  <c r="AR508" i="7"/>
  <c r="AL526" i="7"/>
  <c r="AM536" i="7"/>
  <c r="AP539" i="7"/>
  <c r="AK541" i="7"/>
  <c r="AK544" i="7"/>
  <c r="AR546" i="7"/>
  <c r="AL556" i="7"/>
  <c r="AO559" i="7"/>
  <c r="AR563" i="7"/>
  <c r="AK573" i="7"/>
  <c r="AM576" i="7"/>
  <c r="AP592" i="7"/>
  <c r="AK593" i="7"/>
  <c r="AL599" i="7"/>
  <c r="AP602" i="7"/>
  <c r="AO602" i="7"/>
  <c r="AK620" i="7"/>
  <c r="AK621" i="7"/>
  <c r="AK638" i="7"/>
  <c r="G6" i="10"/>
  <c r="AL327" i="7"/>
  <c r="AL337" i="7"/>
  <c r="AL339" i="7"/>
  <c r="AK357" i="7"/>
  <c r="AP373" i="7"/>
  <c r="AO373" i="7"/>
  <c r="AL383" i="7"/>
  <c r="AL401" i="7"/>
  <c r="AP418" i="7"/>
  <c r="AL441" i="7"/>
  <c r="AL448" i="7"/>
  <c r="AK465" i="7"/>
  <c r="AP470" i="7"/>
  <c r="AL472" i="7"/>
  <c r="AP473" i="7"/>
  <c r="AL494" i="7"/>
  <c r="AL548" i="7"/>
  <c r="AK558" i="7"/>
  <c r="AL583" i="7"/>
  <c r="AK601" i="7"/>
  <c r="AP636" i="7"/>
  <c r="AL185" i="7"/>
  <c r="AP187" i="7"/>
  <c r="AM188" i="7"/>
  <c r="AP197" i="7"/>
  <c r="AK200" i="7"/>
  <c r="AK203" i="7"/>
  <c r="AP210" i="7"/>
  <c r="AM211" i="7"/>
  <c r="AK213" i="7"/>
  <c r="AM218" i="7"/>
  <c r="AK222" i="7"/>
  <c r="AM237" i="7"/>
  <c r="AL242" i="7"/>
  <c r="AM248" i="7"/>
  <c r="AM263" i="7"/>
  <c r="AL289" i="7"/>
  <c r="AK300" i="7"/>
  <c r="AL305" i="7"/>
  <c r="AK308" i="7"/>
  <c r="AK315" i="7"/>
  <c r="AR318" i="7"/>
  <c r="AR321" i="7"/>
  <c r="AP323" i="7"/>
  <c r="AM324" i="7"/>
  <c r="AL326" i="7"/>
  <c r="AP333" i="7"/>
  <c r="AL334" i="7"/>
  <c r="AP340" i="7"/>
  <c r="AK341" i="7"/>
  <c r="AK342" i="7"/>
  <c r="AR344" i="7"/>
  <c r="AK349" i="7"/>
  <c r="AR351" i="7"/>
  <c r="AM360" i="7"/>
  <c r="AP363" i="7"/>
  <c r="AK364" i="7"/>
  <c r="AM367" i="7"/>
  <c r="AM370" i="7"/>
  <c r="AM383" i="7"/>
  <c r="AR387" i="7"/>
  <c r="AP389" i="7"/>
  <c r="AL392" i="7"/>
  <c r="AM396" i="7"/>
  <c r="AL408" i="7"/>
  <c r="AP409" i="7"/>
  <c r="AR416" i="7"/>
  <c r="AP422" i="7"/>
  <c r="AM425" i="7"/>
  <c r="AK432" i="7"/>
  <c r="AK433" i="7"/>
  <c r="AR435" i="7"/>
  <c r="AL438" i="7"/>
  <c r="AK443" i="7"/>
  <c r="AR451" i="7"/>
  <c r="AL456" i="7"/>
  <c r="AR467" i="7"/>
  <c r="AP485" i="7"/>
  <c r="AL489" i="7"/>
  <c r="AK502" i="7"/>
  <c r="AL507" i="7"/>
  <c r="AM508" i="7"/>
  <c r="AL518" i="7"/>
  <c r="AL520" i="7"/>
  <c r="AP527" i="7"/>
  <c r="AL532" i="7"/>
  <c r="AR553" i="7"/>
  <c r="AL562" i="7"/>
  <c r="AM569" i="7"/>
  <c r="AK571" i="7"/>
  <c r="AM596" i="7"/>
  <c r="AL598" i="7"/>
  <c r="AK605" i="7"/>
  <c r="AR607" i="7"/>
  <c r="AP613" i="7"/>
  <c r="AL628" i="7"/>
  <c r="AL632" i="7"/>
  <c r="AP640" i="7"/>
  <c r="AK641" i="7"/>
  <c r="AK187" i="7"/>
  <c r="AR199" i="7"/>
  <c r="AM202" i="7"/>
  <c r="AK210" i="7"/>
  <c r="AR212" i="7"/>
  <c r="AK217" i="7"/>
  <c r="AL221" i="7"/>
  <c r="AM222" i="7"/>
  <c r="AM228" i="7"/>
  <c r="AL230" i="7"/>
  <c r="AP231" i="7"/>
  <c r="AR240" i="7"/>
  <c r="AK246" i="7"/>
  <c r="AK255" i="7"/>
  <c r="AL264" i="7"/>
  <c r="AM273" i="7"/>
  <c r="AL285" i="7"/>
  <c r="AM315" i="7"/>
  <c r="AP315" i="7"/>
  <c r="AK323" i="7"/>
  <c r="AR325" i="7"/>
  <c r="AK333" i="7"/>
  <c r="AM341" i="7"/>
  <c r="AM344" i="7"/>
  <c r="AR352" i="7"/>
  <c r="AP357" i="7"/>
  <c r="AK371" i="7"/>
  <c r="AL376" i="7"/>
  <c r="AL386" i="7"/>
  <c r="AP387" i="7"/>
  <c r="AK391" i="7"/>
  <c r="AL415" i="7"/>
  <c r="AL418" i="7"/>
  <c r="AP419" i="7"/>
  <c r="AL431" i="7"/>
  <c r="AP451" i="7"/>
  <c r="AL458" i="7"/>
  <c r="AL460" i="7"/>
  <c r="AP474" i="7"/>
  <c r="AL482" i="7"/>
  <c r="AM483" i="7"/>
  <c r="AK488" i="7"/>
  <c r="AR490" i="7"/>
  <c r="AM505" i="7"/>
  <c r="AM560" i="7"/>
  <c r="AR574" i="7"/>
  <c r="AL576" i="7"/>
  <c r="AK579" i="7"/>
  <c r="AR584" i="7"/>
  <c r="AM587" i="7"/>
  <c r="AR597" i="7"/>
  <c r="AL600" i="7"/>
  <c r="AR604" i="7"/>
  <c r="AO614" i="7"/>
  <c r="AK622" i="7"/>
  <c r="AK624" i="7"/>
  <c r="AL634" i="7"/>
  <c r="AL636" i="7"/>
  <c r="AM641" i="7"/>
  <c r="AM270" i="7"/>
  <c r="AK278" i="7"/>
  <c r="AM283" i="7"/>
  <c r="AP286" i="7"/>
  <c r="AR296" i="7"/>
  <c r="AM299" i="7"/>
  <c r="AP308" i="7"/>
  <c r="AP318" i="7"/>
  <c r="AM338" i="7"/>
  <c r="AL348" i="7"/>
  <c r="AP360" i="7"/>
  <c r="AM361" i="7"/>
  <c r="AP370" i="7"/>
  <c r="AP399" i="7"/>
  <c r="AL400" i="7"/>
  <c r="AR404" i="7"/>
  <c r="AP428" i="7"/>
  <c r="AM429" i="7"/>
  <c r="AP435" i="7"/>
  <c r="AL442" i="7"/>
  <c r="AR449" i="7"/>
  <c r="AM461" i="7"/>
  <c r="AP461" i="7"/>
  <c r="AK466" i="7"/>
  <c r="AP471" i="7"/>
  <c r="AP483" i="7"/>
  <c r="AL490" i="7"/>
  <c r="AP499" i="7"/>
  <c r="AK517" i="7"/>
  <c r="AK539" i="7"/>
  <c r="AK542" i="7"/>
  <c r="AP546" i="7"/>
  <c r="AK552" i="7"/>
  <c r="AP557" i="7"/>
  <c r="AP560" i="7"/>
  <c r="AL584" i="7"/>
  <c r="AL604" i="7"/>
  <c r="AK606" i="7"/>
  <c r="AL627" i="7"/>
  <c r="AR638" i="7"/>
  <c r="AP429" i="7"/>
  <c r="AM439" i="7"/>
  <c r="AM493" i="7"/>
  <c r="AM522" i="7"/>
  <c r="AP537" i="7"/>
  <c r="AP570" i="7"/>
  <c r="AM574" i="7"/>
  <c r="AP580" i="7"/>
  <c r="AM584" i="7"/>
  <c r="AR591" i="7"/>
  <c r="AP634" i="7"/>
  <c r="AL631" i="7"/>
  <c r="AK633" i="7"/>
  <c r="AL638" i="7"/>
  <c r="G634" i="13"/>
  <c r="G618" i="13"/>
  <c r="G602" i="13"/>
  <c r="G586" i="13"/>
  <c r="G570" i="13"/>
  <c r="G554" i="13"/>
  <c r="G538" i="13"/>
  <c r="G522" i="13"/>
  <c r="G506" i="13"/>
  <c r="G490" i="13"/>
  <c r="G474" i="13"/>
  <c r="G458" i="13"/>
  <c r="G442" i="13"/>
  <c r="G426" i="13"/>
  <c r="G410" i="13"/>
  <c r="G394" i="13"/>
  <c r="G378" i="13"/>
  <c r="G362" i="13"/>
  <c r="G346" i="13"/>
  <c r="G330" i="13"/>
  <c r="G314" i="13"/>
  <c r="G298" i="13"/>
  <c r="G282" i="13"/>
  <c r="G266" i="13"/>
  <c r="G250" i="13"/>
  <c r="G234" i="13"/>
  <c r="G218" i="13"/>
  <c r="G202" i="13"/>
  <c r="G186" i="13"/>
  <c r="G170" i="13"/>
  <c r="G154" i="13"/>
  <c r="G138" i="13"/>
  <c r="G122" i="13"/>
  <c r="G106" i="13"/>
  <c r="G90" i="13"/>
  <c r="G74" i="13"/>
  <c r="G58" i="13"/>
  <c r="G42" i="13"/>
  <c r="G26" i="13"/>
  <c r="G10" i="13"/>
  <c r="G629" i="13"/>
  <c r="G613" i="13"/>
  <c r="G597" i="13"/>
  <c r="G581" i="13"/>
  <c r="G565" i="13"/>
  <c r="G549" i="13"/>
  <c r="G533" i="13"/>
  <c r="G517" i="13"/>
  <c r="G501" i="13"/>
  <c r="G485" i="13"/>
  <c r="G469" i="13"/>
  <c r="G453" i="13"/>
  <c r="G437" i="13"/>
  <c r="G421" i="13"/>
  <c r="G405" i="13"/>
  <c r="G389" i="13"/>
  <c r="G373" i="13"/>
  <c r="G357" i="13"/>
  <c r="G341" i="13"/>
  <c r="G325" i="13"/>
  <c r="G309" i="13"/>
  <c r="G293" i="13"/>
  <c r="G277" i="13"/>
  <c r="G261" i="13"/>
  <c r="G245" i="13"/>
  <c r="G229" i="13"/>
  <c r="G213" i="13"/>
  <c r="G197" i="13"/>
  <c r="G181" i="13"/>
  <c r="G165" i="13"/>
  <c r="G149" i="13"/>
  <c r="G133" i="13"/>
  <c r="G117" i="13"/>
  <c r="G101" i="13"/>
  <c r="G85" i="13"/>
  <c r="G69" i="13"/>
  <c r="G53" i="13"/>
  <c r="G37" i="13"/>
  <c r="G21" i="13"/>
  <c r="G5" i="13"/>
  <c r="G628" i="13"/>
  <c r="G612" i="13"/>
  <c r="G596" i="13"/>
  <c r="G580" i="13"/>
  <c r="G564" i="13"/>
  <c r="G548" i="13"/>
  <c r="G532" i="13"/>
  <c r="G516" i="13"/>
  <c r="G500" i="13"/>
  <c r="G484" i="13"/>
  <c r="G468" i="13"/>
  <c r="G452" i="13"/>
  <c r="G436" i="13"/>
  <c r="G420" i="13"/>
  <c r="G404" i="13"/>
  <c r="G388" i="13"/>
  <c r="G372" i="13"/>
  <c r="G356" i="13"/>
  <c r="G340" i="13"/>
  <c r="G324" i="13"/>
  <c r="G308" i="13"/>
  <c r="G292" i="13"/>
  <c r="G276" i="13"/>
  <c r="G260" i="13"/>
  <c r="G244" i="13"/>
  <c r="G228" i="13"/>
  <c r="G212" i="13"/>
  <c r="G196" i="13"/>
  <c r="G180" i="13"/>
  <c r="G164" i="13"/>
  <c r="G148" i="13"/>
  <c r="G132" i="13"/>
  <c r="G116" i="13"/>
  <c r="G100" i="13"/>
  <c r="G84" i="13"/>
  <c r="G68" i="13"/>
  <c r="G52" i="13"/>
  <c r="G36" i="13"/>
  <c r="G20" i="13"/>
  <c r="G4" i="13"/>
  <c r="G627" i="13"/>
  <c r="G611" i="13"/>
  <c r="G595" i="13"/>
  <c r="G579" i="13"/>
  <c r="G563" i="13"/>
  <c r="G547" i="13"/>
  <c r="G531" i="13"/>
  <c r="G515" i="13"/>
  <c r="G499" i="13"/>
  <c r="G483" i="13"/>
  <c r="G467" i="13"/>
  <c r="G451" i="13"/>
  <c r="G435" i="13"/>
  <c r="G419" i="13"/>
  <c r="G403" i="13"/>
  <c r="G387" i="13"/>
  <c r="G371" i="13"/>
  <c r="G355" i="13"/>
  <c r="G339" i="13"/>
  <c r="G323" i="13"/>
  <c r="G307" i="13"/>
  <c r="G291" i="13"/>
  <c r="G275" i="13"/>
  <c r="G259" i="13"/>
  <c r="G243" i="13"/>
  <c r="G227" i="13"/>
  <c r="G211" i="13"/>
  <c r="G195" i="13"/>
  <c r="G179" i="13"/>
  <c r="G163" i="13"/>
  <c r="G147" i="13"/>
  <c r="G131" i="13"/>
  <c r="G115" i="13"/>
  <c r="G99" i="13"/>
  <c r="G83" i="13"/>
  <c r="G67" i="13"/>
  <c r="G51" i="13"/>
  <c r="G35" i="13"/>
  <c r="G19" i="13"/>
  <c r="AR509" i="7"/>
  <c r="AK510" i="7"/>
  <c r="AK519" i="7"/>
  <c r="AR525" i="7"/>
  <c r="AR528" i="7"/>
  <c r="AL536" i="7"/>
  <c r="AR547" i="7"/>
  <c r="AM553" i="7"/>
  <c r="AK555" i="7"/>
  <c r="AL560" i="7"/>
  <c r="AK562" i="7"/>
  <c r="AK567" i="7"/>
  <c r="AR577" i="7"/>
  <c r="AL582" i="7"/>
  <c r="AM583" i="7"/>
  <c r="AL591" i="7"/>
  <c r="AR596" i="7"/>
  <c r="AR599" i="7"/>
  <c r="AP612" i="7"/>
  <c r="AR613" i="7"/>
  <c r="AL624" i="7"/>
  <c r="AM632" i="7"/>
  <c r="G5" i="10"/>
  <c r="G626" i="13"/>
  <c r="G610" i="13"/>
  <c r="G594" i="13"/>
  <c r="G578" i="13"/>
  <c r="G562" i="13"/>
  <c r="G546" i="13"/>
  <c r="G530" i="13"/>
  <c r="G514" i="13"/>
  <c r="G498" i="13"/>
  <c r="G482" i="13"/>
  <c r="G466" i="13"/>
  <c r="G450" i="13"/>
  <c r="G434" i="13"/>
  <c r="G418" i="13"/>
  <c r="G402" i="13"/>
  <c r="G386" i="13"/>
  <c r="G370" i="13"/>
  <c r="G354" i="13"/>
  <c r="G338" i="13"/>
  <c r="G322" i="13"/>
  <c r="G306" i="13"/>
  <c r="G290" i="13"/>
  <c r="G274" i="13"/>
  <c r="G258" i="13"/>
  <c r="G242" i="13"/>
  <c r="G226" i="13"/>
  <c r="G210" i="13"/>
  <c r="G194" i="13"/>
  <c r="G178" i="13"/>
  <c r="G162" i="13"/>
  <c r="G146" i="13"/>
  <c r="G130" i="13"/>
  <c r="G114" i="13"/>
  <c r="G98" i="13"/>
  <c r="G82" i="13"/>
  <c r="G66" i="13"/>
  <c r="G50" i="13"/>
  <c r="G34" i="13"/>
  <c r="G18" i="13"/>
  <c r="G2" i="13"/>
  <c r="G625" i="13"/>
  <c r="G609" i="13"/>
  <c r="G593" i="13"/>
  <c r="G577" i="13"/>
  <c r="G561" i="13"/>
  <c r="G545" i="13"/>
  <c r="G529" i="13"/>
  <c r="G513" i="13"/>
  <c r="G497" i="13"/>
  <c r="G481" i="13"/>
  <c r="G465" i="13"/>
  <c r="G449" i="13"/>
  <c r="G433" i="13"/>
  <c r="G417" i="13"/>
  <c r="G401" i="13"/>
  <c r="G385" i="13"/>
  <c r="G369" i="13"/>
  <c r="G353" i="13"/>
  <c r="G337" i="13"/>
  <c r="G321" i="13"/>
  <c r="G305" i="13"/>
  <c r="G289" i="13"/>
  <c r="G273" i="13"/>
  <c r="G257" i="13"/>
  <c r="G241" i="13"/>
  <c r="G225" i="13"/>
  <c r="G209" i="13"/>
  <c r="G193" i="13"/>
  <c r="G177" i="13"/>
  <c r="G161" i="13"/>
  <c r="G145" i="13"/>
  <c r="G129" i="13"/>
  <c r="G113" i="13"/>
  <c r="G97" i="13"/>
  <c r="G81" i="13"/>
  <c r="G65" i="13"/>
  <c r="G49" i="13"/>
  <c r="G33" i="13"/>
  <c r="G17" i="13"/>
  <c r="G3" i="13"/>
  <c r="G624" i="13"/>
  <c r="G608" i="13"/>
  <c r="G592" i="13"/>
  <c r="G576" i="13"/>
  <c r="G560" i="13"/>
  <c r="G544" i="13"/>
  <c r="G528" i="13"/>
  <c r="G512" i="13"/>
  <c r="G496" i="13"/>
  <c r="G480" i="13"/>
  <c r="G464" i="13"/>
  <c r="G448" i="13"/>
  <c r="G432" i="13"/>
  <c r="G416" i="13"/>
  <c r="G400" i="13"/>
  <c r="G384" i="13"/>
  <c r="G368" i="13"/>
  <c r="G352" i="13"/>
  <c r="G336" i="13"/>
  <c r="G320" i="13"/>
  <c r="G304" i="13"/>
  <c r="G288" i="13"/>
  <c r="G272" i="13"/>
  <c r="G256" i="13"/>
  <c r="G240" i="13"/>
  <c r="G224" i="13"/>
  <c r="G208" i="13"/>
  <c r="G192" i="13"/>
  <c r="G176" i="13"/>
  <c r="G160" i="13"/>
  <c r="G144" i="13"/>
  <c r="G128" i="13"/>
  <c r="G112" i="13"/>
  <c r="G96" i="13"/>
  <c r="G80" i="13"/>
  <c r="G64" i="13"/>
  <c r="G48" i="13"/>
  <c r="G32" i="13"/>
  <c r="G16" i="13"/>
  <c r="G639" i="13"/>
  <c r="G623" i="13"/>
  <c r="G607" i="13"/>
  <c r="G591" i="13"/>
  <c r="G575" i="13"/>
  <c r="G559" i="13"/>
  <c r="G543" i="13"/>
  <c r="G527" i="13"/>
  <c r="G511" i="13"/>
  <c r="G495" i="13"/>
  <c r="G479" i="13"/>
  <c r="G463" i="13"/>
  <c r="G447" i="13"/>
  <c r="G431" i="13"/>
  <c r="G415" i="13"/>
  <c r="G399" i="13"/>
  <c r="G383" i="13"/>
  <c r="G367" i="13"/>
  <c r="G351" i="13"/>
  <c r="G335" i="13"/>
  <c r="G319" i="13"/>
  <c r="G303" i="13"/>
  <c r="G287" i="13"/>
  <c r="G271" i="13"/>
  <c r="G255" i="13"/>
  <c r="G239" i="13"/>
  <c r="G223" i="13"/>
  <c r="G207" i="13"/>
  <c r="G191" i="13"/>
  <c r="G175" i="13"/>
  <c r="G159" i="13"/>
  <c r="G143" i="13"/>
  <c r="G127" i="13"/>
  <c r="G111" i="13"/>
  <c r="G95" i="13"/>
  <c r="G79" i="13"/>
  <c r="G63" i="13"/>
  <c r="G47" i="13"/>
  <c r="G31" i="13"/>
  <c r="G15" i="13"/>
  <c r="G638" i="13"/>
  <c r="G622" i="13"/>
  <c r="G606" i="13"/>
  <c r="G590" i="13"/>
  <c r="G574" i="13"/>
  <c r="G558" i="13"/>
  <c r="G542" i="13"/>
  <c r="G526" i="13"/>
  <c r="G510" i="13"/>
  <c r="G494" i="13"/>
  <c r="G478" i="13"/>
  <c r="G462" i="13"/>
  <c r="G446" i="13"/>
  <c r="G430" i="13"/>
  <c r="G414" i="13"/>
  <c r="G398" i="13"/>
  <c r="G382" i="13"/>
  <c r="G366" i="13"/>
  <c r="G350" i="13"/>
  <c r="G334" i="13"/>
  <c r="G318" i="13"/>
  <c r="G302" i="13"/>
  <c r="G286" i="13"/>
  <c r="G270" i="13"/>
  <c r="G254" i="13"/>
  <c r="G238" i="13"/>
  <c r="G222" i="13"/>
  <c r="G206" i="13"/>
  <c r="G190" i="13"/>
  <c r="G174" i="13"/>
  <c r="G158" i="13"/>
  <c r="G142" i="13"/>
  <c r="G126" i="13"/>
  <c r="G110" i="13"/>
  <c r="G94" i="13"/>
  <c r="G78" i="13"/>
  <c r="G62" i="13"/>
  <c r="G46" i="13"/>
  <c r="G30" i="13"/>
  <c r="G14" i="13"/>
  <c r="G637" i="13"/>
  <c r="G621" i="13"/>
  <c r="G605" i="13"/>
  <c r="G589" i="13"/>
  <c r="G573" i="13"/>
  <c r="G557" i="13"/>
  <c r="G541" i="13"/>
  <c r="G525" i="13"/>
  <c r="G509" i="13"/>
  <c r="G493" i="13"/>
  <c r="G477" i="13"/>
  <c r="G461" i="13"/>
  <c r="G445" i="13"/>
  <c r="G429" i="13"/>
  <c r="G413" i="13"/>
  <c r="G397" i="13"/>
  <c r="G381" i="13"/>
  <c r="G365" i="13"/>
  <c r="G349" i="13"/>
  <c r="G333" i="13"/>
  <c r="G317" i="13"/>
  <c r="G301" i="13"/>
  <c r="G285" i="13"/>
  <c r="G269" i="13"/>
  <c r="G253" i="13"/>
  <c r="G237" i="13"/>
  <c r="G221" i="13"/>
  <c r="G205" i="13"/>
  <c r="G189" i="13"/>
  <c r="G173" i="13"/>
  <c r="G157" i="13"/>
  <c r="G141" i="13"/>
  <c r="G125" i="13"/>
  <c r="G109" i="13"/>
  <c r="G93" i="13"/>
  <c r="G77" i="13"/>
  <c r="G61" i="13"/>
  <c r="G45" i="13"/>
  <c r="G29" i="13"/>
  <c r="G13" i="13"/>
  <c r="G636" i="13"/>
  <c r="G620" i="13"/>
  <c r="G604" i="13"/>
  <c r="G588" i="13"/>
  <c r="G572" i="13"/>
  <c r="G556" i="13"/>
  <c r="G540" i="13"/>
  <c r="G524" i="13"/>
  <c r="G508" i="13"/>
  <c r="G492" i="13"/>
  <c r="G476" i="13"/>
  <c r="G460" i="13"/>
  <c r="G444" i="13"/>
  <c r="G428" i="13"/>
  <c r="G412" i="13"/>
  <c r="G396" i="13"/>
  <c r="G380" i="13"/>
  <c r="G364" i="13"/>
  <c r="G348" i="13"/>
  <c r="G332" i="13"/>
  <c r="G316" i="13"/>
  <c r="G300" i="13"/>
  <c r="G284" i="13"/>
  <c r="G268" i="13"/>
  <c r="G252" i="13"/>
  <c r="G236" i="13"/>
  <c r="G220" i="13"/>
  <c r="G204" i="13"/>
  <c r="G188" i="13"/>
  <c r="G172" i="13"/>
  <c r="G156" i="13"/>
  <c r="G140" i="13"/>
  <c r="G124" i="13"/>
  <c r="G108" i="13"/>
  <c r="G92" i="13"/>
  <c r="G76" i="13"/>
  <c r="G60" i="13"/>
  <c r="G44" i="13"/>
  <c r="G28" i="13"/>
  <c r="G12" i="13"/>
  <c r="AP127" i="7"/>
  <c r="AR257" i="7"/>
  <c r="AR269" i="7"/>
  <c r="AR74" i="7"/>
  <c r="AO80" i="7"/>
  <c r="AP80" i="7"/>
  <c r="AR96" i="7"/>
  <c r="AM111" i="7"/>
  <c r="AP111" i="7"/>
  <c r="AP237" i="7"/>
  <c r="AO237" i="7"/>
  <c r="AO291" i="7"/>
  <c r="AP291" i="7"/>
  <c r="AP51" i="7"/>
  <c r="AO51" i="7"/>
  <c r="AR216" i="7"/>
  <c r="AP517" i="7"/>
  <c r="AO517" i="7"/>
  <c r="AR521" i="7"/>
  <c r="AR49" i="7"/>
  <c r="AR255" i="7"/>
  <c r="AR264" i="7"/>
  <c r="AO16" i="7"/>
  <c r="AP16" i="7"/>
  <c r="AO42" i="7"/>
  <c r="AO78" i="7"/>
  <c r="AR175" i="7"/>
  <c r="AR166" i="7"/>
  <c r="AR191" i="7"/>
  <c r="AP213" i="7"/>
  <c r="AP261" i="7"/>
  <c r="AS5" i="7"/>
  <c r="AR233" i="7"/>
  <c r="AK45" i="7"/>
  <c r="AL168" i="7"/>
  <c r="AM37" i="7"/>
  <c r="AK103" i="7"/>
  <c r="AR173" i="7"/>
  <c r="AR369" i="7"/>
  <c r="AM28" i="7"/>
  <c r="AO28" i="7"/>
  <c r="AL44" i="7"/>
  <c r="AM58" i="7"/>
  <c r="AP69" i="7"/>
  <c r="AK73" i="7"/>
  <c r="AL74" i="7"/>
  <c r="AK85" i="7"/>
  <c r="AR85" i="7"/>
  <c r="AM92" i="7"/>
  <c r="AK95" i="7"/>
  <c r="AM105" i="7"/>
  <c r="AL109" i="7"/>
  <c r="AP114" i="7"/>
  <c r="AR146" i="7"/>
  <c r="AP157" i="7"/>
  <c r="AL165" i="7"/>
  <c r="AR198" i="7"/>
  <c r="AP211" i="7"/>
  <c r="AR231" i="7"/>
  <c r="AP248" i="7"/>
  <c r="AR277" i="7"/>
  <c r="AR310" i="7"/>
  <c r="AP7" i="7"/>
  <c r="AS8" i="7"/>
  <c r="AL20" i="7"/>
  <c r="AK24" i="7"/>
  <c r="AL30" i="7"/>
  <c r="AO35" i="7"/>
  <c r="AR38" i="7"/>
  <c r="AL64" i="7"/>
  <c r="AR65" i="7"/>
  <c r="AO67" i="7"/>
  <c r="AK70" i="7"/>
  <c r="AP76" i="7"/>
  <c r="AR112" i="7"/>
  <c r="AR119" i="7"/>
  <c r="AP123" i="7"/>
  <c r="AL125" i="7"/>
  <c r="AL129" i="7"/>
  <c r="AR137" i="7"/>
  <c r="AK138" i="7"/>
  <c r="AO148" i="7"/>
  <c r="AP150" i="7"/>
  <c r="AR162" i="7"/>
  <c r="AM166" i="7"/>
  <c r="AM173" i="7"/>
  <c r="AM182" i="7"/>
  <c r="AM189" i="7"/>
  <c r="AK190" i="7"/>
  <c r="AM216" i="7"/>
  <c r="AP224" i="7"/>
  <c r="AR229" i="7"/>
  <c r="AM233" i="7"/>
  <c r="AO235" i="7"/>
  <c r="AR246" i="7"/>
  <c r="AM255" i="7"/>
  <c r="AM257" i="7"/>
  <c r="AP257" i="7"/>
  <c r="AM264" i="7"/>
  <c r="AM269" i="7"/>
  <c r="AM286" i="7"/>
  <c r="AR301" i="7"/>
  <c r="AP5" i="7"/>
  <c r="AL7" i="7"/>
  <c r="AM26" i="7"/>
  <c r="AL38" i="7"/>
  <c r="AR43" i="7"/>
  <c r="AM45" i="7"/>
  <c r="AK62" i="7"/>
  <c r="AL76" i="7"/>
  <c r="AL78" i="7"/>
  <c r="AK81" i="7"/>
  <c r="AP89" i="7"/>
  <c r="AK101" i="7"/>
  <c r="AR101" i="7"/>
  <c r="AM121" i="7"/>
  <c r="AM130" i="7"/>
  <c r="AM146" i="7"/>
  <c r="AM155" i="7"/>
  <c r="AM164" i="7"/>
  <c r="AM196" i="7"/>
  <c r="AM198" i="7"/>
  <c r="AP226" i="7"/>
  <c r="AR227" i="7"/>
  <c r="AO233" i="7"/>
  <c r="AO455" i="7"/>
  <c r="AS17" i="7"/>
  <c r="AK20" i="7"/>
  <c r="AO146" i="7"/>
  <c r="AO164" i="7"/>
  <c r="AO196" i="7"/>
  <c r="AP198" i="7"/>
  <c r="AO231" i="7"/>
  <c r="AR242" i="7"/>
  <c r="AP8" i="7"/>
  <c r="AL14" i="7"/>
  <c r="AM29" i="7"/>
  <c r="AL35" i="7"/>
  <c r="AS41" i="7"/>
  <c r="AP45" i="7"/>
  <c r="AP47" i="7"/>
  <c r="AO54" i="7"/>
  <c r="AL67" i="7"/>
  <c r="AM70" i="7"/>
  <c r="AK75" i="7"/>
  <c r="AK78" i="7"/>
  <c r="AP85" i="7"/>
  <c r="AK88" i="7"/>
  <c r="AR88" i="7"/>
  <c r="AL90" i="7"/>
  <c r="AP92" i="7"/>
  <c r="AL94" i="7"/>
  <c r="AK117" i="7"/>
  <c r="AR117" i="7"/>
  <c r="AR124" i="7"/>
  <c r="AR128" i="7"/>
  <c r="AL132" i="7"/>
  <c r="AL148" i="7"/>
  <c r="AL150" i="7"/>
  <c r="AL157" i="7"/>
  <c r="AR158" i="7"/>
  <c r="AR160" i="7"/>
  <c r="AR178" i="7"/>
  <c r="AO180" i="7"/>
  <c r="AM214" i="7"/>
  <c r="AR238" i="7"/>
  <c r="AR251" i="7"/>
  <c r="AR260" i="7"/>
  <c r="AM267" i="7"/>
  <c r="AM307" i="7"/>
  <c r="AP307" i="7"/>
  <c r="AO313" i="7"/>
  <c r="AP313" i="7"/>
  <c r="AO338" i="7"/>
  <c r="AK5" i="7"/>
  <c r="AL10" i="7"/>
  <c r="AK22" i="7"/>
  <c r="AK53" i="7"/>
  <c r="AL58" i="7"/>
  <c r="AL59" i="7"/>
  <c r="AP61" i="7"/>
  <c r="AP70" i="7"/>
  <c r="AO70" i="7"/>
  <c r="AM77" i="7"/>
  <c r="AM81" i="7"/>
  <c r="AP81" i="7"/>
  <c r="AK86" i="7"/>
  <c r="AM90" i="7"/>
  <c r="AL92" i="7"/>
  <c r="AK97" i="7"/>
  <c r="AM101" i="7"/>
  <c r="AL105" i="7"/>
  <c r="AO108" i="7"/>
  <c r="AO110" i="7"/>
  <c r="AL116" i="7"/>
  <c r="AL139" i="7"/>
  <c r="AR151" i="7"/>
  <c r="AO171" i="7"/>
  <c r="AK176" i="7"/>
  <c r="AR185" i="7"/>
  <c r="AP205" i="7"/>
  <c r="AP214" i="7"/>
  <c r="AL222" i="7"/>
  <c r="AR249" i="7"/>
  <c r="AP269" i="7"/>
  <c r="AL274" i="7"/>
  <c r="AR357" i="7"/>
  <c r="AP29" i="7"/>
  <c r="AR36" i="7"/>
  <c r="AR39" i="7"/>
  <c r="AM41" i="7"/>
  <c r="AP43" i="7"/>
  <c r="AL49" i="7"/>
  <c r="AL50" i="7"/>
  <c r="AP63" i="7"/>
  <c r="AR104" i="7"/>
  <c r="AL106" i="7"/>
  <c r="AP121" i="7"/>
  <c r="AO126" i="7"/>
  <c r="AP133" i="7"/>
  <c r="AO135" i="7"/>
  <c r="AP155" i="7"/>
  <c r="AM160" i="7"/>
  <c r="AL166" i="7"/>
  <c r="AR169" i="7"/>
  <c r="AL173" i="7"/>
  <c r="AR176" i="7"/>
  <c r="AL182" i="7"/>
  <c r="AK183" i="7"/>
  <c r="AL189" i="7"/>
  <c r="AR192" i="7"/>
  <c r="AM194" i="7"/>
  <c r="AO194" i="7"/>
  <c r="AK199" i="7"/>
  <c r="AR201" i="7"/>
  <c r="AR210" i="7"/>
  <c r="AK211" i="7"/>
  <c r="AP229" i="7"/>
  <c r="AL240" i="7"/>
  <c r="AL249" i="7"/>
  <c r="AL257" i="7"/>
  <c r="AR258" i="7"/>
  <c r="AM260" i="7"/>
  <c r="AL269" i="7"/>
  <c r="AR270" i="7"/>
  <c r="AR402" i="7"/>
  <c r="AP6" i="7"/>
  <c r="AR55" i="7"/>
  <c r="AK58" i="7"/>
  <c r="AP59" i="7"/>
  <c r="AL66" i="7"/>
  <c r="AP77" i="7"/>
  <c r="AL86" i="7"/>
  <c r="AO99" i="7"/>
  <c r="AP124" i="7"/>
  <c r="AP128" i="7"/>
  <c r="AP137" i="7"/>
  <c r="AP140" i="7"/>
  <c r="AM178" i="7"/>
  <c r="AO178" i="7"/>
  <c r="AR183" i="7"/>
  <c r="AL196" i="7"/>
  <c r="AL198" i="7"/>
  <c r="AO203" i="7"/>
  <c r="AK208" i="7"/>
  <c r="AO212" i="7"/>
  <c r="AK218" i="7"/>
  <c r="AM221" i="7"/>
  <c r="AK247" i="7"/>
  <c r="AO251" i="7"/>
  <c r="AK256" i="7"/>
  <c r="AO260" i="7"/>
  <c r="AM296" i="7"/>
  <c r="AO296" i="7"/>
  <c r="AM317" i="7"/>
  <c r="AM345" i="7"/>
  <c r="AP345" i="7"/>
  <c r="AR393" i="7"/>
  <c r="AM9" i="7"/>
  <c r="AP19" i="7"/>
  <c r="AM22" i="7"/>
  <c r="AL33" i="7"/>
  <c r="AR48" i="7"/>
  <c r="AM57" i="7"/>
  <c r="AK74" i="7"/>
  <c r="AP75" i="7"/>
  <c r="AP79" i="7"/>
  <c r="AM97" i="7"/>
  <c r="AP97" i="7"/>
  <c r="AR102" i="7"/>
  <c r="AP106" i="7"/>
  <c r="AK120" i="7"/>
  <c r="AR120" i="7"/>
  <c r="AL122" i="7"/>
  <c r="AL137" i="7"/>
  <c r="AL149" i="7"/>
  <c r="AP151" i="7"/>
  <c r="AO151" i="7"/>
  <c r="AO158" i="7"/>
  <c r="AL162" i="7"/>
  <c r="AL167" i="7"/>
  <c r="AM169" i="7"/>
  <c r="AM176" i="7"/>
  <c r="AR190" i="7"/>
  <c r="AM192" i="7"/>
  <c r="AL205" i="7"/>
  <c r="AK206" i="7"/>
  <c r="AR208" i="7"/>
  <c r="AM210" i="7"/>
  <c r="AK215" i="7"/>
  <c r="AR217" i="7"/>
  <c r="AM219" i="7"/>
  <c r="AK220" i="7"/>
  <c r="AK233" i="7"/>
  <c r="AM234" i="7"/>
  <c r="AR243" i="7"/>
  <c r="AL244" i="7"/>
  <c r="AL246" i="7"/>
  <c r="AO249" i="7"/>
  <c r="AR254" i="7"/>
  <c r="AR256" i="7"/>
  <c r="AK257" i="7"/>
  <c r="AM258" i="7"/>
  <c r="AL265" i="7"/>
  <c r="AP267" i="7"/>
  <c r="AK269" i="7"/>
  <c r="AL273" i="7"/>
  <c r="AP320" i="7"/>
  <c r="AO320" i="7"/>
  <c r="AM577" i="7"/>
  <c r="AS25" i="7"/>
  <c r="AK26" i="7"/>
  <c r="AP27" i="7"/>
  <c r="AL29" i="7"/>
  <c r="AP34" i="7"/>
  <c r="AR44" i="7"/>
  <c r="AK60" i="7"/>
  <c r="AO86" i="7"/>
  <c r="AL91" i="7"/>
  <c r="AP93" i="7"/>
  <c r="AL102" i="7"/>
  <c r="AO115" i="7"/>
  <c r="AK118" i="7"/>
  <c r="AK121" i="7"/>
  <c r="AM122" i="7"/>
  <c r="AL126" i="7"/>
  <c r="AK129" i="7"/>
  <c r="AK134" i="7"/>
  <c r="AL135" i="7"/>
  <c r="AO169" i="7"/>
  <c r="AO176" i="7"/>
  <c r="AO192" i="7"/>
  <c r="AP201" i="7"/>
  <c r="AO201" i="7"/>
  <c r="AL208" i="7"/>
  <c r="AL214" i="7"/>
  <c r="AL217" i="7"/>
  <c r="AL229" i="7"/>
  <c r="AR230" i="7"/>
  <c r="AP232" i="7"/>
  <c r="AP236" i="7"/>
  <c r="AL247" i="7"/>
  <c r="AL256" i="7"/>
  <c r="AP258" i="7"/>
  <c r="AL267" i="7"/>
  <c r="AP270" i="7"/>
  <c r="AK277" i="7"/>
  <c r="AR282" i="7"/>
  <c r="AL307" i="7"/>
  <c r="AL427" i="7"/>
  <c r="AM11" i="7"/>
  <c r="AP31" i="7"/>
  <c r="AR32" i="7"/>
  <c r="AP41" i="7"/>
  <c r="AK47" i="7"/>
  <c r="AL63" i="7"/>
  <c r="AR64" i="7"/>
  <c r="AP95" i="7"/>
  <c r="AL99" i="7"/>
  <c r="AK107" i="7"/>
  <c r="AK110" i="7"/>
  <c r="AR111" i="7"/>
  <c r="AR118" i="7"/>
  <c r="AP122" i="7"/>
  <c r="AO122" i="7"/>
  <c r="AR129" i="7"/>
  <c r="AL133" i="7"/>
  <c r="AO149" i="7"/>
  <c r="AL172" i="7"/>
  <c r="AP183" i="7"/>
  <c r="AO183" i="7"/>
  <c r="AL187" i="7"/>
  <c r="AL188" i="7"/>
  <c r="AL194" i="7"/>
  <c r="AO219" i="7"/>
  <c r="AR252" i="7"/>
  <c r="AL262" i="7"/>
  <c r="AR263" i="7"/>
  <c r="AR271" i="7"/>
  <c r="AR279" i="7"/>
  <c r="AR315" i="7"/>
  <c r="AK316" i="7"/>
  <c r="AP336" i="7"/>
  <c r="AO336" i="7"/>
  <c r="AK344" i="7"/>
  <c r="AS7" i="7"/>
  <c r="AS23" i="7"/>
  <c r="AM25" i="7"/>
  <c r="AK28" i="7"/>
  <c r="AL31" i="7"/>
  <c r="AR37" i="7"/>
  <c r="AL41" i="7"/>
  <c r="AR53" i="7"/>
  <c r="AP91" i="7"/>
  <c r="AP102" i="7"/>
  <c r="AO102" i="7"/>
  <c r="AL118" i="7"/>
  <c r="AK126" i="7"/>
  <c r="AL128" i="7"/>
  <c r="AL158" i="7"/>
  <c r="AL160" i="7"/>
  <c r="AP163" i="7"/>
  <c r="AO167" i="7"/>
  <c r="AO199" i="7"/>
  <c r="AP208" i="7"/>
  <c r="AO208" i="7"/>
  <c r="AL212" i="7"/>
  <c r="AR213" i="7"/>
  <c r="AM215" i="7"/>
  <c r="AP217" i="7"/>
  <c r="AO217" i="7"/>
  <c r="AM230" i="7"/>
  <c r="AL238" i="7"/>
  <c r="AP247" i="7"/>
  <c r="AL251" i="7"/>
  <c r="AP256" i="7"/>
  <c r="AR259" i="7"/>
  <c r="AL260" i="7"/>
  <c r="AL263" i="7"/>
  <c r="AK266" i="7"/>
  <c r="AM268" i="7"/>
  <c r="AP288" i="7"/>
  <c r="AO288" i="7"/>
  <c r="AL293" i="7"/>
  <c r="AP317" i="7"/>
  <c r="AL324" i="7"/>
  <c r="AO333" i="7"/>
  <c r="AR388" i="7"/>
  <c r="AP9" i="7"/>
  <c r="AP18" i="7"/>
  <c r="AO46" i="7"/>
  <c r="AR69" i="7"/>
  <c r="AL79" i="7"/>
  <c r="AR80" i="7"/>
  <c r="AP82" i="7"/>
  <c r="AM84" i="7"/>
  <c r="AP84" i="7"/>
  <c r="AL93" i="7"/>
  <c r="AL115" i="7"/>
  <c r="AM118" i="7"/>
  <c r="AM125" i="7"/>
  <c r="AM129" i="7"/>
  <c r="AP129" i="7"/>
  <c r="AP165" i="7"/>
  <c r="AP172" i="7"/>
  <c r="AP174" i="7"/>
  <c r="AP181" i="7"/>
  <c r="AP188" i="7"/>
  <c r="AP190" i="7"/>
  <c r="AK194" i="7"/>
  <c r="AP195" i="7"/>
  <c r="AM195" i="7"/>
  <c r="AL204" i="7"/>
  <c r="AP230" i="7"/>
  <c r="AP243" i="7"/>
  <c r="AM243" i="7"/>
  <c r="AP377" i="7"/>
  <c r="AS100" i="7"/>
  <c r="AK6" i="7"/>
  <c r="AL9" i="7"/>
  <c r="AK15" i="7"/>
  <c r="AL22" i="7"/>
  <c r="AL28" i="7"/>
  <c r="AK31" i="7"/>
  <c r="AL36" i="7"/>
  <c r="AK41" i="7"/>
  <c r="AL42" i="7"/>
  <c r="AO60" i="7"/>
  <c r="AM64" i="7"/>
  <c r="AM76" i="7"/>
  <c r="AM107" i="7"/>
  <c r="AP109" i="7"/>
  <c r="AP118" i="7"/>
  <c r="AO118" i="7"/>
  <c r="AM143" i="7"/>
  <c r="AK178" i="7"/>
  <c r="AP179" i="7"/>
  <c r="AM179" i="7"/>
  <c r="AL192" i="7"/>
  <c r="AL237" i="7"/>
  <c r="AP245" i="7"/>
  <c r="AR248" i="7"/>
  <c r="AK251" i="7"/>
  <c r="AM252" i="7"/>
  <c r="AP263" i="7"/>
  <c r="AL275" i="7"/>
  <c r="AM276" i="7"/>
  <c r="AK287" i="7"/>
  <c r="AR397" i="7"/>
  <c r="AR432" i="7"/>
  <c r="AR299" i="7"/>
  <c r="AM310" i="7"/>
  <c r="AM329" i="7"/>
  <c r="AP329" i="7"/>
  <c r="AR341" i="7"/>
  <c r="AM350" i="7"/>
  <c r="AL357" i="7"/>
  <c r="AK358" i="7"/>
  <c r="AR362" i="7"/>
  <c r="AR383" i="7"/>
  <c r="AO385" i="7"/>
  <c r="AR400" i="7"/>
  <c r="AR410" i="7"/>
  <c r="AK428" i="7"/>
  <c r="AM434" i="7"/>
  <c r="AK460" i="7"/>
  <c r="AM473" i="7"/>
  <c r="AR481" i="7"/>
  <c r="AM494" i="7"/>
  <c r="AR500" i="7"/>
  <c r="AM546" i="7"/>
  <c r="AO591" i="7"/>
  <c r="AM594" i="7"/>
  <c r="AO638" i="7"/>
  <c r="AP310" i="7"/>
  <c r="AM320" i="7"/>
  <c r="AP350" i="7"/>
  <c r="AM357" i="7"/>
  <c r="AR376" i="7"/>
  <c r="AP378" i="7"/>
  <c r="AR391" i="7"/>
  <c r="AM393" i="7"/>
  <c r="AM402" i="7"/>
  <c r="AM405" i="7"/>
  <c r="AM412" i="7"/>
  <c r="AO414" i="7"/>
  <c r="AP414" i="7"/>
  <c r="AR420" i="7"/>
  <c r="AP444" i="7"/>
  <c r="AP489" i="7"/>
  <c r="AR516" i="7"/>
  <c r="AP586" i="7"/>
  <c r="AP622" i="7"/>
  <c r="AL338" i="7"/>
  <c r="AK355" i="7"/>
  <c r="AL390" i="7"/>
  <c r="AL444" i="7"/>
  <c r="AL447" i="7"/>
  <c r="AK479" i="7"/>
  <c r="AM521" i="7"/>
  <c r="AP521" i="7"/>
  <c r="AO521" i="7"/>
  <c r="AL534" i="7"/>
  <c r="AO549" i="7"/>
  <c r="AP549" i="7"/>
  <c r="AM277" i="7"/>
  <c r="AL281" i="7"/>
  <c r="AR287" i="7"/>
  <c r="AP289" i="7"/>
  <c r="AO289" i="7"/>
  <c r="AM291" i="7"/>
  <c r="AR294" i="7"/>
  <c r="AK295" i="7"/>
  <c r="AK304" i="7"/>
  <c r="AM308" i="7"/>
  <c r="AK312" i="7"/>
  <c r="AM313" i="7"/>
  <c r="AL317" i="7"/>
  <c r="AL325" i="7"/>
  <c r="AK326" i="7"/>
  <c r="AK330" i="7"/>
  <c r="AP334" i="7"/>
  <c r="AK339" i="7"/>
  <c r="AP341" i="7"/>
  <c r="AL345" i="7"/>
  <c r="AL346" i="7"/>
  <c r="AK352" i="7"/>
  <c r="AL353" i="7"/>
  <c r="AK354" i="7"/>
  <c r="AR355" i="7"/>
  <c r="AO357" i="7"/>
  <c r="AR360" i="7"/>
  <c r="AK361" i="7"/>
  <c r="AP362" i="7"/>
  <c r="AP369" i="7"/>
  <c r="AO369" i="7"/>
  <c r="AM371" i="7"/>
  <c r="AO371" i="7"/>
  <c r="AK379" i="7"/>
  <c r="AR381" i="7"/>
  <c r="AK382" i="7"/>
  <c r="AP383" i="7"/>
  <c r="AK398" i="7"/>
  <c r="AR398" i="7"/>
  <c r="AP407" i="7"/>
  <c r="AP410" i="7"/>
  <c r="AM440" i="7"/>
  <c r="AP450" i="7"/>
  <c r="AP453" i="7"/>
  <c r="AK472" i="7"/>
  <c r="AR479" i="7"/>
  <c r="AP492" i="7"/>
  <c r="AK503" i="7"/>
  <c r="AM513" i="7"/>
  <c r="AM538" i="7"/>
  <c r="AO538" i="7"/>
  <c r="AR541" i="7"/>
  <c r="AO555" i="7"/>
  <c r="AK557" i="7"/>
  <c r="AM572" i="7"/>
  <c r="AM575" i="7"/>
  <c r="AM603" i="7"/>
  <c r="AO603" i="7"/>
  <c r="AM612" i="7"/>
  <c r="AO612" i="7"/>
  <c r="AO623" i="7"/>
  <c r="AK636" i="7"/>
  <c r="AK389" i="7"/>
  <c r="AL397" i="7"/>
  <c r="AL424" i="7"/>
  <c r="AL450" i="7"/>
  <c r="AL453" i="7"/>
  <c r="AK468" i="7"/>
  <c r="AO500" i="7"/>
  <c r="AP500" i="7"/>
  <c r="AL537" i="7"/>
  <c r="AO575" i="7"/>
  <c r="AR275" i="7"/>
  <c r="AR280" i="7"/>
  <c r="AM294" i="7"/>
  <c r="AL310" i="7"/>
  <c r="AK317" i="7"/>
  <c r="AM318" i="7"/>
  <c r="AL322" i="7"/>
  <c r="AP325" i="7"/>
  <c r="AL329" i="7"/>
  <c r="AL330" i="7"/>
  <c r="AM337" i="7"/>
  <c r="AK345" i="7"/>
  <c r="AO353" i="7"/>
  <c r="AM355" i="7"/>
  <c r="AO355" i="7"/>
  <c r="AK363" i="7"/>
  <c r="AR365" i="7"/>
  <c r="AK366" i="7"/>
  <c r="AR374" i="7"/>
  <c r="AK375" i="7"/>
  <c r="AR384" i="7"/>
  <c r="AR389" i="7"/>
  <c r="AK394" i="7"/>
  <c r="AL398" i="7"/>
  <c r="AP402" i="7"/>
  <c r="AP405" i="7"/>
  <c r="AP412" i="7"/>
  <c r="AL414" i="7"/>
  <c r="AP415" i="7"/>
  <c r="AK423" i="7"/>
  <c r="AR423" i="7"/>
  <c r="AM438" i="7"/>
  <c r="AM462" i="7"/>
  <c r="AR495" i="7"/>
  <c r="AK515" i="7"/>
  <c r="AL543" i="7"/>
  <c r="AP558" i="7"/>
  <c r="AK563" i="7"/>
  <c r="AL586" i="7"/>
  <c r="AK292" i="7"/>
  <c r="AP294" i="7"/>
  <c r="AL296" i="7"/>
  <c r="AK314" i="7"/>
  <c r="AO337" i="7"/>
  <c r="AO381" i="7"/>
  <c r="AK397" i="7"/>
  <c r="AL403" i="7"/>
  <c r="AK419" i="7"/>
  <c r="AK464" i="7"/>
  <c r="AL468" i="7"/>
  <c r="AK483" i="7"/>
  <c r="AL522" i="7"/>
  <c r="AK537" i="7"/>
  <c r="AK283" i="7"/>
  <c r="AL299" i="7"/>
  <c r="AL301" i="7"/>
  <c r="AL309" i="7"/>
  <c r="AK310" i="7"/>
  <c r="AR314" i="7"/>
  <c r="AL321" i="7"/>
  <c r="AK322" i="7"/>
  <c r="AR323" i="7"/>
  <c r="AK329" i="7"/>
  <c r="AP330" i="7"/>
  <c r="AK347" i="7"/>
  <c r="AR349" i="7"/>
  <c r="AK350" i="7"/>
  <c r="AP351" i="7"/>
  <c r="AR358" i="7"/>
  <c r="AK359" i="7"/>
  <c r="AO379" i="7"/>
  <c r="AL394" i="7"/>
  <c r="AP398" i="7"/>
  <c r="AK401" i="7"/>
  <c r="AM403" i="7"/>
  <c r="AK436" i="7"/>
  <c r="AK437" i="7"/>
  <c r="AR446" i="7"/>
  <c r="AR460" i="7"/>
  <c r="AK461" i="7"/>
  <c r="AR463" i="7"/>
  <c r="AK489" i="7"/>
  <c r="AO519" i="7"/>
  <c r="AK543" i="7"/>
  <c r="AO587" i="7"/>
  <c r="AL606" i="7"/>
  <c r="AR616" i="7"/>
  <c r="AL277" i="7"/>
  <c r="AR278" i="7"/>
  <c r="AO280" i="7"/>
  <c r="AK288" i="7"/>
  <c r="AL291" i="7"/>
  <c r="AL292" i="7"/>
  <c r="AK296" i="7"/>
  <c r="AP297" i="7"/>
  <c r="AO304" i="7"/>
  <c r="AM309" i="7"/>
  <c r="AL313" i="7"/>
  <c r="AL314" i="7"/>
  <c r="AM321" i="7"/>
  <c r="AM335" i="7"/>
  <c r="AK343" i="7"/>
  <c r="AM365" i="7"/>
  <c r="AO365" i="7"/>
  <c r="AL371" i="7"/>
  <c r="AP374" i="7"/>
  <c r="AM384" i="7"/>
  <c r="AP391" i="7"/>
  <c r="AK402" i="7"/>
  <c r="AP403" i="7"/>
  <c r="AM411" i="7"/>
  <c r="AK412" i="7"/>
  <c r="AM418" i="7"/>
  <c r="AO418" i="7"/>
  <c r="AO423" i="7"/>
  <c r="AK426" i="7"/>
  <c r="AR436" i="7"/>
  <c r="AR441" i="7"/>
  <c r="AK442" i="7"/>
  <c r="AK452" i="7"/>
  <c r="AM457" i="7"/>
  <c r="AR488" i="7"/>
  <c r="AP495" i="7"/>
  <c r="AO495" i="7"/>
  <c r="AO498" i="7"/>
  <c r="AP498" i="7"/>
  <c r="AP506" i="7"/>
  <c r="AM511" i="7"/>
  <c r="AO511" i="7"/>
  <c r="AM514" i="7"/>
  <c r="AL525" i="7"/>
  <c r="AP544" i="7"/>
  <c r="AR548" i="7"/>
  <c r="AP567" i="7"/>
  <c r="AO570" i="7"/>
  <c r="AM573" i="7"/>
  <c r="AL575" i="7"/>
  <c r="AM630" i="7"/>
  <c r="AK301" i="7"/>
  <c r="AL302" i="7"/>
  <c r="AP309" i="7"/>
  <c r="AP321" i="7"/>
  <c r="AO321" i="7"/>
  <c r="AK334" i="7"/>
  <c r="AP335" i="7"/>
  <c r="AO363" i="7"/>
  <c r="AL372" i="7"/>
  <c r="AP381" i="7"/>
  <c r="AP384" i="7"/>
  <c r="AP413" i="7"/>
  <c r="AL436" i="7"/>
  <c r="AP457" i="7"/>
  <c r="AO573" i="7"/>
  <c r="AP573" i="7"/>
  <c r="AP601" i="7"/>
  <c r="AO613" i="7"/>
  <c r="AP630" i="7"/>
  <c r="AK291" i="7"/>
  <c r="AP292" i="7"/>
  <c r="AL294" i="7"/>
  <c r="AR298" i="7"/>
  <c r="AM302" i="7"/>
  <c r="AO309" i="7"/>
  <c r="AK313" i="7"/>
  <c r="AP314" i="7"/>
  <c r="AR326" i="7"/>
  <c r="AK327" i="7"/>
  <c r="AR331" i="7"/>
  <c r="AM342" i="7"/>
  <c r="AM349" i="7"/>
  <c r="AO349" i="7"/>
  <c r="AL355" i="7"/>
  <c r="AR356" i="7"/>
  <c r="AP358" i="7"/>
  <c r="AM368" i="7"/>
  <c r="AM372" i="7"/>
  <c r="AL377" i="7"/>
  <c r="AL381" i="7"/>
  <c r="AM392" i="7"/>
  <c r="AM399" i="7"/>
  <c r="AR409" i="7"/>
  <c r="AL426" i="7"/>
  <c r="AM431" i="7"/>
  <c r="AR439" i="7"/>
  <c r="AK440" i="7"/>
  <c r="AM441" i="7"/>
  <c r="AK456" i="7"/>
  <c r="AM477" i="7"/>
  <c r="AP477" i="7"/>
  <c r="AM501" i="7"/>
  <c r="AO539" i="7"/>
  <c r="AL541" i="7"/>
  <c r="AR568" i="7"/>
  <c r="AK575" i="7"/>
  <c r="AK578" i="7"/>
  <c r="AR580" i="7"/>
  <c r="AP582" i="7"/>
  <c r="AO598" i="7"/>
  <c r="AP598" i="7"/>
  <c r="AK612" i="7"/>
  <c r="AO640" i="7"/>
  <c r="AR276" i="7"/>
  <c r="AP278" i="7"/>
  <c r="AR293" i="7"/>
  <c r="AL298" i="7"/>
  <c r="AP302" i="7"/>
  <c r="AK306" i="7"/>
  <c r="AM319" i="7"/>
  <c r="AR336" i="7"/>
  <c r="AP342" i="7"/>
  <c r="AL356" i="7"/>
  <c r="AP368" i="7"/>
  <c r="AP372" i="7"/>
  <c r="AK376" i="7"/>
  <c r="AM377" i="7"/>
  <c r="AL382" i="7"/>
  <c r="AP392" i="7"/>
  <c r="AL404" i="7"/>
  <c r="AK420" i="7"/>
  <c r="AP431" i="7"/>
  <c r="AP436" i="7"/>
  <c r="AP441" i="7"/>
  <c r="AM455" i="7"/>
  <c r="AP501" i="7"/>
  <c r="AO501" i="7"/>
  <c r="AM545" i="7"/>
  <c r="AM548" i="7"/>
  <c r="AP551" i="7"/>
  <c r="AO551" i="7"/>
  <c r="AL557" i="7"/>
  <c r="AR324" i="7"/>
  <c r="AP326" i="7"/>
  <c r="AM340" i="7"/>
  <c r="AR373" i="7"/>
  <c r="AM390" i="7"/>
  <c r="AO439" i="7"/>
  <c r="AR458" i="7"/>
  <c r="AR464" i="7"/>
  <c r="AR483" i="7"/>
  <c r="AM499" i="7"/>
  <c r="AR608" i="7"/>
  <c r="AP619" i="7"/>
  <c r="AO619" i="7"/>
  <c r="AM622" i="7"/>
  <c r="AM625" i="7"/>
  <c r="AL589" i="7"/>
  <c r="AL601" i="7"/>
  <c r="AR602" i="7"/>
  <c r="AP604" i="7"/>
  <c r="AL622" i="7"/>
  <c r="AR474" i="7"/>
  <c r="AM478" i="7"/>
  <c r="AK482" i="7"/>
  <c r="AM486" i="7"/>
  <c r="AM495" i="7"/>
  <c r="AR512" i="7"/>
  <c r="AP526" i="7"/>
  <c r="AO536" i="7"/>
  <c r="AP536" i="7"/>
  <c r="AR549" i="7"/>
  <c r="AL565" i="7"/>
  <c r="AK588" i="7"/>
  <c r="AL592" i="7"/>
  <c r="AK596" i="7"/>
  <c r="AK609" i="7"/>
  <c r="AM618" i="7"/>
  <c r="AK635" i="7"/>
  <c r="AR637" i="7"/>
  <c r="AM639" i="7"/>
  <c r="G8" i="10"/>
  <c r="AP548" i="7"/>
  <c r="AR564" i="7"/>
  <c r="AL570" i="7"/>
  <c r="AL580" i="7"/>
  <c r="AM590" i="7"/>
  <c r="AM592" i="7"/>
  <c r="AM602" i="7"/>
  <c r="AP606" i="7"/>
  <c r="AL613" i="7"/>
  <c r="AP618" i="7"/>
  <c r="AO618" i="7"/>
  <c r="AR621" i="7"/>
  <c r="AM623" i="7"/>
  <c r="AM628" i="7"/>
  <c r="AP633" i="7"/>
  <c r="AP639" i="7"/>
  <c r="AO639" i="7"/>
  <c r="AR642" i="7"/>
  <c r="AR405" i="7"/>
  <c r="AM423" i="7"/>
  <c r="AL429" i="7"/>
  <c r="AK430" i="7"/>
  <c r="AR430" i="7"/>
  <c r="AM437" i="7"/>
  <c r="AK445" i="7"/>
  <c r="AL451" i="7"/>
  <c r="AM456" i="7"/>
  <c r="AL463" i="7"/>
  <c r="AM466" i="7"/>
  <c r="AM469" i="7"/>
  <c r="AR489" i="7"/>
  <c r="AR503" i="7"/>
  <c r="AK511" i="7"/>
  <c r="AL514" i="7"/>
  <c r="AK516" i="7"/>
  <c r="AM517" i="7"/>
  <c r="AL521" i="7"/>
  <c r="AK526" i="7"/>
  <c r="AK538" i="7"/>
  <c r="AM539" i="7"/>
  <c r="AR544" i="7"/>
  <c r="AL553" i="7"/>
  <c r="AR557" i="7"/>
  <c r="AM559" i="7"/>
  <c r="AP566" i="7"/>
  <c r="AK570" i="7"/>
  <c r="AR576" i="7"/>
  <c r="AP578" i="7"/>
  <c r="AK580" i="7"/>
  <c r="AL585" i="7"/>
  <c r="AR593" i="7"/>
  <c r="AM600" i="7"/>
  <c r="AM614" i="7"/>
  <c r="AL621" i="7"/>
  <c r="AL626" i="7"/>
  <c r="AM634" i="7"/>
  <c r="AP641" i="7"/>
  <c r="AK429" i="7"/>
  <c r="AL430" i="7"/>
  <c r="AP434" i="7"/>
  <c r="AM444" i="7"/>
  <c r="AL459" i="7"/>
  <c r="AL471" i="7"/>
  <c r="AR472" i="7"/>
  <c r="AP476" i="7"/>
  <c r="AM489" i="7"/>
  <c r="AM503" i="7"/>
  <c r="AR506" i="7"/>
  <c r="AK513" i="7"/>
  <c r="AK521" i="7"/>
  <c r="AK531" i="7"/>
  <c r="AK535" i="7"/>
  <c r="AR537" i="7"/>
  <c r="AK568" i="7"/>
  <c r="AK572" i="7"/>
  <c r="AM586" i="7"/>
  <c r="AP590" i="7"/>
  <c r="AK608" i="7"/>
  <c r="AK611" i="7"/>
  <c r="AP628" i="7"/>
  <c r="AK640" i="7"/>
  <c r="AR640" i="7"/>
  <c r="AL410" i="7"/>
  <c r="AM414" i="7"/>
  <c r="AM426" i="7"/>
  <c r="AM428" i="7"/>
  <c r="AP430" i="7"/>
  <c r="AK431" i="7"/>
  <c r="AL435" i="7"/>
  <c r="AP437" i="7"/>
  <c r="AM442" i="7"/>
  <c r="AM447" i="7"/>
  <c r="AL454" i="7"/>
  <c r="AK462" i="7"/>
  <c r="AP466" i="7"/>
  <c r="AP469" i="7"/>
  <c r="AK471" i="7"/>
  <c r="AR482" i="7"/>
  <c r="AL506" i="7"/>
  <c r="AL513" i="7"/>
  <c r="AL535" i="7"/>
  <c r="AR545" i="7"/>
  <c r="AP552" i="7"/>
  <c r="AK556" i="7"/>
  <c r="AL566" i="7"/>
  <c r="AL567" i="7"/>
  <c r="AK577" i="7"/>
  <c r="AL581" i="7"/>
  <c r="AR582" i="7"/>
  <c r="AL603" i="7"/>
  <c r="AL610" i="7"/>
  <c r="AK615" i="7"/>
  <c r="AK618" i="7"/>
  <c r="AL619" i="7"/>
  <c r="AR624" i="7"/>
  <c r="AR635" i="7"/>
  <c r="AK418" i="7"/>
  <c r="AL419" i="7"/>
  <c r="AL423" i="7"/>
  <c r="AP426" i="7"/>
  <c r="AK434" i="7"/>
  <c r="AM435" i="7"/>
  <c r="AK439" i="7"/>
  <c r="AP442" i="7"/>
  <c r="AP447" i="7"/>
  <c r="AL452" i="7"/>
  <c r="AK458" i="7"/>
  <c r="AM470" i="7"/>
  <c r="AK476" i="7"/>
  <c r="AK481" i="7"/>
  <c r="AK485" i="7"/>
  <c r="AL498" i="7"/>
  <c r="AL505" i="7"/>
  <c r="AP510" i="7"/>
  <c r="AL527" i="7"/>
  <c r="AM537" i="7"/>
  <c r="AO537" i="7"/>
  <c r="AL549" i="7"/>
  <c r="AL559" i="7"/>
  <c r="AM567" i="7"/>
  <c r="AK590" i="7"/>
  <c r="AK602" i="7"/>
  <c r="AL614" i="7"/>
  <c r="AK623" i="7"/>
  <c r="AK628" i="7"/>
  <c r="AP629" i="7"/>
  <c r="AM640" i="7"/>
  <c r="AK599" i="7"/>
  <c r="AM601" i="7"/>
  <c r="AL612" i="7"/>
  <c r="AP617" i="7"/>
  <c r="AO617" i="7"/>
  <c r="AP624" i="7"/>
  <c r="AK625" i="7"/>
  <c r="AM638" i="7"/>
  <c r="AL443" i="7"/>
  <c r="AK444" i="7"/>
  <c r="AK451" i="7"/>
  <c r="AP452" i="7"/>
  <c r="AK453" i="7"/>
  <c r="AR455" i="7"/>
  <c r="AM464" i="7"/>
  <c r="AR469" i="7"/>
  <c r="AM471" i="7"/>
  <c r="AK478" i="7"/>
  <c r="AR494" i="7"/>
  <c r="AM502" i="7"/>
  <c r="AL511" i="7"/>
  <c r="AL512" i="7"/>
  <c r="AL519" i="7"/>
  <c r="AK520" i="7"/>
  <c r="AP523" i="7"/>
  <c r="AO523" i="7"/>
  <c r="AL528" i="7"/>
  <c r="AP532" i="7"/>
  <c r="AP535" i="7"/>
  <c r="AL544" i="7"/>
  <c r="AK548" i="7"/>
  <c r="AM549" i="7"/>
  <c r="AP553" i="7"/>
  <c r="AL558" i="7"/>
  <c r="AK569" i="7"/>
  <c r="AM570" i="7"/>
  <c r="AP576" i="7"/>
  <c r="AP585" i="7"/>
  <c r="AK591" i="7"/>
  <c r="AR592" i="7"/>
  <c r="AP599" i="7"/>
  <c r="AR619" i="7"/>
  <c r="AR626" i="7"/>
  <c r="AM636" i="7"/>
  <c r="B9" i="10"/>
  <c r="G633" i="13"/>
  <c r="G617" i="13"/>
  <c r="G601" i="13"/>
  <c r="G585" i="13"/>
  <c r="G569" i="13"/>
  <c r="G553" i="13"/>
  <c r="G537" i="13"/>
  <c r="G521" i="13"/>
  <c r="G505" i="13"/>
  <c r="G489" i="13"/>
  <c r="G473" i="13"/>
  <c r="G457" i="13"/>
  <c r="G441" i="13"/>
  <c r="G425" i="13"/>
  <c r="G409" i="13"/>
  <c r="G393" i="13"/>
  <c r="G377" i="13"/>
  <c r="G361" i="13"/>
  <c r="G345" i="13"/>
  <c r="G329" i="13"/>
  <c r="G313" i="13"/>
  <c r="G297" i="13"/>
  <c r="G281" i="13"/>
  <c r="G265" i="13"/>
  <c r="G249" i="13"/>
  <c r="G233" i="13"/>
  <c r="G217" i="13"/>
  <c r="G201" i="13"/>
  <c r="G185" i="13"/>
  <c r="G169" i="13"/>
  <c r="G153" i="13"/>
  <c r="G137" i="13"/>
  <c r="G121" i="13"/>
  <c r="G105" i="13"/>
  <c r="G89" i="13"/>
  <c r="G73" i="13"/>
  <c r="G57" i="13"/>
  <c r="G41" i="13"/>
  <c r="G25" i="13"/>
  <c r="G9" i="13"/>
  <c r="AM430" i="7"/>
  <c r="AR433" i="7"/>
  <c r="AL434" i="7"/>
  <c r="AR442" i="7"/>
  <c r="AP446" i="7"/>
  <c r="AK447" i="7"/>
  <c r="AK450" i="7"/>
  <c r="AP454" i="7"/>
  <c r="AK455" i="7"/>
  <c r="AP458" i="7"/>
  <c r="AM463" i="7"/>
  <c r="AP467" i="7"/>
  <c r="AL476" i="7"/>
  <c r="AL492" i="7"/>
  <c r="AR493" i="7"/>
  <c r="AK505" i="7"/>
  <c r="AR511" i="7"/>
  <c r="AL517" i="7"/>
  <c r="AR518" i="7"/>
  <c r="AM520" i="7"/>
  <c r="AK525" i="7"/>
  <c r="AR532" i="7"/>
  <c r="AM541" i="7"/>
  <c r="AK551" i="7"/>
  <c r="AL552" i="7"/>
  <c r="AK554" i="7"/>
  <c r="AM555" i="7"/>
  <c r="AP564" i="7"/>
  <c r="AR565" i="7"/>
  <c r="AP571" i="7"/>
  <c r="AO571" i="7"/>
  <c r="AM578" i="7"/>
  <c r="AR587" i="7"/>
  <c r="AM591" i="7"/>
  <c r="AK592" i="7"/>
  <c r="AR594" i="7"/>
  <c r="AK595" i="7"/>
  <c r="AK597" i="7"/>
  <c r="AM598" i="7"/>
  <c r="AR605" i="7"/>
  <c r="AK619" i="7"/>
  <c r="AP620" i="7"/>
  <c r="AL623" i="7"/>
  <c r="AM642" i="7"/>
  <c r="B11" i="10"/>
  <c r="AK634" i="7"/>
  <c r="AP635" i="7"/>
  <c r="AO635" i="7"/>
  <c r="AK639" i="7"/>
  <c r="H5" i="10"/>
  <c r="AS119" i="7"/>
  <c r="AS6" i="7"/>
  <c r="AM17" i="7"/>
  <c r="AM23" i="7"/>
  <c r="AS80" i="7"/>
  <c r="AS146" i="7"/>
  <c r="AS224" i="7"/>
  <c r="AS253" i="7"/>
  <c r="AS32" i="7"/>
  <c r="AS36" i="7"/>
  <c r="AS42" i="7"/>
  <c r="AS65" i="7"/>
  <c r="AS69" i="7"/>
  <c r="AS77" i="7"/>
  <c r="AS111" i="7"/>
  <c r="AS115" i="7"/>
  <c r="AM119" i="7"/>
  <c r="AP239" i="7"/>
  <c r="AO239" i="7"/>
  <c r="AS257" i="7"/>
  <c r="AS264" i="7"/>
  <c r="AS54" i="7"/>
  <c r="AP88" i="7"/>
  <c r="AM88" i="7"/>
  <c r="AR91" i="7"/>
  <c r="AS13" i="7"/>
  <c r="AP17" i="7"/>
  <c r="AS28" i="7"/>
  <c r="AR28" i="7"/>
  <c r="AP39" i="7"/>
  <c r="AO39" i="7"/>
  <c r="AS59" i="7"/>
  <c r="AR59" i="7"/>
  <c r="AS102" i="7"/>
  <c r="AP119" i="7"/>
  <c r="AO119" i="7"/>
  <c r="AS183" i="7"/>
  <c r="AS231" i="7"/>
  <c r="AS234" i="7"/>
  <c r="AS76" i="7"/>
  <c r="AS241" i="7"/>
  <c r="AS235" i="7"/>
  <c r="AP23" i="7"/>
  <c r="AO23" i="7"/>
  <c r="AS44" i="7"/>
  <c r="AS48" i="7"/>
  <c r="AS79" i="7"/>
  <c r="AS84" i="7"/>
  <c r="AS87" i="7"/>
  <c r="AS124" i="7"/>
  <c r="AS133" i="7"/>
  <c r="AS142" i="7"/>
  <c r="AS144" i="7"/>
  <c r="AS35" i="7"/>
  <c r="AS55" i="7"/>
  <c r="AS70" i="7"/>
  <c r="AP104" i="7"/>
  <c r="AM104" i="7"/>
  <c r="AS105" i="7"/>
  <c r="AS113" i="7"/>
  <c r="AS128" i="7"/>
  <c r="AS220" i="7"/>
  <c r="AS12" i="7"/>
  <c r="AL15" i="7"/>
  <c r="AS21" i="7"/>
  <c r="AS52" i="7"/>
  <c r="AP72" i="7"/>
  <c r="AM72" i="7"/>
  <c r="AS73" i="7"/>
  <c r="AS83" i="7"/>
  <c r="AS90" i="7"/>
  <c r="AS92" i="7"/>
  <c r="AR92" i="7"/>
  <c r="AL97" i="7"/>
  <c r="AO104" i="7"/>
  <c r="AS117" i="7"/>
  <c r="AS125" i="7"/>
  <c r="AS151" i="7"/>
  <c r="AS101" i="7"/>
  <c r="AS10" i="7"/>
  <c r="AP21" i="7"/>
  <c r="AO21" i="7"/>
  <c r="AS26" i="7"/>
  <c r="AO8" i="7"/>
  <c r="AS16" i="7"/>
  <c r="AS31" i="7"/>
  <c r="AK43" i="7"/>
  <c r="AM55" i="7"/>
  <c r="AO72" i="7"/>
  <c r="AP87" i="7"/>
  <c r="AO87" i="7"/>
  <c r="AS107" i="7"/>
  <c r="AR107" i="7"/>
  <c r="AS122" i="7"/>
  <c r="AS109" i="7"/>
  <c r="AS19" i="7"/>
  <c r="AS15" i="7"/>
  <c r="AS9" i="7"/>
  <c r="AS11" i="7"/>
  <c r="AS37" i="7"/>
  <c r="AS47" i="7"/>
  <c r="AS51" i="7"/>
  <c r="AP55" i="7"/>
  <c r="AO55" i="7"/>
  <c r="AS81" i="7"/>
  <c r="AS96" i="7"/>
  <c r="AS127" i="7"/>
  <c r="AS167" i="7"/>
  <c r="AS210" i="7"/>
  <c r="AS97" i="7"/>
  <c r="AP186" i="7"/>
  <c r="AO186" i="7"/>
  <c r="AS20" i="7"/>
  <c r="AS91" i="7"/>
  <c r="AL12" i="7"/>
  <c r="AS22" i="7"/>
  <c r="AR22" i="7"/>
  <c r="AS33" i="7"/>
  <c r="AS60" i="7"/>
  <c r="AR60" i="7"/>
  <c r="AL65" i="7"/>
  <c r="AS75" i="7"/>
  <c r="AR75" i="7"/>
  <c r="AS93" i="7"/>
  <c r="AS118" i="7"/>
  <c r="AP56" i="7"/>
  <c r="AM56" i="7"/>
  <c r="AS85" i="7"/>
  <c r="AS103" i="7"/>
  <c r="AS174" i="7"/>
  <c r="AS190" i="7"/>
  <c r="AP152" i="7"/>
  <c r="AO152" i="7"/>
  <c r="AS39" i="7"/>
  <c r="AO88" i="7"/>
  <c r="AS633" i="7"/>
  <c r="AS639" i="7"/>
  <c r="AS550" i="7"/>
  <c r="AS534" i="7"/>
  <c r="AS641" i="7"/>
  <c r="AS621" i="7"/>
  <c r="AS605" i="7"/>
  <c r="AS589" i="7"/>
  <c r="AS573" i="7"/>
  <c r="AS557" i="7"/>
  <c r="AS541" i="7"/>
  <c r="AS525" i="7"/>
  <c r="AS595" i="7"/>
  <c r="AS579" i="7"/>
  <c r="AS563" i="7"/>
  <c r="AS574" i="7"/>
  <c r="AS570" i="7"/>
  <c r="AS518" i="7"/>
  <c r="AS500" i="7"/>
  <c r="AS494" i="7"/>
  <c r="AS590" i="7"/>
  <c r="AS586" i="7"/>
  <c r="AS531" i="7"/>
  <c r="AS506" i="7"/>
  <c r="AS634" i="7"/>
  <c r="AS547" i="7"/>
  <c r="AS521" i="7"/>
  <c r="AS629" i="7"/>
  <c r="AS509" i="7"/>
  <c r="AS491" i="7"/>
  <c r="AS486" i="7"/>
  <c r="AS470" i="7"/>
  <c r="AS454" i="7"/>
  <c r="AS438" i="7"/>
  <c r="AS422" i="7"/>
  <c r="AS406" i="7"/>
  <c r="AS390" i="7"/>
  <c r="AS565" i="7"/>
  <c r="AS465" i="7"/>
  <c r="AS449" i="7"/>
  <c r="AS433" i="7"/>
  <c r="AS417" i="7"/>
  <c r="AS501" i="7"/>
  <c r="AS495" i="7"/>
  <c r="AS606" i="7"/>
  <c r="AS602" i="7"/>
  <c r="AS517" i="7"/>
  <c r="AS487" i="7"/>
  <c r="AS471" i="7"/>
  <c r="AS455" i="7"/>
  <c r="AS439" i="7"/>
  <c r="AS423" i="7"/>
  <c r="AS407" i="7"/>
  <c r="AS515" i="7"/>
  <c r="AS560" i="7"/>
  <c r="AS528" i="7"/>
  <c r="AS522" i="7"/>
  <c r="AS505" i="7"/>
  <c r="AS413" i="7"/>
  <c r="AS618" i="7"/>
  <c r="AS581" i="7"/>
  <c r="AS478" i="7"/>
  <c r="AS445" i="7"/>
  <c r="AS430" i="7"/>
  <c r="AS554" i="7"/>
  <c r="AS538" i="7"/>
  <c r="AS622" i="7"/>
  <c r="AS385" i="7"/>
  <c r="AS369" i="7"/>
  <c r="AS353" i="7"/>
  <c r="AS337" i="7"/>
  <c r="AS321" i="7"/>
  <c r="AS305" i="7"/>
  <c r="AS289" i="7"/>
  <c r="AS456" i="7"/>
  <c r="AS392" i="7"/>
  <c r="AS380" i="7"/>
  <c r="AS364" i="7"/>
  <c r="AS348" i="7"/>
  <c r="AS332" i="7"/>
  <c r="AS316" i="7"/>
  <c r="AS624" i="7"/>
  <c r="AS499" i="7"/>
  <c r="AS542" i="7"/>
  <c r="AS477" i="7"/>
  <c r="AS429" i="7"/>
  <c r="AS398" i="7"/>
  <c r="AS558" i="7"/>
  <c r="AS488" i="7"/>
  <c r="AS462" i="7"/>
  <c r="AS408" i="7"/>
  <c r="AS386" i="7"/>
  <c r="AS381" i="7"/>
  <c r="AS365" i="7"/>
  <c r="AS349" i="7"/>
  <c r="AS333" i="7"/>
  <c r="AS317" i="7"/>
  <c r="AS301" i="7"/>
  <c r="AS544" i="7"/>
  <c r="AS526" i="7"/>
  <c r="AS440" i="7"/>
  <c r="AS414" i="7"/>
  <c r="AS401" i="7"/>
  <c r="AS461" i="7"/>
  <c r="AS300" i="7"/>
  <c r="AS259" i="7"/>
  <c r="AS243" i="7"/>
  <c r="AS227" i="7"/>
  <c r="AS211" i="7"/>
  <c r="AS195" i="7"/>
  <c r="AS179" i="7"/>
  <c r="AS163" i="7"/>
  <c r="AS147" i="7"/>
  <c r="AS377" i="7"/>
  <c r="AS403" i="7"/>
  <c r="AS361" i="7"/>
  <c r="AS284" i="7"/>
  <c r="AS345" i="7"/>
  <c r="AS269" i="7"/>
  <c r="AS255" i="7"/>
  <c r="AS239" i="7"/>
  <c r="AS223" i="7"/>
  <c r="AS207" i="7"/>
  <c r="AS191" i="7"/>
  <c r="AS175" i="7"/>
  <c r="AS159" i="7"/>
  <c r="AS143" i="7"/>
  <c r="AS329" i="7"/>
  <c r="AS313" i="7"/>
  <c r="AS391" i="7"/>
  <c r="AS356" i="7"/>
  <c r="AS273" i="7"/>
  <c r="AS261" i="7"/>
  <c r="AS245" i="7"/>
  <c r="AS229" i="7"/>
  <c r="AS446" i="7"/>
  <c r="AS297" i="7"/>
  <c r="AS279" i="7"/>
  <c r="AS397" i="7"/>
  <c r="AS324" i="7"/>
  <c r="AS292" i="7"/>
  <c r="AS285" i="7"/>
  <c r="AS262" i="7"/>
  <c r="AS246" i="7"/>
  <c r="AS230" i="7"/>
  <c r="AS214" i="7"/>
  <c r="AS281" i="7"/>
  <c r="AS252" i="7"/>
  <c r="AS213" i="7"/>
  <c r="AS181" i="7"/>
  <c r="AS236" i="7"/>
  <c r="AS149" i="7"/>
  <c r="AS204" i="7"/>
  <c r="AS172" i="7"/>
  <c r="AS130" i="7"/>
  <c r="AS114" i="7"/>
  <c r="AS98" i="7"/>
  <c r="AS82" i="7"/>
  <c r="AS66" i="7"/>
  <c r="AS50" i="7"/>
  <c r="AS34" i="7"/>
  <c r="AS197" i="7"/>
  <c r="AS165" i="7"/>
  <c r="AS120" i="7"/>
  <c r="AS104" i="7"/>
  <c r="AS88" i="7"/>
  <c r="AS72" i="7"/>
  <c r="AS56" i="7"/>
  <c r="AS40" i="7"/>
  <c r="AS24" i="7"/>
  <c r="AS140" i="7"/>
  <c r="AS222" i="7"/>
  <c r="AS126" i="7"/>
  <c r="AS110" i="7"/>
  <c r="AS94" i="7"/>
  <c r="AS78" i="7"/>
  <c r="AS62" i="7"/>
  <c r="AS46" i="7"/>
  <c r="AS30" i="7"/>
  <c r="AS188" i="7"/>
  <c r="AS158" i="7"/>
  <c r="AS156" i="7"/>
  <c r="AS135" i="7"/>
  <c r="AS131" i="7"/>
  <c r="AP11" i="7"/>
  <c r="AO11" i="7"/>
  <c r="AM18" i="7"/>
  <c r="AS38" i="7"/>
  <c r="AS49" i="7"/>
  <c r="AS64" i="7"/>
  <c r="AS71" i="7"/>
  <c r="AS95" i="7"/>
  <c r="AP120" i="7"/>
  <c r="AM120" i="7"/>
  <c r="AS121" i="7"/>
  <c r="AS129" i="7"/>
  <c r="AS161" i="7"/>
  <c r="AS206" i="7"/>
  <c r="AS116" i="7"/>
  <c r="AP24" i="7"/>
  <c r="AM24" i="7"/>
  <c r="AP40" i="7"/>
  <c r="AM40" i="7"/>
  <c r="AS14" i="7"/>
  <c r="AO18" i="7"/>
  <c r="AS45" i="7"/>
  <c r="AS53" i="7"/>
  <c r="AS61" i="7"/>
  <c r="AS68" i="7"/>
  <c r="AS99" i="7"/>
  <c r="AS106" i="7"/>
  <c r="AL113" i="7"/>
  <c r="AO120" i="7"/>
  <c r="AS152" i="7"/>
  <c r="AS186" i="7"/>
  <c r="AS57" i="7"/>
  <c r="AO6" i="7"/>
  <c r="AS27" i="7"/>
  <c r="AS58" i="7"/>
  <c r="AM71" i="7"/>
  <c r="AS86" i="7"/>
  <c r="AP103" i="7"/>
  <c r="AO103" i="7"/>
  <c r="AS108" i="7"/>
  <c r="AR108" i="7"/>
  <c r="AS89" i="7"/>
  <c r="AS29" i="7"/>
  <c r="AM6" i="7"/>
  <c r="AP22" i="7"/>
  <c r="AS43" i="7"/>
  <c r="AS63" i="7"/>
  <c r="AS67" i="7"/>
  <c r="AP71" i="7"/>
  <c r="AO71" i="7"/>
  <c r="AS74" i="7"/>
  <c r="AS112" i="7"/>
  <c r="AS123" i="7"/>
  <c r="AS150" i="7"/>
  <c r="AM175" i="7"/>
  <c r="AS201" i="7"/>
  <c r="AP207" i="7"/>
  <c r="AO207" i="7"/>
  <c r="AS221" i="7"/>
  <c r="AS248" i="7"/>
  <c r="AS308" i="7"/>
  <c r="AM152" i="7"/>
  <c r="AP154" i="7"/>
  <c r="AO154" i="7"/>
  <c r="AM154" i="7"/>
  <c r="AS169" i="7"/>
  <c r="AP175" i="7"/>
  <c r="AO175" i="7"/>
  <c r="AS182" i="7"/>
  <c r="AS184" i="7"/>
  <c r="AR197" i="7"/>
  <c r="AS199" i="7"/>
  <c r="AS212" i="7"/>
  <c r="AP216" i="7"/>
  <c r="AO216" i="7"/>
  <c r="AS233" i="7"/>
  <c r="AM239" i="7"/>
  <c r="AS134" i="7"/>
  <c r="AS178" i="7"/>
  <c r="AS240" i="7"/>
  <c r="AO34" i="7"/>
  <c r="AO50" i="7"/>
  <c r="AO66" i="7"/>
  <c r="AO82" i="7"/>
  <c r="AO98" i="7"/>
  <c r="AO114" i="7"/>
  <c r="AO130" i="7"/>
  <c r="AS132" i="7"/>
  <c r="AS136" i="7"/>
  <c r="AS157" i="7"/>
  <c r="AP184" i="7"/>
  <c r="AO184" i="7"/>
  <c r="AS193" i="7"/>
  <c r="AS196" i="7"/>
  <c r="AS208" i="7"/>
  <c r="AS244" i="7"/>
  <c r="AM134" i="7"/>
  <c r="AS155" i="7"/>
  <c r="AP161" i="7"/>
  <c r="AO161" i="7"/>
  <c r="AM161" i="7"/>
  <c r="AL171" i="7"/>
  <c r="AS176" i="7"/>
  <c r="AL203" i="7"/>
  <c r="AS219" i="7"/>
  <c r="AO124" i="7"/>
  <c r="AP138" i="7"/>
  <c r="AO138" i="7"/>
  <c r="AM138" i="7"/>
  <c r="AS189" i="7"/>
  <c r="AS202" i="7"/>
  <c r="AS225" i="7"/>
  <c r="AL235" i="7"/>
  <c r="AS242" i="7"/>
  <c r="AS256" i="7"/>
  <c r="AM75" i="7"/>
  <c r="AM91" i="7"/>
  <c r="AM123" i="7"/>
  <c r="AP132" i="7"/>
  <c r="AP136" i="7"/>
  <c r="AO136" i="7"/>
  <c r="AM136" i="7"/>
  <c r="AR149" i="7"/>
  <c r="AS153" i="7"/>
  <c r="AP159" i="7"/>
  <c r="AO159" i="7"/>
  <c r="AS170" i="7"/>
  <c r="AP193" i="7"/>
  <c r="AO193" i="7"/>
  <c r="AM193" i="7"/>
  <c r="AS217" i="7"/>
  <c r="AS238" i="7"/>
  <c r="AS251" i="7"/>
  <c r="AS260" i="7"/>
  <c r="AS268" i="7"/>
  <c r="AS372" i="7"/>
  <c r="AS141" i="7"/>
  <c r="AS145" i="7"/>
  <c r="AL169" i="7"/>
  <c r="AL180" i="7"/>
  <c r="AS187" i="7"/>
  <c r="AS200" i="7"/>
  <c r="AS215" i="7"/>
  <c r="AS232" i="7"/>
  <c r="AS249" i="7"/>
  <c r="AO27" i="7"/>
  <c r="AO43" i="7"/>
  <c r="AM53" i="7"/>
  <c r="AO59" i="7"/>
  <c r="AO75" i="7"/>
  <c r="AO91" i="7"/>
  <c r="AO107" i="7"/>
  <c r="AO123" i="7"/>
  <c r="AS154" i="7"/>
  <c r="AS162" i="7"/>
  <c r="AK163" i="7"/>
  <c r="AS164" i="7"/>
  <c r="AS166" i="7"/>
  <c r="AS168" i="7"/>
  <c r="AR181" i="7"/>
  <c r="AS185" i="7"/>
  <c r="AM191" i="7"/>
  <c r="AL210" i="7"/>
  <c r="AM223" i="7"/>
  <c r="AP225" i="7"/>
  <c r="AO225" i="7"/>
  <c r="AM225" i="7"/>
  <c r="AS258" i="7"/>
  <c r="AS139" i="7"/>
  <c r="AK140" i="7"/>
  <c r="AK142" i="7"/>
  <c r="AP170" i="7"/>
  <c r="AO170" i="7"/>
  <c r="AM170" i="7"/>
  <c r="AL178" i="7"/>
  <c r="AP191" i="7"/>
  <c r="AO191" i="7"/>
  <c r="AK195" i="7"/>
  <c r="AK197" i="7"/>
  <c r="AS198" i="7"/>
  <c r="AM200" i="7"/>
  <c r="AS209" i="7"/>
  <c r="AP223" i="7"/>
  <c r="AO223" i="7"/>
  <c r="AS237" i="7"/>
  <c r="AS250" i="7"/>
  <c r="AS265" i="7"/>
  <c r="AS340" i="7"/>
  <c r="AO37" i="7"/>
  <c r="AO53" i="7"/>
  <c r="AO69" i="7"/>
  <c r="AO85" i="7"/>
  <c r="AO101" i="7"/>
  <c r="AO117" i="7"/>
  <c r="AP145" i="7"/>
  <c r="AO145" i="7"/>
  <c r="AM145" i="7"/>
  <c r="AK165" i="7"/>
  <c r="AS177" i="7"/>
  <c r="AS194" i="7"/>
  <c r="AP200" i="7"/>
  <c r="AO200" i="7"/>
  <c r="AS247" i="7"/>
  <c r="AS254" i="7"/>
  <c r="AS276" i="7"/>
  <c r="AO26" i="7"/>
  <c r="AM36" i="7"/>
  <c r="AO58" i="7"/>
  <c r="AO74" i="7"/>
  <c r="AO90" i="7"/>
  <c r="AS137" i="7"/>
  <c r="AL155" i="7"/>
  <c r="AS160" i="7"/>
  <c r="AP162" i="7"/>
  <c r="AP168" i="7"/>
  <c r="AO168" i="7"/>
  <c r="AS173" i="7"/>
  <c r="AS180" i="7"/>
  <c r="AP185" i="7"/>
  <c r="AS205" i="7"/>
  <c r="AL219" i="7"/>
  <c r="AS228" i="7"/>
  <c r="AO15" i="7"/>
  <c r="AP143" i="7"/>
  <c r="AO143" i="7"/>
  <c r="AS148" i="7"/>
  <c r="AP209" i="7"/>
  <c r="AO209" i="7"/>
  <c r="AM209" i="7"/>
  <c r="AS218" i="7"/>
  <c r="AS226" i="7"/>
  <c r="AK227" i="7"/>
  <c r="AK229" i="7"/>
  <c r="AS263" i="7"/>
  <c r="AP131" i="7"/>
  <c r="AS138" i="7"/>
  <c r="AK147" i="7"/>
  <c r="AL153" i="7"/>
  <c r="AS171" i="7"/>
  <c r="AK172" i="7"/>
  <c r="AP177" i="7"/>
  <c r="AO177" i="7"/>
  <c r="AM177" i="7"/>
  <c r="AS192" i="7"/>
  <c r="AS203" i="7"/>
  <c r="AK204" i="7"/>
  <c r="AS216" i="7"/>
  <c r="AS295" i="7"/>
  <c r="AP303" i="7"/>
  <c r="AO303" i="7"/>
  <c r="AS315" i="7"/>
  <c r="AS327" i="7"/>
  <c r="AS331" i="7"/>
  <c r="AS370" i="7"/>
  <c r="AS383" i="7"/>
  <c r="AS472" i="7"/>
  <c r="AS271" i="7"/>
  <c r="AS275" i="7"/>
  <c r="AS290" i="7"/>
  <c r="AS311" i="7"/>
  <c r="AS343" i="7"/>
  <c r="AS347" i="7"/>
  <c r="AS358" i="7"/>
  <c r="AS419" i="7"/>
  <c r="AS503" i="7"/>
  <c r="AO165" i="7"/>
  <c r="AO181" i="7"/>
  <c r="AM265" i="7"/>
  <c r="AL270" i="7"/>
  <c r="AP277" i="7"/>
  <c r="AP279" i="7"/>
  <c r="AO279" i="7"/>
  <c r="AS288" i="7"/>
  <c r="AR288" i="7"/>
  <c r="AS306" i="7"/>
  <c r="AS320" i="7"/>
  <c r="AR320" i="7"/>
  <c r="AS336" i="7"/>
  <c r="AP416" i="7"/>
  <c r="AO416" i="7"/>
  <c r="AO202" i="7"/>
  <c r="AO218" i="7"/>
  <c r="AO234" i="7"/>
  <c r="AO250" i="7"/>
  <c r="AP265" i="7"/>
  <c r="AO265" i="7"/>
  <c r="AP273" i="7"/>
  <c r="AS304" i="7"/>
  <c r="AS352" i="7"/>
  <c r="AS359" i="7"/>
  <c r="AS363" i="7"/>
  <c r="AS374" i="7"/>
  <c r="AS424" i="7"/>
  <c r="AM201" i="7"/>
  <c r="AO255" i="7"/>
  <c r="AK270" i="7"/>
  <c r="AP271" i="7"/>
  <c r="AO271" i="7"/>
  <c r="AS282" i="7"/>
  <c r="AM288" i="7"/>
  <c r="AK307" i="7"/>
  <c r="AS379" i="7"/>
  <c r="AR379" i="7"/>
  <c r="AS368" i="7"/>
  <c r="AS375" i="7"/>
  <c r="AS286" i="7"/>
  <c r="AS293" i="7"/>
  <c r="AS318" i="7"/>
  <c r="AS325" i="7"/>
  <c r="AS334" i="7"/>
  <c r="AS384" i="7"/>
  <c r="AS278" i="7"/>
  <c r="AP282" i="7"/>
  <c r="AO282" i="7"/>
  <c r="AM282" i="7"/>
  <c r="AS296" i="7"/>
  <c r="AS302" i="7"/>
  <c r="AS309" i="7"/>
  <c r="AS312" i="7"/>
  <c r="AS328" i="7"/>
  <c r="AS341" i="7"/>
  <c r="AS350" i="7"/>
  <c r="AO179" i="7"/>
  <c r="AO195" i="7"/>
  <c r="AO211" i="7"/>
  <c r="AO227" i="7"/>
  <c r="AO243" i="7"/>
  <c r="AO259" i="7"/>
  <c r="AS266" i="7"/>
  <c r="AR266" i="7"/>
  <c r="AS272" i="7"/>
  <c r="AR272" i="7"/>
  <c r="AS280" i="7"/>
  <c r="AP284" i="7"/>
  <c r="AP295" i="7"/>
  <c r="AO295" i="7"/>
  <c r="AM295" i="7"/>
  <c r="AS298" i="7"/>
  <c r="AP327" i="7"/>
  <c r="AO327" i="7"/>
  <c r="AM327" i="7"/>
  <c r="AS344" i="7"/>
  <c r="AO232" i="7"/>
  <c r="AO248" i="7"/>
  <c r="AO264" i="7"/>
  <c r="AS274" i="7"/>
  <c r="AL297" i="7"/>
  <c r="AP311" i="7"/>
  <c r="AO311" i="7"/>
  <c r="AM311" i="7"/>
  <c r="AP343" i="7"/>
  <c r="AO343" i="7"/>
  <c r="AM343" i="7"/>
  <c r="AS357" i="7"/>
  <c r="AS366" i="7"/>
  <c r="AK275" i="7"/>
  <c r="AS291" i="7"/>
  <c r="AS314" i="7"/>
  <c r="AS323" i="7"/>
  <c r="AS330" i="7"/>
  <c r="AS339" i="7"/>
  <c r="AS360" i="7"/>
  <c r="AL374" i="7"/>
  <c r="AS382" i="7"/>
  <c r="AP433" i="7"/>
  <c r="AM433" i="7"/>
  <c r="AO242" i="7"/>
  <c r="AO258" i="7"/>
  <c r="AP266" i="7"/>
  <c r="AO266" i="7"/>
  <c r="AM266" i="7"/>
  <c r="AS270" i="7"/>
  <c r="AP276" i="7"/>
  <c r="AO276" i="7"/>
  <c r="AS307" i="7"/>
  <c r="AR307" i="7"/>
  <c r="AP316" i="7"/>
  <c r="AO316" i="7"/>
  <c r="AK320" i="7"/>
  <c r="AP332" i="7"/>
  <c r="AO332" i="7"/>
  <c r="AK336" i="7"/>
  <c r="AS346" i="7"/>
  <c r="AP359" i="7"/>
  <c r="AO359" i="7"/>
  <c r="AM359" i="7"/>
  <c r="AS373" i="7"/>
  <c r="AS387" i="7"/>
  <c r="AS436" i="7"/>
  <c r="AS473" i="7"/>
  <c r="AP475" i="7"/>
  <c r="AO475" i="7"/>
  <c r="AM475" i="7"/>
  <c r="AO247" i="7"/>
  <c r="AO263" i="7"/>
  <c r="AO272" i="7"/>
  <c r="AS283" i="7"/>
  <c r="AR283" i="7"/>
  <c r="AS287" i="7"/>
  <c r="AS319" i="7"/>
  <c r="AS322" i="7"/>
  <c r="AS335" i="7"/>
  <c r="AS338" i="7"/>
  <c r="AP348" i="7"/>
  <c r="AO348" i="7"/>
  <c r="AS355" i="7"/>
  <c r="AS376" i="7"/>
  <c r="AO140" i="7"/>
  <c r="AO156" i="7"/>
  <c r="AO172" i="7"/>
  <c r="AO188" i="7"/>
  <c r="AO204" i="7"/>
  <c r="AO220" i="7"/>
  <c r="AO236" i="7"/>
  <c r="AO252" i="7"/>
  <c r="AP268" i="7"/>
  <c r="AS303" i="7"/>
  <c r="AS351" i="7"/>
  <c r="AS362" i="7"/>
  <c r="AM364" i="7"/>
  <c r="AP375" i="7"/>
  <c r="AO375" i="7"/>
  <c r="AM375" i="7"/>
  <c r="AS425" i="7"/>
  <c r="AP427" i="7"/>
  <c r="AO427" i="7"/>
  <c r="AL278" i="7"/>
  <c r="AM287" i="7"/>
  <c r="AS294" i="7"/>
  <c r="AS299" i="7"/>
  <c r="AS326" i="7"/>
  <c r="AS354" i="7"/>
  <c r="AP364" i="7"/>
  <c r="AO364" i="7"/>
  <c r="AK368" i="7"/>
  <c r="AS371" i="7"/>
  <c r="AS378" i="7"/>
  <c r="AM380" i="7"/>
  <c r="AS466" i="7"/>
  <c r="AS267" i="7"/>
  <c r="AS277" i="7"/>
  <c r="AK286" i="7"/>
  <c r="AP287" i="7"/>
  <c r="AO287" i="7"/>
  <c r="AM303" i="7"/>
  <c r="AS310" i="7"/>
  <c r="AS342" i="7"/>
  <c r="AS367" i="7"/>
  <c r="AP380" i="7"/>
  <c r="AO380" i="7"/>
  <c r="AK384" i="7"/>
  <c r="AS388" i="7"/>
  <c r="AS421" i="7"/>
  <c r="AS469" i="7"/>
  <c r="AS394" i="7"/>
  <c r="AR394" i="7"/>
  <c r="AS400" i="7"/>
  <c r="AS458" i="7"/>
  <c r="AP464" i="7"/>
  <c r="AO464" i="7"/>
  <c r="AS467" i="7"/>
  <c r="AS484" i="7"/>
  <c r="AR484" i="7"/>
  <c r="AS533" i="7"/>
  <c r="AS601" i="7"/>
  <c r="AS396" i="7"/>
  <c r="AS404" i="7"/>
  <c r="AP406" i="7"/>
  <c r="AO406" i="7"/>
  <c r="AS447" i="7"/>
  <c r="AS476" i="7"/>
  <c r="AS549" i="7"/>
  <c r="AS594" i="7"/>
  <c r="AM358" i="7"/>
  <c r="AP388" i="7"/>
  <c r="AO388" i="7"/>
  <c r="AM388" i="7"/>
  <c r="AM394" i="7"/>
  <c r="AM400" i="7"/>
  <c r="AM406" i="7"/>
  <c r="AS480" i="7"/>
  <c r="AS497" i="7"/>
  <c r="AS636" i="7"/>
  <c r="AR636" i="7"/>
  <c r="AP394" i="7"/>
  <c r="AO394" i="7"/>
  <c r="AS402" i="7"/>
  <c r="AS411" i="7"/>
  <c r="AS432" i="7"/>
  <c r="AS434" i="7"/>
  <c r="AP449" i="7"/>
  <c r="AM449" i="7"/>
  <c r="AS482" i="7"/>
  <c r="AP515" i="7"/>
  <c r="AO515" i="7"/>
  <c r="AM515" i="7"/>
  <c r="AP563" i="7"/>
  <c r="AO563" i="7"/>
  <c r="AM563" i="7"/>
  <c r="AS576" i="7"/>
  <c r="AS592" i="7"/>
  <c r="AS597" i="7"/>
  <c r="AP390" i="7"/>
  <c r="AO449" i="7"/>
  <c r="AM480" i="7"/>
  <c r="AS493" i="7"/>
  <c r="AS516" i="7"/>
  <c r="AP400" i="7"/>
  <c r="AS415" i="7"/>
  <c r="AL421" i="7"/>
  <c r="AS426" i="7"/>
  <c r="AS428" i="7"/>
  <c r="AM432" i="7"/>
  <c r="AS435" i="7"/>
  <c r="AS437" i="7"/>
  <c r="AR437" i="7"/>
  <c r="AS441" i="7"/>
  <c r="AP443" i="7"/>
  <c r="AO443" i="7"/>
  <c r="AS452" i="7"/>
  <c r="AR452" i="7"/>
  <c r="AP480" i="7"/>
  <c r="AO480" i="7"/>
  <c r="AS481" i="7"/>
  <c r="AS483" i="7"/>
  <c r="AS502" i="7"/>
  <c r="AS545" i="7"/>
  <c r="AS623" i="7"/>
  <c r="AO384" i="7"/>
  <c r="AS389" i="7"/>
  <c r="AS405" i="7"/>
  <c r="AS409" i="7"/>
  <c r="AP411" i="7"/>
  <c r="AO411" i="7"/>
  <c r="AP417" i="7"/>
  <c r="AM417" i="7"/>
  <c r="AP432" i="7"/>
  <c r="AO432" i="7"/>
  <c r="AS459" i="7"/>
  <c r="AS463" i="7"/>
  <c r="AL469" i="7"/>
  <c r="AS474" i="7"/>
  <c r="AS485" i="7"/>
  <c r="AR485" i="7"/>
  <c r="AS489" i="7"/>
  <c r="AP491" i="7"/>
  <c r="AO491" i="7"/>
  <c r="AS511" i="7"/>
  <c r="AS395" i="7"/>
  <c r="AS399" i="7"/>
  <c r="AR399" i="7"/>
  <c r="AS475" i="7"/>
  <c r="AP504" i="7"/>
  <c r="AM504" i="7"/>
  <c r="AS580" i="7"/>
  <c r="AS588" i="7"/>
  <c r="AO298" i="7"/>
  <c r="AO314" i="7"/>
  <c r="AO330" i="7"/>
  <c r="AO346" i="7"/>
  <c r="AO362" i="7"/>
  <c r="AO378" i="7"/>
  <c r="AM387" i="7"/>
  <c r="AK388" i="7"/>
  <c r="AO417" i="7"/>
  <c r="AS448" i="7"/>
  <c r="AS450" i="7"/>
  <c r="AP465" i="7"/>
  <c r="AM465" i="7"/>
  <c r="AO504" i="7"/>
  <c r="AP509" i="7"/>
  <c r="AO509" i="7"/>
  <c r="AS537" i="7"/>
  <c r="AS553" i="7"/>
  <c r="AS577" i="7"/>
  <c r="AS613" i="7"/>
  <c r="AS625" i="7"/>
  <c r="AR625" i="7"/>
  <c r="AO319" i="7"/>
  <c r="AO335" i="7"/>
  <c r="AO351" i="7"/>
  <c r="AO367" i="7"/>
  <c r="AO383" i="7"/>
  <c r="AS393" i="7"/>
  <c r="AS453" i="7"/>
  <c r="AS457" i="7"/>
  <c r="AP459" i="7"/>
  <c r="AO459" i="7"/>
  <c r="AS510" i="7"/>
  <c r="AS514" i="7"/>
  <c r="AP534" i="7"/>
  <c r="AO534" i="7"/>
  <c r="AS584" i="7"/>
  <c r="AO292" i="7"/>
  <c r="AO308" i="7"/>
  <c r="AO324" i="7"/>
  <c r="AO340" i="7"/>
  <c r="AO356" i="7"/>
  <c r="AO372" i="7"/>
  <c r="AO387" i="7"/>
  <c r="AK392" i="7"/>
  <c r="AP395" i="7"/>
  <c r="AK404" i="7"/>
  <c r="AS420" i="7"/>
  <c r="AM448" i="7"/>
  <c r="AS451" i="7"/>
  <c r="AM459" i="7"/>
  <c r="AP507" i="7"/>
  <c r="AO281" i="7"/>
  <c r="AO297" i="7"/>
  <c r="AO377" i="7"/>
  <c r="AS416" i="7"/>
  <c r="AS427" i="7"/>
  <c r="AS444" i="7"/>
  <c r="AP448" i="7"/>
  <c r="AO448" i="7"/>
  <c r="AS460" i="7"/>
  <c r="AS468" i="7"/>
  <c r="AR468" i="7"/>
  <c r="AP577" i="7"/>
  <c r="AO577" i="7"/>
  <c r="AO270" i="7"/>
  <c r="AO286" i="7"/>
  <c r="AO302" i="7"/>
  <c r="AO318" i="7"/>
  <c r="AO334" i="7"/>
  <c r="AO350" i="7"/>
  <c r="AO366" i="7"/>
  <c r="AO382" i="7"/>
  <c r="AP401" i="7"/>
  <c r="AM401" i="7"/>
  <c r="AS418" i="7"/>
  <c r="AS431" i="7"/>
  <c r="AL437" i="7"/>
  <c r="AS442" i="7"/>
  <c r="AS479" i="7"/>
  <c r="AS512" i="7"/>
  <c r="AS535" i="7"/>
  <c r="AR535" i="7"/>
  <c r="AS608" i="7"/>
  <c r="AL389" i="7"/>
  <c r="AL405" i="7"/>
  <c r="AS410" i="7"/>
  <c r="AS412" i="7"/>
  <c r="AM416" i="7"/>
  <c r="AS443" i="7"/>
  <c r="AS464" i="7"/>
  <c r="AP481" i="7"/>
  <c r="AM481" i="7"/>
  <c r="AL485" i="7"/>
  <c r="AS490" i="7"/>
  <c r="AS496" i="7"/>
  <c r="AS519" i="7"/>
  <c r="AS551" i="7"/>
  <c r="AS567" i="7"/>
  <c r="AS611" i="7"/>
  <c r="AP408" i="7"/>
  <c r="AP424" i="7"/>
  <c r="AP440" i="7"/>
  <c r="AP456" i="7"/>
  <c r="AP472" i="7"/>
  <c r="AP488" i="7"/>
  <c r="AM492" i="7"/>
  <c r="AP522" i="7"/>
  <c r="AM534" i="7"/>
  <c r="AP540" i="7"/>
  <c r="AO540" i="7"/>
  <c r="AM540" i="7"/>
  <c r="AP550" i="7"/>
  <c r="AO550" i="7"/>
  <c r="AP579" i="7"/>
  <c r="AO579" i="7"/>
  <c r="AM579" i="7"/>
  <c r="AP610" i="7"/>
  <c r="AS617" i="7"/>
  <c r="AS638" i="7"/>
  <c r="AS571" i="7"/>
  <c r="AS575" i="7"/>
  <c r="AS598" i="7"/>
  <c r="AP600" i="7"/>
  <c r="AO600" i="7"/>
  <c r="AS627" i="7"/>
  <c r="AS631" i="7"/>
  <c r="AR631" i="7"/>
  <c r="AO422" i="7"/>
  <c r="AO438" i="7"/>
  <c r="AO454" i="7"/>
  <c r="AO470" i="7"/>
  <c r="AO486" i="7"/>
  <c r="AM512" i="7"/>
  <c r="AS523" i="7"/>
  <c r="AK524" i="7"/>
  <c r="AM525" i="7"/>
  <c r="AS529" i="7"/>
  <c r="AR529" i="7"/>
  <c r="AM557" i="7"/>
  <c r="AS561" i="7"/>
  <c r="AR561" i="7"/>
  <c r="AS564" i="7"/>
  <c r="AS615" i="7"/>
  <c r="AR615" i="7"/>
  <c r="AP627" i="7"/>
  <c r="AO627" i="7"/>
  <c r="AM627" i="7"/>
  <c r="AS508" i="7"/>
  <c r="AP512" i="7"/>
  <c r="AO512" i="7"/>
  <c r="AS527" i="7"/>
  <c r="AS543" i="7"/>
  <c r="AP547" i="7"/>
  <c r="AO547" i="7"/>
  <c r="AM547" i="7"/>
  <c r="AS555" i="7"/>
  <c r="AS559" i="7"/>
  <c r="AS578" i="7"/>
  <c r="AS619" i="7"/>
  <c r="AS628" i="7"/>
  <c r="AM458" i="7"/>
  <c r="AM474" i="7"/>
  <c r="AM490" i="7"/>
  <c r="AM497" i="7"/>
  <c r="AM506" i="7"/>
  <c r="AO525" i="7"/>
  <c r="AP531" i="7"/>
  <c r="AO531" i="7"/>
  <c r="AM531" i="7"/>
  <c r="AS539" i="7"/>
  <c r="AP545" i="7"/>
  <c r="AO545" i="7"/>
  <c r="AO557" i="7"/>
  <c r="AM561" i="7"/>
  <c r="AS582" i="7"/>
  <c r="AP584" i="7"/>
  <c r="AO584" i="7"/>
  <c r="AP611" i="7"/>
  <c r="AO611" i="7"/>
  <c r="AM611" i="7"/>
  <c r="AP625" i="7"/>
  <c r="AO625" i="7"/>
  <c r="AS632" i="7"/>
  <c r="AR641" i="7"/>
  <c r="AS642" i="7"/>
  <c r="AO497" i="7"/>
  <c r="AO506" i="7"/>
  <c r="AP529" i="7"/>
  <c r="AO529" i="7"/>
  <c r="AS548" i="7"/>
  <c r="AP561" i="7"/>
  <c r="AO561" i="7"/>
  <c r="AS568" i="7"/>
  <c r="AS572" i="7"/>
  <c r="AS585" i="7"/>
  <c r="AL594" i="7"/>
  <c r="AS599" i="7"/>
  <c r="AM605" i="7"/>
  <c r="AS609" i="7"/>
  <c r="AR609" i="7"/>
  <c r="AS612" i="7"/>
  <c r="AM404" i="7"/>
  <c r="AO410" i="7"/>
  <c r="AM420" i="7"/>
  <c r="AO426" i="7"/>
  <c r="AM436" i="7"/>
  <c r="AO442" i="7"/>
  <c r="AM452" i="7"/>
  <c r="AO458" i="7"/>
  <c r="AM468" i="7"/>
  <c r="AO474" i="7"/>
  <c r="AM484" i="7"/>
  <c r="AO490" i="7"/>
  <c r="AO503" i="7"/>
  <c r="AS520" i="7"/>
  <c r="AS532" i="7"/>
  <c r="AL571" i="7"/>
  <c r="AS603" i="7"/>
  <c r="AS607" i="7"/>
  <c r="AS637" i="7"/>
  <c r="AO479" i="7"/>
  <c r="AR502" i="7"/>
  <c r="AS562" i="7"/>
  <c r="AM609" i="7"/>
  <c r="AP632" i="7"/>
  <c r="AO632" i="7"/>
  <c r="AO404" i="7"/>
  <c r="AO420" i="7"/>
  <c r="AO436" i="7"/>
  <c r="AO452" i="7"/>
  <c r="AO468" i="7"/>
  <c r="AO484" i="7"/>
  <c r="AS513" i="7"/>
  <c r="AM518" i="7"/>
  <c r="AS546" i="7"/>
  <c r="AS552" i="7"/>
  <c r="AK565" i="7"/>
  <c r="AS566" i="7"/>
  <c r="AP568" i="7"/>
  <c r="AO568" i="7"/>
  <c r="AP595" i="7"/>
  <c r="AO595" i="7"/>
  <c r="AM595" i="7"/>
  <c r="AP605" i="7"/>
  <c r="AP609" i="7"/>
  <c r="AO609" i="7"/>
  <c r="AS626" i="7"/>
  <c r="AK631" i="7"/>
  <c r="AM637" i="7"/>
  <c r="AO393" i="7"/>
  <c r="AO409" i="7"/>
  <c r="AO425" i="7"/>
  <c r="AO441" i="7"/>
  <c r="AO457" i="7"/>
  <c r="AO473" i="7"/>
  <c r="AO489" i="7"/>
  <c r="AS492" i="7"/>
  <c r="AO493" i="7"/>
  <c r="AS498" i="7"/>
  <c r="AP508" i="7"/>
  <c r="AK512" i="7"/>
  <c r="AP518" i="7"/>
  <c r="AO518" i="7"/>
  <c r="AL523" i="7"/>
  <c r="AS524" i="7"/>
  <c r="AS530" i="7"/>
  <c r="AS536" i="7"/>
  <c r="AS556" i="7"/>
  <c r="AS569" i="7"/>
  <c r="AS593" i="7"/>
  <c r="AS596" i="7"/>
  <c r="AS616" i="7"/>
  <c r="AS630" i="7"/>
  <c r="AP637" i="7"/>
  <c r="AO637" i="7"/>
  <c r="AO398" i="7"/>
  <c r="AO430" i="7"/>
  <c r="AO446" i="7"/>
  <c r="AO462" i="7"/>
  <c r="AO478" i="7"/>
  <c r="AP496" i="7"/>
  <c r="AO496" i="7"/>
  <c r="AO499" i="7"/>
  <c r="AK500" i="7"/>
  <c r="AS540" i="7"/>
  <c r="AR540" i="7"/>
  <c r="AL555" i="7"/>
  <c r="AL578" i="7"/>
  <c r="AS583" i="7"/>
  <c r="AR583" i="7"/>
  <c r="AS610" i="7"/>
  <c r="AS620" i="7"/>
  <c r="AR620" i="7"/>
  <c r="AK629" i="7"/>
  <c r="AS635" i="7"/>
  <c r="AO403" i="7"/>
  <c r="AO419" i="7"/>
  <c r="AO435" i="7"/>
  <c r="AO451" i="7"/>
  <c r="AO467" i="7"/>
  <c r="AO483" i="7"/>
  <c r="AS504" i="7"/>
  <c r="AO505" i="7"/>
  <c r="AK506" i="7"/>
  <c r="AS507" i="7"/>
  <c r="AP513" i="7"/>
  <c r="AL539" i="7"/>
  <c r="AK549" i="7"/>
  <c r="AS587" i="7"/>
  <c r="AS591" i="7"/>
  <c r="AM593" i="7"/>
  <c r="AK613" i="7"/>
  <c r="AS614" i="7"/>
  <c r="AP626" i="7"/>
  <c r="AP502" i="7"/>
  <c r="AP505" i="7"/>
  <c r="AL516" i="7"/>
  <c r="AP520" i="7"/>
  <c r="AP524" i="7"/>
  <c r="AO524" i="7"/>
  <c r="AM524" i="7"/>
  <c r="AK533" i="7"/>
  <c r="AM550" i="7"/>
  <c r="AP556" i="7"/>
  <c r="AO556" i="7"/>
  <c r="AM556" i="7"/>
  <c r="AP593" i="7"/>
  <c r="AO593" i="7"/>
  <c r="AS600" i="7"/>
  <c r="AS604" i="7"/>
  <c r="AP616" i="7"/>
  <c r="AO616" i="7"/>
  <c r="AS640" i="7"/>
  <c r="AO567" i="7"/>
  <c r="AO583" i="7"/>
  <c r="AO599" i="7"/>
  <c r="AO615" i="7"/>
  <c r="AO631" i="7"/>
  <c r="AP642" i="7"/>
  <c r="AO572" i="7"/>
  <c r="AO588" i="7"/>
  <c r="AO604" i="7"/>
  <c r="AO620" i="7"/>
  <c r="AO636" i="7"/>
  <c r="AM528" i="7"/>
  <c r="AM544" i="7"/>
  <c r="H7" i="10"/>
  <c r="AO528" i="7"/>
  <c r="AO544" i="7"/>
  <c r="AO560" i="7"/>
  <c r="AO576" i="7"/>
  <c r="AO592" i="7"/>
  <c r="AO608" i="7"/>
  <c r="AO624" i="7"/>
  <c r="AO554" i="7"/>
  <c r="AO634" i="7"/>
  <c r="H8" i="10"/>
  <c r="H6" i="10"/>
  <c r="H184" i="15" l="1"/>
  <c r="H277" i="15"/>
  <c r="H533" i="15"/>
  <c r="H18" i="15"/>
  <c r="H22" i="15"/>
  <c r="H194" i="15"/>
  <c r="H203" i="15"/>
  <c r="H437" i="15"/>
  <c r="H309" i="15"/>
  <c r="H491" i="15"/>
  <c r="H246" i="15"/>
  <c r="H105" i="15"/>
  <c r="H361" i="15"/>
  <c r="H489" i="15"/>
  <c r="H267" i="15"/>
  <c r="H245" i="15"/>
  <c r="H501" i="15"/>
  <c r="H63" i="15"/>
  <c r="H279" i="15"/>
  <c r="H535" i="15"/>
  <c r="H121" i="15"/>
  <c r="H377" i="15"/>
  <c r="H633" i="15"/>
  <c r="H283" i="15"/>
  <c r="H150" i="15"/>
  <c r="H278" i="15"/>
  <c r="H406" i="15"/>
  <c r="H534" i="15"/>
  <c r="H191" i="15"/>
  <c r="H138" i="15"/>
  <c r="H266" i="15"/>
  <c r="H394" i="15"/>
  <c r="H522" i="15"/>
  <c r="H392" i="15"/>
  <c r="H76" i="15"/>
  <c r="H367" i="15"/>
  <c r="H495" i="15"/>
  <c r="H623" i="15"/>
  <c r="H33" i="15"/>
  <c r="H161" i="15"/>
  <c r="H289" i="15"/>
  <c r="H417" i="15"/>
  <c r="H545" i="15"/>
  <c r="H34" i="15"/>
  <c r="H162" i="15"/>
  <c r="H402" i="15"/>
  <c r="H84" i="15"/>
  <c r="H212" i="15"/>
  <c r="H340" i="15"/>
  <c r="H468" i="15"/>
  <c r="H596" i="15"/>
  <c r="H7" i="15"/>
  <c r="H95" i="15"/>
  <c r="H299" i="15"/>
  <c r="H427" i="15"/>
  <c r="H555" i="15"/>
  <c r="H92" i="15"/>
  <c r="H220" i="15"/>
  <c r="H348" i="15"/>
  <c r="H476" i="15"/>
  <c r="H604" i="15"/>
  <c r="H77" i="15"/>
  <c r="H205" i="15"/>
  <c r="H333" i="15"/>
  <c r="H461" i="15"/>
  <c r="H589" i="15"/>
  <c r="H110" i="15"/>
  <c r="H238" i="15"/>
  <c r="H366" i="15"/>
  <c r="H494" i="15"/>
  <c r="H622" i="15"/>
  <c r="H128" i="15"/>
  <c r="H256" i="15"/>
  <c r="H384" i="15"/>
  <c r="H512" i="15"/>
  <c r="H290" i="15"/>
  <c r="H530" i="15"/>
  <c r="H99" i="15"/>
  <c r="H227" i="15"/>
  <c r="H355" i="15"/>
  <c r="H483" i="15"/>
  <c r="H611" i="15"/>
  <c r="H67" i="15"/>
  <c r="H56" i="15"/>
  <c r="H166" i="15"/>
  <c r="H294" i="15"/>
  <c r="H422" i="15"/>
  <c r="H550" i="15"/>
  <c r="H23" i="15"/>
  <c r="H154" i="15"/>
  <c r="H282" i="15"/>
  <c r="H410" i="15"/>
  <c r="H538" i="15"/>
  <c r="H223" i="15"/>
  <c r="H383" i="15"/>
  <c r="H511" i="15"/>
  <c r="H639" i="15"/>
  <c r="H49" i="15"/>
  <c r="H177" i="15"/>
  <c r="H305" i="15"/>
  <c r="H433" i="15"/>
  <c r="H561" i="15"/>
  <c r="H50" i="15"/>
  <c r="H178" i="15"/>
  <c r="H418" i="15"/>
  <c r="H100" i="15"/>
  <c r="H228" i="15"/>
  <c r="H356" i="15"/>
  <c r="H484" i="15"/>
  <c r="H612" i="15"/>
  <c r="H183" i="15"/>
  <c r="H439" i="15"/>
  <c r="H153" i="15"/>
  <c r="H409" i="15"/>
  <c r="H27" i="15"/>
  <c r="H187" i="15"/>
  <c r="H315" i="15"/>
  <c r="H443" i="15"/>
  <c r="H571" i="15"/>
  <c r="H108" i="15"/>
  <c r="H236" i="15"/>
  <c r="H364" i="15"/>
  <c r="H492" i="15"/>
  <c r="H620" i="15"/>
  <c r="H93" i="15"/>
  <c r="H221" i="15"/>
  <c r="H349" i="15"/>
  <c r="H477" i="15"/>
  <c r="H605" i="15"/>
  <c r="H126" i="15"/>
  <c r="H254" i="15"/>
  <c r="H382" i="15"/>
  <c r="H510" i="15"/>
  <c r="H638" i="15"/>
  <c r="H144" i="15"/>
  <c r="H272" i="15"/>
  <c r="H400" i="15"/>
  <c r="H528" i="15"/>
  <c r="H44" i="15"/>
  <c r="H306" i="15"/>
  <c r="H546" i="15"/>
  <c r="H115" i="15"/>
  <c r="H243" i="15"/>
  <c r="H371" i="15"/>
  <c r="H499" i="15"/>
  <c r="H408" i="15"/>
  <c r="H311" i="15"/>
  <c r="H567" i="15"/>
  <c r="H281" i="15"/>
  <c r="H537" i="15"/>
  <c r="H310" i="15"/>
  <c r="H438" i="15"/>
  <c r="H566" i="15"/>
  <c r="H55" i="15"/>
  <c r="H79" i="15"/>
  <c r="H26" i="15"/>
  <c r="H170" i="15"/>
  <c r="H298" i="15"/>
  <c r="H426" i="15"/>
  <c r="H554" i="15"/>
  <c r="H43" i="15"/>
  <c r="H399" i="15"/>
  <c r="H527" i="15"/>
  <c r="H83" i="15"/>
  <c r="H28" i="15"/>
  <c r="H65" i="15"/>
  <c r="H193" i="15"/>
  <c r="H321" i="15"/>
  <c r="H449" i="15"/>
  <c r="H577" i="15"/>
  <c r="H66" i="15"/>
  <c r="H434" i="15"/>
  <c r="H31" i="15"/>
  <c r="H116" i="15"/>
  <c r="H244" i="15"/>
  <c r="H372" i="15"/>
  <c r="H500" i="15"/>
  <c r="H628" i="15"/>
  <c r="H59" i="15"/>
  <c r="H331" i="15"/>
  <c r="H459" i="15"/>
  <c r="H587" i="15"/>
  <c r="H124" i="15"/>
  <c r="H252" i="15"/>
  <c r="H380" i="15"/>
  <c r="H508" i="15"/>
  <c r="H636" i="15"/>
  <c r="H109" i="15"/>
  <c r="H237" i="15"/>
  <c r="H365" i="15"/>
  <c r="H493" i="15"/>
  <c r="H621" i="15"/>
  <c r="H142" i="15"/>
  <c r="H270" i="15"/>
  <c r="H398" i="15"/>
  <c r="H526" i="15"/>
  <c r="H127" i="15"/>
  <c r="H160" i="15"/>
  <c r="H288" i="15"/>
  <c r="H416" i="15"/>
  <c r="H544" i="15"/>
  <c r="H12" i="15"/>
  <c r="H562" i="15"/>
  <c r="H131" i="15"/>
  <c r="H259" i="15"/>
  <c r="H387" i="15"/>
  <c r="H515" i="15"/>
  <c r="H168" i="15"/>
  <c r="H38" i="15"/>
  <c r="H37" i="15"/>
  <c r="H54" i="15"/>
  <c r="H198" i="15"/>
  <c r="H326" i="15"/>
  <c r="H454" i="15"/>
  <c r="H582" i="15"/>
  <c r="H9" i="15"/>
  <c r="H58" i="15"/>
  <c r="H186" i="15"/>
  <c r="H314" i="15"/>
  <c r="H442" i="15"/>
  <c r="H570" i="15"/>
  <c r="H75" i="15"/>
  <c r="H255" i="15"/>
  <c r="H287" i="15"/>
  <c r="H415" i="15"/>
  <c r="H543" i="15"/>
  <c r="H16" i="15"/>
  <c r="H11" i="15"/>
  <c r="H81" i="15"/>
  <c r="H209" i="15"/>
  <c r="H337" i="15"/>
  <c r="H465" i="15"/>
  <c r="H593" i="15"/>
  <c r="H82" i="15"/>
  <c r="H450" i="15"/>
  <c r="H4" i="15"/>
  <c r="H132" i="15"/>
  <c r="H260" i="15"/>
  <c r="H388" i="15"/>
  <c r="H516" i="15"/>
  <c r="H70" i="15"/>
  <c r="H215" i="15"/>
  <c r="H471" i="15"/>
  <c r="H25" i="15"/>
  <c r="H313" i="15"/>
  <c r="H569" i="15"/>
  <c r="H91" i="15"/>
  <c r="H219" i="15"/>
  <c r="H347" i="15"/>
  <c r="H475" i="15"/>
  <c r="H603" i="15"/>
  <c r="H140" i="15"/>
  <c r="H268" i="15"/>
  <c r="H396" i="15"/>
  <c r="H524" i="15"/>
  <c r="H111" i="15"/>
  <c r="H125" i="15"/>
  <c r="H253" i="15"/>
  <c r="H381" i="15"/>
  <c r="H509" i="15"/>
  <c r="H637" i="15"/>
  <c r="H158" i="15"/>
  <c r="H286" i="15"/>
  <c r="H414" i="15"/>
  <c r="H542" i="15"/>
  <c r="H32" i="15"/>
  <c r="H176" i="15"/>
  <c r="H304" i="15"/>
  <c r="H432" i="15"/>
  <c r="H560" i="15"/>
  <c r="H6" i="15"/>
  <c r="H210" i="15"/>
  <c r="H578" i="15"/>
  <c r="H147" i="15"/>
  <c r="H275" i="15"/>
  <c r="H403" i="15"/>
  <c r="H531" i="15"/>
  <c r="H565" i="15"/>
  <c r="H87" i="15"/>
  <c r="H343" i="15"/>
  <c r="H599" i="15"/>
  <c r="H185" i="15"/>
  <c r="H441" i="15"/>
  <c r="H69" i="15"/>
  <c r="H86" i="15"/>
  <c r="H214" i="15"/>
  <c r="H342" i="15"/>
  <c r="H470" i="15"/>
  <c r="H598" i="15"/>
  <c r="H41" i="15"/>
  <c r="H74" i="15"/>
  <c r="H202" i="15"/>
  <c r="H330" i="15"/>
  <c r="H458" i="15"/>
  <c r="H586" i="15"/>
  <c r="H239" i="15"/>
  <c r="H303" i="15"/>
  <c r="H431" i="15"/>
  <c r="H559" i="15"/>
  <c r="H48" i="15"/>
  <c r="H40" i="15"/>
  <c r="H97" i="15"/>
  <c r="H225" i="15"/>
  <c r="H353" i="15"/>
  <c r="H481" i="15"/>
  <c r="H609" i="15"/>
  <c r="H98" i="15"/>
  <c r="H338" i="15"/>
  <c r="H466" i="15"/>
  <c r="H20" i="15"/>
  <c r="H148" i="15"/>
  <c r="H276" i="15"/>
  <c r="H404" i="15"/>
  <c r="H532" i="15"/>
  <c r="H57" i="15"/>
  <c r="H585" i="15"/>
  <c r="H107" i="15"/>
  <c r="H363" i="15"/>
  <c r="H619" i="15"/>
  <c r="H156" i="15"/>
  <c r="H284" i="15"/>
  <c r="H412" i="15"/>
  <c r="H540" i="15"/>
  <c r="H13" i="15"/>
  <c r="H141" i="15"/>
  <c r="H269" i="15"/>
  <c r="H397" i="15"/>
  <c r="H525" i="15"/>
  <c r="H14" i="15"/>
  <c r="H174" i="15"/>
  <c r="H302" i="15"/>
  <c r="H430" i="15"/>
  <c r="H558" i="15"/>
  <c r="H64" i="15"/>
  <c r="H192" i="15"/>
  <c r="H320" i="15"/>
  <c r="H448" i="15"/>
  <c r="H576" i="15"/>
  <c r="H24" i="15"/>
  <c r="H226" i="15"/>
  <c r="H594" i="15"/>
  <c r="H163" i="15"/>
  <c r="H291" i="15"/>
  <c r="H419" i="15"/>
  <c r="H547" i="15"/>
  <c r="H35" i="15"/>
  <c r="H47" i="15"/>
  <c r="H102" i="15"/>
  <c r="H230" i="15"/>
  <c r="H358" i="15"/>
  <c r="H486" i="15"/>
  <c r="H614" i="15"/>
  <c r="H73" i="15"/>
  <c r="H90" i="15"/>
  <c r="H218" i="15"/>
  <c r="H346" i="15"/>
  <c r="H474" i="15"/>
  <c r="H602" i="15"/>
  <c r="H30" i="15"/>
  <c r="H319" i="15"/>
  <c r="H447" i="15"/>
  <c r="H575" i="15"/>
  <c r="H8" i="15"/>
  <c r="H113" i="15"/>
  <c r="H241" i="15"/>
  <c r="H369" i="15"/>
  <c r="H497" i="15"/>
  <c r="H625" i="15"/>
  <c r="H114" i="15"/>
  <c r="H354" i="15"/>
  <c r="H482" i="15"/>
  <c r="H36" i="15"/>
  <c r="H164" i="15"/>
  <c r="H292" i="15"/>
  <c r="H420" i="15"/>
  <c r="H548" i="15"/>
  <c r="H213" i="15"/>
  <c r="H469" i="15"/>
  <c r="H119" i="15"/>
  <c r="H375" i="15"/>
  <c r="H631" i="15"/>
  <c r="H217" i="15"/>
  <c r="H473" i="15"/>
  <c r="H123" i="15"/>
  <c r="H251" i="15"/>
  <c r="H379" i="15"/>
  <c r="H507" i="15"/>
  <c r="H635" i="15"/>
  <c r="H172" i="15"/>
  <c r="H300" i="15"/>
  <c r="H428" i="15"/>
  <c r="H556" i="15"/>
  <c r="H29" i="15"/>
  <c r="H157" i="15"/>
  <c r="H285" i="15"/>
  <c r="H413" i="15"/>
  <c r="H541" i="15"/>
  <c r="H46" i="15"/>
  <c r="H190" i="15"/>
  <c r="H318" i="15"/>
  <c r="H446" i="15"/>
  <c r="H574" i="15"/>
  <c r="H80" i="15"/>
  <c r="H208" i="15"/>
  <c r="H336" i="15"/>
  <c r="H464" i="15"/>
  <c r="H592" i="15"/>
  <c r="H242" i="15"/>
  <c r="H179" i="15"/>
  <c r="H307" i="15"/>
  <c r="H435" i="15"/>
  <c r="H563" i="15"/>
  <c r="H341" i="15"/>
  <c r="H597" i="15"/>
  <c r="H247" i="15"/>
  <c r="H503" i="15"/>
  <c r="H89" i="15"/>
  <c r="H345" i="15"/>
  <c r="H601" i="15"/>
  <c r="H118" i="15"/>
  <c r="H374" i="15"/>
  <c r="H502" i="15"/>
  <c r="H630" i="15"/>
  <c r="H106" i="15"/>
  <c r="H234" i="15"/>
  <c r="H362" i="15"/>
  <c r="H490" i="15"/>
  <c r="H618" i="15"/>
  <c r="H62" i="15"/>
  <c r="H335" i="15"/>
  <c r="H463" i="15"/>
  <c r="H591" i="15"/>
  <c r="H360" i="15"/>
  <c r="H129" i="15"/>
  <c r="H257" i="15"/>
  <c r="H385" i="15"/>
  <c r="H513" i="15"/>
  <c r="H627" i="15"/>
  <c r="H130" i="15"/>
  <c r="H370" i="15"/>
  <c r="H498" i="15"/>
  <c r="H52" i="15"/>
  <c r="H180" i="15"/>
  <c r="H308" i="15"/>
  <c r="H436" i="15"/>
  <c r="H564" i="15"/>
  <c r="H472" i="15"/>
  <c r="H139" i="15"/>
  <c r="H395" i="15"/>
  <c r="H523" i="15"/>
  <c r="H51" i="15"/>
  <c r="H188" i="15"/>
  <c r="H316" i="15"/>
  <c r="H444" i="15"/>
  <c r="H572" i="15"/>
  <c r="H45" i="15"/>
  <c r="H173" i="15"/>
  <c r="H301" i="15"/>
  <c r="H429" i="15"/>
  <c r="H557" i="15"/>
  <c r="H78" i="15"/>
  <c r="H206" i="15"/>
  <c r="H334" i="15"/>
  <c r="H462" i="15"/>
  <c r="H590" i="15"/>
  <c r="H96" i="15"/>
  <c r="H224" i="15"/>
  <c r="H352" i="15"/>
  <c r="H480" i="15"/>
  <c r="H608" i="15"/>
  <c r="H143" i="15"/>
  <c r="H258" i="15"/>
  <c r="H195" i="15"/>
  <c r="H323" i="15"/>
  <c r="H451" i="15"/>
  <c r="H579" i="15"/>
  <c r="H424" i="15"/>
  <c r="H617" i="15"/>
  <c r="H17" i="15"/>
  <c r="H134" i="15"/>
  <c r="H262" i="15"/>
  <c r="H390" i="15"/>
  <c r="H518" i="15"/>
  <c r="H456" i="15"/>
  <c r="H72" i="15"/>
  <c r="H122" i="15"/>
  <c r="H250" i="15"/>
  <c r="H378" i="15"/>
  <c r="H506" i="15"/>
  <c r="H634" i="15"/>
  <c r="H351" i="15"/>
  <c r="H479" i="15"/>
  <c r="H607" i="15"/>
  <c r="H271" i="15"/>
  <c r="H145" i="15"/>
  <c r="H273" i="15"/>
  <c r="H401" i="15"/>
  <c r="H529" i="15"/>
  <c r="H152" i="15"/>
  <c r="H146" i="15"/>
  <c r="H386" i="15"/>
  <c r="H68" i="15"/>
  <c r="H196" i="15"/>
  <c r="H324" i="15"/>
  <c r="H452" i="15"/>
  <c r="H580" i="15"/>
  <c r="H117" i="15"/>
  <c r="H373" i="15"/>
  <c r="H629" i="15"/>
  <c r="H151" i="15"/>
  <c r="H407" i="15"/>
  <c r="H200" i="15"/>
  <c r="H249" i="15"/>
  <c r="H505" i="15"/>
  <c r="H155" i="15"/>
  <c r="H411" i="15"/>
  <c r="H539" i="15"/>
  <c r="H60" i="15"/>
  <c r="H204" i="15"/>
  <c r="H332" i="15"/>
  <c r="H460" i="15"/>
  <c r="H588" i="15"/>
  <c r="H61" i="15"/>
  <c r="H189" i="15"/>
  <c r="H317" i="15"/>
  <c r="H445" i="15"/>
  <c r="H573" i="15"/>
  <c r="H94" i="15"/>
  <c r="H222" i="15"/>
  <c r="H350" i="15"/>
  <c r="H478" i="15"/>
  <c r="H606" i="15"/>
  <c r="H112" i="15"/>
  <c r="H240" i="15"/>
  <c r="H368" i="15"/>
  <c r="H496" i="15"/>
  <c r="H624" i="15"/>
  <c r="H5" i="15"/>
  <c r="H274" i="15"/>
  <c r="H211" i="15"/>
  <c r="H339" i="15"/>
  <c r="H467" i="15"/>
  <c r="H595" i="15"/>
  <c r="AP456" i="5"/>
  <c r="X279" i="13"/>
  <c r="W279" i="13" s="1"/>
  <c r="AP143" i="5"/>
  <c r="AP599" i="5"/>
  <c r="AP488" i="5"/>
  <c r="AP509" i="5"/>
  <c r="AP49" i="5"/>
  <c r="Z46" i="13" s="1"/>
  <c r="Y46" i="13" s="1"/>
  <c r="AP538" i="5"/>
  <c r="AP212" i="5"/>
  <c r="AP213" i="5"/>
  <c r="AP271" i="5"/>
  <c r="AP154" i="5"/>
  <c r="AP294" i="5"/>
  <c r="AP411" i="5"/>
  <c r="AP450" i="5"/>
  <c r="O447" i="13" s="1"/>
  <c r="P447" i="13" s="1"/>
  <c r="AP399" i="5"/>
  <c r="AP84" i="5"/>
  <c r="AP110" i="5"/>
  <c r="AP166" i="5"/>
  <c r="AP455" i="5"/>
  <c r="AP155" i="5"/>
  <c r="AP381" i="5"/>
  <c r="AP527" i="5"/>
  <c r="O224" i="13"/>
  <c r="P224" i="13" s="1"/>
  <c r="Z480" i="13"/>
  <c r="Y480" i="13" s="1"/>
  <c r="AP8" i="5"/>
  <c r="AP354" i="5"/>
  <c r="Z351" i="13" s="1"/>
  <c r="X610" i="13"/>
  <c r="W610" i="13" s="1"/>
  <c r="AP278" i="5"/>
  <c r="AP511" i="5"/>
  <c r="AP141" i="5"/>
  <c r="Z138" i="13" s="1"/>
  <c r="Y138" i="13" s="1"/>
  <c r="Z464" i="13"/>
  <c r="Y464" i="13" s="1"/>
  <c r="O124" i="13"/>
  <c r="P124" i="13" s="1"/>
  <c r="AP288" i="5"/>
  <c r="AP535" i="5"/>
  <c r="AP266" i="5"/>
  <c r="AP324" i="5"/>
  <c r="AP387" i="5"/>
  <c r="Z384" i="13" s="1"/>
  <c r="Y384" i="13" s="1"/>
  <c r="AP408" i="5"/>
  <c r="Z405" i="13" s="1"/>
  <c r="AP41" i="5"/>
  <c r="Z38" i="13" s="1"/>
  <c r="Y38" i="13" s="1"/>
  <c r="AP516" i="5"/>
  <c r="Z513" i="13" s="1"/>
  <c r="Y513" i="13" s="1"/>
  <c r="AP424" i="5"/>
  <c r="Z421" i="13" s="1"/>
  <c r="Y421" i="13" s="1"/>
  <c r="AP639" i="5"/>
  <c r="AP615" i="5"/>
  <c r="AP255" i="5"/>
  <c r="AP196" i="5"/>
  <c r="AP311" i="5"/>
  <c r="Z308" i="13" s="1"/>
  <c r="Y308" i="13" s="1"/>
  <c r="AP139" i="5"/>
  <c r="Z136" i="13" s="1"/>
  <c r="Y136" i="13" s="1"/>
  <c r="AP432" i="5"/>
  <c r="Z429" i="13" s="1"/>
  <c r="AP464" i="5"/>
  <c r="X33" i="13"/>
  <c r="W33" i="13" s="1"/>
  <c r="AP555" i="5"/>
  <c r="AP44" i="5"/>
  <c r="AP593" i="5"/>
  <c r="O527" i="13"/>
  <c r="P527" i="13" s="1"/>
  <c r="AP496" i="5"/>
  <c r="AP150" i="5"/>
  <c r="Z147" i="13" s="1"/>
  <c r="Y147" i="13" s="1"/>
  <c r="AP383" i="5"/>
  <c r="X124" i="13"/>
  <c r="W124" i="13" s="1"/>
  <c r="AP365" i="5"/>
  <c r="AP528" i="5"/>
  <c r="AP138" i="5"/>
  <c r="Z135" i="13" s="1"/>
  <c r="AP570" i="5"/>
  <c r="Z567" i="13" s="1"/>
  <c r="Y567" i="13" s="1"/>
  <c r="AP452" i="5"/>
  <c r="Z449" i="13" s="1"/>
  <c r="Y449" i="13" s="1"/>
  <c r="AP125" i="5"/>
  <c r="Z122" i="13" s="1"/>
  <c r="AP98" i="5"/>
  <c r="O95" i="13" s="1"/>
  <c r="P95" i="13" s="1"/>
  <c r="AP40" i="5"/>
  <c r="AP310" i="5"/>
  <c r="AP63" i="5"/>
  <c r="AP60" i="5"/>
  <c r="AP242" i="5"/>
  <c r="O239" i="13" s="1"/>
  <c r="P239" i="13" s="1"/>
  <c r="O46" i="13"/>
  <c r="P46" i="13" s="1"/>
  <c r="O240" i="13"/>
  <c r="P240" i="13" s="1"/>
  <c r="O463" i="13"/>
  <c r="P463" i="13" s="1"/>
  <c r="AP10" i="5"/>
  <c r="Z335" i="13"/>
  <c r="Y335" i="13" s="1"/>
  <c r="AP66" i="5"/>
  <c r="O128" i="13"/>
  <c r="P128" i="13" s="1"/>
  <c r="AP55" i="5"/>
  <c r="Z52" i="13" s="1"/>
  <c r="Y52" i="13" s="1"/>
  <c r="AP12" i="5"/>
  <c r="Z9" i="13" s="1"/>
  <c r="Y9" i="13" s="1"/>
  <c r="AP9" i="5"/>
  <c r="Z6" i="13" s="1"/>
  <c r="Y6" i="13" s="1"/>
  <c r="O207" i="13"/>
  <c r="P207" i="13" s="1"/>
  <c r="AP427" i="5"/>
  <c r="AP415" i="5"/>
  <c r="Z412" i="13" s="1"/>
  <c r="Y412" i="13" s="1"/>
  <c r="AP458" i="5"/>
  <c r="O175" i="13"/>
  <c r="P175" i="13" s="1"/>
  <c r="AP171" i="5"/>
  <c r="Z168" i="13" s="1"/>
  <c r="Y168" i="13" s="1"/>
  <c r="AP159" i="5"/>
  <c r="Z156" i="13" s="1"/>
  <c r="AP277" i="5"/>
  <c r="Z274" i="13" s="1"/>
  <c r="Y274" i="13" s="1"/>
  <c r="AP522" i="5"/>
  <c r="Z519" i="13" s="1"/>
  <c r="AP170" i="5"/>
  <c r="AP543" i="5"/>
  <c r="Z540" i="13" s="1"/>
  <c r="Y540" i="13" s="1"/>
  <c r="AP151" i="5"/>
  <c r="AP602" i="5"/>
  <c r="Z599" i="13" s="1"/>
  <c r="Y599" i="13" s="1"/>
  <c r="AP287" i="5"/>
  <c r="Z284" i="13" s="1"/>
  <c r="Y284" i="13" s="1"/>
  <c r="AP77" i="5"/>
  <c r="Z74" i="13" s="1"/>
  <c r="X500" i="13"/>
  <c r="AP90" i="5"/>
  <c r="Z87" i="13" s="1"/>
  <c r="AP91" i="5"/>
  <c r="O88" i="13" s="1"/>
  <c r="P88" i="13" s="1"/>
  <c r="AP43" i="5"/>
  <c r="Z40" i="13" s="1"/>
  <c r="Y40" i="13" s="1"/>
  <c r="AP463" i="5"/>
  <c r="AP13" i="5"/>
  <c r="O10" i="13" s="1"/>
  <c r="P10" i="13" s="1"/>
  <c r="AP35" i="5"/>
  <c r="O32" i="13" s="1"/>
  <c r="P32" i="13" s="1"/>
  <c r="AP167" i="5"/>
  <c r="Z164" i="13" s="1"/>
  <c r="Y164" i="13" s="1"/>
  <c r="AP333" i="5"/>
  <c r="AP561" i="5"/>
  <c r="Z558" i="13" s="1"/>
  <c r="Y558" i="13" s="1"/>
  <c r="AP594" i="5"/>
  <c r="Z591" i="13" s="1"/>
  <c r="Y591" i="13" s="1"/>
  <c r="AP102" i="5"/>
  <c r="AP398" i="5"/>
  <c r="AP225" i="5"/>
  <c r="Z222" i="13" s="1"/>
  <c r="Y222" i="13" s="1"/>
  <c r="AP231" i="5"/>
  <c r="O228" i="13" s="1"/>
  <c r="P228" i="13" s="1"/>
  <c r="AP39" i="5"/>
  <c r="Z36" i="13" s="1"/>
  <c r="Y36" i="13" s="1"/>
  <c r="AP443" i="5"/>
  <c r="Z440" i="13" s="1"/>
  <c r="Y440" i="13" s="1"/>
  <c r="AP414" i="5"/>
  <c r="Z411" i="13" s="1"/>
  <c r="Y411" i="13" s="1"/>
  <c r="AP207" i="5"/>
  <c r="AP229" i="5"/>
  <c r="Z226" i="13" s="1"/>
  <c r="Y226" i="13" s="1"/>
  <c r="AP279" i="5"/>
  <c r="AP360" i="5"/>
  <c r="O357" i="13" s="1"/>
  <c r="P357" i="13" s="1"/>
  <c r="AP142" i="5"/>
  <c r="Z139" i="13" s="1"/>
  <c r="Y139" i="13" s="1"/>
  <c r="AP641" i="5"/>
  <c r="O638" i="13" s="1"/>
  <c r="P638" i="13" s="1"/>
  <c r="AP218" i="5"/>
  <c r="O215" i="13" s="1"/>
  <c r="P215" i="13" s="1"/>
  <c r="AP494" i="5"/>
  <c r="Z491" i="13" s="1"/>
  <c r="AP591" i="5"/>
  <c r="Z588" i="13" s="1"/>
  <c r="Y588" i="13" s="1"/>
  <c r="X16" i="13"/>
  <c r="W16" i="13" s="1"/>
  <c r="O332" i="13"/>
  <c r="P332" i="13" s="1"/>
  <c r="X418" i="13"/>
  <c r="W418" i="13" s="1"/>
  <c r="AP251" i="5"/>
  <c r="O248" i="13" s="1"/>
  <c r="P248" i="13" s="1"/>
  <c r="AP404" i="5"/>
  <c r="Z401" i="13" s="1"/>
  <c r="Y401" i="13" s="1"/>
  <c r="AP437" i="5"/>
  <c r="O434" i="13" s="1"/>
  <c r="P434" i="13" s="1"/>
  <c r="AP230" i="5"/>
  <c r="Z227" i="13" s="1"/>
  <c r="Y227" i="13" s="1"/>
  <c r="AP556" i="5"/>
  <c r="AP564" i="5"/>
  <c r="Z561" i="13" s="1"/>
  <c r="Y561" i="13" s="1"/>
  <c r="AP418" i="5"/>
  <c r="O415" i="13" s="1"/>
  <c r="P415" i="13" s="1"/>
  <c r="Z79" i="13"/>
  <c r="AP276" i="5"/>
  <c r="Z273" i="13" s="1"/>
  <c r="AP391" i="5"/>
  <c r="Z388" i="13" s="1"/>
  <c r="AP603" i="5"/>
  <c r="Z600" i="13" s="1"/>
  <c r="Y600" i="13" s="1"/>
  <c r="AP300" i="5"/>
  <c r="Z297" i="13" s="1"/>
  <c r="Y297" i="13" s="1"/>
  <c r="AP590" i="5"/>
  <c r="O587" i="13" s="1"/>
  <c r="P587" i="13" s="1"/>
  <c r="X332" i="13"/>
  <c r="W332" i="13" s="1"/>
  <c r="O271" i="13"/>
  <c r="P271" i="13" s="1"/>
  <c r="AP513" i="5"/>
  <c r="Z510" i="13" s="1"/>
  <c r="Y510" i="13" s="1"/>
  <c r="O479" i="13"/>
  <c r="P479" i="13" s="1"/>
  <c r="AP83" i="5"/>
  <c r="Z80" i="13" s="1"/>
  <c r="AP120" i="5"/>
  <c r="Z117" i="13" s="1"/>
  <c r="AP392" i="5"/>
  <c r="Z389" i="13" s="1"/>
  <c r="Y389" i="13" s="1"/>
  <c r="AP187" i="5"/>
  <c r="AP447" i="5"/>
  <c r="Z444" i="13" s="1"/>
  <c r="Y444" i="13" s="1"/>
  <c r="AP117" i="5"/>
  <c r="AP373" i="5"/>
  <c r="Z370" i="13" s="1"/>
  <c r="AP211" i="5"/>
  <c r="O208" i="13" s="1"/>
  <c r="P208" i="13" s="1"/>
  <c r="AP370" i="5"/>
  <c r="O367" i="13" s="1"/>
  <c r="P367" i="13" s="1"/>
  <c r="AP199" i="5"/>
  <c r="O196" i="13" s="1"/>
  <c r="P196" i="13" s="1"/>
  <c r="AP73" i="5"/>
  <c r="Z70" i="13" s="1"/>
  <c r="Y70" i="13" s="1"/>
  <c r="AP329" i="5"/>
  <c r="Z326" i="13" s="1"/>
  <c r="Y326" i="13" s="1"/>
  <c r="AP633" i="5"/>
  <c r="Z630" i="13" s="1"/>
  <c r="Y630" i="13" s="1"/>
  <c r="AP190" i="5"/>
  <c r="Z187" i="13" s="1"/>
  <c r="Y187" i="13" s="1"/>
  <c r="AP446" i="5"/>
  <c r="Z443" i="13" s="1"/>
  <c r="Y443" i="13" s="1"/>
  <c r="AP191" i="5"/>
  <c r="O188" i="13" s="1"/>
  <c r="P188" i="13" s="1"/>
  <c r="AP468" i="5"/>
  <c r="Z465" i="13" s="1"/>
  <c r="Y465" i="13" s="1"/>
  <c r="AP214" i="5"/>
  <c r="Z211" i="13" s="1"/>
  <c r="AP215" i="5"/>
  <c r="Z212" i="13" s="1"/>
  <c r="AP168" i="5"/>
  <c r="AP219" i="5"/>
  <c r="O216" i="13" s="1"/>
  <c r="P216" i="13" s="1"/>
  <c r="AP108" i="5"/>
  <c r="AP364" i="5"/>
  <c r="Z361" i="13" s="1"/>
  <c r="AP96" i="5"/>
  <c r="Z93" i="13" s="1"/>
  <c r="AP289" i="5"/>
  <c r="AP389" i="5"/>
  <c r="Z386" i="13" s="1"/>
  <c r="Y386" i="13" s="1"/>
  <c r="AP194" i="5"/>
  <c r="Z191" i="13" s="1"/>
  <c r="Y191" i="13" s="1"/>
  <c r="AP487" i="5"/>
  <c r="Z484" i="13" s="1"/>
  <c r="AP330" i="5"/>
  <c r="AP368" i="5"/>
  <c r="Z365" i="13" s="1"/>
  <c r="Y365" i="13" s="1"/>
  <c r="O591" i="13"/>
  <c r="P591" i="13" s="1"/>
  <c r="Z512" i="13"/>
  <c r="Y512" i="13" s="1"/>
  <c r="AP322" i="5"/>
  <c r="AP518" i="5"/>
  <c r="O515" i="13" s="1"/>
  <c r="P515" i="13" s="1"/>
  <c r="AP247" i="5"/>
  <c r="Z244" i="13" s="1"/>
  <c r="AP74" i="5"/>
  <c r="AP346" i="5"/>
  <c r="O343" i="13" s="1"/>
  <c r="P343" i="13" s="1"/>
  <c r="AP285" i="5"/>
  <c r="AP238" i="5"/>
  <c r="Z235" i="13" s="1"/>
  <c r="Y235" i="13" s="1"/>
  <c r="AP384" i="5"/>
  <c r="Z381" i="13" s="1"/>
  <c r="Y381" i="13" s="1"/>
  <c r="AP137" i="5"/>
  <c r="Z134" i="13" s="1"/>
  <c r="AP393" i="5"/>
  <c r="AP400" i="5"/>
  <c r="O397" i="13" s="1"/>
  <c r="P397" i="13" s="1"/>
  <c r="AP578" i="5"/>
  <c r="AP226" i="5"/>
  <c r="Z223" i="13" s="1"/>
  <c r="Y223" i="13" s="1"/>
  <c r="AP499" i="5"/>
  <c r="Z496" i="13" s="1"/>
  <c r="AP539" i="5"/>
  <c r="Z536" i="13" s="1"/>
  <c r="AP172" i="5"/>
  <c r="AP428" i="5"/>
  <c r="O425" i="13" s="1"/>
  <c r="P425" i="13" s="1"/>
  <c r="AP160" i="5"/>
  <c r="Z157" i="13" s="1"/>
  <c r="Y157" i="13" s="1"/>
  <c r="AP97" i="5"/>
  <c r="Z94" i="13" s="1"/>
  <c r="AP353" i="5"/>
  <c r="O350" i="13" s="1"/>
  <c r="P350" i="13" s="1"/>
  <c r="AP132" i="5"/>
  <c r="Z129" i="13" s="1"/>
  <c r="Y129" i="13" s="1"/>
  <c r="AP260" i="5"/>
  <c r="AP388" i="5"/>
  <c r="O385" i="13" s="1"/>
  <c r="P385" i="13" s="1"/>
  <c r="AP146" i="5"/>
  <c r="Z143" i="13" s="1"/>
  <c r="Y143" i="13" s="1"/>
  <c r="AP583" i="5"/>
  <c r="O580" i="13" s="1"/>
  <c r="P580" i="13" s="1"/>
  <c r="AP520" i="5"/>
  <c r="Z517" i="13" s="1"/>
  <c r="Y517" i="13" s="1"/>
  <c r="AP410" i="5"/>
  <c r="O407" i="13" s="1"/>
  <c r="P407" i="13" s="1"/>
  <c r="AP575" i="5"/>
  <c r="O572" i="13" s="1"/>
  <c r="P572" i="13" s="1"/>
  <c r="AP448" i="5"/>
  <c r="Z445" i="13" s="1"/>
  <c r="AP181" i="5"/>
  <c r="Z178" i="13" s="1"/>
  <c r="Y178" i="13" s="1"/>
  <c r="AP201" i="5"/>
  <c r="Z198" i="13" s="1"/>
  <c r="Y198" i="13" s="1"/>
  <c r="AP457" i="5"/>
  <c r="O454" i="13" s="1"/>
  <c r="P454" i="13" s="1"/>
  <c r="AP75" i="5"/>
  <c r="Z72" i="13" s="1"/>
  <c r="AP318" i="5"/>
  <c r="Z315" i="13" s="1"/>
  <c r="Y315" i="13" s="1"/>
  <c r="AP319" i="5"/>
  <c r="Z316" i="13" s="1"/>
  <c r="Y316" i="13" s="1"/>
  <c r="AP417" i="5"/>
  <c r="Z414" i="13" s="1"/>
  <c r="Y414" i="13" s="1"/>
  <c r="AP402" i="5"/>
  <c r="AP86" i="5"/>
  <c r="Z83" i="13" s="1"/>
  <c r="Y83" i="13" s="1"/>
  <c r="AP358" i="5"/>
  <c r="Z355" i="13" s="1"/>
  <c r="Y355" i="13" s="1"/>
  <c r="AP87" i="5"/>
  <c r="Z84" i="13" s="1"/>
  <c r="Y84" i="13" s="1"/>
  <c r="AP236" i="5"/>
  <c r="Z233" i="13" s="1"/>
  <c r="Y233" i="13" s="1"/>
  <c r="AP492" i="5"/>
  <c r="Z489" i="13" s="1"/>
  <c r="AP161" i="5"/>
  <c r="Z158" i="13" s="1"/>
  <c r="Y158" i="13" s="1"/>
  <c r="AP197" i="5"/>
  <c r="Z194" i="13" s="1"/>
  <c r="AP631" i="5"/>
  <c r="Z628" i="13" s="1"/>
  <c r="Y628" i="13" s="1"/>
  <c r="AP312" i="5"/>
  <c r="Z309" i="13" s="1"/>
  <c r="Y309" i="13" s="1"/>
  <c r="AP397" i="5"/>
  <c r="Z394" i="13" s="1"/>
  <c r="AP62" i="5"/>
  <c r="Z59" i="13" s="1"/>
  <c r="Y59" i="13" s="1"/>
  <c r="AP240" i="5"/>
  <c r="Z237" i="13" s="1"/>
  <c r="Y237" i="13" s="1"/>
  <c r="O192" i="13"/>
  <c r="P192" i="13" s="1"/>
  <c r="Z255" i="13"/>
  <c r="Y255" i="13" s="1"/>
  <c r="AP390" i="5"/>
  <c r="Z387" i="13" s="1"/>
  <c r="AP38" i="5"/>
  <c r="Z35" i="13" s="1"/>
  <c r="Y35" i="13" s="1"/>
  <c r="AP616" i="5"/>
  <c r="Z613" i="13" s="1"/>
  <c r="Y613" i="13" s="1"/>
  <c r="AP202" i="5"/>
  <c r="Z199" i="13" s="1"/>
  <c r="AP635" i="5"/>
  <c r="Z632" i="13" s="1"/>
  <c r="Y632" i="13" s="1"/>
  <c r="AP413" i="5"/>
  <c r="Z410" i="13" s="1"/>
  <c r="Y410" i="13" s="1"/>
  <c r="AP366" i="5"/>
  <c r="O363" i="13" s="1"/>
  <c r="P363" i="13" s="1"/>
  <c r="AP465" i="5"/>
  <c r="Z462" i="13" s="1"/>
  <c r="AP147" i="5"/>
  <c r="Z144" i="13" s="1"/>
  <c r="Y144" i="13" s="1"/>
  <c r="AP344" i="5"/>
  <c r="Z341" i="13" s="1"/>
  <c r="Y341" i="13" s="1"/>
  <c r="AP265" i="5"/>
  <c r="Z262" i="13" s="1"/>
  <c r="Y262" i="13" s="1"/>
  <c r="AP395" i="5"/>
  <c r="Z392" i="13" s="1"/>
  <c r="Y392" i="13" s="1"/>
  <c r="AP272" i="5"/>
  <c r="AP275" i="5"/>
  <c r="AP611" i="5"/>
  <c r="Z400" i="13"/>
  <c r="Y400" i="13" s="1"/>
  <c r="Z336" i="13"/>
  <c r="Y336" i="13" s="1"/>
  <c r="O176" i="13"/>
  <c r="P176" i="13" s="1"/>
  <c r="AP54" i="5"/>
  <c r="O51" i="13" s="1"/>
  <c r="P51" i="13" s="1"/>
  <c r="O127" i="13"/>
  <c r="P127" i="13" s="1"/>
  <c r="O111" i="13"/>
  <c r="P111" i="13" s="1"/>
  <c r="O55" i="13"/>
  <c r="P55" i="13" s="1"/>
  <c r="O384" i="13"/>
  <c r="P384" i="13" s="1"/>
  <c r="AP67" i="5"/>
  <c r="Z448" i="13"/>
  <c r="Z256" i="13"/>
  <c r="Y256" i="13" s="1"/>
  <c r="O431" i="13"/>
  <c r="P431" i="13" s="1"/>
  <c r="X55" i="13"/>
  <c r="W55" i="13" s="1"/>
  <c r="Z383" i="13"/>
  <c r="Y383" i="13" s="1"/>
  <c r="Z416" i="13"/>
  <c r="Z511" i="13"/>
  <c r="Y511" i="13" s="1"/>
  <c r="Z544" i="13"/>
  <c r="Y544" i="13" s="1"/>
  <c r="AP45" i="5"/>
  <c r="O42" i="13" s="1"/>
  <c r="P42" i="13" s="1"/>
  <c r="O45" i="13"/>
  <c r="P45" i="13" s="1"/>
  <c r="O607" i="13"/>
  <c r="P607" i="13" s="1"/>
  <c r="O320" i="13"/>
  <c r="P320" i="13" s="1"/>
  <c r="O528" i="13"/>
  <c r="P528" i="13" s="1"/>
  <c r="O96" i="13"/>
  <c r="P96" i="13" s="1"/>
  <c r="Z303" i="13"/>
  <c r="O159" i="13"/>
  <c r="P159" i="13" s="1"/>
  <c r="Z368" i="13"/>
  <c r="Y368" i="13" s="1"/>
  <c r="Z287" i="13"/>
  <c r="Y287" i="13" s="1"/>
  <c r="Z495" i="13"/>
  <c r="Z543" i="13"/>
  <c r="Y543" i="13" s="1"/>
  <c r="O112" i="13"/>
  <c r="P112" i="13" s="1"/>
  <c r="O304" i="13"/>
  <c r="P304" i="13" s="1"/>
  <c r="Z95" i="13"/>
  <c r="Y95" i="13" s="1"/>
  <c r="O432" i="13"/>
  <c r="P432" i="13" s="1"/>
  <c r="Z560" i="13"/>
  <c r="Y560" i="13" s="1"/>
  <c r="Z339" i="13"/>
  <c r="Y339" i="13" s="1"/>
  <c r="O339" i="13"/>
  <c r="P339" i="13" s="1"/>
  <c r="Z261" i="13"/>
  <c r="Y261" i="13" s="1"/>
  <c r="O261" i="13"/>
  <c r="P261" i="13" s="1"/>
  <c r="Z182" i="13"/>
  <c r="Y182" i="13" s="1"/>
  <c r="O182" i="13"/>
  <c r="P182" i="13" s="1"/>
  <c r="Z438" i="13"/>
  <c r="Y438" i="13" s="1"/>
  <c r="O438" i="13"/>
  <c r="P438" i="13" s="1"/>
  <c r="O38" i="13"/>
  <c r="P38" i="13" s="1"/>
  <c r="Z312" i="13"/>
  <c r="O312" i="13"/>
  <c r="P312" i="13" s="1"/>
  <c r="Z568" i="13"/>
  <c r="Y568" i="13" s="1"/>
  <c r="O568" i="13"/>
  <c r="P568" i="13" s="1"/>
  <c r="Z201" i="13"/>
  <c r="Y201" i="13" s="1"/>
  <c r="O201" i="13"/>
  <c r="P201" i="13" s="1"/>
  <c r="Z457" i="13"/>
  <c r="Y457" i="13" s="1"/>
  <c r="O457" i="13"/>
  <c r="P457" i="13" s="1"/>
  <c r="Z90" i="13"/>
  <c r="O90" i="13"/>
  <c r="P90" i="13" s="1"/>
  <c r="Z346" i="13"/>
  <c r="Y346" i="13" s="1"/>
  <c r="O346" i="13"/>
  <c r="P346" i="13" s="1"/>
  <c r="Z283" i="13"/>
  <c r="O283" i="13"/>
  <c r="P283" i="13" s="1"/>
  <c r="Z539" i="13"/>
  <c r="O539" i="13"/>
  <c r="P539" i="13" s="1"/>
  <c r="Z268" i="13"/>
  <c r="Y268" i="13" s="1"/>
  <c r="O268" i="13"/>
  <c r="P268" i="13" s="1"/>
  <c r="Z413" i="13"/>
  <c r="O413" i="13"/>
  <c r="P413" i="13" s="1"/>
  <c r="Z622" i="13"/>
  <c r="Y622" i="13" s="1"/>
  <c r="O622" i="13"/>
  <c r="P622" i="13" s="1"/>
  <c r="Z145" i="13"/>
  <c r="Y145" i="13" s="1"/>
  <c r="O145" i="13"/>
  <c r="P145" i="13" s="1"/>
  <c r="Z529" i="13"/>
  <c r="O529" i="13"/>
  <c r="P529" i="13" s="1"/>
  <c r="Z2" i="13"/>
  <c r="Y2" i="13" s="1"/>
  <c r="O2" i="13"/>
  <c r="P2" i="13" s="1"/>
  <c r="Z146" i="13"/>
  <c r="O146" i="13"/>
  <c r="P146" i="13" s="1"/>
  <c r="Z402" i="13"/>
  <c r="Y402" i="13" s="1"/>
  <c r="O402" i="13"/>
  <c r="P402" i="13" s="1"/>
  <c r="Z530" i="13"/>
  <c r="Y530" i="13" s="1"/>
  <c r="O530" i="13"/>
  <c r="P530" i="13" s="1"/>
  <c r="Z68" i="13"/>
  <c r="Y68" i="13" s="1"/>
  <c r="O68" i="13"/>
  <c r="P68" i="13" s="1"/>
  <c r="Z324" i="13"/>
  <c r="Y324" i="13" s="1"/>
  <c r="O324" i="13"/>
  <c r="P324" i="13" s="1"/>
  <c r="Z596" i="13"/>
  <c r="Y596" i="13" s="1"/>
  <c r="O596" i="13"/>
  <c r="P596" i="13" s="1"/>
  <c r="Z277" i="13"/>
  <c r="Y277" i="13" s="1"/>
  <c r="O277" i="13"/>
  <c r="P277" i="13" s="1"/>
  <c r="Z533" i="13"/>
  <c r="O533" i="13"/>
  <c r="P533" i="13" s="1"/>
  <c r="Z151" i="13"/>
  <c r="O151" i="13"/>
  <c r="P151" i="13" s="1"/>
  <c r="Z423" i="13"/>
  <c r="Y423" i="13" s="1"/>
  <c r="O423" i="13"/>
  <c r="P423" i="13" s="1"/>
  <c r="Z328" i="13"/>
  <c r="Y328" i="13" s="1"/>
  <c r="O328" i="13"/>
  <c r="P328" i="13" s="1"/>
  <c r="Z584" i="13"/>
  <c r="Y584" i="13" s="1"/>
  <c r="O584" i="13"/>
  <c r="P584" i="13" s="1"/>
  <c r="Z217" i="13"/>
  <c r="O217" i="13"/>
  <c r="P217" i="13" s="1"/>
  <c r="Z473" i="13"/>
  <c r="Y473" i="13" s="1"/>
  <c r="O473" i="13"/>
  <c r="P473" i="13" s="1"/>
  <c r="Z106" i="13"/>
  <c r="O106" i="13"/>
  <c r="P106" i="13" s="1"/>
  <c r="Z362" i="13"/>
  <c r="O362" i="13"/>
  <c r="P362" i="13" s="1"/>
  <c r="Z299" i="13"/>
  <c r="Y299" i="13" s="1"/>
  <c r="O299" i="13"/>
  <c r="P299" i="13" s="1"/>
  <c r="O555" i="13"/>
  <c r="P555" i="13" s="1"/>
  <c r="Z555" i="13"/>
  <c r="Y555" i="13" s="1"/>
  <c r="Z556" i="13"/>
  <c r="Y556" i="13" s="1"/>
  <c r="O556" i="13"/>
  <c r="P556" i="13" s="1"/>
  <c r="Z173" i="13"/>
  <c r="Y173" i="13" s="1"/>
  <c r="O173" i="13"/>
  <c r="P173" i="13" s="1"/>
  <c r="Z110" i="13"/>
  <c r="O110" i="13"/>
  <c r="P110" i="13" s="1"/>
  <c r="Z382" i="13"/>
  <c r="O382" i="13"/>
  <c r="P382" i="13" s="1"/>
  <c r="Z99" i="13"/>
  <c r="Y99" i="13" s="1"/>
  <c r="O99" i="13"/>
  <c r="P99" i="13" s="1"/>
  <c r="Z371" i="13"/>
  <c r="Y371" i="13" s="1"/>
  <c r="O371" i="13"/>
  <c r="P371" i="13" s="1"/>
  <c r="Z340" i="13"/>
  <c r="Y340" i="13" s="1"/>
  <c r="O340" i="13"/>
  <c r="P340" i="13" s="1"/>
  <c r="Z612" i="13"/>
  <c r="Y612" i="13" s="1"/>
  <c r="O612" i="13"/>
  <c r="P612" i="13" s="1"/>
  <c r="Z293" i="13"/>
  <c r="Y293" i="13" s="1"/>
  <c r="O293" i="13"/>
  <c r="P293" i="13" s="1"/>
  <c r="Z549" i="13"/>
  <c r="Y549" i="13" s="1"/>
  <c r="O549" i="13"/>
  <c r="P549" i="13" s="1"/>
  <c r="Z214" i="13"/>
  <c r="O214" i="13"/>
  <c r="P214" i="13" s="1"/>
  <c r="Z470" i="13"/>
  <c r="O470" i="13"/>
  <c r="P470" i="13" s="1"/>
  <c r="Z167" i="13"/>
  <c r="Y167" i="13" s="1"/>
  <c r="O167" i="13"/>
  <c r="P167" i="13" s="1"/>
  <c r="Z455" i="13"/>
  <c r="Y455" i="13" s="1"/>
  <c r="O455" i="13"/>
  <c r="P455" i="13" s="1"/>
  <c r="Z88" i="13"/>
  <c r="Z344" i="13"/>
  <c r="Y344" i="13" s="1"/>
  <c r="O344" i="13"/>
  <c r="P344" i="13" s="1"/>
  <c r="Z378" i="13"/>
  <c r="Y378" i="13" s="1"/>
  <c r="O378" i="13"/>
  <c r="P378" i="13" s="1"/>
  <c r="Z41" i="13"/>
  <c r="Y41" i="13" s="1"/>
  <c r="O41" i="13"/>
  <c r="P41" i="13" s="1"/>
  <c r="Z587" i="13"/>
  <c r="Y587" i="13" s="1"/>
  <c r="Z300" i="13"/>
  <c r="Y300" i="13" s="1"/>
  <c r="O300" i="13"/>
  <c r="P300" i="13" s="1"/>
  <c r="Z189" i="13"/>
  <c r="Y189" i="13" s="1"/>
  <c r="O189" i="13"/>
  <c r="P189" i="13" s="1"/>
  <c r="Z126" i="13"/>
  <c r="Y126" i="13" s="1"/>
  <c r="O126" i="13"/>
  <c r="P126" i="13" s="1"/>
  <c r="Z398" i="13"/>
  <c r="Y398" i="13" s="1"/>
  <c r="O398" i="13"/>
  <c r="P398" i="13" s="1"/>
  <c r="Z161" i="13"/>
  <c r="Y161" i="13" s="1"/>
  <c r="O161" i="13"/>
  <c r="P161" i="13" s="1"/>
  <c r="Z289" i="13"/>
  <c r="Y289" i="13" s="1"/>
  <c r="O289" i="13"/>
  <c r="P289" i="13" s="1"/>
  <c r="Z417" i="13"/>
  <c r="Y417" i="13" s="1"/>
  <c r="O417" i="13"/>
  <c r="P417" i="13" s="1"/>
  <c r="Z545" i="13"/>
  <c r="Y545" i="13" s="1"/>
  <c r="O545" i="13"/>
  <c r="P545" i="13" s="1"/>
  <c r="Z34" i="13"/>
  <c r="Y34" i="13" s="1"/>
  <c r="O34" i="13"/>
  <c r="P34" i="13" s="1"/>
  <c r="Z162" i="13"/>
  <c r="O162" i="13"/>
  <c r="P162" i="13" s="1"/>
  <c r="Z290" i="13"/>
  <c r="Y290" i="13" s="1"/>
  <c r="O290" i="13"/>
  <c r="P290" i="13" s="1"/>
  <c r="Z418" i="13"/>
  <c r="Y418" i="13" s="1"/>
  <c r="O418" i="13"/>
  <c r="P418" i="13" s="1"/>
  <c r="Z546" i="13"/>
  <c r="O546" i="13"/>
  <c r="P546" i="13" s="1"/>
  <c r="Z115" i="13"/>
  <c r="Y115" i="13" s="1"/>
  <c r="O115" i="13"/>
  <c r="P115" i="13" s="1"/>
  <c r="O387" i="13"/>
  <c r="P387" i="13" s="1"/>
  <c r="Z100" i="13"/>
  <c r="Y100" i="13" s="1"/>
  <c r="O100" i="13"/>
  <c r="P100" i="13" s="1"/>
  <c r="Z356" i="13"/>
  <c r="O356" i="13"/>
  <c r="P356" i="13" s="1"/>
  <c r="Z597" i="13"/>
  <c r="Y597" i="13" s="1"/>
  <c r="O597" i="13"/>
  <c r="P597" i="13" s="1"/>
  <c r="Z230" i="13"/>
  <c r="O230" i="13"/>
  <c r="P230" i="13" s="1"/>
  <c r="Z486" i="13"/>
  <c r="O486" i="13"/>
  <c r="P486" i="13" s="1"/>
  <c r="Z183" i="13"/>
  <c r="Y183" i="13" s="1"/>
  <c r="O183" i="13"/>
  <c r="P183" i="13" s="1"/>
  <c r="Z471" i="13"/>
  <c r="Y471" i="13" s="1"/>
  <c r="O471" i="13"/>
  <c r="P471" i="13" s="1"/>
  <c r="Z104" i="13"/>
  <c r="O104" i="13"/>
  <c r="P104" i="13" s="1"/>
  <c r="Z360" i="13"/>
  <c r="O360" i="13"/>
  <c r="P360" i="13" s="1"/>
  <c r="Z616" i="13"/>
  <c r="Y616" i="13" s="1"/>
  <c r="O616" i="13"/>
  <c r="P616" i="13" s="1"/>
  <c r="Z249" i="13"/>
  <c r="O249" i="13"/>
  <c r="P249" i="13" s="1"/>
  <c r="Z505" i="13"/>
  <c r="O505" i="13"/>
  <c r="P505" i="13" s="1"/>
  <c r="Z75" i="13"/>
  <c r="O75" i="13"/>
  <c r="P75" i="13" s="1"/>
  <c r="Z331" i="13"/>
  <c r="Y331" i="13" s="1"/>
  <c r="O331" i="13"/>
  <c r="P331" i="13" s="1"/>
  <c r="Z7" i="13"/>
  <c r="Y7" i="13" s="1"/>
  <c r="O7" i="13"/>
  <c r="P7" i="13" s="1"/>
  <c r="O588" i="13"/>
  <c r="P588" i="13" s="1"/>
  <c r="Z205" i="13"/>
  <c r="Y205" i="13" s="1"/>
  <c r="O205" i="13"/>
  <c r="P205" i="13" s="1"/>
  <c r="Z461" i="13"/>
  <c r="Y461" i="13" s="1"/>
  <c r="O461" i="13"/>
  <c r="P461" i="13" s="1"/>
  <c r="Z142" i="13"/>
  <c r="Y142" i="13" s="1"/>
  <c r="O142" i="13"/>
  <c r="P142" i="13" s="1"/>
  <c r="Z16" i="13"/>
  <c r="Y16" i="13" s="1"/>
  <c r="O16" i="13"/>
  <c r="P16" i="13" s="1"/>
  <c r="Z131" i="13"/>
  <c r="Y131" i="13" s="1"/>
  <c r="O131" i="13"/>
  <c r="P131" i="13" s="1"/>
  <c r="Z403" i="13"/>
  <c r="Y403" i="13" s="1"/>
  <c r="O403" i="13"/>
  <c r="P403" i="13" s="1"/>
  <c r="Z116" i="13"/>
  <c r="Y116" i="13" s="1"/>
  <c r="O116" i="13"/>
  <c r="P116" i="13" s="1"/>
  <c r="Z372" i="13"/>
  <c r="Y372" i="13" s="1"/>
  <c r="O372" i="13"/>
  <c r="P372" i="13" s="1"/>
  <c r="Z325" i="13"/>
  <c r="Y325" i="13" s="1"/>
  <c r="O325" i="13"/>
  <c r="P325" i="13" s="1"/>
  <c r="Z246" i="13"/>
  <c r="O246" i="13"/>
  <c r="P246" i="13" s="1"/>
  <c r="Z502" i="13"/>
  <c r="O502" i="13"/>
  <c r="P502" i="13" s="1"/>
  <c r="Z487" i="13"/>
  <c r="Y487" i="13" s="1"/>
  <c r="O487" i="13"/>
  <c r="P487" i="13" s="1"/>
  <c r="Z120" i="13"/>
  <c r="Y120" i="13" s="1"/>
  <c r="O120" i="13"/>
  <c r="P120" i="13" s="1"/>
  <c r="O376" i="13"/>
  <c r="P376" i="13" s="1"/>
  <c r="Z376" i="13"/>
  <c r="Y376" i="13" s="1"/>
  <c r="Z265" i="13"/>
  <c r="Y265" i="13" s="1"/>
  <c r="O265" i="13"/>
  <c r="P265" i="13" s="1"/>
  <c r="Z521" i="13"/>
  <c r="Y521" i="13" s="1"/>
  <c r="O521" i="13"/>
  <c r="P521" i="13" s="1"/>
  <c r="Z154" i="13"/>
  <c r="Y154" i="13" s="1"/>
  <c r="O154" i="13"/>
  <c r="P154" i="13" s="1"/>
  <c r="O410" i="13"/>
  <c r="P410" i="13" s="1"/>
  <c r="Z91" i="13"/>
  <c r="Y91" i="13" s="1"/>
  <c r="O91" i="13"/>
  <c r="P91" i="13" s="1"/>
  <c r="O347" i="13"/>
  <c r="P347" i="13" s="1"/>
  <c r="Z347" i="13"/>
  <c r="Z348" i="13"/>
  <c r="O348" i="13"/>
  <c r="P348" i="13" s="1"/>
  <c r="Z604" i="13"/>
  <c r="Y604" i="13" s="1"/>
  <c r="O604" i="13"/>
  <c r="P604" i="13" s="1"/>
  <c r="Z221" i="13"/>
  <c r="Y221" i="13" s="1"/>
  <c r="O221" i="13"/>
  <c r="P221" i="13" s="1"/>
  <c r="Z477" i="13"/>
  <c r="O477" i="13"/>
  <c r="P477" i="13" s="1"/>
  <c r="Z430" i="13"/>
  <c r="O430" i="13"/>
  <c r="P430" i="13" s="1"/>
  <c r="Z33" i="13"/>
  <c r="Y33" i="13" s="1"/>
  <c r="O33" i="13"/>
  <c r="P33" i="13" s="1"/>
  <c r="Z177" i="13"/>
  <c r="Y177" i="13" s="1"/>
  <c r="O177" i="13"/>
  <c r="P177" i="13" s="1"/>
  <c r="Z433" i="13"/>
  <c r="Y433" i="13" s="1"/>
  <c r="O433" i="13"/>
  <c r="P433" i="13" s="1"/>
  <c r="Z50" i="13"/>
  <c r="Y50" i="13" s="1"/>
  <c r="O50" i="13"/>
  <c r="P50" i="13" s="1"/>
  <c r="Z306" i="13"/>
  <c r="Y306" i="13" s="1"/>
  <c r="O306" i="13"/>
  <c r="P306" i="13" s="1"/>
  <c r="Z594" i="13"/>
  <c r="Y594" i="13" s="1"/>
  <c r="O594" i="13"/>
  <c r="P594" i="13" s="1"/>
  <c r="Z419" i="13"/>
  <c r="O419" i="13"/>
  <c r="P419" i="13" s="1"/>
  <c r="Z132" i="13"/>
  <c r="Y132" i="13" s="1"/>
  <c r="O132" i="13"/>
  <c r="P132" i="13" s="1"/>
  <c r="Z629" i="13"/>
  <c r="Y629" i="13" s="1"/>
  <c r="O629" i="13"/>
  <c r="P629" i="13" s="1"/>
  <c r="Z518" i="13"/>
  <c r="O518" i="13"/>
  <c r="P518" i="13" s="1"/>
  <c r="Z215" i="13"/>
  <c r="Y215" i="13" s="1"/>
  <c r="Z503" i="13"/>
  <c r="O503" i="13"/>
  <c r="P503" i="13" s="1"/>
  <c r="Z281" i="13"/>
  <c r="O281" i="13"/>
  <c r="P281" i="13" s="1"/>
  <c r="Z537" i="13"/>
  <c r="Y537" i="13" s="1"/>
  <c r="O537" i="13"/>
  <c r="P537" i="13" s="1"/>
  <c r="Z170" i="13"/>
  <c r="Y170" i="13" s="1"/>
  <c r="O170" i="13"/>
  <c r="P170" i="13" s="1"/>
  <c r="Z426" i="13"/>
  <c r="Y426" i="13" s="1"/>
  <c r="O426" i="13"/>
  <c r="P426" i="13" s="1"/>
  <c r="Z107" i="13"/>
  <c r="O107" i="13"/>
  <c r="P107" i="13" s="1"/>
  <c r="Z364" i="13"/>
  <c r="Y364" i="13" s="1"/>
  <c r="O364" i="13"/>
  <c r="P364" i="13" s="1"/>
  <c r="Z620" i="13"/>
  <c r="Y620" i="13" s="1"/>
  <c r="O620" i="13"/>
  <c r="P620" i="13" s="1"/>
  <c r="Z493" i="13"/>
  <c r="O493" i="13"/>
  <c r="P493" i="13" s="1"/>
  <c r="Z174" i="13"/>
  <c r="Y174" i="13" s="1"/>
  <c r="O174" i="13"/>
  <c r="P174" i="13" s="1"/>
  <c r="Z446" i="13"/>
  <c r="O446" i="13"/>
  <c r="P446" i="13" s="1"/>
  <c r="Z305" i="13"/>
  <c r="O305" i="13"/>
  <c r="P305" i="13" s="1"/>
  <c r="Z163" i="13"/>
  <c r="Y163" i="13" s="1"/>
  <c r="O163" i="13"/>
  <c r="P163" i="13" s="1"/>
  <c r="Z435" i="13"/>
  <c r="Y435" i="13" s="1"/>
  <c r="O435" i="13"/>
  <c r="P435" i="13" s="1"/>
  <c r="Z148" i="13"/>
  <c r="O148" i="13"/>
  <c r="P148" i="13" s="1"/>
  <c r="Z404" i="13"/>
  <c r="Y404" i="13" s="1"/>
  <c r="O404" i="13"/>
  <c r="P404" i="13" s="1"/>
  <c r="Z85" i="13"/>
  <c r="O85" i="13"/>
  <c r="P85" i="13" s="1"/>
  <c r="Z19" i="13"/>
  <c r="Y19" i="13" s="1"/>
  <c r="O19" i="13"/>
  <c r="P19" i="13" s="1"/>
  <c r="Z278" i="13"/>
  <c r="Y278" i="13" s="1"/>
  <c r="O278" i="13"/>
  <c r="P278" i="13" s="1"/>
  <c r="Z534" i="13"/>
  <c r="Y534" i="13" s="1"/>
  <c r="O534" i="13"/>
  <c r="P534" i="13" s="1"/>
  <c r="Z231" i="13"/>
  <c r="Y231" i="13" s="1"/>
  <c r="O231" i="13"/>
  <c r="P231" i="13" s="1"/>
  <c r="Z152" i="13"/>
  <c r="O152" i="13"/>
  <c r="P152" i="13" s="1"/>
  <c r="Z408" i="13"/>
  <c r="Y408" i="13" s="1"/>
  <c r="O408" i="13"/>
  <c r="P408" i="13" s="1"/>
  <c r="Z4" i="13"/>
  <c r="Y4" i="13" s="1"/>
  <c r="O4" i="13"/>
  <c r="P4" i="13" s="1"/>
  <c r="Z553" i="13"/>
  <c r="O553" i="13"/>
  <c r="P553" i="13" s="1"/>
  <c r="Z186" i="13"/>
  <c r="Y186" i="13" s="1"/>
  <c r="O186" i="13"/>
  <c r="P186" i="13" s="1"/>
  <c r="Z442" i="13"/>
  <c r="O442" i="13"/>
  <c r="P442" i="13" s="1"/>
  <c r="Z123" i="13"/>
  <c r="Y123" i="13" s="1"/>
  <c r="O123" i="13"/>
  <c r="P123" i="13" s="1"/>
  <c r="Z379" i="13"/>
  <c r="O379" i="13"/>
  <c r="P379" i="13" s="1"/>
  <c r="Z76" i="13"/>
  <c r="Y76" i="13" s="1"/>
  <c r="O76" i="13"/>
  <c r="P76" i="13" s="1"/>
  <c r="Z380" i="13"/>
  <c r="Y380" i="13" s="1"/>
  <c r="O380" i="13"/>
  <c r="P380" i="13" s="1"/>
  <c r="Z636" i="13"/>
  <c r="Y636" i="13" s="1"/>
  <c r="O636" i="13"/>
  <c r="P636" i="13" s="1"/>
  <c r="Z253" i="13"/>
  <c r="O253" i="13"/>
  <c r="P253" i="13" s="1"/>
  <c r="Z509" i="13"/>
  <c r="Y509" i="13" s="1"/>
  <c r="O509" i="13"/>
  <c r="P509" i="13" s="1"/>
  <c r="Z190" i="13"/>
  <c r="Y190" i="13" s="1"/>
  <c r="O190" i="13"/>
  <c r="P190" i="13" s="1"/>
  <c r="Z49" i="13"/>
  <c r="Y49" i="13" s="1"/>
  <c r="O49" i="13"/>
  <c r="P49" i="13" s="1"/>
  <c r="Z193" i="13"/>
  <c r="Y193" i="13" s="1"/>
  <c r="O193" i="13"/>
  <c r="P193" i="13" s="1"/>
  <c r="Z321" i="13"/>
  <c r="Y321" i="13" s="1"/>
  <c r="O321" i="13"/>
  <c r="P321" i="13" s="1"/>
  <c r="Z577" i="13"/>
  <c r="Y577" i="13" s="1"/>
  <c r="O577" i="13"/>
  <c r="P577" i="13" s="1"/>
  <c r="Z66" i="13"/>
  <c r="Y66" i="13" s="1"/>
  <c r="O66" i="13"/>
  <c r="P66" i="13" s="1"/>
  <c r="Z322" i="13"/>
  <c r="Y322" i="13" s="1"/>
  <c r="O322" i="13"/>
  <c r="P322" i="13" s="1"/>
  <c r="Z450" i="13"/>
  <c r="Y450" i="13" s="1"/>
  <c r="O450" i="13"/>
  <c r="P450" i="13" s="1"/>
  <c r="Z610" i="13"/>
  <c r="Y610" i="13" s="1"/>
  <c r="O610" i="13"/>
  <c r="P610" i="13" s="1"/>
  <c r="Z179" i="13"/>
  <c r="O179" i="13"/>
  <c r="P179" i="13" s="1"/>
  <c r="Z451" i="13"/>
  <c r="Y451" i="13" s="1"/>
  <c r="O451" i="13"/>
  <c r="P451" i="13" s="1"/>
  <c r="Z420" i="13"/>
  <c r="O420" i="13"/>
  <c r="P420" i="13" s="1"/>
  <c r="Z101" i="13"/>
  <c r="O101" i="13"/>
  <c r="P101" i="13" s="1"/>
  <c r="Z373" i="13"/>
  <c r="O373" i="13"/>
  <c r="P373" i="13" s="1"/>
  <c r="Z294" i="13"/>
  <c r="Y294" i="13" s="1"/>
  <c r="O294" i="13"/>
  <c r="P294" i="13" s="1"/>
  <c r="Z550" i="13"/>
  <c r="Y550" i="13" s="1"/>
  <c r="O550" i="13"/>
  <c r="P550" i="13" s="1"/>
  <c r="Z247" i="13"/>
  <c r="Y247" i="13" s="1"/>
  <c r="O247" i="13"/>
  <c r="P247" i="13" s="1"/>
  <c r="Z535" i="13"/>
  <c r="Y535" i="13" s="1"/>
  <c r="O535" i="13"/>
  <c r="P535" i="13" s="1"/>
  <c r="Z424" i="13"/>
  <c r="Y424" i="13" s="1"/>
  <c r="O424" i="13"/>
  <c r="P424" i="13" s="1"/>
  <c r="Z22" i="13"/>
  <c r="Y22" i="13" s="1"/>
  <c r="O22" i="13"/>
  <c r="P22" i="13" s="1"/>
  <c r="Z313" i="13"/>
  <c r="Y313" i="13" s="1"/>
  <c r="O313" i="13"/>
  <c r="P313" i="13" s="1"/>
  <c r="Z569" i="13"/>
  <c r="Y569" i="13" s="1"/>
  <c r="O569" i="13"/>
  <c r="P569" i="13" s="1"/>
  <c r="Z202" i="13"/>
  <c r="O202" i="13"/>
  <c r="P202" i="13" s="1"/>
  <c r="Z458" i="13"/>
  <c r="O458" i="13"/>
  <c r="P458" i="13" s="1"/>
  <c r="Z395" i="13"/>
  <c r="Y395" i="13" s="1"/>
  <c r="O395" i="13"/>
  <c r="P395" i="13" s="1"/>
  <c r="Z108" i="13"/>
  <c r="Y108" i="13" s="1"/>
  <c r="O108" i="13"/>
  <c r="P108" i="13" s="1"/>
  <c r="Z396" i="13"/>
  <c r="Y396" i="13" s="1"/>
  <c r="O396" i="13"/>
  <c r="P396" i="13" s="1"/>
  <c r="Z269" i="13"/>
  <c r="Y269" i="13" s="1"/>
  <c r="O269" i="13"/>
  <c r="P269" i="13" s="1"/>
  <c r="Z525" i="13"/>
  <c r="Y525" i="13" s="1"/>
  <c r="O525" i="13"/>
  <c r="P525" i="13" s="1"/>
  <c r="Z206" i="13"/>
  <c r="O206" i="13"/>
  <c r="P206" i="13" s="1"/>
  <c r="Z478" i="13"/>
  <c r="Y478" i="13" s="1"/>
  <c r="O478" i="13"/>
  <c r="P478" i="13" s="1"/>
  <c r="Z195" i="13"/>
  <c r="Y195" i="13" s="1"/>
  <c r="O195" i="13"/>
  <c r="P195" i="13" s="1"/>
  <c r="Z467" i="13"/>
  <c r="O467" i="13"/>
  <c r="P467" i="13" s="1"/>
  <c r="Z180" i="13"/>
  <c r="Y180" i="13" s="1"/>
  <c r="O180" i="13"/>
  <c r="P180" i="13" s="1"/>
  <c r="Z436" i="13"/>
  <c r="O436" i="13"/>
  <c r="P436" i="13" s="1"/>
  <c r="Z53" i="13"/>
  <c r="Y53" i="13" s="1"/>
  <c r="O53" i="13"/>
  <c r="P53" i="13" s="1"/>
  <c r="Z310" i="13"/>
  <c r="Y310" i="13" s="1"/>
  <c r="O310" i="13"/>
  <c r="P310" i="13" s="1"/>
  <c r="Z614" i="13"/>
  <c r="Y614" i="13" s="1"/>
  <c r="O614" i="13"/>
  <c r="P614" i="13" s="1"/>
  <c r="Z263" i="13"/>
  <c r="Y263" i="13" s="1"/>
  <c r="O263" i="13"/>
  <c r="P263" i="13" s="1"/>
  <c r="Z551" i="13"/>
  <c r="Y551" i="13" s="1"/>
  <c r="O551" i="13"/>
  <c r="P551" i="13" s="1"/>
  <c r="Z184" i="13"/>
  <c r="Y184" i="13" s="1"/>
  <c r="O184" i="13"/>
  <c r="P184" i="13" s="1"/>
  <c r="Z73" i="13"/>
  <c r="Y73" i="13" s="1"/>
  <c r="O73" i="13"/>
  <c r="P73" i="13" s="1"/>
  <c r="Z329" i="13"/>
  <c r="Y329" i="13" s="1"/>
  <c r="O329" i="13"/>
  <c r="P329" i="13" s="1"/>
  <c r="Z585" i="13"/>
  <c r="Y585" i="13" s="1"/>
  <c r="O585" i="13"/>
  <c r="P585" i="13" s="1"/>
  <c r="Z218" i="13"/>
  <c r="Y218" i="13" s="1"/>
  <c r="O218" i="13"/>
  <c r="P218" i="13" s="1"/>
  <c r="Z474" i="13"/>
  <c r="Y474" i="13" s="1"/>
  <c r="O474" i="13"/>
  <c r="P474" i="13" s="1"/>
  <c r="Z155" i="13"/>
  <c r="Y155" i="13" s="1"/>
  <c r="O155" i="13"/>
  <c r="P155" i="13" s="1"/>
  <c r="Z140" i="13"/>
  <c r="Y140" i="13" s="1"/>
  <c r="O140" i="13"/>
  <c r="P140" i="13" s="1"/>
  <c r="Z285" i="13"/>
  <c r="Y285" i="13" s="1"/>
  <c r="O285" i="13"/>
  <c r="P285" i="13" s="1"/>
  <c r="Z541" i="13"/>
  <c r="Y541" i="13" s="1"/>
  <c r="O541" i="13"/>
  <c r="P541" i="13" s="1"/>
  <c r="Z494" i="13"/>
  <c r="O494" i="13"/>
  <c r="P494" i="13" s="1"/>
  <c r="Z81" i="13"/>
  <c r="Y81" i="13" s="1"/>
  <c r="O81" i="13"/>
  <c r="P81" i="13" s="1"/>
  <c r="Z209" i="13"/>
  <c r="O209" i="13"/>
  <c r="P209" i="13" s="1"/>
  <c r="Z337" i="13"/>
  <c r="Y337" i="13" s="1"/>
  <c r="O337" i="13"/>
  <c r="P337" i="13" s="1"/>
  <c r="Z82" i="13"/>
  <c r="Y82" i="13" s="1"/>
  <c r="O82" i="13"/>
  <c r="P82" i="13" s="1"/>
  <c r="Z210" i="13"/>
  <c r="O210" i="13"/>
  <c r="P210" i="13" s="1"/>
  <c r="Z338" i="13"/>
  <c r="Y338" i="13" s="1"/>
  <c r="O338" i="13"/>
  <c r="P338" i="13" s="1"/>
  <c r="Z466" i="13"/>
  <c r="Y466" i="13" s="1"/>
  <c r="O466" i="13"/>
  <c r="P466" i="13" s="1"/>
  <c r="Z483" i="13"/>
  <c r="Y483" i="13" s="1"/>
  <c r="O483" i="13"/>
  <c r="P483" i="13" s="1"/>
  <c r="Z452" i="13"/>
  <c r="Y452" i="13" s="1"/>
  <c r="O452" i="13"/>
  <c r="P452" i="13" s="1"/>
  <c r="Z133" i="13"/>
  <c r="O133" i="13"/>
  <c r="P133" i="13" s="1"/>
  <c r="Z295" i="13"/>
  <c r="Y295" i="13" s="1"/>
  <c r="O295" i="13"/>
  <c r="P295" i="13" s="1"/>
  <c r="Z200" i="13"/>
  <c r="Y200" i="13" s="1"/>
  <c r="O200" i="13"/>
  <c r="P200" i="13" s="1"/>
  <c r="Z456" i="13"/>
  <c r="Y456" i="13" s="1"/>
  <c r="O456" i="13"/>
  <c r="P456" i="13" s="1"/>
  <c r="Z89" i="13"/>
  <c r="Y89" i="13" s="1"/>
  <c r="O89" i="13"/>
  <c r="P89" i="13" s="1"/>
  <c r="Z345" i="13"/>
  <c r="Y345" i="13" s="1"/>
  <c r="O345" i="13"/>
  <c r="P345" i="13" s="1"/>
  <c r="O601" i="13"/>
  <c r="P601" i="13" s="1"/>
  <c r="Z601" i="13"/>
  <c r="Y601" i="13" s="1"/>
  <c r="Z234" i="13"/>
  <c r="Y234" i="13" s="1"/>
  <c r="O234" i="13"/>
  <c r="P234" i="13" s="1"/>
  <c r="Z490" i="13"/>
  <c r="Y490" i="13" s="1"/>
  <c r="O490" i="13"/>
  <c r="P490" i="13" s="1"/>
  <c r="Z171" i="13"/>
  <c r="Y171" i="13" s="1"/>
  <c r="O171" i="13"/>
  <c r="P171" i="13" s="1"/>
  <c r="Z427" i="13"/>
  <c r="Y427" i="13" s="1"/>
  <c r="O427" i="13"/>
  <c r="P427" i="13" s="1"/>
  <c r="Z428" i="13"/>
  <c r="O428" i="13"/>
  <c r="P428" i="13" s="1"/>
  <c r="Z8" i="13"/>
  <c r="Y8" i="13" s="1"/>
  <c r="O8" i="13"/>
  <c r="P8" i="13" s="1"/>
  <c r="Z301" i="13"/>
  <c r="Y301" i="13" s="1"/>
  <c r="O301" i="13"/>
  <c r="P301" i="13" s="1"/>
  <c r="Z557" i="13"/>
  <c r="O557" i="13"/>
  <c r="P557" i="13" s="1"/>
  <c r="Z238" i="13"/>
  <c r="Y238" i="13" s="1"/>
  <c r="O238" i="13"/>
  <c r="P238" i="13" s="1"/>
  <c r="Z499" i="13"/>
  <c r="Y499" i="13" s="1"/>
  <c r="O499" i="13"/>
  <c r="P499" i="13" s="1"/>
  <c r="Z468" i="13"/>
  <c r="Y468" i="13" s="1"/>
  <c r="O468" i="13"/>
  <c r="P468" i="13" s="1"/>
  <c r="Z165" i="13"/>
  <c r="O165" i="13"/>
  <c r="P165" i="13" s="1"/>
  <c r="O421" i="13"/>
  <c r="P421" i="13" s="1"/>
  <c r="Z86" i="13"/>
  <c r="O86" i="13"/>
  <c r="P86" i="13" s="1"/>
  <c r="Z342" i="13"/>
  <c r="O342" i="13"/>
  <c r="P342" i="13" s="1"/>
  <c r="Z311" i="13"/>
  <c r="Y311" i="13" s="1"/>
  <c r="O311" i="13"/>
  <c r="P311" i="13" s="1"/>
  <c r="Z583" i="13"/>
  <c r="Y583" i="13" s="1"/>
  <c r="O583" i="13"/>
  <c r="P583" i="13" s="1"/>
  <c r="Z216" i="13"/>
  <c r="Y216" i="13" s="1"/>
  <c r="O472" i="13"/>
  <c r="P472" i="13" s="1"/>
  <c r="Z472" i="13"/>
  <c r="Y472" i="13" s="1"/>
  <c r="Z105" i="13"/>
  <c r="O105" i="13"/>
  <c r="P105" i="13" s="1"/>
  <c r="Z617" i="13"/>
  <c r="Y617" i="13" s="1"/>
  <c r="O617" i="13"/>
  <c r="P617" i="13" s="1"/>
  <c r="Z250" i="13"/>
  <c r="Y250" i="13" s="1"/>
  <c r="O250" i="13"/>
  <c r="P250" i="13" s="1"/>
  <c r="Z506" i="13"/>
  <c r="Y506" i="13" s="1"/>
  <c r="O506" i="13"/>
  <c r="P506" i="13" s="1"/>
  <c r="Z172" i="13"/>
  <c r="O172" i="13"/>
  <c r="P172" i="13" s="1"/>
  <c r="O444" i="13"/>
  <c r="P444" i="13" s="1"/>
  <c r="Z60" i="13"/>
  <c r="Y60" i="13" s="1"/>
  <c r="O60" i="13"/>
  <c r="P60" i="13" s="1"/>
  <c r="Z317" i="13"/>
  <c r="Y317" i="13" s="1"/>
  <c r="O317" i="13"/>
  <c r="P317" i="13" s="1"/>
  <c r="Z589" i="13"/>
  <c r="Y589" i="13" s="1"/>
  <c r="O589" i="13"/>
  <c r="P589" i="13" s="1"/>
  <c r="Z254" i="13"/>
  <c r="Y254" i="13" s="1"/>
  <c r="O254" i="13"/>
  <c r="P254" i="13" s="1"/>
  <c r="Z526" i="13"/>
  <c r="O526" i="13"/>
  <c r="P526" i="13" s="1"/>
  <c r="Z97" i="13"/>
  <c r="Y97" i="13" s="1"/>
  <c r="O97" i="13"/>
  <c r="P97" i="13" s="1"/>
  <c r="Z225" i="13"/>
  <c r="Y225" i="13" s="1"/>
  <c r="O225" i="13"/>
  <c r="P225" i="13" s="1"/>
  <c r="Z353" i="13"/>
  <c r="Y353" i="13" s="1"/>
  <c r="O353" i="13"/>
  <c r="P353" i="13" s="1"/>
  <c r="Z481" i="13"/>
  <c r="Y481" i="13" s="1"/>
  <c r="O481" i="13"/>
  <c r="P481" i="13" s="1"/>
  <c r="Z98" i="13"/>
  <c r="Y98" i="13" s="1"/>
  <c r="O98" i="13"/>
  <c r="P98" i="13" s="1"/>
  <c r="Z354" i="13"/>
  <c r="O354" i="13"/>
  <c r="P354" i="13" s="1"/>
  <c r="Z482" i="13"/>
  <c r="O482" i="13"/>
  <c r="P482" i="13" s="1"/>
  <c r="Z243" i="13"/>
  <c r="O243" i="13"/>
  <c r="P243" i="13" s="1"/>
  <c r="Z228" i="13"/>
  <c r="Y228" i="13" s="1"/>
  <c r="Z181" i="13"/>
  <c r="O181" i="13"/>
  <c r="P181" i="13" s="1"/>
  <c r="Z437" i="13"/>
  <c r="Y437" i="13" s="1"/>
  <c r="O437" i="13"/>
  <c r="P437" i="13" s="1"/>
  <c r="Z102" i="13"/>
  <c r="Y102" i="13" s="1"/>
  <c r="O102" i="13"/>
  <c r="P102" i="13" s="1"/>
  <c r="Z358" i="13"/>
  <c r="Y358" i="13" s="1"/>
  <c r="O358" i="13"/>
  <c r="P358" i="13" s="1"/>
  <c r="Z37" i="13"/>
  <c r="Y37" i="13" s="1"/>
  <c r="O37" i="13"/>
  <c r="P37" i="13" s="1"/>
  <c r="Z327" i="13"/>
  <c r="Y327" i="13" s="1"/>
  <c r="O327" i="13"/>
  <c r="P327" i="13" s="1"/>
  <c r="Z232" i="13"/>
  <c r="Y232" i="13" s="1"/>
  <c r="O232" i="13"/>
  <c r="P232" i="13" s="1"/>
  <c r="Z488" i="13"/>
  <c r="Y488" i="13" s="1"/>
  <c r="O488" i="13"/>
  <c r="P488" i="13" s="1"/>
  <c r="Z121" i="13"/>
  <c r="O121" i="13"/>
  <c r="P121" i="13" s="1"/>
  <c r="Z377" i="13"/>
  <c r="Y377" i="13" s="1"/>
  <c r="O377" i="13"/>
  <c r="P377" i="13" s="1"/>
  <c r="Z5" i="13"/>
  <c r="Y5" i="13" s="1"/>
  <c r="O5" i="13"/>
  <c r="P5" i="13" s="1"/>
  <c r="Z266" i="13"/>
  <c r="Y266" i="13" s="1"/>
  <c r="O266" i="13"/>
  <c r="P266" i="13" s="1"/>
  <c r="Z522" i="13"/>
  <c r="Y522" i="13" s="1"/>
  <c r="O522" i="13"/>
  <c r="P522" i="13" s="1"/>
  <c r="Z203" i="13"/>
  <c r="Y203" i="13" s="1"/>
  <c r="O203" i="13"/>
  <c r="P203" i="13" s="1"/>
  <c r="Z459" i="13"/>
  <c r="O459" i="13"/>
  <c r="P459" i="13" s="1"/>
  <c r="Z188" i="13"/>
  <c r="Z460" i="13"/>
  <c r="Y460" i="13" s="1"/>
  <c r="O460" i="13"/>
  <c r="P460" i="13" s="1"/>
  <c r="Z77" i="13"/>
  <c r="Y77" i="13" s="1"/>
  <c r="O77" i="13"/>
  <c r="P77" i="13" s="1"/>
  <c r="Z333" i="13"/>
  <c r="Y333" i="13" s="1"/>
  <c r="O333" i="13"/>
  <c r="P333" i="13" s="1"/>
  <c r="Z637" i="13"/>
  <c r="O637" i="13"/>
  <c r="P637" i="13" s="1"/>
  <c r="Z270" i="13"/>
  <c r="Y270" i="13" s="1"/>
  <c r="O270" i="13"/>
  <c r="P270" i="13" s="1"/>
  <c r="Z542" i="13"/>
  <c r="Y542" i="13" s="1"/>
  <c r="O542" i="13"/>
  <c r="P542" i="13" s="1"/>
  <c r="Z64" i="13"/>
  <c r="Y64" i="13" s="1"/>
  <c r="O64" i="13"/>
  <c r="P64" i="13" s="1"/>
  <c r="Z275" i="13"/>
  <c r="Y275" i="13" s="1"/>
  <c r="O275" i="13"/>
  <c r="P275" i="13" s="1"/>
  <c r="Z531" i="13"/>
  <c r="O531" i="13"/>
  <c r="P531" i="13" s="1"/>
  <c r="Z516" i="13"/>
  <c r="O516" i="13"/>
  <c r="P516" i="13" s="1"/>
  <c r="Z197" i="13"/>
  <c r="Y197" i="13" s="1"/>
  <c r="O197" i="13"/>
  <c r="P197" i="13" s="1"/>
  <c r="Z453" i="13"/>
  <c r="Y453" i="13" s="1"/>
  <c r="O453" i="13"/>
  <c r="P453" i="13" s="1"/>
  <c r="Z118" i="13"/>
  <c r="O118" i="13"/>
  <c r="P118" i="13" s="1"/>
  <c r="Z374" i="13"/>
  <c r="O374" i="13"/>
  <c r="P374" i="13" s="1"/>
  <c r="Z71" i="13"/>
  <c r="Y71" i="13" s="1"/>
  <c r="O71" i="13"/>
  <c r="P71" i="13" s="1"/>
  <c r="Z615" i="13"/>
  <c r="Y615" i="13" s="1"/>
  <c r="O615" i="13"/>
  <c r="P615" i="13" s="1"/>
  <c r="O504" i="13"/>
  <c r="P504" i="13" s="1"/>
  <c r="Z504" i="13"/>
  <c r="Z137" i="13"/>
  <c r="Y137" i="13" s="1"/>
  <c r="O137" i="13"/>
  <c r="P137" i="13" s="1"/>
  <c r="Z393" i="13"/>
  <c r="Y393" i="13" s="1"/>
  <c r="O393" i="13"/>
  <c r="P393" i="13" s="1"/>
  <c r="Z23" i="13"/>
  <c r="Y23" i="13" s="1"/>
  <c r="O23" i="13"/>
  <c r="P23" i="13" s="1"/>
  <c r="Z282" i="13"/>
  <c r="Y282" i="13" s="1"/>
  <c r="O282" i="13"/>
  <c r="P282" i="13" s="1"/>
  <c r="Z538" i="13"/>
  <c r="Y538" i="13" s="1"/>
  <c r="O538" i="13"/>
  <c r="P538" i="13" s="1"/>
  <c r="O219" i="13"/>
  <c r="P219" i="13" s="1"/>
  <c r="Z219" i="13"/>
  <c r="Y219" i="13" s="1"/>
  <c r="O475" i="13"/>
  <c r="P475" i="13" s="1"/>
  <c r="Z475" i="13"/>
  <c r="Y475" i="13" s="1"/>
  <c r="Z204" i="13"/>
  <c r="O204" i="13"/>
  <c r="P204" i="13" s="1"/>
  <c r="Z476" i="13"/>
  <c r="Y476" i="13" s="1"/>
  <c r="O476" i="13"/>
  <c r="P476" i="13" s="1"/>
  <c r="Z349" i="13"/>
  <c r="O349" i="13"/>
  <c r="P349" i="13" s="1"/>
  <c r="Z286" i="13"/>
  <c r="Y286" i="13" s="1"/>
  <c r="O286" i="13"/>
  <c r="P286" i="13" s="1"/>
  <c r="Z113" i="13"/>
  <c r="Y113" i="13" s="1"/>
  <c r="O113" i="13"/>
  <c r="P113" i="13" s="1"/>
  <c r="Z241" i="13"/>
  <c r="Y241" i="13" s="1"/>
  <c r="O241" i="13"/>
  <c r="P241" i="13" s="1"/>
  <c r="Z369" i="13"/>
  <c r="Y369" i="13" s="1"/>
  <c r="O369" i="13"/>
  <c r="P369" i="13" s="1"/>
  <c r="Z497" i="13"/>
  <c r="Y497" i="13" s="1"/>
  <c r="O497" i="13"/>
  <c r="P497" i="13" s="1"/>
  <c r="Z114" i="13"/>
  <c r="O114" i="13"/>
  <c r="P114" i="13" s="1"/>
  <c r="Z242" i="13"/>
  <c r="Y242" i="13" s="1"/>
  <c r="O242" i="13"/>
  <c r="P242" i="13" s="1"/>
  <c r="Z498" i="13"/>
  <c r="Y498" i="13" s="1"/>
  <c r="O498" i="13"/>
  <c r="P498" i="13" s="1"/>
  <c r="O31" i="13"/>
  <c r="P31" i="13" s="1"/>
  <c r="Z31" i="13"/>
  <c r="Y31" i="13" s="1"/>
  <c r="Z291" i="13"/>
  <c r="Y291" i="13" s="1"/>
  <c r="O291" i="13"/>
  <c r="P291" i="13" s="1"/>
  <c r="Z547" i="13"/>
  <c r="Y547" i="13" s="1"/>
  <c r="O547" i="13"/>
  <c r="P547" i="13" s="1"/>
  <c r="Z260" i="13"/>
  <c r="Y260" i="13" s="1"/>
  <c r="O260" i="13"/>
  <c r="P260" i="13" s="1"/>
  <c r="Z532" i="13"/>
  <c r="O532" i="13"/>
  <c r="P532" i="13" s="1"/>
  <c r="Z213" i="13"/>
  <c r="Y213" i="13" s="1"/>
  <c r="O213" i="13"/>
  <c r="P213" i="13" s="1"/>
  <c r="Z469" i="13"/>
  <c r="Y469" i="13" s="1"/>
  <c r="O469" i="13"/>
  <c r="P469" i="13" s="1"/>
  <c r="Z390" i="13"/>
  <c r="O390" i="13"/>
  <c r="P390" i="13" s="1"/>
  <c r="Z359" i="13"/>
  <c r="O359" i="13"/>
  <c r="P359" i="13" s="1"/>
  <c r="Z264" i="13"/>
  <c r="O264" i="13"/>
  <c r="P264" i="13" s="1"/>
  <c r="Z520" i="13"/>
  <c r="Y520" i="13" s="1"/>
  <c r="O520" i="13"/>
  <c r="P520" i="13" s="1"/>
  <c r="Z153" i="13"/>
  <c r="Y153" i="13" s="1"/>
  <c r="O153" i="13"/>
  <c r="P153" i="13" s="1"/>
  <c r="Z409" i="13"/>
  <c r="O409" i="13"/>
  <c r="P409" i="13" s="1"/>
  <c r="Z298" i="13"/>
  <c r="Y298" i="13" s="1"/>
  <c r="O298" i="13"/>
  <c r="P298" i="13" s="1"/>
  <c r="Z554" i="13"/>
  <c r="O554" i="13"/>
  <c r="P554" i="13" s="1"/>
  <c r="Z220" i="13"/>
  <c r="Y220" i="13" s="1"/>
  <c r="O220" i="13"/>
  <c r="P220" i="13" s="1"/>
  <c r="Z492" i="13"/>
  <c r="Y492" i="13" s="1"/>
  <c r="O492" i="13"/>
  <c r="P492" i="13" s="1"/>
  <c r="Z109" i="13"/>
  <c r="Y109" i="13" s="1"/>
  <c r="O109" i="13"/>
  <c r="P109" i="13" s="1"/>
  <c r="Z302" i="13"/>
  <c r="O302" i="13"/>
  <c r="P302" i="13" s="1"/>
  <c r="Z574" i="13"/>
  <c r="Y574" i="13" s="1"/>
  <c r="O574" i="13"/>
  <c r="P574" i="13" s="1"/>
  <c r="Z48" i="13"/>
  <c r="Y48" i="13" s="1"/>
  <c r="O48" i="13"/>
  <c r="P48" i="13" s="1"/>
  <c r="Z307" i="13"/>
  <c r="O307" i="13"/>
  <c r="P307" i="13" s="1"/>
  <c r="Z563" i="13"/>
  <c r="Y563" i="13" s="1"/>
  <c r="O563" i="13"/>
  <c r="P563" i="13" s="1"/>
  <c r="Z276" i="13"/>
  <c r="Y276" i="13" s="1"/>
  <c r="O276" i="13"/>
  <c r="P276" i="13" s="1"/>
  <c r="Z548" i="13"/>
  <c r="Y548" i="13" s="1"/>
  <c r="O548" i="13"/>
  <c r="P548" i="13" s="1"/>
  <c r="Z229" i="13"/>
  <c r="Y229" i="13" s="1"/>
  <c r="O229" i="13"/>
  <c r="P229" i="13" s="1"/>
  <c r="Z485" i="13"/>
  <c r="O485" i="13"/>
  <c r="P485" i="13" s="1"/>
  <c r="Z150" i="13"/>
  <c r="Y150" i="13" s="1"/>
  <c r="O150" i="13"/>
  <c r="P150" i="13" s="1"/>
  <c r="Z406" i="13"/>
  <c r="Y406" i="13" s="1"/>
  <c r="O406" i="13"/>
  <c r="P406" i="13" s="1"/>
  <c r="Z103" i="13"/>
  <c r="Y103" i="13" s="1"/>
  <c r="O103" i="13"/>
  <c r="P103" i="13" s="1"/>
  <c r="Z375" i="13"/>
  <c r="Y375" i="13" s="1"/>
  <c r="O375" i="13"/>
  <c r="P375" i="13" s="1"/>
  <c r="Z280" i="13"/>
  <c r="Y280" i="13" s="1"/>
  <c r="O280" i="13"/>
  <c r="P280" i="13" s="1"/>
  <c r="Z169" i="13"/>
  <c r="Y169" i="13" s="1"/>
  <c r="O169" i="13"/>
  <c r="P169" i="13" s="1"/>
  <c r="Z57" i="13"/>
  <c r="Y57" i="13" s="1"/>
  <c r="O57" i="13"/>
  <c r="P57" i="13" s="1"/>
  <c r="Z314" i="13"/>
  <c r="Y314" i="13" s="1"/>
  <c r="O314" i="13"/>
  <c r="P314" i="13" s="1"/>
  <c r="Z570" i="13"/>
  <c r="Y570" i="13" s="1"/>
  <c r="O570" i="13"/>
  <c r="P570" i="13" s="1"/>
  <c r="Z251" i="13"/>
  <c r="Y251" i="13" s="1"/>
  <c r="O251" i="13"/>
  <c r="P251" i="13" s="1"/>
  <c r="Z507" i="13"/>
  <c r="O507" i="13"/>
  <c r="P507" i="13" s="1"/>
  <c r="Z236" i="13"/>
  <c r="Y236" i="13" s="1"/>
  <c r="O236" i="13"/>
  <c r="P236" i="13" s="1"/>
  <c r="Z508" i="13"/>
  <c r="Y508" i="13" s="1"/>
  <c r="O508" i="13"/>
  <c r="P508" i="13" s="1"/>
  <c r="Z125" i="13"/>
  <c r="Y125" i="13" s="1"/>
  <c r="O125" i="13"/>
  <c r="P125" i="13" s="1"/>
  <c r="Z44" i="13"/>
  <c r="Y44" i="13" s="1"/>
  <c r="O44" i="13"/>
  <c r="P44" i="13" s="1"/>
  <c r="Z318" i="13"/>
  <c r="O318" i="13"/>
  <c r="P318" i="13" s="1"/>
  <c r="Z590" i="13"/>
  <c r="Y590" i="13" s="1"/>
  <c r="O590" i="13"/>
  <c r="P590" i="13" s="1"/>
  <c r="O129" i="13"/>
  <c r="P129" i="13" s="1"/>
  <c r="Z257" i="13"/>
  <c r="Y257" i="13" s="1"/>
  <c r="O257" i="13"/>
  <c r="P257" i="13" s="1"/>
  <c r="O513" i="13"/>
  <c r="P513" i="13" s="1"/>
  <c r="Z130" i="13"/>
  <c r="O130" i="13"/>
  <c r="P130" i="13" s="1"/>
  <c r="Z258" i="13"/>
  <c r="Y258" i="13" s="1"/>
  <c r="O258" i="13"/>
  <c r="P258" i="13" s="1"/>
  <c r="Z514" i="13"/>
  <c r="Y514" i="13" s="1"/>
  <c r="O514" i="13"/>
  <c r="P514" i="13" s="1"/>
  <c r="Z14" i="13"/>
  <c r="Y14" i="13" s="1"/>
  <c r="O14" i="13"/>
  <c r="P14" i="13" s="1"/>
  <c r="Z323" i="13"/>
  <c r="Y323" i="13" s="1"/>
  <c r="O323" i="13"/>
  <c r="P323" i="13" s="1"/>
  <c r="Z627" i="13"/>
  <c r="Y627" i="13" s="1"/>
  <c r="O627" i="13"/>
  <c r="P627" i="13" s="1"/>
  <c r="Z292" i="13"/>
  <c r="Y292" i="13" s="1"/>
  <c r="O292" i="13"/>
  <c r="P292" i="13" s="1"/>
  <c r="Z564" i="13"/>
  <c r="Y564" i="13" s="1"/>
  <c r="O564" i="13"/>
  <c r="P564" i="13" s="1"/>
  <c r="Z245" i="13"/>
  <c r="O245" i="13"/>
  <c r="P245" i="13" s="1"/>
  <c r="Z501" i="13"/>
  <c r="O501" i="13"/>
  <c r="P501" i="13" s="1"/>
  <c r="Z166" i="13"/>
  <c r="O166" i="13"/>
  <c r="P166" i="13" s="1"/>
  <c r="Z422" i="13"/>
  <c r="Y422" i="13" s="1"/>
  <c r="O422" i="13"/>
  <c r="P422" i="13" s="1"/>
  <c r="Z119" i="13"/>
  <c r="Y119" i="13" s="1"/>
  <c r="O119" i="13"/>
  <c r="P119" i="13" s="1"/>
  <c r="Z391" i="13"/>
  <c r="Y391" i="13" s="1"/>
  <c r="O391" i="13"/>
  <c r="P391" i="13" s="1"/>
  <c r="Z3" i="13"/>
  <c r="Y3" i="13" s="1"/>
  <c r="O3" i="13"/>
  <c r="P3" i="13" s="1"/>
  <c r="Z296" i="13"/>
  <c r="Y296" i="13" s="1"/>
  <c r="O296" i="13"/>
  <c r="P296" i="13" s="1"/>
  <c r="Z552" i="13"/>
  <c r="O552" i="13"/>
  <c r="P552" i="13" s="1"/>
  <c r="Z185" i="13"/>
  <c r="Y185" i="13" s="1"/>
  <c r="O185" i="13"/>
  <c r="P185" i="13" s="1"/>
  <c r="Z441" i="13"/>
  <c r="Y441" i="13" s="1"/>
  <c r="O441" i="13"/>
  <c r="P441" i="13" s="1"/>
  <c r="Z330" i="13"/>
  <c r="O330" i="13"/>
  <c r="P330" i="13" s="1"/>
  <c r="Z618" i="13"/>
  <c r="Y618" i="13" s="1"/>
  <c r="O618" i="13"/>
  <c r="P618" i="13" s="1"/>
  <c r="Z267" i="13"/>
  <c r="Y267" i="13" s="1"/>
  <c r="O267" i="13"/>
  <c r="P267" i="13" s="1"/>
  <c r="Z523" i="13"/>
  <c r="Y523" i="13" s="1"/>
  <c r="O523" i="13"/>
  <c r="P523" i="13" s="1"/>
  <c r="Z252" i="13"/>
  <c r="Y252" i="13" s="1"/>
  <c r="O252" i="13"/>
  <c r="P252" i="13" s="1"/>
  <c r="Z524" i="13"/>
  <c r="Y524" i="13" s="1"/>
  <c r="O524" i="13"/>
  <c r="P524" i="13" s="1"/>
  <c r="Z141" i="13"/>
  <c r="Y141" i="13" s="1"/>
  <c r="O141" i="13"/>
  <c r="P141" i="13" s="1"/>
  <c r="Z78" i="13"/>
  <c r="O78" i="13"/>
  <c r="P78" i="13" s="1"/>
  <c r="Z334" i="13"/>
  <c r="Y334" i="13" s="1"/>
  <c r="O334" i="13"/>
  <c r="P334" i="13" s="1"/>
  <c r="Z606" i="13"/>
  <c r="Y606" i="13" s="1"/>
  <c r="O606" i="13"/>
  <c r="P606" i="13" s="1"/>
  <c r="Z447" i="13" l="1"/>
  <c r="Y447" i="13" s="1"/>
  <c r="O567" i="13"/>
  <c r="P567" i="13" s="1"/>
  <c r="O138" i="13"/>
  <c r="P138" i="13" s="1"/>
  <c r="O308" i="13"/>
  <c r="P308" i="13" s="1"/>
  <c r="O52" i="13"/>
  <c r="P52" i="13" s="1"/>
  <c r="O351" i="13"/>
  <c r="P351" i="13" s="1"/>
  <c r="Z385" i="13"/>
  <c r="Y385" i="13" s="1"/>
  <c r="Z357" i="13"/>
  <c r="Y357" i="13" s="1"/>
  <c r="O405" i="13"/>
  <c r="P405" i="13" s="1"/>
  <c r="O414" i="13"/>
  <c r="P414" i="13" s="1"/>
  <c r="O235" i="13"/>
  <c r="P235" i="13" s="1"/>
  <c r="O134" i="13"/>
  <c r="P134" i="13" s="1"/>
  <c r="Z32" i="13"/>
  <c r="Y32" i="13" s="1"/>
  <c r="O147" i="13"/>
  <c r="P147" i="13" s="1"/>
  <c r="Z638" i="13"/>
  <c r="Y638" i="13" s="1"/>
  <c r="Z196" i="13"/>
  <c r="Y196" i="13" s="1"/>
  <c r="O164" i="13"/>
  <c r="P164" i="13" s="1"/>
  <c r="O156" i="13"/>
  <c r="P156" i="13" s="1"/>
  <c r="Z363" i="13"/>
  <c r="O386" i="13"/>
  <c r="P386" i="13" s="1"/>
  <c r="O388" i="13"/>
  <c r="P388" i="13" s="1"/>
  <c r="Z239" i="13"/>
  <c r="Y239" i="13" s="1"/>
  <c r="O449" i="13"/>
  <c r="P449" i="13" s="1"/>
  <c r="O136" i="13"/>
  <c r="P136" i="13" s="1"/>
  <c r="O429" i="13"/>
  <c r="P429" i="13" s="1"/>
  <c r="O59" i="13"/>
  <c r="P59" i="13" s="1"/>
  <c r="O122" i="13"/>
  <c r="P122" i="13" s="1"/>
  <c r="O284" i="13"/>
  <c r="P284" i="13" s="1"/>
  <c r="O74" i="13"/>
  <c r="P74" i="13" s="1"/>
  <c r="Z248" i="13"/>
  <c r="Y248" i="13" s="1"/>
  <c r="O9" i="13"/>
  <c r="P9" i="13" s="1"/>
  <c r="O135" i="13"/>
  <c r="P135" i="13" s="1"/>
  <c r="O465" i="13"/>
  <c r="P465" i="13" s="1"/>
  <c r="Z42" i="13"/>
  <c r="Y42" i="13" s="1"/>
  <c r="O237" i="13"/>
  <c r="P237" i="13" s="1"/>
  <c r="Z10" i="13"/>
  <c r="Y10" i="13" s="1"/>
  <c r="O613" i="13"/>
  <c r="P613" i="13" s="1"/>
  <c r="O6" i="13"/>
  <c r="P6" i="13" s="1"/>
  <c r="O489" i="13"/>
  <c r="P489" i="13" s="1"/>
  <c r="O600" i="13"/>
  <c r="P600" i="13" s="1"/>
  <c r="O517" i="13"/>
  <c r="P517" i="13" s="1"/>
  <c r="O274" i="13"/>
  <c r="P274" i="13" s="1"/>
  <c r="Z454" i="13"/>
  <c r="Y454" i="13" s="1"/>
  <c r="O632" i="13"/>
  <c r="P632" i="13" s="1"/>
  <c r="O561" i="13"/>
  <c r="P561" i="13" s="1"/>
  <c r="O35" i="13"/>
  <c r="P35" i="13" s="1"/>
  <c r="O84" i="13"/>
  <c r="P84" i="13" s="1"/>
  <c r="O273" i="13"/>
  <c r="P273" i="13" s="1"/>
  <c r="Z343" i="13"/>
  <c r="O412" i="13"/>
  <c r="P412" i="13" s="1"/>
  <c r="O168" i="13"/>
  <c r="P168" i="13" s="1"/>
  <c r="O139" i="13"/>
  <c r="P139" i="13" s="1"/>
  <c r="O355" i="13"/>
  <c r="P355" i="13" s="1"/>
  <c r="O40" i="13"/>
  <c r="P40" i="13" s="1"/>
  <c r="O370" i="13"/>
  <c r="P370" i="13" s="1"/>
  <c r="O381" i="13"/>
  <c r="P381" i="13" s="1"/>
  <c r="O93" i="13"/>
  <c r="P93" i="13" s="1"/>
  <c r="Z350" i="13"/>
  <c r="O199" i="13"/>
  <c r="P199" i="13" s="1"/>
  <c r="O226" i="13"/>
  <c r="P226" i="13" s="1"/>
  <c r="O361" i="13"/>
  <c r="P361" i="13" s="1"/>
  <c r="O491" i="13"/>
  <c r="P491" i="13" s="1"/>
  <c r="Z407" i="13"/>
  <c r="Y407" i="13" s="1"/>
  <c r="O462" i="13"/>
  <c r="P462" i="13" s="1"/>
  <c r="O519" i="13"/>
  <c r="P519" i="13" s="1"/>
  <c r="O558" i="13"/>
  <c r="P558" i="13" s="1"/>
  <c r="Z397" i="13"/>
  <c r="Y397" i="13" s="1"/>
  <c r="O70" i="13"/>
  <c r="P70" i="13" s="1"/>
  <c r="O158" i="13"/>
  <c r="P158" i="13" s="1"/>
  <c r="O297" i="13"/>
  <c r="P297" i="13" s="1"/>
  <c r="O233" i="13"/>
  <c r="P233" i="13" s="1"/>
  <c r="O63" i="13"/>
  <c r="P63" i="13" s="1"/>
  <c r="Z63" i="13"/>
  <c r="Y63" i="13" s="1"/>
  <c r="Z51" i="13"/>
  <c r="Y51" i="13" s="1"/>
  <c r="O394" i="13"/>
  <c r="P394" i="13" s="1"/>
  <c r="O83" i="13"/>
  <c r="P83" i="13" s="1"/>
  <c r="O191" i="13"/>
  <c r="P191" i="13" s="1"/>
  <c r="O536" i="13"/>
  <c r="P536" i="13" s="1"/>
  <c r="O599" i="13"/>
  <c r="P599" i="13" s="1"/>
  <c r="O443" i="13"/>
  <c r="P443" i="13" s="1"/>
  <c r="O510" i="13"/>
  <c r="P510" i="13" s="1"/>
  <c r="O392" i="13"/>
  <c r="P392" i="13" s="1"/>
  <c r="O222" i="13"/>
  <c r="P222" i="13" s="1"/>
  <c r="Z415" i="13"/>
  <c r="O540" i="13"/>
  <c r="P540" i="13" s="1"/>
  <c r="O87" i="13"/>
  <c r="P87" i="13" s="1"/>
  <c r="O244" i="13"/>
  <c r="P244" i="13" s="1"/>
  <c r="O389" i="13"/>
  <c r="P389" i="13" s="1"/>
  <c r="O198" i="13"/>
  <c r="P198" i="13" s="1"/>
  <c r="O212" i="13"/>
  <c r="P212" i="13" s="1"/>
  <c r="O411" i="13"/>
  <c r="P411" i="13" s="1"/>
  <c r="O316" i="13"/>
  <c r="P316" i="13" s="1"/>
  <c r="O94" i="13"/>
  <c r="P94" i="13" s="1"/>
  <c r="O227" i="13"/>
  <c r="P227" i="13" s="1"/>
  <c r="Z434" i="13"/>
  <c r="Y434" i="13" s="1"/>
  <c r="Z515" i="13"/>
  <c r="O440" i="13"/>
  <c r="P440" i="13" s="1"/>
  <c r="O36" i="13"/>
  <c r="P36" i="13" s="1"/>
  <c r="O315" i="13"/>
  <c r="P315" i="13" s="1"/>
  <c r="O117" i="13"/>
  <c r="P117" i="13" s="1"/>
  <c r="O211" i="13"/>
  <c r="P211" i="13" s="1"/>
  <c r="O72" i="13"/>
  <c r="P72" i="13" s="1"/>
  <c r="O80" i="13"/>
  <c r="P80" i="13" s="1"/>
  <c r="Z425" i="13"/>
  <c r="Y425" i="13" s="1"/>
  <c r="O157" i="13"/>
  <c r="P157" i="13" s="1"/>
  <c r="O401" i="13"/>
  <c r="P401" i="13" s="1"/>
  <c r="Z580" i="13"/>
  <c r="Y580" i="13" s="1"/>
  <c r="Z367" i="13"/>
  <c r="Z572" i="13"/>
  <c r="Y572" i="13" s="1"/>
  <c r="O187" i="13"/>
  <c r="P187" i="13" s="1"/>
  <c r="O262" i="13"/>
  <c r="P262" i="13" s="1"/>
  <c r="O144" i="13"/>
  <c r="P144" i="13" s="1"/>
  <c r="O365" i="13"/>
  <c r="P365" i="13" s="1"/>
  <c r="Z575" i="13"/>
  <c r="Y575" i="13" s="1"/>
  <c r="O575" i="13"/>
  <c r="P575" i="13" s="1"/>
  <c r="Z399" i="13"/>
  <c r="Y399" i="13" s="1"/>
  <c r="O399" i="13"/>
  <c r="P399" i="13" s="1"/>
  <c r="O341" i="13"/>
  <c r="P341" i="13" s="1"/>
  <c r="Z208" i="13"/>
  <c r="Y208" i="13" s="1"/>
  <c r="O496" i="13"/>
  <c r="P496" i="13" s="1"/>
  <c r="O484" i="13"/>
  <c r="P484" i="13" s="1"/>
  <c r="O630" i="13"/>
  <c r="P630" i="13" s="1"/>
  <c r="O194" i="13"/>
  <c r="P194" i="13" s="1"/>
  <c r="O309" i="13"/>
  <c r="P309" i="13" s="1"/>
  <c r="O608" i="13"/>
  <c r="P608" i="13" s="1"/>
  <c r="Z608" i="13"/>
  <c r="Y608" i="13" s="1"/>
  <c r="O272" i="13"/>
  <c r="P272" i="13" s="1"/>
  <c r="Z272" i="13"/>
  <c r="Y272" i="13" s="1"/>
  <c r="O319" i="13"/>
  <c r="P319" i="13" s="1"/>
  <c r="Z319" i="13"/>
  <c r="Y319" i="13" s="1"/>
  <c r="O223" i="13"/>
  <c r="P223" i="13" s="1"/>
  <c r="O326" i="13"/>
  <c r="P326" i="13" s="1"/>
  <c r="O178" i="13"/>
  <c r="P178" i="13" s="1"/>
  <c r="O628" i="13"/>
  <c r="P628" i="13" s="1"/>
  <c r="O445" i="13"/>
  <c r="P445" i="13" s="1"/>
  <c r="O143" i="13"/>
  <c r="P143" i="13" s="1"/>
</calcChain>
</file>

<file path=xl/sharedStrings.xml><?xml version="1.0" encoding="utf-8"?>
<sst xmlns="http://schemas.openxmlformats.org/spreadsheetml/2006/main" count="16801" uniqueCount="1797">
  <si>
    <t>NexusAI Strategic Pricing Dataset v2.0</t>
  </si>
  <si>
    <t>Purpose</t>
  </si>
  <si>
    <t>Robust synthetic B2B SaaS pricing dataset with internally consistent customer, contract, and deal lifecycles.</t>
  </si>
  <si>
    <t>Observation window</t>
  </si>
  <si>
    <t>January 2024 through December 2025.</t>
  </si>
  <si>
    <t>Unit of analysis</t>
  </si>
  <si>
    <t>One row in Deals_Raw equals one commercial opportunity.</t>
  </si>
  <si>
    <t>Hierarchy</t>
  </si>
  <si>
    <t>Customer → Contract → Opportunity.</t>
  </si>
  <si>
    <t>Lifecycle logic</t>
  </si>
  <si>
    <t>New Business starts a contract; Renewal continues it; Expansion grows an active contract; Win-back follows churn/lost renewal.</t>
  </si>
  <si>
    <t>Multiple same-product purchases</t>
  </si>
  <si>
    <t>Allowed only when Contract_ID or Business_Unit differs.</t>
  </si>
  <si>
    <t>Customer tenure</t>
  </si>
  <si>
    <t>Time from Customer_Since to each Deal_Date; not the same as contract length.</t>
  </si>
  <si>
    <t>Contract length</t>
  </si>
  <si>
    <t>Length of the specific commercial agreement, recorded per opportunity.</t>
  </si>
  <si>
    <t>Pricing power</t>
  </si>
  <si>
    <t>Not pre-scored. It should be inferred from win rate, discount, margin, renewal, and expansion outcomes.</t>
  </si>
  <si>
    <t>Data status</t>
  </si>
  <si>
    <t>Synthetic source data, deliberately robust rather than pre-analyzed.</t>
  </si>
  <si>
    <t>Customer Master</t>
  </si>
  <si>
    <t>Customer_ID</t>
  </si>
  <si>
    <t>Customer</t>
  </si>
  <si>
    <t>Industry</t>
  </si>
  <si>
    <t>Region</t>
  </si>
  <si>
    <t>Sales_Territory</t>
  </si>
  <si>
    <t>Company_Size</t>
  </si>
  <si>
    <t>Strategic_Account</t>
  </si>
  <si>
    <t>Customer_Since</t>
  </si>
  <si>
    <t>Health_Score</t>
  </si>
  <si>
    <t>Current_Relationship_Stage</t>
  </si>
  <si>
    <t>C0001</t>
  </si>
  <si>
    <t>LEG-0001</t>
  </si>
  <si>
    <t>Legal</t>
  </si>
  <si>
    <t>South</t>
  </si>
  <si>
    <t>South Commercial</t>
  </si>
  <si>
    <t>SMB</t>
  </si>
  <si>
    <t>No</t>
  </si>
  <si>
    <t>Mature</t>
  </si>
  <si>
    <t>C0002</t>
  </si>
  <si>
    <t>LEG-0002</t>
  </si>
  <si>
    <t>South Enterprise</t>
  </si>
  <si>
    <t>Enterprise</t>
  </si>
  <si>
    <t>Yes</t>
  </si>
  <si>
    <t>C0003</t>
  </si>
  <si>
    <t>TEC-0003</t>
  </si>
  <si>
    <t>Technology</t>
  </si>
  <si>
    <t>Northeast</t>
  </si>
  <si>
    <t>Northeast Commercial</t>
  </si>
  <si>
    <t>Growing</t>
  </si>
  <si>
    <t>C0004</t>
  </si>
  <si>
    <t>FIN-0004</t>
  </si>
  <si>
    <t>Financial Services</t>
  </si>
  <si>
    <t>West</t>
  </si>
  <si>
    <t>West Commercial</t>
  </si>
  <si>
    <t>Mid-Market</t>
  </si>
  <si>
    <t>At Risk</t>
  </si>
  <si>
    <t>C0005</t>
  </si>
  <si>
    <t>HEA-0005</t>
  </si>
  <si>
    <t>Healthcare</t>
  </si>
  <si>
    <t>C0006</t>
  </si>
  <si>
    <t>LEG-0006</t>
  </si>
  <si>
    <t>C0007</t>
  </si>
  <si>
    <t>FIN-0007</t>
  </si>
  <si>
    <t>C0008</t>
  </si>
  <si>
    <t>TEC-0008</t>
  </si>
  <si>
    <t>C0009</t>
  </si>
  <si>
    <t>MAN-0009</t>
  </si>
  <si>
    <t>Manufacturing</t>
  </si>
  <si>
    <t>Midwest</t>
  </si>
  <si>
    <t>Midwest Commercial</t>
  </si>
  <si>
    <t>C0010</t>
  </si>
  <si>
    <t>LEG-0010</t>
  </si>
  <si>
    <t>C0011</t>
  </si>
  <si>
    <t>TEC-0011</t>
  </si>
  <si>
    <t>Midwest Enterprise</t>
  </si>
  <si>
    <t>C0012</t>
  </si>
  <si>
    <t>TEC-0012</t>
  </si>
  <si>
    <t>C0013</t>
  </si>
  <si>
    <t>FIN-0013</t>
  </si>
  <si>
    <t>C0014</t>
  </si>
  <si>
    <t>PUB-0014</t>
  </si>
  <si>
    <t>Public Sector</t>
  </si>
  <si>
    <t>C0015</t>
  </si>
  <si>
    <t>FIN-0015</t>
  </si>
  <si>
    <t>C0016</t>
  </si>
  <si>
    <t>HEA-0016</t>
  </si>
  <si>
    <t>C0017</t>
  </si>
  <si>
    <t>TEC-0017</t>
  </si>
  <si>
    <t>C0018</t>
  </si>
  <si>
    <t>PUB-0018</t>
  </si>
  <si>
    <t>C0019</t>
  </si>
  <si>
    <t>MAN-0019</t>
  </si>
  <si>
    <t>West Enterprise</t>
  </si>
  <si>
    <t>C0020</t>
  </si>
  <si>
    <t>LEG-0020</t>
  </si>
  <si>
    <t>C0021</t>
  </si>
  <si>
    <t>HEA-0021</t>
  </si>
  <si>
    <t>C0022</t>
  </si>
  <si>
    <t>PUB-0022</t>
  </si>
  <si>
    <t>C0023</t>
  </si>
  <si>
    <t>FIN-0023</t>
  </si>
  <si>
    <t>C0024</t>
  </si>
  <si>
    <t>LEG-0024</t>
  </si>
  <si>
    <t>C0025</t>
  </si>
  <si>
    <t>TEC-0025</t>
  </si>
  <si>
    <t>C0026</t>
  </si>
  <si>
    <t>FIN-0026</t>
  </si>
  <si>
    <t>C0027</t>
  </si>
  <si>
    <t>LEG-0027</t>
  </si>
  <si>
    <t>C0028</t>
  </si>
  <si>
    <t>HEA-0028</t>
  </si>
  <si>
    <t>C0029</t>
  </si>
  <si>
    <t>LEG-0029</t>
  </si>
  <si>
    <t>Northeast Enterprise</t>
  </si>
  <si>
    <t>C0030</t>
  </si>
  <si>
    <t>HEA-0030</t>
  </si>
  <si>
    <t>C0031</t>
  </si>
  <si>
    <t>MAN-0031</t>
  </si>
  <si>
    <t>C0032</t>
  </si>
  <si>
    <t>HEA-0032</t>
  </si>
  <si>
    <t>C0033</t>
  </si>
  <si>
    <t>TEC-0033</t>
  </si>
  <si>
    <t>C0034</t>
  </si>
  <si>
    <t>LEG-0034</t>
  </si>
  <si>
    <t>C0035</t>
  </si>
  <si>
    <t>TEC-0035</t>
  </si>
  <si>
    <t>C0036</t>
  </si>
  <si>
    <t>TEC-0036</t>
  </si>
  <si>
    <t>C0037</t>
  </si>
  <si>
    <t>HEA-0037</t>
  </si>
  <si>
    <t>C0038</t>
  </si>
  <si>
    <t>LEG-0038</t>
  </si>
  <si>
    <t>C0039</t>
  </si>
  <si>
    <t>LEG-0039</t>
  </si>
  <si>
    <t>C0040</t>
  </si>
  <si>
    <t>PUB-0040</t>
  </si>
  <si>
    <t>C0041</t>
  </si>
  <si>
    <t>PUB-0041</t>
  </si>
  <si>
    <t>C0042</t>
  </si>
  <si>
    <t>TEC-0042</t>
  </si>
  <si>
    <t>C0043</t>
  </si>
  <si>
    <t>HEA-0043</t>
  </si>
  <si>
    <t>C0044</t>
  </si>
  <si>
    <t>TEC-0044</t>
  </si>
  <si>
    <t>C0045</t>
  </si>
  <si>
    <t>PUB-0045</t>
  </si>
  <si>
    <t>C0046</t>
  </si>
  <si>
    <t>PUB-0046</t>
  </si>
  <si>
    <t>C0047</t>
  </si>
  <si>
    <t>MAN-0047</t>
  </si>
  <si>
    <t>C0048</t>
  </si>
  <si>
    <t>MAN-0048</t>
  </si>
  <si>
    <t>C0049</t>
  </si>
  <si>
    <t>LEG-0049</t>
  </si>
  <si>
    <t>C0050</t>
  </si>
  <si>
    <t>PUB-0050</t>
  </si>
  <si>
    <t>C0051</t>
  </si>
  <si>
    <t>HEA-0051</t>
  </si>
  <si>
    <t>C0052</t>
  </si>
  <si>
    <t>PUB-0052</t>
  </si>
  <si>
    <t>C0053</t>
  </si>
  <si>
    <t>MAN-0053</t>
  </si>
  <si>
    <t>C0054</t>
  </si>
  <si>
    <t>FIN-0054</t>
  </si>
  <si>
    <t>C0055</t>
  </si>
  <si>
    <t>MAN-0055</t>
  </si>
  <si>
    <t>C0056</t>
  </si>
  <si>
    <t>HEA-0056</t>
  </si>
  <si>
    <t>C0057</t>
  </si>
  <si>
    <t>MAN-0057</t>
  </si>
  <si>
    <t>C0058</t>
  </si>
  <si>
    <t>PUB-0058</t>
  </si>
  <si>
    <t>C0059</t>
  </si>
  <si>
    <t>FIN-0059</t>
  </si>
  <si>
    <t>C0060</t>
  </si>
  <si>
    <t>TEC-0060</t>
  </si>
  <si>
    <t>C0061</t>
  </si>
  <si>
    <t>LEG-0061</t>
  </si>
  <si>
    <t>C0062</t>
  </si>
  <si>
    <t>LEG-0062</t>
  </si>
  <si>
    <t>C0063</t>
  </si>
  <si>
    <t>LEG-0063</t>
  </si>
  <si>
    <t>C0064</t>
  </si>
  <si>
    <t>MAN-0064</t>
  </si>
  <si>
    <t>C0065</t>
  </si>
  <si>
    <t>PUB-0065</t>
  </si>
  <si>
    <t>C0066</t>
  </si>
  <si>
    <t>LEG-0066</t>
  </si>
  <si>
    <t>C0067</t>
  </si>
  <si>
    <t>TEC-0067</t>
  </si>
  <si>
    <t>C0068</t>
  </si>
  <si>
    <t>LEG-0068</t>
  </si>
  <si>
    <t>C0069</t>
  </si>
  <si>
    <t>MAN-0069</t>
  </si>
  <si>
    <t>C0070</t>
  </si>
  <si>
    <t>TEC-0070</t>
  </si>
  <si>
    <t>C0071</t>
  </si>
  <si>
    <t>PUB-0071</t>
  </si>
  <si>
    <t>C0072</t>
  </si>
  <si>
    <t>MAN-0072</t>
  </si>
  <si>
    <t>C0073</t>
  </si>
  <si>
    <t>TEC-0073</t>
  </si>
  <si>
    <t>C0074</t>
  </si>
  <si>
    <t>PUB-0074</t>
  </si>
  <si>
    <t>C0075</t>
  </si>
  <si>
    <t>PUB-0075</t>
  </si>
  <si>
    <t>C0076</t>
  </si>
  <si>
    <t>TEC-0076</t>
  </si>
  <si>
    <t>C0077</t>
  </si>
  <si>
    <t>PUB-0077</t>
  </si>
  <si>
    <t>C0078</t>
  </si>
  <si>
    <t>FIN-0078</t>
  </si>
  <si>
    <t>C0079</t>
  </si>
  <si>
    <t>TEC-0079</t>
  </si>
  <si>
    <t>C0080</t>
  </si>
  <si>
    <t>TEC-0080</t>
  </si>
  <si>
    <t>C0081</t>
  </si>
  <si>
    <t>FIN-0081</t>
  </si>
  <si>
    <t>C0082</t>
  </si>
  <si>
    <t>LEG-0082</t>
  </si>
  <si>
    <t>C0083</t>
  </si>
  <si>
    <t>PUB-0083</t>
  </si>
  <si>
    <t>C0084</t>
  </si>
  <si>
    <t>HEA-0084</t>
  </si>
  <si>
    <t>C0085</t>
  </si>
  <si>
    <t>HEA-0085</t>
  </si>
  <si>
    <t>C0086</t>
  </si>
  <si>
    <t>FIN-0086</t>
  </si>
  <si>
    <t>C0087</t>
  </si>
  <si>
    <t>TEC-0087</t>
  </si>
  <si>
    <t>C0088</t>
  </si>
  <si>
    <t>FIN-0088</t>
  </si>
  <si>
    <t>C0089</t>
  </si>
  <si>
    <t>LEG-0089</t>
  </si>
  <si>
    <t>C0090</t>
  </si>
  <si>
    <t>PUB-0090</t>
  </si>
  <si>
    <t>C0091</t>
  </si>
  <si>
    <t>TEC-0091</t>
  </si>
  <si>
    <t>C0092</t>
  </si>
  <si>
    <t>MAN-0092</t>
  </si>
  <si>
    <t>C0093</t>
  </si>
  <si>
    <t>FIN-0093</t>
  </si>
  <si>
    <t>C0094</t>
  </si>
  <si>
    <t>PUB-0094</t>
  </si>
  <si>
    <t>C0095</t>
  </si>
  <si>
    <t>HEA-0095</t>
  </si>
  <si>
    <t>C0096</t>
  </si>
  <si>
    <t>MAN-0096</t>
  </si>
  <si>
    <t>C0097</t>
  </si>
  <si>
    <t>TEC-0097</t>
  </si>
  <si>
    <t>C0098</t>
  </si>
  <si>
    <t>TEC-0098</t>
  </si>
  <si>
    <t>C0099</t>
  </si>
  <si>
    <t>TEC-0099</t>
  </si>
  <si>
    <t>C0100</t>
  </si>
  <si>
    <t>HEA-0100</t>
  </si>
  <si>
    <t>C0101</t>
  </si>
  <si>
    <t>TEC-0101</t>
  </si>
  <si>
    <t>C0102</t>
  </si>
  <si>
    <t>TEC-0102</t>
  </si>
  <si>
    <t>C0103</t>
  </si>
  <si>
    <t>HEA-0103</t>
  </si>
  <si>
    <t>C0104</t>
  </si>
  <si>
    <t>MAN-0104</t>
  </si>
  <si>
    <t>C0105</t>
  </si>
  <si>
    <t>PUB-0105</t>
  </si>
  <si>
    <t>C0106</t>
  </si>
  <si>
    <t>TEC-0106</t>
  </si>
  <si>
    <t>C0107</t>
  </si>
  <si>
    <t>HEA-0107</t>
  </si>
  <si>
    <t>C0108</t>
  </si>
  <si>
    <t>FIN-0108</t>
  </si>
  <si>
    <t>C0109</t>
  </si>
  <si>
    <t>PUB-0109</t>
  </si>
  <si>
    <t>C0110</t>
  </si>
  <si>
    <t>HEA-0110</t>
  </si>
  <si>
    <t>C0111</t>
  </si>
  <si>
    <t>PUB-0111</t>
  </si>
  <si>
    <t>C0112</t>
  </si>
  <si>
    <t>MAN-0112</t>
  </si>
  <si>
    <t>C0113</t>
  </si>
  <si>
    <t>HEA-0113</t>
  </si>
  <si>
    <t>C0114</t>
  </si>
  <si>
    <t>TEC-0114</t>
  </si>
  <si>
    <t>C0115</t>
  </si>
  <si>
    <t>LEG-0115</t>
  </si>
  <si>
    <t>C0116</t>
  </si>
  <si>
    <t>LEG-0116</t>
  </si>
  <si>
    <t>C0117</t>
  </si>
  <si>
    <t>LEG-0117</t>
  </si>
  <si>
    <t>C0118</t>
  </si>
  <si>
    <t>PUB-0118</t>
  </si>
  <si>
    <t>C0119</t>
  </si>
  <si>
    <t>TEC-0119</t>
  </si>
  <si>
    <t>C0120</t>
  </si>
  <si>
    <t>TEC-0120</t>
  </si>
  <si>
    <t>C0121</t>
  </si>
  <si>
    <t>TEC-0121</t>
  </si>
  <si>
    <t>C0122</t>
  </si>
  <si>
    <t>FIN-0122</t>
  </si>
  <si>
    <t>C0123</t>
  </si>
  <si>
    <t>TEC-0123</t>
  </si>
  <si>
    <t>C0124</t>
  </si>
  <si>
    <t>FIN-0124</t>
  </si>
  <si>
    <t>C0125</t>
  </si>
  <si>
    <t>LEG-0125</t>
  </si>
  <si>
    <t>C0126</t>
  </si>
  <si>
    <t>LEG-0126</t>
  </si>
  <si>
    <t>C0127</t>
  </si>
  <si>
    <t>MAN-0127</t>
  </si>
  <si>
    <t>C0128</t>
  </si>
  <si>
    <t>TEC-0128</t>
  </si>
  <si>
    <t>C0129</t>
  </si>
  <si>
    <t>PUB-0129</t>
  </si>
  <si>
    <t>C0130</t>
  </si>
  <si>
    <t>HEA-0130</t>
  </si>
  <si>
    <t>C0131</t>
  </si>
  <si>
    <t>PUB-0131</t>
  </si>
  <si>
    <t>C0132</t>
  </si>
  <si>
    <t>LEG-0132</t>
  </si>
  <si>
    <t>C0133</t>
  </si>
  <si>
    <t>MAN-0133</t>
  </si>
  <si>
    <t>C0134</t>
  </si>
  <si>
    <t>HEA-0134</t>
  </si>
  <si>
    <t>C0135</t>
  </si>
  <si>
    <t>HEA-0135</t>
  </si>
  <si>
    <t>C0136</t>
  </si>
  <si>
    <t>HEA-0136</t>
  </si>
  <si>
    <t>C0137</t>
  </si>
  <si>
    <t>HEA-0137</t>
  </si>
  <si>
    <t>C0138</t>
  </si>
  <si>
    <t>PUB-0138</t>
  </si>
  <si>
    <t>C0139</t>
  </si>
  <si>
    <t>LEG-0139</t>
  </si>
  <si>
    <t>C0140</t>
  </si>
  <si>
    <t>FIN-0140</t>
  </si>
  <si>
    <t>C0141</t>
  </si>
  <si>
    <t>TEC-0141</t>
  </si>
  <si>
    <t>C0142</t>
  </si>
  <si>
    <t>MAN-0142</t>
  </si>
  <si>
    <t>C0143</t>
  </si>
  <si>
    <t>MAN-0143</t>
  </si>
  <si>
    <t>C0144</t>
  </si>
  <si>
    <t>PUB-0144</t>
  </si>
  <si>
    <t>C0145</t>
  </si>
  <si>
    <t>LEG-0145</t>
  </si>
  <si>
    <t>C0146</t>
  </si>
  <si>
    <t>FIN-0146</t>
  </si>
  <si>
    <t>C0147</t>
  </si>
  <si>
    <t>HEA-0147</t>
  </si>
  <si>
    <t>C0148</t>
  </si>
  <si>
    <t>TEC-0148</t>
  </si>
  <si>
    <t>C0149</t>
  </si>
  <si>
    <t>HEA-0149</t>
  </si>
  <si>
    <t>C0150</t>
  </si>
  <si>
    <t>PUB-0150</t>
  </si>
  <si>
    <t>C0151</t>
  </si>
  <si>
    <t>LEG-0151</t>
  </si>
  <si>
    <t>C0152</t>
  </si>
  <si>
    <t>HEA-0152</t>
  </si>
  <si>
    <t>C0153</t>
  </si>
  <si>
    <t>FIN-0153</t>
  </si>
  <si>
    <t>C0154</t>
  </si>
  <si>
    <t>LEG-0154</t>
  </si>
  <si>
    <t>C0155</t>
  </si>
  <si>
    <t>LEG-0155</t>
  </si>
  <si>
    <t>C0156</t>
  </si>
  <si>
    <t>HEA-0156</t>
  </si>
  <si>
    <t>C0157</t>
  </si>
  <si>
    <t>LEG-0157</t>
  </si>
  <si>
    <t>C0158</t>
  </si>
  <si>
    <t>TEC-0158</t>
  </si>
  <si>
    <t>C0159</t>
  </si>
  <si>
    <t>MAN-0159</t>
  </si>
  <si>
    <t>C0160</t>
  </si>
  <si>
    <t>TEC-0160</t>
  </si>
  <si>
    <t>C0161</t>
  </si>
  <si>
    <t>TEC-0161</t>
  </si>
  <si>
    <t>C0162</t>
  </si>
  <si>
    <t>TEC-0162</t>
  </si>
  <si>
    <t>C0163</t>
  </si>
  <si>
    <t>MAN-0163</t>
  </si>
  <si>
    <t>C0164</t>
  </si>
  <si>
    <t>MAN-0164</t>
  </si>
  <si>
    <t>C0165</t>
  </si>
  <si>
    <t>TEC-0165</t>
  </si>
  <si>
    <t>C0166</t>
  </si>
  <si>
    <t>LEG-0166</t>
  </si>
  <si>
    <t>C0167</t>
  </si>
  <si>
    <t>LEG-0167</t>
  </si>
  <si>
    <t>C0168</t>
  </si>
  <si>
    <t>MAN-0168</t>
  </si>
  <si>
    <t>C0169</t>
  </si>
  <si>
    <t>MAN-0169</t>
  </si>
  <si>
    <t>C0170</t>
  </si>
  <si>
    <t>PUB-0170</t>
  </si>
  <si>
    <t>C0171</t>
  </si>
  <si>
    <t>MAN-0171</t>
  </si>
  <si>
    <t>C0172</t>
  </si>
  <si>
    <t>PUB-0172</t>
  </si>
  <si>
    <t>C0173</t>
  </si>
  <si>
    <t>LEG-0173</t>
  </si>
  <si>
    <t>C0174</t>
  </si>
  <si>
    <t>PUB-0174</t>
  </si>
  <si>
    <t>C0175</t>
  </si>
  <si>
    <t>HEA-0175</t>
  </si>
  <si>
    <t>C0176</t>
  </si>
  <si>
    <t>MAN-0176</t>
  </si>
  <si>
    <t>C0177</t>
  </si>
  <si>
    <t>HEA-0177</t>
  </si>
  <si>
    <t>C0178</t>
  </si>
  <si>
    <t>FIN-0178</t>
  </si>
  <si>
    <t>C0179</t>
  </si>
  <si>
    <t>LEG-0179</t>
  </si>
  <si>
    <t>C0180</t>
  </si>
  <si>
    <t>TEC-0180</t>
  </si>
  <si>
    <t>Product Catalog</t>
  </si>
  <si>
    <t>Product</t>
  </si>
  <si>
    <t>Reference_List_Price</t>
  </si>
  <si>
    <t>Typical_Cost_Rate</t>
  </si>
  <si>
    <t>Primary_Value_Driver</t>
  </si>
  <si>
    <t>Notes</t>
  </si>
  <si>
    <t>Nexus Insights</t>
  </si>
  <si>
    <t>Research productivity</t>
  </si>
  <si>
    <t>Pricing power must be derived from actual outcomes</t>
  </si>
  <si>
    <t>Nexus Analytics</t>
  </si>
  <si>
    <t>Decision analytics</t>
  </si>
  <si>
    <t>Nexus Compliance</t>
  </si>
  <si>
    <t>Risk reduction</t>
  </si>
  <si>
    <t>Nexus AI Assistant</t>
  </si>
  <si>
    <t>Labor automation</t>
  </si>
  <si>
    <t>Nexus Enterprise Suite</t>
  </si>
  <si>
    <t>Integrated platform coverage</t>
  </si>
  <si>
    <t>Contract Master</t>
  </si>
  <si>
    <t>Contract_ID</t>
  </si>
  <si>
    <t>Business_Unit</t>
  </si>
  <si>
    <t>Contract_Start</t>
  </si>
  <si>
    <t>Original_Term_Years</t>
  </si>
  <si>
    <t>Initial_Seats</t>
  </si>
  <si>
    <t>Original_List_ACV</t>
  </si>
  <si>
    <t>Current_Status</t>
  </si>
  <si>
    <t>Lifecycle_Validity</t>
  </si>
  <si>
    <t>CT00001</t>
  </si>
  <si>
    <t>Sales</t>
  </si>
  <si>
    <t>Active</t>
  </si>
  <si>
    <t>Valid by generation rule</t>
  </si>
  <si>
    <t>CT00002</t>
  </si>
  <si>
    <t>Finance</t>
  </si>
  <si>
    <t>CT00003</t>
  </si>
  <si>
    <t>CT00004</t>
  </si>
  <si>
    <t>CT00005</t>
  </si>
  <si>
    <t>CT00006</t>
  </si>
  <si>
    <t>CT00007</t>
  </si>
  <si>
    <t>Churned</t>
  </si>
  <si>
    <t>CT00008</t>
  </si>
  <si>
    <t>Lost</t>
  </si>
  <si>
    <t>CT00009</t>
  </si>
  <si>
    <t>CT00010</t>
  </si>
  <si>
    <t>CT00011</t>
  </si>
  <si>
    <t>CT00012</t>
  </si>
  <si>
    <t>CT00013</t>
  </si>
  <si>
    <t>CT00014</t>
  </si>
  <si>
    <t>CT00015</t>
  </si>
  <si>
    <t>CT00016</t>
  </si>
  <si>
    <t>Corporate</t>
  </si>
  <si>
    <t>CT00017</t>
  </si>
  <si>
    <t>CT00018</t>
  </si>
  <si>
    <t>CT00019</t>
  </si>
  <si>
    <t>CT00020</t>
  </si>
  <si>
    <t>CT00021</t>
  </si>
  <si>
    <t>CT00022</t>
  </si>
  <si>
    <t>CT00023</t>
  </si>
  <si>
    <t>CT00024</t>
  </si>
  <si>
    <t>Operations</t>
  </si>
  <si>
    <t>CT00025</t>
  </si>
  <si>
    <t>CT00026</t>
  </si>
  <si>
    <t>CT00027</t>
  </si>
  <si>
    <t>CT00028</t>
  </si>
  <si>
    <t>CT00029</t>
  </si>
  <si>
    <t>CT00030</t>
  </si>
  <si>
    <t>CT00031</t>
  </si>
  <si>
    <t>CT00032</t>
  </si>
  <si>
    <t>CT00033</t>
  </si>
  <si>
    <t>CT00034</t>
  </si>
  <si>
    <t>CT00035</t>
  </si>
  <si>
    <t>CT00036</t>
  </si>
  <si>
    <t>CT00037</t>
  </si>
  <si>
    <t>CT00038</t>
  </si>
  <si>
    <t>CT00039</t>
  </si>
  <si>
    <t>CT00040</t>
  </si>
  <si>
    <t>CT00041</t>
  </si>
  <si>
    <t>CT00042</t>
  </si>
  <si>
    <t>CT00043</t>
  </si>
  <si>
    <t>CT00044</t>
  </si>
  <si>
    <t>CT00045</t>
  </si>
  <si>
    <t>CT00046</t>
  </si>
  <si>
    <t>CT00047</t>
  </si>
  <si>
    <t>CT00048</t>
  </si>
  <si>
    <t>CT00049</t>
  </si>
  <si>
    <t>CT00050</t>
  </si>
  <si>
    <t>CT00051</t>
  </si>
  <si>
    <t>CT00052</t>
  </si>
  <si>
    <t>CT00053</t>
  </si>
  <si>
    <t>CT00054</t>
  </si>
  <si>
    <t>CT00055</t>
  </si>
  <si>
    <t>CT00056</t>
  </si>
  <si>
    <t>CT00057</t>
  </si>
  <si>
    <t>CT00058</t>
  </si>
  <si>
    <t>CT00059</t>
  </si>
  <si>
    <t>CT00060</t>
  </si>
  <si>
    <t>CT00061</t>
  </si>
  <si>
    <t>CT00062</t>
  </si>
  <si>
    <t>CT00063</t>
  </si>
  <si>
    <t>CT00064</t>
  </si>
  <si>
    <t>CT00065</t>
  </si>
  <si>
    <t>CT00066</t>
  </si>
  <si>
    <t>CT00067</t>
  </si>
  <si>
    <t>CT00068</t>
  </si>
  <si>
    <t>CT00069</t>
  </si>
  <si>
    <t>CT00070</t>
  </si>
  <si>
    <t>CT00071</t>
  </si>
  <si>
    <t>CT00072</t>
  </si>
  <si>
    <t>CT00073</t>
  </si>
  <si>
    <t>CT00074</t>
  </si>
  <si>
    <t>CT00075</t>
  </si>
  <si>
    <t>CT00076</t>
  </si>
  <si>
    <t>CT00077</t>
  </si>
  <si>
    <t>CT00078</t>
  </si>
  <si>
    <t>CT00079</t>
  </si>
  <si>
    <t>CT00080</t>
  </si>
  <si>
    <t>CT00081</t>
  </si>
  <si>
    <t>CT00082</t>
  </si>
  <si>
    <t>CT00083</t>
  </si>
  <si>
    <t>CT00084</t>
  </si>
  <si>
    <t>CT00085</t>
  </si>
  <si>
    <t>CT00086</t>
  </si>
  <si>
    <t>CT00087</t>
  </si>
  <si>
    <t>CT00088</t>
  </si>
  <si>
    <t>CT00089</t>
  </si>
  <si>
    <t>CT00090</t>
  </si>
  <si>
    <t>CT00091</t>
  </si>
  <si>
    <t>CT00092</t>
  </si>
  <si>
    <t>CT00093</t>
  </si>
  <si>
    <t>CT00094</t>
  </si>
  <si>
    <t>CT00095</t>
  </si>
  <si>
    <t>CT00096</t>
  </si>
  <si>
    <t>CT00097</t>
  </si>
  <si>
    <t>CT00098</t>
  </si>
  <si>
    <t>CT00099</t>
  </si>
  <si>
    <t>CT00100</t>
  </si>
  <si>
    <t>CT00101</t>
  </si>
  <si>
    <t>CT00102</t>
  </si>
  <si>
    <t>CT00103</t>
  </si>
  <si>
    <t>CT00104</t>
  </si>
  <si>
    <t>CT00105</t>
  </si>
  <si>
    <t>CT00106</t>
  </si>
  <si>
    <t>CT00107</t>
  </si>
  <si>
    <t>CT00108</t>
  </si>
  <si>
    <t>CT00109</t>
  </si>
  <si>
    <t>CT00110</t>
  </si>
  <si>
    <t>CT00111</t>
  </si>
  <si>
    <t>CT00112</t>
  </si>
  <si>
    <t>CT00113</t>
  </si>
  <si>
    <t>CT00114</t>
  </si>
  <si>
    <t>CT00115</t>
  </si>
  <si>
    <t>CT00116</t>
  </si>
  <si>
    <t>CT00117</t>
  </si>
  <si>
    <t>CT00118</t>
  </si>
  <si>
    <t>CT00119</t>
  </si>
  <si>
    <t>CT00120</t>
  </si>
  <si>
    <t>CT00121</t>
  </si>
  <si>
    <t>CT00122</t>
  </si>
  <si>
    <t>CT00123</t>
  </si>
  <si>
    <t>CT00124</t>
  </si>
  <si>
    <t>CT00125</t>
  </si>
  <si>
    <t>CT00126</t>
  </si>
  <si>
    <t>CT00127</t>
  </si>
  <si>
    <t>CT00128</t>
  </si>
  <si>
    <t>CT00129</t>
  </si>
  <si>
    <t>CT00130</t>
  </si>
  <si>
    <t>CT00131</t>
  </si>
  <si>
    <t>CT00132</t>
  </si>
  <si>
    <t>CT00133</t>
  </si>
  <si>
    <t>CT00134</t>
  </si>
  <si>
    <t>CT00135</t>
  </si>
  <si>
    <t>CT00136</t>
  </si>
  <si>
    <t>CT00137</t>
  </si>
  <si>
    <t>CT00138</t>
  </si>
  <si>
    <t>CT00139</t>
  </si>
  <si>
    <t>CT00140</t>
  </si>
  <si>
    <t>CT00141</t>
  </si>
  <si>
    <t>CT00142</t>
  </si>
  <si>
    <t>CT00143</t>
  </si>
  <si>
    <t>CT00144</t>
  </si>
  <si>
    <t>CT00145</t>
  </si>
  <si>
    <t>CT00146</t>
  </si>
  <si>
    <t>CT00147</t>
  </si>
  <si>
    <t>CT00148</t>
  </si>
  <si>
    <t>CT00149</t>
  </si>
  <si>
    <t>CT00150</t>
  </si>
  <si>
    <t>CT00151</t>
  </si>
  <si>
    <t>CT00152</t>
  </si>
  <si>
    <t>CT00153</t>
  </si>
  <si>
    <t>CT00154</t>
  </si>
  <si>
    <t>CT00155</t>
  </si>
  <si>
    <t>CT00156</t>
  </si>
  <si>
    <t>CT00157</t>
  </si>
  <si>
    <t>CT00158</t>
  </si>
  <si>
    <t>CT00159</t>
  </si>
  <si>
    <t>CT00160</t>
  </si>
  <si>
    <t>CT00161</t>
  </si>
  <si>
    <t>CT00162</t>
  </si>
  <si>
    <t>CT00163</t>
  </si>
  <si>
    <t>CT00164</t>
  </si>
  <si>
    <t>CT00165</t>
  </si>
  <si>
    <t>CT00166</t>
  </si>
  <si>
    <t>CT00167</t>
  </si>
  <si>
    <t>CT00168</t>
  </si>
  <si>
    <t>CT00169</t>
  </si>
  <si>
    <t>CT00170</t>
  </si>
  <si>
    <t>CT00171</t>
  </si>
  <si>
    <t>CT00172</t>
  </si>
  <si>
    <t>CT00173</t>
  </si>
  <si>
    <t>CT00174</t>
  </si>
  <si>
    <t>CT00175</t>
  </si>
  <si>
    <t>CT00176</t>
  </si>
  <si>
    <t>CT00177</t>
  </si>
  <si>
    <t>CT00178</t>
  </si>
  <si>
    <t>CT00179</t>
  </si>
  <si>
    <t>CT00180</t>
  </si>
  <si>
    <t>CT00181</t>
  </si>
  <si>
    <t>CT00182</t>
  </si>
  <si>
    <t>CT00183</t>
  </si>
  <si>
    <t>CT00184</t>
  </si>
  <si>
    <t>CT00185</t>
  </si>
  <si>
    <t>CT00186</t>
  </si>
  <si>
    <t>CT00187</t>
  </si>
  <si>
    <t>CT00188</t>
  </si>
  <si>
    <t>CT00189</t>
  </si>
  <si>
    <t>CT00190</t>
  </si>
  <si>
    <t>CT00191</t>
  </si>
  <si>
    <t>CT00192</t>
  </si>
  <si>
    <t>CT00193</t>
  </si>
  <si>
    <t>CT00194</t>
  </si>
  <si>
    <t>CT00195</t>
  </si>
  <si>
    <t>CT00196</t>
  </si>
  <si>
    <t>CT00197</t>
  </si>
  <si>
    <t>CT00198</t>
  </si>
  <si>
    <t>CT00199</t>
  </si>
  <si>
    <t>CT00200</t>
  </si>
  <si>
    <t>CT00201</t>
  </si>
  <si>
    <t>CT00202</t>
  </si>
  <si>
    <t>CT00203</t>
  </si>
  <si>
    <t>CT00204</t>
  </si>
  <si>
    <t>CT00205</t>
  </si>
  <si>
    <t>CT00206</t>
  </si>
  <si>
    <t>CT00207</t>
  </si>
  <si>
    <t>CT00208</t>
  </si>
  <si>
    <t>CT00209</t>
  </si>
  <si>
    <t>CT00210</t>
  </si>
  <si>
    <t>CT00211</t>
  </si>
  <si>
    <t>CT00212</t>
  </si>
  <si>
    <t>CT00213</t>
  </si>
  <si>
    <t>CT00214</t>
  </si>
  <si>
    <t>CT00215</t>
  </si>
  <si>
    <t>CT00216</t>
  </si>
  <si>
    <t>CT00217</t>
  </si>
  <si>
    <t>CT00218</t>
  </si>
  <si>
    <t>CT00219</t>
  </si>
  <si>
    <t>CT00220</t>
  </si>
  <si>
    <t>CT00221</t>
  </si>
  <si>
    <t>CT00222</t>
  </si>
  <si>
    <t>CT00223</t>
  </si>
  <si>
    <t>CT00224</t>
  </si>
  <si>
    <t>CT00225</t>
  </si>
  <si>
    <t>CT00226</t>
  </si>
  <si>
    <t>CT00227</t>
  </si>
  <si>
    <t>CT00228</t>
  </si>
  <si>
    <t>CT00229</t>
  </si>
  <si>
    <t>CT00230</t>
  </si>
  <si>
    <t>CT00231</t>
  </si>
  <si>
    <t>CT00232</t>
  </si>
  <si>
    <t>CT00233</t>
  </si>
  <si>
    <t>CT00234</t>
  </si>
  <si>
    <t>CT00235</t>
  </si>
  <si>
    <t>CT00236</t>
  </si>
  <si>
    <t>CT00237</t>
  </si>
  <si>
    <t>CT00238</t>
  </si>
  <si>
    <t>CT00239</t>
  </si>
  <si>
    <t>CT00240</t>
  </si>
  <si>
    <t>CT00241</t>
  </si>
  <si>
    <t>CT00242</t>
  </si>
  <si>
    <t>CT00243</t>
  </si>
  <si>
    <t>CT00244</t>
  </si>
  <si>
    <t>CT00245</t>
  </si>
  <si>
    <t>CT00246</t>
  </si>
  <si>
    <t>CT00247</t>
  </si>
  <si>
    <t>CT00248</t>
  </si>
  <si>
    <t>CT00249</t>
  </si>
  <si>
    <t>CT00250</t>
  </si>
  <si>
    <t>CT00251</t>
  </si>
  <si>
    <t>CT00252</t>
  </si>
  <si>
    <t>CT00253</t>
  </si>
  <si>
    <t>CT00254</t>
  </si>
  <si>
    <t>CT00255</t>
  </si>
  <si>
    <t>CT00256</t>
  </si>
  <si>
    <t>CT00257</t>
  </si>
  <si>
    <t>CT00258</t>
  </si>
  <si>
    <t>CT00259</t>
  </si>
  <si>
    <t>CT00260</t>
  </si>
  <si>
    <t>CT00261</t>
  </si>
  <si>
    <t>CT00262</t>
  </si>
  <si>
    <t>CT00263</t>
  </si>
  <si>
    <t>CT00264</t>
  </si>
  <si>
    <t>CT00265</t>
  </si>
  <si>
    <t>CT00266</t>
  </si>
  <si>
    <t>CT00267</t>
  </si>
  <si>
    <t>CT00268</t>
  </si>
  <si>
    <t>CT00269</t>
  </si>
  <si>
    <t>CT00270</t>
  </si>
  <si>
    <t>CT00271</t>
  </si>
  <si>
    <t>CT00272</t>
  </si>
  <si>
    <t>CT00273</t>
  </si>
  <si>
    <t>CT00274</t>
  </si>
  <si>
    <t>CT00275</t>
  </si>
  <si>
    <t>CT00276</t>
  </si>
  <si>
    <t>CT00277</t>
  </si>
  <si>
    <t>CT00278</t>
  </si>
  <si>
    <t>CT00279</t>
  </si>
  <si>
    <t>CT00280</t>
  </si>
  <si>
    <t>CT00281</t>
  </si>
  <si>
    <t>CT00282</t>
  </si>
  <si>
    <t>CT00283</t>
  </si>
  <si>
    <t>CT00284</t>
  </si>
  <si>
    <t>CT00285</t>
  </si>
  <si>
    <t>CT00286</t>
  </si>
  <si>
    <t>CT00287</t>
  </si>
  <si>
    <t>CT00288</t>
  </si>
  <si>
    <t>CT00289</t>
  </si>
  <si>
    <t>CT00290</t>
  </si>
  <si>
    <t>CT00291</t>
  </si>
  <si>
    <t>CT00292</t>
  </si>
  <si>
    <t>CT00293</t>
  </si>
  <si>
    <t>CT00294</t>
  </si>
  <si>
    <t>CT00295</t>
  </si>
  <si>
    <t>CT00296</t>
  </si>
  <si>
    <t>CT00297</t>
  </si>
  <si>
    <t>CT00298</t>
  </si>
  <si>
    <t>CT00299</t>
  </si>
  <si>
    <t>CT00300</t>
  </si>
  <si>
    <t>CT00301</t>
  </si>
  <si>
    <t>CT00302</t>
  </si>
  <si>
    <t>CT00303</t>
  </si>
  <si>
    <t>CT00304</t>
  </si>
  <si>
    <t>CT00305</t>
  </si>
  <si>
    <t>CT00306</t>
  </si>
  <si>
    <t>CT00307</t>
  </si>
  <si>
    <t>CT00308</t>
  </si>
  <si>
    <t>CT00309</t>
  </si>
  <si>
    <t>CT00310</t>
  </si>
  <si>
    <t>CT00311</t>
  </si>
  <si>
    <t>CT00312</t>
  </si>
  <si>
    <t>CT00313</t>
  </si>
  <si>
    <t>CT00314</t>
  </si>
  <si>
    <t>CT00315</t>
  </si>
  <si>
    <t>CT00316</t>
  </si>
  <si>
    <t>CT00317</t>
  </si>
  <si>
    <t>CT00318</t>
  </si>
  <si>
    <t>CT00319</t>
  </si>
  <si>
    <t>CT00320</t>
  </si>
  <si>
    <t>CT00321</t>
  </si>
  <si>
    <t>CT00322</t>
  </si>
  <si>
    <t>CT00323</t>
  </si>
  <si>
    <t>CT00324</t>
  </si>
  <si>
    <t>CT00325</t>
  </si>
  <si>
    <t>CT00326</t>
  </si>
  <si>
    <t>CT00327</t>
  </si>
  <si>
    <t>CT00328</t>
  </si>
  <si>
    <t>CT00329</t>
  </si>
  <si>
    <t>CT00330</t>
  </si>
  <si>
    <t>CT00331</t>
  </si>
  <si>
    <t>CT00332</t>
  </si>
  <si>
    <t>CT00333</t>
  </si>
  <si>
    <t>CT00334</t>
  </si>
  <si>
    <t>CT00335</t>
  </si>
  <si>
    <t>CT00336</t>
  </si>
  <si>
    <t>CT00337</t>
  </si>
  <si>
    <t>CT00338</t>
  </si>
  <si>
    <t>CT00339</t>
  </si>
  <si>
    <t>CT00340</t>
  </si>
  <si>
    <t>CT00341</t>
  </si>
  <si>
    <t>CT00342</t>
  </si>
  <si>
    <t>CT00343</t>
  </si>
  <si>
    <t>CT00344</t>
  </si>
  <si>
    <t>CT00345</t>
  </si>
  <si>
    <t>CT00346</t>
  </si>
  <si>
    <t>CT00347</t>
  </si>
  <si>
    <t>CT00348</t>
  </si>
  <si>
    <t>CT00349</t>
  </si>
  <si>
    <t>CT00350</t>
  </si>
  <si>
    <t>CT00351</t>
  </si>
  <si>
    <t>CT00352</t>
  </si>
  <si>
    <t>CT00353</t>
  </si>
  <si>
    <t>CT00354</t>
  </si>
  <si>
    <t>CT00355</t>
  </si>
  <si>
    <t>CT00356</t>
  </si>
  <si>
    <t>CT00357</t>
  </si>
  <si>
    <t>CT00358</t>
  </si>
  <si>
    <t>CT00359</t>
  </si>
  <si>
    <t>CT00360</t>
  </si>
  <si>
    <t>CT00361</t>
  </si>
  <si>
    <t>CT00362</t>
  </si>
  <si>
    <t>CT00363</t>
  </si>
  <si>
    <t>CT00364</t>
  </si>
  <si>
    <t>CT00365</t>
  </si>
  <si>
    <t>CT00366</t>
  </si>
  <si>
    <t>CT00367</t>
  </si>
  <si>
    <t>CT00368</t>
  </si>
  <si>
    <t>CT00369</t>
  </si>
  <si>
    <t>CT00370</t>
  </si>
  <si>
    <t>CT00371</t>
  </si>
  <si>
    <t>CT00372</t>
  </si>
  <si>
    <t>CT00373</t>
  </si>
  <si>
    <t>CT00374</t>
  </si>
  <si>
    <t>CT00375</t>
  </si>
  <si>
    <t>CT00376</t>
  </si>
  <si>
    <t>CT00377</t>
  </si>
  <si>
    <t>CT00378</t>
  </si>
  <si>
    <t>CT00379</t>
  </si>
  <si>
    <t>CT00380</t>
  </si>
  <si>
    <t>CT00381</t>
  </si>
  <si>
    <t>CT00382</t>
  </si>
  <si>
    <t>CT00383</t>
  </si>
  <si>
    <t>CT00384</t>
  </si>
  <si>
    <t>CT00385</t>
  </si>
  <si>
    <t>CT00386</t>
  </si>
  <si>
    <t>CT00387</t>
  </si>
  <si>
    <t>CT00388</t>
  </si>
  <si>
    <t>CT00389</t>
  </si>
  <si>
    <t>CT00390</t>
  </si>
  <si>
    <t>CT00391</t>
  </si>
  <si>
    <t>CT00392</t>
  </si>
  <si>
    <t>CT00393</t>
  </si>
  <si>
    <t>CT00394</t>
  </si>
  <si>
    <t>CT00395</t>
  </si>
  <si>
    <t>CT00396</t>
  </si>
  <si>
    <t>CT00397</t>
  </si>
  <si>
    <t>CT00398</t>
  </si>
  <si>
    <t>Deals_Raw — Salesforce-Style Opportunity Export</t>
  </si>
  <si>
    <t>Deal_ID</t>
  </si>
  <si>
    <t>Deal_Date</t>
  </si>
  <si>
    <t>Deal_Type</t>
  </si>
  <si>
    <t>Expansion_Type</t>
  </si>
  <si>
    <t>Contract_Years</t>
  </si>
  <si>
    <t>Seats</t>
  </si>
  <si>
    <t>Sales_Rep</t>
  </si>
  <si>
    <t>List_ACV</t>
  </si>
  <si>
    <t>Discount_Requested</t>
  </si>
  <si>
    <t>Discount_Approved</t>
  </si>
  <si>
    <t>Competitor_Gap_vs_Us</t>
  </si>
  <si>
    <t>Discount_Reason</t>
  </si>
  <si>
    <t>Approval_Level</t>
  </si>
  <si>
    <t>Final_Price</t>
  </si>
  <si>
    <t>Cost_to_Serve</t>
  </si>
  <si>
    <t>Proposed_Gross_Profit</t>
  </si>
  <si>
    <t>Proposed_Gross_Margin</t>
  </si>
  <si>
    <t>Deal_Status</t>
  </si>
  <si>
    <t>Renewed</t>
  </si>
  <si>
    <t>Expanded</t>
  </si>
  <si>
    <t>Winback_Flag</t>
  </si>
  <si>
    <t>Realized_Revenue</t>
  </si>
  <si>
    <t>Realized_Gross_Profit</t>
  </si>
  <si>
    <t>Lifecycle_Notes</t>
  </si>
  <si>
    <t>D00003</t>
  </si>
  <si>
    <t>Renewal</t>
  </si>
  <si>
    <t>M. Johnson</t>
  </si>
  <si>
    <t>Renewal retention risk</t>
  </si>
  <si>
    <t>Sales Manager</t>
  </si>
  <si>
    <t>Won</t>
  </si>
  <si>
    <t>Renewal of existing active contract</t>
  </si>
  <si>
    <t>D00004</t>
  </si>
  <si>
    <t>Expansion</t>
  </si>
  <si>
    <t>Module Add-on</t>
  </si>
  <si>
    <t>Expansion opportunity</t>
  </si>
  <si>
    <t>Expansion allowed because contract was active</t>
  </si>
  <si>
    <t>D00005</t>
  </si>
  <si>
    <t>T. Brooks</t>
  </si>
  <si>
    <t>Pricing Analyst</t>
  </si>
  <si>
    <t>D00006</t>
  </si>
  <si>
    <t>New Business</t>
  </si>
  <si>
    <t>R. Singh</t>
  </si>
  <si>
    <t>Business Manager</t>
  </si>
  <si>
    <t>First purchase under this contract</t>
  </si>
  <si>
    <t>D00007</t>
  </si>
  <si>
    <t>L. Williams</t>
  </si>
  <si>
    <t>Multi-year commitment</t>
  </si>
  <si>
    <t>D00008</t>
  </si>
  <si>
    <t>Storage / Usage Expansion</t>
  </si>
  <si>
    <t>A. Patel</t>
  </si>
  <si>
    <t>D00009</t>
  </si>
  <si>
    <t>Verified competitor pressure</t>
  </si>
  <si>
    <t>D00010</t>
  </si>
  <si>
    <t>D00011</t>
  </si>
  <si>
    <t>Strategic logo opportunity</t>
  </si>
  <si>
    <t>D00012</t>
  </si>
  <si>
    <t>D. Chen</t>
  </si>
  <si>
    <t>D00013</t>
  </si>
  <si>
    <t>Procurement requirement</t>
  </si>
  <si>
    <t>D00014</t>
  </si>
  <si>
    <t>Budget constraint</t>
  </si>
  <si>
    <t>D00017</t>
  </si>
  <si>
    <t>D00018</t>
  </si>
  <si>
    <t>D00019</t>
  </si>
  <si>
    <t>Win-back</t>
  </si>
  <si>
    <t>Customer returned after lost renewal</t>
  </si>
  <si>
    <t>D00020</t>
  </si>
  <si>
    <t>D00021</t>
  </si>
  <si>
    <t>D00022</t>
  </si>
  <si>
    <t>D00023</t>
  </si>
  <si>
    <t>D00026</t>
  </si>
  <si>
    <t>D00027</t>
  </si>
  <si>
    <t>D00028</t>
  </si>
  <si>
    <t>D00029</t>
  </si>
  <si>
    <t>D00030</t>
  </si>
  <si>
    <t>D00031</t>
  </si>
  <si>
    <t>D00032</t>
  </si>
  <si>
    <t>D00033</t>
  </si>
  <si>
    <t>D00034</t>
  </si>
  <si>
    <t>Volume purchase</t>
  </si>
  <si>
    <t>D00035</t>
  </si>
  <si>
    <t>S. Rivera</t>
  </si>
  <si>
    <t>D00036</t>
  </si>
  <si>
    <t>Customer returned after prior lost initial opportunity</t>
  </si>
  <si>
    <t>D00037</t>
  </si>
  <si>
    <t>D00038</t>
  </si>
  <si>
    <t>D00039</t>
  </si>
  <si>
    <t>D00040</t>
  </si>
  <si>
    <t>D00041</t>
  </si>
  <si>
    <t>D00042</t>
  </si>
  <si>
    <t>D00043</t>
  </si>
  <si>
    <t>D00044</t>
  </si>
  <si>
    <t>D00045</t>
  </si>
  <si>
    <t>D00046</t>
  </si>
  <si>
    <t>D00047</t>
  </si>
  <si>
    <t>Enterprise Upgrade</t>
  </si>
  <si>
    <t>K. Nguyen</t>
  </si>
  <si>
    <t>D00048</t>
  </si>
  <si>
    <t>D00049</t>
  </si>
  <si>
    <t>D00050</t>
  </si>
  <si>
    <t>Multi-year Extension</t>
  </si>
  <si>
    <t>D00051</t>
  </si>
  <si>
    <t>D00052</t>
  </si>
  <si>
    <t>D00056</t>
  </si>
  <si>
    <t>D00057</t>
  </si>
  <si>
    <t>D00059</t>
  </si>
  <si>
    <t>D00060</t>
  </si>
  <si>
    <t>D00061</t>
  </si>
  <si>
    <t>D00062</t>
  </si>
  <si>
    <t>D00063</t>
  </si>
  <si>
    <t>D00064</t>
  </si>
  <si>
    <t>D00065</t>
  </si>
  <si>
    <t>D00066</t>
  </si>
  <si>
    <t>D00067</t>
  </si>
  <si>
    <t>D00070</t>
  </si>
  <si>
    <t>D00071</t>
  </si>
  <si>
    <t>D00072</t>
  </si>
  <si>
    <t>D00073</t>
  </si>
  <si>
    <t>D00074</t>
  </si>
  <si>
    <t>D00075</t>
  </si>
  <si>
    <t>D00076</t>
  </si>
  <si>
    <t>D00077</t>
  </si>
  <si>
    <t>D00078</t>
  </si>
  <si>
    <t>D00079</t>
  </si>
  <si>
    <t>D00080</t>
  </si>
  <si>
    <t>D00081</t>
  </si>
  <si>
    <t>D00082</t>
  </si>
  <si>
    <t>AI Add-on</t>
  </si>
  <si>
    <t>D00083</t>
  </si>
  <si>
    <t>D00084</t>
  </si>
  <si>
    <t>D00085</t>
  </si>
  <si>
    <t>D00086</t>
  </si>
  <si>
    <t>D00087</t>
  </si>
  <si>
    <t>D00088</t>
  </si>
  <si>
    <t>Seat Expansion</t>
  </si>
  <si>
    <t>D00089</t>
  </si>
  <si>
    <t>D00090</t>
  </si>
  <si>
    <t>D00091</t>
  </si>
  <si>
    <t>D00092</t>
  </si>
  <si>
    <t>D00093</t>
  </si>
  <si>
    <t>D00094</t>
  </si>
  <si>
    <t>D00095</t>
  </si>
  <si>
    <t>D00096</t>
  </si>
  <si>
    <t>D00097</t>
  </si>
  <si>
    <t>D00098</t>
  </si>
  <si>
    <t>D00099</t>
  </si>
  <si>
    <t>D00101</t>
  </si>
  <si>
    <t>D00102</t>
  </si>
  <si>
    <t>D00103</t>
  </si>
  <si>
    <t>D00104</t>
  </si>
  <si>
    <t>D00105</t>
  </si>
  <si>
    <t>D00106</t>
  </si>
  <si>
    <t>D00107</t>
  </si>
  <si>
    <t>D00108</t>
  </si>
  <si>
    <t>D00109</t>
  </si>
  <si>
    <t>D00112</t>
  </si>
  <si>
    <t>D00113</t>
  </si>
  <si>
    <t>D00116</t>
  </si>
  <si>
    <t>D00117</t>
  </si>
  <si>
    <t>D00118</t>
  </si>
  <si>
    <t>D00120</t>
  </si>
  <si>
    <t>D00121</t>
  </si>
  <si>
    <t>D00122</t>
  </si>
  <si>
    <t>D00123</t>
  </si>
  <si>
    <t>D00124</t>
  </si>
  <si>
    <t>D00125</t>
  </si>
  <si>
    <t>D00126</t>
  </si>
  <si>
    <t>D00128</t>
  </si>
  <si>
    <t>D00129</t>
  </si>
  <si>
    <t>D00130</t>
  </si>
  <si>
    <t>D00131</t>
  </si>
  <si>
    <t>D00132</t>
  </si>
  <si>
    <t>D00133</t>
  </si>
  <si>
    <t>D00134</t>
  </si>
  <si>
    <t>D00135</t>
  </si>
  <si>
    <t>D00136</t>
  </si>
  <si>
    <t>D00137</t>
  </si>
  <si>
    <t>D00138</t>
  </si>
  <si>
    <t>D00139</t>
  </si>
  <si>
    <t>D00140</t>
  </si>
  <si>
    <t>D00141</t>
  </si>
  <si>
    <t>D00142</t>
  </si>
  <si>
    <t>D00144</t>
  </si>
  <si>
    <t>D00145</t>
  </si>
  <si>
    <t>D00146</t>
  </si>
  <si>
    <t>D00147</t>
  </si>
  <si>
    <t>D00148</t>
  </si>
  <si>
    <t>D00149</t>
  </si>
  <si>
    <t>D00150</t>
  </si>
  <si>
    <t>D00152</t>
  </si>
  <si>
    <t>D00153</t>
  </si>
  <si>
    <t>D00154</t>
  </si>
  <si>
    <t>D00155</t>
  </si>
  <si>
    <t>D00156</t>
  </si>
  <si>
    <t>D00157</t>
  </si>
  <si>
    <t>D00158</t>
  </si>
  <si>
    <t>D00159</t>
  </si>
  <si>
    <t>D00160</t>
  </si>
  <si>
    <t>D00162</t>
  </si>
  <si>
    <t>D00163</t>
  </si>
  <si>
    <t>D00164</t>
  </si>
  <si>
    <t>D00165</t>
  </si>
  <si>
    <t>D00166</t>
  </si>
  <si>
    <t>D00167</t>
  </si>
  <si>
    <t>D00168</t>
  </si>
  <si>
    <t>D00169</t>
  </si>
  <si>
    <t>D00170</t>
  </si>
  <si>
    <t>D00171</t>
  </si>
  <si>
    <t>D00172</t>
  </si>
  <si>
    <t>D00173</t>
  </si>
  <si>
    <t>D00176</t>
  </si>
  <si>
    <t>D00177</t>
  </si>
  <si>
    <t>D00178</t>
  </si>
  <si>
    <t>D00179</t>
  </si>
  <si>
    <t>D00180</t>
  </si>
  <si>
    <t>D00181</t>
  </si>
  <si>
    <t>D00182</t>
  </si>
  <si>
    <t>D00183</t>
  </si>
  <si>
    <t>D00184</t>
  </si>
  <si>
    <t>D00185</t>
  </si>
  <si>
    <t>D00186</t>
  </si>
  <si>
    <t>D00187</t>
  </si>
  <si>
    <t>D00188</t>
  </si>
  <si>
    <t>D00189</t>
  </si>
  <si>
    <t>D00190</t>
  </si>
  <si>
    <t>D00193</t>
  </si>
  <si>
    <t>D00194</t>
  </si>
  <si>
    <t>D00195</t>
  </si>
  <si>
    <t>D00196</t>
  </si>
  <si>
    <t>D00197</t>
  </si>
  <si>
    <t>D00198</t>
  </si>
  <si>
    <t>D00199</t>
  </si>
  <si>
    <t>D00200</t>
  </si>
  <si>
    <t>D00201</t>
  </si>
  <si>
    <t>D00202</t>
  </si>
  <si>
    <t>D00203</t>
  </si>
  <si>
    <t>D00204</t>
  </si>
  <si>
    <t>D00205</t>
  </si>
  <si>
    <t>D00206</t>
  </si>
  <si>
    <t>D00207</t>
  </si>
  <si>
    <t>D00208</t>
  </si>
  <si>
    <t>D00209</t>
  </si>
  <si>
    <t>D00210</t>
  </si>
  <si>
    <t>D00211</t>
  </si>
  <si>
    <t>D00212</t>
  </si>
  <si>
    <t>D00213</t>
  </si>
  <si>
    <t>D00214</t>
  </si>
  <si>
    <t>D00215</t>
  </si>
  <si>
    <t>D00216</t>
  </si>
  <si>
    <t>D00217</t>
  </si>
  <si>
    <t>D00218</t>
  </si>
  <si>
    <t>D00219</t>
  </si>
  <si>
    <t>D00220</t>
  </si>
  <si>
    <t>D00221</t>
  </si>
  <si>
    <t>D00223</t>
  </si>
  <si>
    <t>D00224</t>
  </si>
  <si>
    <t>D00225</t>
  </si>
  <si>
    <t>D00226</t>
  </si>
  <si>
    <t>D00227</t>
  </si>
  <si>
    <t>D00228</t>
  </si>
  <si>
    <t>D00229</t>
  </si>
  <si>
    <t>D00230</t>
  </si>
  <si>
    <t>D00231</t>
  </si>
  <si>
    <t>D00232</t>
  </si>
  <si>
    <t>D00234</t>
  </si>
  <si>
    <t>D00235</t>
  </si>
  <si>
    <t>D00236</t>
  </si>
  <si>
    <t>D00238</t>
  </si>
  <si>
    <t>D00239</t>
  </si>
  <si>
    <t>D00240</t>
  </si>
  <si>
    <t>D00241</t>
  </si>
  <si>
    <t>D00242</t>
  </si>
  <si>
    <t>D00243</t>
  </si>
  <si>
    <t>D00244</t>
  </si>
  <si>
    <t>D00245</t>
  </si>
  <si>
    <t>D00246</t>
  </si>
  <si>
    <t>D00247</t>
  </si>
  <si>
    <t>D00248</t>
  </si>
  <si>
    <t>D00249</t>
  </si>
  <si>
    <t>D00250</t>
  </si>
  <si>
    <t>D00251</t>
  </si>
  <si>
    <t>D00252</t>
  </si>
  <si>
    <t>D00253</t>
  </si>
  <si>
    <t>D00254</t>
  </si>
  <si>
    <t>D00255</t>
  </si>
  <si>
    <t>D00256</t>
  </si>
  <si>
    <t>D00257</t>
  </si>
  <si>
    <t>D00258</t>
  </si>
  <si>
    <t>D00259</t>
  </si>
  <si>
    <t>D00260</t>
  </si>
  <si>
    <t>D00262</t>
  </si>
  <si>
    <t>D00263</t>
  </si>
  <si>
    <t>D00264</t>
  </si>
  <si>
    <t>D00265</t>
  </si>
  <si>
    <t>D00266</t>
  </si>
  <si>
    <t>D00267</t>
  </si>
  <si>
    <t>D00268</t>
  </si>
  <si>
    <t>D00269</t>
  </si>
  <si>
    <t>D00270</t>
  </si>
  <si>
    <t>D00271</t>
  </si>
  <si>
    <t>D00272</t>
  </si>
  <si>
    <t>D00273</t>
  </si>
  <si>
    <t>D00274</t>
  </si>
  <si>
    <t>D00275</t>
  </si>
  <si>
    <t>D00276</t>
  </si>
  <si>
    <t>D00277</t>
  </si>
  <si>
    <t>D00280</t>
  </si>
  <si>
    <t>D00281</t>
  </si>
  <si>
    <t>D00282</t>
  </si>
  <si>
    <t>D00283</t>
  </si>
  <si>
    <t>D00284</t>
  </si>
  <si>
    <t>D00285</t>
  </si>
  <si>
    <t>D00286</t>
  </si>
  <si>
    <t>D00287</t>
  </si>
  <si>
    <t>D00288</t>
  </si>
  <si>
    <t>D00289</t>
  </si>
  <si>
    <t>D00291</t>
  </si>
  <si>
    <t>D00292</t>
  </si>
  <si>
    <t>D00293</t>
  </si>
  <si>
    <t>D00294</t>
  </si>
  <si>
    <t>D00295</t>
  </si>
  <si>
    <t>D00296</t>
  </si>
  <si>
    <t>D00299</t>
  </si>
  <si>
    <t>D00300</t>
  </si>
  <si>
    <t>D00301</t>
  </si>
  <si>
    <t>D00302</t>
  </si>
  <si>
    <t>D00303</t>
  </si>
  <si>
    <t>D00305</t>
  </si>
  <si>
    <t>D00306</t>
  </si>
  <si>
    <t>D00307</t>
  </si>
  <si>
    <t>D00308</t>
  </si>
  <si>
    <t>D00311</t>
  </si>
  <si>
    <t>D00312</t>
  </si>
  <si>
    <t>D00313</t>
  </si>
  <si>
    <t>D00315</t>
  </si>
  <si>
    <t>D00316</t>
  </si>
  <si>
    <t>D00317</t>
  </si>
  <si>
    <t>D00318</t>
  </si>
  <si>
    <t>D00319</t>
  </si>
  <si>
    <t>D00320</t>
  </si>
  <si>
    <t>D00321</t>
  </si>
  <si>
    <t>D00323</t>
  </si>
  <si>
    <t>D00324</t>
  </si>
  <si>
    <t>D00325</t>
  </si>
  <si>
    <t>D00326</t>
  </si>
  <si>
    <t>D00327</t>
  </si>
  <si>
    <t>D00329</t>
  </si>
  <si>
    <t>D00330</t>
  </si>
  <si>
    <t>D00331</t>
  </si>
  <si>
    <t>D00332</t>
  </si>
  <si>
    <t>D00333</t>
  </si>
  <si>
    <t>D00334</t>
  </si>
  <si>
    <t>D00335</t>
  </si>
  <si>
    <t>D00336</t>
  </si>
  <si>
    <t>D00337</t>
  </si>
  <si>
    <t>D00338</t>
  </si>
  <si>
    <t>D00339</t>
  </si>
  <si>
    <t>D00340</t>
  </si>
  <si>
    <t>D00341</t>
  </si>
  <si>
    <t>D00342</t>
  </si>
  <si>
    <t>D00343</t>
  </si>
  <si>
    <t>D00344</t>
  </si>
  <si>
    <t>D00345</t>
  </si>
  <si>
    <t>D00346</t>
  </si>
  <si>
    <t>D00347</t>
  </si>
  <si>
    <t>D00348</t>
  </si>
  <si>
    <t>D00349</t>
  </si>
  <si>
    <t>D00350</t>
  </si>
  <si>
    <t>D00351</t>
  </si>
  <si>
    <t>D00352</t>
  </si>
  <si>
    <t>D00353</t>
  </si>
  <si>
    <t>D00356</t>
  </si>
  <si>
    <t>D00357</t>
  </si>
  <si>
    <t>D00358</t>
  </si>
  <si>
    <t>D00359</t>
  </si>
  <si>
    <t>D00360</t>
  </si>
  <si>
    <t>D00361</t>
  </si>
  <si>
    <t>D00364</t>
  </si>
  <si>
    <t>D00365</t>
  </si>
  <si>
    <t>D00366</t>
  </si>
  <si>
    <t>D00367</t>
  </si>
  <si>
    <t>D00368</t>
  </si>
  <si>
    <t>D00369</t>
  </si>
  <si>
    <t>D00370</t>
  </si>
  <si>
    <t>D00374</t>
  </si>
  <si>
    <t>D00375</t>
  </si>
  <si>
    <t>D00376</t>
  </si>
  <si>
    <t>D00378</t>
  </si>
  <si>
    <t>D00379</t>
  </si>
  <si>
    <t>D00381</t>
  </si>
  <si>
    <t>D00382</t>
  </si>
  <si>
    <t>D00383</t>
  </si>
  <si>
    <t>D00384</t>
  </si>
  <si>
    <t>D00385</t>
  </si>
  <si>
    <t>D00386</t>
  </si>
  <si>
    <t>D00387</t>
  </si>
  <si>
    <t>D00388</t>
  </si>
  <si>
    <t>D00389</t>
  </si>
  <si>
    <t>D00390</t>
  </si>
  <si>
    <t>D00391</t>
  </si>
  <si>
    <t>D00392</t>
  </si>
  <si>
    <t>D00393</t>
  </si>
  <si>
    <t>D00394</t>
  </si>
  <si>
    <t>D00395</t>
  </si>
  <si>
    <t>D00396</t>
  </si>
  <si>
    <t>D00397</t>
  </si>
  <si>
    <t>D00398</t>
  </si>
  <si>
    <t>D00399</t>
  </si>
  <si>
    <t>D00400</t>
  </si>
  <si>
    <t>D00401</t>
  </si>
  <si>
    <t>D00402</t>
  </si>
  <si>
    <t>D00403</t>
  </si>
  <si>
    <t>D00404</t>
  </si>
  <si>
    <t>D00405</t>
  </si>
  <si>
    <t>D00406</t>
  </si>
  <si>
    <t>D00407</t>
  </si>
  <si>
    <t>D00408</t>
  </si>
  <si>
    <t>D00409</t>
  </si>
  <si>
    <t>D00410</t>
  </si>
  <si>
    <t>D00412</t>
  </si>
  <si>
    <t>D00414</t>
  </si>
  <si>
    <t>D00415</t>
  </si>
  <si>
    <t>D00416</t>
  </si>
  <si>
    <t>D00417</t>
  </si>
  <si>
    <t>D00419</t>
  </si>
  <si>
    <t>D00420</t>
  </si>
  <si>
    <t>D00421</t>
  </si>
  <si>
    <t>D00422</t>
  </si>
  <si>
    <t>D00424</t>
  </si>
  <si>
    <t>D00425</t>
  </si>
  <si>
    <t>D00426</t>
  </si>
  <si>
    <t>D00427</t>
  </si>
  <si>
    <t>D00428</t>
  </si>
  <si>
    <t>D00429</t>
  </si>
  <si>
    <t>D00431</t>
  </si>
  <si>
    <t>D00432</t>
  </si>
  <si>
    <t>D00433</t>
  </si>
  <si>
    <t>D00434</t>
  </si>
  <si>
    <t>D00435</t>
  </si>
  <si>
    <t>D00436</t>
  </si>
  <si>
    <t>D00437</t>
  </si>
  <si>
    <t>D00438</t>
  </si>
  <si>
    <t>D00439</t>
  </si>
  <si>
    <t>D00440</t>
  </si>
  <si>
    <t>D00441</t>
  </si>
  <si>
    <t>D00442</t>
  </si>
  <si>
    <t>D00444</t>
  </si>
  <si>
    <t>D00445</t>
  </si>
  <si>
    <t>D00446</t>
  </si>
  <si>
    <t>D00447</t>
  </si>
  <si>
    <t>D00448</t>
  </si>
  <si>
    <t>D00449</t>
  </si>
  <si>
    <t>D00450</t>
  </si>
  <si>
    <t>D00451</t>
  </si>
  <si>
    <t>D00452</t>
  </si>
  <si>
    <t>D00454</t>
  </si>
  <si>
    <t>D00455</t>
  </si>
  <si>
    <t>D00456</t>
  </si>
  <si>
    <t>D00457</t>
  </si>
  <si>
    <t>D00458</t>
  </si>
  <si>
    <t>D00459</t>
  </si>
  <si>
    <t>D00460</t>
  </si>
  <si>
    <t>D00461</t>
  </si>
  <si>
    <t>D00462</t>
  </si>
  <si>
    <t>D00463</t>
  </si>
  <si>
    <t>D00464</t>
  </si>
  <si>
    <t>D00465</t>
  </si>
  <si>
    <t>D00466</t>
  </si>
  <si>
    <t>D00467</t>
  </si>
  <si>
    <t>D00468</t>
  </si>
  <si>
    <t>D00469</t>
  </si>
  <si>
    <t>D00470</t>
  </si>
  <si>
    <t>D00471</t>
  </si>
  <si>
    <t>D00472</t>
  </si>
  <si>
    <t>D00473</t>
  </si>
  <si>
    <t>D00474</t>
  </si>
  <si>
    <t>D00475</t>
  </si>
  <si>
    <t>D00476</t>
  </si>
  <si>
    <t>D00477</t>
  </si>
  <si>
    <t>D00478</t>
  </si>
  <si>
    <t>D00479</t>
  </si>
  <si>
    <t>D00480</t>
  </si>
  <si>
    <t>D00481</t>
  </si>
  <si>
    <t>D00482</t>
  </si>
  <si>
    <t>D00483</t>
  </si>
  <si>
    <t>D00484</t>
  </si>
  <si>
    <t>D00485</t>
  </si>
  <si>
    <t>D00486</t>
  </si>
  <si>
    <t>D00487</t>
  </si>
  <si>
    <t>D00488</t>
  </si>
  <si>
    <t>D00489</t>
  </si>
  <si>
    <t>D00490</t>
  </si>
  <si>
    <t>D00491</t>
  </si>
  <si>
    <t>D00494</t>
  </si>
  <si>
    <t>D00495</t>
  </si>
  <si>
    <t>D00496</t>
  </si>
  <si>
    <t>D00497</t>
  </si>
  <si>
    <t>D00498</t>
  </si>
  <si>
    <t>D00499</t>
  </si>
  <si>
    <t>D00500</t>
  </si>
  <si>
    <t>D00501</t>
  </si>
  <si>
    <t>D00502</t>
  </si>
  <si>
    <t>D00504</t>
  </si>
  <si>
    <t>D00505</t>
  </si>
  <si>
    <t>D00506</t>
  </si>
  <si>
    <t>D00507</t>
  </si>
  <si>
    <t>D00508</t>
  </si>
  <si>
    <t>D00510</t>
  </si>
  <si>
    <t>D00511</t>
  </si>
  <si>
    <t>D00512</t>
  </si>
  <si>
    <t>D00513</t>
  </si>
  <si>
    <t>D00514</t>
  </si>
  <si>
    <t>D00517</t>
  </si>
  <si>
    <t>D00518</t>
  </si>
  <si>
    <t>D00519</t>
  </si>
  <si>
    <t>D00520</t>
  </si>
  <si>
    <t>D00521</t>
  </si>
  <si>
    <t>D00522</t>
  </si>
  <si>
    <t>D00523</t>
  </si>
  <si>
    <t>D00524</t>
  </si>
  <si>
    <t>D00525</t>
  </si>
  <si>
    <t>D00526</t>
  </si>
  <si>
    <t>D00529</t>
  </si>
  <si>
    <t>D00530</t>
  </si>
  <si>
    <t>D00531</t>
  </si>
  <si>
    <t>D00532</t>
  </si>
  <si>
    <t>D00533</t>
  </si>
  <si>
    <t>D00534</t>
  </si>
  <si>
    <t>D00535</t>
  </si>
  <si>
    <t>D00536</t>
  </si>
  <si>
    <t>D00537</t>
  </si>
  <si>
    <t>D00539</t>
  </si>
  <si>
    <t>D00540</t>
  </si>
  <si>
    <t>D00541</t>
  </si>
  <si>
    <t>D00542</t>
  </si>
  <si>
    <t>D00543</t>
  </si>
  <si>
    <t>D00544</t>
  </si>
  <si>
    <t>D00545</t>
  </si>
  <si>
    <t>D00546</t>
  </si>
  <si>
    <t>D00547</t>
  </si>
  <si>
    <t>D00548</t>
  </si>
  <si>
    <t>D00549</t>
  </si>
  <si>
    <t>D00550</t>
  </si>
  <si>
    <t>D00551</t>
  </si>
  <si>
    <t>D00552</t>
  </si>
  <si>
    <t>D00553</t>
  </si>
  <si>
    <t>D00554</t>
  </si>
  <si>
    <t>D00558</t>
  </si>
  <si>
    <t>D00559</t>
  </si>
  <si>
    <t>D00560</t>
  </si>
  <si>
    <t>D00561</t>
  </si>
  <si>
    <t>D00562</t>
  </si>
  <si>
    <t>D00563</t>
  </si>
  <si>
    <t>D00564</t>
  </si>
  <si>
    <t>D00565</t>
  </si>
  <si>
    <t>D00566</t>
  </si>
  <si>
    <t>D00567</t>
  </si>
  <si>
    <t>D00568</t>
  </si>
  <si>
    <t>D00569</t>
  </si>
  <si>
    <t>D00570</t>
  </si>
  <si>
    <t>D00571</t>
  </si>
  <si>
    <t>D00572</t>
  </si>
  <si>
    <t>D00573</t>
  </si>
  <si>
    <t>D00574</t>
  </si>
  <si>
    <t>D00575</t>
  </si>
  <si>
    <t>D00577</t>
  </si>
  <si>
    <t>D00578</t>
  </si>
  <si>
    <t>D00579</t>
  </si>
  <si>
    <t>D00580</t>
  </si>
  <si>
    <t>D00581</t>
  </si>
  <si>
    <t>D00582</t>
  </si>
  <si>
    <t>D00583</t>
  </si>
  <si>
    <t>D00586</t>
  </si>
  <si>
    <t>D00587</t>
  </si>
  <si>
    <t>D00588</t>
  </si>
  <si>
    <t>VP Pricing</t>
  </si>
  <si>
    <t>D00589</t>
  </si>
  <si>
    <t>D00590</t>
  </si>
  <si>
    <t>D00591</t>
  </si>
  <si>
    <t>D00592</t>
  </si>
  <si>
    <t>D00593</t>
  </si>
  <si>
    <t>D00594</t>
  </si>
  <si>
    <t>D00595</t>
  </si>
  <si>
    <t>D00596</t>
  </si>
  <si>
    <t>D00597</t>
  </si>
  <si>
    <t>D00598</t>
  </si>
  <si>
    <t>D00600</t>
  </si>
  <si>
    <t>D00601</t>
  </si>
  <si>
    <t>D00602</t>
  </si>
  <si>
    <t>D00603</t>
  </si>
  <si>
    <t>D00604</t>
  </si>
  <si>
    <t>D00605</t>
  </si>
  <si>
    <t>D00606</t>
  </si>
  <si>
    <t>D00607</t>
  </si>
  <si>
    <t>D00608</t>
  </si>
  <si>
    <t>D00609</t>
  </si>
  <si>
    <t>D00611</t>
  </si>
  <si>
    <t>D00612</t>
  </si>
  <si>
    <t>D00613</t>
  </si>
  <si>
    <t>D00614</t>
  </si>
  <si>
    <t>D00615</t>
  </si>
  <si>
    <t>D00617</t>
  </si>
  <si>
    <t>D00618</t>
  </si>
  <si>
    <t>D00619</t>
  </si>
  <si>
    <t>D00620</t>
  </si>
  <si>
    <t>D00621</t>
  </si>
  <si>
    <t>D00622</t>
  </si>
  <si>
    <t>D00623</t>
  </si>
  <si>
    <t>D00624</t>
  </si>
  <si>
    <t>D00625</t>
  </si>
  <si>
    <t>D00626</t>
  </si>
  <si>
    <t>D00627</t>
  </si>
  <si>
    <t>D00629</t>
  </si>
  <si>
    <t>D00630</t>
  </si>
  <si>
    <t>D00631</t>
  </si>
  <si>
    <t>D00632</t>
  </si>
  <si>
    <t>D00633</t>
  </si>
  <si>
    <t>D00634</t>
  </si>
  <si>
    <t>D00635</t>
  </si>
  <si>
    <t>D00636</t>
  </si>
  <si>
    <t>D00637</t>
  </si>
  <si>
    <t>D00639</t>
  </si>
  <si>
    <t>D00640</t>
  </si>
  <si>
    <t>D00641</t>
  </si>
  <si>
    <t>D00643</t>
  </si>
  <si>
    <t>D00644</t>
  </si>
  <si>
    <t>D00645</t>
  </si>
  <si>
    <t>D00646</t>
  </si>
  <si>
    <t>D00647</t>
  </si>
  <si>
    <t>D00648</t>
  </si>
  <si>
    <t>D00650</t>
  </si>
  <si>
    <t>D00651</t>
  </si>
  <si>
    <t>D00652</t>
  </si>
  <si>
    <t>D00653</t>
  </si>
  <si>
    <t>D00654</t>
  </si>
  <si>
    <t>D00655</t>
  </si>
  <si>
    <t>D00656</t>
  </si>
  <si>
    <t>D00659</t>
  </si>
  <si>
    <t>D00661</t>
  </si>
  <si>
    <t>D00662</t>
  </si>
  <si>
    <t>D00663</t>
  </si>
  <si>
    <t>D00664</t>
  </si>
  <si>
    <t>D00666</t>
  </si>
  <si>
    <t>D00667</t>
  </si>
  <si>
    <t>D00668</t>
  </si>
  <si>
    <t>D00669</t>
  </si>
  <si>
    <t>D00670</t>
  </si>
  <si>
    <t>D00671</t>
  </si>
  <si>
    <t>D00672</t>
  </si>
  <si>
    <t>D00673</t>
  </si>
  <si>
    <t>D00674</t>
  </si>
  <si>
    <t>D00675</t>
  </si>
  <si>
    <t>D00676</t>
  </si>
  <si>
    <t>D00677</t>
  </si>
  <si>
    <t>D00678</t>
  </si>
  <si>
    <t>D00679</t>
  </si>
  <si>
    <t>D00680</t>
  </si>
  <si>
    <t>D00682</t>
  </si>
  <si>
    <t>D00683</t>
  </si>
  <si>
    <t>D00684</t>
  </si>
  <si>
    <t>D00685</t>
  </si>
  <si>
    <t>D00686</t>
  </si>
  <si>
    <t>D00687</t>
  </si>
  <si>
    <t>D00688</t>
  </si>
  <si>
    <t>D00689</t>
  </si>
  <si>
    <t>D00690</t>
  </si>
  <si>
    <t>D00691</t>
  </si>
  <si>
    <t>D00692</t>
  </si>
  <si>
    <t>D00693</t>
  </si>
  <si>
    <t>D00694</t>
  </si>
  <si>
    <t>D00695</t>
  </si>
  <si>
    <t>D00696</t>
  </si>
  <si>
    <t>D00697</t>
  </si>
  <si>
    <t>D00698</t>
  </si>
  <si>
    <t>D00699</t>
  </si>
  <si>
    <t>D00700</t>
  </si>
  <si>
    <t>D00701</t>
  </si>
  <si>
    <t>D00702</t>
  </si>
  <si>
    <t>D00703</t>
  </si>
  <si>
    <t>D00704</t>
  </si>
  <si>
    <t>D00705</t>
  </si>
  <si>
    <t>D00706</t>
  </si>
  <si>
    <t>D00707</t>
  </si>
  <si>
    <t>D00708</t>
  </si>
  <si>
    <t>D00709</t>
  </si>
  <si>
    <t>D00710</t>
  </si>
  <si>
    <t>D00711</t>
  </si>
  <si>
    <t>D00712</t>
  </si>
  <si>
    <t>D00713</t>
  </si>
  <si>
    <t>D00714</t>
  </si>
  <si>
    <t>D00715</t>
  </si>
  <si>
    <t>D00717</t>
  </si>
  <si>
    <t>D00718</t>
  </si>
  <si>
    <t>D00719</t>
  </si>
  <si>
    <t>D00720</t>
  </si>
  <si>
    <t>D00721</t>
  </si>
  <si>
    <t>D00723</t>
  </si>
  <si>
    <t>D00724</t>
  </si>
  <si>
    <t>Pricing Policy</t>
  </si>
  <si>
    <t>Policy_Area</t>
  </si>
  <si>
    <t>Rule</t>
  </si>
  <si>
    <t>Threshold</t>
  </si>
  <si>
    <t>Unit</t>
  </si>
  <si>
    <t>Rationale</t>
  </si>
  <si>
    <t>Status</t>
  </si>
  <si>
    <t>Discount authority</t>
  </si>
  <si>
    <t>Sales Manager maximum</t>
  </si>
  <si>
    <t>%</t>
  </si>
  <si>
    <t>Routine flexibility</t>
  </si>
  <si>
    <t>Pricing Analyst maximum</t>
  </si>
  <si>
    <t>Moderate exceptions</t>
  </si>
  <si>
    <t>Business Manager maximum</t>
  </si>
  <si>
    <t>High-value exceptions</t>
  </si>
  <si>
    <t>VP Pricing required above</t>
  </si>
  <si>
    <t>Extreme concessions</t>
  </si>
  <si>
    <t>Margin</t>
  </si>
  <si>
    <t>Target gross margin</t>
  </si>
  <si>
    <t>Normal profitability target</t>
  </si>
  <si>
    <t>Hard gross margin floor</t>
  </si>
  <si>
    <t>Below this requires executive exception</t>
  </si>
  <si>
    <t>Lifecycle</t>
  </si>
  <si>
    <t>Expansion requires active contract</t>
  </si>
  <si>
    <t>Boolean</t>
  </si>
  <si>
    <t>Prevents invalid expansion records</t>
  </si>
  <si>
    <t>Win-back requires prior lost/churn event</t>
  </si>
  <si>
    <t>Separates returning customers from new business</t>
  </si>
  <si>
    <t>Analyst Model — Formula-Driven Fields</t>
  </si>
  <si>
    <t>Customer_Tenure_Years</t>
  </si>
  <si>
    <t>Price_Realization</t>
  </si>
  <si>
    <t>Discount_Gap</t>
  </si>
  <si>
    <t>Margin_Floor_Flag</t>
  </si>
  <si>
    <t>Discount_Exception_Flag</t>
  </si>
  <si>
    <t>Policy_Compliance_Flag</t>
  </si>
  <si>
    <t>AOV_Eligible</t>
  </si>
  <si>
    <t>Realized_Margin</t>
  </si>
  <si>
    <t>Customer_Product_Count</t>
  </si>
  <si>
    <t>Data Dictionary</t>
  </si>
  <si>
    <t>Field</t>
  </si>
  <si>
    <t>Level</t>
  </si>
  <si>
    <t>Definition</t>
  </si>
  <si>
    <t>Example</t>
  </si>
  <si>
    <t>Why It Matters</t>
  </si>
  <si>
    <t>Raw or Derived</t>
  </si>
  <si>
    <t>Unique customer/company identifier</t>
  </si>
  <si>
    <t>Links all contracts and opportunities</t>
  </si>
  <si>
    <t>Raw</t>
  </si>
  <si>
    <t>Contract</t>
  </si>
  <si>
    <t>Unique agreement identifier</t>
  </si>
  <si>
    <t>Separates multiple same-product contracts</t>
  </si>
  <si>
    <t>Opportunity</t>
  </si>
  <si>
    <t>Unique commercial negotiation</t>
  </si>
  <si>
    <t>D00001</t>
  </si>
  <si>
    <t>Primary key for opportunities</t>
  </si>
  <si>
    <t>First relationship date with NexusAI</t>
  </si>
  <si>
    <t>05/01/2019</t>
  </si>
  <si>
    <t>Used to calculate tenure</t>
  </si>
  <si>
    <t>Deal</t>
  </si>
  <si>
    <t>Years from Customer_Since to Deal_Date</t>
  </si>
  <si>
    <t>5.2</t>
  </si>
  <si>
    <t>Relationship age at each deal</t>
  </si>
  <si>
    <t>Derived</t>
  </si>
  <si>
    <t>Deal/Contract</t>
  </si>
  <si>
    <t>Length of this specific agreement</t>
  </si>
  <si>
    <t>2</t>
  </si>
  <si>
    <t>Different renewals can have different terms</t>
  </si>
  <si>
    <t>New Business, Renewal, Expansion, or Win-back</t>
  </si>
  <si>
    <t>Defines lifecycle stage</t>
  </si>
  <si>
    <t>What grew within an active contract</t>
  </si>
  <si>
    <t>Explains expansion economics</t>
  </si>
  <si>
    <t>Final Price divided by List ACV</t>
  </si>
  <si>
    <t>82%</t>
  </si>
  <si>
    <t>Share of list value captured</t>
  </si>
  <si>
    <t>Count of same customer-product opportunities</t>
  </si>
  <si>
    <t>3</t>
  </si>
  <si>
    <t>Helps identify repeat product activity</t>
  </si>
  <si>
    <t>Yes when returning after churn/lost renewal</t>
  </si>
  <si>
    <t>Prevents win-backs being counted as new business</t>
  </si>
  <si>
    <t>Lifecycle Rules</t>
  </si>
  <si>
    <t>Previous State</t>
  </si>
  <si>
    <t>Current Deal Type</t>
  </si>
  <si>
    <t>Allowed?</t>
  </si>
  <si>
    <t>Meaning</t>
  </si>
  <si>
    <t>Required Condition</t>
  </si>
  <si>
    <t>No contract</t>
  </si>
  <si>
    <t>First purchase</t>
  </si>
  <si>
    <t>No prior active contract for that Contract_ID</t>
  </si>
  <si>
    <t>First Analytics purchase</t>
  </si>
  <si>
    <t>Active contract</t>
  </si>
  <si>
    <t>Continuation</t>
  </si>
  <si>
    <t>Contract is active and term is ending</t>
  </si>
  <si>
    <t>Annual renewal</t>
  </si>
  <si>
    <t>Growth</t>
  </si>
  <si>
    <t>Contract is active</t>
  </si>
  <si>
    <t>More seats or module</t>
  </si>
  <si>
    <t>Churned/lost renewal</t>
  </si>
  <si>
    <t>Customer returns</t>
  </si>
  <si>
    <t>Prior lost/churn event exists</t>
  </si>
  <si>
    <t>Returns six months later</t>
  </si>
  <si>
    <t>No for same Contract_ID</t>
  </si>
  <si>
    <t>Would misclassify existing relationship</t>
  </si>
  <si>
    <t>Use Expansion or separate Contract_ID</t>
  </si>
  <si>
    <t>Second division needs own contract</t>
  </si>
  <si>
    <t>No active contract</t>
  </si>
  <si>
    <t>Cannot expand absent active base</t>
  </si>
  <si>
    <t>Must first win New Business or Win-back</t>
  </si>
  <si>
    <t>Invalid sequence</t>
  </si>
  <si>
    <t>Dataset Overview</t>
  </si>
  <si>
    <t>KPI</t>
  </si>
  <si>
    <t>Value</t>
  </si>
  <si>
    <t>Deal Type</t>
  </si>
  <si>
    <t>Opportunities</t>
  </si>
  <si>
    <t>Win Rate</t>
  </si>
  <si>
    <t>Avg Discount</t>
  </si>
  <si>
    <t>Avg GM</t>
  </si>
  <si>
    <t>Customers</t>
  </si>
  <si>
    <t>Contracts</t>
  </si>
  <si>
    <t>Won Deals</t>
  </si>
  <si>
    <t>Realized Revenue</t>
  </si>
  <si>
    <t>Average Order Value</t>
  </si>
  <si>
    <t>Realized Gross Margin</t>
  </si>
  <si>
    <t>Check_ID</t>
  </si>
  <si>
    <t>Validation Check</t>
  </si>
  <si>
    <t>Business Rule</t>
  </si>
  <si>
    <t>Formula/Method</t>
  </si>
  <si>
    <t>Records Flagged</t>
  </si>
  <si>
    <t>Outcome</t>
  </si>
  <si>
    <t>Action</t>
  </si>
  <si>
    <t>Check for deal ID duplicates</t>
  </si>
  <si>
    <t>Every opportunity must have a unique Deal_ID</t>
  </si>
  <si>
    <t>Pass</t>
  </si>
  <si>
    <t>Deal Id Duplication</t>
  </si>
  <si>
    <t>COUNTIF across Deals_Raw!A5:A643</t>
  </si>
  <si>
    <t>None</t>
  </si>
  <si>
    <t>Contract ID check for ay missing cell</t>
  </si>
  <si>
    <t>Every opportunity must map to a valid contract</t>
  </si>
  <si>
    <r>
      <t xml:space="preserve">Visual inspection of referenced </t>
    </r>
    <r>
      <rPr>
        <sz val="10"/>
        <rFont val="Arial Unicode MS"/>
      </rPr>
      <t>Contract_ID</t>
    </r>
    <r>
      <rPr>
        <sz val="11"/>
        <rFont val="Carlito"/>
      </rPr>
      <t xml:space="preserve"> column</t>
    </r>
  </si>
  <si>
    <t>Checking Final price</t>
  </si>
  <si>
    <t>Cross Check</t>
  </si>
  <si>
    <t>Cross check</t>
  </si>
  <si>
    <t>Column1</t>
  </si>
  <si>
    <t>List_TCV</t>
  </si>
  <si>
    <t>Final_Price_ACV</t>
  </si>
  <si>
    <t>Final_Price_TCV</t>
  </si>
  <si>
    <t>The dataset excludes one-time implementation and onboarding fees. Therefore, List ACV represents the annual recurring list value of the software subscription only.</t>
  </si>
  <si>
    <r>
      <t xml:space="preserve">Annual Final Price should equal </t>
    </r>
    <r>
      <rPr>
        <b/>
        <sz val="11"/>
        <rFont val="Carlito"/>
      </rPr>
      <t>List ACV × (1 − Approved Discount)</t>
    </r>
  </si>
  <si>
    <t>Recalculated Final Price using Excel formula and compared against stored Final Price.</t>
  </si>
  <si>
    <t>Annual Final Price</t>
  </si>
  <si>
    <t>Validated_Annual_Final_Price</t>
  </si>
  <si>
    <t>Validated_Total_Final_Price2</t>
  </si>
  <si>
    <t>Identified a systematic reconciliation error. The stored Final Price values do not consistently match the published List ACV and Approved Discount. The discrepancy was attributed to internal dataset calculations rather than a pricing policy issue. Documented the finding and preserved the source data without overwriting it.Created a new AM and AN columns with validated annual final price and validated total final price</t>
  </si>
  <si>
    <t>Checking requested discount</t>
  </si>
  <si>
    <t xml:space="preserve">Checking approved discount </t>
  </si>
  <si>
    <t xml:space="preserve">Checking discount validator </t>
  </si>
  <si>
    <t>Checking if req=&lt;approved</t>
  </si>
  <si>
    <t>W531</t>
  </si>
  <si>
    <t>W520</t>
  </si>
  <si>
    <t>Discount Threshold &amp; Approval Authority Compliance</t>
  </si>
  <si>
    <t>Approved discounts must fall within the organization's pricing approval thresholds and be authorized by the appropriate approval level.</t>
  </si>
  <si>
    <r>
      <t xml:space="preserve">Compared </t>
    </r>
    <r>
      <rPr>
        <sz val="10"/>
        <rFont val="Arial Unicode MS"/>
      </rPr>
      <t>Discount_Approved</t>
    </r>
    <r>
      <rPr>
        <sz val="11"/>
        <rFont val="Carlito"/>
      </rPr>
      <t xml:space="preserve"> against the defined approval matrix (Sales Manager ≤10%, Pricing Analyst &gt;10–20%, Business Manager &gt;20–28%, VP Pricing &gt;28%).</t>
    </r>
  </si>
  <si>
    <t>0 policy violations (2 VP-approved high-discount deals identified: 33.9% and 34.1%)</t>
  </si>
  <si>
    <t>All discounts complied with the approval policy. Two executive-approved high-discount deals were identified and flagged for downstream pricing analysis to evaluate whether the additional concessions were commercially justified or if pricing leverage remained on the table.</t>
  </si>
  <si>
    <t>Validated_Grossprofit</t>
  </si>
  <si>
    <t>Validated_GrossMargin</t>
  </si>
  <si>
    <t>Gross Profit and Margin Reconciliation</t>
  </si>
  <si>
    <t>Gross Profit must equal Validated Annual Final Price − Cost to Serve.</t>
  </si>
  <si>
    <t>Recalculated Gross Profit using validated selling price and compared against stored Gross Profit.</t>
  </si>
  <si>
    <t xml:space="preserve">  ---</t>
  </si>
  <si>
    <t xml:space="preserve">  -----</t>
  </si>
  <si>
    <t xml:space="preserve">     ------</t>
  </si>
  <si>
    <t>Gross margin check</t>
  </si>
  <si>
    <t>Min Gross margin check</t>
  </si>
  <si>
    <t>AP568</t>
  </si>
  <si>
    <t>Gross Margin Floor Compliance</t>
  </si>
  <si>
    <t>Proposed Gross Margin should not fall below the company's minimum pricing floor of 45%.</t>
  </si>
  <si>
    <t>Compared Proposed_Gross_Margin against the 45% policy threshold using an IF statement to identify deals below the margin floor.</t>
  </si>
  <si>
    <t>1 deal (AP568)</t>
  </si>
  <si>
    <r>
      <t xml:space="preserve">One deal (AP568) with a gross margin of </t>
    </r>
    <r>
      <rPr>
        <b/>
        <sz val="11"/>
        <rFont val="Carlito"/>
      </rPr>
      <t>44.7%</t>
    </r>
    <r>
      <rPr>
        <sz val="11"/>
        <rFont val="Carlito"/>
      </rPr>
      <t xml:space="preserve"> was identified below the pricing policy floor. The deal has been flagged for commercial review to determine whether the reduced margin was strategically justified (e.g., competitive pressure, strategic account, renewal retention, or executive approval). The remaining deals complied with the company's minimum margin policy.</t>
    </r>
  </si>
  <si>
    <t>Review (Commercial policy exception)</t>
  </si>
  <si>
    <t>Deal status</t>
  </si>
  <si>
    <t>updated Validated_Annual_Final_Price</t>
  </si>
  <si>
    <t>updated Validated_Total_Final_Price2</t>
  </si>
  <si>
    <t>updated Validated_Grossprofit</t>
  </si>
  <si>
    <t xml:space="preserve">Updated Validated GrossMargin </t>
  </si>
  <si>
    <t>Gross Annual Revenue</t>
  </si>
  <si>
    <t>Total Gross Profit</t>
  </si>
  <si>
    <t>Discount Band</t>
  </si>
  <si>
    <t>Total Deals</t>
  </si>
  <si>
    <t>Average Gross Margin</t>
  </si>
  <si>
    <t>Approved discount band</t>
  </si>
  <si>
    <t>AVERAGEIFS($AT:$AT, $AU:$AU, AU5, $AV:$AV, "Won")</t>
  </si>
  <si>
    <t>Discounting showed no consistent linear relationship with win rate. The 15–20% band delivered the highest win rate among bands with meaningful deal volume, while the 10–15% band underperformed despite higher concessions than lower bands. Extreme discount bands contained too few observations to support a broad pricing-policy change. Further analysis by product and deal type is required to determine whether the observed pattern reflects discount effectiveness or differences in customer and product mix.</t>
  </si>
  <si>
    <t>Discount Band Performance</t>
  </si>
  <si>
    <t>Evaluate whether increasing discounts improve commercial win rates while maintaining healthy margins.</t>
  </si>
  <si>
    <t>Grouped deals into discount bands (0–5%, 5–10%, …, &gt;30%). Calculated Total Deals, Won Deals, Win Rate, and Average Gross Margin for each band.</t>
  </si>
  <si>
    <t>Gross Margin by Discount Band</t>
  </si>
  <si>
    <t>Assess whether higher discounts erode realized profitability.</t>
  </si>
  <si>
    <t>Calculated the average validated gross margin for won deals within each discount band.</t>
  </si>
  <si>
    <t>Analysis</t>
  </si>
  <si>
    <t>Objective</t>
  </si>
  <si>
    <t>Method</t>
  </si>
  <si>
    <t xml:space="preserve">Finding </t>
  </si>
  <si>
    <t>Business Insight</t>
  </si>
  <si>
    <t>Average gross margins remained relatively stable (≈60–62%) across most discount bands, with only the &gt;30% band averaging 59.2%.</t>
  </si>
  <si>
    <t>The relationship between approved discounts and realized gross margin was weaker than expected. This suggests that factors such as product mix, customer segment, or cost structure may have a greater influence on profitability than discount level alone. Further analysis should isolate these variables before modifying discount policies.</t>
  </si>
  <si>
    <t>To be investigated later: Higher-discount deals may also have lower costs to serve, allowing margins to remain healthy.
Product mix matters. Enterprise Suite may naturally have higher margins than AI Assistant, even after larger discounts.
Large customers receive bigger discounts but buy many more seats, preserving profitability.
Different products have different base margins, masking the effect of discounting.</t>
  </si>
  <si>
    <t>Avg Approved Discount</t>
  </si>
  <si>
    <t>Avg Annual Final Price</t>
  </si>
  <si>
    <t>Total Revenue</t>
  </si>
  <si>
    <t>Avg Gross Margin</t>
  </si>
  <si>
    <t>Revenue Share</t>
  </si>
  <si>
    <t>Total revenue (company)</t>
  </si>
  <si>
    <t>Product Commercial &amp; Financial Performance</t>
  </si>
  <si>
    <t>Evaluate the commercial success, pricing effectiveness, and financial contribution of each product to identify pricing power and optimization opportunities.</t>
  </si>
  <si>
    <r>
      <t xml:space="preserve">Aggregated all opportunities by product. Calculated Total Deals, Won Deals, Win Rate, Average Approved Discount, Average Annual Final Price, Total Revenue, Revenue Share, Average Gross Margin, and Total Gross Profit using </t>
    </r>
    <r>
      <rPr>
        <sz val="10"/>
        <rFont val="Arial Unicode MS"/>
      </rPr>
      <t>COUNTIF</t>
    </r>
    <r>
      <rPr>
        <sz val="11"/>
        <rFont val="Carlito"/>
      </rPr>
      <t xml:space="preserve">, </t>
    </r>
    <r>
      <rPr>
        <sz val="10"/>
        <rFont val="Arial Unicode MS"/>
      </rPr>
      <t>COUNTIFS</t>
    </r>
    <r>
      <rPr>
        <sz val="11"/>
        <rFont val="Carlito"/>
      </rPr>
      <t xml:space="preserve">, </t>
    </r>
    <r>
      <rPr>
        <sz val="10"/>
        <rFont val="Arial Unicode MS"/>
      </rPr>
      <t>AVERAGEIFS</t>
    </r>
    <r>
      <rPr>
        <sz val="11"/>
        <rFont val="Carlito"/>
      </rPr>
      <t xml:space="preserve">, and </t>
    </r>
    <r>
      <rPr>
        <sz val="10"/>
        <rFont val="Arial Unicode MS"/>
      </rPr>
      <t>SUMIFS</t>
    </r>
    <r>
      <rPr>
        <sz val="11"/>
        <rFont val="Carlito"/>
      </rPr>
      <t xml:space="preserve"> functions for won deals.</t>
    </r>
  </si>
  <si>
    <r>
      <t xml:space="preserve">Nexus Enterprise Suite generated the largest financial contribution, accounting for approximately </t>
    </r>
    <r>
      <rPr>
        <b/>
        <sz val="11"/>
        <rFont val="Carlito"/>
      </rPr>
      <t>48% of total company revenue</t>
    </r>
    <r>
      <rPr>
        <sz val="11"/>
        <rFont val="Carlito"/>
      </rPr>
      <t xml:space="preserve"> while receiving the </t>
    </r>
    <r>
      <rPr>
        <b/>
        <sz val="11"/>
        <rFont val="Carlito"/>
      </rPr>
      <t>lowest average approved discount (10.4%)</t>
    </r>
    <r>
      <rPr>
        <sz val="11"/>
        <rFont val="Carlito"/>
      </rPr>
      <t xml:space="preserve">. Nexus Insights achieved the </t>
    </r>
    <r>
      <rPr>
        <b/>
        <sz val="11"/>
        <rFont val="Carlito"/>
      </rPr>
      <t>highest win rate (75%)</t>
    </r>
    <r>
      <rPr>
        <sz val="11"/>
        <rFont val="Carlito"/>
      </rPr>
      <t xml:space="preserve"> and </t>
    </r>
    <r>
      <rPr>
        <b/>
        <sz val="11"/>
        <rFont val="Carlito"/>
      </rPr>
      <t>highest gross margin (67.0%)</t>
    </r>
    <r>
      <rPr>
        <sz val="11"/>
        <rFont val="Carlito"/>
      </rPr>
      <t xml:space="preserve">. Nexus AI Assistant recorded the </t>
    </r>
    <r>
      <rPr>
        <b/>
        <sz val="11"/>
        <rFont val="Carlito"/>
      </rPr>
      <t>lowest win rate (62.8%)</t>
    </r>
    <r>
      <rPr>
        <sz val="11"/>
        <rFont val="Carlito"/>
      </rPr>
      <t xml:space="preserve">, </t>
    </r>
    <r>
      <rPr>
        <b/>
        <sz val="11"/>
        <rFont val="Carlito"/>
      </rPr>
      <t>lowest gross margin (55.2%)</t>
    </r>
    <r>
      <rPr>
        <sz val="11"/>
        <rFont val="Carlito"/>
      </rPr>
      <t xml:space="preserve">, and contributed only </t>
    </r>
    <r>
      <rPr>
        <b/>
        <sz val="11"/>
        <rFont val="Carlito"/>
      </rPr>
      <t>8% of total revenue</t>
    </r>
    <r>
      <rPr>
        <sz val="11"/>
        <rFont val="Carlito"/>
      </rPr>
      <t>.</t>
    </r>
  </si>
  <si>
    <t>Enterprise Suite demonstrates the strongest pricing power and serves as the company's primary revenue driver. Nexus Insights exhibits excellent commercial performance and profitability, indicating strong customer value perception. In contrast, Nexus AI Assistant underperforms commercially and financially despite discounts comparable to other products, suggesting that factors beyond pricing—such as competitive positioning or product value proposition—should be investigated before increasing discount levels.</t>
  </si>
  <si>
    <r>
      <t xml:space="preserve">Revenue Share was calculated as each product's realized revenue divided by total portfolio realized revenue. All commercial and financial metrics were based on </t>
    </r>
    <r>
      <rPr>
        <b/>
        <sz val="11"/>
        <rFont val="Carlito"/>
      </rPr>
      <t>won deals only</t>
    </r>
    <r>
      <rPr>
        <sz val="11"/>
        <rFont val="Carlito"/>
      </rPr>
      <t xml:space="preserve"> to reflect realized business performance.</t>
    </r>
  </si>
  <si>
    <t>Deal type X Product</t>
  </si>
  <si>
    <t>Product Lifecycle Pricing Analysis</t>
  </si>
  <si>
    <t>Evaluate how pricing strategy, commercial performance, and profitability vary across New Business, Renewal, Expansion, and Win-back opportunities for each product.</t>
  </si>
  <si>
    <r>
      <t xml:space="preserve">Grouped opportunities by Product × Deal Type. Calculated Won Deals, Win Rate, Average Approved Discount, Average Annual Final Price, Revenue, Revenue Share, Gross Margin, and Gross Profit using </t>
    </r>
    <r>
      <rPr>
        <sz val="10"/>
        <rFont val="Arial Unicode MS"/>
      </rPr>
      <t>COUNTIFS</t>
    </r>
    <r>
      <rPr>
        <sz val="11"/>
        <rFont val="Carlito"/>
      </rPr>
      <t xml:space="preserve">, </t>
    </r>
    <r>
      <rPr>
        <sz val="10"/>
        <rFont val="Arial Unicode MS"/>
      </rPr>
      <t>AVERAGEIFS</t>
    </r>
    <r>
      <rPr>
        <sz val="11"/>
        <rFont val="Carlito"/>
      </rPr>
      <t xml:space="preserve">, and </t>
    </r>
    <r>
      <rPr>
        <sz val="10"/>
        <rFont val="Arial Unicode MS"/>
      </rPr>
      <t>SUMIFS</t>
    </r>
    <r>
      <rPr>
        <sz val="11"/>
        <rFont val="Carlito"/>
      </rPr>
      <t xml:space="preserve"> for won opportunities.</t>
    </r>
  </si>
  <si>
    <r>
      <t xml:space="preserve">Renewal and Expansion opportunities consistently achieved substantially higher win rates than New Business opportunities across every product. Expansion deals combined the </t>
    </r>
    <r>
      <rPr>
        <b/>
        <sz val="11"/>
        <rFont val="Carlito"/>
      </rPr>
      <t>highest win rates</t>
    </r>
    <r>
      <rPr>
        <sz val="11"/>
        <rFont val="Carlito"/>
      </rPr>
      <t xml:space="preserve"> with some of the </t>
    </r>
    <r>
      <rPr>
        <b/>
        <sz val="11"/>
        <rFont val="Carlito"/>
      </rPr>
      <t>lowest average discounts</t>
    </r>
    <r>
      <rPr>
        <sz val="11"/>
        <rFont val="Carlito"/>
      </rPr>
      <t xml:space="preserve">, while New Business required relatively higher discounts yet produced the weakest conversion rates. Enterprise Suite Renewals alone generated </t>
    </r>
    <r>
      <rPr>
        <b/>
        <sz val="11"/>
        <rFont val="Carlito"/>
      </rPr>
      <t>29% of total company revenue</t>
    </r>
    <r>
      <rPr>
        <sz val="11"/>
        <rFont val="Carlito"/>
      </rPr>
      <t>, highlighting exceptional customer lifetime value.</t>
    </r>
  </si>
  <si>
    <t>Existing customer relationships exhibit significantly greater pricing power than first-time customer acquisition. The results support protecting renewal pricing discipline, prioritizing expansion opportunities, and reviewing the pricing or market positioning of new business offers—particularly for Nexus AI Assistant and Nexus Analytics, where acquisition win rates remain comparatively low despite competitive discounts.</t>
  </si>
  <si>
    <t>Win-back opportunities had relatively small sample sizes; therefore, their metrics should be interpreted cautiously and not generalized without additional data.</t>
  </si>
  <si>
    <t xml:space="preserve">Industry </t>
  </si>
  <si>
    <t>Company Size</t>
  </si>
  <si>
    <t>Strategic Account</t>
  </si>
  <si>
    <t>Industry X Company</t>
  </si>
  <si>
    <t>industry X Company size X Strategy</t>
  </si>
  <si>
    <t>Strategic Account Customer Segmentation</t>
  </si>
  <si>
    <t>Evaluate commercial performance and profitability across customer segments within strategic accounts to identify the highest-value customer profiles.</t>
  </si>
  <si>
    <r>
      <t xml:space="preserve">Segmented strategic-account opportunities by Industry and Company Size. Calculated Total Deals, Won Deals, Win Rate, Average Approved Discount, Average Annual Final Price, Revenue, Gross Margin, Gross Profit, and Revenue Share using </t>
    </r>
    <r>
      <rPr>
        <sz val="10"/>
        <rFont val="Arial Unicode MS"/>
      </rPr>
      <t>COUNTIFS</t>
    </r>
    <r>
      <rPr>
        <sz val="11"/>
        <rFont val="Carlito"/>
      </rPr>
      <t xml:space="preserve">, </t>
    </r>
    <r>
      <rPr>
        <sz val="10"/>
        <rFont val="Arial Unicode MS"/>
      </rPr>
      <t>SUMIFS</t>
    </r>
    <r>
      <rPr>
        <sz val="11"/>
        <rFont val="Carlito"/>
      </rPr>
      <t xml:space="preserve">, and </t>
    </r>
    <r>
      <rPr>
        <sz val="10"/>
        <rFont val="Arial Unicode MS"/>
      </rPr>
      <t>AVERAGEIFS</t>
    </r>
    <r>
      <rPr>
        <sz val="11"/>
        <rFont val="Carlito"/>
      </rPr>
      <t xml:space="preserve"> on won opportunities.</t>
    </r>
  </si>
  <si>
    <t>Enterprise strategic accounts in the Legal and Technology industries generated the largest revenue contributions, while Manufacturing Mid-Market achieved a 100% win rate on a small sample. Public Sector Enterprise recorded the lowest win rate (42.9%) despite relatively modest discounts.</t>
  </si>
  <si>
    <t>Strategic-account performance varies considerably across industries and company sizes. Legal and Technology Enterprise customers represent the company's strongest strategic segments and should remain high-priority targets for retention and growth. Lower-performing segments, such as Public Sector Enterprise, warrant additional investigation to determine whether pricing, competition, procurement processes, or customer-specific factors are affecting conversion.</t>
  </si>
  <si>
    <r>
      <t xml:space="preserve">Analysis includes </t>
    </r>
    <r>
      <rPr>
        <b/>
        <sz val="11"/>
        <rFont val="Carlito"/>
      </rPr>
      <t>Strategic Account = Yes</t>
    </r>
    <r>
      <rPr>
        <sz val="11"/>
        <rFont val="Carlito"/>
      </rPr>
      <t xml:space="preserve"> opportunities only. Revenue Share reflects the proportion of </t>
    </r>
    <r>
      <rPr>
        <b/>
        <sz val="11"/>
        <rFont val="Carlito"/>
      </rPr>
      <t>total company realized revenue</t>
    </r>
    <r>
      <rPr>
        <sz val="11"/>
        <rFont val="Carlito"/>
      </rPr>
      <t xml:space="preserve"> generated by each strategic customer segment and therefore is not expected to sum to 100%. Small sample segments should be interpreted with caution.</t>
    </r>
  </si>
  <si>
    <t>Potential Leakage</t>
  </si>
  <si>
    <t>Low</t>
  </si>
  <si>
    <t>Moderate</t>
  </si>
  <si>
    <t>Very Low</t>
  </si>
  <si>
    <t>High (Review)</t>
  </si>
  <si>
    <t>Price and Discount Leakage Assessment</t>
  </si>
  <si>
    <t>Identify products where approved discounts may be larger than commercially justified, or where pricing opportunities may exist based on win rate, profitability, and revenue contribution.</t>
  </si>
  <si>
    <t>Compared product-level average approved discount, win rate, average validated gross margin, and revenue share. Products were qualitatively classified based on whether discount concessions appeared proportionate to the resulting commercial and financial performance.</t>
  </si>
  <si>
    <r>
      <t>Nexus AI Assistant</t>
    </r>
    <r>
      <rPr>
        <sz val="11"/>
        <rFont val="Carlito"/>
      </rPr>
      <t xml:space="preserve"> emerged as the strongest potential leakage candidate, combining a 12.41% average discount with the lowest win rate (62.83%), lowest gross margin (55.16%), and only 8.08% of portfolio revenue. </t>
    </r>
    <r>
      <rPr>
        <b/>
        <sz val="11"/>
        <rFont val="Carlito"/>
      </rPr>
      <t>Nexus Analytics</t>
    </r>
    <r>
      <rPr>
        <sz val="11"/>
        <rFont val="Carlito"/>
      </rPr>
      <t xml:space="preserve"> showed moderate leakage risk because it had one of the highest average discounts (13.05%) but only moderate conversion. </t>
    </r>
    <r>
      <rPr>
        <b/>
        <sz val="11"/>
        <rFont val="Carlito"/>
      </rPr>
      <t>Enterprise Suite</t>
    </r>
    <r>
      <rPr>
        <sz val="11"/>
        <rFont val="Carlito"/>
      </rPr>
      <t xml:space="preserve"> showed very low leakage risk, generating 48% of revenue with the lowest average discount (10.42%) and a strong win rate. </t>
    </r>
    <r>
      <rPr>
        <b/>
        <sz val="11"/>
        <rFont val="Carlito"/>
      </rPr>
      <t>Nexus Insights</t>
    </r>
    <r>
      <rPr>
        <sz val="11"/>
        <rFont val="Carlito"/>
      </rPr>
      <t xml:space="preserve"> achieved the highest win rate and gross margin despite the highest average discount.</t>
    </r>
  </si>
  <si>
    <t>Additional discounting is unlikely to solve Nexus AI Assistant's weaker performance by itself; product positioning, perceived value, competitive pressure, and cost-to-serve should be investigated before granting larger concessions. Enterprise Suite demonstrates strong pricing power and should retain disciplined discount controls. Nexus Insights is not a clear leakage problem, but its strong conversion and profitability make it a candidate for controlled testing of tighter discounts or modest price increases.</t>
  </si>
  <si>
    <r>
      <t xml:space="preserve">Leakage classifications are </t>
    </r>
    <r>
      <rPr>
        <b/>
        <sz val="11"/>
        <rFont val="Carlito"/>
      </rPr>
      <t>directional rather than measured dollar losses</t>
    </r>
    <r>
      <rPr>
        <sz val="11"/>
        <rFont val="Carlito"/>
      </rPr>
      <t>. The available data does not establish the discount level at which each individual deal would still have been won. Product mix, deal type, customer segment, competitor pricing, and cost structure may influence the observed outcomes. Any pricing-policy change should be tested using controlled discount bands or deal-level elasticity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</si>
</sst>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8" formatCode="&quot;$&quot;#,##0.00_);[Red]\(&quot;$&quot;#,##0.00\)"/>
    <numFmt numFmtId="164" formatCode="mm/dd/yyyy"/>
    <numFmt numFmtId="165" formatCode="\$#,##0;[Red]\(\$#,##0\);\-"/>
    <numFmt numFmtId="166" formatCode="0.0%;[Red]\(0.0%\);\-"/>
    <numFmt numFmtId="167" formatCode="0.0"/>
  </numFmts>
  <fonts count="9">
    <font>
      <sz val="11"/>
      <name val="Carlito"/>
    </font>
    <font>
      <b/>
      <sz val="16"/>
      <color rgb="FFFFFFFF"/>
      <name val="Carlito"/>
    </font>
    <font>
      <b/>
      <sz val="11"/>
      <color rgb="FFFFFFFF"/>
      <name val="Carlito"/>
    </font>
    <font>
      <b/>
      <sz val="11"/>
      <color rgb="FF17365D"/>
      <name val="Carlito"/>
    </font>
    <font>
      <b/>
      <sz val="11"/>
      <name val="Carlito"/>
    </font>
    <font>
      <sz val="10"/>
      <name val="Arial Unicode MS"/>
    </font>
    <font>
      <b/>
      <sz val="11"/>
      <color theme="0"/>
      <name val="Carlito"/>
    </font>
    <font>
      <sz val="11"/>
      <name val="Carlito"/>
    </font>
    <font>
      <sz val="11"/>
      <color rgb="FF17365D"/>
      <name val="Carlito"/>
    </font>
  </fonts>
  <fills count="6">
    <fill>
      <patternFill patternType="none"/>
    </fill>
    <fill>
      <patternFill patternType="gray125"/>
    </fill>
    <fill>
      <patternFill patternType="solid">
        <fgColor rgb="FF17365D"/>
      </patternFill>
    </fill>
    <fill>
      <patternFill patternType="solid">
        <fgColor rgb="FF1F4E78"/>
      </patternFill>
    </fill>
    <fill>
      <patternFill patternType="solid">
        <fgColor rgb="FFD9EAF7"/>
      </patternFill>
    </fill>
    <fill>
      <patternFill patternType="solid">
        <fgColor theme="4"/>
        <bgColor theme="4"/>
      </patternFill>
    </fill>
  </fills>
  <borders count="4">
    <border>
      <left/>
      <right/>
      <top/>
      <bottom/>
      <diagonal/>
    </border>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9" fontId="7" fillId="0" borderId="0" applyFont="0" applyFill="0" applyBorder="0" applyAlignment="0" applyProtection="0"/>
  </cellStyleXfs>
  <cellXfs count="28">
    <xf numFmtId="0" fontId="0" fillId="0" borderId="0" xfId="0"/>
    <xf numFmtId="0" fontId="2" fillId="3" borderId="0" xfId="0" applyNumberFormat="1" applyFont="1" applyFill="1" applyBorder="1"/>
    <xf numFmtId="0" fontId="0" fillId="0" borderId="0" xfId="0" applyNumberFormat="1" applyFont="1" applyFill="1" applyBorder="1" applyAlignment="1">
      <alignment wrapText="1"/>
    </xf>
    <xf numFmtId="0" fontId="3" fillId="4" borderId="0" xfId="0" applyNumberFormat="1" applyFont="1" applyFill="1" applyBorder="1" applyAlignment="1">
      <alignment horizontal="center" vertical="center" wrapText="1"/>
    </xf>
    <xf numFmtId="0" fontId="3" fillId="4" borderId="1" xfId="0" applyNumberFormat="1" applyFont="1" applyFill="1" applyBorder="1" applyAlignment="1">
      <alignment horizontal="center" vertical="center" wrapText="1"/>
    </xf>
    <xf numFmtId="164" fontId="0" fillId="0" borderId="0" xfId="0" applyNumberFormat="1" applyFont="1" applyFill="1" applyBorder="1"/>
    <xf numFmtId="165" fontId="0" fillId="0" borderId="0" xfId="0" applyNumberFormat="1" applyFont="1" applyFill="1" applyBorder="1"/>
    <xf numFmtId="165" fontId="0" fillId="0" borderId="1" xfId="0" applyNumberFormat="1" applyFont="1" applyFill="1" applyBorder="1"/>
    <xf numFmtId="166" fontId="0" fillId="0" borderId="0" xfId="0" applyNumberFormat="1" applyFont="1" applyFill="1" applyBorder="1"/>
    <xf numFmtId="167" fontId="0" fillId="0" borderId="0" xfId="0" applyNumberFormat="1" applyFont="1" applyFill="1" applyBorder="1"/>
    <xf numFmtId="0" fontId="4" fillId="0" borderId="0" xfId="0" applyFont="1" applyAlignment="1">
      <alignment horizontal="center" vertical="center" wrapText="1"/>
    </xf>
    <xf numFmtId="0" fontId="0" fillId="0" borderId="0" xfId="0" applyAlignment="1">
      <alignment vertical="center" wrapText="1"/>
    </xf>
    <xf numFmtId="0" fontId="5" fillId="0" borderId="0" xfId="0" applyFont="1"/>
    <xf numFmtId="0" fontId="5" fillId="0" borderId="0" xfId="0" applyFont="1" applyAlignment="1">
      <alignment vertical="center" wrapText="1"/>
    </xf>
    <xf numFmtId="0" fontId="0" fillId="0" borderId="0" xfId="0" applyAlignment="1">
      <alignment wrapText="1"/>
    </xf>
    <xf numFmtId="0" fontId="6" fillId="5" borderId="3" xfId="0" applyFont="1" applyFill="1" applyBorder="1"/>
    <xf numFmtId="0" fontId="6" fillId="5" borderId="2" xfId="0" applyFont="1" applyFill="1" applyBorder="1"/>
    <xf numFmtId="0" fontId="0" fillId="0" borderId="0" xfId="0" applyNumberFormat="1"/>
    <xf numFmtId="0" fontId="1" fillId="2" borderId="0" xfId="0" applyNumberFormat="1" applyFont="1" applyFill="1" applyBorder="1" applyAlignment="1">
      <alignment horizontal="left" vertical="center"/>
    </xf>
    <xf numFmtId="0" fontId="1" fillId="2" borderId="1" xfId="0" applyNumberFormat="1" applyFont="1" applyFill="1" applyBorder="1" applyAlignment="1">
      <alignment horizontal="left" vertical="center"/>
    </xf>
    <xf numFmtId="0" fontId="1" fillId="2" borderId="0" xfId="0" applyNumberFormat="1" applyFont="1" applyFill="1" applyBorder="1" applyAlignment="1">
      <alignment horizontal="left" vertical="center" wrapText="1"/>
    </xf>
    <xf numFmtId="0" fontId="4" fillId="0" borderId="0" xfId="0" applyFont="1" applyAlignment="1">
      <alignment vertical="center" wrapText="1"/>
    </xf>
    <xf numFmtId="8" fontId="0" fillId="0" borderId="0" xfId="0" applyNumberFormat="1"/>
    <xf numFmtId="9" fontId="0" fillId="0" borderId="0" xfId="1" applyFont="1"/>
    <xf numFmtId="0" fontId="4" fillId="0" borderId="0" xfId="0" applyFont="1"/>
    <xf numFmtId="10" fontId="0" fillId="0" borderId="0" xfId="0" applyNumberFormat="1" applyAlignment="1">
      <alignment vertical="center" wrapText="1"/>
    </xf>
    <xf numFmtId="9" fontId="0" fillId="0" borderId="0" xfId="0" applyNumberFormat="1" applyAlignment="1">
      <alignment vertical="center" wrapText="1"/>
    </xf>
    <xf numFmtId="0" fontId="8" fillId="4" borderId="0" xfId="0" applyNumberFormat="1" applyFont="1" applyFill="1" applyBorder="1" applyAlignment="1">
      <alignment horizontal="center" vertical="center" wrapText="1"/>
    </xf>
  </cellXfs>
  <cellStyles count="2">
    <cellStyle name="Normal" xfId="0" builtinId="0"/>
    <cellStyle name="Percent" xfId="1" builtinId="5"/>
  </cellStyles>
  <dxfs count="15">
    <dxf>
      <font>
        <color rgb="FF9C0006"/>
      </font>
      <fill>
        <patternFill>
          <bgColor rgb="FFFFC7CE"/>
        </patternFill>
      </fill>
    </dxf>
    <dxf>
      <font>
        <b/>
        <color rgb="FF9C0006"/>
      </font>
      <fill>
        <patternFill patternType="solid">
          <bgColor rgb="FFF4CCCC"/>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Carlito"/>
        <scheme val="none"/>
      </font>
      <numFmt numFmtId="165" formatCode="\$#,##0;[Red]\(\$#,##0\);\-"/>
      <fill>
        <patternFill patternType="none">
          <fgColor indexed="64"/>
          <bgColor indexed="65"/>
        </patternFill>
      </fill>
    </dxf>
    <dxf>
      <font>
        <b val="0"/>
        <i val="0"/>
        <strike val="0"/>
        <condense val="0"/>
        <extend val="0"/>
        <outline val="0"/>
        <shadow val="0"/>
        <u val="none"/>
        <vertAlign val="baseline"/>
        <sz val="11"/>
        <color auto="1"/>
        <name val="Carlito"/>
        <scheme val="none"/>
      </font>
      <numFmt numFmtId="165" formatCode="\$#,##0;[Red]\(\$#,##0\);\-"/>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Win Rate by Deal Type</a:t>
            </a:r>
          </a:p>
        </c:rich>
      </c:tx>
      <c:layout/>
      <c:overlay val="0"/>
    </c:title>
    <c:autoTitleDeleted val="0"/>
    <c:plotArea>
      <c:layout/>
      <c:barChart>
        <c:barDir val="col"/>
        <c:grouping val="clustered"/>
        <c:varyColors val="0"/>
        <c:ser>
          <c:idx val="0"/>
          <c:order val="0"/>
          <c:tx>
            <c:v>Opportunities</c:v>
          </c:tx>
          <c:invertIfNegative val="1"/>
          <c:cat>
            <c:strRef>
              <c:f>Dashboard!$D$5:$D$8</c:f>
              <c:strCache>
                <c:ptCount val="4"/>
                <c:pt idx="0">
                  <c:v>New Business</c:v>
                </c:pt>
                <c:pt idx="1">
                  <c:v>Renewal</c:v>
                </c:pt>
                <c:pt idx="2">
                  <c:v>Expansion</c:v>
                </c:pt>
                <c:pt idx="3">
                  <c:v>Win-back</c:v>
                </c:pt>
              </c:strCache>
            </c:strRef>
          </c:cat>
          <c:val>
            <c:numRef>
              <c:f>Dashboard!$E$5:$E$8</c:f>
              <c:numCache>
                <c:formatCode>General</c:formatCode>
                <c:ptCount val="4"/>
                <c:pt idx="0">
                  <c:v>202</c:v>
                </c:pt>
                <c:pt idx="1">
                  <c:v>303</c:v>
                </c:pt>
                <c:pt idx="2">
                  <c:v>89</c:v>
                </c:pt>
                <c:pt idx="3">
                  <c:v>44</c:v>
                </c:pt>
              </c:numCache>
            </c:numRef>
          </c:val>
          <c:extLst>
            <c:ext xmlns:c16="http://schemas.microsoft.com/office/drawing/2014/chart" uri="{C3380CC4-5D6E-409C-BE32-E72D297353CC}">
              <c16:uniqueId val="{00000000-F7DC-4D12-A94F-D7F60E0B3A35}"/>
            </c:ext>
          </c:extLst>
        </c:ser>
        <c:ser>
          <c:idx val="1"/>
          <c:order val="1"/>
          <c:tx>
            <c:v>Won</c:v>
          </c:tx>
          <c:invertIfNegative val="1"/>
          <c:cat>
            <c:strRef>
              <c:f>Dashboard!$D$5:$D$8</c:f>
              <c:strCache>
                <c:ptCount val="4"/>
                <c:pt idx="0">
                  <c:v>New Business</c:v>
                </c:pt>
                <c:pt idx="1">
                  <c:v>Renewal</c:v>
                </c:pt>
                <c:pt idx="2">
                  <c:v>Expansion</c:v>
                </c:pt>
                <c:pt idx="3">
                  <c:v>Win-back</c:v>
                </c:pt>
              </c:strCache>
            </c:strRef>
          </c:cat>
          <c:val>
            <c:numRef>
              <c:f>Dashboard!$F$5:$F$8</c:f>
              <c:numCache>
                <c:formatCode>General</c:formatCode>
                <c:ptCount val="4"/>
                <c:pt idx="0">
                  <c:v>103</c:v>
                </c:pt>
                <c:pt idx="1">
                  <c:v>223</c:v>
                </c:pt>
                <c:pt idx="2">
                  <c:v>71</c:v>
                </c:pt>
                <c:pt idx="3">
                  <c:v>30</c:v>
                </c:pt>
              </c:numCache>
            </c:numRef>
          </c:val>
          <c:extLst>
            <c:ext xmlns:c16="http://schemas.microsoft.com/office/drawing/2014/chart" uri="{C3380CC4-5D6E-409C-BE32-E72D297353CC}">
              <c16:uniqueId val="{00000001-F7DC-4D12-A94F-D7F60E0B3A35}"/>
            </c:ext>
          </c:extLst>
        </c:ser>
        <c:ser>
          <c:idx val="2"/>
          <c:order val="2"/>
          <c:tx>
            <c:v>Win Rate</c:v>
          </c:tx>
          <c:invertIfNegative val="1"/>
          <c:cat>
            <c:strRef>
              <c:f>Dashboard!$D$5:$D$8</c:f>
              <c:strCache>
                <c:ptCount val="4"/>
                <c:pt idx="0">
                  <c:v>New Business</c:v>
                </c:pt>
                <c:pt idx="1">
                  <c:v>Renewal</c:v>
                </c:pt>
                <c:pt idx="2">
                  <c:v>Expansion</c:v>
                </c:pt>
                <c:pt idx="3">
                  <c:v>Win-back</c:v>
                </c:pt>
              </c:strCache>
            </c:strRef>
          </c:cat>
          <c:val>
            <c:numRef>
              <c:f>Dashboard!$G$5:$G$8</c:f>
              <c:numCache>
                <c:formatCode>0.0%;[Red]\(0.0%\);\-</c:formatCode>
                <c:ptCount val="4"/>
                <c:pt idx="0">
                  <c:v>0.50990099009900991</c:v>
                </c:pt>
                <c:pt idx="1">
                  <c:v>0.735973597359736</c:v>
                </c:pt>
                <c:pt idx="2">
                  <c:v>0.797752808988764</c:v>
                </c:pt>
                <c:pt idx="3">
                  <c:v>0.68181818181818177</c:v>
                </c:pt>
              </c:numCache>
            </c:numRef>
          </c:val>
          <c:extLst>
            <c:ext xmlns:c16="http://schemas.microsoft.com/office/drawing/2014/chart" uri="{C3380CC4-5D6E-409C-BE32-E72D297353CC}">
              <c16:uniqueId val="{00000002-F7DC-4D12-A94F-D7F60E0B3A3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10</xdr:row>
      <xdr:rowOff>0</xdr:rowOff>
    </xdr:from>
    <xdr:to>
      <xdr:col>12</xdr:col>
      <xdr:colOff>0</xdr:colOff>
      <xdr:row>26</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ustomerMasterTable" displayName="CustomerMasterTable" ref="A4:J184">
  <tableColumns count="10">
    <tableColumn id="1" name="Customer_ID"/>
    <tableColumn id="2" name="Customer"/>
    <tableColumn id="3" name="Industry"/>
    <tableColumn id="4" name="Region"/>
    <tableColumn id="5" name="Sales_Territory"/>
    <tableColumn id="6" name="Company_Size"/>
    <tableColumn id="7" name="Strategic_Account"/>
    <tableColumn id="8" name="Customer_Since"/>
    <tableColumn id="9" name="Health_Score"/>
    <tableColumn id="10" name="Current_Relationship_Stage"/>
  </tableColumns>
  <tableStyleInfo name="TableStyleMedium2" showFirstColumn="0" showLastColumn="0" showRowStripes="1" showColumnStripes="0"/>
</table>
</file>

<file path=xl/tables/table2.xml><?xml version="1.0" encoding="utf-8"?>
<table xmlns="http://schemas.openxmlformats.org/spreadsheetml/2006/main" id="2" name="ContractMasterTable" displayName="ContractMasterTable" ref="A4:K402">
  <tableColumns count="11">
    <tableColumn id="1" name="Contract_ID"/>
    <tableColumn id="2" name="Customer_ID"/>
    <tableColumn id="3" name="Customer"/>
    <tableColumn id="4" name="Business_Unit"/>
    <tableColumn id="5" name="Product"/>
    <tableColumn id="6" name="Contract_Start"/>
    <tableColumn id="7" name="Original_Term_Years"/>
    <tableColumn id="8" name="Initial_Seats"/>
    <tableColumn id="9" name="Original_List_ACV"/>
    <tableColumn id="10" name="Current_Status"/>
    <tableColumn id="11" name="Lifecycle_Validity"/>
  </tableColumns>
  <tableStyleInfo name="TableStyleMedium2" showFirstColumn="0" showLastColumn="0" showRowStripes="1" showColumnStripes="0"/>
</table>
</file>

<file path=xl/tables/table3.xml><?xml version="1.0" encoding="utf-8"?>
<table xmlns="http://schemas.openxmlformats.org/spreadsheetml/2006/main" id="3" name="DealsRawTable" displayName="DealsRawTable" ref="A4:AW642">
  <autoFilter ref="A4:AW642"/>
  <tableColumns count="49">
    <tableColumn id="1" name="Deal_ID"/>
    <tableColumn id="2" name="Deal_Date"/>
    <tableColumn id="3" name="Customer_ID"/>
    <tableColumn id="4" name="Customer"/>
    <tableColumn id="5" name="Contract_ID"/>
    <tableColumn id="6" name="Business_Unit"/>
    <tableColumn id="7" name="Industry"/>
    <tableColumn id="8" name="Region"/>
    <tableColumn id="9" name="Sales_Territory"/>
    <tableColumn id="10" name="Company_Size"/>
    <tableColumn id="11" name="Strategic_Account"/>
    <tableColumn id="12" name="Customer_Since"/>
    <tableColumn id="13" name="Health_Score"/>
    <tableColumn id="14" name="Product"/>
    <tableColumn id="15" name="Deal_Type"/>
    <tableColumn id="16" name="Expansion_Type"/>
    <tableColumn id="17" name="Contract_Years"/>
    <tableColumn id="18" name="Seats"/>
    <tableColumn id="19" name="Sales_Rep"/>
    <tableColumn id="20" name="List_ACV"/>
    <tableColumn id="37" name="List_TCV" dataDxfId="14">
      <calculatedColumnFormula>T5*DealsRawTable[[#This Row],[Contract_Years]]</calculatedColumnFormula>
    </tableColumn>
    <tableColumn id="21" name="Discount_Requested"/>
    <tableColumn id="22" name="Discount_Approved"/>
    <tableColumn id="23" name="Competitor_Gap_vs_Us"/>
    <tableColumn id="24" name="Discount_Reason"/>
    <tableColumn id="25" name="Approval_Level"/>
    <tableColumn id="26" name="Final_Price_ACV"/>
    <tableColumn id="39" name="Final_Price_TCV" dataDxfId="13">
      <calculatedColumnFormula>DealsRawTable[[#This Row],[Final_Price_ACV]]*DealsRawTable[[#This Row],[Contract_Years]]</calculatedColumnFormula>
    </tableColumn>
    <tableColumn id="27" name="Cost_to_Serve"/>
    <tableColumn id="28" name="Proposed_Gross_Profit"/>
    <tableColumn id="29" name="Proposed_Gross_Margin"/>
    <tableColumn id="30" name="Deal_Status"/>
    <tableColumn id="31" name="Renewed"/>
    <tableColumn id="32" name="Expanded"/>
    <tableColumn id="33" name="Winback_Flag"/>
    <tableColumn id="34" name="Realized_Revenue"/>
    <tableColumn id="35" name="Realized_Gross_Profit"/>
    <tableColumn id="36" name="Lifecycle_Notes"/>
    <tableColumn id="40" name="Validated_Annual_Final_Price" dataDxfId="12">
      <calculatedColumnFormula>ROUND(T5*(1-W5),2)</calculatedColumnFormula>
    </tableColumn>
    <tableColumn id="41" name="Validated_Total_Final_Price2" dataDxfId="11">
      <calculatedColumnFormula>DealsRawTable[[#This Row],[Validated_Annual_Final_Price]]*DealsRawTable[[#This Row],[Contract_Years]]</calculatedColumnFormula>
    </tableColumn>
    <tableColumn id="42" name="Validated_Grossprofit" dataDxfId="10">
      <calculatedColumnFormula>DealsRawTable[[#This Row],[Validated_Annual_Final_Price]]-DealsRawTable[[#This Row],[Cost_to_Serve]]</calculatedColumnFormula>
    </tableColumn>
    <tableColumn id="43" name="Validated_GrossMargin" dataDxfId="9">
      <calculatedColumnFormula>DealsRawTable[[#This Row],[Validated_Grossprofit]]/DealsRawTable[[#This Row],[Validated_Annual_Final_Price]]</calculatedColumnFormula>
    </tableColumn>
    <tableColumn id="44" name="updated Validated_Annual_Final_Price" dataDxfId="8"/>
    <tableColumn id="45" name="updated Validated_Total_Final_Price2" dataDxfId="7"/>
    <tableColumn id="46" name="updated Validated_Grossprofit" dataDxfId="6"/>
    <tableColumn id="47" name="Updated Validated GrossMargin " dataDxfId="5"/>
    <tableColumn id="48" name="Approved discount band" dataDxfId="4">
      <calculatedColumnFormula>IF(W5&lt;=0.05,"0–5%", IF(W5&lt;=0.1,"5–10%", IF(W5&lt;=0.15,"10–15%", IF(W5&lt;=0.2,"15–20%", IF(W5&lt;=0.25,"20–25%", IF(W5&lt;=0.3,"25–30%","Above 30%"))))))</calculatedColumnFormula>
    </tableColumn>
    <tableColumn id="49" name="Won Deals" dataDxfId="3"/>
    <tableColumn id="50" name="Column1" dataDxfId="2"/>
  </tableColumns>
  <tableStyleInfo name="TableStyleMedium2" showFirstColumn="0" showLastColumn="0" showRowStripes="1" showColumnStripes="0"/>
</table>
</file>

<file path=xl/tables/table4.xml><?xml version="1.0" encoding="utf-8"?>
<table xmlns="http://schemas.openxmlformats.org/spreadsheetml/2006/main" id="4" name="AnalystModelTable" displayName="AnalystModelTable" ref="A4:AS642">
  <tableColumns count="45">
    <tableColumn id="1" name="Deal_ID"/>
    <tableColumn id="2" name="Deal_Date"/>
    <tableColumn id="3" name="Customer_ID"/>
    <tableColumn id="4" name="Customer"/>
    <tableColumn id="5" name="Contract_ID"/>
    <tableColumn id="6" name="Business_Unit"/>
    <tableColumn id="7" name="Industry"/>
    <tableColumn id="8" name="Region"/>
    <tableColumn id="9" name="Sales_Territory"/>
    <tableColumn id="10" name="Company_Size"/>
    <tableColumn id="11" name="Strategic_Account"/>
    <tableColumn id="12" name="Customer_Since"/>
    <tableColumn id="13" name="Health_Score"/>
    <tableColumn id="14" name="Product"/>
    <tableColumn id="15" name="Deal_Type"/>
    <tableColumn id="16" name="Expansion_Type"/>
    <tableColumn id="17" name="Contract_Years"/>
    <tableColumn id="18" name="Seats"/>
    <tableColumn id="19" name="Sales_Rep"/>
    <tableColumn id="20" name="List_ACV"/>
    <tableColumn id="21" name="Discount_Requested"/>
    <tableColumn id="22" name="Discount_Approved"/>
    <tableColumn id="23" name="Competitor_Gap_vs_Us"/>
    <tableColumn id="24" name="Discount_Reason"/>
    <tableColumn id="25" name="Approval_Level"/>
    <tableColumn id="26" name="Final_Price"/>
    <tableColumn id="27" name="Cost_to_Serve"/>
    <tableColumn id="28" name="Proposed_Gross_Profit"/>
    <tableColumn id="29" name="Proposed_Gross_Margin"/>
    <tableColumn id="30" name="Deal_Status"/>
    <tableColumn id="31" name="Renewed"/>
    <tableColumn id="32" name="Expanded"/>
    <tableColumn id="33" name="Winback_Flag"/>
    <tableColumn id="34" name="Realized_Revenue"/>
    <tableColumn id="35" name="Realized_Gross_Profit"/>
    <tableColumn id="36" name="Lifecycle_Notes"/>
    <tableColumn id="37" name="Customer_Tenure_Years"/>
    <tableColumn id="38" name="Price_Realization"/>
    <tableColumn id="39" name="Discount_Gap"/>
    <tableColumn id="40" name="Margin_Floor_Flag"/>
    <tableColumn id="41" name="Discount_Exception_Flag"/>
    <tableColumn id="42" name="Policy_Compliance_Flag"/>
    <tableColumn id="43" name="AOV_Eligible"/>
    <tableColumn id="44" name="Realized_Margin"/>
    <tableColumn id="45" name="Customer_Product_Cou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selection sqref="A1:H2"/>
    </sheetView>
  </sheetViews>
  <sheetFormatPr defaultRowHeight="14.25"/>
  <cols>
    <col min="1" max="1" width="25" customWidth="1"/>
    <col min="2" max="2" width="78" customWidth="1"/>
  </cols>
  <sheetData>
    <row r="1" spans="1:8">
      <c r="A1" s="18" t="s">
        <v>0</v>
      </c>
      <c r="B1" s="18"/>
      <c r="C1" s="18"/>
      <c r="D1" s="18"/>
      <c r="E1" s="18"/>
      <c r="F1" s="18"/>
      <c r="G1" s="18"/>
      <c r="H1" s="18"/>
    </row>
    <row r="2" spans="1:8">
      <c r="A2" s="18"/>
      <c r="B2" s="18"/>
      <c r="C2" s="18"/>
      <c r="D2" s="18"/>
      <c r="E2" s="18"/>
      <c r="F2" s="18"/>
      <c r="G2" s="18"/>
      <c r="H2" s="18"/>
    </row>
    <row r="4" spans="1:8" ht="29.25">
      <c r="A4" s="1" t="s">
        <v>1</v>
      </c>
      <c r="B4" s="2" t="s">
        <v>2</v>
      </c>
    </row>
    <row r="5" spans="1:8" ht="15">
      <c r="A5" s="1" t="s">
        <v>3</v>
      </c>
      <c r="B5" s="2" t="s">
        <v>4</v>
      </c>
    </row>
    <row r="6" spans="1:8" ht="15">
      <c r="A6" s="1" t="s">
        <v>5</v>
      </c>
      <c r="B6" s="2" t="s">
        <v>6</v>
      </c>
    </row>
    <row r="7" spans="1:8" ht="15">
      <c r="A7" s="1" t="s">
        <v>7</v>
      </c>
      <c r="B7" s="2" t="s">
        <v>8</v>
      </c>
    </row>
    <row r="8" spans="1:8" ht="29.25">
      <c r="A8" s="1" t="s">
        <v>9</v>
      </c>
      <c r="B8" s="2" t="s">
        <v>10</v>
      </c>
    </row>
    <row r="9" spans="1:8" ht="15">
      <c r="A9" s="1" t="s">
        <v>11</v>
      </c>
      <c r="B9" s="2" t="s">
        <v>12</v>
      </c>
    </row>
    <row r="10" spans="1:8" ht="15">
      <c r="A10" s="1" t="s">
        <v>13</v>
      </c>
      <c r="B10" s="2" t="s">
        <v>14</v>
      </c>
    </row>
    <row r="11" spans="1:8" ht="15">
      <c r="A11" s="1" t="s">
        <v>15</v>
      </c>
      <c r="B11" s="2" t="s">
        <v>16</v>
      </c>
    </row>
    <row r="12" spans="1:8" ht="29.25">
      <c r="A12" s="1" t="s">
        <v>17</v>
      </c>
      <c r="B12" s="2" t="s">
        <v>18</v>
      </c>
    </row>
    <row r="13" spans="1:8" ht="15">
      <c r="A13" s="1" t="s">
        <v>19</v>
      </c>
      <c r="B13" s="2" t="s">
        <v>20</v>
      </c>
    </row>
  </sheetData>
  <mergeCells count="1">
    <mergeCell ref="A1: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4"/>
  <sheetViews>
    <sheetView workbookViewId="0">
      <selection sqref="A1:J2"/>
    </sheetView>
  </sheetViews>
  <sheetFormatPr defaultRowHeight="14.25"/>
  <cols>
    <col min="1" max="1" width="18" customWidth="1"/>
    <col min="2" max="2" width="22" customWidth="1"/>
    <col min="3" max="10" width="18" customWidth="1"/>
  </cols>
  <sheetData>
    <row r="1" spans="1:10">
      <c r="A1" s="18" t="s">
        <v>21</v>
      </c>
      <c r="B1" s="18"/>
      <c r="C1" s="18"/>
      <c r="D1" s="18"/>
      <c r="E1" s="18"/>
      <c r="F1" s="18"/>
      <c r="G1" s="18"/>
      <c r="H1" s="18"/>
      <c r="I1" s="18"/>
      <c r="J1" s="18"/>
    </row>
    <row r="2" spans="1:10">
      <c r="A2" s="18"/>
      <c r="B2" s="18"/>
      <c r="C2" s="18"/>
      <c r="D2" s="18"/>
      <c r="E2" s="18"/>
      <c r="F2" s="18"/>
      <c r="G2" s="18"/>
      <c r="H2" s="18"/>
      <c r="I2" s="18"/>
      <c r="J2" s="18"/>
    </row>
    <row r="4" spans="1:10" ht="30">
      <c r="A4" s="3" t="s">
        <v>22</v>
      </c>
      <c r="B4" s="3" t="s">
        <v>23</v>
      </c>
      <c r="C4" s="3" t="s">
        <v>24</v>
      </c>
      <c r="D4" s="3" t="s">
        <v>25</v>
      </c>
      <c r="E4" s="3" t="s">
        <v>26</v>
      </c>
      <c r="F4" s="3" t="s">
        <v>27</v>
      </c>
      <c r="G4" s="3" t="s">
        <v>28</v>
      </c>
      <c r="H4" s="3" t="s">
        <v>29</v>
      </c>
      <c r="I4" s="3" t="s">
        <v>30</v>
      </c>
      <c r="J4" s="3" t="s">
        <v>31</v>
      </c>
    </row>
    <row r="5" spans="1:10">
      <c r="A5" t="s">
        <v>32</v>
      </c>
      <c r="B5" t="s">
        <v>33</v>
      </c>
      <c r="C5" t="s">
        <v>34</v>
      </c>
      <c r="D5" t="s">
        <v>35</v>
      </c>
      <c r="E5" t="s">
        <v>36</v>
      </c>
      <c r="F5" t="s">
        <v>37</v>
      </c>
      <c r="G5" t="s">
        <v>38</v>
      </c>
      <c r="H5" s="5">
        <v>43891</v>
      </c>
      <c r="I5">
        <v>63</v>
      </c>
      <c r="J5" t="s">
        <v>39</v>
      </c>
    </row>
    <row r="6" spans="1:10">
      <c r="A6" t="s">
        <v>40</v>
      </c>
      <c r="B6" t="s">
        <v>41</v>
      </c>
      <c r="C6" t="s">
        <v>34</v>
      </c>
      <c r="D6" t="s">
        <v>35</v>
      </c>
      <c r="E6" t="s">
        <v>42</v>
      </c>
      <c r="F6" t="s">
        <v>43</v>
      </c>
      <c r="G6" t="s">
        <v>44</v>
      </c>
      <c r="H6" s="5">
        <v>44958</v>
      </c>
      <c r="I6">
        <v>74</v>
      </c>
      <c r="J6" t="s">
        <v>39</v>
      </c>
    </row>
    <row r="7" spans="1:10">
      <c r="A7" t="s">
        <v>45</v>
      </c>
      <c r="B7" t="s">
        <v>46</v>
      </c>
      <c r="C7" t="s">
        <v>47</v>
      </c>
      <c r="D7" t="s">
        <v>48</v>
      </c>
      <c r="E7" t="s">
        <v>49</v>
      </c>
      <c r="F7" t="s">
        <v>37</v>
      </c>
      <c r="G7" t="s">
        <v>38</v>
      </c>
      <c r="H7" s="5">
        <v>44256</v>
      </c>
      <c r="I7">
        <v>87</v>
      </c>
      <c r="J7" t="s">
        <v>50</v>
      </c>
    </row>
    <row r="8" spans="1:10">
      <c r="A8" t="s">
        <v>51</v>
      </c>
      <c r="B8" t="s">
        <v>52</v>
      </c>
      <c r="C8" t="s">
        <v>53</v>
      </c>
      <c r="D8" t="s">
        <v>54</v>
      </c>
      <c r="E8" t="s">
        <v>55</v>
      </c>
      <c r="F8" t="s">
        <v>56</v>
      </c>
      <c r="G8" t="s">
        <v>38</v>
      </c>
      <c r="H8" s="5">
        <v>45383</v>
      </c>
      <c r="I8">
        <v>50</v>
      </c>
      <c r="J8" t="s">
        <v>57</v>
      </c>
    </row>
    <row r="9" spans="1:10">
      <c r="A9" t="s">
        <v>58</v>
      </c>
      <c r="B9" t="s">
        <v>59</v>
      </c>
      <c r="C9" t="s">
        <v>60</v>
      </c>
      <c r="D9" t="s">
        <v>35</v>
      </c>
      <c r="E9" t="s">
        <v>36</v>
      </c>
      <c r="F9" t="s">
        <v>56</v>
      </c>
      <c r="G9" t="s">
        <v>38</v>
      </c>
      <c r="H9" s="5">
        <v>43952</v>
      </c>
      <c r="I9">
        <v>66</v>
      </c>
      <c r="J9" t="s">
        <v>39</v>
      </c>
    </row>
    <row r="10" spans="1:10">
      <c r="A10" t="s">
        <v>61</v>
      </c>
      <c r="B10" t="s">
        <v>62</v>
      </c>
      <c r="C10" t="s">
        <v>34</v>
      </c>
      <c r="D10" t="s">
        <v>54</v>
      </c>
      <c r="E10" t="s">
        <v>55</v>
      </c>
      <c r="F10" t="s">
        <v>56</v>
      </c>
      <c r="G10" t="s">
        <v>38</v>
      </c>
      <c r="H10" s="5">
        <v>45323</v>
      </c>
      <c r="I10">
        <v>73</v>
      </c>
      <c r="J10" t="s">
        <v>39</v>
      </c>
    </row>
    <row r="11" spans="1:10">
      <c r="A11" t="s">
        <v>63</v>
      </c>
      <c r="B11" t="s">
        <v>64</v>
      </c>
      <c r="C11" t="s">
        <v>53</v>
      </c>
      <c r="D11" t="s">
        <v>48</v>
      </c>
      <c r="E11" t="s">
        <v>49</v>
      </c>
      <c r="F11" t="s">
        <v>56</v>
      </c>
      <c r="G11" t="s">
        <v>38</v>
      </c>
      <c r="H11" s="5">
        <v>43160</v>
      </c>
      <c r="I11">
        <v>47</v>
      </c>
      <c r="J11" t="s">
        <v>57</v>
      </c>
    </row>
    <row r="12" spans="1:10">
      <c r="A12" t="s">
        <v>65</v>
      </c>
      <c r="B12" t="s">
        <v>66</v>
      </c>
      <c r="C12" t="s">
        <v>47</v>
      </c>
      <c r="D12" t="s">
        <v>35</v>
      </c>
      <c r="E12" t="s">
        <v>42</v>
      </c>
      <c r="F12" t="s">
        <v>43</v>
      </c>
      <c r="G12" t="s">
        <v>44</v>
      </c>
      <c r="H12" s="5">
        <v>45536</v>
      </c>
      <c r="I12">
        <v>71</v>
      </c>
      <c r="J12" t="s">
        <v>39</v>
      </c>
    </row>
    <row r="13" spans="1:10">
      <c r="A13" t="s">
        <v>67</v>
      </c>
      <c r="B13" t="s">
        <v>68</v>
      </c>
      <c r="C13" t="s">
        <v>69</v>
      </c>
      <c r="D13" t="s">
        <v>70</v>
      </c>
      <c r="E13" t="s">
        <v>71</v>
      </c>
      <c r="F13" t="s">
        <v>37</v>
      </c>
      <c r="G13" t="s">
        <v>38</v>
      </c>
      <c r="H13" s="5">
        <v>44682</v>
      </c>
      <c r="I13">
        <v>38</v>
      </c>
      <c r="J13" t="s">
        <v>57</v>
      </c>
    </row>
    <row r="14" spans="1:10">
      <c r="A14" t="s">
        <v>72</v>
      </c>
      <c r="B14" t="s">
        <v>73</v>
      </c>
      <c r="C14" t="s">
        <v>34</v>
      </c>
      <c r="D14" t="s">
        <v>54</v>
      </c>
      <c r="E14" t="s">
        <v>55</v>
      </c>
      <c r="F14" t="s">
        <v>56</v>
      </c>
      <c r="G14" t="s">
        <v>38</v>
      </c>
      <c r="H14" s="5">
        <v>44348</v>
      </c>
      <c r="I14">
        <v>59</v>
      </c>
      <c r="J14" t="s">
        <v>39</v>
      </c>
    </row>
    <row r="15" spans="1:10">
      <c r="A15" t="s">
        <v>74</v>
      </c>
      <c r="B15" t="s">
        <v>75</v>
      </c>
      <c r="C15" t="s">
        <v>47</v>
      </c>
      <c r="D15" t="s">
        <v>70</v>
      </c>
      <c r="E15" t="s">
        <v>76</v>
      </c>
      <c r="F15" t="s">
        <v>43</v>
      </c>
      <c r="G15" t="s">
        <v>44</v>
      </c>
      <c r="H15" s="5">
        <v>44197</v>
      </c>
      <c r="I15">
        <v>45</v>
      </c>
      <c r="J15" t="s">
        <v>57</v>
      </c>
    </row>
    <row r="16" spans="1:10">
      <c r="A16" t="s">
        <v>77</v>
      </c>
      <c r="B16" t="s">
        <v>78</v>
      </c>
      <c r="C16" t="s">
        <v>47</v>
      </c>
      <c r="D16" t="s">
        <v>70</v>
      </c>
      <c r="E16" t="s">
        <v>71</v>
      </c>
      <c r="F16" t="s">
        <v>56</v>
      </c>
      <c r="G16" t="s">
        <v>38</v>
      </c>
      <c r="H16" s="5">
        <v>44531</v>
      </c>
      <c r="I16">
        <v>69</v>
      </c>
      <c r="J16" t="s">
        <v>39</v>
      </c>
    </row>
    <row r="17" spans="1:10">
      <c r="A17" t="s">
        <v>79</v>
      </c>
      <c r="B17" t="s">
        <v>80</v>
      </c>
      <c r="C17" t="s">
        <v>53</v>
      </c>
      <c r="D17" t="s">
        <v>54</v>
      </c>
      <c r="E17" t="s">
        <v>55</v>
      </c>
      <c r="F17" t="s">
        <v>56</v>
      </c>
      <c r="G17" t="s">
        <v>38</v>
      </c>
      <c r="H17" s="5">
        <v>44531</v>
      </c>
      <c r="I17">
        <v>67</v>
      </c>
      <c r="J17" t="s">
        <v>39</v>
      </c>
    </row>
    <row r="18" spans="1:10">
      <c r="A18" t="s">
        <v>81</v>
      </c>
      <c r="B18" t="s">
        <v>82</v>
      </c>
      <c r="C18" t="s">
        <v>83</v>
      </c>
      <c r="D18" t="s">
        <v>54</v>
      </c>
      <c r="E18" t="s">
        <v>55</v>
      </c>
      <c r="F18" t="s">
        <v>37</v>
      </c>
      <c r="G18" t="s">
        <v>44</v>
      </c>
      <c r="H18" s="5">
        <v>44743</v>
      </c>
      <c r="I18">
        <v>80</v>
      </c>
      <c r="J18" t="s">
        <v>50</v>
      </c>
    </row>
    <row r="19" spans="1:10">
      <c r="A19" t="s">
        <v>84</v>
      </c>
      <c r="B19" t="s">
        <v>85</v>
      </c>
      <c r="C19" t="s">
        <v>53</v>
      </c>
      <c r="D19" t="s">
        <v>48</v>
      </c>
      <c r="E19" t="s">
        <v>49</v>
      </c>
      <c r="F19" t="s">
        <v>37</v>
      </c>
      <c r="G19" t="s">
        <v>38</v>
      </c>
      <c r="H19" s="5">
        <v>44470</v>
      </c>
      <c r="I19">
        <v>81</v>
      </c>
      <c r="J19" t="s">
        <v>50</v>
      </c>
    </row>
    <row r="20" spans="1:10">
      <c r="A20" t="s">
        <v>86</v>
      </c>
      <c r="B20" t="s">
        <v>87</v>
      </c>
      <c r="C20" t="s">
        <v>60</v>
      </c>
      <c r="D20" t="s">
        <v>35</v>
      </c>
      <c r="E20" t="s">
        <v>42</v>
      </c>
      <c r="F20" t="s">
        <v>43</v>
      </c>
      <c r="G20" t="s">
        <v>44</v>
      </c>
      <c r="H20" s="5">
        <v>43221</v>
      </c>
      <c r="I20">
        <v>80</v>
      </c>
      <c r="J20" t="s">
        <v>50</v>
      </c>
    </row>
    <row r="21" spans="1:10">
      <c r="A21" t="s">
        <v>88</v>
      </c>
      <c r="B21" t="s">
        <v>89</v>
      </c>
      <c r="C21" t="s">
        <v>47</v>
      </c>
      <c r="D21" t="s">
        <v>54</v>
      </c>
      <c r="E21" t="s">
        <v>55</v>
      </c>
      <c r="F21" t="s">
        <v>56</v>
      </c>
      <c r="G21" t="s">
        <v>38</v>
      </c>
      <c r="H21" s="5">
        <v>44958</v>
      </c>
      <c r="I21">
        <v>81</v>
      </c>
      <c r="J21" t="s">
        <v>50</v>
      </c>
    </row>
    <row r="22" spans="1:10">
      <c r="A22" t="s">
        <v>90</v>
      </c>
      <c r="B22" t="s">
        <v>91</v>
      </c>
      <c r="C22" t="s">
        <v>83</v>
      </c>
      <c r="D22" t="s">
        <v>35</v>
      </c>
      <c r="E22" t="s">
        <v>36</v>
      </c>
      <c r="F22" t="s">
        <v>37</v>
      </c>
      <c r="G22" t="s">
        <v>38</v>
      </c>
      <c r="H22" s="5">
        <v>44136</v>
      </c>
      <c r="I22">
        <v>87</v>
      </c>
      <c r="J22" t="s">
        <v>50</v>
      </c>
    </row>
    <row r="23" spans="1:10">
      <c r="A23" t="s">
        <v>92</v>
      </c>
      <c r="B23" t="s">
        <v>93</v>
      </c>
      <c r="C23" t="s">
        <v>69</v>
      </c>
      <c r="D23" t="s">
        <v>54</v>
      </c>
      <c r="E23" t="s">
        <v>94</v>
      </c>
      <c r="F23" t="s">
        <v>43</v>
      </c>
      <c r="G23" t="s">
        <v>38</v>
      </c>
      <c r="H23" s="5">
        <v>43435</v>
      </c>
      <c r="I23">
        <v>86</v>
      </c>
      <c r="J23" t="s">
        <v>50</v>
      </c>
    </row>
    <row r="24" spans="1:10">
      <c r="A24" t="s">
        <v>95</v>
      </c>
      <c r="B24" t="s">
        <v>96</v>
      </c>
      <c r="C24" t="s">
        <v>34</v>
      </c>
      <c r="D24" t="s">
        <v>35</v>
      </c>
      <c r="E24" t="s">
        <v>42</v>
      </c>
      <c r="F24" t="s">
        <v>43</v>
      </c>
      <c r="G24" t="s">
        <v>38</v>
      </c>
      <c r="H24" s="5">
        <v>43739</v>
      </c>
      <c r="I24">
        <v>78</v>
      </c>
      <c r="J24" t="s">
        <v>50</v>
      </c>
    </row>
    <row r="25" spans="1:10">
      <c r="A25" t="s">
        <v>97</v>
      </c>
      <c r="B25" t="s">
        <v>98</v>
      </c>
      <c r="C25" t="s">
        <v>60</v>
      </c>
      <c r="D25" t="s">
        <v>70</v>
      </c>
      <c r="E25" t="s">
        <v>71</v>
      </c>
      <c r="F25" t="s">
        <v>37</v>
      </c>
      <c r="G25" t="s">
        <v>38</v>
      </c>
      <c r="H25" s="5">
        <v>44743</v>
      </c>
      <c r="I25">
        <v>81</v>
      </c>
      <c r="J25" t="s">
        <v>50</v>
      </c>
    </row>
    <row r="26" spans="1:10">
      <c r="A26" t="s">
        <v>99</v>
      </c>
      <c r="B26" t="s">
        <v>100</v>
      </c>
      <c r="C26" t="s">
        <v>83</v>
      </c>
      <c r="D26" t="s">
        <v>48</v>
      </c>
      <c r="E26" t="s">
        <v>49</v>
      </c>
      <c r="F26" t="s">
        <v>56</v>
      </c>
      <c r="G26" t="s">
        <v>38</v>
      </c>
      <c r="H26" s="5">
        <v>43952</v>
      </c>
      <c r="I26">
        <v>53</v>
      </c>
      <c r="J26" t="s">
        <v>57</v>
      </c>
    </row>
    <row r="27" spans="1:10">
      <c r="A27" t="s">
        <v>101</v>
      </c>
      <c r="B27" t="s">
        <v>102</v>
      </c>
      <c r="C27" t="s">
        <v>53</v>
      </c>
      <c r="D27" t="s">
        <v>48</v>
      </c>
      <c r="E27" t="s">
        <v>49</v>
      </c>
      <c r="F27" t="s">
        <v>56</v>
      </c>
      <c r="G27" t="s">
        <v>38</v>
      </c>
      <c r="H27" s="5">
        <v>45627</v>
      </c>
      <c r="I27">
        <v>64</v>
      </c>
      <c r="J27" t="s">
        <v>39</v>
      </c>
    </row>
    <row r="28" spans="1:10">
      <c r="A28" t="s">
        <v>103</v>
      </c>
      <c r="B28" t="s">
        <v>104</v>
      </c>
      <c r="C28" t="s">
        <v>34</v>
      </c>
      <c r="D28" t="s">
        <v>70</v>
      </c>
      <c r="E28" t="s">
        <v>76</v>
      </c>
      <c r="F28" t="s">
        <v>43</v>
      </c>
      <c r="G28" t="s">
        <v>44</v>
      </c>
      <c r="H28" s="5">
        <v>44531</v>
      </c>
      <c r="I28">
        <v>62</v>
      </c>
      <c r="J28" t="s">
        <v>39</v>
      </c>
    </row>
    <row r="29" spans="1:10">
      <c r="A29" t="s">
        <v>105</v>
      </c>
      <c r="B29" t="s">
        <v>106</v>
      </c>
      <c r="C29" t="s">
        <v>47</v>
      </c>
      <c r="D29" t="s">
        <v>48</v>
      </c>
      <c r="E29" t="s">
        <v>49</v>
      </c>
      <c r="F29" t="s">
        <v>37</v>
      </c>
      <c r="G29" t="s">
        <v>38</v>
      </c>
      <c r="H29" s="5">
        <v>43132</v>
      </c>
      <c r="I29">
        <v>75</v>
      </c>
      <c r="J29" t="s">
        <v>50</v>
      </c>
    </row>
    <row r="30" spans="1:10">
      <c r="A30" t="s">
        <v>107</v>
      </c>
      <c r="B30" t="s">
        <v>108</v>
      </c>
      <c r="C30" t="s">
        <v>53</v>
      </c>
      <c r="D30" t="s">
        <v>54</v>
      </c>
      <c r="E30" t="s">
        <v>55</v>
      </c>
      <c r="F30" t="s">
        <v>56</v>
      </c>
      <c r="G30" t="s">
        <v>38</v>
      </c>
      <c r="H30" s="5">
        <v>45108</v>
      </c>
      <c r="I30">
        <v>40</v>
      </c>
      <c r="J30" t="s">
        <v>57</v>
      </c>
    </row>
    <row r="31" spans="1:10">
      <c r="A31" t="s">
        <v>109</v>
      </c>
      <c r="B31" t="s">
        <v>110</v>
      </c>
      <c r="C31" t="s">
        <v>34</v>
      </c>
      <c r="D31" t="s">
        <v>48</v>
      </c>
      <c r="E31" t="s">
        <v>49</v>
      </c>
      <c r="F31" t="s">
        <v>37</v>
      </c>
      <c r="G31" t="s">
        <v>38</v>
      </c>
      <c r="H31" s="5">
        <v>44287</v>
      </c>
      <c r="I31">
        <v>72</v>
      </c>
      <c r="J31" t="s">
        <v>39</v>
      </c>
    </row>
    <row r="32" spans="1:10">
      <c r="A32" t="s">
        <v>111</v>
      </c>
      <c r="B32" t="s">
        <v>112</v>
      </c>
      <c r="C32" t="s">
        <v>60</v>
      </c>
      <c r="D32" t="s">
        <v>54</v>
      </c>
      <c r="E32" t="s">
        <v>55</v>
      </c>
      <c r="F32" t="s">
        <v>37</v>
      </c>
      <c r="G32" t="s">
        <v>38</v>
      </c>
      <c r="H32" s="5">
        <v>43344</v>
      </c>
      <c r="I32">
        <v>53</v>
      </c>
      <c r="J32" t="s">
        <v>57</v>
      </c>
    </row>
    <row r="33" spans="1:10">
      <c r="A33" t="s">
        <v>113</v>
      </c>
      <c r="B33" t="s">
        <v>114</v>
      </c>
      <c r="C33" t="s">
        <v>34</v>
      </c>
      <c r="D33" t="s">
        <v>48</v>
      </c>
      <c r="E33" t="s">
        <v>115</v>
      </c>
      <c r="F33" t="s">
        <v>43</v>
      </c>
      <c r="G33" t="s">
        <v>38</v>
      </c>
      <c r="H33" s="5">
        <v>43617</v>
      </c>
      <c r="I33">
        <v>92</v>
      </c>
      <c r="J33" t="s">
        <v>50</v>
      </c>
    </row>
    <row r="34" spans="1:10">
      <c r="A34" t="s">
        <v>116</v>
      </c>
      <c r="B34" t="s">
        <v>117</v>
      </c>
      <c r="C34" t="s">
        <v>60</v>
      </c>
      <c r="D34" t="s">
        <v>35</v>
      </c>
      <c r="E34" t="s">
        <v>36</v>
      </c>
      <c r="F34" t="s">
        <v>37</v>
      </c>
      <c r="G34" t="s">
        <v>38</v>
      </c>
      <c r="H34" s="5">
        <v>44075</v>
      </c>
      <c r="I34">
        <v>82</v>
      </c>
      <c r="J34" t="s">
        <v>50</v>
      </c>
    </row>
    <row r="35" spans="1:10">
      <c r="A35" t="s">
        <v>118</v>
      </c>
      <c r="B35" t="s">
        <v>119</v>
      </c>
      <c r="C35" t="s">
        <v>69</v>
      </c>
      <c r="D35" t="s">
        <v>54</v>
      </c>
      <c r="E35" t="s">
        <v>55</v>
      </c>
      <c r="F35" t="s">
        <v>56</v>
      </c>
      <c r="G35" t="s">
        <v>38</v>
      </c>
      <c r="H35" s="5">
        <v>43466</v>
      </c>
      <c r="I35">
        <v>54</v>
      </c>
      <c r="J35" t="s">
        <v>57</v>
      </c>
    </row>
    <row r="36" spans="1:10">
      <c r="A36" t="s">
        <v>120</v>
      </c>
      <c r="B36" t="s">
        <v>121</v>
      </c>
      <c r="C36" t="s">
        <v>60</v>
      </c>
      <c r="D36" t="s">
        <v>35</v>
      </c>
      <c r="E36" t="s">
        <v>36</v>
      </c>
      <c r="F36" t="s">
        <v>37</v>
      </c>
      <c r="G36" t="s">
        <v>38</v>
      </c>
      <c r="H36" s="5">
        <v>44501</v>
      </c>
      <c r="I36">
        <v>71</v>
      </c>
      <c r="J36" t="s">
        <v>39</v>
      </c>
    </row>
    <row r="37" spans="1:10">
      <c r="A37" t="s">
        <v>122</v>
      </c>
      <c r="B37" t="s">
        <v>123</v>
      </c>
      <c r="C37" t="s">
        <v>47</v>
      </c>
      <c r="D37" t="s">
        <v>54</v>
      </c>
      <c r="E37" t="s">
        <v>55</v>
      </c>
      <c r="F37" t="s">
        <v>37</v>
      </c>
      <c r="G37" t="s">
        <v>38</v>
      </c>
      <c r="H37" s="5">
        <v>43647</v>
      </c>
      <c r="I37">
        <v>91</v>
      </c>
      <c r="J37" t="s">
        <v>50</v>
      </c>
    </row>
    <row r="38" spans="1:10">
      <c r="A38" t="s">
        <v>124</v>
      </c>
      <c r="B38" t="s">
        <v>125</v>
      </c>
      <c r="C38" t="s">
        <v>34</v>
      </c>
      <c r="D38" t="s">
        <v>54</v>
      </c>
      <c r="E38" t="s">
        <v>55</v>
      </c>
      <c r="F38" t="s">
        <v>56</v>
      </c>
      <c r="G38" t="s">
        <v>38</v>
      </c>
      <c r="H38" s="5">
        <v>44531</v>
      </c>
      <c r="I38">
        <v>61</v>
      </c>
      <c r="J38" t="s">
        <v>39</v>
      </c>
    </row>
    <row r="39" spans="1:10">
      <c r="A39" t="s">
        <v>126</v>
      </c>
      <c r="B39" t="s">
        <v>127</v>
      </c>
      <c r="C39" t="s">
        <v>47</v>
      </c>
      <c r="D39" t="s">
        <v>48</v>
      </c>
      <c r="E39" t="s">
        <v>49</v>
      </c>
      <c r="F39" t="s">
        <v>56</v>
      </c>
      <c r="G39" t="s">
        <v>38</v>
      </c>
      <c r="H39" s="5">
        <v>44531</v>
      </c>
      <c r="I39">
        <v>70</v>
      </c>
      <c r="J39" t="s">
        <v>39</v>
      </c>
    </row>
    <row r="40" spans="1:10">
      <c r="A40" t="s">
        <v>128</v>
      </c>
      <c r="B40" t="s">
        <v>129</v>
      </c>
      <c r="C40" t="s">
        <v>47</v>
      </c>
      <c r="D40" t="s">
        <v>35</v>
      </c>
      <c r="E40" t="s">
        <v>36</v>
      </c>
      <c r="F40" t="s">
        <v>37</v>
      </c>
      <c r="G40" t="s">
        <v>38</v>
      </c>
      <c r="H40" s="5">
        <v>44682</v>
      </c>
      <c r="I40">
        <v>77</v>
      </c>
      <c r="J40" t="s">
        <v>50</v>
      </c>
    </row>
    <row r="41" spans="1:10">
      <c r="A41" t="s">
        <v>130</v>
      </c>
      <c r="B41" t="s">
        <v>131</v>
      </c>
      <c r="C41" t="s">
        <v>60</v>
      </c>
      <c r="D41" t="s">
        <v>54</v>
      </c>
      <c r="E41" t="s">
        <v>55</v>
      </c>
      <c r="F41" t="s">
        <v>37</v>
      </c>
      <c r="G41" t="s">
        <v>38</v>
      </c>
      <c r="H41" s="5">
        <v>45017</v>
      </c>
      <c r="I41">
        <v>78</v>
      </c>
      <c r="J41" t="s">
        <v>50</v>
      </c>
    </row>
    <row r="42" spans="1:10">
      <c r="A42" t="s">
        <v>132</v>
      </c>
      <c r="B42" t="s">
        <v>133</v>
      </c>
      <c r="C42" t="s">
        <v>34</v>
      </c>
      <c r="D42" t="s">
        <v>35</v>
      </c>
      <c r="E42" t="s">
        <v>36</v>
      </c>
      <c r="F42" t="s">
        <v>37</v>
      </c>
      <c r="G42" t="s">
        <v>38</v>
      </c>
      <c r="H42" s="5">
        <v>44256</v>
      </c>
      <c r="I42">
        <v>87</v>
      </c>
      <c r="J42" t="s">
        <v>50</v>
      </c>
    </row>
    <row r="43" spans="1:10">
      <c r="A43" t="s">
        <v>134</v>
      </c>
      <c r="B43" t="s">
        <v>135</v>
      </c>
      <c r="C43" t="s">
        <v>34</v>
      </c>
      <c r="D43" t="s">
        <v>70</v>
      </c>
      <c r="E43" t="s">
        <v>76</v>
      </c>
      <c r="F43" t="s">
        <v>43</v>
      </c>
      <c r="G43" t="s">
        <v>44</v>
      </c>
      <c r="H43" s="5">
        <v>44621</v>
      </c>
      <c r="I43">
        <v>61</v>
      </c>
      <c r="J43" t="s">
        <v>39</v>
      </c>
    </row>
    <row r="44" spans="1:10">
      <c r="A44" t="s">
        <v>136</v>
      </c>
      <c r="B44" t="s">
        <v>137</v>
      </c>
      <c r="C44" t="s">
        <v>83</v>
      </c>
      <c r="D44" t="s">
        <v>54</v>
      </c>
      <c r="E44" t="s">
        <v>55</v>
      </c>
      <c r="F44" t="s">
        <v>56</v>
      </c>
      <c r="G44" t="s">
        <v>38</v>
      </c>
      <c r="H44" s="5">
        <v>43374</v>
      </c>
      <c r="I44">
        <v>49</v>
      </c>
      <c r="J44" t="s">
        <v>57</v>
      </c>
    </row>
    <row r="45" spans="1:10">
      <c r="A45" t="s">
        <v>138</v>
      </c>
      <c r="B45" t="s">
        <v>139</v>
      </c>
      <c r="C45" t="s">
        <v>83</v>
      </c>
      <c r="D45" t="s">
        <v>48</v>
      </c>
      <c r="E45" t="s">
        <v>115</v>
      </c>
      <c r="F45" t="s">
        <v>43</v>
      </c>
      <c r="G45" t="s">
        <v>44</v>
      </c>
      <c r="H45" s="5">
        <v>44105</v>
      </c>
      <c r="I45">
        <v>83</v>
      </c>
      <c r="J45" t="s">
        <v>50</v>
      </c>
    </row>
    <row r="46" spans="1:10">
      <c r="A46" t="s">
        <v>140</v>
      </c>
      <c r="B46" t="s">
        <v>141</v>
      </c>
      <c r="C46" t="s">
        <v>47</v>
      </c>
      <c r="D46" t="s">
        <v>54</v>
      </c>
      <c r="E46" t="s">
        <v>94</v>
      </c>
      <c r="F46" t="s">
        <v>43</v>
      </c>
      <c r="G46" t="s">
        <v>38</v>
      </c>
      <c r="H46" s="5">
        <v>43435</v>
      </c>
      <c r="I46">
        <v>44</v>
      </c>
      <c r="J46" t="s">
        <v>57</v>
      </c>
    </row>
    <row r="47" spans="1:10">
      <c r="A47" t="s">
        <v>142</v>
      </c>
      <c r="B47" t="s">
        <v>143</v>
      </c>
      <c r="C47" t="s">
        <v>60</v>
      </c>
      <c r="D47" t="s">
        <v>35</v>
      </c>
      <c r="E47" t="s">
        <v>36</v>
      </c>
      <c r="F47" t="s">
        <v>37</v>
      </c>
      <c r="G47" t="s">
        <v>38</v>
      </c>
      <c r="H47" s="5">
        <v>43556</v>
      </c>
      <c r="I47">
        <v>72</v>
      </c>
      <c r="J47" t="s">
        <v>39</v>
      </c>
    </row>
    <row r="48" spans="1:10">
      <c r="A48" t="s">
        <v>144</v>
      </c>
      <c r="B48" t="s">
        <v>145</v>
      </c>
      <c r="C48" t="s">
        <v>47</v>
      </c>
      <c r="D48" t="s">
        <v>48</v>
      </c>
      <c r="E48" t="s">
        <v>115</v>
      </c>
      <c r="F48" t="s">
        <v>43</v>
      </c>
      <c r="G48" t="s">
        <v>44</v>
      </c>
      <c r="H48" s="5">
        <v>45170</v>
      </c>
      <c r="I48">
        <v>72</v>
      </c>
      <c r="J48" t="s">
        <v>39</v>
      </c>
    </row>
    <row r="49" spans="1:10">
      <c r="A49" t="s">
        <v>146</v>
      </c>
      <c r="B49" t="s">
        <v>147</v>
      </c>
      <c r="C49" t="s">
        <v>83</v>
      </c>
      <c r="D49" t="s">
        <v>54</v>
      </c>
      <c r="E49" t="s">
        <v>94</v>
      </c>
      <c r="F49" t="s">
        <v>43</v>
      </c>
      <c r="G49" t="s">
        <v>38</v>
      </c>
      <c r="H49" s="5">
        <v>43405</v>
      </c>
      <c r="I49">
        <v>64</v>
      </c>
      <c r="J49" t="s">
        <v>39</v>
      </c>
    </row>
    <row r="50" spans="1:10">
      <c r="A50" t="s">
        <v>148</v>
      </c>
      <c r="B50" t="s">
        <v>149</v>
      </c>
      <c r="C50" t="s">
        <v>83</v>
      </c>
      <c r="D50" t="s">
        <v>35</v>
      </c>
      <c r="E50" t="s">
        <v>36</v>
      </c>
      <c r="F50" t="s">
        <v>56</v>
      </c>
      <c r="G50" t="s">
        <v>38</v>
      </c>
      <c r="H50" s="5">
        <v>43891</v>
      </c>
      <c r="I50">
        <v>66</v>
      </c>
      <c r="J50" t="s">
        <v>39</v>
      </c>
    </row>
    <row r="51" spans="1:10">
      <c r="A51" t="s">
        <v>150</v>
      </c>
      <c r="B51" t="s">
        <v>151</v>
      </c>
      <c r="C51" t="s">
        <v>69</v>
      </c>
      <c r="D51" t="s">
        <v>54</v>
      </c>
      <c r="E51" t="s">
        <v>94</v>
      </c>
      <c r="F51" t="s">
        <v>43</v>
      </c>
      <c r="G51" t="s">
        <v>38</v>
      </c>
      <c r="H51" s="5">
        <v>45627</v>
      </c>
      <c r="I51">
        <v>77</v>
      </c>
      <c r="J51" t="s">
        <v>50</v>
      </c>
    </row>
    <row r="52" spans="1:10">
      <c r="A52" t="s">
        <v>152</v>
      </c>
      <c r="B52" t="s">
        <v>153</v>
      </c>
      <c r="C52" t="s">
        <v>69</v>
      </c>
      <c r="D52" t="s">
        <v>70</v>
      </c>
      <c r="E52" t="s">
        <v>71</v>
      </c>
      <c r="F52" t="s">
        <v>56</v>
      </c>
      <c r="G52" t="s">
        <v>38</v>
      </c>
      <c r="H52" s="5">
        <v>43800</v>
      </c>
      <c r="I52">
        <v>61</v>
      </c>
      <c r="J52" t="s">
        <v>39</v>
      </c>
    </row>
    <row r="53" spans="1:10">
      <c r="A53" t="s">
        <v>154</v>
      </c>
      <c r="B53" t="s">
        <v>155</v>
      </c>
      <c r="C53" t="s">
        <v>34</v>
      </c>
      <c r="D53" t="s">
        <v>70</v>
      </c>
      <c r="E53" t="s">
        <v>71</v>
      </c>
      <c r="F53" t="s">
        <v>56</v>
      </c>
      <c r="G53" t="s">
        <v>38</v>
      </c>
      <c r="H53" s="5">
        <v>44256</v>
      </c>
      <c r="I53">
        <v>67</v>
      </c>
      <c r="J53" t="s">
        <v>39</v>
      </c>
    </row>
    <row r="54" spans="1:10">
      <c r="A54" t="s">
        <v>156</v>
      </c>
      <c r="B54" t="s">
        <v>157</v>
      </c>
      <c r="C54" t="s">
        <v>83</v>
      </c>
      <c r="D54" t="s">
        <v>48</v>
      </c>
      <c r="E54" t="s">
        <v>49</v>
      </c>
      <c r="F54" t="s">
        <v>56</v>
      </c>
      <c r="G54" t="s">
        <v>38</v>
      </c>
      <c r="H54" s="5">
        <v>44652</v>
      </c>
      <c r="I54">
        <v>81</v>
      </c>
      <c r="J54" t="s">
        <v>50</v>
      </c>
    </row>
    <row r="55" spans="1:10">
      <c r="A55" t="s">
        <v>158</v>
      </c>
      <c r="B55" t="s">
        <v>159</v>
      </c>
      <c r="C55" t="s">
        <v>60</v>
      </c>
      <c r="D55" t="s">
        <v>35</v>
      </c>
      <c r="E55" t="s">
        <v>36</v>
      </c>
      <c r="F55" t="s">
        <v>37</v>
      </c>
      <c r="G55" t="s">
        <v>38</v>
      </c>
      <c r="H55" s="5">
        <v>43617</v>
      </c>
      <c r="I55">
        <v>60</v>
      </c>
      <c r="J55" t="s">
        <v>39</v>
      </c>
    </row>
    <row r="56" spans="1:10">
      <c r="A56" t="s">
        <v>160</v>
      </c>
      <c r="B56" t="s">
        <v>161</v>
      </c>
      <c r="C56" t="s">
        <v>83</v>
      </c>
      <c r="D56" t="s">
        <v>48</v>
      </c>
      <c r="E56" t="s">
        <v>49</v>
      </c>
      <c r="F56" t="s">
        <v>37</v>
      </c>
      <c r="G56" t="s">
        <v>38</v>
      </c>
      <c r="H56" s="5">
        <v>44652</v>
      </c>
      <c r="I56">
        <v>47</v>
      </c>
      <c r="J56" t="s">
        <v>57</v>
      </c>
    </row>
    <row r="57" spans="1:10">
      <c r="A57" t="s">
        <v>162</v>
      </c>
      <c r="B57" t="s">
        <v>163</v>
      </c>
      <c r="C57" t="s">
        <v>69</v>
      </c>
      <c r="D57" t="s">
        <v>70</v>
      </c>
      <c r="E57" t="s">
        <v>76</v>
      </c>
      <c r="F57" t="s">
        <v>43</v>
      </c>
      <c r="G57" t="s">
        <v>44</v>
      </c>
      <c r="H57" s="5">
        <v>43891</v>
      </c>
      <c r="I57">
        <v>71</v>
      </c>
      <c r="J57" t="s">
        <v>39</v>
      </c>
    </row>
    <row r="58" spans="1:10">
      <c r="A58" t="s">
        <v>164</v>
      </c>
      <c r="B58" t="s">
        <v>165</v>
      </c>
      <c r="C58" t="s">
        <v>53</v>
      </c>
      <c r="D58" t="s">
        <v>54</v>
      </c>
      <c r="E58" t="s">
        <v>55</v>
      </c>
      <c r="F58" t="s">
        <v>56</v>
      </c>
      <c r="G58" t="s">
        <v>38</v>
      </c>
      <c r="H58" s="5">
        <v>45108</v>
      </c>
      <c r="I58">
        <v>78</v>
      </c>
      <c r="J58" t="s">
        <v>50</v>
      </c>
    </row>
    <row r="59" spans="1:10">
      <c r="A59" t="s">
        <v>166</v>
      </c>
      <c r="B59" t="s">
        <v>167</v>
      </c>
      <c r="C59" t="s">
        <v>69</v>
      </c>
      <c r="D59" t="s">
        <v>48</v>
      </c>
      <c r="E59" t="s">
        <v>49</v>
      </c>
      <c r="F59" t="s">
        <v>56</v>
      </c>
      <c r="G59" t="s">
        <v>38</v>
      </c>
      <c r="H59" s="5">
        <v>44317</v>
      </c>
      <c r="I59">
        <v>78</v>
      </c>
      <c r="J59" t="s">
        <v>50</v>
      </c>
    </row>
    <row r="60" spans="1:10">
      <c r="A60" t="s">
        <v>168</v>
      </c>
      <c r="B60" t="s">
        <v>169</v>
      </c>
      <c r="C60" t="s">
        <v>60</v>
      </c>
      <c r="D60" t="s">
        <v>54</v>
      </c>
      <c r="E60" t="s">
        <v>55</v>
      </c>
      <c r="F60" t="s">
        <v>37</v>
      </c>
      <c r="G60" t="s">
        <v>38</v>
      </c>
      <c r="H60" s="5">
        <v>44866</v>
      </c>
      <c r="I60">
        <v>75</v>
      </c>
      <c r="J60" t="s">
        <v>50</v>
      </c>
    </row>
    <row r="61" spans="1:10">
      <c r="A61" t="s">
        <v>170</v>
      </c>
      <c r="B61" t="s">
        <v>171</v>
      </c>
      <c r="C61" t="s">
        <v>69</v>
      </c>
      <c r="D61" t="s">
        <v>70</v>
      </c>
      <c r="E61" t="s">
        <v>71</v>
      </c>
      <c r="F61" t="s">
        <v>56</v>
      </c>
      <c r="G61" t="s">
        <v>38</v>
      </c>
      <c r="H61" s="5">
        <v>44866</v>
      </c>
      <c r="I61">
        <v>46</v>
      </c>
      <c r="J61" t="s">
        <v>57</v>
      </c>
    </row>
    <row r="62" spans="1:10">
      <c r="A62" t="s">
        <v>172</v>
      </c>
      <c r="B62" t="s">
        <v>173</v>
      </c>
      <c r="C62" t="s">
        <v>83</v>
      </c>
      <c r="D62" t="s">
        <v>54</v>
      </c>
      <c r="E62" t="s">
        <v>55</v>
      </c>
      <c r="F62" t="s">
        <v>37</v>
      </c>
      <c r="G62" t="s">
        <v>38</v>
      </c>
      <c r="H62" s="5">
        <v>45505</v>
      </c>
      <c r="I62">
        <v>92</v>
      </c>
      <c r="J62" t="s">
        <v>50</v>
      </c>
    </row>
    <row r="63" spans="1:10">
      <c r="A63" t="s">
        <v>174</v>
      </c>
      <c r="B63" t="s">
        <v>175</v>
      </c>
      <c r="C63" t="s">
        <v>53</v>
      </c>
      <c r="D63" t="s">
        <v>70</v>
      </c>
      <c r="E63" t="s">
        <v>71</v>
      </c>
      <c r="F63" t="s">
        <v>37</v>
      </c>
      <c r="G63" t="s">
        <v>38</v>
      </c>
      <c r="H63" s="5">
        <v>45597</v>
      </c>
      <c r="I63">
        <v>62</v>
      </c>
      <c r="J63" t="s">
        <v>39</v>
      </c>
    </row>
    <row r="64" spans="1:10">
      <c r="A64" t="s">
        <v>176</v>
      </c>
      <c r="B64" t="s">
        <v>177</v>
      </c>
      <c r="C64" t="s">
        <v>47</v>
      </c>
      <c r="D64" t="s">
        <v>70</v>
      </c>
      <c r="E64" t="s">
        <v>71</v>
      </c>
      <c r="F64" t="s">
        <v>56</v>
      </c>
      <c r="G64" t="s">
        <v>38</v>
      </c>
      <c r="H64" s="5">
        <v>45017</v>
      </c>
      <c r="I64">
        <v>71</v>
      </c>
      <c r="J64" t="s">
        <v>39</v>
      </c>
    </row>
    <row r="65" spans="1:10">
      <c r="A65" t="s">
        <v>178</v>
      </c>
      <c r="B65" t="s">
        <v>179</v>
      </c>
      <c r="C65" t="s">
        <v>34</v>
      </c>
      <c r="D65" t="s">
        <v>54</v>
      </c>
      <c r="E65" t="s">
        <v>55</v>
      </c>
      <c r="F65" t="s">
        <v>56</v>
      </c>
      <c r="G65" t="s">
        <v>38</v>
      </c>
      <c r="H65" s="5">
        <v>45292</v>
      </c>
      <c r="I65">
        <v>73</v>
      </c>
      <c r="J65" t="s">
        <v>39</v>
      </c>
    </row>
    <row r="66" spans="1:10">
      <c r="A66" t="s">
        <v>180</v>
      </c>
      <c r="B66" t="s">
        <v>181</v>
      </c>
      <c r="C66" t="s">
        <v>34</v>
      </c>
      <c r="D66" t="s">
        <v>48</v>
      </c>
      <c r="E66" t="s">
        <v>115</v>
      </c>
      <c r="F66" t="s">
        <v>43</v>
      </c>
      <c r="G66" t="s">
        <v>44</v>
      </c>
      <c r="H66" s="5">
        <v>45261</v>
      </c>
      <c r="I66">
        <v>55</v>
      </c>
      <c r="J66" t="s">
        <v>39</v>
      </c>
    </row>
    <row r="67" spans="1:10">
      <c r="A67" t="s">
        <v>182</v>
      </c>
      <c r="B67" t="s">
        <v>183</v>
      </c>
      <c r="C67" t="s">
        <v>34</v>
      </c>
      <c r="D67" t="s">
        <v>70</v>
      </c>
      <c r="E67" t="s">
        <v>76</v>
      </c>
      <c r="F67" t="s">
        <v>43</v>
      </c>
      <c r="G67" t="s">
        <v>44</v>
      </c>
      <c r="H67" s="5">
        <v>43952</v>
      </c>
      <c r="I67">
        <v>94</v>
      </c>
      <c r="J67" t="s">
        <v>50</v>
      </c>
    </row>
    <row r="68" spans="1:10">
      <c r="A68" t="s">
        <v>184</v>
      </c>
      <c r="B68" t="s">
        <v>185</v>
      </c>
      <c r="C68" t="s">
        <v>69</v>
      </c>
      <c r="D68" t="s">
        <v>48</v>
      </c>
      <c r="E68" t="s">
        <v>49</v>
      </c>
      <c r="F68" t="s">
        <v>56</v>
      </c>
      <c r="G68" t="s">
        <v>44</v>
      </c>
      <c r="H68" s="5">
        <v>44743</v>
      </c>
      <c r="I68">
        <v>52</v>
      </c>
      <c r="J68" t="s">
        <v>57</v>
      </c>
    </row>
    <row r="69" spans="1:10">
      <c r="A69" t="s">
        <v>186</v>
      </c>
      <c r="B69" t="s">
        <v>187</v>
      </c>
      <c r="C69" t="s">
        <v>83</v>
      </c>
      <c r="D69" t="s">
        <v>70</v>
      </c>
      <c r="E69" t="s">
        <v>76</v>
      </c>
      <c r="F69" t="s">
        <v>43</v>
      </c>
      <c r="G69" t="s">
        <v>38</v>
      </c>
      <c r="H69" s="5">
        <v>45047</v>
      </c>
      <c r="I69">
        <v>42</v>
      </c>
      <c r="J69" t="s">
        <v>57</v>
      </c>
    </row>
    <row r="70" spans="1:10">
      <c r="A70" t="s">
        <v>188</v>
      </c>
      <c r="B70" t="s">
        <v>189</v>
      </c>
      <c r="C70" t="s">
        <v>34</v>
      </c>
      <c r="D70" t="s">
        <v>48</v>
      </c>
      <c r="E70" t="s">
        <v>115</v>
      </c>
      <c r="F70" t="s">
        <v>43</v>
      </c>
      <c r="G70" t="s">
        <v>38</v>
      </c>
      <c r="H70" s="5">
        <v>44197</v>
      </c>
      <c r="I70">
        <v>59</v>
      </c>
      <c r="J70" t="s">
        <v>39</v>
      </c>
    </row>
    <row r="71" spans="1:10">
      <c r="A71" t="s">
        <v>190</v>
      </c>
      <c r="B71" t="s">
        <v>191</v>
      </c>
      <c r="C71" t="s">
        <v>47</v>
      </c>
      <c r="D71" t="s">
        <v>35</v>
      </c>
      <c r="E71" t="s">
        <v>36</v>
      </c>
      <c r="F71" t="s">
        <v>56</v>
      </c>
      <c r="G71" t="s">
        <v>44</v>
      </c>
      <c r="H71" s="5">
        <v>43466</v>
      </c>
      <c r="I71">
        <v>82</v>
      </c>
      <c r="J71" t="s">
        <v>50</v>
      </c>
    </row>
    <row r="72" spans="1:10">
      <c r="A72" t="s">
        <v>192</v>
      </c>
      <c r="B72" t="s">
        <v>193</v>
      </c>
      <c r="C72" t="s">
        <v>34</v>
      </c>
      <c r="D72" t="s">
        <v>35</v>
      </c>
      <c r="E72" t="s">
        <v>36</v>
      </c>
      <c r="F72" t="s">
        <v>56</v>
      </c>
      <c r="G72" t="s">
        <v>38</v>
      </c>
      <c r="H72" s="5">
        <v>44470</v>
      </c>
      <c r="I72">
        <v>78</v>
      </c>
      <c r="J72" t="s">
        <v>50</v>
      </c>
    </row>
    <row r="73" spans="1:10">
      <c r="A73" t="s">
        <v>194</v>
      </c>
      <c r="B73" t="s">
        <v>195</v>
      </c>
      <c r="C73" t="s">
        <v>69</v>
      </c>
      <c r="D73" t="s">
        <v>70</v>
      </c>
      <c r="E73" t="s">
        <v>71</v>
      </c>
      <c r="F73" t="s">
        <v>37</v>
      </c>
      <c r="G73" t="s">
        <v>38</v>
      </c>
      <c r="H73" s="5">
        <v>44652</v>
      </c>
      <c r="I73">
        <v>53</v>
      </c>
      <c r="J73" t="s">
        <v>57</v>
      </c>
    </row>
    <row r="74" spans="1:10">
      <c r="A74" t="s">
        <v>196</v>
      </c>
      <c r="B74" t="s">
        <v>197</v>
      </c>
      <c r="C74" t="s">
        <v>47</v>
      </c>
      <c r="D74" t="s">
        <v>48</v>
      </c>
      <c r="E74" t="s">
        <v>49</v>
      </c>
      <c r="F74" t="s">
        <v>56</v>
      </c>
      <c r="G74" t="s">
        <v>38</v>
      </c>
      <c r="H74" s="5">
        <v>44805</v>
      </c>
      <c r="I74">
        <v>69</v>
      </c>
      <c r="J74" t="s">
        <v>39</v>
      </c>
    </row>
    <row r="75" spans="1:10">
      <c r="A75" t="s">
        <v>198</v>
      </c>
      <c r="B75" t="s">
        <v>199</v>
      </c>
      <c r="C75" t="s">
        <v>83</v>
      </c>
      <c r="D75" t="s">
        <v>70</v>
      </c>
      <c r="E75" t="s">
        <v>71</v>
      </c>
      <c r="F75" t="s">
        <v>56</v>
      </c>
      <c r="G75" t="s">
        <v>44</v>
      </c>
      <c r="H75" s="5">
        <v>45078</v>
      </c>
      <c r="I75">
        <v>79</v>
      </c>
      <c r="J75" t="s">
        <v>50</v>
      </c>
    </row>
    <row r="76" spans="1:10">
      <c r="A76" t="s">
        <v>200</v>
      </c>
      <c r="B76" t="s">
        <v>201</v>
      </c>
      <c r="C76" t="s">
        <v>69</v>
      </c>
      <c r="D76" t="s">
        <v>35</v>
      </c>
      <c r="E76" t="s">
        <v>36</v>
      </c>
      <c r="F76" t="s">
        <v>37</v>
      </c>
      <c r="G76" t="s">
        <v>44</v>
      </c>
      <c r="H76" s="5">
        <v>44228</v>
      </c>
      <c r="I76">
        <v>64</v>
      </c>
      <c r="J76" t="s">
        <v>39</v>
      </c>
    </row>
    <row r="77" spans="1:10">
      <c r="A77" t="s">
        <v>202</v>
      </c>
      <c r="B77" t="s">
        <v>203</v>
      </c>
      <c r="C77" t="s">
        <v>47</v>
      </c>
      <c r="D77" t="s">
        <v>35</v>
      </c>
      <c r="E77" t="s">
        <v>36</v>
      </c>
      <c r="F77" t="s">
        <v>56</v>
      </c>
      <c r="G77" t="s">
        <v>38</v>
      </c>
      <c r="H77" s="5">
        <v>43556</v>
      </c>
      <c r="I77">
        <v>76</v>
      </c>
      <c r="J77" t="s">
        <v>50</v>
      </c>
    </row>
    <row r="78" spans="1:10">
      <c r="A78" t="s">
        <v>204</v>
      </c>
      <c r="B78" t="s">
        <v>205</v>
      </c>
      <c r="C78" t="s">
        <v>83</v>
      </c>
      <c r="D78" t="s">
        <v>70</v>
      </c>
      <c r="E78" t="s">
        <v>71</v>
      </c>
      <c r="F78" t="s">
        <v>56</v>
      </c>
      <c r="G78" t="s">
        <v>38</v>
      </c>
      <c r="H78" s="5">
        <v>45231</v>
      </c>
      <c r="I78">
        <v>87</v>
      </c>
      <c r="J78" t="s">
        <v>50</v>
      </c>
    </row>
    <row r="79" spans="1:10">
      <c r="A79" t="s">
        <v>206</v>
      </c>
      <c r="B79" t="s">
        <v>207</v>
      </c>
      <c r="C79" t="s">
        <v>83</v>
      </c>
      <c r="D79" t="s">
        <v>54</v>
      </c>
      <c r="E79" t="s">
        <v>55</v>
      </c>
      <c r="F79" t="s">
        <v>37</v>
      </c>
      <c r="G79" t="s">
        <v>38</v>
      </c>
      <c r="H79" s="5">
        <v>45017</v>
      </c>
      <c r="I79">
        <v>59</v>
      </c>
      <c r="J79" t="s">
        <v>39</v>
      </c>
    </row>
    <row r="80" spans="1:10">
      <c r="A80" t="s">
        <v>208</v>
      </c>
      <c r="B80" t="s">
        <v>209</v>
      </c>
      <c r="C80" t="s">
        <v>47</v>
      </c>
      <c r="D80" t="s">
        <v>48</v>
      </c>
      <c r="E80" t="s">
        <v>115</v>
      </c>
      <c r="F80" t="s">
        <v>43</v>
      </c>
      <c r="G80" t="s">
        <v>38</v>
      </c>
      <c r="H80" s="5">
        <v>44501</v>
      </c>
      <c r="I80">
        <v>62</v>
      </c>
      <c r="J80" t="s">
        <v>39</v>
      </c>
    </row>
    <row r="81" spans="1:10">
      <c r="A81" t="s">
        <v>210</v>
      </c>
      <c r="B81" t="s">
        <v>211</v>
      </c>
      <c r="C81" t="s">
        <v>83</v>
      </c>
      <c r="D81" t="s">
        <v>70</v>
      </c>
      <c r="E81" t="s">
        <v>71</v>
      </c>
      <c r="F81" t="s">
        <v>56</v>
      </c>
      <c r="G81" t="s">
        <v>38</v>
      </c>
      <c r="H81" s="5">
        <v>43466</v>
      </c>
      <c r="I81">
        <v>51</v>
      </c>
      <c r="J81" t="s">
        <v>57</v>
      </c>
    </row>
    <row r="82" spans="1:10">
      <c r="A82" t="s">
        <v>212</v>
      </c>
      <c r="B82" t="s">
        <v>213</v>
      </c>
      <c r="C82" t="s">
        <v>53</v>
      </c>
      <c r="D82" t="s">
        <v>54</v>
      </c>
      <c r="E82" t="s">
        <v>94</v>
      </c>
      <c r="F82" t="s">
        <v>43</v>
      </c>
      <c r="G82" t="s">
        <v>44</v>
      </c>
      <c r="H82" s="5">
        <v>43891</v>
      </c>
      <c r="I82">
        <v>60</v>
      </c>
      <c r="J82" t="s">
        <v>39</v>
      </c>
    </row>
    <row r="83" spans="1:10">
      <c r="A83" t="s">
        <v>214</v>
      </c>
      <c r="B83" t="s">
        <v>215</v>
      </c>
      <c r="C83" t="s">
        <v>47</v>
      </c>
      <c r="D83" t="s">
        <v>54</v>
      </c>
      <c r="E83" t="s">
        <v>55</v>
      </c>
      <c r="F83" t="s">
        <v>56</v>
      </c>
      <c r="G83" t="s">
        <v>44</v>
      </c>
      <c r="H83" s="5">
        <v>43101</v>
      </c>
      <c r="I83">
        <v>81</v>
      </c>
      <c r="J83" t="s">
        <v>50</v>
      </c>
    </row>
    <row r="84" spans="1:10">
      <c r="A84" t="s">
        <v>216</v>
      </c>
      <c r="B84" t="s">
        <v>217</v>
      </c>
      <c r="C84" t="s">
        <v>47</v>
      </c>
      <c r="D84" t="s">
        <v>48</v>
      </c>
      <c r="E84" t="s">
        <v>115</v>
      </c>
      <c r="F84" t="s">
        <v>43</v>
      </c>
      <c r="G84" t="s">
        <v>44</v>
      </c>
      <c r="H84" s="5">
        <v>44317</v>
      </c>
      <c r="I84">
        <v>60</v>
      </c>
      <c r="J84" t="s">
        <v>39</v>
      </c>
    </row>
    <row r="85" spans="1:10">
      <c r="A85" t="s">
        <v>218</v>
      </c>
      <c r="B85" t="s">
        <v>219</v>
      </c>
      <c r="C85" t="s">
        <v>53</v>
      </c>
      <c r="D85" t="s">
        <v>70</v>
      </c>
      <c r="E85" t="s">
        <v>71</v>
      </c>
      <c r="F85" t="s">
        <v>56</v>
      </c>
      <c r="G85" t="s">
        <v>38</v>
      </c>
      <c r="H85" s="5">
        <v>43252</v>
      </c>
      <c r="I85">
        <v>67</v>
      </c>
      <c r="J85" t="s">
        <v>39</v>
      </c>
    </row>
    <row r="86" spans="1:10">
      <c r="A86" t="s">
        <v>220</v>
      </c>
      <c r="B86" t="s">
        <v>221</v>
      </c>
      <c r="C86" t="s">
        <v>34</v>
      </c>
      <c r="D86" t="s">
        <v>70</v>
      </c>
      <c r="E86" t="s">
        <v>71</v>
      </c>
      <c r="F86" t="s">
        <v>37</v>
      </c>
      <c r="G86" t="s">
        <v>38</v>
      </c>
      <c r="H86" s="5">
        <v>43282</v>
      </c>
      <c r="I86">
        <v>70</v>
      </c>
      <c r="J86" t="s">
        <v>39</v>
      </c>
    </row>
    <row r="87" spans="1:10">
      <c r="A87" t="s">
        <v>222</v>
      </c>
      <c r="B87" t="s">
        <v>223</v>
      </c>
      <c r="C87" t="s">
        <v>83</v>
      </c>
      <c r="D87" t="s">
        <v>54</v>
      </c>
      <c r="E87" t="s">
        <v>55</v>
      </c>
      <c r="F87" t="s">
        <v>56</v>
      </c>
      <c r="G87" t="s">
        <v>38</v>
      </c>
      <c r="H87" s="5">
        <v>43862</v>
      </c>
      <c r="I87">
        <v>85</v>
      </c>
      <c r="J87" t="s">
        <v>50</v>
      </c>
    </row>
    <row r="88" spans="1:10">
      <c r="A88" t="s">
        <v>224</v>
      </c>
      <c r="B88" t="s">
        <v>225</v>
      </c>
      <c r="C88" t="s">
        <v>60</v>
      </c>
      <c r="D88" t="s">
        <v>48</v>
      </c>
      <c r="E88" t="s">
        <v>49</v>
      </c>
      <c r="F88" t="s">
        <v>56</v>
      </c>
      <c r="G88" t="s">
        <v>38</v>
      </c>
      <c r="H88" s="5">
        <v>44409</v>
      </c>
      <c r="I88">
        <v>92</v>
      </c>
      <c r="J88" t="s">
        <v>50</v>
      </c>
    </row>
    <row r="89" spans="1:10">
      <c r="A89" t="s">
        <v>226</v>
      </c>
      <c r="B89" t="s">
        <v>227</v>
      </c>
      <c r="C89" t="s">
        <v>60</v>
      </c>
      <c r="D89" t="s">
        <v>48</v>
      </c>
      <c r="E89" t="s">
        <v>49</v>
      </c>
      <c r="F89" t="s">
        <v>37</v>
      </c>
      <c r="G89" t="s">
        <v>38</v>
      </c>
      <c r="H89" s="5">
        <v>44621</v>
      </c>
      <c r="I89">
        <v>57</v>
      </c>
      <c r="J89" t="s">
        <v>39</v>
      </c>
    </row>
    <row r="90" spans="1:10">
      <c r="A90" t="s">
        <v>228</v>
      </c>
      <c r="B90" t="s">
        <v>229</v>
      </c>
      <c r="C90" t="s">
        <v>53</v>
      </c>
      <c r="D90" t="s">
        <v>48</v>
      </c>
      <c r="E90" t="s">
        <v>115</v>
      </c>
      <c r="F90" t="s">
        <v>43</v>
      </c>
      <c r="G90" t="s">
        <v>44</v>
      </c>
      <c r="H90" s="5">
        <v>45108</v>
      </c>
      <c r="I90">
        <v>68</v>
      </c>
      <c r="J90" t="s">
        <v>39</v>
      </c>
    </row>
    <row r="91" spans="1:10">
      <c r="A91" t="s">
        <v>230</v>
      </c>
      <c r="B91" t="s">
        <v>231</v>
      </c>
      <c r="C91" t="s">
        <v>47</v>
      </c>
      <c r="D91" t="s">
        <v>54</v>
      </c>
      <c r="E91" t="s">
        <v>94</v>
      </c>
      <c r="F91" t="s">
        <v>43</v>
      </c>
      <c r="G91" t="s">
        <v>44</v>
      </c>
      <c r="H91" s="5">
        <v>43313</v>
      </c>
      <c r="I91">
        <v>80</v>
      </c>
      <c r="J91" t="s">
        <v>50</v>
      </c>
    </row>
    <row r="92" spans="1:10">
      <c r="A92" t="s">
        <v>232</v>
      </c>
      <c r="B92" t="s">
        <v>233</v>
      </c>
      <c r="C92" t="s">
        <v>53</v>
      </c>
      <c r="D92" t="s">
        <v>48</v>
      </c>
      <c r="E92" t="s">
        <v>115</v>
      </c>
      <c r="F92" t="s">
        <v>43</v>
      </c>
      <c r="G92" t="s">
        <v>44</v>
      </c>
      <c r="H92" s="5">
        <v>44562</v>
      </c>
      <c r="I92">
        <v>77</v>
      </c>
      <c r="J92" t="s">
        <v>50</v>
      </c>
    </row>
    <row r="93" spans="1:10">
      <c r="A93" t="s">
        <v>234</v>
      </c>
      <c r="B93" t="s">
        <v>235</v>
      </c>
      <c r="C93" t="s">
        <v>34</v>
      </c>
      <c r="D93" t="s">
        <v>70</v>
      </c>
      <c r="E93" t="s">
        <v>71</v>
      </c>
      <c r="F93" t="s">
        <v>56</v>
      </c>
      <c r="G93" t="s">
        <v>38</v>
      </c>
      <c r="H93" s="5">
        <v>44256</v>
      </c>
      <c r="I93">
        <v>66</v>
      </c>
      <c r="J93" t="s">
        <v>39</v>
      </c>
    </row>
    <row r="94" spans="1:10">
      <c r="A94" t="s">
        <v>236</v>
      </c>
      <c r="B94" t="s">
        <v>237</v>
      </c>
      <c r="C94" t="s">
        <v>83</v>
      </c>
      <c r="D94" t="s">
        <v>48</v>
      </c>
      <c r="E94" t="s">
        <v>49</v>
      </c>
      <c r="F94" t="s">
        <v>37</v>
      </c>
      <c r="G94" t="s">
        <v>38</v>
      </c>
      <c r="H94" s="5">
        <v>44986</v>
      </c>
      <c r="I94">
        <v>59</v>
      </c>
      <c r="J94" t="s">
        <v>39</v>
      </c>
    </row>
    <row r="95" spans="1:10">
      <c r="A95" t="s">
        <v>238</v>
      </c>
      <c r="B95" t="s">
        <v>239</v>
      </c>
      <c r="C95" t="s">
        <v>47</v>
      </c>
      <c r="D95" t="s">
        <v>48</v>
      </c>
      <c r="E95" t="s">
        <v>49</v>
      </c>
      <c r="F95" t="s">
        <v>56</v>
      </c>
      <c r="G95" t="s">
        <v>38</v>
      </c>
      <c r="H95" s="5">
        <v>44105</v>
      </c>
      <c r="I95">
        <v>66</v>
      </c>
      <c r="J95" t="s">
        <v>39</v>
      </c>
    </row>
    <row r="96" spans="1:10">
      <c r="A96" t="s">
        <v>240</v>
      </c>
      <c r="B96" t="s">
        <v>241</v>
      </c>
      <c r="C96" t="s">
        <v>69</v>
      </c>
      <c r="D96" t="s">
        <v>70</v>
      </c>
      <c r="E96" t="s">
        <v>71</v>
      </c>
      <c r="F96" t="s">
        <v>56</v>
      </c>
      <c r="G96" t="s">
        <v>38</v>
      </c>
      <c r="H96" s="5">
        <v>43191</v>
      </c>
      <c r="I96">
        <v>88</v>
      </c>
      <c r="J96" t="s">
        <v>50</v>
      </c>
    </row>
    <row r="97" spans="1:10">
      <c r="A97" t="s">
        <v>242</v>
      </c>
      <c r="B97" t="s">
        <v>243</v>
      </c>
      <c r="C97" t="s">
        <v>53</v>
      </c>
      <c r="D97" t="s">
        <v>48</v>
      </c>
      <c r="E97" t="s">
        <v>49</v>
      </c>
      <c r="F97" t="s">
        <v>56</v>
      </c>
      <c r="G97" t="s">
        <v>38</v>
      </c>
      <c r="H97" s="5">
        <v>43252</v>
      </c>
      <c r="I97">
        <v>83</v>
      </c>
      <c r="J97" t="s">
        <v>50</v>
      </c>
    </row>
    <row r="98" spans="1:10">
      <c r="A98" t="s">
        <v>244</v>
      </c>
      <c r="B98" t="s">
        <v>245</v>
      </c>
      <c r="C98" t="s">
        <v>83</v>
      </c>
      <c r="D98" t="s">
        <v>54</v>
      </c>
      <c r="E98" t="s">
        <v>94</v>
      </c>
      <c r="F98" t="s">
        <v>43</v>
      </c>
      <c r="G98" t="s">
        <v>38</v>
      </c>
      <c r="H98" s="5">
        <v>43770</v>
      </c>
      <c r="I98">
        <v>83</v>
      </c>
      <c r="J98" t="s">
        <v>50</v>
      </c>
    </row>
    <row r="99" spans="1:10">
      <c r="A99" t="s">
        <v>246</v>
      </c>
      <c r="B99" t="s">
        <v>247</v>
      </c>
      <c r="C99" t="s">
        <v>60</v>
      </c>
      <c r="D99" t="s">
        <v>35</v>
      </c>
      <c r="E99" t="s">
        <v>36</v>
      </c>
      <c r="F99" t="s">
        <v>56</v>
      </c>
      <c r="G99" t="s">
        <v>38</v>
      </c>
      <c r="H99" s="5">
        <v>44713</v>
      </c>
      <c r="I99">
        <v>79</v>
      </c>
      <c r="J99" t="s">
        <v>50</v>
      </c>
    </row>
    <row r="100" spans="1:10">
      <c r="A100" t="s">
        <v>248</v>
      </c>
      <c r="B100" t="s">
        <v>249</v>
      </c>
      <c r="C100" t="s">
        <v>69</v>
      </c>
      <c r="D100" t="s">
        <v>54</v>
      </c>
      <c r="E100" t="s">
        <v>55</v>
      </c>
      <c r="F100" t="s">
        <v>37</v>
      </c>
      <c r="G100" t="s">
        <v>38</v>
      </c>
      <c r="H100" s="5">
        <v>43586</v>
      </c>
      <c r="I100">
        <v>76</v>
      </c>
      <c r="J100" t="s">
        <v>50</v>
      </c>
    </row>
    <row r="101" spans="1:10">
      <c r="A101" t="s">
        <v>250</v>
      </c>
      <c r="B101" t="s">
        <v>251</v>
      </c>
      <c r="C101" t="s">
        <v>47</v>
      </c>
      <c r="D101" t="s">
        <v>70</v>
      </c>
      <c r="E101" t="s">
        <v>71</v>
      </c>
      <c r="F101" t="s">
        <v>56</v>
      </c>
      <c r="G101" t="s">
        <v>38</v>
      </c>
      <c r="H101" s="5">
        <v>45261</v>
      </c>
      <c r="I101">
        <v>77</v>
      </c>
      <c r="J101" t="s">
        <v>50</v>
      </c>
    </row>
    <row r="102" spans="1:10">
      <c r="A102" t="s">
        <v>252</v>
      </c>
      <c r="B102" t="s">
        <v>253</v>
      </c>
      <c r="C102" t="s">
        <v>47</v>
      </c>
      <c r="D102" t="s">
        <v>35</v>
      </c>
      <c r="E102" t="s">
        <v>36</v>
      </c>
      <c r="F102" t="s">
        <v>56</v>
      </c>
      <c r="G102" t="s">
        <v>38</v>
      </c>
      <c r="H102" s="5">
        <v>43556</v>
      </c>
      <c r="I102">
        <v>74</v>
      </c>
      <c r="J102" t="s">
        <v>39</v>
      </c>
    </row>
    <row r="103" spans="1:10">
      <c r="A103" t="s">
        <v>254</v>
      </c>
      <c r="B103" t="s">
        <v>255</v>
      </c>
      <c r="C103" t="s">
        <v>47</v>
      </c>
      <c r="D103" t="s">
        <v>48</v>
      </c>
      <c r="E103" t="s">
        <v>49</v>
      </c>
      <c r="F103" t="s">
        <v>56</v>
      </c>
      <c r="G103" t="s">
        <v>38</v>
      </c>
      <c r="H103" s="5">
        <v>44652</v>
      </c>
      <c r="I103">
        <v>71</v>
      </c>
      <c r="J103" t="s">
        <v>39</v>
      </c>
    </row>
    <row r="104" spans="1:10">
      <c r="A104" t="s">
        <v>256</v>
      </c>
      <c r="B104" t="s">
        <v>257</v>
      </c>
      <c r="C104" t="s">
        <v>60</v>
      </c>
      <c r="D104" t="s">
        <v>48</v>
      </c>
      <c r="E104" t="s">
        <v>115</v>
      </c>
      <c r="F104" t="s">
        <v>43</v>
      </c>
      <c r="G104" t="s">
        <v>44</v>
      </c>
      <c r="H104" s="5">
        <v>43586</v>
      </c>
      <c r="I104">
        <v>98</v>
      </c>
      <c r="J104" t="s">
        <v>50</v>
      </c>
    </row>
    <row r="105" spans="1:10">
      <c r="A105" t="s">
        <v>258</v>
      </c>
      <c r="B105" t="s">
        <v>259</v>
      </c>
      <c r="C105" t="s">
        <v>47</v>
      </c>
      <c r="D105" t="s">
        <v>35</v>
      </c>
      <c r="E105" t="s">
        <v>36</v>
      </c>
      <c r="F105" t="s">
        <v>56</v>
      </c>
      <c r="G105" t="s">
        <v>38</v>
      </c>
      <c r="H105" s="5">
        <v>45078</v>
      </c>
      <c r="I105">
        <v>70</v>
      </c>
      <c r="J105" t="s">
        <v>39</v>
      </c>
    </row>
    <row r="106" spans="1:10">
      <c r="A106" t="s">
        <v>260</v>
      </c>
      <c r="B106" t="s">
        <v>261</v>
      </c>
      <c r="C106" t="s">
        <v>47</v>
      </c>
      <c r="D106" t="s">
        <v>54</v>
      </c>
      <c r="E106" t="s">
        <v>55</v>
      </c>
      <c r="F106" t="s">
        <v>37</v>
      </c>
      <c r="G106" t="s">
        <v>38</v>
      </c>
      <c r="H106" s="5">
        <v>45352</v>
      </c>
      <c r="I106">
        <v>53</v>
      </c>
      <c r="J106" t="s">
        <v>57</v>
      </c>
    </row>
    <row r="107" spans="1:10">
      <c r="A107" t="s">
        <v>262</v>
      </c>
      <c r="B107" t="s">
        <v>263</v>
      </c>
      <c r="C107" t="s">
        <v>60</v>
      </c>
      <c r="D107" t="s">
        <v>48</v>
      </c>
      <c r="E107" t="s">
        <v>49</v>
      </c>
      <c r="F107" t="s">
        <v>56</v>
      </c>
      <c r="G107" t="s">
        <v>38</v>
      </c>
      <c r="H107" s="5">
        <v>44531</v>
      </c>
      <c r="I107">
        <v>80</v>
      </c>
      <c r="J107" t="s">
        <v>50</v>
      </c>
    </row>
    <row r="108" spans="1:10">
      <c r="A108" t="s">
        <v>264</v>
      </c>
      <c r="B108" t="s">
        <v>265</v>
      </c>
      <c r="C108" t="s">
        <v>69</v>
      </c>
      <c r="D108" t="s">
        <v>70</v>
      </c>
      <c r="E108" t="s">
        <v>71</v>
      </c>
      <c r="F108" t="s">
        <v>56</v>
      </c>
      <c r="G108" t="s">
        <v>38</v>
      </c>
      <c r="H108" s="5">
        <v>44044</v>
      </c>
      <c r="I108">
        <v>87</v>
      </c>
      <c r="J108" t="s">
        <v>50</v>
      </c>
    </row>
    <row r="109" spans="1:10">
      <c r="A109" t="s">
        <v>266</v>
      </c>
      <c r="B109" t="s">
        <v>267</v>
      </c>
      <c r="C109" t="s">
        <v>83</v>
      </c>
      <c r="D109" t="s">
        <v>70</v>
      </c>
      <c r="E109" t="s">
        <v>71</v>
      </c>
      <c r="F109" t="s">
        <v>56</v>
      </c>
      <c r="G109" t="s">
        <v>38</v>
      </c>
      <c r="H109" s="5">
        <v>45200</v>
      </c>
      <c r="I109">
        <v>79</v>
      </c>
      <c r="J109" t="s">
        <v>50</v>
      </c>
    </row>
    <row r="110" spans="1:10">
      <c r="A110" t="s">
        <v>268</v>
      </c>
      <c r="B110" t="s">
        <v>269</v>
      </c>
      <c r="C110" t="s">
        <v>47</v>
      </c>
      <c r="D110" t="s">
        <v>48</v>
      </c>
      <c r="E110" t="s">
        <v>49</v>
      </c>
      <c r="F110" t="s">
        <v>37</v>
      </c>
      <c r="G110" t="s">
        <v>38</v>
      </c>
      <c r="H110" s="5">
        <v>43862</v>
      </c>
      <c r="I110">
        <v>65</v>
      </c>
      <c r="J110" t="s">
        <v>39</v>
      </c>
    </row>
    <row r="111" spans="1:10">
      <c r="A111" t="s">
        <v>270</v>
      </c>
      <c r="B111" t="s">
        <v>271</v>
      </c>
      <c r="C111" t="s">
        <v>60</v>
      </c>
      <c r="D111" t="s">
        <v>48</v>
      </c>
      <c r="E111" t="s">
        <v>49</v>
      </c>
      <c r="F111" t="s">
        <v>56</v>
      </c>
      <c r="G111" t="s">
        <v>38</v>
      </c>
      <c r="H111" s="5">
        <v>44013</v>
      </c>
      <c r="I111">
        <v>76</v>
      </c>
      <c r="J111" t="s">
        <v>50</v>
      </c>
    </row>
    <row r="112" spans="1:10">
      <c r="A112" t="s">
        <v>272</v>
      </c>
      <c r="B112" t="s">
        <v>273</v>
      </c>
      <c r="C112" t="s">
        <v>53</v>
      </c>
      <c r="D112" t="s">
        <v>54</v>
      </c>
      <c r="E112" t="s">
        <v>94</v>
      </c>
      <c r="F112" t="s">
        <v>43</v>
      </c>
      <c r="G112" t="s">
        <v>38</v>
      </c>
      <c r="H112" s="5">
        <v>44593</v>
      </c>
      <c r="I112">
        <v>37</v>
      </c>
      <c r="J112" t="s">
        <v>57</v>
      </c>
    </row>
    <row r="113" spans="1:10">
      <c r="A113" t="s">
        <v>274</v>
      </c>
      <c r="B113" t="s">
        <v>275</v>
      </c>
      <c r="C113" t="s">
        <v>83</v>
      </c>
      <c r="D113" t="s">
        <v>48</v>
      </c>
      <c r="E113" t="s">
        <v>49</v>
      </c>
      <c r="F113" t="s">
        <v>37</v>
      </c>
      <c r="G113" t="s">
        <v>38</v>
      </c>
      <c r="H113" s="5">
        <v>44774</v>
      </c>
      <c r="I113">
        <v>60</v>
      </c>
      <c r="J113" t="s">
        <v>39</v>
      </c>
    </row>
    <row r="114" spans="1:10">
      <c r="A114" t="s">
        <v>276</v>
      </c>
      <c r="B114" t="s">
        <v>277</v>
      </c>
      <c r="C114" t="s">
        <v>60</v>
      </c>
      <c r="D114" t="s">
        <v>35</v>
      </c>
      <c r="E114" t="s">
        <v>42</v>
      </c>
      <c r="F114" t="s">
        <v>43</v>
      </c>
      <c r="G114" t="s">
        <v>44</v>
      </c>
      <c r="H114" s="5">
        <v>43160</v>
      </c>
      <c r="I114">
        <v>62</v>
      </c>
      <c r="J114" t="s">
        <v>39</v>
      </c>
    </row>
    <row r="115" spans="1:10">
      <c r="A115" t="s">
        <v>278</v>
      </c>
      <c r="B115" t="s">
        <v>279</v>
      </c>
      <c r="C115" t="s">
        <v>83</v>
      </c>
      <c r="D115" t="s">
        <v>48</v>
      </c>
      <c r="E115" t="s">
        <v>49</v>
      </c>
      <c r="F115" t="s">
        <v>56</v>
      </c>
      <c r="G115" t="s">
        <v>38</v>
      </c>
      <c r="H115" s="5">
        <v>45352</v>
      </c>
      <c r="I115">
        <v>70</v>
      </c>
      <c r="J115" t="s">
        <v>39</v>
      </c>
    </row>
    <row r="116" spans="1:10">
      <c r="A116" t="s">
        <v>280</v>
      </c>
      <c r="B116" t="s">
        <v>281</v>
      </c>
      <c r="C116" t="s">
        <v>69</v>
      </c>
      <c r="D116" t="s">
        <v>54</v>
      </c>
      <c r="E116" t="s">
        <v>94</v>
      </c>
      <c r="F116" t="s">
        <v>43</v>
      </c>
      <c r="G116" t="s">
        <v>44</v>
      </c>
      <c r="H116" s="5">
        <v>43132</v>
      </c>
      <c r="I116">
        <v>56</v>
      </c>
      <c r="J116" t="s">
        <v>39</v>
      </c>
    </row>
    <row r="117" spans="1:10">
      <c r="A117" t="s">
        <v>282</v>
      </c>
      <c r="B117" t="s">
        <v>283</v>
      </c>
      <c r="C117" t="s">
        <v>60</v>
      </c>
      <c r="D117" t="s">
        <v>48</v>
      </c>
      <c r="E117" t="s">
        <v>49</v>
      </c>
      <c r="F117" t="s">
        <v>56</v>
      </c>
      <c r="G117" t="s">
        <v>38</v>
      </c>
      <c r="H117" s="5">
        <v>45597</v>
      </c>
      <c r="I117">
        <v>50</v>
      </c>
      <c r="J117" t="s">
        <v>57</v>
      </c>
    </row>
    <row r="118" spans="1:10">
      <c r="A118" t="s">
        <v>284</v>
      </c>
      <c r="B118" t="s">
        <v>285</v>
      </c>
      <c r="C118" t="s">
        <v>47</v>
      </c>
      <c r="D118" t="s">
        <v>54</v>
      </c>
      <c r="E118" t="s">
        <v>55</v>
      </c>
      <c r="F118" t="s">
        <v>56</v>
      </c>
      <c r="G118" t="s">
        <v>38</v>
      </c>
      <c r="H118" s="5">
        <v>43891</v>
      </c>
      <c r="I118">
        <v>75</v>
      </c>
      <c r="J118" t="s">
        <v>50</v>
      </c>
    </row>
    <row r="119" spans="1:10">
      <c r="A119" t="s">
        <v>286</v>
      </c>
      <c r="B119" t="s">
        <v>287</v>
      </c>
      <c r="C119" t="s">
        <v>34</v>
      </c>
      <c r="D119" t="s">
        <v>54</v>
      </c>
      <c r="E119" t="s">
        <v>55</v>
      </c>
      <c r="F119" t="s">
        <v>56</v>
      </c>
      <c r="G119" t="s">
        <v>38</v>
      </c>
      <c r="H119" s="5">
        <v>44927</v>
      </c>
      <c r="I119">
        <v>62</v>
      </c>
      <c r="J119" t="s">
        <v>39</v>
      </c>
    </row>
    <row r="120" spans="1:10">
      <c r="A120" t="s">
        <v>288</v>
      </c>
      <c r="B120" t="s">
        <v>289</v>
      </c>
      <c r="C120" t="s">
        <v>34</v>
      </c>
      <c r="D120" t="s">
        <v>70</v>
      </c>
      <c r="E120" t="s">
        <v>76</v>
      </c>
      <c r="F120" t="s">
        <v>43</v>
      </c>
      <c r="G120" t="s">
        <v>44</v>
      </c>
      <c r="H120" s="5">
        <v>44075</v>
      </c>
      <c r="I120">
        <v>68</v>
      </c>
      <c r="J120" t="s">
        <v>39</v>
      </c>
    </row>
    <row r="121" spans="1:10">
      <c r="A121" t="s">
        <v>290</v>
      </c>
      <c r="B121" t="s">
        <v>291</v>
      </c>
      <c r="C121" t="s">
        <v>34</v>
      </c>
      <c r="D121" t="s">
        <v>54</v>
      </c>
      <c r="E121" t="s">
        <v>94</v>
      </c>
      <c r="F121" t="s">
        <v>43</v>
      </c>
      <c r="G121" t="s">
        <v>44</v>
      </c>
      <c r="H121" s="5">
        <v>43525</v>
      </c>
      <c r="I121">
        <v>73</v>
      </c>
      <c r="J121" t="s">
        <v>39</v>
      </c>
    </row>
    <row r="122" spans="1:10">
      <c r="A122" t="s">
        <v>292</v>
      </c>
      <c r="B122" t="s">
        <v>293</v>
      </c>
      <c r="C122" t="s">
        <v>83</v>
      </c>
      <c r="D122" t="s">
        <v>54</v>
      </c>
      <c r="E122" t="s">
        <v>94</v>
      </c>
      <c r="F122" t="s">
        <v>43</v>
      </c>
      <c r="G122" t="s">
        <v>44</v>
      </c>
      <c r="H122" s="5">
        <v>45566</v>
      </c>
      <c r="I122">
        <v>86</v>
      </c>
      <c r="J122" t="s">
        <v>50</v>
      </c>
    </row>
    <row r="123" spans="1:10">
      <c r="A123" t="s">
        <v>294</v>
      </c>
      <c r="B123" t="s">
        <v>295</v>
      </c>
      <c r="C123" t="s">
        <v>47</v>
      </c>
      <c r="D123" t="s">
        <v>70</v>
      </c>
      <c r="E123" t="s">
        <v>71</v>
      </c>
      <c r="F123" t="s">
        <v>56</v>
      </c>
      <c r="G123" t="s">
        <v>38</v>
      </c>
      <c r="H123" s="5">
        <v>44501</v>
      </c>
      <c r="I123">
        <v>62</v>
      </c>
      <c r="J123" t="s">
        <v>39</v>
      </c>
    </row>
    <row r="124" spans="1:10">
      <c r="A124" t="s">
        <v>296</v>
      </c>
      <c r="B124" t="s">
        <v>297</v>
      </c>
      <c r="C124" t="s">
        <v>47</v>
      </c>
      <c r="D124" t="s">
        <v>48</v>
      </c>
      <c r="E124" t="s">
        <v>49</v>
      </c>
      <c r="F124" t="s">
        <v>37</v>
      </c>
      <c r="G124" t="s">
        <v>38</v>
      </c>
      <c r="H124" s="5">
        <v>45323</v>
      </c>
      <c r="I124">
        <v>52</v>
      </c>
      <c r="J124" t="s">
        <v>57</v>
      </c>
    </row>
    <row r="125" spans="1:10">
      <c r="A125" t="s">
        <v>298</v>
      </c>
      <c r="B125" t="s">
        <v>299</v>
      </c>
      <c r="C125" t="s">
        <v>47</v>
      </c>
      <c r="D125" t="s">
        <v>70</v>
      </c>
      <c r="E125" t="s">
        <v>76</v>
      </c>
      <c r="F125" t="s">
        <v>43</v>
      </c>
      <c r="G125" t="s">
        <v>44</v>
      </c>
      <c r="H125" s="5">
        <v>44896</v>
      </c>
      <c r="I125">
        <v>59</v>
      </c>
      <c r="J125" t="s">
        <v>39</v>
      </c>
    </row>
    <row r="126" spans="1:10">
      <c r="A126" t="s">
        <v>300</v>
      </c>
      <c r="B126" t="s">
        <v>301</v>
      </c>
      <c r="C126" t="s">
        <v>53</v>
      </c>
      <c r="D126" t="s">
        <v>35</v>
      </c>
      <c r="E126" t="s">
        <v>36</v>
      </c>
      <c r="F126" t="s">
        <v>56</v>
      </c>
      <c r="G126" t="s">
        <v>38</v>
      </c>
      <c r="H126" s="5">
        <v>44348</v>
      </c>
      <c r="I126">
        <v>60</v>
      </c>
      <c r="J126" t="s">
        <v>39</v>
      </c>
    </row>
    <row r="127" spans="1:10">
      <c r="A127" t="s">
        <v>302</v>
      </c>
      <c r="B127" t="s">
        <v>303</v>
      </c>
      <c r="C127" t="s">
        <v>47</v>
      </c>
      <c r="D127" t="s">
        <v>70</v>
      </c>
      <c r="E127" t="s">
        <v>71</v>
      </c>
      <c r="F127" t="s">
        <v>37</v>
      </c>
      <c r="G127" t="s">
        <v>38</v>
      </c>
      <c r="H127" s="5">
        <v>43374</v>
      </c>
      <c r="I127">
        <v>72</v>
      </c>
      <c r="J127" t="s">
        <v>39</v>
      </c>
    </row>
    <row r="128" spans="1:10">
      <c r="A128" t="s">
        <v>304</v>
      </c>
      <c r="B128" t="s">
        <v>305</v>
      </c>
      <c r="C128" t="s">
        <v>53</v>
      </c>
      <c r="D128" t="s">
        <v>54</v>
      </c>
      <c r="E128" t="s">
        <v>55</v>
      </c>
      <c r="F128" t="s">
        <v>56</v>
      </c>
      <c r="G128" t="s">
        <v>38</v>
      </c>
      <c r="H128" s="5">
        <v>45292</v>
      </c>
      <c r="I128">
        <v>76</v>
      </c>
      <c r="J128" t="s">
        <v>50</v>
      </c>
    </row>
    <row r="129" spans="1:10">
      <c r="A129" t="s">
        <v>306</v>
      </c>
      <c r="B129" t="s">
        <v>307</v>
      </c>
      <c r="C129" t="s">
        <v>34</v>
      </c>
      <c r="D129" t="s">
        <v>48</v>
      </c>
      <c r="E129" t="s">
        <v>49</v>
      </c>
      <c r="F129" t="s">
        <v>37</v>
      </c>
      <c r="G129" t="s">
        <v>38</v>
      </c>
      <c r="H129" s="5">
        <v>44256</v>
      </c>
      <c r="I129">
        <v>84</v>
      </c>
      <c r="J129" t="s">
        <v>50</v>
      </c>
    </row>
    <row r="130" spans="1:10">
      <c r="A130" t="s">
        <v>308</v>
      </c>
      <c r="B130" t="s">
        <v>309</v>
      </c>
      <c r="C130" t="s">
        <v>34</v>
      </c>
      <c r="D130" t="s">
        <v>48</v>
      </c>
      <c r="E130" t="s">
        <v>115</v>
      </c>
      <c r="F130" t="s">
        <v>43</v>
      </c>
      <c r="G130" t="s">
        <v>44</v>
      </c>
      <c r="H130" s="5">
        <v>44531</v>
      </c>
      <c r="I130">
        <v>61</v>
      </c>
      <c r="J130" t="s">
        <v>39</v>
      </c>
    </row>
    <row r="131" spans="1:10">
      <c r="A131" t="s">
        <v>310</v>
      </c>
      <c r="B131" t="s">
        <v>311</v>
      </c>
      <c r="C131" t="s">
        <v>69</v>
      </c>
      <c r="D131" t="s">
        <v>54</v>
      </c>
      <c r="E131" t="s">
        <v>55</v>
      </c>
      <c r="F131" t="s">
        <v>37</v>
      </c>
      <c r="G131" t="s">
        <v>38</v>
      </c>
      <c r="H131" s="5">
        <v>44866</v>
      </c>
      <c r="I131">
        <v>62</v>
      </c>
      <c r="J131" t="s">
        <v>39</v>
      </c>
    </row>
    <row r="132" spans="1:10">
      <c r="A132" t="s">
        <v>312</v>
      </c>
      <c r="B132" t="s">
        <v>313</v>
      </c>
      <c r="C132" t="s">
        <v>47</v>
      </c>
      <c r="D132" t="s">
        <v>54</v>
      </c>
      <c r="E132" t="s">
        <v>55</v>
      </c>
      <c r="F132" t="s">
        <v>56</v>
      </c>
      <c r="G132" t="s">
        <v>38</v>
      </c>
      <c r="H132" s="5">
        <v>43497</v>
      </c>
      <c r="I132">
        <v>85</v>
      </c>
      <c r="J132" t="s">
        <v>50</v>
      </c>
    </row>
    <row r="133" spans="1:10">
      <c r="A133" t="s">
        <v>314</v>
      </c>
      <c r="B133" t="s">
        <v>315</v>
      </c>
      <c r="C133" t="s">
        <v>83</v>
      </c>
      <c r="D133" t="s">
        <v>54</v>
      </c>
      <c r="E133" t="s">
        <v>55</v>
      </c>
      <c r="F133" t="s">
        <v>37</v>
      </c>
      <c r="G133" t="s">
        <v>38</v>
      </c>
      <c r="H133" s="5">
        <v>44835</v>
      </c>
      <c r="I133">
        <v>69</v>
      </c>
      <c r="J133" t="s">
        <v>39</v>
      </c>
    </row>
    <row r="134" spans="1:10">
      <c r="A134" t="s">
        <v>316</v>
      </c>
      <c r="B134" t="s">
        <v>317</v>
      </c>
      <c r="C134" t="s">
        <v>60</v>
      </c>
      <c r="D134" t="s">
        <v>35</v>
      </c>
      <c r="E134" t="s">
        <v>36</v>
      </c>
      <c r="F134" t="s">
        <v>56</v>
      </c>
      <c r="G134" t="s">
        <v>38</v>
      </c>
      <c r="H134" s="5">
        <v>44652</v>
      </c>
      <c r="I134">
        <v>64</v>
      </c>
      <c r="J134" t="s">
        <v>39</v>
      </c>
    </row>
    <row r="135" spans="1:10">
      <c r="A135" t="s">
        <v>318</v>
      </c>
      <c r="B135" t="s">
        <v>319</v>
      </c>
      <c r="C135" t="s">
        <v>83</v>
      </c>
      <c r="D135" t="s">
        <v>35</v>
      </c>
      <c r="E135" t="s">
        <v>36</v>
      </c>
      <c r="F135" t="s">
        <v>56</v>
      </c>
      <c r="G135" t="s">
        <v>44</v>
      </c>
      <c r="H135" s="5">
        <v>43678</v>
      </c>
      <c r="I135">
        <v>96</v>
      </c>
      <c r="J135" t="s">
        <v>50</v>
      </c>
    </row>
    <row r="136" spans="1:10">
      <c r="A136" t="s">
        <v>320</v>
      </c>
      <c r="B136" t="s">
        <v>321</v>
      </c>
      <c r="C136" t="s">
        <v>34</v>
      </c>
      <c r="D136" t="s">
        <v>70</v>
      </c>
      <c r="E136" t="s">
        <v>71</v>
      </c>
      <c r="F136" t="s">
        <v>37</v>
      </c>
      <c r="G136" t="s">
        <v>38</v>
      </c>
      <c r="H136" s="5">
        <v>45047</v>
      </c>
      <c r="I136">
        <v>56</v>
      </c>
      <c r="J136" t="s">
        <v>39</v>
      </c>
    </row>
    <row r="137" spans="1:10">
      <c r="A137" t="s">
        <v>322</v>
      </c>
      <c r="B137" t="s">
        <v>323</v>
      </c>
      <c r="C137" t="s">
        <v>69</v>
      </c>
      <c r="D137" t="s">
        <v>48</v>
      </c>
      <c r="E137" t="s">
        <v>115</v>
      </c>
      <c r="F137" t="s">
        <v>43</v>
      </c>
      <c r="G137" t="s">
        <v>38</v>
      </c>
      <c r="H137" s="5">
        <v>44409</v>
      </c>
      <c r="I137">
        <v>65</v>
      </c>
      <c r="J137" t="s">
        <v>39</v>
      </c>
    </row>
    <row r="138" spans="1:10">
      <c r="A138" t="s">
        <v>324</v>
      </c>
      <c r="B138" t="s">
        <v>325</v>
      </c>
      <c r="C138" t="s">
        <v>60</v>
      </c>
      <c r="D138" t="s">
        <v>70</v>
      </c>
      <c r="E138" t="s">
        <v>76</v>
      </c>
      <c r="F138" t="s">
        <v>43</v>
      </c>
      <c r="G138" t="s">
        <v>38</v>
      </c>
      <c r="H138" s="5">
        <v>45536</v>
      </c>
      <c r="I138">
        <v>64</v>
      </c>
      <c r="J138" t="s">
        <v>39</v>
      </c>
    </row>
    <row r="139" spans="1:10">
      <c r="A139" t="s">
        <v>326</v>
      </c>
      <c r="B139" t="s">
        <v>327</v>
      </c>
      <c r="C139" t="s">
        <v>60</v>
      </c>
      <c r="D139" t="s">
        <v>35</v>
      </c>
      <c r="E139" t="s">
        <v>42</v>
      </c>
      <c r="F139" t="s">
        <v>43</v>
      </c>
      <c r="G139" t="s">
        <v>38</v>
      </c>
      <c r="H139" s="5">
        <v>45413</v>
      </c>
      <c r="I139">
        <v>76</v>
      </c>
      <c r="J139" t="s">
        <v>50</v>
      </c>
    </row>
    <row r="140" spans="1:10">
      <c r="A140" t="s">
        <v>328</v>
      </c>
      <c r="B140" t="s">
        <v>329</v>
      </c>
      <c r="C140" t="s">
        <v>60</v>
      </c>
      <c r="D140" t="s">
        <v>54</v>
      </c>
      <c r="E140" t="s">
        <v>55</v>
      </c>
      <c r="F140" t="s">
        <v>37</v>
      </c>
      <c r="G140" t="s">
        <v>38</v>
      </c>
      <c r="H140" s="5">
        <v>44440</v>
      </c>
      <c r="I140">
        <v>70</v>
      </c>
      <c r="J140" t="s">
        <v>39</v>
      </c>
    </row>
    <row r="141" spans="1:10">
      <c r="A141" t="s">
        <v>330</v>
      </c>
      <c r="B141" t="s">
        <v>331</v>
      </c>
      <c r="C141" t="s">
        <v>60</v>
      </c>
      <c r="D141" t="s">
        <v>70</v>
      </c>
      <c r="E141" t="s">
        <v>76</v>
      </c>
      <c r="F141" t="s">
        <v>43</v>
      </c>
      <c r="G141" t="s">
        <v>38</v>
      </c>
      <c r="H141" s="5">
        <v>44805</v>
      </c>
      <c r="I141">
        <v>67</v>
      </c>
      <c r="J141" t="s">
        <v>39</v>
      </c>
    </row>
    <row r="142" spans="1:10">
      <c r="A142" t="s">
        <v>332</v>
      </c>
      <c r="B142" t="s">
        <v>333</v>
      </c>
      <c r="C142" t="s">
        <v>83</v>
      </c>
      <c r="D142" t="s">
        <v>54</v>
      </c>
      <c r="E142" t="s">
        <v>55</v>
      </c>
      <c r="F142" t="s">
        <v>56</v>
      </c>
      <c r="G142" t="s">
        <v>38</v>
      </c>
      <c r="H142" s="5">
        <v>43739</v>
      </c>
      <c r="I142">
        <v>60</v>
      </c>
      <c r="J142" t="s">
        <v>39</v>
      </c>
    </row>
    <row r="143" spans="1:10">
      <c r="A143" t="s">
        <v>334</v>
      </c>
      <c r="B143" t="s">
        <v>335</v>
      </c>
      <c r="C143" t="s">
        <v>34</v>
      </c>
      <c r="D143" t="s">
        <v>48</v>
      </c>
      <c r="E143" t="s">
        <v>49</v>
      </c>
      <c r="F143" t="s">
        <v>37</v>
      </c>
      <c r="G143" t="s">
        <v>38</v>
      </c>
      <c r="H143" s="5">
        <v>44805</v>
      </c>
      <c r="I143">
        <v>76</v>
      </c>
      <c r="J143" t="s">
        <v>50</v>
      </c>
    </row>
    <row r="144" spans="1:10">
      <c r="A144" t="s">
        <v>336</v>
      </c>
      <c r="B144" t="s">
        <v>337</v>
      </c>
      <c r="C144" t="s">
        <v>53</v>
      </c>
      <c r="D144" t="s">
        <v>48</v>
      </c>
      <c r="E144" t="s">
        <v>49</v>
      </c>
      <c r="F144" t="s">
        <v>56</v>
      </c>
      <c r="G144" t="s">
        <v>38</v>
      </c>
      <c r="H144" s="5">
        <v>43831</v>
      </c>
      <c r="I144">
        <v>63</v>
      </c>
      <c r="J144" t="s">
        <v>39</v>
      </c>
    </row>
    <row r="145" spans="1:10">
      <c r="A145" t="s">
        <v>338</v>
      </c>
      <c r="B145" t="s">
        <v>339</v>
      </c>
      <c r="C145" t="s">
        <v>47</v>
      </c>
      <c r="D145" t="s">
        <v>48</v>
      </c>
      <c r="E145" t="s">
        <v>49</v>
      </c>
      <c r="F145" t="s">
        <v>56</v>
      </c>
      <c r="G145" t="s">
        <v>38</v>
      </c>
      <c r="H145" s="5">
        <v>44378</v>
      </c>
      <c r="I145">
        <v>37</v>
      </c>
      <c r="J145" t="s">
        <v>57</v>
      </c>
    </row>
    <row r="146" spans="1:10">
      <c r="A146" t="s">
        <v>340</v>
      </c>
      <c r="B146" t="s">
        <v>341</v>
      </c>
      <c r="C146" t="s">
        <v>69</v>
      </c>
      <c r="D146" t="s">
        <v>35</v>
      </c>
      <c r="E146" t="s">
        <v>42</v>
      </c>
      <c r="F146" t="s">
        <v>43</v>
      </c>
      <c r="G146" t="s">
        <v>44</v>
      </c>
      <c r="H146" s="5">
        <v>43831</v>
      </c>
      <c r="I146">
        <v>96</v>
      </c>
      <c r="J146" t="s">
        <v>50</v>
      </c>
    </row>
    <row r="147" spans="1:10">
      <c r="A147" t="s">
        <v>342</v>
      </c>
      <c r="B147" t="s">
        <v>343</v>
      </c>
      <c r="C147" t="s">
        <v>69</v>
      </c>
      <c r="D147" t="s">
        <v>35</v>
      </c>
      <c r="E147" t="s">
        <v>36</v>
      </c>
      <c r="F147" t="s">
        <v>56</v>
      </c>
      <c r="G147" t="s">
        <v>38</v>
      </c>
      <c r="H147" s="5">
        <v>45597</v>
      </c>
      <c r="I147">
        <v>64</v>
      </c>
      <c r="J147" t="s">
        <v>39</v>
      </c>
    </row>
    <row r="148" spans="1:10">
      <c r="A148" t="s">
        <v>344</v>
      </c>
      <c r="B148" t="s">
        <v>345</v>
      </c>
      <c r="C148" t="s">
        <v>83</v>
      </c>
      <c r="D148" t="s">
        <v>48</v>
      </c>
      <c r="E148" t="s">
        <v>49</v>
      </c>
      <c r="F148" t="s">
        <v>56</v>
      </c>
      <c r="G148" t="s">
        <v>38</v>
      </c>
      <c r="H148" s="5">
        <v>43252</v>
      </c>
      <c r="I148">
        <v>68</v>
      </c>
      <c r="J148" t="s">
        <v>39</v>
      </c>
    </row>
    <row r="149" spans="1:10">
      <c r="A149" t="s">
        <v>346</v>
      </c>
      <c r="B149" t="s">
        <v>347</v>
      </c>
      <c r="C149" t="s">
        <v>34</v>
      </c>
      <c r="D149" t="s">
        <v>70</v>
      </c>
      <c r="E149" t="s">
        <v>71</v>
      </c>
      <c r="F149" t="s">
        <v>56</v>
      </c>
      <c r="G149" t="s">
        <v>38</v>
      </c>
      <c r="H149" s="5">
        <v>45047</v>
      </c>
      <c r="I149">
        <v>54</v>
      </c>
      <c r="J149" t="s">
        <v>57</v>
      </c>
    </row>
    <row r="150" spans="1:10">
      <c r="A150" t="s">
        <v>348</v>
      </c>
      <c r="B150" t="s">
        <v>349</v>
      </c>
      <c r="C150" t="s">
        <v>53</v>
      </c>
      <c r="D150" t="s">
        <v>35</v>
      </c>
      <c r="E150" t="s">
        <v>36</v>
      </c>
      <c r="F150" t="s">
        <v>37</v>
      </c>
      <c r="G150" t="s">
        <v>38</v>
      </c>
      <c r="H150" s="5">
        <v>44470</v>
      </c>
      <c r="I150">
        <v>81</v>
      </c>
      <c r="J150" t="s">
        <v>50</v>
      </c>
    </row>
    <row r="151" spans="1:10">
      <c r="A151" t="s">
        <v>350</v>
      </c>
      <c r="B151" t="s">
        <v>351</v>
      </c>
      <c r="C151" t="s">
        <v>60</v>
      </c>
      <c r="D151" t="s">
        <v>35</v>
      </c>
      <c r="E151" t="s">
        <v>36</v>
      </c>
      <c r="F151" t="s">
        <v>56</v>
      </c>
      <c r="G151" t="s">
        <v>38</v>
      </c>
      <c r="H151" s="5">
        <v>43709</v>
      </c>
      <c r="I151">
        <v>40</v>
      </c>
      <c r="J151" t="s">
        <v>57</v>
      </c>
    </row>
    <row r="152" spans="1:10">
      <c r="A152" t="s">
        <v>352</v>
      </c>
      <c r="B152" t="s">
        <v>353</v>
      </c>
      <c r="C152" t="s">
        <v>47</v>
      </c>
      <c r="D152" t="s">
        <v>48</v>
      </c>
      <c r="E152" t="s">
        <v>49</v>
      </c>
      <c r="F152" t="s">
        <v>56</v>
      </c>
      <c r="G152" t="s">
        <v>38</v>
      </c>
      <c r="H152" s="5">
        <v>44774</v>
      </c>
      <c r="I152">
        <v>63</v>
      </c>
      <c r="J152" t="s">
        <v>39</v>
      </c>
    </row>
    <row r="153" spans="1:10">
      <c r="A153" t="s">
        <v>354</v>
      </c>
      <c r="B153" t="s">
        <v>355</v>
      </c>
      <c r="C153" t="s">
        <v>60</v>
      </c>
      <c r="D153" t="s">
        <v>48</v>
      </c>
      <c r="E153" t="s">
        <v>49</v>
      </c>
      <c r="F153" t="s">
        <v>37</v>
      </c>
      <c r="G153" t="s">
        <v>38</v>
      </c>
      <c r="H153" s="5">
        <v>44136</v>
      </c>
      <c r="I153">
        <v>73</v>
      </c>
      <c r="J153" t="s">
        <v>39</v>
      </c>
    </row>
    <row r="154" spans="1:10">
      <c r="A154" t="s">
        <v>356</v>
      </c>
      <c r="B154" t="s">
        <v>357</v>
      </c>
      <c r="C154" t="s">
        <v>83</v>
      </c>
      <c r="D154" t="s">
        <v>70</v>
      </c>
      <c r="E154" t="s">
        <v>71</v>
      </c>
      <c r="F154" t="s">
        <v>56</v>
      </c>
      <c r="G154" t="s">
        <v>38</v>
      </c>
      <c r="H154" s="5">
        <v>44652</v>
      </c>
      <c r="I154">
        <v>43</v>
      </c>
      <c r="J154" t="s">
        <v>57</v>
      </c>
    </row>
    <row r="155" spans="1:10">
      <c r="A155" t="s">
        <v>358</v>
      </c>
      <c r="B155" t="s">
        <v>359</v>
      </c>
      <c r="C155" t="s">
        <v>34</v>
      </c>
      <c r="D155" t="s">
        <v>35</v>
      </c>
      <c r="E155" t="s">
        <v>42</v>
      </c>
      <c r="F155" t="s">
        <v>43</v>
      </c>
      <c r="G155" t="s">
        <v>38</v>
      </c>
      <c r="H155" s="5">
        <v>45323</v>
      </c>
      <c r="I155">
        <v>76</v>
      </c>
      <c r="J155" t="s">
        <v>50</v>
      </c>
    </row>
    <row r="156" spans="1:10">
      <c r="A156" t="s">
        <v>360</v>
      </c>
      <c r="B156" t="s">
        <v>361</v>
      </c>
      <c r="C156" t="s">
        <v>60</v>
      </c>
      <c r="D156" t="s">
        <v>70</v>
      </c>
      <c r="E156" t="s">
        <v>76</v>
      </c>
      <c r="F156" t="s">
        <v>43</v>
      </c>
      <c r="G156" t="s">
        <v>38</v>
      </c>
      <c r="H156" s="5">
        <v>44621</v>
      </c>
      <c r="I156">
        <v>74</v>
      </c>
      <c r="J156" t="s">
        <v>39</v>
      </c>
    </row>
    <row r="157" spans="1:10">
      <c r="A157" t="s">
        <v>362</v>
      </c>
      <c r="B157" t="s">
        <v>363</v>
      </c>
      <c r="C157" t="s">
        <v>53</v>
      </c>
      <c r="D157" t="s">
        <v>48</v>
      </c>
      <c r="E157" t="s">
        <v>115</v>
      </c>
      <c r="F157" t="s">
        <v>43</v>
      </c>
      <c r="G157" t="s">
        <v>44</v>
      </c>
      <c r="H157" s="5">
        <v>45200</v>
      </c>
      <c r="I157">
        <v>76</v>
      </c>
      <c r="J157" t="s">
        <v>50</v>
      </c>
    </row>
    <row r="158" spans="1:10">
      <c r="A158" t="s">
        <v>364</v>
      </c>
      <c r="B158" t="s">
        <v>365</v>
      </c>
      <c r="C158" t="s">
        <v>34</v>
      </c>
      <c r="D158" t="s">
        <v>35</v>
      </c>
      <c r="E158" t="s">
        <v>36</v>
      </c>
      <c r="F158" t="s">
        <v>37</v>
      </c>
      <c r="G158" t="s">
        <v>38</v>
      </c>
      <c r="H158" s="5">
        <v>45017</v>
      </c>
      <c r="I158">
        <v>85</v>
      </c>
      <c r="J158" t="s">
        <v>50</v>
      </c>
    </row>
    <row r="159" spans="1:10">
      <c r="A159" t="s">
        <v>366</v>
      </c>
      <c r="B159" t="s">
        <v>367</v>
      </c>
      <c r="C159" t="s">
        <v>34</v>
      </c>
      <c r="D159" t="s">
        <v>70</v>
      </c>
      <c r="E159" t="s">
        <v>71</v>
      </c>
      <c r="F159" t="s">
        <v>37</v>
      </c>
      <c r="G159" t="s">
        <v>38</v>
      </c>
      <c r="H159" s="5">
        <v>44440</v>
      </c>
      <c r="I159">
        <v>58</v>
      </c>
      <c r="J159" t="s">
        <v>39</v>
      </c>
    </row>
    <row r="160" spans="1:10">
      <c r="A160" t="s">
        <v>368</v>
      </c>
      <c r="B160" t="s">
        <v>369</v>
      </c>
      <c r="C160" t="s">
        <v>60</v>
      </c>
      <c r="D160" t="s">
        <v>35</v>
      </c>
      <c r="E160" t="s">
        <v>36</v>
      </c>
      <c r="F160" t="s">
        <v>56</v>
      </c>
      <c r="G160" t="s">
        <v>38</v>
      </c>
      <c r="H160" s="5">
        <v>44105</v>
      </c>
      <c r="I160">
        <v>72</v>
      </c>
      <c r="J160" t="s">
        <v>39</v>
      </c>
    </row>
    <row r="161" spans="1:10">
      <c r="A161" t="s">
        <v>370</v>
      </c>
      <c r="B161" t="s">
        <v>371</v>
      </c>
      <c r="C161" t="s">
        <v>34</v>
      </c>
      <c r="D161" t="s">
        <v>54</v>
      </c>
      <c r="E161" t="s">
        <v>55</v>
      </c>
      <c r="F161" t="s">
        <v>56</v>
      </c>
      <c r="G161" t="s">
        <v>44</v>
      </c>
      <c r="H161" s="5">
        <v>45231</v>
      </c>
      <c r="I161">
        <v>85</v>
      </c>
      <c r="J161" t="s">
        <v>50</v>
      </c>
    </row>
    <row r="162" spans="1:10">
      <c r="A162" t="s">
        <v>372</v>
      </c>
      <c r="B162" t="s">
        <v>373</v>
      </c>
      <c r="C162" t="s">
        <v>47</v>
      </c>
      <c r="D162" t="s">
        <v>48</v>
      </c>
      <c r="E162" t="s">
        <v>49</v>
      </c>
      <c r="F162" t="s">
        <v>56</v>
      </c>
      <c r="G162" t="s">
        <v>38</v>
      </c>
      <c r="H162" s="5">
        <v>44652</v>
      </c>
      <c r="I162">
        <v>80</v>
      </c>
      <c r="J162" t="s">
        <v>50</v>
      </c>
    </row>
    <row r="163" spans="1:10">
      <c r="A163" t="s">
        <v>374</v>
      </c>
      <c r="B163" t="s">
        <v>375</v>
      </c>
      <c r="C163" t="s">
        <v>69</v>
      </c>
      <c r="D163" t="s">
        <v>70</v>
      </c>
      <c r="E163" t="s">
        <v>71</v>
      </c>
      <c r="F163" t="s">
        <v>56</v>
      </c>
      <c r="G163" t="s">
        <v>38</v>
      </c>
      <c r="H163" s="5">
        <v>43739</v>
      </c>
      <c r="I163">
        <v>42</v>
      </c>
      <c r="J163" t="s">
        <v>57</v>
      </c>
    </row>
    <row r="164" spans="1:10">
      <c r="A164" t="s">
        <v>376</v>
      </c>
      <c r="B164" t="s">
        <v>377</v>
      </c>
      <c r="C164" t="s">
        <v>47</v>
      </c>
      <c r="D164" t="s">
        <v>48</v>
      </c>
      <c r="E164" t="s">
        <v>49</v>
      </c>
      <c r="F164" t="s">
        <v>56</v>
      </c>
      <c r="G164" t="s">
        <v>38</v>
      </c>
      <c r="H164" s="5">
        <v>43739</v>
      </c>
      <c r="I164">
        <v>66</v>
      </c>
      <c r="J164" t="s">
        <v>39</v>
      </c>
    </row>
    <row r="165" spans="1:10">
      <c r="A165" t="s">
        <v>378</v>
      </c>
      <c r="B165" t="s">
        <v>379</v>
      </c>
      <c r="C165" t="s">
        <v>47</v>
      </c>
      <c r="D165" t="s">
        <v>48</v>
      </c>
      <c r="E165" t="s">
        <v>49</v>
      </c>
      <c r="F165" t="s">
        <v>37</v>
      </c>
      <c r="G165" t="s">
        <v>38</v>
      </c>
      <c r="H165" s="5">
        <v>45108</v>
      </c>
      <c r="I165">
        <v>75</v>
      </c>
      <c r="J165" t="s">
        <v>50</v>
      </c>
    </row>
    <row r="166" spans="1:10">
      <c r="A166" t="s">
        <v>380</v>
      </c>
      <c r="B166" t="s">
        <v>381</v>
      </c>
      <c r="C166" t="s">
        <v>47</v>
      </c>
      <c r="D166" t="s">
        <v>70</v>
      </c>
      <c r="E166" t="s">
        <v>71</v>
      </c>
      <c r="F166" t="s">
        <v>37</v>
      </c>
      <c r="G166" t="s">
        <v>38</v>
      </c>
      <c r="H166" s="5">
        <v>44501</v>
      </c>
      <c r="I166">
        <v>53</v>
      </c>
      <c r="J166" t="s">
        <v>57</v>
      </c>
    </row>
    <row r="167" spans="1:10">
      <c r="A167" t="s">
        <v>382</v>
      </c>
      <c r="B167" t="s">
        <v>383</v>
      </c>
      <c r="C167" t="s">
        <v>69</v>
      </c>
      <c r="D167" t="s">
        <v>35</v>
      </c>
      <c r="E167" t="s">
        <v>42</v>
      </c>
      <c r="F167" t="s">
        <v>43</v>
      </c>
      <c r="G167" t="s">
        <v>38</v>
      </c>
      <c r="H167" s="5">
        <v>43831</v>
      </c>
      <c r="I167">
        <v>63</v>
      </c>
      <c r="J167" t="s">
        <v>39</v>
      </c>
    </row>
    <row r="168" spans="1:10">
      <c r="A168" t="s">
        <v>384</v>
      </c>
      <c r="B168" t="s">
        <v>385</v>
      </c>
      <c r="C168" t="s">
        <v>69</v>
      </c>
      <c r="D168" t="s">
        <v>48</v>
      </c>
      <c r="E168" t="s">
        <v>49</v>
      </c>
      <c r="F168" t="s">
        <v>56</v>
      </c>
      <c r="G168" t="s">
        <v>38</v>
      </c>
      <c r="H168" s="5">
        <v>44287</v>
      </c>
      <c r="I168">
        <v>56</v>
      </c>
      <c r="J168" t="s">
        <v>39</v>
      </c>
    </row>
    <row r="169" spans="1:10">
      <c r="A169" t="s">
        <v>386</v>
      </c>
      <c r="B169" t="s">
        <v>387</v>
      </c>
      <c r="C169" t="s">
        <v>47</v>
      </c>
      <c r="D169" t="s">
        <v>70</v>
      </c>
      <c r="E169" t="s">
        <v>76</v>
      </c>
      <c r="F169" t="s">
        <v>43</v>
      </c>
      <c r="G169" t="s">
        <v>38</v>
      </c>
      <c r="H169" s="5">
        <v>44348</v>
      </c>
      <c r="I169">
        <v>50</v>
      </c>
      <c r="J169" t="s">
        <v>57</v>
      </c>
    </row>
    <row r="170" spans="1:10">
      <c r="A170" t="s">
        <v>388</v>
      </c>
      <c r="B170" t="s">
        <v>389</v>
      </c>
      <c r="C170" t="s">
        <v>34</v>
      </c>
      <c r="D170" t="s">
        <v>70</v>
      </c>
      <c r="E170" t="s">
        <v>71</v>
      </c>
      <c r="F170" t="s">
        <v>56</v>
      </c>
      <c r="G170" t="s">
        <v>38</v>
      </c>
      <c r="H170" s="5">
        <v>43313</v>
      </c>
      <c r="I170">
        <v>66</v>
      </c>
      <c r="J170" t="s">
        <v>39</v>
      </c>
    </row>
    <row r="171" spans="1:10">
      <c r="A171" t="s">
        <v>390</v>
      </c>
      <c r="B171" t="s">
        <v>391</v>
      </c>
      <c r="C171" t="s">
        <v>34</v>
      </c>
      <c r="D171" t="s">
        <v>70</v>
      </c>
      <c r="E171" t="s">
        <v>71</v>
      </c>
      <c r="F171" t="s">
        <v>56</v>
      </c>
      <c r="G171" t="s">
        <v>38</v>
      </c>
      <c r="H171" s="5">
        <v>44228</v>
      </c>
      <c r="I171">
        <v>91</v>
      </c>
      <c r="J171" t="s">
        <v>50</v>
      </c>
    </row>
    <row r="172" spans="1:10">
      <c r="A172" t="s">
        <v>392</v>
      </c>
      <c r="B172" t="s">
        <v>393</v>
      </c>
      <c r="C172" t="s">
        <v>69</v>
      </c>
      <c r="D172" t="s">
        <v>70</v>
      </c>
      <c r="E172" t="s">
        <v>71</v>
      </c>
      <c r="F172" t="s">
        <v>37</v>
      </c>
      <c r="G172" t="s">
        <v>38</v>
      </c>
      <c r="H172" s="5">
        <v>45536</v>
      </c>
      <c r="I172">
        <v>73</v>
      </c>
      <c r="J172" t="s">
        <v>39</v>
      </c>
    </row>
    <row r="173" spans="1:10">
      <c r="A173" t="s">
        <v>394</v>
      </c>
      <c r="B173" t="s">
        <v>395</v>
      </c>
      <c r="C173" t="s">
        <v>69</v>
      </c>
      <c r="D173" t="s">
        <v>70</v>
      </c>
      <c r="E173" t="s">
        <v>76</v>
      </c>
      <c r="F173" t="s">
        <v>43</v>
      </c>
      <c r="G173" t="s">
        <v>38</v>
      </c>
      <c r="H173" s="5">
        <v>45292</v>
      </c>
      <c r="I173">
        <v>59</v>
      </c>
      <c r="J173" t="s">
        <v>39</v>
      </c>
    </row>
    <row r="174" spans="1:10">
      <c r="A174" t="s">
        <v>396</v>
      </c>
      <c r="B174" t="s">
        <v>397</v>
      </c>
      <c r="C174" t="s">
        <v>83</v>
      </c>
      <c r="D174" t="s">
        <v>70</v>
      </c>
      <c r="E174" t="s">
        <v>71</v>
      </c>
      <c r="F174" t="s">
        <v>56</v>
      </c>
      <c r="G174" t="s">
        <v>38</v>
      </c>
      <c r="H174" s="5">
        <v>45352</v>
      </c>
      <c r="I174">
        <v>84</v>
      </c>
      <c r="J174" t="s">
        <v>50</v>
      </c>
    </row>
    <row r="175" spans="1:10">
      <c r="A175" t="s">
        <v>398</v>
      </c>
      <c r="B175" t="s">
        <v>399</v>
      </c>
      <c r="C175" t="s">
        <v>69</v>
      </c>
      <c r="D175" t="s">
        <v>35</v>
      </c>
      <c r="E175" t="s">
        <v>36</v>
      </c>
      <c r="F175" t="s">
        <v>37</v>
      </c>
      <c r="G175" t="s">
        <v>38</v>
      </c>
      <c r="H175" s="5">
        <v>44986</v>
      </c>
      <c r="I175">
        <v>49</v>
      </c>
      <c r="J175" t="s">
        <v>57</v>
      </c>
    </row>
    <row r="176" spans="1:10">
      <c r="A176" t="s">
        <v>400</v>
      </c>
      <c r="B176" t="s">
        <v>401</v>
      </c>
      <c r="C176" t="s">
        <v>83</v>
      </c>
      <c r="D176" t="s">
        <v>70</v>
      </c>
      <c r="E176" t="s">
        <v>71</v>
      </c>
      <c r="F176" t="s">
        <v>56</v>
      </c>
      <c r="G176" t="s">
        <v>38</v>
      </c>
      <c r="H176" s="5">
        <v>45231</v>
      </c>
      <c r="I176">
        <v>77</v>
      </c>
      <c r="J176" t="s">
        <v>50</v>
      </c>
    </row>
    <row r="177" spans="1:10">
      <c r="A177" t="s">
        <v>402</v>
      </c>
      <c r="B177" t="s">
        <v>403</v>
      </c>
      <c r="C177" t="s">
        <v>34</v>
      </c>
      <c r="D177" t="s">
        <v>35</v>
      </c>
      <c r="E177" t="s">
        <v>36</v>
      </c>
      <c r="F177" t="s">
        <v>56</v>
      </c>
      <c r="G177" t="s">
        <v>38</v>
      </c>
      <c r="H177" s="5">
        <v>44866</v>
      </c>
      <c r="I177">
        <v>66</v>
      </c>
      <c r="J177" t="s">
        <v>39</v>
      </c>
    </row>
    <row r="178" spans="1:10">
      <c r="A178" t="s">
        <v>404</v>
      </c>
      <c r="B178" t="s">
        <v>405</v>
      </c>
      <c r="C178" t="s">
        <v>83</v>
      </c>
      <c r="D178" t="s">
        <v>70</v>
      </c>
      <c r="E178" t="s">
        <v>76</v>
      </c>
      <c r="F178" t="s">
        <v>43</v>
      </c>
      <c r="G178" t="s">
        <v>38</v>
      </c>
      <c r="H178" s="5">
        <v>45231</v>
      </c>
      <c r="I178">
        <v>30</v>
      </c>
      <c r="J178" t="s">
        <v>57</v>
      </c>
    </row>
    <row r="179" spans="1:10">
      <c r="A179" t="s">
        <v>406</v>
      </c>
      <c r="B179" t="s">
        <v>407</v>
      </c>
      <c r="C179" t="s">
        <v>60</v>
      </c>
      <c r="D179" t="s">
        <v>54</v>
      </c>
      <c r="E179" t="s">
        <v>94</v>
      </c>
      <c r="F179" t="s">
        <v>43</v>
      </c>
      <c r="G179" t="s">
        <v>44</v>
      </c>
      <c r="H179" s="5">
        <v>44228</v>
      </c>
      <c r="I179">
        <v>78</v>
      </c>
      <c r="J179" t="s">
        <v>50</v>
      </c>
    </row>
    <row r="180" spans="1:10">
      <c r="A180" t="s">
        <v>408</v>
      </c>
      <c r="B180" t="s">
        <v>409</v>
      </c>
      <c r="C180" t="s">
        <v>69</v>
      </c>
      <c r="D180" t="s">
        <v>70</v>
      </c>
      <c r="E180" t="s">
        <v>71</v>
      </c>
      <c r="F180" t="s">
        <v>56</v>
      </c>
      <c r="G180" t="s">
        <v>38</v>
      </c>
      <c r="H180" s="5">
        <v>43313</v>
      </c>
      <c r="I180">
        <v>74</v>
      </c>
      <c r="J180" t="s">
        <v>39</v>
      </c>
    </row>
    <row r="181" spans="1:10">
      <c r="A181" t="s">
        <v>410</v>
      </c>
      <c r="B181" t="s">
        <v>411</v>
      </c>
      <c r="C181" t="s">
        <v>60</v>
      </c>
      <c r="D181" t="s">
        <v>54</v>
      </c>
      <c r="E181" t="s">
        <v>94</v>
      </c>
      <c r="F181" t="s">
        <v>43</v>
      </c>
      <c r="G181" t="s">
        <v>38</v>
      </c>
      <c r="H181" s="5">
        <v>44621</v>
      </c>
      <c r="I181">
        <v>79</v>
      </c>
      <c r="J181" t="s">
        <v>50</v>
      </c>
    </row>
    <row r="182" spans="1:10">
      <c r="A182" t="s">
        <v>412</v>
      </c>
      <c r="B182" t="s">
        <v>413</v>
      </c>
      <c r="C182" t="s">
        <v>53</v>
      </c>
      <c r="D182" t="s">
        <v>48</v>
      </c>
      <c r="E182" t="s">
        <v>49</v>
      </c>
      <c r="F182" t="s">
        <v>37</v>
      </c>
      <c r="G182" t="s">
        <v>38</v>
      </c>
      <c r="H182" s="5">
        <v>43344</v>
      </c>
      <c r="I182">
        <v>71</v>
      </c>
      <c r="J182" t="s">
        <v>39</v>
      </c>
    </row>
    <row r="183" spans="1:10">
      <c r="A183" t="s">
        <v>414</v>
      </c>
      <c r="B183" t="s">
        <v>415</v>
      </c>
      <c r="C183" t="s">
        <v>34</v>
      </c>
      <c r="D183" t="s">
        <v>35</v>
      </c>
      <c r="E183" t="s">
        <v>36</v>
      </c>
      <c r="F183" t="s">
        <v>37</v>
      </c>
      <c r="G183" t="s">
        <v>38</v>
      </c>
      <c r="H183" s="5">
        <v>45383</v>
      </c>
      <c r="I183">
        <v>78</v>
      </c>
      <c r="J183" t="s">
        <v>50</v>
      </c>
    </row>
    <row r="184" spans="1:10">
      <c r="A184" t="s">
        <v>416</v>
      </c>
      <c r="B184" t="s">
        <v>417</v>
      </c>
      <c r="C184" t="s">
        <v>47</v>
      </c>
      <c r="D184" t="s">
        <v>54</v>
      </c>
      <c r="E184" t="s">
        <v>55</v>
      </c>
      <c r="F184" t="s">
        <v>37</v>
      </c>
      <c r="G184" t="s">
        <v>38</v>
      </c>
      <c r="H184" s="5">
        <v>43344</v>
      </c>
      <c r="I184">
        <v>71</v>
      </c>
      <c r="J184" t="s">
        <v>39</v>
      </c>
    </row>
  </sheetData>
  <mergeCells count="1">
    <mergeCell ref="A1:J2"/>
  </mergeCells>
  <conditionalFormatting sqref="I5:I184">
    <cfRule type="colorScale" priority="1">
      <colorScale>
        <cfvo type="min"/>
        <cfvo type="percentile" val="50"/>
        <cfvo type="max"/>
        <color rgb="FFF4CCCC"/>
        <color rgb="FFFFF2CC"/>
        <color rgb="FFD9EAD3"/>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D9" sqref="D9"/>
    </sheetView>
  </sheetViews>
  <sheetFormatPr defaultRowHeight="14.25"/>
  <cols>
    <col min="1" max="3" width="24" customWidth="1"/>
    <col min="4" max="5" width="36" customWidth="1"/>
  </cols>
  <sheetData>
    <row r="1" spans="1:5">
      <c r="A1" s="18" t="s">
        <v>418</v>
      </c>
      <c r="B1" s="18"/>
      <c r="C1" s="18"/>
      <c r="D1" s="18"/>
      <c r="E1" s="18"/>
    </row>
    <row r="2" spans="1:5">
      <c r="A2" s="18"/>
      <c r="B2" s="18"/>
      <c r="C2" s="18"/>
      <c r="D2" s="18"/>
      <c r="E2" s="18"/>
    </row>
    <row r="4" spans="1:5" ht="15">
      <c r="A4" s="3" t="s">
        <v>419</v>
      </c>
      <c r="B4" s="3" t="s">
        <v>420</v>
      </c>
      <c r="C4" s="3" t="s">
        <v>421</v>
      </c>
      <c r="D4" s="3" t="s">
        <v>422</v>
      </c>
      <c r="E4" s="3" t="s">
        <v>423</v>
      </c>
    </row>
    <row r="5" spans="1:5">
      <c r="A5" t="s">
        <v>424</v>
      </c>
      <c r="B5" s="6">
        <v>30000</v>
      </c>
      <c r="C5" s="8">
        <v>0.28000000000000003</v>
      </c>
      <c r="D5" t="s">
        <v>425</v>
      </c>
      <c r="E5" t="s">
        <v>426</v>
      </c>
    </row>
    <row r="6" spans="1:5">
      <c r="A6" t="s">
        <v>427</v>
      </c>
      <c r="B6" s="6">
        <v>60000</v>
      </c>
      <c r="C6" s="8">
        <v>0.31</v>
      </c>
      <c r="D6" t="s">
        <v>428</v>
      </c>
      <c r="E6" t="s">
        <v>426</v>
      </c>
    </row>
    <row r="7" spans="1:5">
      <c r="A7" t="s">
        <v>429</v>
      </c>
      <c r="B7" s="6">
        <v>85000</v>
      </c>
      <c r="C7" s="8">
        <v>0.34</v>
      </c>
      <c r="D7" t="s">
        <v>430</v>
      </c>
      <c r="E7" t="s">
        <v>426</v>
      </c>
    </row>
    <row r="8" spans="1:5">
      <c r="A8" t="s">
        <v>431</v>
      </c>
      <c r="B8" s="6">
        <v>50000</v>
      </c>
      <c r="C8" s="8">
        <v>0.38</v>
      </c>
      <c r="D8" t="s">
        <v>432</v>
      </c>
      <c r="E8" t="s">
        <v>426</v>
      </c>
    </row>
    <row r="9" spans="1:5">
      <c r="A9" t="s">
        <v>433</v>
      </c>
      <c r="B9" s="6">
        <v>180000</v>
      </c>
      <c r="C9" s="8">
        <v>0.36</v>
      </c>
      <c r="D9" t="s">
        <v>434</v>
      </c>
      <c r="E9" t="s">
        <v>426</v>
      </c>
    </row>
  </sheetData>
  <mergeCells count="1">
    <mergeCell ref="A1: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2"/>
  <sheetViews>
    <sheetView workbookViewId="0">
      <selection sqref="A1:K2"/>
    </sheetView>
  </sheetViews>
  <sheetFormatPr defaultRowHeight="14.25"/>
  <cols>
    <col min="1" max="2" width="18" customWidth="1"/>
    <col min="3" max="3" width="22" customWidth="1"/>
    <col min="4" max="11" width="18" customWidth="1"/>
  </cols>
  <sheetData>
    <row r="1" spans="1:11">
      <c r="A1" s="18" t="s">
        <v>435</v>
      </c>
      <c r="B1" s="18"/>
      <c r="C1" s="18"/>
      <c r="D1" s="18"/>
      <c r="E1" s="18"/>
      <c r="F1" s="18"/>
      <c r="G1" s="18"/>
      <c r="H1" s="18"/>
      <c r="I1" s="18"/>
      <c r="J1" s="18"/>
      <c r="K1" s="18"/>
    </row>
    <row r="2" spans="1:11">
      <c r="A2" s="18"/>
      <c r="B2" s="18"/>
      <c r="C2" s="18"/>
      <c r="D2" s="18"/>
      <c r="E2" s="18"/>
      <c r="F2" s="18"/>
      <c r="G2" s="18"/>
      <c r="H2" s="18"/>
      <c r="I2" s="18"/>
      <c r="J2" s="18"/>
      <c r="K2" s="18"/>
    </row>
    <row r="4" spans="1:11" ht="30">
      <c r="A4" s="3" t="s">
        <v>436</v>
      </c>
      <c r="B4" s="3" t="s">
        <v>22</v>
      </c>
      <c r="C4" s="3" t="s">
        <v>23</v>
      </c>
      <c r="D4" s="3" t="s">
        <v>437</v>
      </c>
      <c r="E4" s="3" t="s">
        <v>419</v>
      </c>
      <c r="F4" s="3" t="s">
        <v>438</v>
      </c>
      <c r="G4" s="3" t="s">
        <v>439</v>
      </c>
      <c r="H4" s="3" t="s">
        <v>440</v>
      </c>
      <c r="I4" s="3" t="s">
        <v>441</v>
      </c>
      <c r="J4" s="3" t="s">
        <v>442</v>
      </c>
      <c r="K4" s="3" t="s">
        <v>443</v>
      </c>
    </row>
    <row r="5" spans="1:11">
      <c r="A5" t="s">
        <v>444</v>
      </c>
      <c r="B5" t="s">
        <v>32</v>
      </c>
      <c r="C5" t="s">
        <v>33</v>
      </c>
      <c r="D5" t="s">
        <v>445</v>
      </c>
      <c r="E5" t="s">
        <v>433</v>
      </c>
      <c r="F5" s="5">
        <v>44551</v>
      </c>
      <c r="G5">
        <v>1</v>
      </c>
      <c r="H5">
        <v>54</v>
      </c>
      <c r="I5" s="6">
        <v>140300.38705405383</v>
      </c>
      <c r="J5" t="s">
        <v>446</v>
      </c>
      <c r="K5" t="s">
        <v>447</v>
      </c>
    </row>
    <row r="6" spans="1:11">
      <c r="A6" t="s">
        <v>448</v>
      </c>
      <c r="B6" t="s">
        <v>40</v>
      </c>
      <c r="C6" t="s">
        <v>41</v>
      </c>
      <c r="D6" t="s">
        <v>449</v>
      </c>
      <c r="E6" t="s">
        <v>433</v>
      </c>
      <c r="F6" s="5">
        <v>45578</v>
      </c>
      <c r="G6">
        <v>1</v>
      </c>
      <c r="H6">
        <v>1133</v>
      </c>
      <c r="I6" s="6">
        <v>448091.47124297486</v>
      </c>
      <c r="J6" t="s">
        <v>446</v>
      </c>
      <c r="K6" t="s">
        <v>447</v>
      </c>
    </row>
    <row r="7" spans="1:11">
      <c r="A7" t="s">
        <v>450</v>
      </c>
      <c r="B7" t="s">
        <v>40</v>
      </c>
      <c r="C7" t="s">
        <v>41</v>
      </c>
      <c r="D7" t="s">
        <v>34</v>
      </c>
      <c r="E7" t="s">
        <v>424</v>
      </c>
      <c r="F7" s="5">
        <v>45175</v>
      </c>
      <c r="G7">
        <v>3</v>
      </c>
      <c r="H7">
        <v>1509</v>
      </c>
      <c r="I7" s="6">
        <v>79079.558775590311</v>
      </c>
      <c r="J7" t="s">
        <v>446</v>
      </c>
      <c r="K7" t="s">
        <v>447</v>
      </c>
    </row>
    <row r="8" spans="1:11">
      <c r="A8" t="s">
        <v>451</v>
      </c>
      <c r="B8" t="s">
        <v>45</v>
      </c>
      <c r="C8" t="s">
        <v>46</v>
      </c>
      <c r="D8" t="s">
        <v>34</v>
      </c>
      <c r="E8" t="s">
        <v>424</v>
      </c>
      <c r="F8" s="5">
        <v>44917</v>
      </c>
      <c r="G8">
        <v>3</v>
      </c>
      <c r="H8">
        <v>20</v>
      </c>
      <c r="I8" s="6">
        <v>24565.52315859939</v>
      </c>
      <c r="J8" t="s">
        <v>446</v>
      </c>
      <c r="K8" t="s">
        <v>447</v>
      </c>
    </row>
    <row r="9" spans="1:11">
      <c r="A9" t="s">
        <v>452</v>
      </c>
      <c r="B9" t="s">
        <v>51</v>
      </c>
      <c r="C9" t="s">
        <v>52</v>
      </c>
      <c r="D9" t="s">
        <v>449</v>
      </c>
      <c r="E9" t="s">
        <v>431</v>
      </c>
      <c r="F9" s="5">
        <v>45567</v>
      </c>
      <c r="G9">
        <v>3</v>
      </c>
      <c r="H9">
        <v>176</v>
      </c>
      <c r="I9" s="6">
        <v>64148.04011655935</v>
      </c>
      <c r="J9" t="s">
        <v>446</v>
      </c>
      <c r="K9" t="s">
        <v>447</v>
      </c>
    </row>
    <row r="10" spans="1:11">
      <c r="A10" t="s">
        <v>453</v>
      </c>
      <c r="B10" t="s">
        <v>51</v>
      </c>
      <c r="C10" t="s">
        <v>52</v>
      </c>
      <c r="D10" t="s">
        <v>34</v>
      </c>
      <c r="E10" t="s">
        <v>433</v>
      </c>
      <c r="F10" s="5">
        <v>45821</v>
      </c>
      <c r="G10">
        <v>1</v>
      </c>
      <c r="H10">
        <v>141</v>
      </c>
      <c r="I10" s="6">
        <v>223858.22975661725</v>
      </c>
      <c r="J10" t="s">
        <v>446</v>
      </c>
      <c r="K10" t="s">
        <v>447</v>
      </c>
    </row>
    <row r="11" spans="1:11">
      <c r="A11" t="s">
        <v>454</v>
      </c>
      <c r="B11" t="s">
        <v>58</v>
      </c>
      <c r="C11" t="s">
        <v>59</v>
      </c>
      <c r="D11" t="s">
        <v>47</v>
      </c>
      <c r="E11" t="s">
        <v>433</v>
      </c>
      <c r="F11" s="5">
        <v>44568</v>
      </c>
      <c r="G11">
        <v>3</v>
      </c>
      <c r="H11">
        <v>276</v>
      </c>
      <c r="I11" s="6">
        <v>320385.63560260483</v>
      </c>
      <c r="J11" t="s">
        <v>455</v>
      </c>
      <c r="K11" t="s">
        <v>447</v>
      </c>
    </row>
    <row r="12" spans="1:11">
      <c r="A12" t="s">
        <v>456</v>
      </c>
      <c r="B12" t="s">
        <v>58</v>
      </c>
      <c r="C12" t="s">
        <v>59</v>
      </c>
      <c r="D12" t="s">
        <v>34</v>
      </c>
      <c r="E12" t="s">
        <v>433</v>
      </c>
      <c r="F12" s="5">
        <v>45804</v>
      </c>
      <c r="G12">
        <v>1</v>
      </c>
      <c r="H12">
        <v>110</v>
      </c>
      <c r="I12" s="6">
        <v>320597.40806784597</v>
      </c>
      <c r="J12" t="s">
        <v>457</v>
      </c>
      <c r="K12" t="s">
        <v>447</v>
      </c>
    </row>
    <row r="13" spans="1:11">
      <c r="A13" t="s">
        <v>458</v>
      </c>
      <c r="B13" t="s">
        <v>58</v>
      </c>
      <c r="C13" t="s">
        <v>59</v>
      </c>
      <c r="D13" t="s">
        <v>449</v>
      </c>
      <c r="E13" t="s">
        <v>431</v>
      </c>
      <c r="F13" s="5">
        <v>44975</v>
      </c>
      <c r="G13">
        <v>1</v>
      </c>
      <c r="H13">
        <v>99</v>
      </c>
      <c r="I13" s="6">
        <v>103727.12468365299</v>
      </c>
      <c r="J13" t="s">
        <v>455</v>
      </c>
      <c r="K13" t="s">
        <v>447</v>
      </c>
    </row>
    <row r="14" spans="1:11">
      <c r="A14" t="s">
        <v>459</v>
      </c>
      <c r="B14" t="s">
        <v>58</v>
      </c>
      <c r="C14" t="s">
        <v>59</v>
      </c>
      <c r="D14" t="s">
        <v>34</v>
      </c>
      <c r="E14" t="s">
        <v>429</v>
      </c>
      <c r="F14" s="5">
        <v>44702</v>
      </c>
      <c r="G14">
        <v>1</v>
      </c>
      <c r="H14">
        <v>209</v>
      </c>
      <c r="I14" s="6">
        <v>98450.210456680186</v>
      </c>
      <c r="J14" t="s">
        <v>446</v>
      </c>
      <c r="K14" t="s">
        <v>447</v>
      </c>
    </row>
    <row r="15" spans="1:11">
      <c r="A15" t="s">
        <v>460</v>
      </c>
      <c r="B15" t="s">
        <v>61</v>
      </c>
      <c r="C15" t="s">
        <v>62</v>
      </c>
      <c r="D15" t="s">
        <v>34</v>
      </c>
      <c r="E15" t="s">
        <v>429</v>
      </c>
      <c r="F15" s="5">
        <v>45344</v>
      </c>
      <c r="G15">
        <v>1</v>
      </c>
      <c r="H15">
        <v>131</v>
      </c>
      <c r="I15" s="6">
        <v>184726.33752709901</v>
      </c>
      <c r="J15" t="s">
        <v>457</v>
      </c>
      <c r="K15" t="s">
        <v>447</v>
      </c>
    </row>
    <row r="16" spans="1:11">
      <c r="A16" t="s">
        <v>461</v>
      </c>
      <c r="B16" t="s">
        <v>61</v>
      </c>
      <c r="C16" t="s">
        <v>62</v>
      </c>
      <c r="D16" t="s">
        <v>449</v>
      </c>
      <c r="E16" t="s">
        <v>433</v>
      </c>
      <c r="F16" s="5">
        <v>45685</v>
      </c>
      <c r="G16">
        <v>1</v>
      </c>
      <c r="H16">
        <v>210</v>
      </c>
      <c r="I16" s="6">
        <v>259121.63645553179</v>
      </c>
      <c r="J16" t="s">
        <v>457</v>
      </c>
      <c r="K16" t="s">
        <v>447</v>
      </c>
    </row>
    <row r="17" spans="1:11">
      <c r="A17" t="s">
        <v>462</v>
      </c>
      <c r="B17" t="s">
        <v>61</v>
      </c>
      <c r="C17" t="s">
        <v>62</v>
      </c>
      <c r="D17" t="s">
        <v>445</v>
      </c>
      <c r="E17" t="s">
        <v>433</v>
      </c>
      <c r="F17" s="5">
        <v>45341</v>
      </c>
      <c r="G17">
        <v>3</v>
      </c>
      <c r="H17">
        <v>213</v>
      </c>
      <c r="I17" s="6">
        <v>196873.50556857319</v>
      </c>
      <c r="J17" t="s">
        <v>446</v>
      </c>
      <c r="K17" t="s">
        <v>447</v>
      </c>
    </row>
    <row r="18" spans="1:11">
      <c r="A18" t="s">
        <v>463</v>
      </c>
      <c r="B18" t="s">
        <v>63</v>
      </c>
      <c r="C18" t="s">
        <v>64</v>
      </c>
      <c r="D18" t="s">
        <v>449</v>
      </c>
      <c r="E18" t="s">
        <v>427</v>
      </c>
      <c r="F18" s="5">
        <v>45310</v>
      </c>
      <c r="G18">
        <v>2</v>
      </c>
      <c r="H18">
        <v>204</v>
      </c>
      <c r="I18" s="6">
        <v>112696.56716609298</v>
      </c>
      <c r="J18" t="s">
        <v>457</v>
      </c>
      <c r="K18" t="s">
        <v>447</v>
      </c>
    </row>
    <row r="19" spans="1:11">
      <c r="A19" t="s">
        <v>464</v>
      </c>
      <c r="B19" t="s">
        <v>63</v>
      </c>
      <c r="C19" t="s">
        <v>64</v>
      </c>
      <c r="D19" t="s">
        <v>449</v>
      </c>
      <c r="E19" t="s">
        <v>424</v>
      </c>
      <c r="F19" s="5">
        <v>44409</v>
      </c>
      <c r="G19">
        <v>1</v>
      </c>
      <c r="H19">
        <v>305</v>
      </c>
      <c r="I19" s="6">
        <v>54497.182831952668</v>
      </c>
      <c r="J19" t="s">
        <v>455</v>
      </c>
      <c r="K19" t="s">
        <v>447</v>
      </c>
    </row>
    <row r="20" spans="1:11">
      <c r="A20" t="s">
        <v>465</v>
      </c>
      <c r="B20" t="s">
        <v>63</v>
      </c>
      <c r="C20" t="s">
        <v>64</v>
      </c>
      <c r="D20" t="s">
        <v>466</v>
      </c>
      <c r="E20" t="s">
        <v>429</v>
      </c>
      <c r="F20" s="5">
        <v>45026</v>
      </c>
      <c r="G20">
        <v>1</v>
      </c>
      <c r="H20">
        <v>227</v>
      </c>
      <c r="I20" s="6">
        <v>86078.728931428443</v>
      </c>
      <c r="J20" t="s">
        <v>446</v>
      </c>
      <c r="K20" t="s">
        <v>447</v>
      </c>
    </row>
    <row r="21" spans="1:11">
      <c r="A21" t="s">
        <v>467</v>
      </c>
      <c r="B21" t="s">
        <v>63</v>
      </c>
      <c r="C21" t="s">
        <v>64</v>
      </c>
      <c r="D21" t="s">
        <v>47</v>
      </c>
      <c r="E21" t="s">
        <v>433</v>
      </c>
      <c r="F21" s="5">
        <v>45796</v>
      </c>
      <c r="G21">
        <v>3</v>
      </c>
      <c r="H21">
        <v>133</v>
      </c>
      <c r="I21" s="6">
        <v>362900.54353028967</v>
      </c>
      <c r="J21" t="s">
        <v>457</v>
      </c>
      <c r="K21" t="s">
        <v>447</v>
      </c>
    </row>
    <row r="22" spans="1:11">
      <c r="A22" t="s">
        <v>468</v>
      </c>
      <c r="B22" t="s">
        <v>65</v>
      </c>
      <c r="C22" t="s">
        <v>66</v>
      </c>
      <c r="D22" t="s">
        <v>34</v>
      </c>
      <c r="E22" t="s">
        <v>429</v>
      </c>
      <c r="F22" s="5">
        <v>45719</v>
      </c>
      <c r="G22">
        <v>1</v>
      </c>
      <c r="H22">
        <v>796</v>
      </c>
      <c r="I22" s="6">
        <v>181007.60392663832</v>
      </c>
      <c r="J22" t="s">
        <v>457</v>
      </c>
      <c r="K22" t="s">
        <v>447</v>
      </c>
    </row>
    <row r="23" spans="1:11">
      <c r="A23" t="s">
        <v>469</v>
      </c>
      <c r="B23" t="s">
        <v>65</v>
      </c>
      <c r="C23" t="s">
        <v>66</v>
      </c>
      <c r="D23" t="s">
        <v>449</v>
      </c>
      <c r="E23" t="s">
        <v>427</v>
      </c>
      <c r="F23" s="5">
        <v>45830</v>
      </c>
      <c r="G23">
        <v>1</v>
      </c>
      <c r="H23">
        <v>1345</v>
      </c>
      <c r="I23" s="6">
        <v>237976.41916023474</v>
      </c>
      <c r="J23" t="s">
        <v>457</v>
      </c>
      <c r="K23" t="s">
        <v>447</v>
      </c>
    </row>
    <row r="24" spans="1:11">
      <c r="A24" t="s">
        <v>470</v>
      </c>
      <c r="B24" t="s">
        <v>67</v>
      </c>
      <c r="C24" t="s">
        <v>68</v>
      </c>
      <c r="D24" t="s">
        <v>445</v>
      </c>
      <c r="E24" t="s">
        <v>431</v>
      </c>
      <c r="F24" s="5">
        <v>45580</v>
      </c>
      <c r="G24">
        <v>1</v>
      </c>
      <c r="H24">
        <v>75</v>
      </c>
      <c r="I24" s="6">
        <v>41655.050931630954</v>
      </c>
      <c r="J24" t="s">
        <v>457</v>
      </c>
      <c r="K24" t="s">
        <v>447</v>
      </c>
    </row>
    <row r="25" spans="1:11">
      <c r="A25" t="s">
        <v>471</v>
      </c>
      <c r="B25" t="s">
        <v>72</v>
      </c>
      <c r="C25" t="s">
        <v>73</v>
      </c>
      <c r="D25" t="s">
        <v>34</v>
      </c>
      <c r="E25" t="s">
        <v>427</v>
      </c>
      <c r="F25" s="5">
        <v>45152</v>
      </c>
      <c r="G25">
        <v>2</v>
      </c>
      <c r="H25">
        <v>207</v>
      </c>
      <c r="I25" s="6">
        <v>132509.73033115949</v>
      </c>
      <c r="J25" t="s">
        <v>455</v>
      </c>
      <c r="K25" t="s">
        <v>447</v>
      </c>
    </row>
    <row r="26" spans="1:11">
      <c r="A26" t="s">
        <v>472</v>
      </c>
      <c r="B26" t="s">
        <v>74</v>
      </c>
      <c r="C26" t="s">
        <v>75</v>
      </c>
      <c r="D26" t="s">
        <v>445</v>
      </c>
      <c r="E26" t="s">
        <v>429</v>
      </c>
      <c r="F26" s="5">
        <v>45298</v>
      </c>
      <c r="G26">
        <v>1</v>
      </c>
      <c r="H26">
        <v>628</v>
      </c>
      <c r="I26" s="6">
        <v>253577.76661081877</v>
      </c>
      <c r="J26" t="s">
        <v>457</v>
      </c>
      <c r="K26" t="s">
        <v>447</v>
      </c>
    </row>
    <row r="27" spans="1:11">
      <c r="A27" t="s">
        <v>473</v>
      </c>
      <c r="B27" t="s">
        <v>74</v>
      </c>
      <c r="C27" t="s">
        <v>75</v>
      </c>
      <c r="D27" t="s">
        <v>466</v>
      </c>
      <c r="E27" t="s">
        <v>429</v>
      </c>
      <c r="F27" s="5">
        <v>45386</v>
      </c>
      <c r="G27">
        <v>3</v>
      </c>
      <c r="H27">
        <v>1885</v>
      </c>
      <c r="I27" s="6">
        <v>468080.85100970516</v>
      </c>
      <c r="J27" t="s">
        <v>446</v>
      </c>
      <c r="K27" t="s">
        <v>447</v>
      </c>
    </row>
    <row r="28" spans="1:11">
      <c r="A28" t="s">
        <v>474</v>
      </c>
      <c r="B28" t="s">
        <v>77</v>
      </c>
      <c r="C28" t="s">
        <v>78</v>
      </c>
      <c r="D28" t="s">
        <v>475</v>
      </c>
      <c r="E28" t="s">
        <v>429</v>
      </c>
      <c r="F28" s="5">
        <v>45776</v>
      </c>
      <c r="G28">
        <v>1</v>
      </c>
      <c r="H28">
        <v>338</v>
      </c>
      <c r="I28" s="6">
        <v>173097.35487898233</v>
      </c>
      <c r="J28" t="s">
        <v>446</v>
      </c>
      <c r="K28" t="s">
        <v>447</v>
      </c>
    </row>
    <row r="29" spans="1:11">
      <c r="A29" t="s">
        <v>476</v>
      </c>
      <c r="B29" t="s">
        <v>77</v>
      </c>
      <c r="C29" t="s">
        <v>78</v>
      </c>
      <c r="D29" t="s">
        <v>34</v>
      </c>
      <c r="E29" t="s">
        <v>427</v>
      </c>
      <c r="F29" s="5">
        <v>44607</v>
      </c>
      <c r="G29">
        <v>3</v>
      </c>
      <c r="H29">
        <v>213</v>
      </c>
      <c r="I29" s="6">
        <v>113361.70721606544</v>
      </c>
      <c r="J29" t="s">
        <v>446</v>
      </c>
      <c r="K29" t="s">
        <v>447</v>
      </c>
    </row>
    <row r="30" spans="1:11">
      <c r="A30" t="s">
        <v>477</v>
      </c>
      <c r="B30" t="s">
        <v>79</v>
      </c>
      <c r="C30" t="s">
        <v>80</v>
      </c>
      <c r="D30" t="s">
        <v>475</v>
      </c>
      <c r="E30" t="s">
        <v>429</v>
      </c>
      <c r="F30" s="5">
        <v>44949</v>
      </c>
      <c r="G30">
        <v>3</v>
      </c>
      <c r="H30">
        <v>328</v>
      </c>
      <c r="I30" s="6">
        <v>148144.80187210641</v>
      </c>
      <c r="J30" t="s">
        <v>446</v>
      </c>
      <c r="K30" t="s">
        <v>447</v>
      </c>
    </row>
    <row r="31" spans="1:11">
      <c r="A31" t="s">
        <v>478</v>
      </c>
      <c r="B31" t="s">
        <v>79</v>
      </c>
      <c r="C31" t="s">
        <v>80</v>
      </c>
      <c r="D31" t="s">
        <v>449</v>
      </c>
      <c r="E31" t="s">
        <v>431</v>
      </c>
      <c r="F31" s="5">
        <v>45186</v>
      </c>
      <c r="G31">
        <v>1</v>
      </c>
      <c r="H31">
        <v>280</v>
      </c>
      <c r="I31" s="6">
        <v>53560.351203664301</v>
      </c>
      <c r="J31" t="s">
        <v>446</v>
      </c>
      <c r="K31" t="s">
        <v>447</v>
      </c>
    </row>
    <row r="32" spans="1:11">
      <c r="A32" t="s">
        <v>479</v>
      </c>
      <c r="B32" t="s">
        <v>79</v>
      </c>
      <c r="C32" t="s">
        <v>80</v>
      </c>
      <c r="D32" t="s">
        <v>47</v>
      </c>
      <c r="E32" t="s">
        <v>427</v>
      </c>
      <c r="F32" s="5">
        <v>45719</v>
      </c>
      <c r="G32">
        <v>3</v>
      </c>
      <c r="H32">
        <v>115</v>
      </c>
      <c r="I32" s="6">
        <v>102198.76502877213</v>
      </c>
      <c r="J32" t="s">
        <v>446</v>
      </c>
      <c r="K32" t="s">
        <v>447</v>
      </c>
    </row>
    <row r="33" spans="1:11">
      <c r="A33" t="s">
        <v>480</v>
      </c>
      <c r="B33" t="s">
        <v>79</v>
      </c>
      <c r="C33" t="s">
        <v>80</v>
      </c>
      <c r="D33" t="s">
        <v>475</v>
      </c>
      <c r="E33" t="s">
        <v>427</v>
      </c>
      <c r="F33" s="5">
        <v>44978</v>
      </c>
      <c r="G33">
        <v>1</v>
      </c>
      <c r="H33">
        <v>264</v>
      </c>
      <c r="I33" s="6">
        <v>103808.08876251584</v>
      </c>
      <c r="J33" t="s">
        <v>455</v>
      </c>
      <c r="K33" t="s">
        <v>447</v>
      </c>
    </row>
    <row r="34" spans="1:11">
      <c r="A34" t="s">
        <v>481</v>
      </c>
      <c r="B34" t="s">
        <v>81</v>
      </c>
      <c r="C34" t="s">
        <v>82</v>
      </c>
      <c r="D34" t="s">
        <v>449</v>
      </c>
      <c r="E34" t="s">
        <v>433</v>
      </c>
      <c r="F34" s="5">
        <v>45244</v>
      </c>
      <c r="G34">
        <v>1</v>
      </c>
      <c r="H34">
        <v>72</v>
      </c>
      <c r="I34" s="6">
        <v>142746.4266948055</v>
      </c>
      <c r="J34" t="s">
        <v>455</v>
      </c>
      <c r="K34" t="s">
        <v>447</v>
      </c>
    </row>
    <row r="35" spans="1:11">
      <c r="A35" t="s">
        <v>482</v>
      </c>
      <c r="B35" t="s">
        <v>81</v>
      </c>
      <c r="C35" t="s">
        <v>82</v>
      </c>
      <c r="D35" t="s">
        <v>449</v>
      </c>
      <c r="E35" t="s">
        <v>427</v>
      </c>
      <c r="F35" s="5">
        <v>45231</v>
      </c>
      <c r="G35">
        <v>1</v>
      </c>
      <c r="H35">
        <v>51</v>
      </c>
      <c r="I35" s="6">
        <v>59991.153437373068</v>
      </c>
      <c r="J35" t="s">
        <v>446</v>
      </c>
      <c r="K35" t="s">
        <v>447</v>
      </c>
    </row>
    <row r="36" spans="1:11">
      <c r="A36" t="s">
        <v>483</v>
      </c>
      <c r="B36" t="s">
        <v>81</v>
      </c>
      <c r="C36" t="s">
        <v>82</v>
      </c>
      <c r="D36" t="s">
        <v>449</v>
      </c>
      <c r="E36" t="s">
        <v>429</v>
      </c>
      <c r="F36" s="5">
        <v>45739</v>
      </c>
      <c r="G36">
        <v>2</v>
      </c>
      <c r="H36">
        <v>73</v>
      </c>
      <c r="I36" s="6">
        <v>89451.615648960258</v>
      </c>
      <c r="J36" t="s">
        <v>457</v>
      </c>
      <c r="K36" t="s">
        <v>447</v>
      </c>
    </row>
    <row r="37" spans="1:11">
      <c r="A37" t="s">
        <v>484</v>
      </c>
      <c r="B37" t="s">
        <v>84</v>
      </c>
      <c r="C37" t="s">
        <v>85</v>
      </c>
      <c r="D37" t="s">
        <v>466</v>
      </c>
      <c r="E37" t="s">
        <v>431</v>
      </c>
      <c r="F37" s="5">
        <v>44782</v>
      </c>
      <c r="G37">
        <v>1</v>
      </c>
      <c r="H37">
        <v>16</v>
      </c>
      <c r="I37" s="6">
        <v>40813.734947577374</v>
      </c>
      <c r="J37" t="s">
        <v>455</v>
      </c>
      <c r="K37" t="s">
        <v>447</v>
      </c>
    </row>
    <row r="38" spans="1:11">
      <c r="A38" t="s">
        <v>485</v>
      </c>
      <c r="B38" t="s">
        <v>84</v>
      </c>
      <c r="C38" t="s">
        <v>85</v>
      </c>
      <c r="D38" t="s">
        <v>47</v>
      </c>
      <c r="E38" t="s">
        <v>429</v>
      </c>
      <c r="F38" s="5">
        <v>44531</v>
      </c>
      <c r="G38">
        <v>1</v>
      </c>
      <c r="H38">
        <v>74</v>
      </c>
      <c r="I38" s="6">
        <v>68085.032246231334</v>
      </c>
      <c r="J38" t="s">
        <v>446</v>
      </c>
      <c r="K38" t="s">
        <v>447</v>
      </c>
    </row>
    <row r="39" spans="1:11">
      <c r="A39" t="s">
        <v>486</v>
      </c>
      <c r="B39" t="s">
        <v>86</v>
      </c>
      <c r="C39" t="s">
        <v>87</v>
      </c>
      <c r="D39" t="s">
        <v>34</v>
      </c>
      <c r="E39" t="s">
        <v>433</v>
      </c>
      <c r="F39" s="5">
        <v>44898</v>
      </c>
      <c r="G39">
        <v>1</v>
      </c>
      <c r="H39">
        <v>433</v>
      </c>
      <c r="I39" s="6">
        <v>827587.10575495556</v>
      </c>
      <c r="J39" t="s">
        <v>446</v>
      </c>
      <c r="K39" t="s">
        <v>447</v>
      </c>
    </row>
    <row r="40" spans="1:11">
      <c r="A40" t="s">
        <v>487</v>
      </c>
      <c r="B40" t="s">
        <v>86</v>
      </c>
      <c r="C40" t="s">
        <v>87</v>
      </c>
      <c r="D40" t="s">
        <v>47</v>
      </c>
      <c r="E40" t="s">
        <v>424</v>
      </c>
      <c r="F40" s="5">
        <v>44982</v>
      </c>
      <c r="G40">
        <v>3</v>
      </c>
      <c r="H40">
        <v>917</v>
      </c>
      <c r="I40" s="6">
        <v>87605.699475525005</v>
      </c>
      <c r="J40" t="s">
        <v>446</v>
      </c>
      <c r="K40" t="s">
        <v>447</v>
      </c>
    </row>
    <row r="41" spans="1:11">
      <c r="A41" t="s">
        <v>488</v>
      </c>
      <c r="B41" t="s">
        <v>88</v>
      </c>
      <c r="C41" t="s">
        <v>89</v>
      </c>
      <c r="D41" t="s">
        <v>475</v>
      </c>
      <c r="E41" t="s">
        <v>431</v>
      </c>
      <c r="F41" s="5">
        <v>45002</v>
      </c>
      <c r="G41">
        <v>3</v>
      </c>
      <c r="H41">
        <v>139</v>
      </c>
      <c r="I41" s="6">
        <v>65298.084648190408</v>
      </c>
      <c r="J41" t="s">
        <v>446</v>
      </c>
      <c r="K41" t="s">
        <v>447</v>
      </c>
    </row>
    <row r="42" spans="1:11">
      <c r="A42" t="s">
        <v>489</v>
      </c>
      <c r="B42" t="s">
        <v>88</v>
      </c>
      <c r="C42" t="s">
        <v>89</v>
      </c>
      <c r="D42" t="s">
        <v>34</v>
      </c>
      <c r="E42" t="s">
        <v>433</v>
      </c>
      <c r="F42" s="5">
        <v>45540</v>
      </c>
      <c r="G42">
        <v>1</v>
      </c>
      <c r="H42">
        <v>145</v>
      </c>
      <c r="I42" s="6">
        <v>336527.78014903475</v>
      </c>
      <c r="J42" t="s">
        <v>455</v>
      </c>
      <c r="K42" t="s">
        <v>447</v>
      </c>
    </row>
    <row r="43" spans="1:11">
      <c r="A43" t="s">
        <v>490</v>
      </c>
      <c r="B43" t="s">
        <v>90</v>
      </c>
      <c r="C43" t="s">
        <v>91</v>
      </c>
      <c r="D43" t="s">
        <v>34</v>
      </c>
      <c r="E43" t="s">
        <v>431</v>
      </c>
      <c r="F43" s="5">
        <v>44962</v>
      </c>
      <c r="G43">
        <v>3</v>
      </c>
      <c r="H43">
        <v>68</v>
      </c>
      <c r="I43" s="6">
        <v>40999.291257103112</v>
      </c>
      <c r="J43" t="s">
        <v>446</v>
      </c>
      <c r="K43" t="s">
        <v>447</v>
      </c>
    </row>
    <row r="44" spans="1:11">
      <c r="A44" t="s">
        <v>491</v>
      </c>
      <c r="B44" t="s">
        <v>90</v>
      </c>
      <c r="C44" t="s">
        <v>91</v>
      </c>
      <c r="D44" t="s">
        <v>445</v>
      </c>
      <c r="E44" t="s">
        <v>431</v>
      </c>
      <c r="F44" s="5">
        <v>45652</v>
      </c>
      <c r="G44">
        <v>2</v>
      </c>
      <c r="H44">
        <v>50</v>
      </c>
      <c r="I44" s="6">
        <v>49222.070276409802</v>
      </c>
      <c r="J44" t="s">
        <v>446</v>
      </c>
      <c r="K44" t="s">
        <v>447</v>
      </c>
    </row>
    <row r="45" spans="1:11">
      <c r="A45" t="s">
        <v>492</v>
      </c>
      <c r="B45" t="s">
        <v>92</v>
      </c>
      <c r="C45" t="s">
        <v>93</v>
      </c>
      <c r="D45" t="s">
        <v>47</v>
      </c>
      <c r="E45" t="s">
        <v>427</v>
      </c>
      <c r="F45" s="5">
        <v>44581</v>
      </c>
      <c r="G45">
        <v>3</v>
      </c>
      <c r="H45">
        <v>596</v>
      </c>
      <c r="I45" s="6">
        <v>258800.48026730091</v>
      </c>
      <c r="J45" t="s">
        <v>446</v>
      </c>
      <c r="K45" t="s">
        <v>447</v>
      </c>
    </row>
    <row r="46" spans="1:11">
      <c r="A46" t="s">
        <v>493</v>
      </c>
      <c r="B46" t="s">
        <v>92</v>
      </c>
      <c r="C46" t="s">
        <v>93</v>
      </c>
      <c r="D46" t="s">
        <v>34</v>
      </c>
      <c r="E46" t="s">
        <v>424</v>
      </c>
      <c r="F46" s="5">
        <v>45488</v>
      </c>
      <c r="G46">
        <v>1</v>
      </c>
      <c r="H46">
        <v>1723</v>
      </c>
      <c r="I46" s="6">
        <v>137877.26221858559</v>
      </c>
      <c r="J46" t="s">
        <v>457</v>
      </c>
      <c r="K46" t="s">
        <v>447</v>
      </c>
    </row>
    <row r="47" spans="1:11">
      <c r="A47" t="s">
        <v>494</v>
      </c>
      <c r="B47" t="s">
        <v>95</v>
      </c>
      <c r="C47" t="s">
        <v>96</v>
      </c>
      <c r="D47" t="s">
        <v>445</v>
      </c>
      <c r="E47" t="s">
        <v>433</v>
      </c>
      <c r="F47" s="5">
        <v>44198</v>
      </c>
      <c r="G47">
        <v>1</v>
      </c>
      <c r="H47">
        <v>259</v>
      </c>
      <c r="I47" s="6">
        <v>537457.19605138269</v>
      </c>
      <c r="J47" t="s">
        <v>446</v>
      </c>
      <c r="K47" t="s">
        <v>447</v>
      </c>
    </row>
    <row r="48" spans="1:11">
      <c r="A48" t="s">
        <v>495</v>
      </c>
      <c r="B48" t="s">
        <v>95</v>
      </c>
      <c r="C48" t="s">
        <v>96</v>
      </c>
      <c r="D48" t="s">
        <v>449</v>
      </c>
      <c r="E48" t="s">
        <v>431</v>
      </c>
      <c r="F48" s="5">
        <v>45740</v>
      </c>
      <c r="G48">
        <v>3</v>
      </c>
      <c r="H48">
        <v>526</v>
      </c>
      <c r="I48" s="6">
        <v>206904.50767017025</v>
      </c>
      <c r="J48" t="s">
        <v>457</v>
      </c>
      <c r="K48" t="s">
        <v>447</v>
      </c>
    </row>
    <row r="49" spans="1:11">
      <c r="A49" t="s">
        <v>496</v>
      </c>
      <c r="B49" t="s">
        <v>97</v>
      </c>
      <c r="C49" t="s">
        <v>98</v>
      </c>
      <c r="D49" t="s">
        <v>34</v>
      </c>
      <c r="E49" t="s">
        <v>427</v>
      </c>
      <c r="F49" s="5">
        <v>45548</v>
      </c>
      <c r="G49">
        <v>1</v>
      </c>
      <c r="H49">
        <v>68</v>
      </c>
      <c r="I49" s="6">
        <v>46855.347775131348</v>
      </c>
      <c r="J49" t="s">
        <v>446</v>
      </c>
      <c r="K49" t="s">
        <v>447</v>
      </c>
    </row>
    <row r="50" spans="1:11">
      <c r="A50" t="s">
        <v>497</v>
      </c>
      <c r="B50" t="s">
        <v>97</v>
      </c>
      <c r="C50" t="s">
        <v>98</v>
      </c>
      <c r="D50" t="s">
        <v>449</v>
      </c>
      <c r="E50" t="s">
        <v>429</v>
      </c>
      <c r="F50" s="5">
        <v>45337</v>
      </c>
      <c r="G50">
        <v>2</v>
      </c>
      <c r="H50">
        <v>45</v>
      </c>
      <c r="I50" s="6">
        <v>75480.442566834448</v>
      </c>
      <c r="J50" t="s">
        <v>446</v>
      </c>
      <c r="K50" t="s">
        <v>447</v>
      </c>
    </row>
    <row r="51" spans="1:11">
      <c r="A51" t="s">
        <v>498</v>
      </c>
      <c r="B51" t="s">
        <v>97</v>
      </c>
      <c r="C51" t="s">
        <v>98</v>
      </c>
      <c r="D51" t="s">
        <v>475</v>
      </c>
      <c r="E51" t="s">
        <v>429</v>
      </c>
      <c r="F51" s="5">
        <v>45744</v>
      </c>
      <c r="G51">
        <v>3</v>
      </c>
      <c r="H51">
        <v>48</v>
      </c>
      <c r="I51" s="6">
        <v>92549.228390537362</v>
      </c>
      <c r="J51" t="s">
        <v>457</v>
      </c>
      <c r="K51" t="s">
        <v>447</v>
      </c>
    </row>
    <row r="52" spans="1:11">
      <c r="A52" t="s">
        <v>499</v>
      </c>
      <c r="B52" t="s">
        <v>99</v>
      </c>
      <c r="C52" t="s">
        <v>100</v>
      </c>
      <c r="D52" t="s">
        <v>475</v>
      </c>
      <c r="E52" t="s">
        <v>427</v>
      </c>
      <c r="F52" s="5">
        <v>45155</v>
      </c>
      <c r="G52">
        <v>1</v>
      </c>
      <c r="H52">
        <v>339</v>
      </c>
      <c r="I52" s="6">
        <v>82940.9980751525</v>
      </c>
      <c r="J52" t="s">
        <v>455</v>
      </c>
      <c r="K52" t="s">
        <v>447</v>
      </c>
    </row>
    <row r="53" spans="1:11">
      <c r="A53" t="s">
        <v>500</v>
      </c>
      <c r="B53" t="s">
        <v>99</v>
      </c>
      <c r="C53" t="s">
        <v>100</v>
      </c>
      <c r="D53" t="s">
        <v>475</v>
      </c>
      <c r="E53" t="s">
        <v>431</v>
      </c>
      <c r="F53" s="5">
        <v>45065</v>
      </c>
      <c r="G53">
        <v>2</v>
      </c>
      <c r="H53">
        <v>233</v>
      </c>
      <c r="I53" s="6">
        <v>51089.844387023564</v>
      </c>
      <c r="J53" t="s">
        <v>455</v>
      </c>
      <c r="K53" t="s">
        <v>447</v>
      </c>
    </row>
    <row r="54" spans="1:11">
      <c r="A54" t="s">
        <v>501</v>
      </c>
      <c r="B54" t="s">
        <v>99</v>
      </c>
      <c r="C54" t="s">
        <v>100</v>
      </c>
      <c r="D54" t="s">
        <v>34</v>
      </c>
      <c r="E54" t="s">
        <v>427</v>
      </c>
      <c r="F54" s="5">
        <v>45320</v>
      </c>
      <c r="G54">
        <v>1</v>
      </c>
      <c r="H54">
        <v>125</v>
      </c>
      <c r="I54" s="6">
        <v>124310.03888941061</v>
      </c>
      <c r="J54" t="s">
        <v>455</v>
      </c>
      <c r="K54" t="s">
        <v>447</v>
      </c>
    </row>
    <row r="55" spans="1:11">
      <c r="A55" t="s">
        <v>502</v>
      </c>
      <c r="B55" t="s">
        <v>99</v>
      </c>
      <c r="C55" t="s">
        <v>100</v>
      </c>
      <c r="D55" t="s">
        <v>475</v>
      </c>
      <c r="E55" t="s">
        <v>429</v>
      </c>
      <c r="F55" s="5">
        <v>45283</v>
      </c>
      <c r="G55">
        <v>1</v>
      </c>
      <c r="H55">
        <v>331</v>
      </c>
      <c r="I55" s="6">
        <v>110525.121246572</v>
      </c>
      <c r="J55" t="s">
        <v>455</v>
      </c>
      <c r="K55" t="s">
        <v>447</v>
      </c>
    </row>
    <row r="56" spans="1:11">
      <c r="A56" t="s">
        <v>503</v>
      </c>
      <c r="B56" t="s">
        <v>101</v>
      </c>
      <c r="C56" t="s">
        <v>102</v>
      </c>
      <c r="D56" t="s">
        <v>34</v>
      </c>
      <c r="E56" t="s">
        <v>431</v>
      </c>
      <c r="F56" s="5">
        <v>45590</v>
      </c>
      <c r="G56">
        <v>1</v>
      </c>
      <c r="H56">
        <v>285</v>
      </c>
      <c r="I56" s="6">
        <v>78320.350875097269</v>
      </c>
      <c r="J56" t="s">
        <v>455</v>
      </c>
      <c r="K56" t="s">
        <v>447</v>
      </c>
    </row>
    <row r="57" spans="1:11">
      <c r="A57" t="s">
        <v>504</v>
      </c>
      <c r="B57" t="s">
        <v>101</v>
      </c>
      <c r="C57" t="s">
        <v>102</v>
      </c>
      <c r="D57" t="s">
        <v>47</v>
      </c>
      <c r="E57" t="s">
        <v>424</v>
      </c>
      <c r="F57" s="5">
        <v>45497</v>
      </c>
      <c r="G57">
        <v>3</v>
      </c>
      <c r="H57">
        <v>168</v>
      </c>
      <c r="I57" s="6">
        <v>51328.855793147522</v>
      </c>
      <c r="J57" t="s">
        <v>457</v>
      </c>
      <c r="K57" t="s">
        <v>447</v>
      </c>
    </row>
    <row r="58" spans="1:11">
      <c r="A58" t="s">
        <v>505</v>
      </c>
      <c r="B58" t="s">
        <v>103</v>
      </c>
      <c r="C58" t="s">
        <v>104</v>
      </c>
      <c r="D58" t="s">
        <v>466</v>
      </c>
      <c r="E58" t="s">
        <v>424</v>
      </c>
      <c r="F58" s="5">
        <v>45218</v>
      </c>
      <c r="G58">
        <v>1</v>
      </c>
      <c r="H58">
        <v>764</v>
      </c>
      <c r="I58" s="6">
        <v>75586.42025843155</v>
      </c>
      <c r="J58" t="s">
        <v>446</v>
      </c>
      <c r="K58" t="s">
        <v>447</v>
      </c>
    </row>
    <row r="59" spans="1:11">
      <c r="A59" t="s">
        <v>506</v>
      </c>
      <c r="B59" t="s">
        <v>103</v>
      </c>
      <c r="C59" t="s">
        <v>104</v>
      </c>
      <c r="D59" t="s">
        <v>34</v>
      </c>
      <c r="E59" t="s">
        <v>427</v>
      </c>
      <c r="F59" s="5">
        <v>45522</v>
      </c>
      <c r="G59">
        <v>1</v>
      </c>
      <c r="H59">
        <v>1409</v>
      </c>
      <c r="I59" s="6">
        <v>329442.78031857318</v>
      </c>
      <c r="J59" t="s">
        <v>446</v>
      </c>
      <c r="K59" t="s">
        <v>447</v>
      </c>
    </row>
    <row r="60" spans="1:11">
      <c r="A60" t="s">
        <v>507</v>
      </c>
      <c r="B60" t="s">
        <v>105</v>
      </c>
      <c r="C60" t="s">
        <v>106</v>
      </c>
      <c r="D60" t="s">
        <v>445</v>
      </c>
      <c r="E60" t="s">
        <v>427</v>
      </c>
      <c r="F60" s="5">
        <v>45624</v>
      </c>
      <c r="G60">
        <v>1</v>
      </c>
      <c r="H60">
        <v>66</v>
      </c>
      <c r="I60" s="6">
        <v>47271.301465597389</v>
      </c>
      <c r="J60" t="s">
        <v>457</v>
      </c>
      <c r="K60" t="s">
        <v>447</v>
      </c>
    </row>
    <row r="61" spans="1:11">
      <c r="A61" t="s">
        <v>508</v>
      </c>
      <c r="B61" t="s">
        <v>105</v>
      </c>
      <c r="C61" t="s">
        <v>106</v>
      </c>
      <c r="D61" t="s">
        <v>445</v>
      </c>
      <c r="E61" t="s">
        <v>429</v>
      </c>
      <c r="F61" s="5">
        <v>45774</v>
      </c>
      <c r="G61">
        <v>1</v>
      </c>
      <c r="H61">
        <v>50</v>
      </c>
      <c r="I61" s="6">
        <v>57208.563362141882</v>
      </c>
      <c r="J61" t="s">
        <v>457</v>
      </c>
      <c r="K61" t="s">
        <v>447</v>
      </c>
    </row>
    <row r="62" spans="1:11">
      <c r="A62" t="s">
        <v>509</v>
      </c>
      <c r="B62" t="s">
        <v>107</v>
      </c>
      <c r="C62" t="s">
        <v>108</v>
      </c>
      <c r="D62" t="s">
        <v>47</v>
      </c>
      <c r="E62" t="s">
        <v>427</v>
      </c>
      <c r="F62" s="5">
        <v>45320</v>
      </c>
      <c r="G62">
        <v>1</v>
      </c>
      <c r="H62">
        <v>255</v>
      </c>
      <c r="I62" s="6">
        <v>128064.60737383582</v>
      </c>
      <c r="J62" t="s">
        <v>457</v>
      </c>
      <c r="K62" t="s">
        <v>447</v>
      </c>
    </row>
    <row r="63" spans="1:11">
      <c r="A63" t="s">
        <v>510</v>
      </c>
      <c r="B63" t="s">
        <v>107</v>
      </c>
      <c r="C63" t="s">
        <v>108</v>
      </c>
      <c r="D63" t="s">
        <v>466</v>
      </c>
      <c r="E63" t="s">
        <v>424</v>
      </c>
      <c r="F63" s="5">
        <v>45254</v>
      </c>
      <c r="G63">
        <v>3</v>
      </c>
      <c r="H63">
        <v>323</v>
      </c>
      <c r="I63" s="6">
        <v>33278.848115994457</v>
      </c>
      <c r="J63" t="s">
        <v>446</v>
      </c>
      <c r="K63" t="s">
        <v>447</v>
      </c>
    </row>
    <row r="64" spans="1:11">
      <c r="A64" t="s">
        <v>511</v>
      </c>
      <c r="B64" t="s">
        <v>109</v>
      </c>
      <c r="C64" t="s">
        <v>110</v>
      </c>
      <c r="D64" t="s">
        <v>445</v>
      </c>
      <c r="E64" t="s">
        <v>429</v>
      </c>
      <c r="F64" s="5">
        <v>44672</v>
      </c>
      <c r="G64">
        <v>1</v>
      </c>
      <c r="H64">
        <v>55</v>
      </c>
      <c r="I64" s="6">
        <v>65640.377197757101</v>
      </c>
      <c r="J64" t="s">
        <v>446</v>
      </c>
      <c r="K64" t="s">
        <v>447</v>
      </c>
    </row>
    <row r="65" spans="1:11">
      <c r="A65" t="s">
        <v>512</v>
      </c>
      <c r="B65" t="s">
        <v>111</v>
      </c>
      <c r="C65" t="s">
        <v>112</v>
      </c>
      <c r="D65" t="s">
        <v>47</v>
      </c>
      <c r="E65" t="s">
        <v>433</v>
      </c>
      <c r="F65" s="5">
        <v>44237</v>
      </c>
      <c r="G65">
        <v>3</v>
      </c>
      <c r="H65">
        <v>66</v>
      </c>
      <c r="I65" s="6">
        <v>149168.95965087559</v>
      </c>
      <c r="J65" t="s">
        <v>446</v>
      </c>
      <c r="K65" t="s">
        <v>447</v>
      </c>
    </row>
    <row r="66" spans="1:11">
      <c r="A66" t="s">
        <v>513</v>
      </c>
      <c r="B66" t="s">
        <v>111</v>
      </c>
      <c r="C66" t="s">
        <v>112</v>
      </c>
      <c r="D66" t="s">
        <v>449</v>
      </c>
      <c r="E66" t="s">
        <v>433</v>
      </c>
      <c r="F66" s="5">
        <v>45548</v>
      </c>
      <c r="G66">
        <v>1</v>
      </c>
      <c r="H66">
        <v>50</v>
      </c>
      <c r="I66" s="6">
        <v>128386.83447807649</v>
      </c>
      <c r="J66" t="s">
        <v>457</v>
      </c>
      <c r="K66" t="s">
        <v>447</v>
      </c>
    </row>
    <row r="67" spans="1:11">
      <c r="A67" t="s">
        <v>514</v>
      </c>
      <c r="B67" t="s">
        <v>111</v>
      </c>
      <c r="C67" t="s">
        <v>112</v>
      </c>
      <c r="D67" t="s">
        <v>475</v>
      </c>
      <c r="E67" t="s">
        <v>433</v>
      </c>
      <c r="F67" s="5">
        <v>45842</v>
      </c>
      <c r="G67">
        <v>1</v>
      </c>
      <c r="H67">
        <v>77</v>
      </c>
      <c r="I67" s="6">
        <v>129088.71913347699</v>
      </c>
      <c r="J67" t="s">
        <v>457</v>
      </c>
      <c r="K67" t="s">
        <v>447</v>
      </c>
    </row>
    <row r="68" spans="1:11">
      <c r="A68" t="s">
        <v>515</v>
      </c>
      <c r="B68" t="s">
        <v>113</v>
      </c>
      <c r="C68" t="s">
        <v>114</v>
      </c>
      <c r="D68" t="s">
        <v>466</v>
      </c>
      <c r="E68" t="s">
        <v>424</v>
      </c>
      <c r="F68" s="5">
        <v>45696</v>
      </c>
      <c r="G68">
        <v>1</v>
      </c>
      <c r="H68">
        <v>1345</v>
      </c>
      <c r="I68" s="6">
        <v>178580.6585869359</v>
      </c>
      <c r="J68" t="s">
        <v>446</v>
      </c>
      <c r="K68" t="s">
        <v>447</v>
      </c>
    </row>
    <row r="69" spans="1:11">
      <c r="A69" t="s">
        <v>516</v>
      </c>
      <c r="B69" t="s">
        <v>113</v>
      </c>
      <c r="C69" t="s">
        <v>114</v>
      </c>
      <c r="D69" t="s">
        <v>449</v>
      </c>
      <c r="E69" t="s">
        <v>431</v>
      </c>
      <c r="F69" s="5">
        <v>44633</v>
      </c>
      <c r="G69">
        <v>2</v>
      </c>
      <c r="H69">
        <v>1816</v>
      </c>
      <c r="I69" s="6">
        <v>310041.67005480791</v>
      </c>
      <c r="J69" t="s">
        <v>446</v>
      </c>
      <c r="K69" t="s">
        <v>447</v>
      </c>
    </row>
    <row r="70" spans="1:11">
      <c r="A70" t="s">
        <v>517</v>
      </c>
      <c r="B70" t="s">
        <v>116</v>
      </c>
      <c r="C70" t="s">
        <v>117</v>
      </c>
      <c r="D70" t="s">
        <v>475</v>
      </c>
      <c r="E70" t="s">
        <v>427</v>
      </c>
      <c r="F70" s="5">
        <v>44882</v>
      </c>
      <c r="G70">
        <v>3</v>
      </c>
      <c r="H70">
        <v>64</v>
      </c>
      <c r="I70" s="6">
        <v>53256.303267331183</v>
      </c>
      <c r="J70" t="s">
        <v>446</v>
      </c>
      <c r="K70" t="s">
        <v>447</v>
      </c>
    </row>
    <row r="71" spans="1:11">
      <c r="A71" t="s">
        <v>518</v>
      </c>
      <c r="B71" t="s">
        <v>118</v>
      </c>
      <c r="C71" t="s">
        <v>119</v>
      </c>
      <c r="D71" t="s">
        <v>466</v>
      </c>
      <c r="E71" t="s">
        <v>424</v>
      </c>
      <c r="F71" s="5">
        <v>44450</v>
      </c>
      <c r="G71">
        <v>1</v>
      </c>
      <c r="H71">
        <v>206</v>
      </c>
      <c r="I71" s="6">
        <v>32572.292687621488</v>
      </c>
      <c r="J71" t="s">
        <v>446</v>
      </c>
      <c r="K71" t="s">
        <v>447</v>
      </c>
    </row>
    <row r="72" spans="1:11">
      <c r="A72" t="s">
        <v>519</v>
      </c>
      <c r="B72" t="s">
        <v>118</v>
      </c>
      <c r="C72" t="s">
        <v>119</v>
      </c>
      <c r="D72" t="s">
        <v>449</v>
      </c>
      <c r="E72" t="s">
        <v>431</v>
      </c>
      <c r="F72" s="5">
        <v>44534</v>
      </c>
      <c r="G72">
        <v>1</v>
      </c>
      <c r="H72">
        <v>138</v>
      </c>
      <c r="I72" s="6">
        <v>101708.77402124795</v>
      </c>
      <c r="J72" t="s">
        <v>446</v>
      </c>
      <c r="K72" t="s">
        <v>447</v>
      </c>
    </row>
    <row r="73" spans="1:11">
      <c r="A73" t="s">
        <v>520</v>
      </c>
      <c r="B73" t="s">
        <v>118</v>
      </c>
      <c r="C73" t="s">
        <v>119</v>
      </c>
      <c r="D73" t="s">
        <v>47</v>
      </c>
      <c r="E73" t="s">
        <v>431</v>
      </c>
      <c r="F73" s="5">
        <v>44398</v>
      </c>
      <c r="G73">
        <v>2</v>
      </c>
      <c r="H73">
        <v>156</v>
      </c>
      <c r="I73" s="6">
        <v>110804.06963482437</v>
      </c>
      <c r="J73" t="s">
        <v>446</v>
      </c>
      <c r="K73" t="s">
        <v>447</v>
      </c>
    </row>
    <row r="74" spans="1:11">
      <c r="A74" t="s">
        <v>521</v>
      </c>
      <c r="B74" t="s">
        <v>120</v>
      </c>
      <c r="C74" t="s">
        <v>121</v>
      </c>
      <c r="D74" t="s">
        <v>34</v>
      </c>
      <c r="E74" t="s">
        <v>429</v>
      </c>
      <c r="F74" s="5">
        <v>45350</v>
      </c>
      <c r="G74">
        <v>1</v>
      </c>
      <c r="H74">
        <v>57</v>
      </c>
      <c r="I74" s="6">
        <v>65607.901596217416</v>
      </c>
      <c r="J74" t="s">
        <v>457</v>
      </c>
      <c r="K74" t="s">
        <v>447</v>
      </c>
    </row>
    <row r="75" spans="1:11">
      <c r="A75" t="s">
        <v>522</v>
      </c>
      <c r="B75" t="s">
        <v>122</v>
      </c>
      <c r="C75" t="s">
        <v>123</v>
      </c>
      <c r="D75" t="s">
        <v>445</v>
      </c>
      <c r="E75" t="s">
        <v>427</v>
      </c>
      <c r="F75" s="5">
        <v>45657</v>
      </c>
      <c r="G75">
        <v>1</v>
      </c>
      <c r="H75">
        <v>66</v>
      </c>
      <c r="I75" s="6">
        <v>49889.96340066391</v>
      </c>
      <c r="J75" t="s">
        <v>457</v>
      </c>
      <c r="K75" t="s">
        <v>447</v>
      </c>
    </row>
    <row r="76" spans="1:11">
      <c r="A76" t="s">
        <v>523</v>
      </c>
      <c r="B76" t="s">
        <v>124</v>
      </c>
      <c r="C76" t="s">
        <v>125</v>
      </c>
      <c r="D76" t="s">
        <v>466</v>
      </c>
      <c r="E76" t="s">
        <v>433</v>
      </c>
      <c r="F76" s="5">
        <v>45722</v>
      </c>
      <c r="G76">
        <v>1</v>
      </c>
      <c r="H76">
        <v>311</v>
      </c>
      <c r="I76" s="6">
        <v>238838.39611433915</v>
      </c>
      <c r="J76" t="s">
        <v>457</v>
      </c>
      <c r="K76" t="s">
        <v>447</v>
      </c>
    </row>
    <row r="77" spans="1:11">
      <c r="A77" t="s">
        <v>524</v>
      </c>
      <c r="B77" t="s">
        <v>124</v>
      </c>
      <c r="C77" t="s">
        <v>125</v>
      </c>
      <c r="D77" t="s">
        <v>34</v>
      </c>
      <c r="E77" t="s">
        <v>433</v>
      </c>
      <c r="F77" s="5">
        <v>44828</v>
      </c>
      <c r="G77">
        <v>3</v>
      </c>
      <c r="H77">
        <v>305</v>
      </c>
      <c r="I77" s="6">
        <v>193514.2238221594</v>
      </c>
      <c r="J77" t="s">
        <v>446</v>
      </c>
      <c r="K77" t="s">
        <v>447</v>
      </c>
    </row>
    <row r="78" spans="1:11">
      <c r="A78" t="s">
        <v>525</v>
      </c>
      <c r="B78" t="s">
        <v>126</v>
      </c>
      <c r="C78" t="s">
        <v>127</v>
      </c>
      <c r="D78" t="s">
        <v>34</v>
      </c>
      <c r="E78" t="s">
        <v>429</v>
      </c>
      <c r="F78" s="5">
        <v>44874</v>
      </c>
      <c r="G78">
        <v>1</v>
      </c>
      <c r="H78">
        <v>200</v>
      </c>
      <c r="I78" s="6">
        <v>90589.823213364449</v>
      </c>
      <c r="J78" t="s">
        <v>446</v>
      </c>
      <c r="K78" t="s">
        <v>447</v>
      </c>
    </row>
    <row r="79" spans="1:11">
      <c r="A79" t="s">
        <v>526</v>
      </c>
      <c r="B79" t="s">
        <v>126</v>
      </c>
      <c r="C79" t="s">
        <v>127</v>
      </c>
      <c r="D79" t="s">
        <v>475</v>
      </c>
      <c r="E79" t="s">
        <v>427</v>
      </c>
      <c r="F79" s="5">
        <v>45809</v>
      </c>
      <c r="G79">
        <v>2</v>
      </c>
      <c r="H79">
        <v>92</v>
      </c>
      <c r="I79" s="6">
        <v>69970.05425864087</v>
      </c>
      <c r="J79" t="s">
        <v>446</v>
      </c>
      <c r="K79" t="s">
        <v>447</v>
      </c>
    </row>
    <row r="80" spans="1:11">
      <c r="A80" t="s">
        <v>527</v>
      </c>
      <c r="B80" t="s">
        <v>128</v>
      </c>
      <c r="C80" t="s">
        <v>129</v>
      </c>
      <c r="D80" t="s">
        <v>47</v>
      </c>
      <c r="E80" t="s">
        <v>431</v>
      </c>
      <c r="F80" s="5">
        <v>44937</v>
      </c>
      <c r="G80">
        <v>3</v>
      </c>
      <c r="H80">
        <v>70</v>
      </c>
      <c r="I80" s="6">
        <v>52575.984698305889</v>
      </c>
      <c r="J80" t="s">
        <v>446</v>
      </c>
      <c r="K80" t="s">
        <v>447</v>
      </c>
    </row>
    <row r="81" spans="1:11">
      <c r="A81" t="s">
        <v>528</v>
      </c>
      <c r="B81" t="s">
        <v>128</v>
      </c>
      <c r="C81" t="s">
        <v>129</v>
      </c>
      <c r="D81" t="s">
        <v>466</v>
      </c>
      <c r="E81" t="s">
        <v>433</v>
      </c>
      <c r="F81" s="5">
        <v>45680</v>
      </c>
      <c r="G81">
        <v>1</v>
      </c>
      <c r="H81">
        <v>24</v>
      </c>
      <c r="I81" s="6">
        <v>128140.26042605813</v>
      </c>
      <c r="J81" t="s">
        <v>457</v>
      </c>
      <c r="K81" t="s">
        <v>447</v>
      </c>
    </row>
    <row r="82" spans="1:11">
      <c r="A82" t="s">
        <v>529</v>
      </c>
      <c r="B82" t="s">
        <v>130</v>
      </c>
      <c r="C82" t="s">
        <v>131</v>
      </c>
      <c r="D82" t="s">
        <v>466</v>
      </c>
      <c r="E82" t="s">
        <v>427</v>
      </c>
      <c r="F82" s="5">
        <v>45176</v>
      </c>
      <c r="G82">
        <v>1</v>
      </c>
      <c r="H82">
        <v>24</v>
      </c>
      <c r="I82" s="6">
        <v>47877.628095108135</v>
      </c>
      <c r="J82" t="s">
        <v>455</v>
      </c>
      <c r="K82" t="s">
        <v>447</v>
      </c>
    </row>
    <row r="83" spans="1:11">
      <c r="A83" t="s">
        <v>530</v>
      </c>
      <c r="B83" t="s">
        <v>130</v>
      </c>
      <c r="C83" t="s">
        <v>131</v>
      </c>
      <c r="D83" t="s">
        <v>47</v>
      </c>
      <c r="E83" t="s">
        <v>429</v>
      </c>
      <c r="F83" s="5">
        <v>45513</v>
      </c>
      <c r="G83">
        <v>1</v>
      </c>
      <c r="H83">
        <v>79</v>
      </c>
      <c r="I83" s="6">
        <v>63754.011960434866</v>
      </c>
      <c r="J83" t="s">
        <v>457</v>
      </c>
      <c r="K83" t="s">
        <v>447</v>
      </c>
    </row>
    <row r="84" spans="1:11">
      <c r="A84" t="s">
        <v>531</v>
      </c>
      <c r="B84" t="s">
        <v>132</v>
      </c>
      <c r="C84" t="s">
        <v>133</v>
      </c>
      <c r="D84" t="s">
        <v>466</v>
      </c>
      <c r="E84" t="s">
        <v>429</v>
      </c>
      <c r="F84" s="5">
        <v>45248</v>
      </c>
      <c r="G84">
        <v>1</v>
      </c>
      <c r="H84">
        <v>77</v>
      </c>
      <c r="I84" s="6">
        <v>57303.209611335376</v>
      </c>
      <c r="J84" t="s">
        <v>446</v>
      </c>
      <c r="K84" t="s">
        <v>447</v>
      </c>
    </row>
    <row r="85" spans="1:11">
      <c r="A85" t="s">
        <v>532</v>
      </c>
      <c r="B85" t="s">
        <v>134</v>
      </c>
      <c r="C85" t="s">
        <v>135</v>
      </c>
      <c r="D85" t="s">
        <v>466</v>
      </c>
      <c r="E85" t="s">
        <v>424</v>
      </c>
      <c r="F85" s="5">
        <v>45060</v>
      </c>
      <c r="G85">
        <v>1</v>
      </c>
      <c r="H85">
        <v>1632</v>
      </c>
      <c r="I85" s="6">
        <v>101676.38807479374</v>
      </c>
      <c r="J85" t="s">
        <v>455</v>
      </c>
      <c r="K85" t="s">
        <v>447</v>
      </c>
    </row>
    <row r="86" spans="1:11">
      <c r="A86" t="s">
        <v>533</v>
      </c>
      <c r="B86" t="s">
        <v>134</v>
      </c>
      <c r="C86" t="s">
        <v>135</v>
      </c>
      <c r="D86" t="s">
        <v>445</v>
      </c>
      <c r="E86" t="s">
        <v>431</v>
      </c>
      <c r="F86" s="5">
        <v>45381</v>
      </c>
      <c r="G86">
        <v>2</v>
      </c>
      <c r="H86">
        <v>961</v>
      </c>
      <c r="I86" s="6">
        <v>132120.58117283878</v>
      </c>
      <c r="J86" t="s">
        <v>457</v>
      </c>
      <c r="K86" t="s">
        <v>447</v>
      </c>
    </row>
    <row r="87" spans="1:11">
      <c r="A87" t="s">
        <v>534</v>
      </c>
      <c r="B87" t="s">
        <v>134</v>
      </c>
      <c r="C87" t="s">
        <v>135</v>
      </c>
      <c r="D87" t="s">
        <v>466</v>
      </c>
      <c r="E87" t="s">
        <v>427</v>
      </c>
      <c r="F87" s="5">
        <v>45006</v>
      </c>
      <c r="G87">
        <v>1</v>
      </c>
      <c r="H87">
        <v>1175</v>
      </c>
      <c r="I87" s="6">
        <v>276153.08390893729</v>
      </c>
      <c r="J87" t="s">
        <v>446</v>
      </c>
      <c r="K87" t="s">
        <v>447</v>
      </c>
    </row>
    <row r="88" spans="1:11">
      <c r="A88" t="s">
        <v>535</v>
      </c>
      <c r="B88" t="s">
        <v>134</v>
      </c>
      <c r="C88" t="s">
        <v>135</v>
      </c>
      <c r="D88" t="s">
        <v>47</v>
      </c>
      <c r="E88" t="s">
        <v>433</v>
      </c>
      <c r="F88" s="5">
        <v>44888</v>
      </c>
      <c r="G88">
        <v>1</v>
      </c>
      <c r="H88">
        <v>364</v>
      </c>
      <c r="I88" s="6">
        <v>1149857.9429826487</v>
      </c>
      <c r="J88" t="s">
        <v>446</v>
      </c>
      <c r="K88" t="s">
        <v>447</v>
      </c>
    </row>
    <row r="89" spans="1:11">
      <c r="A89" t="s">
        <v>536</v>
      </c>
      <c r="B89" t="s">
        <v>136</v>
      </c>
      <c r="C89" t="s">
        <v>137</v>
      </c>
      <c r="D89" t="s">
        <v>445</v>
      </c>
      <c r="E89" t="s">
        <v>431</v>
      </c>
      <c r="F89" s="5">
        <v>45123</v>
      </c>
      <c r="G89">
        <v>1</v>
      </c>
      <c r="H89">
        <v>311</v>
      </c>
      <c r="I89" s="6">
        <v>105861.0177640016</v>
      </c>
      <c r="J89" t="s">
        <v>455</v>
      </c>
      <c r="K89" t="s">
        <v>447</v>
      </c>
    </row>
    <row r="90" spans="1:11">
      <c r="A90" t="s">
        <v>537</v>
      </c>
      <c r="B90" t="s">
        <v>138</v>
      </c>
      <c r="C90" t="s">
        <v>139</v>
      </c>
      <c r="D90" t="s">
        <v>47</v>
      </c>
      <c r="E90" t="s">
        <v>429</v>
      </c>
      <c r="F90" s="5">
        <v>45494</v>
      </c>
      <c r="G90">
        <v>3</v>
      </c>
      <c r="H90">
        <v>1865</v>
      </c>
      <c r="I90" s="6">
        <v>357913.87233186373</v>
      </c>
      <c r="J90" t="s">
        <v>446</v>
      </c>
      <c r="K90" t="s">
        <v>447</v>
      </c>
    </row>
    <row r="91" spans="1:11">
      <c r="A91" t="s">
        <v>538</v>
      </c>
      <c r="B91" t="s">
        <v>138</v>
      </c>
      <c r="C91" t="s">
        <v>139</v>
      </c>
      <c r="D91" t="s">
        <v>449</v>
      </c>
      <c r="E91" t="s">
        <v>429</v>
      </c>
      <c r="F91" s="5">
        <v>44638</v>
      </c>
      <c r="G91">
        <v>1</v>
      </c>
      <c r="H91">
        <v>765</v>
      </c>
      <c r="I91" s="6">
        <v>425789.12684977701</v>
      </c>
      <c r="J91" t="s">
        <v>455</v>
      </c>
      <c r="K91" t="s">
        <v>447</v>
      </c>
    </row>
    <row r="92" spans="1:11">
      <c r="A92" t="s">
        <v>539</v>
      </c>
      <c r="B92" t="s">
        <v>140</v>
      </c>
      <c r="C92" t="s">
        <v>141</v>
      </c>
      <c r="D92" t="s">
        <v>34</v>
      </c>
      <c r="E92" t="s">
        <v>429</v>
      </c>
      <c r="F92" s="5">
        <v>45249</v>
      </c>
      <c r="G92">
        <v>1</v>
      </c>
      <c r="H92">
        <v>1328</v>
      </c>
      <c r="I92" s="6">
        <v>398035.83096553863</v>
      </c>
      <c r="J92" t="s">
        <v>446</v>
      </c>
      <c r="K92" t="s">
        <v>447</v>
      </c>
    </row>
    <row r="93" spans="1:11">
      <c r="A93" t="s">
        <v>540</v>
      </c>
      <c r="B93" t="s">
        <v>142</v>
      </c>
      <c r="C93" t="s">
        <v>143</v>
      </c>
      <c r="D93" t="s">
        <v>475</v>
      </c>
      <c r="E93" t="s">
        <v>429</v>
      </c>
      <c r="F93" s="5">
        <v>45675</v>
      </c>
      <c r="G93">
        <v>2</v>
      </c>
      <c r="H93">
        <v>10</v>
      </c>
      <c r="I93" s="6">
        <v>89280.842015537433</v>
      </c>
      <c r="J93" t="s">
        <v>446</v>
      </c>
      <c r="K93" t="s">
        <v>447</v>
      </c>
    </row>
    <row r="94" spans="1:11">
      <c r="A94" t="s">
        <v>541</v>
      </c>
      <c r="B94" t="s">
        <v>142</v>
      </c>
      <c r="C94" t="s">
        <v>143</v>
      </c>
      <c r="D94" t="s">
        <v>466</v>
      </c>
      <c r="E94" t="s">
        <v>427</v>
      </c>
      <c r="F94" s="5">
        <v>44622</v>
      </c>
      <c r="G94">
        <v>1</v>
      </c>
      <c r="H94">
        <v>68</v>
      </c>
      <c r="I94" s="6">
        <v>57218.390932290698</v>
      </c>
      <c r="J94" t="s">
        <v>446</v>
      </c>
      <c r="K94" t="s">
        <v>447</v>
      </c>
    </row>
    <row r="95" spans="1:11">
      <c r="A95" t="s">
        <v>542</v>
      </c>
      <c r="B95" t="s">
        <v>144</v>
      </c>
      <c r="C95" t="s">
        <v>145</v>
      </c>
      <c r="D95" t="s">
        <v>449</v>
      </c>
      <c r="E95" t="s">
        <v>429</v>
      </c>
      <c r="F95" s="5">
        <v>45476</v>
      </c>
      <c r="G95">
        <v>1</v>
      </c>
      <c r="H95">
        <v>1109</v>
      </c>
      <c r="I95" s="6">
        <v>397907.78840651119</v>
      </c>
      <c r="J95" t="s">
        <v>446</v>
      </c>
      <c r="K95" t="s">
        <v>447</v>
      </c>
    </row>
    <row r="96" spans="1:11">
      <c r="A96" t="s">
        <v>543</v>
      </c>
      <c r="B96" t="s">
        <v>144</v>
      </c>
      <c r="C96" t="s">
        <v>145</v>
      </c>
      <c r="D96" t="s">
        <v>47</v>
      </c>
      <c r="E96" t="s">
        <v>427</v>
      </c>
      <c r="F96" s="5">
        <v>45527</v>
      </c>
      <c r="G96">
        <v>1</v>
      </c>
      <c r="H96">
        <v>601</v>
      </c>
      <c r="I96" s="6">
        <v>285663.61273304751</v>
      </c>
      <c r="J96" t="s">
        <v>446</v>
      </c>
      <c r="K96" t="s">
        <v>447</v>
      </c>
    </row>
    <row r="97" spans="1:11">
      <c r="A97" t="s">
        <v>544</v>
      </c>
      <c r="B97" t="s">
        <v>144</v>
      </c>
      <c r="C97" t="s">
        <v>145</v>
      </c>
      <c r="D97" t="s">
        <v>445</v>
      </c>
      <c r="E97" t="s">
        <v>429</v>
      </c>
      <c r="F97" s="5">
        <v>45385</v>
      </c>
      <c r="G97">
        <v>2</v>
      </c>
      <c r="H97">
        <v>1444</v>
      </c>
      <c r="I97" s="6">
        <v>176430.57633414248</v>
      </c>
      <c r="J97" t="s">
        <v>457</v>
      </c>
      <c r="K97" t="s">
        <v>447</v>
      </c>
    </row>
    <row r="98" spans="1:11">
      <c r="A98" t="s">
        <v>545</v>
      </c>
      <c r="B98" t="s">
        <v>144</v>
      </c>
      <c r="C98" t="s">
        <v>145</v>
      </c>
      <c r="D98" t="s">
        <v>445</v>
      </c>
      <c r="E98" t="s">
        <v>431</v>
      </c>
      <c r="F98" s="5">
        <v>45357</v>
      </c>
      <c r="G98">
        <v>2</v>
      </c>
      <c r="H98">
        <v>1987</v>
      </c>
      <c r="I98" s="6">
        <v>322981.90815970325</v>
      </c>
      <c r="J98" t="s">
        <v>446</v>
      </c>
      <c r="K98" t="s">
        <v>447</v>
      </c>
    </row>
    <row r="99" spans="1:11">
      <c r="A99" t="s">
        <v>546</v>
      </c>
      <c r="B99" t="s">
        <v>146</v>
      </c>
      <c r="C99" t="s">
        <v>147</v>
      </c>
      <c r="D99" t="s">
        <v>445</v>
      </c>
      <c r="E99" t="s">
        <v>429</v>
      </c>
      <c r="F99" s="5">
        <v>44332</v>
      </c>
      <c r="G99">
        <v>3</v>
      </c>
      <c r="H99">
        <v>1905</v>
      </c>
      <c r="I99" s="6">
        <v>209864.11600661423</v>
      </c>
      <c r="J99" t="s">
        <v>455</v>
      </c>
      <c r="K99" t="s">
        <v>447</v>
      </c>
    </row>
    <row r="100" spans="1:11">
      <c r="A100" t="s">
        <v>547</v>
      </c>
      <c r="B100" t="s">
        <v>146</v>
      </c>
      <c r="C100" t="s">
        <v>147</v>
      </c>
      <c r="D100" t="s">
        <v>34</v>
      </c>
      <c r="E100" t="s">
        <v>433</v>
      </c>
      <c r="F100" s="5">
        <v>45292</v>
      </c>
      <c r="G100">
        <v>1</v>
      </c>
      <c r="H100">
        <v>706</v>
      </c>
      <c r="I100" s="6">
        <v>467884.39757865702</v>
      </c>
      <c r="J100" t="s">
        <v>457</v>
      </c>
      <c r="K100" t="s">
        <v>447</v>
      </c>
    </row>
    <row r="101" spans="1:11">
      <c r="A101" t="s">
        <v>548</v>
      </c>
      <c r="B101" t="s">
        <v>148</v>
      </c>
      <c r="C101" t="s">
        <v>149</v>
      </c>
      <c r="D101" t="s">
        <v>47</v>
      </c>
      <c r="E101" t="s">
        <v>431</v>
      </c>
      <c r="F101" s="5">
        <v>44453</v>
      </c>
      <c r="G101">
        <v>1</v>
      </c>
      <c r="H101">
        <v>236</v>
      </c>
      <c r="I101" s="6">
        <v>83247.860106045468</v>
      </c>
      <c r="J101" t="s">
        <v>446</v>
      </c>
      <c r="K101" t="s">
        <v>447</v>
      </c>
    </row>
    <row r="102" spans="1:11">
      <c r="A102" t="s">
        <v>549</v>
      </c>
      <c r="B102" t="s">
        <v>148</v>
      </c>
      <c r="C102" t="s">
        <v>149</v>
      </c>
      <c r="D102" t="s">
        <v>475</v>
      </c>
      <c r="E102" t="s">
        <v>429</v>
      </c>
      <c r="F102" s="5">
        <v>45822</v>
      </c>
      <c r="G102">
        <v>2</v>
      </c>
      <c r="H102">
        <v>292</v>
      </c>
      <c r="I102" s="6">
        <v>184221.87807163122</v>
      </c>
      <c r="J102" t="s">
        <v>446</v>
      </c>
      <c r="K102" t="s">
        <v>447</v>
      </c>
    </row>
    <row r="103" spans="1:11">
      <c r="A103" t="s">
        <v>550</v>
      </c>
      <c r="B103" t="s">
        <v>150</v>
      </c>
      <c r="C103" t="s">
        <v>151</v>
      </c>
      <c r="D103" t="s">
        <v>449</v>
      </c>
      <c r="E103" t="s">
        <v>431</v>
      </c>
      <c r="F103" s="5">
        <v>45447</v>
      </c>
      <c r="G103">
        <v>1</v>
      </c>
      <c r="H103">
        <v>1805</v>
      </c>
      <c r="I103" s="6">
        <v>124654.98072259182</v>
      </c>
      <c r="J103" t="s">
        <v>457</v>
      </c>
      <c r="K103" t="s">
        <v>447</v>
      </c>
    </row>
    <row r="104" spans="1:11">
      <c r="A104" t="s">
        <v>551</v>
      </c>
      <c r="B104" t="s">
        <v>152</v>
      </c>
      <c r="C104" t="s">
        <v>153</v>
      </c>
      <c r="D104" t="s">
        <v>475</v>
      </c>
      <c r="E104" t="s">
        <v>424</v>
      </c>
      <c r="F104" s="5">
        <v>45732</v>
      </c>
      <c r="G104">
        <v>3</v>
      </c>
      <c r="H104">
        <v>70</v>
      </c>
      <c r="I104" s="6">
        <v>56440.202754460122</v>
      </c>
      <c r="J104" t="s">
        <v>446</v>
      </c>
      <c r="K104" t="s">
        <v>447</v>
      </c>
    </row>
    <row r="105" spans="1:11">
      <c r="A105" t="s">
        <v>552</v>
      </c>
      <c r="B105" t="s">
        <v>154</v>
      </c>
      <c r="C105" t="s">
        <v>155</v>
      </c>
      <c r="D105" t="s">
        <v>449</v>
      </c>
      <c r="E105" t="s">
        <v>424</v>
      </c>
      <c r="F105" s="5">
        <v>45178</v>
      </c>
      <c r="G105">
        <v>1</v>
      </c>
      <c r="H105">
        <v>276</v>
      </c>
      <c r="I105" s="6">
        <v>59980.296475851203</v>
      </c>
      <c r="J105" t="s">
        <v>446</v>
      </c>
      <c r="K105" t="s">
        <v>447</v>
      </c>
    </row>
    <row r="106" spans="1:11">
      <c r="A106" t="s">
        <v>553</v>
      </c>
      <c r="B106" t="s">
        <v>156</v>
      </c>
      <c r="C106" t="s">
        <v>157</v>
      </c>
      <c r="D106" t="s">
        <v>47</v>
      </c>
      <c r="E106" t="s">
        <v>429</v>
      </c>
      <c r="F106" s="5">
        <v>45836</v>
      </c>
      <c r="G106">
        <v>3</v>
      </c>
      <c r="H106">
        <v>77</v>
      </c>
      <c r="I106" s="6">
        <v>119488.28879321752</v>
      </c>
      <c r="J106" t="s">
        <v>446</v>
      </c>
      <c r="K106" t="s">
        <v>447</v>
      </c>
    </row>
    <row r="107" spans="1:11">
      <c r="A107" t="s">
        <v>554</v>
      </c>
      <c r="B107" t="s">
        <v>158</v>
      </c>
      <c r="C107" t="s">
        <v>159</v>
      </c>
      <c r="D107" t="s">
        <v>449</v>
      </c>
      <c r="E107" t="s">
        <v>427</v>
      </c>
      <c r="F107" s="5">
        <v>45814</v>
      </c>
      <c r="G107">
        <v>3</v>
      </c>
      <c r="H107">
        <v>44</v>
      </c>
      <c r="I107" s="6">
        <v>50192.74996666333</v>
      </c>
      <c r="J107" t="s">
        <v>457</v>
      </c>
      <c r="K107" t="s">
        <v>447</v>
      </c>
    </row>
    <row r="108" spans="1:11">
      <c r="A108" t="s">
        <v>555</v>
      </c>
      <c r="B108" t="s">
        <v>158</v>
      </c>
      <c r="C108" t="s">
        <v>159</v>
      </c>
      <c r="D108" t="s">
        <v>449</v>
      </c>
      <c r="E108" t="s">
        <v>424</v>
      </c>
      <c r="F108" s="5">
        <v>45113</v>
      </c>
      <c r="G108">
        <v>2</v>
      </c>
      <c r="H108">
        <v>37</v>
      </c>
      <c r="I108" s="6">
        <v>24277.956966469126</v>
      </c>
      <c r="J108" t="s">
        <v>446</v>
      </c>
      <c r="K108" t="s">
        <v>447</v>
      </c>
    </row>
    <row r="109" spans="1:11">
      <c r="A109" t="s">
        <v>556</v>
      </c>
      <c r="B109" t="s">
        <v>160</v>
      </c>
      <c r="C109" t="s">
        <v>161</v>
      </c>
      <c r="D109" t="s">
        <v>47</v>
      </c>
      <c r="E109" t="s">
        <v>433</v>
      </c>
      <c r="F109" s="5">
        <v>45248</v>
      </c>
      <c r="G109">
        <v>3</v>
      </c>
      <c r="H109">
        <v>58</v>
      </c>
      <c r="I109" s="6">
        <v>144653.8940400173</v>
      </c>
      <c r="J109" t="s">
        <v>446</v>
      </c>
      <c r="K109" t="s">
        <v>447</v>
      </c>
    </row>
    <row r="110" spans="1:11">
      <c r="A110" t="s">
        <v>557</v>
      </c>
      <c r="B110" t="s">
        <v>160</v>
      </c>
      <c r="C110" t="s">
        <v>161</v>
      </c>
      <c r="D110" t="s">
        <v>466</v>
      </c>
      <c r="E110" t="s">
        <v>429</v>
      </c>
      <c r="F110" s="5">
        <v>45642</v>
      </c>
      <c r="G110">
        <v>3</v>
      </c>
      <c r="H110">
        <v>19</v>
      </c>
      <c r="I110" s="6">
        <v>89723.612557179396</v>
      </c>
      <c r="J110" t="s">
        <v>446</v>
      </c>
      <c r="K110" t="s">
        <v>447</v>
      </c>
    </row>
    <row r="111" spans="1:11">
      <c r="A111" t="s">
        <v>558</v>
      </c>
      <c r="B111" t="s">
        <v>162</v>
      </c>
      <c r="C111" t="s">
        <v>163</v>
      </c>
      <c r="D111" t="s">
        <v>466</v>
      </c>
      <c r="E111" t="s">
        <v>427</v>
      </c>
      <c r="F111" s="5">
        <v>45790</v>
      </c>
      <c r="G111">
        <v>3</v>
      </c>
      <c r="H111">
        <v>376</v>
      </c>
      <c r="I111" s="6">
        <v>276489.04389229312</v>
      </c>
      <c r="J111" t="s">
        <v>457</v>
      </c>
      <c r="K111" t="s">
        <v>447</v>
      </c>
    </row>
    <row r="112" spans="1:11">
      <c r="A112" t="s">
        <v>559</v>
      </c>
      <c r="B112" t="s">
        <v>162</v>
      </c>
      <c r="C112" t="s">
        <v>163</v>
      </c>
      <c r="D112" t="s">
        <v>475</v>
      </c>
      <c r="E112" t="s">
        <v>431</v>
      </c>
      <c r="F112" s="5">
        <v>45192</v>
      </c>
      <c r="G112">
        <v>3</v>
      </c>
      <c r="H112">
        <v>1192</v>
      </c>
      <c r="I112" s="6">
        <v>339428.8222200512</v>
      </c>
      <c r="J112" t="s">
        <v>446</v>
      </c>
      <c r="K112" t="s">
        <v>447</v>
      </c>
    </row>
    <row r="113" spans="1:11">
      <c r="A113" t="s">
        <v>560</v>
      </c>
      <c r="B113" t="s">
        <v>164</v>
      </c>
      <c r="C113" t="s">
        <v>165</v>
      </c>
      <c r="D113" t="s">
        <v>47</v>
      </c>
      <c r="E113" t="s">
        <v>424</v>
      </c>
      <c r="F113" s="5">
        <v>45399</v>
      </c>
      <c r="G113">
        <v>3</v>
      </c>
      <c r="H113">
        <v>253</v>
      </c>
      <c r="I113" s="6">
        <v>59095.03090117676</v>
      </c>
      <c r="J113" t="s">
        <v>457</v>
      </c>
      <c r="K113" t="s">
        <v>447</v>
      </c>
    </row>
    <row r="114" spans="1:11">
      <c r="A114" t="s">
        <v>561</v>
      </c>
      <c r="B114" t="s">
        <v>164</v>
      </c>
      <c r="C114" t="s">
        <v>165</v>
      </c>
      <c r="D114" t="s">
        <v>449</v>
      </c>
      <c r="E114" t="s">
        <v>429</v>
      </c>
      <c r="F114" s="5">
        <v>45404</v>
      </c>
      <c r="G114">
        <v>2</v>
      </c>
      <c r="H114">
        <v>170</v>
      </c>
      <c r="I114" s="6">
        <v>134352.35432218268</v>
      </c>
      <c r="J114" t="s">
        <v>446</v>
      </c>
      <c r="K114" t="s">
        <v>447</v>
      </c>
    </row>
    <row r="115" spans="1:11">
      <c r="A115" t="s">
        <v>562</v>
      </c>
      <c r="B115" t="s">
        <v>166</v>
      </c>
      <c r="C115" t="s">
        <v>167</v>
      </c>
      <c r="D115" t="s">
        <v>449</v>
      </c>
      <c r="E115" t="s">
        <v>431</v>
      </c>
      <c r="F115" s="5">
        <v>44357</v>
      </c>
      <c r="G115">
        <v>1</v>
      </c>
      <c r="H115">
        <v>103</v>
      </c>
      <c r="I115" s="6">
        <v>104384.80340140774</v>
      </c>
      <c r="J115" t="s">
        <v>446</v>
      </c>
      <c r="K115" t="s">
        <v>447</v>
      </c>
    </row>
    <row r="116" spans="1:11">
      <c r="A116" t="s">
        <v>563</v>
      </c>
      <c r="B116" t="s">
        <v>166</v>
      </c>
      <c r="C116" t="s">
        <v>167</v>
      </c>
      <c r="D116" t="s">
        <v>34</v>
      </c>
      <c r="E116" t="s">
        <v>424</v>
      </c>
      <c r="F116" s="5">
        <v>44692</v>
      </c>
      <c r="G116">
        <v>2</v>
      </c>
      <c r="H116">
        <v>261</v>
      </c>
      <c r="I116" s="6">
        <v>66926.295452181759</v>
      </c>
      <c r="J116" t="s">
        <v>446</v>
      </c>
      <c r="K116" t="s">
        <v>447</v>
      </c>
    </row>
    <row r="117" spans="1:11">
      <c r="A117" t="s">
        <v>564</v>
      </c>
      <c r="B117" t="s">
        <v>168</v>
      </c>
      <c r="C117" t="s">
        <v>169</v>
      </c>
      <c r="D117" t="s">
        <v>466</v>
      </c>
      <c r="E117" t="s">
        <v>429</v>
      </c>
      <c r="F117" s="5">
        <v>45710</v>
      </c>
      <c r="G117">
        <v>1</v>
      </c>
      <c r="H117">
        <v>45</v>
      </c>
      <c r="I117" s="6">
        <v>69644.793760900953</v>
      </c>
      <c r="J117" t="s">
        <v>446</v>
      </c>
      <c r="K117" t="s">
        <v>447</v>
      </c>
    </row>
    <row r="118" spans="1:11">
      <c r="A118" t="s">
        <v>565</v>
      </c>
      <c r="B118" t="s">
        <v>168</v>
      </c>
      <c r="C118" t="s">
        <v>169</v>
      </c>
      <c r="D118" t="s">
        <v>449</v>
      </c>
      <c r="E118" t="s">
        <v>429</v>
      </c>
      <c r="F118" s="5">
        <v>45178</v>
      </c>
      <c r="G118">
        <v>3</v>
      </c>
      <c r="H118">
        <v>29</v>
      </c>
      <c r="I118" s="6">
        <v>87271.88500872087</v>
      </c>
      <c r="J118" t="s">
        <v>446</v>
      </c>
      <c r="K118" t="s">
        <v>447</v>
      </c>
    </row>
    <row r="119" spans="1:11">
      <c r="A119" t="s">
        <v>566</v>
      </c>
      <c r="B119" t="s">
        <v>170</v>
      </c>
      <c r="C119" t="s">
        <v>171</v>
      </c>
      <c r="D119" t="s">
        <v>445</v>
      </c>
      <c r="E119" t="s">
        <v>433</v>
      </c>
      <c r="F119" s="5">
        <v>45780</v>
      </c>
      <c r="G119">
        <v>3</v>
      </c>
      <c r="H119">
        <v>189</v>
      </c>
      <c r="I119" s="6">
        <v>223329.23841161327</v>
      </c>
      <c r="J119" t="s">
        <v>457</v>
      </c>
      <c r="K119" t="s">
        <v>447</v>
      </c>
    </row>
    <row r="120" spans="1:11">
      <c r="A120" t="s">
        <v>567</v>
      </c>
      <c r="B120" t="s">
        <v>172</v>
      </c>
      <c r="C120" t="s">
        <v>173</v>
      </c>
      <c r="D120" t="s">
        <v>34</v>
      </c>
      <c r="E120" t="s">
        <v>424</v>
      </c>
      <c r="F120" s="5">
        <v>45331</v>
      </c>
      <c r="G120">
        <v>1</v>
      </c>
      <c r="H120">
        <v>20</v>
      </c>
      <c r="I120" s="6">
        <v>24004.417123027892</v>
      </c>
      <c r="J120" t="s">
        <v>446</v>
      </c>
      <c r="K120" t="s">
        <v>447</v>
      </c>
    </row>
    <row r="121" spans="1:11">
      <c r="A121" t="s">
        <v>568</v>
      </c>
      <c r="B121" t="s">
        <v>172</v>
      </c>
      <c r="C121" t="s">
        <v>173</v>
      </c>
      <c r="D121" t="s">
        <v>445</v>
      </c>
      <c r="E121" t="s">
        <v>429</v>
      </c>
      <c r="F121" s="5">
        <v>45354</v>
      </c>
      <c r="G121">
        <v>3</v>
      </c>
      <c r="H121">
        <v>74</v>
      </c>
      <c r="I121" s="6">
        <v>77417.315830969615</v>
      </c>
      <c r="J121" t="s">
        <v>457</v>
      </c>
      <c r="K121" t="s">
        <v>447</v>
      </c>
    </row>
    <row r="122" spans="1:11">
      <c r="A122" t="s">
        <v>569</v>
      </c>
      <c r="B122" t="s">
        <v>174</v>
      </c>
      <c r="C122" t="s">
        <v>175</v>
      </c>
      <c r="D122" t="s">
        <v>47</v>
      </c>
      <c r="E122" t="s">
        <v>433</v>
      </c>
      <c r="F122" s="5">
        <v>45796</v>
      </c>
      <c r="G122">
        <v>1</v>
      </c>
      <c r="H122">
        <v>58</v>
      </c>
      <c r="I122" s="6">
        <v>138526.92578910972</v>
      </c>
      <c r="J122" t="s">
        <v>446</v>
      </c>
      <c r="K122" t="s">
        <v>447</v>
      </c>
    </row>
    <row r="123" spans="1:11">
      <c r="A123" t="s">
        <v>570</v>
      </c>
      <c r="B123" t="s">
        <v>174</v>
      </c>
      <c r="C123" t="s">
        <v>175</v>
      </c>
      <c r="D123" t="s">
        <v>475</v>
      </c>
      <c r="E123" t="s">
        <v>431</v>
      </c>
      <c r="F123" s="5">
        <v>45339</v>
      </c>
      <c r="G123">
        <v>1</v>
      </c>
      <c r="H123">
        <v>32</v>
      </c>
      <c r="I123" s="6">
        <v>35586.86887020521</v>
      </c>
      <c r="J123" t="s">
        <v>455</v>
      </c>
      <c r="K123" t="s">
        <v>447</v>
      </c>
    </row>
    <row r="124" spans="1:11">
      <c r="A124" t="s">
        <v>571</v>
      </c>
      <c r="B124" t="s">
        <v>176</v>
      </c>
      <c r="C124" t="s">
        <v>177</v>
      </c>
      <c r="D124" t="s">
        <v>475</v>
      </c>
      <c r="E124" t="s">
        <v>431</v>
      </c>
      <c r="F124" s="5">
        <v>45598</v>
      </c>
      <c r="G124">
        <v>1</v>
      </c>
      <c r="H124">
        <v>71</v>
      </c>
      <c r="I124" s="6">
        <v>58156.786335952638</v>
      </c>
      <c r="J124" t="s">
        <v>455</v>
      </c>
      <c r="K124" t="s">
        <v>447</v>
      </c>
    </row>
    <row r="125" spans="1:11">
      <c r="A125" t="s">
        <v>572</v>
      </c>
      <c r="B125" t="s">
        <v>176</v>
      </c>
      <c r="C125" t="s">
        <v>177</v>
      </c>
      <c r="D125" t="s">
        <v>475</v>
      </c>
      <c r="E125" t="s">
        <v>433</v>
      </c>
      <c r="F125" s="5">
        <v>45198</v>
      </c>
      <c r="G125">
        <v>1</v>
      </c>
      <c r="H125">
        <v>193</v>
      </c>
      <c r="I125" s="6">
        <v>272988.55583418545</v>
      </c>
      <c r="J125" t="s">
        <v>446</v>
      </c>
      <c r="K125" t="s">
        <v>447</v>
      </c>
    </row>
    <row r="126" spans="1:11">
      <c r="A126" t="s">
        <v>573</v>
      </c>
      <c r="B126" t="s">
        <v>176</v>
      </c>
      <c r="C126" t="s">
        <v>177</v>
      </c>
      <c r="D126" t="s">
        <v>445</v>
      </c>
      <c r="E126" t="s">
        <v>429</v>
      </c>
      <c r="F126" s="5">
        <v>45559</v>
      </c>
      <c r="G126">
        <v>2</v>
      </c>
      <c r="H126">
        <v>278</v>
      </c>
      <c r="I126" s="6">
        <v>171566.8082413041</v>
      </c>
      <c r="J126" t="s">
        <v>446</v>
      </c>
      <c r="K126" t="s">
        <v>447</v>
      </c>
    </row>
    <row r="127" spans="1:11">
      <c r="A127" t="s">
        <v>574</v>
      </c>
      <c r="B127" t="s">
        <v>178</v>
      </c>
      <c r="C127" t="s">
        <v>179</v>
      </c>
      <c r="D127" t="s">
        <v>445</v>
      </c>
      <c r="E127" t="s">
        <v>433</v>
      </c>
      <c r="F127" s="5">
        <v>45387</v>
      </c>
      <c r="G127">
        <v>1</v>
      </c>
      <c r="H127">
        <v>283</v>
      </c>
      <c r="I127" s="6">
        <v>295696.58652020892</v>
      </c>
      <c r="J127" t="s">
        <v>446</v>
      </c>
      <c r="K127" t="s">
        <v>447</v>
      </c>
    </row>
    <row r="128" spans="1:11">
      <c r="A128" t="s">
        <v>575</v>
      </c>
      <c r="B128" t="s">
        <v>178</v>
      </c>
      <c r="C128" t="s">
        <v>179</v>
      </c>
      <c r="D128" t="s">
        <v>466</v>
      </c>
      <c r="E128" t="s">
        <v>433</v>
      </c>
      <c r="F128" s="5">
        <v>45318</v>
      </c>
      <c r="G128">
        <v>3</v>
      </c>
      <c r="H128">
        <v>84</v>
      </c>
      <c r="I128" s="6">
        <v>225739.02358320085</v>
      </c>
      <c r="J128" t="s">
        <v>446</v>
      </c>
      <c r="K128" t="s">
        <v>447</v>
      </c>
    </row>
    <row r="129" spans="1:11">
      <c r="A129" t="s">
        <v>576</v>
      </c>
      <c r="B129" t="s">
        <v>180</v>
      </c>
      <c r="C129" t="s">
        <v>181</v>
      </c>
      <c r="D129" t="s">
        <v>466</v>
      </c>
      <c r="E129" t="s">
        <v>424</v>
      </c>
      <c r="F129" s="5">
        <v>45355</v>
      </c>
      <c r="G129">
        <v>3</v>
      </c>
      <c r="H129">
        <v>1620</v>
      </c>
      <c r="I129" s="6">
        <v>169709.43712480375</v>
      </c>
      <c r="J129" t="s">
        <v>446</v>
      </c>
      <c r="K129" t="s">
        <v>447</v>
      </c>
    </row>
    <row r="130" spans="1:11">
      <c r="A130" t="s">
        <v>577</v>
      </c>
      <c r="B130" t="s">
        <v>180</v>
      </c>
      <c r="C130" t="s">
        <v>181</v>
      </c>
      <c r="D130" t="s">
        <v>445</v>
      </c>
      <c r="E130" t="s">
        <v>433</v>
      </c>
      <c r="F130" s="5">
        <v>45426</v>
      </c>
      <c r="G130">
        <v>3</v>
      </c>
      <c r="H130">
        <v>1891</v>
      </c>
      <c r="I130" s="6">
        <v>1049450.2492702347</v>
      </c>
      <c r="J130" t="s">
        <v>446</v>
      </c>
      <c r="K130" t="s">
        <v>447</v>
      </c>
    </row>
    <row r="131" spans="1:11">
      <c r="A131" t="s">
        <v>578</v>
      </c>
      <c r="B131" t="s">
        <v>182</v>
      </c>
      <c r="C131" t="s">
        <v>183</v>
      </c>
      <c r="D131" t="s">
        <v>449</v>
      </c>
      <c r="E131" t="s">
        <v>431</v>
      </c>
      <c r="F131" s="5">
        <v>45477</v>
      </c>
      <c r="G131">
        <v>1</v>
      </c>
      <c r="H131">
        <v>1520</v>
      </c>
      <c r="I131" s="6">
        <v>260893.44959535651</v>
      </c>
      <c r="J131" t="s">
        <v>446</v>
      </c>
      <c r="K131" t="s">
        <v>447</v>
      </c>
    </row>
    <row r="132" spans="1:11">
      <c r="A132" t="s">
        <v>579</v>
      </c>
      <c r="B132" t="s">
        <v>182</v>
      </c>
      <c r="C132" t="s">
        <v>183</v>
      </c>
      <c r="D132" t="s">
        <v>466</v>
      </c>
      <c r="E132" t="s">
        <v>429</v>
      </c>
      <c r="F132" s="5">
        <v>45233</v>
      </c>
      <c r="G132">
        <v>1</v>
      </c>
      <c r="H132">
        <v>1770</v>
      </c>
      <c r="I132" s="6">
        <v>459744.11562698922</v>
      </c>
      <c r="J132" t="s">
        <v>455</v>
      </c>
      <c r="K132" t="s">
        <v>447</v>
      </c>
    </row>
    <row r="133" spans="1:11">
      <c r="A133" t="s">
        <v>580</v>
      </c>
      <c r="B133" t="s">
        <v>184</v>
      </c>
      <c r="C133" t="s">
        <v>185</v>
      </c>
      <c r="D133" t="s">
        <v>34</v>
      </c>
      <c r="E133" t="s">
        <v>433</v>
      </c>
      <c r="F133" s="5">
        <v>45317</v>
      </c>
      <c r="G133">
        <v>1</v>
      </c>
      <c r="H133">
        <v>168</v>
      </c>
      <c r="I133" s="6">
        <v>295808.67810881074</v>
      </c>
      <c r="J133" t="s">
        <v>446</v>
      </c>
      <c r="K133" t="s">
        <v>447</v>
      </c>
    </row>
    <row r="134" spans="1:11">
      <c r="A134" t="s">
        <v>581</v>
      </c>
      <c r="B134" t="s">
        <v>184</v>
      </c>
      <c r="C134" t="s">
        <v>185</v>
      </c>
      <c r="D134" t="s">
        <v>34</v>
      </c>
      <c r="E134" t="s">
        <v>427</v>
      </c>
      <c r="F134" s="5">
        <v>44787</v>
      </c>
      <c r="G134">
        <v>1</v>
      </c>
      <c r="H134">
        <v>240</v>
      </c>
      <c r="I134" s="6">
        <v>71572.489742137113</v>
      </c>
      <c r="J134" t="s">
        <v>446</v>
      </c>
      <c r="K134" t="s">
        <v>447</v>
      </c>
    </row>
    <row r="135" spans="1:11">
      <c r="A135" t="s">
        <v>582</v>
      </c>
      <c r="B135" t="s">
        <v>186</v>
      </c>
      <c r="C135" t="s">
        <v>187</v>
      </c>
      <c r="D135" t="s">
        <v>445</v>
      </c>
      <c r="E135" t="s">
        <v>427</v>
      </c>
      <c r="F135" s="5">
        <v>45456</v>
      </c>
      <c r="G135">
        <v>1</v>
      </c>
      <c r="H135">
        <v>434</v>
      </c>
      <c r="I135" s="6">
        <v>165337.33941684355</v>
      </c>
      <c r="J135" t="s">
        <v>457</v>
      </c>
      <c r="K135" t="s">
        <v>447</v>
      </c>
    </row>
    <row r="136" spans="1:11">
      <c r="A136" t="s">
        <v>583</v>
      </c>
      <c r="B136" t="s">
        <v>188</v>
      </c>
      <c r="C136" t="s">
        <v>189</v>
      </c>
      <c r="D136" t="s">
        <v>34</v>
      </c>
      <c r="E136" t="s">
        <v>431</v>
      </c>
      <c r="F136" s="5">
        <v>45479</v>
      </c>
      <c r="G136">
        <v>1</v>
      </c>
      <c r="H136">
        <v>1521</v>
      </c>
      <c r="I136" s="6">
        <v>100465.15858281347</v>
      </c>
      <c r="J136" t="s">
        <v>446</v>
      </c>
      <c r="K136" t="s">
        <v>447</v>
      </c>
    </row>
    <row r="137" spans="1:11">
      <c r="A137" t="s">
        <v>584</v>
      </c>
      <c r="B137" t="s">
        <v>188</v>
      </c>
      <c r="C137" t="s">
        <v>189</v>
      </c>
      <c r="D137" t="s">
        <v>34</v>
      </c>
      <c r="E137" t="s">
        <v>427</v>
      </c>
      <c r="F137" s="5">
        <v>45797</v>
      </c>
      <c r="G137">
        <v>2</v>
      </c>
      <c r="H137">
        <v>394</v>
      </c>
      <c r="I137" s="6">
        <v>122511.31282765683</v>
      </c>
      <c r="J137" t="s">
        <v>457</v>
      </c>
      <c r="K137" t="s">
        <v>447</v>
      </c>
    </row>
    <row r="138" spans="1:11">
      <c r="A138" t="s">
        <v>585</v>
      </c>
      <c r="B138" t="s">
        <v>188</v>
      </c>
      <c r="C138" t="s">
        <v>189</v>
      </c>
      <c r="D138" t="s">
        <v>47</v>
      </c>
      <c r="E138" t="s">
        <v>433</v>
      </c>
      <c r="F138" s="5">
        <v>45147</v>
      </c>
      <c r="G138">
        <v>1</v>
      </c>
      <c r="H138">
        <v>1122</v>
      </c>
      <c r="I138" s="6">
        <v>987604.40765418718</v>
      </c>
      <c r="J138" t="s">
        <v>455</v>
      </c>
      <c r="K138" t="s">
        <v>447</v>
      </c>
    </row>
    <row r="139" spans="1:11">
      <c r="A139" t="s">
        <v>586</v>
      </c>
      <c r="B139" t="s">
        <v>190</v>
      </c>
      <c r="C139" t="s">
        <v>191</v>
      </c>
      <c r="D139" t="s">
        <v>47</v>
      </c>
      <c r="E139" t="s">
        <v>424</v>
      </c>
      <c r="F139" s="5">
        <v>44855</v>
      </c>
      <c r="G139">
        <v>1</v>
      </c>
      <c r="H139">
        <v>233</v>
      </c>
      <c r="I139" s="6">
        <v>36555.374965435876</v>
      </c>
      <c r="J139" t="s">
        <v>455</v>
      </c>
      <c r="K139" t="s">
        <v>447</v>
      </c>
    </row>
    <row r="140" spans="1:11">
      <c r="A140" t="s">
        <v>587</v>
      </c>
      <c r="B140" t="s">
        <v>190</v>
      </c>
      <c r="C140" t="s">
        <v>191</v>
      </c>
      <c r="D140" t="s">
        <v>34</v>
      </c>
      <c r="E140" t="s">
        <v>433</v>
      </c>
      <c r="F140" s="5">
        <v>44898</v>
      </c>
      <c r="G140">
        <v>1</v>
      </c>
      <c r="H140">
        <v>183</v>
      </c>
      <c r="I140" s="6">
        <v>278055.28609196626</v>
      </c>
      <c r="J140" t="s">
        <v>455</v>
      </c>
      <c r="K140" t="s">
        <v>447</v>
      </c>
    </row>
    <row r="141" spans="1:11">
      <c r="A141" t="s">
        <v>588</v>
      </c>
      <c r="B141" t="s">
        <v>192</v>
      </c>
      <c r="C141" t="s">
        <v>193</v>
      </c>
      <c r="D141" t="s">
        <v>475</v>
      </c>
      <c r="E141" t="s">
        <v>429</v>
      </c>
      <c r="F141" s="5">
        <v>45502</v>
      </c>
      <c r="G141">
        <v>1</v>
      </c>
      <c r="H141">
        <v>244</v>
      </c>
      <c r="I141" s="6">
        <v>98723.049214531595</v>
      </c>
      <c r="J141" t="s">
        <v>446</v>
      </c>
      <c r="K141" t="s">
        <v>447</v>
      </c>
    </row>
    <row r="142" spans="1:11">
      <c r="A142" t="s">
        <v>589</v>
      </c>
      <c r="B142" t="s">
        <v>192</v>
      </c>
      <c r="C142" t="s">
        <v>193</v>
      </c>
      <c r="D142" t="s">
        <v>466</v>
      </c>
      <c r="E142" t="s">
        <v>429</v>
      </c>
      <c r="F142" s="5">
        <v>45561</v>
      </c>
      <c r="G142">
        <v>3</v>
      </c>
      <c r="H142">
        <v>126</v>
      </c>
      <c r="I142" s="6">
        <v>104084.5002308804</v>
      </c>
      <c r="J142" t="s">
        <v>457</v>
      </c>
      <c r="K142" t="s">
        <v>447</v>
      </c>
    </row>
    <row r="143" spans="1:11">
      <c r="A143" t="s">
        <v>590</v>
      </c>
      <c r="B143" t="s">
        <v>194</v>
      </c>
      <c r="C143" t="s">
        <v>195</v>
      </c>
      <c r="D143" t="s">
        <v>449</v>
      </c>
      <c r="E143" t="s">
        <v>424</v>
      </c>
      <c r="F143" s="5">
        <v>44948</v>
      </c>
      <c r="G143">
        <v>3</v>
      </c>
      <c r="H143">
        <v>67</v>
      </c>
      <c r="I143" s="6">
        <v>32061.740732824612</v>
      </c>
      <c r="J143" t="s">
        <v>446</v>
      </c>
      <c r="K143" t="s">
        <v>447</v>
      </c>
    </row>
    <row r="144" spans="1:11">
      <c r="A144" t="s">
        <v>591</v>
      </c>
      <c r="B144" t="s">
        <v>194</v>
      </c>
      <c r="C144" t="s">
        <v>195</v>
      </c>
      <c r="D144" t="s">
        <v>47</v>
      </c>
      <c r="E144" t="s">
        <v>424</v>
      </c>
      <c r="F144" s="5">
        <v>44699</v>
      </c>
      <c r="G144">
        <v>3</v>
      </c>
      <c r="H144">
        <v>38</v>
      </c>
      <c r="I144" s="6">
        <v>21645.580767698622</v>
      </c>
      <c r="J144" t="s">
        <v>446</v>
      </c>
      <c r="K144" t="s">
        <v>447</v>
      </c>
    </row>
    <row r="145" spans="1:11">
      <c r="A145" t="s">
        <v>592</v>
      </c>
      <c r="B145" t="s">
        <v>196</v>
      </c>
      <c r="C145" t="s">
        <v>197</v>
      </c>
      <c r="D145" t="s">
        <v>47</v>
      </c>
      <c r="E145" t="s">
        <v>424</v>
      </c>
      <c r="F145" s="5">
        <v>44810</v>
      </c>
      <c r="G145">
        <v>3</v>
      </c>
      <c r="H145">
        <v>322</v>
      </c>
      <c r="I145" s="6">
        <v>39081.286132646448</v>
      </c>
      <c r="J145" t="s">
        <v>446</v>
      </c>
      <c r="K145" t="s">
        <v>447</v>
      </c>
    </row>
    <row r="146" spans="1:11">
      <c r="A146" t="s">
        <v>593</v>
      </c>
      <c r="B146" t="s">
        <v>196</v>
      </c>
      <c r="C146" t="s">
        <v>197</v>
      </c>
      <c r="D146" t="s">
        <v>466</v>
      </c>
      <c r="E146" t="s">
        <v>429</v>
      </c>
      <c r="F146" s="5">
        <v>45316</v>
      </c>
      <c r="G146">
        <v>1</v>
      </c>
      <c r="H146">
        <v>60</v>
      </c>
      <c r="I146" s="6">
        <v>157010.33938845474</v>
      </c>
      <c r="J146" t="s">
        <v>446</v>
      </c>
      <c r="K146" t="s">
        <v>447</v>
      </c>
    </row>
    <row r="147" spans="1:11">
      <c r="A147" t="s">
        <v>594</v>
      </c>
      <c r="B147" t="s">
        <v>198</v>
      </c>
      <c r="C147" t="s">
        <v>199</v>
      </c>
      <c r="D147" t="s">
        <v>466</v>
      </c>
      <c r="E147" t="s">
        <v>429</v>
      </c>
      <c r="F147" s="5">
        <v>45467</v>
      </c>
      <c r="G147">
        <v>1</v>
      </c>
      <c r="H147">
        <v>113</v>
      </c>
      <c r="I147" s="6">
        <v>130479.47336165821</v>
      </c>
      <c r="J147" t="s">
        <v>446</v>
      </c>
      <c r="K147" t="s">
        <v>447</v>
      </c>
    </row>
    <row r="148" spans="1:11">
      <c r="A148" t="s">
        <v>595</v>
      </c>
      <c r="B148" t="s">
        <v>198</v>
      </c>
      <c r="C148" t="s">
        <v>199</v>
      </c>
      <c r="D148" t="s">
        <v>34</v>
      </c>
      <c r="E148" t="s">
        <v>433</v>
      </c>
      <c r="F148" s="5">
        <v>45220</v>
      </c>
      <c r="G148">
        <v>3</v>
      </c>
      <c r="H148">
        <v>68</v>
      </c>
      <c r="I148" s="6">
        <v>238777.65381001966</v>
      </c>
      <c r="J148" t="s">
        <v>446</v>
      </c>
      <c r="K148" t="s">
        <v>447</v>
      </c>
    </row>
    <row r="149" spans="1:11">
      <c r="A149" t="s">
        <v>596</v>
      </c>
      <c r="B149" t="s">
        <v>198</v>
      </c>
      <c r="C149" t="s">
        <v>199</v>
      </c>
      <c r="D149" t="s">
        <v>475</v>
      </c>
      <c r="E149" t="s">
        <v>424</v>
      </c>
      <c r="F149" s="5">
        <v>45263</v>
      </c>
      <c r="G149">
        <v>2</v>
      </c>
      <c r="H149">
        <v>223</v>
      </c>
      <c r="I149" s="6">
        <v>31913.202814836837</v>
      </c>
      <c r="J149" t="s">
        <v>446</v>
      </c>
      <c r="K149" t="s">
        <v>447</v>
      </c>
    </row>
    <row r="150" spans="1:11">
      <c r="A150" t="s">
        <v>597</v>
      </c>
      <c r="B150" t="s">
        <v>200</v>
      </c>
      <c r="C150" t="s">
        <v>201</v>
      </c>
      <c r="D150" t="s">
        <v>475</v>
      </c>
      <c r="E150" t="s">
        <v>433</v>
      </c>
      <c r="F150" s="5">
        <v>44967</v>
      </c>
      <c r="G150">
        <v>1</v>
      </c>
      <c r="H150">
        <v>34</v>
      </c>
      <c r="I150" s="6">
        <v>145135.28609871332</v>
      </c>
      <c r="J150" t="s">
        <v>446</v>
      </c>
      <c r="K150" t="s">
        <v>447</v>
      </c>
    </row>
    <row r="151" spans="1:11">
      <c r="A151" t="s">
        <v>598</v>
      </c>
      <c r="B151" t="s">
        <v>200</v>
      </c>
      <c r="C151" t="s">
        <v>201</v>
      </c>
      <c r="D151" t="s">
        <v>47</v>
      </c>
      <c r="E151" t="s">
        <v>429</v>
      </c>
      <c r="F151" s="5">
        <v>45069</v>
      </c>
      <c r="G151">
        <v>1</v>
      </c>
      <c r="H151">
        <v>32</v>
      </c>
      <c r="I151" s="6">
        <v>86043.510283384021</v>
      </c>
      <c r="J151" t="s">
        <v>446</v>
      </c>
      <c r="K151" t="s">
        <v>447</v>
      </c>
    </row>
    <row r="152" spans="1:11">
      <c r="A152" t="s">
        <v>599</v>
      </c>
      <c r="B152" t="s">
        <v>202</v>
      </c>
      <c r="C152" t="s">
        <v>203</v>
      </c>
      <c r="D152" t="s">
        <v>449</v>
      </c>
      <c r="E152" t="s">
        <v>431</v>
      </c>
      <c r="F152" s="5">
        <v>45616</v>
      </c>
      <c r="G152">
        <v>3</v>
      </c>
      <c r="H152">
        <v>143</v>
      </c>
      <c r="I152" s="6">
        <v>75247.96241315818</v>
      </c>
      <c r="J152" t="s">
        <v>446</v>
      </c>
      <c r="K152" t="s">
        <v>447</v>
      </c>
    </row>
    <row r="153" spans="1:11">
      <c r="A153" t="s">
        <v>600</v>
      </c>
      <c r="B153" t="s">
        <v>202</v>
      </c>
      <c r="C153" t="s">
        <v>203</v>
      </c>
      <c r="D153" t="s">
        <v>34</v>
      </c>
      <c r="E153" t="s">
        <v>424</v>
      </c>
      <c r="F153" s="5">
        <v>44778</v>
      </c>
      <c r="G153">
        <v>1</v>
      </c>
      <c r="H153">
        <v>88</v>
      </c>
      <c r="I153" s="6">
        <v>64692.008448497771</v>
      </c>
      <c r="J153" t="s">
        <v>446</v>
      </c>
      <c r="K153" t="s">
        <v>447</v>
      </c>
    </row>
    <row r="154" spans="1:11">
      <c r="A154" t="s">
        <v>601</v>
      </c>
      <c r="B154" t="s">
        <v>204</v>
      </c>
      <c r="C154" t="s">
        <v>205</v>
      </c>
      <c r="D154" t="s">
        <v>47</v>
      </c>
      <c r="E154" t="s">
        <v>429</v>
      </c>
      <c r="F154" s="5">
        <v>45395</v>
      </c>
      <c r="G154">
        <v>2</v>
      </c>
      <c r="H154">
        <v>60</v>
      </c>
      <c r="I154" s="6">
        <v>188934.95449437317</v>
      </c>
      <c r="J154" t="s">
        <v>446</v>
      </c>
      <c r="K154" t="s">
        <v>447</v>
      </c>
    </row>
    <row r="155" spans="1:11">
      <c r="A155" t="s">
        <v>602</v>
      </c>
      <c r="B155" t="s">
        <v>204</v>
      </c>
      <c r="C155" t="s">
        <v>205</v>
      </c>
      <c r="D155" t="s">
        <v>47</v>
      </c>
      <c r="E155" t="s">
        <v>424</v>
      </c>
      <c r="F155" s="5">
        <v>45576</v>
      </c>
      <c r="G155">
        <v>3</v>
      </c>
      <c r="H155">
        <v>76</v>
      </c>
      <c r="I155" s="6">
        <v>44571.821609145867</v>
      </c>
      <c r="J155" t="s">
        <v>446</v>
      </c>
      <c r="K155" t="s">
        <v>447</v>
      </c>
    </row>
    <row r="156" spans="1:11">
      <c r="A156" t="s">
        <v>603</v>
      </c>
      <c r="B156" t="s">
        <v>206</v>
      </c>
      <c r="C156" t="s">
        <v>207</v>
      </c>
      <c r="D156" t="s">
        <v>34</v>
      </c>
      <c r="E156" t="s">
        <v>429</v>
      </c>
      <c r="F156" s="5">
        <v>45759</v>
      </c>
      <c r="G156">
        <v>1</v>
      </c>
      <c r="H156">
        <v>71</v>
      </c>
      <c r="I156" s="6">
        <v>69007.137860572358</v>
      </c>
      <c r="J156" t="s">
        <v>446</v>
      </c>
      <c r="K156" t="s">
        <v>447</v>
      </c>
    </row>
    <row r="157" spans="1:11">
      <c r="A157" t="s">
        <v>604</v>
      </c>
      <c r="B157" t="s">
        <v>206</v>
      </c>
      <c r="C157" t="s">
        <v>207</v>
      </c>
      <c r="D157" t="s">
        <v>34</v>
      </c>
      <c r="E157" t="s">
        <v>431</v>
      </c>
      <c r="F157" s="5">
        <v>45239</v>
      </c>
      <c r="G157">
        <v>2</v>
      </c>
      <c r="H157">
        <v>25</v>
      </c>
      <c r="I157" s="6">
        <v>33484.993148266622</v>
      </c>
      <c r="J157" t="s">
        <v>446</v>
      </c>
      <c r="K157" t="s">
        <v>447</v>
      </c>
    </row>
    <row r="158" spans="1:11">
      <c r="A158" t="s">
        <v>605</v>
      </c>
      <c r="B158" t="s">
        <v>206</v>
      </c>
      <c r="C158" t="s">
        <v>207</v>
      </c>
      <c r="D158" t="s">
        <v>445</v>
      </c>
      <c r="E158" t="s">
        <v>424</v>
      </c>
      <c r="F158" s="5">
        <v>45647</v>
      </c>
      <c r="G158">
        <v>1</v>
      </c>
      <c r="H158">
        <v>23</v>
      </c>
      <c r="I158" s="6">
        <v>23493.900875546173</v>
      </c>
      <c r="J158" t="s">
        <v>446</v>
      </c>
      <c r="K158" t="s">
        <v>447</v>
      </c>
    </row>
    <row r="159" spans="1:11">
      <c r="A159" t="s">
        <v>606</v>
      </c>
      <c r="B159" t="s">
        <v>208</v>
      </c>
      <c r="C159" t="s">
        <v>209</v>
      </c>
      <c r="D159" t="s">
        <v>34</v>
      </c>
      <c r="E159" t="s">
        <v>431</v>
      </c>
      <c r="F159" s="5">
        <v>45312</v>
      </c>
      <c r="G159">
        <v>2</v>
      </c>
      <c r="H159">
        <v>426</v>
      </c>
      <c r="I159" s="6">
        <v>295903.76729166333</v>
      </c>
      <c r="J159" t="s">
        <v>457</v>
      </c>
      <c r="K159" t="s">
        <v>447</v>
      </c>
    </row>
    <row r="160" spans="1:11">
      <c r="A160" t="s">
        <v>607</v>
      </c>
      <c r="B160" t="s">
        <v>208</v>
      </c>
      <c r="C160" t="s">
        <v>209</v>
      </c>
      <c r="D160" t="s">
        <v>47</v>
      </c>
      <c r="E160" t="s">
        <v>424</v>
      </c>
      <c r="F160" s="5">
        <v>44507</v>
      </c>
      <c r="G160">
        <v>3</v>
      </c>
      <c r="H160">
        <v>417</v>
      </c>
      <c r="I160" s="6">
        <v>124868.79443556747</v>
      </c>
      <c r="J160" t="s">
        <v>455</v>
      </c>
      <c r="K160" t="s">
        <v>447</v>
      </c>
    </row>
    <row r="161" spans="1:11">
      <c r="A161" t="s">
        <v>608</v>
      </c>
      <c r="B161" t="s">
        <v>208</v>
      </c>
      <c r="C161" t="s">
        <v>209</v>
      </c>
      <c r="D161" t="s">
        <v>466</v>
      </c>
      <c r="E161" t="s">
        <v>431</v>
      </c>
      <c r="F161" s="5">
        <v>44838</v>
      </c>
      <c r="G161">
        <v>3</v>
      </c>
      <c r="H161">
        <v>837</v>
      </c>
      <c r="I161" s="6">
        <v>184973.91953535611</v>
      </c>
      <c r="J161" t="s">
        <v>446</v>
      </c>
      <c r="K161" t="s">
        <v>447</v>
      </c>
    </row>
    <row r="162" spans="1:11">
      <c r="A162" t="s">
        <v>609</v>
      </c>
      <c r="B162" t="s">
        <v>210</v>
      </c>
      <c r="C162" t="s">
        <v>211</v>
      </c>
      <c r="D162" t="s">
        <v>466</v>
      </c>
      <c r="E162" t="s">
        <v>431</v>
      </c>
      <c r="F162" s="5">
        <v>44534</v>
      </c>
      <c r="G162">
        <v>1</v>
      </c>
      <c r="H162">
        <v>91</v>
      </c>
      <c r="I162" s="6">
        <v>74052.509910566558</v>
      </c>
      <c r="J162" t="s">
        <v>455</v>
      </c>
      <c r="K162" t="s">
        <v>447</v>
      </c>
    </row>
    <row r="163" spans="1:11">
      <c r="A163" t="s">
        <v>610</v>
      </c>
      <c r="B163" t="s">
        <v>210</v>
      </c>
      <c r="C163" t="s">
        <v>211</v>
      </c>
      <c r="D163" t="s">
        <v>466</v>
      </c>
      <c r="E163" t="s">
        <v>433</v>
      </c>
      <c r="F163" s="5">
        <v>45454</v>
      </c>
      <c r="G163">
        <v>3</v>
      </c>
      <c r="H163">
        <v>341</v>
      </c>
      <c r="I163" s="6">
        <v>227900.5306313489</v>
      </c>
      <c r="J163" t="s">
        <v>446</v>
      </c>
      <c r="K163" t="s">
        <v>447</v>
      </c>
    </row>
    <row r="164" spans="1:11">
      <c r="A164" t="s">
        <v>611</v>
      </c>
      <c r="B164" t="s">
        <v>210</v>
      </c>
      <c r="C164" t="s">
        <v>211</v>
      </c>
      <c r="D164" t="s">
        <v>34</v>
      </c>
      <c r="E164" t="s">
        <v>424</v>
      </c>
      <c r="F164" s="5">
        <v>44412</v>
      </c>
      <c r="G164">
        <v>3</v>
      </c>
      <c r="H164">
        <v>174</v>
      </c>
      <c r="I164" s="6">
        <v>45987.75311822084</v>
      </c>
      <c r="J164" t="s">
        <v>446</v>
      </c>
      <c r="K164" t="s">
        <v>447</v>
      </c>
    </row>
    <row r="165" spans="1:11">
      <c r="A165" t="s">
        <v>612</v>
      </c>
      <c r="B165" t="s">
        <v>212</v>
      </c>
      <c r="C165" t="s">
        <v>213</v>
      </c>
      <c r="D165" t="s">
        <v>34</v>
      </c>
      <c r="E165" t="s">
        <v>433</v>
      </c>
      <c r="F165" s="5">
        <v>45212</v>
      </c>
      <c r="G165">
        <v>1</v>
      </c>
      <c r="H165">
        <v>716</v>
      </c>
      <c r="I165" s="6">
        <v>617240.85094391007</v>
      </c>
      <c r="J165" t="s">
        <v>455</v>
      </c>
      <c r="K165" t="s">
        <v>447</v>
      </c>
    </row>
    <row r="166" spans="1:11">
      <c r="A166" t="s">
        <v>613</v>
      </c>
      <c r="B166" t="s">
        <v>212</v>
      </c>
      <c r="C166" t="s">
        <v>213</v>
      </c>
      <c r="D166" t="s">
        <v>466</v>
      </c>
      <c r="E166" t="s">
        <v>429</v>
      </c>
      <c r="F166" s="5">
        <v>45274</v>
      </c>
      <c r="G166">
        <v>1</v>
      </c>
      <c r="H166">
        <v>381</v>
      </c>
      <c r="I166" s="6">
        <v>270333.1856333164</v>
      </c>
      <c r="J166" t="s">
        <v>446</v>
      </c>
      <c r="K166" t="s">
        <v>447</v>
      </c>
    </row>
    <row r="167" spans="1:11">
      <c r="A167" t="s">
        <v>614</v>
      </c>
      <c r="B167" t="s">
        <v>214</v>
      </c>
      <c r="C167" t="s">
        <v>215</v>
      </c>
      <c r="D167" t="s">
        <v>466</v>
      </c>
      <c r="E167" t="s">
        <v>433</v>
      </c>
      <c r="F167" s="5">
        <v>45283</v>
      </c>
      <c r="G167">
        <v>1</v>
      </c>
      <c r="H167">
        <v>308</v>
      </c>
      <c r="I167" s="6">
        <v>331540.89140320162</v>
      </c>
      <c r="J167" t="s">
        <v>446</v>
      </c>
      <c r="K167" t="s">
        <v>447</v>
      </c>
    </row>
    <row r="168" spans="1:11">
      <c r="A168" t="s">
        <v>615</v>
      </c>
      <c r="B168" t="s">
        <v>214</v>
      </c>
      <c r="C168" t="s">
        <v>215</v>
      </c>
      <c r="D168" t="s">
        <v>449</v>
      </c>
      <c r="E168" t="s">
        <v>427</v>
      </c>
      <c r="F168" s="5">
        <v>44550</v>
      </c>
      <c r="G168">
        <v>2</v>
      </c>
      <c r="H168">
        <v>323</v>
      </c>
      <c r="I168" s="6">
        <v>68766.212252019133</v>
      </c>
      <c r="J168" t="s">
        <v>446</v>
      </c>
      <c r="K168" t="s">
        <v>447</v>
      </c>
    </row>
    <row r="169" spans="1:11">
      <c r="A169" t="s">
        <v>616</v>
      </c>
      <c r="B169" t="s">
        <v>214</v>
      </c>
      <c r="C169" t="s">
        <v>215</v>
      </c>
      <c r="D169" t="s">
        <v>445</v>
      </c>
      <c r="E169" t="s">
        <v>433</v>
      </c>
      <c r="F169" s="5">
        <v>45223</v>
      </c>
      <c r="G169">
        <v>1</v>
      </c>
      <c r="H169">
        <v>218</v>
      </c>
      <c r="I169" s="6">
        <v>375596.42185386043</v>
      </c>
      <c r="J169" t="s">
        <v>446</v>
      </c>
      <c r="K169" t="s">
        <v>447</v>
      </c>
    </row>
    <row r="170" spans="1:11">
      <c r="A170" t="s">
        <v>617</v>
      </c>
      <c r="B170" t="s">
        <v>216</v>
      </c>
      <c r="C170" t="s">
        <v>217</v>
      </c>
      <c r="D170" t="s">
        <v>445</v>
      </c>
      <c r="E170" t="s">
        <v>424</v>
      </c>
      <c r="F170" s="5">
        <v>45047</v>
      </c>
      <c r="G170">
        <v>1</v>
      </c>
      <c r="H170">
        <v>469</v>
      </c>
      <c r="I170" s="6">
        <v>62806.515740799077</v>
      </c>
      <c r="J170" t="s">
        <v>455</v>
      </c>
      <c r="K170" t="s">
        <v>447</v>
      </c>
    </row>
    <row r="171" spans="1:11">
      <c r="A171" t="s">
        <v>618</v>
      </c>
      <c r="B171" t="s">
        <v>216</v>
      </c>
      <c r="C171" t="s">
        <v>217</v>
      </c>
      <c r="D171" t="s">
        <v>449</v>
      </c>
      <c r="E171" t="s">
        <v>433</v>
      </c>
      <c r="F171" s="5">
        <v>44431</v>
      </c>
      <c r="G171">
        <v>1</v>
      </c>
      <c r="H171">
        <v>1706</v>
      </c>
      <c r="I171" s="6">
        <v>510360.99895396834</v>
      </c>
      <c r="J171" t="s">
        <v>446</v>
      </c>
      <c r="K171" t="s">
        <v>447</v>
      </c>
    </row>
    <row r="172" spans="1:11">
      <c r="A172" t="s">
        <v>619</v>
      </c>
      <c r="B172" t="s">
        <v>216</v>
      </c>
      <c r="C172" t="s">
        <v>217</v>
      </c>
      <c r="D172" t="s">
        <v>34</v>
      </c>
      <c r="E172" t="s">
        <v>429</v>
      </c>
      <c r="F172" s="5">
        <v>44513</v>
      </c>
      <c r="G172">
        <v>3</v>
      </c>
      <c r="H172">
        <v>1678</v>
      </c>
      <c r="I172" s="6">
        <v>381678.83890792722</v>
      </c>
      <c r="J172" t="s">
        <v>446</v>
      </c>
      <c r="K172" t="s">
        <v>447</v>
      </c>
    </row>
    <row r="173" spans="1:11">
      <c r="A173" t="s">
        <v>620</v>
      </c>
      <c r="B173" t="s">
        <v>218</v>
      </c>
      <c r="C173" t="s">
        <v>219</v>
      </c>
      <c r="D173" t="s">
        <v>466</v>
      </c>
      <c r="E173" t="s">
        <v>429</v>
      </c>
      <c r="F173" s="5">
        <v>44628</v>
      </c>
      <c r="G173">
        <v>1</v>
      </c>
      <c r="H173">
        <v>278</v>
      </c>
      <c r="I173" s="6">
        <v>131098.51705047648</v>
      </c>
      <c r="J173" t="s">
        <v>446</v>
      </c>
      <c r="K173" t="s">
        <v>447</v>
      </c>
    </row>
    <row r="174" spans="1:11">
      <c r="A174" t="s">
        <v>621</v>
      </c>
      <c r="B174" t="s">
        <v>218</v>
      </c>
      <c r="C174" t="s">
        <v>219</v>
      </c>
      <c r="D174" t="s">
        <v>445</v>
      </c>
      <c r="E174" t="s">
        <v>431</v>
      </c>
      <c r="F174" s="5">
        <v>45065</v>
      </c>
      <c r="G174">
        <v>1</v>
      </c>
      <c r="H174">
        <v>105</v>
      </c>
      <c r="I174" s="6">
        <v>60233.407231837322</v>
      </c>
      <c r="J174" t="s">
        <v>455</v>
      </c>
      <c r="K174" t="s">
        <v>447</v>
      </c>
    </row>
    <row r="175" spans="1:11">
      <c r="A175" t="s">
        <v>622</v>
      </c>
      <c r="B175" t="s">
        <v>220</v>
      </c>
      <c r="C175" t="s">
        <v>221</v>
      </c>
      <c r="D175" t="s">
        <v>47</v>
      </c>
      <c r="E175" t="s">
        <v>427</v>
      </c>
      <c r="F175" s="5">
        <v>44511</v>
      </c>
      <c r="G175">
        <v>1</v>
      </c>
      <c r="H175">
        <v>78</v>
      </c>
      <c r="I175" s="6">
        <v>49460.739264502641</v>
      </c>
      <c r="J175" t="s">
        <v>446</v>
      </c>
      <c r="K175" t="s">
        <v>447</v>
      </c>
    </row>
    <row r="176" spans="1:11">
      <c r="A176" t="s">
        <v>623</v>
      </c>
      <c r="B176" t="s">
        <v>220</v>
      </c>
      <c r="C176" t="s">
        <v>221</v>
      </c>
      <c r="D176" t="s">
        <v>466</v>
      </c>
      <c r="E176" t="s">
        <v>433</v>
      </c>
      <c r="F176" s="5">
        <v>44867</v>
      </c>
      <c r="G176">
        <v>1</v>
      </c>
      <c r="H176">
        <v>43</v>
      </c>
      <c r="I176" s="6">
        <v>157831.75723190155</v>
      </c>
      <c r="J176" t="s">
        <v>446</v>
      </c>
      <c r="K176" t="s">
        <v>447</v>
      </c>
    </row>
    <row r="177" spans="1:11">
      <c r="A177" t="s">
        <v>624</v>
      </c>
      <c r="B177" t="s">
        <v>222</v>
      </c>
      <c r="C177" t="s">
        <v>223</v>
      </c>
      <c r="D177" t="s">
        <v>449</v>
      </c>
      <c r="E177" t="s">
        <v>427</v>
      </c>
      <c r="F177" s="5">
        <v>45761</v>
      </c>
      <c r="G177">
        <v>1</v>
      </c>
      <c r="H177">
        <v>155</v>
      </c>
      <c r="I177" s="6">
        <v>84543.054711284771</v>
      </c>
      <c r="J177" t="s">
        <v>457</v>
      </c>
      <c r="K177" t="s">
        <v>447</v>
      </c>
    </row>
    <row r="178" spans="1:11">
      <c r="A178" t="s">
        <v>625</v>
      </c>
      <c r="B178" t="s">
        <v>222</v>
      </c>
      <c r="C178" t="s">
        <v>223</v>
      </c>
      <c r="D178" t="s">
        <v>47</v>
      </c>
      <c r="E178" t="s">
        <v>431</v>
      </c>
      <c r="F178" s="5">
        <v>44898</v>
      </c>
      <c r="G178">
        <v>3</v>
      </c>
      <c r="H178">
        <v>164</v>
      </c>
      <c r="I178" s="6">
        <v>84445.87946282512</v>
      </c>
      <c r="J178" t="s">
        <v>455</v>
      </c>
      <c r="K178" t="s">
        <v>447</v>
      </c>
    </row>
    <row r="179" spans="1:11">
      <c r="A179" t="s">
        <v>626</v>
      </c>
      <c r="B179" t="s">
        <v>224</v>
      </c>
      <c r="C179" t="s">
        <v>225</v>
      </c>
      <c r="D179" t="s">
        <v>475</v>
      </c>
      <c r="E179" t="s">
        <v>424</v>
      </c>
      <c r="F179" s="5">
        <v>44765</v>
      </c>
      <c r="G179">
        <v>1</v>
      </c>
      <c r="H179">
        <v>79</v>
      </c>
      <c r="I179" s="6">
        <v>33154.900332801823</v>
      </c>
      <c r="J179" t="s">
        <v>446</v>
      </c>
      <c r="K179" t="s">
        <v>447</v>
      </c>
    </row>
    <row r="180" spans="1:11">
      <c r="A180" t="s">
        <v>627</v>
      </c>
      <c r="B180" t="s">
        <v>226</v>
      </c>
      <c r="C180" t="s">
        <v>227</v>
      </c>
      <c r="D180" t="s">
        <v>47</v>
      </c>
      <c r="E180" t="s">
        <v>424</v>
      </c>
      <c r="F180" s="5">
        <v>45177</v>
      </c>
      <c r="G180">
        <v>1</v>
      </c>
      <c r="H180">
        <v>30</v>
      </c>
      <c r="I180" s="6">
        <v>27334.08018969942</v>
      </c>
      <c r="J180" t="s">
        <v>446</v>
      </c>
      <c r="K180" t="s">
        <v>447</v>
      </c>
    </row>
    <row r="181" spans="1:11">
      <c r="A181" t="s">
        <v>628</v>
      </c>
      <c r="B181" t="s">
        <v>226</v>
      </c>
      <c r="C181" t="s">
        <v>227</v>
      </c>
      <c r="D181" t="s">
        <v>449</v>
      </c>
      <c r="E181" t="s">
        <v>429</v>
      </c>
      <c r="F181" s="5">
        <v>44871</v>
      </c>
      <c r="G181">
        <v>1</v>
      </c>
      <c r="H181">
        <v>61</v>
      </c>
      <c r="I181" s="6">
        <v>78331.289589938635</v>
      </c>
      <c r="J181" t="s">
        <v>446</v>
      </c>
      <c r="K181" t="s">
        <v>447</v>
      </c>
    </row>
    <row r="182" spans="1:11">
      <c r="A182" t="s">
        <v>629</v>
      </c>
      <c r="B182" t="s">
        <v>226</v>
      </c>
      <c r="C182" t="s">
        <v>227</v>
      </c>
      <c r="D182" t="s">
        <v>445</v>
      </c>
      <c r="E182" t="s">
        <v>433</v>
      </c>
      <c r="F182" s="5">
        <v>44897</v>
      </c>
      <c r="G182">
        <v>3</v>
      </c>
      <c r="H182">
        <v>67</v>
      </c>
      <c r="I182" s="6">
        <v>140777.54698749419</v>
      </c>
      <c r="J182" t="s">
        <v>446</v>
      </c>
      <c r="K182" t="s">
        <v>447</v>
      </c>
    </row>
    <row r="183" spans="1:11">
      <c r="A183" t="s">
        <v>630</v>
      </c>
      <c r="B183" t="s">
        <v>228</v>
      </c>
      <c r="C183" t="s">
        <v>229</v>
      </c>
      <c r="D183" t="s">
        <v>449</v>
      </c>
      <c r="E183" t="s">
        <v>427</v>
      </c>
      <c r="F183" s="5">
        <v>45644</v>
      </c>
      <c r="G183">
        <v>1</v>
      </c>
      <c r="H183">
        <v>1802</v>
      </c>
      <c r="I183" s="6">
        <v>371005.256078707</v>
      </c>
      <c r="J183" t="s">
        <v>446</v>
      </c>
      <c r="K183" t="s">
        <v>447</v>
      </c>
    </row>
    <row r="184" spans="1:11">
      <c r="A184" t="s">
        <v>631</v>
      </c>
      <c r="B184" t="s">
        <v>228</v>
      </c>
      <c r="C184" t="s">
        <v>229</v>
      </c>
      <c r="D184" t="s">
        <v>34</v>
      </c>
      <c r="E184" t="s">
        <v>427</v>
      </c>
      <c r="F184" s="5">
        <v>45426</v>
      </c>
      <c r="G184">
        <v>1</v>
      </c>
      <c r="H184">
        <v>1149</v>
      </c>
      <c r="I184" s="6">
        <v>319436.01345536055</v>
      </c>
      <c r="J184" t="s">
        <v>446</v>
      </c>
      <c r="K184" t="s">
        <v>447</v>
      </c>
    </row>
    <row r="185" spans="1:11">
      <c r="A185" t="s">
        <v>632</v>
      </c>
      <c r="B185" t="s">
        <v>230</v>
      </c>
      <c r="C185" t="s">
        <v>231</v>
      </c>
      <c r="D185" t="s">
        <v>449</v>
      </c>
      <c r="E185" t="s">
        <v>429</v>
      </c>
      <c r="F185" s="5">
        <v>45619</v>
      </c>
      <c r="G185">
        <v>1</v>
      </c>
      <c r="H185">
        <v>612</v>
      </c>
      <c r="I185" s="6">
        <v>396321.95592893352</v>
      </c>
      <c r="J185" t="s">
        <v>446</v>
      </c>
      <c r="K185" t="s">
        <v>447</v>
      </c>
    </row>
    <row r="186" spans="1:11">
      <c r="A186" t="s">
        <v>633</v>
      </c>
      <c r="B186" t="s">
        <v>230</v>
      </c>
      <c r="C186" t="s">
        <v>231</v>
      </c>
      <c r="D186" t="s">
        <v>449</v>
      </c>
      <c r="E186" t="s">
        <v>424</v>
      </c>
      <c r="F186" s="5">
        <v>45740</v>
      </c>
      <c r="G186">
        <v>3</v>
      </c>
      <c r="H186">
        <v>302</v>
      </c>
      <c r="I186" s="6">
        <v>198248.36265673506</v>
      </c>
      <c r="J186" t="s">
        <v>446</v>
      </c>
      <c r="K186" t="s">
        <v>447</v>
      </c>
    </row>
    <row r="187" spans="1:11">
      <c r="A187" t="s">
        <v>634</v>
      </c>
      <c r="B187" t="s">
        <v>232</v>
      </c>
      <c r="C187" t="s">
        <v>233</v>
      </c>
      <c r="D187" t="s">
        <v>449</v>
      </c>
      <c r="E187" t="s">
        <v>429</v>
      </c>
      <c r="F187" s="5">
        <v>45186</v>
      </c>
      <c r="G187">
        <v>1</v>
      </c>
      <c r="H187">
        <v>1106</v>
      </c>
      <c r="I187" s="6">
        <v>483685.04659642588</v>
      </c>
      <c r="J187" t="s">
        <v>455</v>
      </c>
      <c r="K187" t="s">
        <v>447</v>
      </c>
    </row>
    <row r="188" spans="1:11">
      <c r="A188" t="s">
        <v>635</v>
      </c>
      <c r="B188" t="s">
        <v>234</v>
      </c>
      <c r="C188" t="s">
        <v>235</v>
      </c>
      <c r="D188" t="s">
        <v>47</v>
      </c>
      <c r="E188" t="s">
        <v>431</v>
      </c>
      <c r="F188" s="5">
        <v>45006</v>
      </c>
      <c r="G188">
        <v>3</v>
      </c>
      <c r="H188">
        <v>260</v>
      </c>
      <c r="I188" s="6">
        <v>73784.365298696066</v>
      </c>
      <c r="J188" t="s">
        <v>446</v>
      </c>
      <c r="K188" t="s">
        <v>447</v>
      </c>
    </row>
    <row r="189" spans="1:11">
      <c r="A189" t="s">
        <v>636</v>
      </c>
      <c r="B189" t="s">
        <v>234</v>
      </c>
      <c r="C189" t="s">
        <v>235</v>
      </c>
      <c r="D189" t="s">
        <v>47</v>
      </c>
      <c r="E189" t="s">
        <v>433</v>
      </c>
      <c r="F189" s="5">
        <v>45470</v>
      </c>
      <c r="G189">
        <v>1</v>
      </c>
      <c r="H189">
        <v>68</v>
      </c>
      <c r="I189" s="6">
        <v>254306.98126319313</v>
      </c>
      <c r="J189" t="s">
        <v>455</v>
      </c>
      <c r="K189" t="s">
        <v>447</v>
      </c>
    </row>
    <row r="190" spans="1:11">
      <c r="A190" t="s">
        <v>637</v>
      </c>
      <c r="B190" t="s">
        <v>234</v>
      </c>
      <c r="C190" t="s">
        <v>235</v>
      </c>
      <c r="D190" t="s">
        <v>47</v>
      </c>
      <c r="E190" t="s">
        <v>427</v>
      </c>
      <c r="F190" s="5">
        <v>45193</v>
      </c>
      <c r="G190">
        <v>2</v>
      </c>
      <c r="H190">
        <v>216</v>
      </c>
      <c r="I190" s="6">
        <v>100440.7026988022</v>
      </c>
      <c r="J190" t="s">
        <v>446</v>
      </c>
      <c r="K190" t="s">
        <v>447</v>
      </c>
    </row>
    <row r="191" spans="1:11">
      <c r="A191" t="s">
        <v>638</v>
      </c>
      <c r="B191" t="s">
        <v>236</v>
      </c>
      <c r="C191" t="s">
        <v>237</v>
      </c>
      <c r="D191" t="s">
        <v>34</v>
      </c>
      <c r="E191" t="s">
        <v>424</v>
      </c>
      <c r="F191" s="5">
        <v>44992</v>
      </c>
      <c r="G191">
        <v>1</v>
      </c>
      <c r="H191">
        <v>54</v>
      </c>
      <c r="I191" s="6">
        <v>28471.331495019123</v>
      </c>
      <c r="J191" t="s">
        <v>455</v>
      </c>
      <c r="K191" t="s">
        <v>447</v>
      </c>
    </row>
    <row r="192" spans="1:11">
      <c r="A192" t="s">
        <v>639</v>
      </c>
      <c r="B192" t="s">
        <v>236</v>
      </c>
      <c r="C192" t="s">
        <v>237</v>
      </c>
      <c r="D192" t="s">
        <v>445</v>
      </c>
      <c r="E192" t="s">
        <v>424</v>
      </c>
      <c r="F192" s="5">
        <v>45089</v>
      </c>
      <c r="G192">
        <v>1</v>
      </c>
      <c r="H192">
        <v>56</v>
      </c>
      <c r="I192" s="6">
        <v>25007.796354725924</v>
      </c>
      <c r="J192" t="s">
        <v>446</v>
      </c>
      <c r="K192" t="s">
        <v>447</v>
      </c>
    </row>
    <row r="193" spans="1:11">
      <c r="A193" t="s">
        <v>640</v>
      </c>
      <c r="B193" t="s">
        <v>236</v>
      </c>
      <c r="C193" t="s">
        <v>237</v>
      </c>
      <c r="D193" t="s">
        <v>466</v>
      </c>
      <c r="E193" t="s">
        <v>424</v>
      </c>
      <c r="F193" s="5">
        <v>45166</v>
      </c>
      <c r="G193">
        <v>1</v>
      </c>
      <c r="H193">
        <v>19</v>
      </c>
      <c r="I193" s="6">
        <v>30647.953255241304</v>
      </c>
      <c r="J193" t="s">
        <v>446</v>
      </c>
      <c r="K193" t="s">
        <v>447</v>
      </c>
    </row>
    <row r="194" spans="1:11">
      <c r="A194" t="s">
        <v>641</v>
      </c>
      <c r="B194" t="s">
        <v>238</v>
      </c>
      <c r="C194" t="s">
        <v>239</v>
      </c>
      <c r="D194" t="s">
        <v>466</v>
      </c>
      <c r="E194" t="s">
        <v>427</v>
      </c>
      <c r="F194" s="5">
        <v>44483</v>
      </c>
      <c r="G194">
        <v>1</v>
      </c>
      <c r="H194">
        <v>91</v>
      </c>
      <c r="I194" s="6">
        <v>93312.710252274614</v>
      </c>
      <c r="J194" t="s">
        <v>446</v>
      </c>
      <c r="K194" t="s">
        <v>447</v>
      </c>
    </row>
    <row r="195" spans="1:11">
      <c r="A195" t="s">
        <v>642</v>
      </c>
      <c r="B195" t="s">
        <v>238</v>
      </c>
      <c r="C195" t="s">
        <v>239</v>
      </c>
      <c r="D195" t="s">
        <v>445</v>
      </c>
      <c r="E195" t="s">
        <v>424</v>
      </c>
      <c r="F195" s="5">
        <v>44980</v>
      </c>
      <c r="G195">
        <v>1</v>
      </c>
      <c r="H195">
        <v>277</v>
      </c>
      <c r="I195" s="6">
        <v>30600.541981060604</v>
      </c>
      <c r="J195" t="s">
        <v>455</v>
      </c>
      <c r="K195" t="s">
        <v>447</v>
      </c>
    </row>
    <row r="196" spans="1:11">
      <c r="A196" t="s">
        <v>643</v>
      </c>
      <c r="B196" t="s">
        <v>238</v>
      </c>
      <c r="C196" t="s">
        <v>239</v>
      </c>
      <c r="D196" t="s">
        <v>47</v>
      </c>
      <c r="E196" t="s">
        <v>424</v>
      </c>
      <c r="F196" s="5">
        <v>45675</v>
      </c>
      <c r="G196">
        <v>1</v>
      </c>
      <c r="H196">
        <v>64</v>
      </c>
      <c r="I196" s="6">
        <v>59121.599398780039</v>
      </c>
      <c r="J196" t="s">
        <v>446</v>
      </c>
      <c r="K196" t="s">
        <v>447</v>
      </c>
    </row>
    <row r="197" spans="1:11">
      <c r="A197" t="s">
        <v>644</v>
      </c>
      <c r="B197" t="s">
        <v>240</v>
      </c>
      <c r="C197" t="s">
        <v>241</v>
      </c>
      <c r="D197" t="s">
        <v>34</v>
      </c>
      <c r="E197" t="s">
        <v>431</v>
      </c>
      <c r="F197" s="5">
        <v>44414</v>
      </c>
      <c r="G197">
        <v>1</v>
      </c>
      <c r="H197">
        <v>123</v>
      </c>
      <c r="I197" s="6">
        <v>67268.505424677569</v>
      </c>
      <c r="J197" t="s">
        <v>455</v>
      </c>
      <c r="K197" t="s">
        <v>447</v>
      </c>
    </row>
    <row r="198" spans="1:11">
      <c r="A198" t="s">
        <v>645</v>
      </c>
      <c r="B198" t="s">
        <v>240</v>
      </c>
      <c r="C198" t="s">
        <v>241</v>
      </c>
      <c r="D198" t="s">
        <v>47</v>
      </c>
      <c r="E198" t="s">
        <v>431</v>
      </c>
      <c r="F198" s="5">
        <v>44873</v>
      </c>
      <c r="G198">
        <v>1</v>
      </c>
      <c r="H198">
        <v>327</v>
      </c>
      <c r="I198" s="6">
        <v>56293.014777281067</v>
      </c>
      <c r="J198" t="s">
        <v>446</v>
      </c>
      <c r="K198" t="s">
        <v>447</v>
      </c>
    </row>
    <row r="199" spans="1:11">
      <c r="A199" t="s">
        <v>646</v>
      </c>
      <c r="B199" t="s">
        <v>240</v>
      </c>
      <c r="C199" t="s">
        <v>241</v>
      </c>
      <c r="D199" t="s">
        <v>445</v>
      </c>
      <c r="E199" t="s">
        <v>427</v>
      </c>
      <c r="F199" s="5">
        <v>45283</v>
      </c>
      <c r="G199">
        <v>2</v>
      </c>
      <c r="H199">
        <v>155</v>
      </c>
      <c r="I199" s="6">
        <v>97618.594552487339</v>
      </c>
      <c r="J199" t="s">
        <v>446</v>
      </c>
      <c r="K199" t="s">
        <v>447</v>
      </c>
    </row>
    <row r="200" spans="1:11">
      <c r="A200" t="s">
        <v>647</v>
      </c>
      <c r="B200" t="s">
        <v>242</v>
      </c>
      <c r="C200" t="s">
        <v>243</v>
      </c>
      <c r="D200" t="s">
        <v>445</v>
      </c>
      <c r="E200" t="s">
        <v>427</v>
      </c>
      <c r="F200" s="5">
        <v>45184</v>
      </c>
      <c r="G200">
        <v>1</v>
      </c>
      <c r="H200">
        <v>233</v>
      </c>
      <c r="I200" s="6">
        <v>106941.1724285309</v>
      </c>
      <c r="J200" t="s">
        <v>446</v>
      </c>
      <c r="K200" t="s">
        <v>447</v>
      </c>
    </row>
    <row r="201" spans="1:11">
      <c r="A201" t="s">
        <v>648</v>
      </c>
      <c r="B201" t="s">
        <v>242</v>
      </c>
      <c r="C201" t="s">
        <v>243</v>
      </c>
      <c r="D201" t="s">
        <v>475</v>
      </c>
      <c r="E201" t="s">
        <v>433</v>
      </c>
      <c r="F201" s="5">
        <v>44199</v>
      </c>
      <c r="G201">
        <v>1</v>
      </c>
      <c r="H201">
        <v>267</v>
      </c>
      <c r="I201" s="6">
        <v>219339.18458687939</v>
      </c>
      <c r="J201" t="s">
        <v>446</v>
      </c>
      <c r="K201" t="s">
        <v>447</v>
      </c>
    </row>
    <row r="202" spans="1:11">
      <c r="A202" t="s">
        <v>649</v>
      </c>
      <c r="B202" t="s">
        <v>244</v>
      </c>
      <c r="C202" t="s">
        <v>245</v>
      </c>
      <c r="D202" t="s">
        <v>34</v>
      </c>
      <c r="E202" t="s">
        <v>433</v>
      </c>
      <c r="F202" s="5">
        <v>44621</v>
      </c>
      <c r="G202">
        <v>1</v>
      </c>
      <c r="H202">
        <v>1921</v>
      </c>
      <c r="I202" s="6">
        <v>879340.50276000425</v>
      </c>
      <c r="J202" t="s">
        <v>446</v>
      </c>
      <c r="K202" t="s">
        <v>447</v>
      </c>
    </row>
    <row r="203" spans="1:11">
      <c r="A203" t="s">
        <v>650</v>
      </c>
      <c r="B203" t="s">
        <v>244</v>
      </c>
      <c r="C203" t="s">
        <v>245</v>
      </c>
      <c r="D203" t="s">
        <v>445</v>
      </c>
      <c r="E203" t="s">
        <v>424</v>
      </c>
      <c r="F203" s="5">
        <v>44638</v>
      </c>
      <c r="G203">
        <v>1</v>
      </c>
      <c r="H203">
        <v>262</v>
      </c>
      <c r="I203" s="6">
        <v>116224.04809387562</v>
      </c>
      <c r="J203" t="s">
        <v>446</v>
      </c>
      <c r="K203" t="s">
        <v>447</v>
      </c>
    </row>
    <row r="204" spans="1:11">
      <c r="A204" t="s">
        <v>651</v>
      </c>
      <c r="B204" t="s">
        <v>244</v>
      </c>
      <c r="C204" t="s">
        <v>245</v>
      </c>
      <c r="D204" t="s">
        <v>47</v>
      </c>
      <c r="E204" t="s">
        <v>429</v>
      </c>
      <c r="F204" s="5">
        <v>44544</v>
      </c>
      <c r="G204">
        <v>3</v>
      </c>
      <c r="H204">
        <v>531</v>
      </c>
      <c r="I204" s="6">
        <v>247003.63276411511</v>
      </c>
      <c r="J204" t="s">
        <v>446</v>
      </c>
      <c r="K204" t="s">
        <v>447</v>
      </c>
    </row>
    <row r="205" spans="1:11">
      <c r="A205" t="s">
        <v>652</v>
      </c>
      <c r="B205" t="s">
        <v>246</v>
      </c>
      <c r="C205" t="s">
        <v>247</v>
      </c>
      <c r="D205" t="s">
        <v>449</v>
      </c>
      <c r="E205" t="s">
        <v>424</v>
      </c>
      <c r="F205" s="5">
        <v>45373</v>
      </c>
      <c r="G205">
        <v>2</v>
      </c>
      <c r="H205">
        <v>118</v>
      </c>
      <c r="I205" s="6">
        <v>45663.478997109662</v>
      </c>
      <c r="J205" t="s">
        <v>446</v>
      </c>
      <c r="K205" t="s">
        <v>447</v>
      </c>
    </row>
    <row r="206" spans="1:11">
      <c r="A206" t="s">
        <v>653</v>
      </c>
      <c r="B206" t="s">
        <v>248</v>
      </c>
      <c r="C206" t="s">
        <v>249</v>
      </c>
      <c r="D206" t="s">
        <v>466</v>
      </c>
      <c r="E206" t="s">
        <v>429</v>
      </c>
      <c r="F206" s="5">
        <v>45645</v>
      </c>
      <c r="G206">
        <v>1</v>
      </c>
      <c r="H206">
        <v>59</v>
      </c>
      <c r="I206" s="6">
        <v>65967.270539206947</v>
      </c>
      <c r="J206" t="s">
        <v>446</v>
      </c>
      <c r="K206" t="s">
        <v>447</v>
      </c>
    </row>
    <row r="207" spans="1:11">
      <c r="A207" t="s">
        <v>654</v>
      </c>
      <c r="B207" t="s">
        <v>248</v>
      </c>
      <c r="C207" t="s">
        <v>249</v>
      </c>
      <c r="D207" t="s">
        <v>466</v>
      </c>
      <c r="E207" t="s">
        <v>431</v>
      </c>
      <c r="F207" s="5">
        <v>45247</v>
      </c>
      <c r="G207">
        <v>1</v>
      </c>
      <c r="H207">
        <v>22</v>
      </c>
      <c r="I207" s="6">
        <v>47107.626555072842</v>
      </c>
      <c r="J207" t="s">
        <v>455</v>
      </c>
      <c r="K207" t="s">
        <v>447</v>
      </c>
    </row>
    <row r="208" spans="1:11">
      <c r="A208" t="s">
        <v>655</v>
      </c>
      <c r="B208" t="s">
        <v>248</v>
      </c>
      <c r="C208" t="s">
        <v>249</v>
      </c>
      <c r="D208" t="s">
        <v>34</v>
      </c>
      <c r="E208" t="s">
        <v>429</v>
      </c>
      <c r="F208" s="5">
        <v>45766</v>
      </c>
      <c r="G208">
        <v>3</v>
      </c>
      <c r="H208">
        <v>62</v>
      </c>
      <c r="I208" s="6">
        <v>91002.983640087332</v>
      </c>
      <c r="J208" t="s">
        <v>457</v>
      </c>
      <c r="K208" t="s">
        <v>447</v>
      </c>
    </row>
    <row r="209" spans="1:11">
      <c r="A209" t="s">
        <v>656</v>
      </c>
      <c r="B209" t="s">
        <v>248</v>
      </c>
      <c r="C209" t="s">
        <v>249</v>
      </c>
      <c r="D209" t="s">
        <v>449</v>
      </c>
      <c r="E209" t="s">
        <v>433</v>
      </c>
      <c r="F209" s="5">
        <v>45772</v>
      </c>
      <c r="G209">
        <v>2</v>
      </c>
      <c r="H209">
        <v>40</v>
      </c>
      <c r="I209" s="6">
        <v>189015.76498668265</v>
      </c>
      <c r="J209" t="s">
        <v>446</v>
      </c>
      <c r="K209" t="s">
        <v>447</v>
      </c>
    </row>
    <row r="210" spans="1:11">
      <c r="A210" t="s">
        <v>657</v>
      </c>
      <c r="B210" t="s">
        <v>250</v>
      </c>
      <c r="C210" t="s">
        <v>251</v>
      </c>
      <c r="D210" t="s">
        <v>47</v>
      </c>
      <c r="E210" t="s">
        <v>431</v>
      </c>
      <c r="F210" s="5">
        <v>45758</v>
      </c>
      <c r="G210">
        <v>1</v>
      </c>
      <c r="H210">
        <v>256</v>
      </c>
      <c r="I210" s="6">
        <v>94337.22766542506</v>
      </c>
      <c r="J210" t="s">
        <v>446</v>
      </c>
      <c r="K210" t="s">
        <v>447</v>
      </c>
    </row>
    <row r="211" spans="1:11">
      <c r="A211" t="s">
        <v>658</v>
      </c>
      <c r="B211" t="s">
        <v>252</v>
      </c>
      <c r="C211" t="s">
        <v>253</v>
      </c>
      <c r="D211" t="s">
        <v>445</v>
      </c>
      <c r="E211" t="s">
        <v>433</v>
      </c>
      <c r="F211" s="5">
        <v>45114</v>
      </c>
      <c r="G211">
        <v>2</v>
      </c>
      <c r="H211">
        <v>200</v>
      </c>
      <c r="I211" s="6">
        <v>392736.32840782928</v>
      </c>
      <c r="J211" t="s">
        <v>455</v>
      </c>
      <c r="K211" t="s">
        <v>447</v>
      </c>
    </row>
    <row r="212" spans="1:11">
      <c r="A212" t="s">
        <v>659</v>
      </c>
      <c r="B212" t="s">
        <v>252</v>
      </c>
      <c r="C212" t="s">
        <v>253</v>
      </c>
      <c r="D212" t="s">
        <v>475</v>
      </c>
      <c r="E212" t="s">
        <v>427</v>
      </c>
      <c r="F212" s="5">
        <v>45405</v>
      </c>
      <c r="G212">
        <v>1</v>
      </c>
      <c r="H212">
        <v>152</v>
      </c>
      <c r="I212" s="6">
        <v>82228.814617660479</v>
      </c>
      <c r="J212" t="s">
        <v>457</v>
      </c>
      <c r="K212" t="s">
        <v>447</v>
      </c>
    </row>
    <row r="213" spans="1:11">
      <c r="A213" t="s">
        <v>660</v>
      </c>
      <c r="B213" t="s">
        <v>254</v>
      </c>
      <c r="C213" t="s">
        <v>255</v>
      </c>
      <c r="D213" t="s">
        <v>34</v>
      </c>
      <c r="E213" t="s">
        <v>431</v>
      </c>
      <c r="F213" s="5">
        <v>45549</v>
      </c>
      <c r="G213">
        <v>1</v>
      </c>
      <c r="H213">
        <v>100</v>
      </c>
      <c r="I213" s="6">
        <v>75992.826251292194</v>
      </c>
      <c r="J213" t="s">
        <v>457</v>
      </c>
      <c r="K213" t="s">
        <v>447</v>
      </c>
    </row>
    <row r="214" spans="1:11">
      <c r="A214" t="s">
        <v>661</v>
      </c>
      <c r="B214" t="s">
        <v>254</v>
      </c>
      <c r="C214" t="s">
        <v>255</v>
      </c>
      <c r="D214" t="s">
        <v>449</v>
      </c>
      <c r="E214" t="s">
        <v>431</v>
      </c>
      <c r="F214" s="5">
        <v>45425</v>
      </c>
      <c r="G214">
        <v>1</v>
      </c>
      <c r="H214">
        <v>74</v>
      </c>
      <c r="I214" s="6">
        <v>71065.963479105194</v>
      </c>
      <c r="J214" t="s">
        <v>457</v>
      </c>
      <c r="K214" t="s">
        <v>447</v>
      </c>
    </row>
    <row r="215" spans="1:11">
      <c r="A215" t="s">
        <v>662</v>
      </c>
      <c r="B215" t="s">
        <v>256</v>
      </c>
      <c r="C215" t="s">
        <v>257</v>
      </c>
      <c r="D215" t="s">
        <v>47</v>
      </c>
      <c r="E215" t="s">
        <v>424</v>
      </c>
      <c r="F215" s="5">
        <v>45577</v>
      </c>
      <c r="G215">
        <v>1</v>
      </c>
      <c r="H215">
        <v>1143</v>
      </c>
      <c r="I215" s="6">
        <v>128174.74942213876</v>
      </c>
      <c r="J215" t="s">
        <v>446</v>
      </c>
      <c r="K215" t="s">
        <v>447</v>
      </c>
    </row>
    <row r="216" spans="1:11">
      <c r="A216" t="s">
        <v>663</v>
      </c>
      <c r="B216" t="s">
        <v>256</v>
      </c>
      <c r="C216" t="s">
        <v>257</v>
      </c>
      <c r="D216" t="s">
        <v>466</v>
      </c>
      <c r="E216" t="s">
        <v>424</v>
      </c>
      <c r="F216" s="5">
        <v>45605</v>
      </c>
      <c r="G216">
        <v>3</v>
      </c>
      <c r="H216">
        <v>1361</v>
      </c>
      <c r="I216" s="6">
        <v>88694.248607587331</v>
      </c>
      <c r="J216" t="s">
        <v>446</v>
      </c>
      <c r="K216" t="s">
        <v>447</v>
      </c>
    </row>
    <row r="217" spans="1:11">
      <c r="A217" t="s">
        <v>664</v>
      </c>
      <c r="B217" t="s">
        <v>258</v>
      </c>
      <c r="C217" t="s">
        <v>259</v>
      </c>
      <c r="D217" t="s">
        <v>445</v>
      </c>
      <c r="E217" t="s">
        <v>424</v>
      </c>
      <c r="F217" s="5">
        <v>45314</v>
      </c>
      <c r="G217">
        <v>1</v>
      </c>
      <c r="H217">
        <v>331</v>
      </c>
      <c r="I217" s="6">
        <v>60427.120885556324</v>
      </c>
      <c r="J217" t="s">
        <v>457</v>
      </c>
      <c r="K217" t="s">
        <v>447</v>
      </c>
    </row>
    <row r="218" spans="1:11">
      <c r="A218" t="s">
        <v>665</v>
      </c>
      <c r="B218" t="s">
        <v>258</v>
      </c>
      <c r="C218" t="s">
        <v>259</v>
      </c>
      <c r="D218" t="s">
        <v>466</v>
      </c>
      <c r="E218" t="s">
        <v>431</v>
      </c>
      <c r="F218" s="5">
        <v>45335</v>
      </c>
      <c r="G218">
        <v>2</v>
      </c>
      <c r="H218">
        <v>140</v>
      </c>
      <c r="I218" s="6">
        <v>101531.47482576194</v>
      </c>
      <c r="J218" t="s">
        <v>446</v>
      </c>
      <c r="K218" t="s">
        <v>447</v>
      </c>
    </row>
    <row r="219" spans="1:11">
      <c r="A219" t="s">
        <v>666</v>
      </c>
      <c r="B219" t="s">
        <v>258</v>
      </c>
      <c r="C219" t="s">
        <v>259</v>
      </c>
      <c r="D219" t="s">
        <v>47</v>
      </c>
      <c r="E219" t="s">
        <v>427</v>
      </c>
      <c r="F219" s="5">
        <v>45173</v>
      </c>
      <c r="G219">
        <v>1</v>
      </c>
      <c r="H219">
        <v>83</v>
      </c>
      <c r="I219" s="6">
        <v>95942.800409008138</v>
      </c>
      <c r="J219" t="s">
        <v>455</v>
      </c>
      <c r="K219" t="s">
        <v>447</v>
      </c>
    </row>
    <row r="220" spans="1:11">
      <c r="A220" t="s">
        <v>667</v>
      </c>
      <c r="B220" t="s">
        <v>260</v>
      </c>
      <c r="C220" t="s">
        <v>261</v>
      </c>
      <c r="D220" t="s">
        <v>466</v>
      </c>
      <c r="E220" t="s">
        <v>431</v>
      </c>
      <c r="F220" s="5">
        <v>45389</v>
      </c>
      <c r="G220">
        <v>1</v>
      </c>
      <c r="H220">
        <v>26</v>
      </c>
      <c r="I220" s="6">
        <v>44680.137854142777</v>
      </c>
      <c r="J220" t="s">
        <v>457</v>
      </c>
      <c r="K220" t="s">
        <v>447</v>
      </c>
    </row>
    <row r="221" spans="1:11">
      <c r="A221" t="s">
        <v>668</v>
      </c>
      <c r="B221" t="s">
        <v>260</v>
      </c>
      <c r="C221" t="s">
        <v>261</v>
      </c>
      <c r="D221" t="s">
        <v>475</v>
      </c>
      <c r="E221" t="s">
        <v>427</v>
      </c>
      <c r="F221" s="5">
        <v>45569</v>
      </c>
      <c r="G221">
        <v>1</v>
      </c>
      <c r="H221">
        <v>52</v>
      </c>
      <c r="I221" s="6">
        <v>47019.6555024521</v>
      </c>
      <c r="J221" t="s">
        <v>457</v>
      </c>
      <c r="K221" t="s">
        <v>447</v>
      </c>
    </row>
    <row r="222" spans="1:11">
      <c r="A222" t="s">
        <v>669</v>
      </c>
      <c r="B222" t="s">
        <v>262</v>
      </c>
      <c r="C222" t="s">
        <v>263</v>
      </c>
      <c r="D222" t="s">
        <v>466</v>
      </c>
      <c r="E222" t="s">
        <v>431</v>
      </c>
      <c r="F222" s="5">
        <v>44567</v>
      </c>
      <c r="G222">
        <v>1</v>
      </c>
      <c r="H222">
        <v>342</v>
      </c>
      <c r="I222" s="6">
        <v>78701.686461528749</v>
      </c>
      <c r="J222" t="s">
        <v>455</v>
      </c>
      <c r="K222" t="s">
        <v>447</v>
      </c>
    </row>
    <row r="223" spans="1:11">
      <c r="A223" t="s">
        <v>670</v>
      </c>
      <c r="B223" t="s">
        <v>262</v>
      </c>
      <c r="C223" t="s">
        <v>263</v>
      </c>
      <c r="D223" t="s">
        <v>47</v>
      </c>
      <c r="E223" t="s">
        <v>424</v>
      </c>
      <c r="F223" s="5">
        <v>44719</v>
      </c>
      <c r="G223">
        <v>1</v>
      </c>
      <c r="H223">
        <v>134</v>
      </c>
      <c r="I223" s="6">
        <v>35899.370483031489</v>
      </c>
      <c r="J223" t="s">
        <v>446</v>
      </c>
      <c r="K223" t="s">
        <v>447</v>
      </c>
    </row>
    <row r="224" spans="1:11">
      <c r="A224" t="s">
        <v>671</v>
      </c>
      <c r="B224" t="s">
        <v>264</v>
      </c>
      <c r="C224" t="s">
        <v>265</v>
      </c>
      <c r="D224" t="s">
        <v>466</v>
      </c>
      <c r="E224" t="s">
        <v>433</v>
      </c>
      <c r="F224" s="5">
        <v>44828</v>
      </c>
      <c r="G224">
        <v>1</v>
      </c>
      <c r="H224">
        <v>207</v>
      </c>
      <c r="I224" s="6">
        <v>183003.35051780698</v>
      </c>
      <c r="J224" t="s">
        <v>455</v>
      </c>
      <c r="K224" t="s">
        <v>447</v>
      </c>
    </row>
    <row r="225" spans="1:11">
      <c r="A225" t="s">
        <v>672</v>
      </c>
      <c r="B225" t="s">
        <v>264</v>
      </c>
      <c r="C225" t="s">
        <v>265</v>
      </c>
      <c r="D225" t="s">
        <v>47</v>
      </c>
      <c r="E225" t="s">
        <v>424</v>
      </c>
      <c r="F225" s="5">
        <v>45502</v>
      </c>
      <c r="G225">
        <v>1</v>
      </c>
      <c r="H225">
        <v>290</v>
      </c>
      <c r="I225" s="6">
        <v>35420.390201693721</v>
      </c>
      <c r="J225" t="s">
        <v>455</v>
      </c>
      <c r="K225" t="s">
        <v>447</v>
      </c>
    </row>
    <row r="226" spans="1:11">
      <c r="A226" t="s">
        <v>673</v>
      </c>
      <c r="B226" t="s">
        <v>264</v>
      </c>
      <c r="C226" t="s">
        <v>265</v>
      </c>
      <c r="D226" t="s">
        <v>47</v>
      </c>
      <c r="E226" t="s">
        <v>427</v>
      </c>
      <c r="F226" s="5">
        <v>44292</v>
      </c>
      <c r="G226">
        <v>2</v>
      </c>
      <c r="H226">
        <v>213</v>
      </c>
      <c r="I226" s="6">
        <v>78163.58444398822</v>
      </c>
      <c r="J226" t="s">
        <v>446</v>
      </c>
      <c r="K226" t="s">
        <v>447</v>
      </c>
    </row>
    <row r="227" spans="1:11">
      <c r="A227" t="s">
        <v>674</v>
      </c>
      <c r="B227" t="s">
        <v>266</v>
      </c>
      <c r="C227" t="s">
        <v>267</v>
      </c>
      <c r="D227" t="s">
        <v>475</v>
      </c>
      <c r="E227" t="s">
        <v>429</v>
      </c>
      <c r="F227" s="5">
        <v>45572</v>
      </c>
      <c r="G227">
        <v>3</v>
      </c>
      <c r="H227">
        <v>165</v>
      </c>
      <c r="I227" s="6">
        <v>100240.90247002219</v>
      </c>
      <c r="J227" t="s">
        <v>446</v>
      </c>
      <c r="K227" t="s">
        <v>447</v>
      </c>
    </row>
    <row r="228" spans="1:11">
      <c r="A228" t="s">
        <v>675</v>
      </c>
      <c r="B228" t="s">
        <v>266</v>
      </c>
      <c r="C228" t="s">
        <v>267</v>
      </c>
      <c r="D228" t="s">
        <v>466</v>
      </c>
      <c r="E228" t="s">
        <v>433</v>
      </c>
      <c r="F228" s="5">
        <v>45794</v>
      </c>
      <c r="G228">
        <v>1</v>
      </c>
      <c r="H228">
        <v>98</v>
      </c>
      <c r="I228" s="6">
        <v>345448.11211503431</v>
      </c>
      <c r="J228" t="s">
        <v>457</v>
      </c>
      <c r="K228" t="s">
        <v>447</v>
      </c>
    </row>
    <row r="229" spans="1:11">
      <c r="A229" t="s">
        <v>676</v>
      </c>
      <c r="B229" t="s">
        <v>266</v>
      </c>
      <c r="C229" t="s">
        <v>267</v>
      </c>
      <c r="D229" t="s">
        <v>475</v>
      </c>
      <c r="E229" t="s">
        <v>427</v>
      </c>
      <c r="F229" s="5">
        <v>45314</v>
      </c>
      <c r="G229">
        <v>1</v>
      </c>
      <c r="H229">
        <v>71</v>
      </c>
      <c r="I229" s="6">
        <v>130698.65710916805</v>
      </c>
      <c r="J229" t="s">
        <v>457</v>
      </c>
      <c r="K229" t="s">
        <v>447</v>
      </c>
    </row>
    <row r="230" spans="1:11">
      <c r="A230" t="s">
        <v>677</v>
      </c>
      <c r="B230" t="s">
        <v>268</v>
      </c>
      <c r="C230" t="s">
        <v>269</v>
      </c>
      <c r="D230" t="s">
        <v>466</v>
      </c>
      <c r="E230" t="s">
        <v>427</v>
      </c>
      <c r="F230" s="5">
        <v>45204</v>
      </c>
      <c r="G230">
        <v>3</v>
      </c>
      <c r="H230">
        <v>23</v>
      </c>
      <c r="I230" s="6">
        <v>44145.771101597282</v>
      </c>
      <c r="J230" t="s">
        <v>446</v>
      </c>
      <c r="K230" t="s">
        <v>447</v>
      </c>
    </row>
    <row r="231" spans="1:11">
      <c r="A231" t="s">
        <v>678</v>
      </c>
      <c r="B231" t="s">
        <v>268</v>
      </c>
      <c r="C231" t="s">
        <v>269</v>
      </c>
      <c r="D231" t="s">
        <v>466</v>
      </c>
      <c r="E231" t="s">
        <v>431</v>
      </c>
      <c r="F231" s="5">
        <v>44722</v>
      </c>
      <c r="G231">
        <v>2</v>
      </c>
      <c r="H231">
        <v>43</v>
      </c>
      <c r="I231" s="6">
        <v>46865.873957344549</v>
      </c>
      <c r="J231" t="s">
        <v>446</v>
      </c>
      <c r="K231" t="s">
        <v>447</v>
      </c>
    </row>
    <row r="232" spans="1:11">
      <c r="A232" t="s">
        <v>679</v>
      </c>
      <c r="B232" t="s">
        <v>270</v>
      </c>
      <c r="C232" t="s">
        <v>271</v>
      </c>
      <c r="D232" t="s">
        <v>449</v>
      </c>
      <c r="E232" t="s">
        <v>431</v>
      </c>
      <c r="F232" s="5">
        <v>44744</v>
      </c>
      <c r="G232">
        <v>2</v>
      </c>
      <c r="H232">
        <v>90</v>
      </c>
      <c r="I232" s="6">
        <v>98065.983359240883</v>
      </c>
      <c r="J232" t="s">
        <v>446</v>
      </c>
      <c r="K232" t="s">
        <v>447</v>
      </c>
    </row>
    <row r="233" spans="1:11">
      <c r="A233" t="s">
        <v>680</v>
      </c>
      <c r="B233" t="s">
        <v>272</v>
      </c>
      <c r="C233" t="s">
        <v>273</v>
      </c>
      <c r="D233" t="s">
        <v>475</v>
      </c>
      <c r="E233" t="s">
        <v>427</v>
      </c>
      <c r="F233" s="5">
        <v>44746</v>
      </c>
      <c r="G233">
        <v>1</v>
      </c>
      <c r="H233">
        <v>349</v>
      </c>
      <c r="I233" s="6">
        <v>230914.1151181779</v>
      </c>
      <c r="J233" t="s">
        <v>446</v>
      </c>
      <c r="K233" t="s">
        <v>447</v>
      </c>
    </row>
    <row r="234" spans="1:11">
      <c r="A234" t="s">
        <v>681</v>
      </c>
      <c r="B234" t="s">
        <v>272</v>
      </c>
      <c r="C234" t="s">
        <v>273</v>
      </c>
      <c r="D234" t="s">
        <v>475</v>
      </c>
      <c r="E234" t="s">
        <v>433</v>
      </c>
      <c r="F234" s="5">
        <v>44928</v>
      </c>
      <c r="G234">
        <v>2</v>
      </c>
      <c r="H234">
        <v>1000</v>
      </c>
      <c r="I234" s="6">
        <v>1134770.4334236046</v>
      </c>
      <c r="J234" t="s">
        <v>455</v>
      </c>
      <c r="K234" t="s">
        <v>447</v>
      </c>
    </row>
    <row r="235" spans="1:11">
      <c r="A235" t="s">
        <v>682</v>
      </c>
      <c r="B235" t="s">
        <v>272</v>
      </c>
      <c r="C235" t="s">
        <v>273</v>
      </c>
      <c r="D235" t="s">
        <v>445</v>
      </c>
      <c r="E235" t="s">
        <v>433</v>
      </c>
      <c r="F235" s="5">
        <v>45371</v>
      </c>
      <c r="G235">
        <v>2</v>
      </c>
      <c r="H235">
        <v>722</v>
      </c>
      <c r="I235" s="6">
        <v>415318.99520504411</v>
      </c>
      <c r="J235" t="s">
        <v>446</v>
      </c>
      <c r="K235" t="s">
        <v>447</v>
      </c>
    </row>
    <row r="236" spans="1:11">
      <c r="A236" t="s">
        <v>683</v>
      </c>
      <c r="B236" t="s">
        <v>274</v>
      </c>
      <c r="C236" t="s">
        <v>275</v>
      </c>
      <c r="D236" t="s">
        <v>47</v>
      </c>
      <c r="E236" t="s">
        <v>429</v>
      </c>
      <c r="F236" s="5">
        <v>45056</v>
      </c>
      <c r="G236">
        <v>2</v>
      </c>
      <c r="H236">
        <v>15</v>
      </c>
      <c r="I236" s="6">
        <v>81339.156467839799</v>
      </c>
      <c r="J236" t="s">
        <v>455</v>
      </c>
      <c r="K236" t="s">
        <v>447</v>
      </c>
    </row>
    <row r="237" spans="1:11">
      <c r="A237" t="s">
        <v>684</v>
      </c>
      <c r="B237" t="s">
        <v>274</v>
      </c>
      <c r="C237" t="s">
        <v>275</v>
      </c>
      <c r="D237" t="s">
        <v>449</v>
      </c>
      <c r="E237" t="s">
        <v>429</v>
      </c>
      <c r="F237" s="5">
        <v>45646</v>
      </c>
      <c r="G237">
        <v>1</v>
      </c>
      <c r="H237">
        <v>23</v>
      </c>
      <c r="I237" s="6">
        <v>74952.512903635987</v>
      </c>
      <c r="J237" t="s">
        <v>446</v>
      </c>
      <c r="K237" t="s">
        <v>447</v>
      </c>
    </row>
    <row r="238" spans="1:11">
      <c r="A238" t="s">
        <v>685</v>
      </c>
      <c r="B238" t="s">
        <v>274</v>
      </c>
      <c r="C238" t="s">
        <v>275</v>
      </c>
      <c r="D238" t="s">
        <v>475</v>
      </c>
      <c r="E238" t="s">
        <v>424</v>
      </c>
      <c r="F238" s="5">
        <v>45616</v>
      </c>
      <c r="G238">
        <v>1</v>
      </c>
      <c r="H238">
        <v>10</v>
      </c>
      <c r="I238" s="6">
        <v>30023.356852976252</v>
      </c>
      <c r="J238" t="s">
        <v>446</v>
      </c>
      <c r="K238" t="s">
        <v>447</v>
      </c>
    </row>
    <row r="239" spans="1:11">
      <c r="A239" t="s">
        <v>686</v>
      </c>
      <c r="B239" t="s">
        <v>276</v>
      </c>
      <c r="C239" t="s">
        <v>277</v>
      </c>
      <c r="D239" t="s">
        <v>466</v>
      </c>
      <c r="E239" t="s">
        <v>431</v>
      </c>
      <c r="F239" s="5">
        <v>44331</v>
      </c>
      <c r="G239">
        <v>3</v>
      </c>
      <c r="H239">
        <v>821</v>
      </c>
      <c r="I239" s="6">
        <v>278077.91280960588</v>
      </c>
      <c r="J239" t="s">
        <v>455</v>
      </c>
      <c r="K239" t="s">
        <v>447</v>
      </c>
    </row>
    <row r="240" spans="1:11">
      <c r="A240" t="s">
        <v>687</v>
      </c>
      <c r="B240" t="s">
        <v>276</v>
      </c>
      <c r="C240" t="s">
        <v>277</v>
      </c>
      <c r="D240" t="s">
        <v>34</v>
      </c>
      <c r="E240" t="s">
        <v>427</v>
      </c>
      <c r="F240" s="5">
        <v>44870</v>
      </c>
      <c r="G240">
        <v>1</v>
      </c>
      <c r="H240">
        <v>1301</v>
      </c>
      <c r="I240" s="6">
        <v>219029.95000088672</v>
      </c>
      <c r="J240" t="s">
        <v>446</v>
      </c>
      <c r="K240" t="s">
        <v>447</v>
      </c>
    </row>
    <row r="241" spans="1:11">
      <c r="A241" t="s">
        <v>688</v>
      </c>
      <c r="B241" t="s">
        <v>278</v>
      </c>
      <c r="C241" t="s">
        <v>279</v>
      </c>
      <c r="D241" t="s">
        <v>475</v>
      </c>
      <c r="E241" t="s">
        <v>427</v>
      </c>
      <c r="F241" s="5">
        <v>45418</v>
      </c>
      <c r="G241">
        <v>1</v>
      </c>
      <c r="H241">
        <v>331</v>
      </c>
      <c r="I241" s="6">
        <v>64246.361560743208</v>
      </c>
      <c r="J241" t="s">
        <v>446</v>
      </c>
      <c r="K241" t="s">
        <v>447</v>
      </c>
    </row>
    <row r="242" spans="1:11">
      <c r="A242" t="s">
        <v>689</v>
      </c>
      <c r="B242" t="s">
        <v>278</v>
      </c>
      <c r="C242" t="s">
        <v>279</v>
      </c>
      <c r="D242" t="s">
        <v>445</v>
      </c>
      <c r="E242" t="s">
        <v>424</v>
      </c>
      <c r="F242" s="5">
        <v>45440</v>
      </c>
      <c r="G242">
        <v>1</v>
      </c>
      <c r="H242">
        <v>82</v>
      </c>
      <c r="I242" s="6">
        <v>43599.877048612543</v>
      </c>
      <c r="J242" t="s">
        <v>446</v>
      </c>
      <c r="K242" t="s">
        <v>447</v>
      </c>
    </row>
    <row r="243" spans="1:11">
      <c r="A243" t="s">
        <v>690</v>
      </c>
      <c r="B243" t="s">
        <v>278</v>
      </c>
      <c r="C243" t="s">
        <v>279</v>
      </c>
      <c r="D243" t="s">
        <v>445</v>
      </c>
      <c r="E243" t="s">
        <v>431</v>
      </c>
      <c r="F243" s="5">
        <v>45588</v>
      </c>
      <c r="G243">
        <v>1</v>
      </c>
      <c r="H243">
        <v>266</v>
      </c>
      <c r="I243" s="6">
        <v>67728.103770597198</v>
      </c>
      <c r="J243" t="s">
        <v>446</v>
      </c>
      <c r="K243" t="s">
        <v>447</v>
      </c>
    </row>
    <row r="244" spans="1:11">
      <c r="A244" t="s">
        <v>691</v>
      </c>
      <c r="B244" t="s">
        <v>280</v>
      </c>
      <c r="C244" t="s">
        <v>281</v>
      </c>
      <c r="D244" t="s">
        <v>47</v>
      </c>
      <c r="E244" t="s">
        <v>431</v>
      </c>
      <c r="F244" s="5">
        <v>44335</v>
      </c>
      <c r="G244">
        <v>2</v>
      </c>
      <c r="H244">
        <v>1803</v>
      </c>
      <c r="I244" s="6">
        <v>162240.8651919734</v>
      </c>
      <c r="J244" t="s">
        <v>446</v>
      </c>
      <c r="K244" t="s">
        <v>447</v>
      </c>
    </row>
    <row r="245" spans="1:11">
      <c r="A245" t="s">
        <v>692</v>
      </c>
      <c r="B245" t="s">
        <v>282</v>
      </c>
      <c r="C245" t="s">
        <v>283</v>
      </c>
      <c r="D245" t="s">
        <v>475</v>
      </c>
      <c r="E245" t="s">
        <v>431</v>
      </c>
      <c r="F245" s="5">
        <v>45809</v>
      </c>
      <c r="G245">
        <v>2</v>
      </c>
      <c r="H245">
        <v>313</v>
      </c>
      <c r="I245" s="6">
        <v>98567.547459638401</v>
      </c>
      <c r="J245" t="s">
        <v>446</v>
      </c>
      <c r="K245" t="s">
        <v>447</v>
      </c>
    </row>
    <row r="246" spans="1:11">
      <c r="A246" t="s">
        <v>693</v>
      </c>
      <c r="B246" t="s">
        <v>282</v>
      </c>
      <c r="C246" t="s">
        <v>283</v>
      </c>
      <c r="D246" t="s">
        <v>47</v>
      </c>
      <c r="E246" t="s">
        <v>427</v>
      </c>
      <c r="F246" s="5">
        <v>45521</v>
      </c>
      <c r="G246">
        <v>2</v>
      </c>
      <c r="H246">
        <v>183</v>
      </c>
      <c r="I246" s="6">
        <v>73433.301661622652</v>
      </c>
      <c r="J246" t="s">
        <v>446</v>
      </c>
      <c r="K246" t="s">
        <v>447</v>
      </c>
    </row>
    <row r="247" spans="1:11">
      <c r="A247" t="s">
        <v>694</v>
      </c>
      <c r="B247" t="s">
        <v>282</v>
      </c>
      <c r="C247" t="s">
        <v>283</v>
      </c>
      <c r="D247" t="s">
        <v>475</v>
      </c>
      <c r="E247" t="s">
        <v>427</v>
      </c>
      <c r="F247" s="5">
        <v>45762</v>
      </c>
      <c r="G247">
        <v>1</v>
      </c>
      <c r="H247">
        <v>228</v>
      </c>
      <c r="I247" s="6">
        <v>78299.517106819825</v>
      </c>
      <c r="J247" t="s">
        <v>446</v>
      </c>
      <c r="K247" t="s">
        <v>447</v>
      </c>
    </row>
    <row r="248" spans="1:11">
      <c r="A248" t="s">
        <v>695</v>
      </c>
      <c r="B248" t="s">
        <v>284</v>
      </c>
      <c r="C248" t="s">
        <v>285</v>
      </c>
      <c r="D248" t="s">
        <v>445</v>
      </c>
      <c r="E248" t="s">
        <v>424</v>
      </c>
      <c r="F248" s="5">
        <v>44563</v>
      </c>
      <c r="G248">
        <v>3</v>
      </c>
      <c r="H248">
        <v>203</v>
      </c>
      <c r="I248" s="6">
        <v>58859.110401187267</v>
      </c>
      <c r="J248" t="s">
        <v>446</v>
      </c>
      <c r="K248" t="s">
        <v>447</v>
      </c>
    </row>
    <row r="249" spans="1:11">
      <c r="A249" t="s">
        <v>696</v>
      </c>
      <c r="B249" t="s">
        <v>284</v>
      </c>
      <c r="C249" t="s">
        <v>285</v>
      </c>
      <c r="D249" t="s">
        <v>475</v>
      </c>
      <c r="E249" t="s">
        <v>424</v>
      </c>
      <c r="F249" s="5">
        <v>45277</v>
      </c>
      <c r="G249">
        <v>1</v>
      </c>
      <c r="H249">
        <v>122</v>
      </c>
      <c r="I249" s="6">
        <v>40137.80859976964</v>
      </c>
      <c r="J249" t="s">
        <v>446</v>
      </c>
      <c r="K249" t="s">
        <v>447</v>
      </c>
    </row>
    <row r="250" spans="1:11">
      <c r="A250" t="s">
        <v>697</v>
      </c>
      <c r="B250" t="s">
        <v>286</v>
      </c>
      <c r="C250" t="s">
        <v>287</v>
      </c>
      <c r="D250" t="s">
        <v>445</v>
      </c>
      <c r="E250" t="s">
        <v>431</v>
      </c>
      <c r="F250" s="5">
        <v>45214</v>
      </c>
      <c r="G250">
        <v>1</v>
      </c>
      <c r="H250">
        <v>278</v>
      </c>
      <c r="I250" s="6">
        <v>87941.662261131176</v>
      </c>
      <c r="J250" t="s">
        <v>446</v>
      </c>
      <c r="K250" t="s">
        <v>447</v>
      </c>
    </row>
    <row r="251" spans="1:11">
      <c r="A251" t="s">
        <v>698</v>
      </c>
      <c r="B251" t="s">
        <v>286</v>
      </c>
      <c r="C251" t="s">
        <v>287</v>
      </c>
      <c r="D251" t="s">
        <v>466</v>
      </c>
      <c r="E251" t="s">
        <v>431</v>
      </c>
      <c r="F251" s="5">
        <v>45028</v>
      </c>
      <c r="G251">
        <v>2</v>
      </c>
      <c r="H251">
        <v>218</v>
      </c>
      <c r="I251" s="6">
        <v>67129.59816080911</v>
      </c>
      <c r="J251" t="s">
        <v>446</v>
      </c>
      <c r="K251" t="s">
        <v>447</v>
      </c>
    </row>
    <row r="252" spans="1:11">
      <c r="A252" t="s">
        <v>699</v>
      </c>
      <c r="B252" t="s">
        <v>286</v>
      </c>
      <c r="C252" t="s">
        <v>287</v>
      </c>
      <c r="D252" t="s">
        <v>47</v>
      </c>
      <c r="E252" t="s">
        <v>427</v>
      </c>
      <c r="F252" s="5">
        <v>45422</v>
      </c>
      <c r="G252">
        <v>2</v>
      </c>
      <c r="H252">
        <v>178</v>
      </c>
      <c r="I252" s="6">
        <v>72014.352573380384</v>
      </c>
      <c r="J252" t="s">
        <v>446</v>
      </c>
      <c r="K252" t="s">
        <v>447</v>
      </c>
    </row>
    <row r="253" spans="1:11">
      <c r="A253" t="s">
        <v>700</v>
      </c>
      <c r="B253" t="s">
        <v>288</v>
      </c>
      <c r="C253" t="s">
        <v>289</v>
      </c>
      <c r="D253" t="s">
        <v>34</v>
      </c>
      <c r="E253" t="s">
        <v>424</v>
      </c>
      <c r="F253" s="5">
        <v>44977</v>
      </c>
      <c r="G253">
        <v>2</v>
      </c>
      <c r="H253">
        <v>1630</v>
      </c>
      <c r="I253" s="6">
        <v>117283.16762649444</v>
      </c>
      <c r="J253" t="s">
        <v>446</v>
      </c>
      <c r="K253" t="s">
        <v>447</v>
      </c>
    </row>
    <row r="254" spans="1:11">
      <c r="A254" t="s">
        <v>701</v>
      </c>
      <c r="B254" t="s">
        <v>288</v>
      </c>
      <c r="C254" t="s">
        <v>289</v>
      </c>
      <c r="D254" t="s">
        <v>466</v>
      </c>
      <c r="E254" t="s">
        <v>427</v>
      </c>
      <c r="F254" s="5">
        <v>45177</v>
      </c>
      <c r="G254">
        <v>1</v>
      </c>
      <c r="H254">
        <v>648</v>
      </c>
      <c r="I254" s="6">
        <v>377436.32337652385</v>
      </c>
      <c r="J254" t="s">
        <v>446</v>
      </c>
      <c r="K254" t="s">
        <v>447</v>
      </c>
    </row>
    <row r="255" spans="1:11">
      <c r="A255" t="s">
        <v>702</v>
      </c>
      <c r="B255" t="s">
        <v>290</v>
      </c>
      <c r="C255" t="s">
        <v>291</v>
      </c>
      <c r="D255" t="s">
        <v>445</v>
      </c>
      <c r="E255" t="s">
        <v>431</v>
      </c>
      <c r="F255" s="5">
        <v>45707</v>
      </c>
      <c r="G255">
        <v>1</v>
      </c>
      <c r="H255">
        <v>1662</v>
      </c>
      <c r="I255" s="6">
        <v>122349.64832348214</v>
      </c>
      <c r="J255" t="s">
        <v>457</v>
      </c>
      <c r="K255" t="s">
        <v>447</v>
      </c>
    </row>
    <row r="256" spans="1:11">
      <c r="A256" t="s">
        <v>703</v>
      </c>
      <c r="B256" t="s">
        <v>292</v>
      </c>
      <c r="C256" t="s">
        <v>293</v>
      </c>
      <c r="D256" t="s">
        <v>475</v>
      </c>
      <c r="E256" t="s">
        <v>431</v>
      </c>
      <c r="F256" s="5">
        <v>45577</v>
      </c>
      <c r="G256">
        <v>1</v>
      </c>
      <c r="H256">
        <v>735</v>
      </c>
      <c r="I256" s="6">
        <v>150242.60587381554</v>
      </c>
      <c r="J256" t="s">
        <v>455</v>
      </c>
      <c r="K256" t="s">
        <v>447</v>
      </c>
    </row>
    <row r="257" spans="1:11">
      <c r="A257" t="s">
        <v>704</v>
      </c>
      <c r="B257" t="s">
        <v>294</v>
      </c>
      <c r="C257" t="s">
        <v>295</v>
      </c>
      <c r="D257" t="s">
        <v>47</v>
      </c>
      <c r="E257" t="s">
        <v>431</v>
      </c>
      <c r="F257" s="5">
        <v>44774</v>
      </c>
      <c r="G257">
        <v>2</v>
      </c>
      <c r="H257">
        <v>120</v>
      </c>
      <c r="I257" s="6">
        <v>63147.993636634128</v>
      </c>
      <c r="J257" t="s">
        <v>446</v>
      </c>
      <c r="K257" t="s">
        <v>447</v>
      </c>
    </row>
    <row r="258" spans="1:11">
      <c r="A258" t="s">
        <v>705</v>
      </c>
      <c r="B258" t="s">
        <v>294</v>
      </c>
      <c r="C258" t="s">
        <v>295</v>
      </c>
      <c r="D258" t="s">
        <v>47</v>
      </c>
      <c r="E258" t="s">
        <v>429</v>
      </c>
      <c r="F258" s="5">
        <v>45323</v>
      </c>
      <c r="G258">
        <v>1</v>
      </c>
      <c r="H258">
        <v>111</v>
      </c>
      <c r="I258" s="6">
        <v>128343.07696766748</v>
      </c>
      <c r="J258" t="s">
        <v>455</v>
      </c>
      <c r="K258" t="s">
        <v>447</v>
      </c>
    </row>
    <row r="259" spans="1:11">
      <c r="A259" t="s">
        <v>706</v>
      </c>
      <c r="B259" t="s">
        <v>296</v>
      </c>
      <c r="C259" t="s">
        <v>297</v>
      </c>
      <c r="D259" t="s">
        <v>445</v>
      </c>
      <c r="E259" t="s">
        <v>429</v>
      </c>
      <c r="F259" s="5">
        <v>45831</v>
      </c>
      <c r="G259">
        <v>3</v>
      </c>
      <c r="H259">
        <v>24</v>
      </c>
      <c r="I259" s="6">
        <v>61778.895710927878</v>
      </c>
      <c r="J259" t="s">
        <v>446</v>
      </c>
      <c r="K259" t="s">
        <v>447</v>
      </c>
    </row>
    <row r="260" spans="1:11">
      <c r="A260" t="s">
        <v>707</v>
      </c>
      <c r="B260" t="s">
        <v>296</v>
      </c>
      <c r="C260" t="s">
        <v>297</v>
      </c>
      <c r="D260" t="s">
        <v>466</v>
      </c>
      <c r="E260" t="s">
        <v>433</v>
      </c>
      <c r="F260" s="5">
        <v>45761</v>
      </c>
      <c r="G260">
        <v>1</v>
      </c>
      <c r="H260">
        <v>53</v>
      </c>
      <c r="I260" s="6">
        <v>124319.21836194971</v>
      </c>
      <c r="J260" t="s">
        <v>446</v>
      </c>
      <c r="K260" t="s">
        <v>447</v>
      </c>
    </row>
    <row r="261" spans="1:11">
      <c r="A261" t="s">
        <v>708</v>
      </c>
      <c r="B261" t="s">
        <v>296</v>
      </c>
      <c r="C261" t="s">
        <v>297</v>
      </c>
      <c r="D261" t="s">
        <v>34</v>
      </c>
      <c r="E261" t="s">
        <v>429</v>
      </c>
      <c r="F261" s="5">
        <v>45764</v>
      </c>
      <c r="G261">
        <v>1</v>
      </c>
      <c r="H261">
        <v>58</v>
      </c>
      <c r="I261" s="6">
        <v>75601.333006112167</v>
      </c>
      <c r="J261" t="s">
        <v>446</v>
      </c>
      <c r="K261" t="s">
        <v>447</v>
      </c>
    </row>
    <row r="262" spans="1:11">
      <c r="A262" t="s">
        <v>709</v>
      </c>
      <c r="B262" t="s">
        <v>298</v>
      </c>
      <c r="C262" t="s">
        <v>299</v>
      </c>
      <c r="D262" t="s">
        <v>449</v>
      </c>
      <c r="E262" t="s">
        <v>433</v>
      </c>
      <c r="F262" s="5">
        <v>44982</v>
      </c>
      <c r="G262">
        <v>1</v>
      </c>
      <c r="H262">
        <v>1728</v>
      </c>
      <c r="I262" s="6">
        <v>691551.87630574091</v>
      </c>
      <c r="J262" t="s">
        <v>446</v>
      </c>
      <c r="K262" t="s">
        <v>447</v>
      </c>
    </row>
    <row r="263" spans="1:11">
      <c r="A263" t="s">
        <v>710</v>
      </c>
      <c r="B263" t="s">
        <v>298</v>
      </c>
      <c r="C263" t="s">
        <v>299</v>
      </c>
      <c r="D263" t="s">
        <v>466</v>
      </c>
      <c r="E263" t="s">
        <v>429</v>
      </c>
      <c r="F263" s="5">
        <v>45113</v>
      </c>
      <c r="G263">
        <v>2</v>
      </c>
      <c r="H263">
        <v>1482</v>
      </c>
      <c r="I263" s="6">
        <v>345156.47661159391</v>
      </c>
      <c r="J263" t="s">
        <v>446</v>
      </c>
      <c r="K263" t="s">
        <v>447</v>
      </c>
    </row>
    <row r="264" spans="1:11">
      <c r="A264" t="s">
        <v>711</v>
      </c>
      <c r="B264" t="s">
        <v>298</v>
      </c>
      <c r="C264" t="s">
        <v>299</v>
      </c>
      <c r="D264" t="s">
        <v>47</v>
      </c>
      <c r="E264" t="s">
        <v>427</v>
      </c>
      <c r="F264" s="5">
        <v>45242</v>
      </c>
      <c r="G264">
        <v>2</v>
      </c>
      <c r="H264">
        <v>1919</v>
      </c>
      <c r="I264" s="6">
        <v>181789.23764935459</v>
      </c>
      <c r="J264" t="s">
        <v>455</v>
      </c>
      <c r="K264" t="s">
        <v>447</v>
      </c>
    </row>
    <row r="265" spans="1:11">
      <c r="A265" t="s">
        <v>712</v>
      </c>
      <c r="B265" t="s">
        <v>298</v>
      </c>
      <c r="C265" t="s">
        <v>299</v>
      </c>
      <c r="D265" t="s">
        <v>445</v>
      </c>
      <c r="E265" t="s">
        <v>427</v>
      </c>
      <c r="F265" s="5">
        <v>45451</v>
      </c>
      <c r="G265">
        <v>1</v>
      </c>
      <c r="H265">
        <v>1300</v>
      </c>
      <c r="I265" s="6">
        <v>222839.53654145295</v>
      </c>
      <c r="J265" t="s">
        <v>457</v>
      </c>
      <c r="K265" t="s">
        <v>447</v>
      </c>
    </row>
    <row r="266" spans="1:11">
      <c r="A266" t="s">
        <v>713</v>
      </c>
      <c r="B266" t="s">
        <v>300</v>
      </c>
      <c r="C266" t="s">
        <v>301</v>
      </c>
      <c r="D266" t="s">
        <v>34</v>
      </c>
      <c r="E266" t="s">
        <v>429</v>
      </c>
      <c r="F266" s="5">
        <v>45064</v>
      </c>
      <c r="G266">
        <v>2</v>
      </c>
      <c r="H266">
        <v>185</v>
      </c>
      <c r="I266" s="6">
        <v>141381.83660336345</v>
      </c>
      <c r="J266" t="s">
        <v>446</v>
      </c>
      <c r="K266" t="s">
        <v>447</v>
      </c>
    </row>
    <row r="267" spans="1:11">
      <c r="A267" t="s">
        <v>714</v>
      </c>
      <c r="B267" t="s">
        <v>300</v>
      </c>
      <c r="C267" t="s">
        <v>301</v>
      </c>
      <c r="D267" t="s">
        <v>449</v>
      </c>
      <c r="E267" t="s">
        <v>433</v>
      </c>
      <c r="F267" s="5">
        <v>45607</v>
      </c>
      <c r="G267">
        <v>3</v>
      </c>
      <c r="H267">
        <v>73</v>
      </c>
      <c r="I267" s="6">
        <v>355924.63333629689</v>
      </c>
      <c r="J267" t="s">
        <v>457</v>
      </c>
      <c r="K267" t="s">
        <v>447</v>
      </c>
    </row>
    <row r="268" spans="1:11">
      <c r="A268" t="s">
        <v>715</v>
      </c>
      <c r="B268" t="s">
        <v>300</v>
      </c>
      <c r="C268" t="s">
        <v>301</v>
      </c>
      <c r="D268" t="s">
        <v>445</v>
      </c>
      <c r="E268" t="s">
        <v>427</v>
      </c>
      <c r="F268" s="5">
        <v>45147</v>
      </c>
      <c r="G268">
        <v>2</v>
      </c>
      <c r="H268">
        <v>280</v>
      </c>
      <c r="I268" s="6">
        <v>91144.482231362941</v>
      </c>
      <c r="J268" t="s">
        <v>446</v>
      </c>
      <c r="K268" t="s">
        <v>447</v>
      </c>
    </row>
    <row r="269" spans="1:11">
      <c r="A269" t="s">
        <v>716</v>
      </c>
      <c r="B269" t="s">
        <v>302</v>
      </c>
      <c r="C269" t="s">
        <v>303</v>
      </c>
      <c r="D269" t="s">
        <v>445</v>
      </c>
      <c r="E269" t="s">
        <v>433</v>
      </c>
      <c r="F269" s="5">
        <v>45774</v>
      </c>
      <c r="G269">
        <v>3</v>
      </c>
      <c r="H269">
        <v>10</v>
      </c>
      <c r="I269" s="6">
        <v>137543.18990249239</v>
      </c>
      <c r="J269" t="s">
        <v>446</v>
      </c>
      <c r="K269" t="s">
        <v>447</v>
      </c>
    </row>
    <row r="270" spans="1:11">
      <c r="A270" t="s">
        <v>717</v>
      </c>
      <c r="B270" t="s">
        <v>302</v>
      </c>
      <c r="C270" t="s">
        <v>303</v>
      </c>
      <c r="D270" t="s">
        <v>449</v>
      </c>
      <c r="E270" t="s">
        <v>431</v>
      </c>
      <c r="F270" s="5">
        <v>45413</v>
      </c>
      <c r="G270">
        <v>3</v>
      </c>
      <c r="H270">
        <v>19</v>
      </c>
      <c r="I270" s="6">
        <v>44464.399653550987</v>
      </c>
      <c r="J270" t="s">
        <v>446</v>
      </c>
      <c r="K270" t="s">
        <v>447</v>
      </c>
    </row>
    <row r="271" spans="1:11">
      <c r="A271" t="s">
        <v>718</v>
      </c>
      <c r="B271" t="s">
        <v>302</v>
      </c>
      <c r="C271" t="s">
        <v>303</v>
      </c>
      <c r="D271" t="s">
        <v>445</v>
      </c>
      <c r="E271" t="s">
        <v>431</v>
      </c>
      <c r="F271" s="5">
        <v>44414</v>
      </c>
      <c r="G271">
        <v>1</v>
      </c>
      <c r="H271">
        <v>37</v>
      </c>
      <c r="I271" s="6">
        <v>50789.733578419837</v>
      </c>
      <c r="J271" t="s">
        <v>455</v>
      </c>
      <c r="K271" t="s">
        <v>447</v>
      </c>
    </row>
    <row r="272" spans="1:11">
      <c r="A272" t="s">
        <v>719</v>
      </c>
      <c r="B272" t="s">
        <v>302</v>
      </c>
      <c r="C272" t="s">
        <v>303</v>
      </c>
      <c r="D272" t="s">
        <v>34</v>
      </c>
      <c r="E272" t="s">
        <v>431</v>
      </c>
      <c r="F272" s="5">
        <v>45513</v>
      </c>
      <c r="G272">
        <v>1</v>
      </c>
      <c r="H272">
        <v>78</v>
      </c>
      <c r="I272" s="6">
        <v>44270.464167816215</v>
      </c>
      <c r="J272" t="s">
        <v>446</v>
      </c>
      <c r="K272" t="s">
        <v>447</v>
      </c>
    </row>
    <row r="273" spans="1:11">
      <c r="A273" t="s">
        <v>720</v>
      </c>
      <c r="B273" t="s">
        <v>304</v>
      </c>
      <c r="C273" t="s">
        <v>305</v>
      </c>
      <c r="D273" t="s">
        <v>449</v>
      </c>
      <c r="E273" t="s">
        <v>427</v>
      </c>
      <c r="F273" s="5">
        <v>45447</v>
      </c>
      <c r="G273">
        <v>1</v>
      </c>
      <c r="H273">
        <v>259</v>
      </c>
      <c r="I273" s="6">
        <v>97372.962133681998</v>
      </c>
      <c r="J273" t="s">
        <v>446</v>
      </c>
      <c r="K273" t="s">
        <v>447</v>
      </c>
    </row>
    <row r="274" spans="1:11">
      <c r="A274" t="s">
        <v>721</v>
      </c>
      <c r="B274" t="s">
        <v>304</v>
      </c>
      <c r="C274" t="s">
        <v>305</v>
      </c>
      <c r="D274" t="s">
        <v>475</v>
      </c>
      <c r="E274" t="s">
        <v>431</v>
      </c>
      <c r="F274" s="5">
        <v>45666</v>
      </c>
      <c r="G274">
        <v>3</v>
      </c>
      <c r="H274">
        <v>314</v>
      </c>
      <c r="I274" s="6">
        <v>72323.58568091545</v>
      </c>
      <c r="J274" t="s">
        <v>446</v>
      </c>
      <c r="K274" t="s">
        <v>447</v>
      </c>
    </row>
    <row r="275" spans="1:11">
      <c r="A275" t="s">
        <v>722</v>
      </c>
      <c r="B275" t="s">
        <v>304</v>
      </c>
      <c r="C275" t="s">
        <v>305</v>
      </c>
      <c r="D275" t="s">
        <v>466</v>
      </c>
      <c r="E275" t="s">
        <v>433</v>
      </c>
      <c r="F275" s="5">
        <v>45538</v>
      </c>
      <c r="G275">
        <v>3</v>
      </c>
      <c r="H275">
        <v>315</v>
      </c>
      <c r="I275" s="6">
        <v>230920.43453233514</v>
      </c>
      <c r="J275" t="s">
        <v>457</v>
      </c>
      <c r="K275" t="s">
        <v>447</v>
      </c>
    </row>
    <row r="276" spans="1:11">
      <c r="A276" t="s">
        <v>723</v>
      </c>
      <c r="B276" t="s">
        <v>306</v>
      </c>
      <c r="C276" t="s">
        <v>307</v>
      </c>
      <c r="D276" t="s">
        <v>445</v>
      </c>
      <c r="E276" t="s">
        <v>424</v>
      </c>
      <c r="F276" s="5">
        <v>45239</v>
      </c>
      <c r="G276">
        <v>1</v>
      </c>
      <c r="H276">
        <v>22</v>
      </c>
      <c r="I276" s="6">
        <v>27303.634181343536</v>
      </c>
      <c r="J276" t="s">
        <v>446</v>
      </c>
      <c r="K276" t="s">
        <v>447</v>
      </c>
    </row>
    <row r="277" spans="1:11">
      <c r="A277" t="s">
        <v>724</v>
      </c>
      <c r="B277" t="s">
        <v>308</v>
      </c>
      <c r="C277" t="s">
        <v>309</v>
      </c>
      <c r="D277" t="s">
        <v>34</v>
      </c>
      <c r="E277" t="s">
        <v>427</v>
      </c>
      <c r="F277" s="5">
        <v>44576</v>
      </c>
      <c r="G277">
        <v>1</v>
      </c>
      <c r="H277">
        <v>946</v>
      </c>
      <c r="I277" s="6">
        <v>154632.56124838351</v>
      </c>
      <c r="J277" t="s">
        <v>455</v>
      </c>
      <c r="K277" t="s">
        <v>447</v>
      </c>
    </row>
    <row r="278" spans="1:11">
      <c r="A278" t="s">
        <v>725</v>
      </c>
      <c r="B278" t="s">
        <v>308</v>
      </c>
      <c r="C278" t="s">
        <v>309</v>
      </c>
      <c r="D278" t="s">
        <v>475</v>
      </c>
      <c r="E278" t="s">
        <v>427</v>
      </c>
      <c r="F278" s="5">
        <v>45233</v>
      </c>
      <c r="G278">
        <v>1</v>
      </c>
      <c r="H278">
        <v>677</v>
      </c>
      <c r="I278" s="6">
        <v>334711.74378850748</v>
      </c>
      <c r="J278" t="s">
        <v>455</v>
      </c>
      <c r="K278" t="s">
        <v>447</v>
      </c>
    </row>
    <row r="279" spans="1:11">
      <c r="A279" t="s">
        <v>726</v>
      </c>
      <c r="B279" t="s">
        <v>310</v>
      </c>
      <c r="C279" t="s">
        <v>311</v>
      </c>
      <c r="D279" t="s">
        <v>445</v>
      </c>
      <c r="E279" t="s">
        <v>429</v>
      </c>
      <c r="F279" s="5">
        <v>45357</v>
      </c>
      <c r="G279">
        <v>1</v>
      </c>
      <c r="H279">
        <v>32</v>
      </c>
      <c r="I279" s="6">
        <v>81566.509153221676</v>
      </c>
      <c r="J279" t="s">
        <v>455</v>
      </c>
      <c r="K279" t="s">
        <v>447</v>
      </c>
    </row>
    <row r="280" spans="1:11">
      <c r="A280" t="s">
        <v>727</v>
      </c>
      <c r="B280" t="s">
        <v>312</v>
      </c>
      <c r="C280" t="s">
        <v>313</v>
      </c>
      <c r="D280" t="s">
        <v>34</v>
      </c>
      <c r="E280" t="s">
        <v>431</v>
      </c>
      <c r="F280" s="5">
        <v>45745</v>
      </c>
      <c r="G280">
        <v>2</v>
      </c>
      <c r="H280">
        <v>238</v>
      </c>
      <c r="I280" s="6">
        <v>87683.540503670985</v>
      </c>
      <c r="J280" t="s">
        <v>446</v>
      </c>
      <c r="K280" t="s">
        <v>447</v>
      </c>
    </row>
    <row r="281" spans="1:11">
      <c r="A281" t="s">
        <v>728</v>
      </c>
      <c r="B281" t="s">
        <v>312</v>
      </c>
      <c r="C281" t="s">
        <v>313</v>
      </c>
      <c r="D281" t="s">
        <v>466</v>
      </c>
      <c r="E281" t="s">
        <v>429</v>
      </c>
      <c r="F281" s="5">
        <v>44595</v>
      </c>
      <c r="G281">
        <v>1</v>
      </c>
      <c r="H281">
        <v>277</v>
      </c>
      <c r="I281" s="6">
        <v>186644.93656795498</v>
      </c>
      <c r="J281" t="s">
        <v>446</v>
      </c>
      <c r="K281" t="s">
        <v>447</v>
      </c>
    </row>
    <row r="282" spans="1:11">
      <c r="A282" t="s">
        <v>729</v>
      </c>
      <c r="B282" t="s">
        <v>312</v>
      </c>
      <c r="C282" t="s">
        <v>313</v>
      </c>
      <c r="D282" t="s">
        <v>34</v>
      </c>
      <c r="E282" t="s">
        <v>424</v>
      </c>
      <c r="F282" s="5">
        <v>45281</v>
      </c>
      <c r="G282">
        <v>1</v>
      </c>
      <c r="H282">
        <v>157</v>
      </c>
      <c r="I282" s="6">
        <v>41330.036361419428</v>
      </c>
      <c r="J282" t="s">
        <v>446</v>
      </c>
      <c r="K282" t="s">
        <v>447</v>
      </c>
    </row>
    <row r="283" spans="1:11">
      <c r="A283" t="s">
        <v>730</v>
      </c>
      <c r="B283" t="s">
        <v>312</v>
      </c>
      <c r="C283" t="s">
        <v>313</v>
      </c>
      <c r="D283" t="s">
        <v>445</v>
      </c>
      <c r="E283" t="s">
        <v>427</v>
      </c>
      <c r="F283" s="5">
        <v>44410</v>
      </c>
      <c r="G283">
        <v>1</v>
      </c>
      <c r="H283">
        <v>124</v>
      </c>
      <c r="I283" s="6">
        <v>80334.410326438912</v>
      </c>
      <c r="J283" t="s">
        <v>446</v>
      </c>
      <c r="K283" t="s">
        <v>447</v>
      </c>
    </row>
    <row r="284" spans="1:11">
      <c r="A284" t="s">
        <v>731</v>
      </c>
      <c r="B284" t="s">
        <v>314</v>
      </c>
      <c r="C284" t="s">
        <v>315</v>
      </c>
      <c r="D284" t="s">
        <v>475</v>
      </c>
      <c r="E284" t="s">
        <v>431</v>
      </c>
      <c r="F284" s="5">
        <v>45048</v>
      </c>
      <c r="G284">
        <v>1</v>
      </c>
      <c r="H284">
        <v>27</v>
      </c>
      <c r="I284" s="6">
        <v>42062.889358552806</v>
      </c>
      <c r="J284" t="s">
        <v>455</v>
      </c>
      <c r="K284" t="s">
        <v>447</v>
      </c>
    </row>
    <row r="285" spans="1:11">
      <c r="A285" t="s">
        <v>732</v>
      </c>
      <c r="B285" t="s">
        <v>314</v>
      </c>
      <c r="C285" t="s">
        <v>315</v>
      </c>
      <c r="D285" t="s">
        <v>466</v>
      </c>
      <c r="E285" t="s">
        <v>427</v>
      </c>
      <c r="F285" s="5">
        <v>45109</v>
      </c>
      <c r="G285">
        <v>1</v>
      </c>
      <c r="H285">
        <v>25</v>
      </c>
      <c r="I285" s="6">
        <v>45628.549690066699</v>
      </c>
      <c r="J285" t="s">
        <v>446</v>
      </c>
      <c r="K285" t="s">
        <v>447</v>
      </c>
    </row>
    <row r="286" spans="1:11">
      <c r="A286" t="s">
        <v>733</v>
      </c>
      <c r="B286" t="s">
        <v>316</v>
      </c>
      <c r="C286" t="s">
        <v>317</v>
      </c>
      <c r="D286" t="s">
        <v>47</v>
      </c>
      <c r="E286" t="s">
        <v>424</v>
      </c>
      <c r="F286" s="5">
        <v>45242</v>
      </c>
      <c r="G286">
        <v>1</v>
      </c>
      <c r="H286">
        <v>96</v>
      </c>
      <c r="I286" s="6">
        <v>41231.017293192817</v>
      </c>
      <c r="J286" t="s">
        <v>446</v>
      </c>
      <c r="K286" t="s">
        <v>447</v>
      </c>
    </row>
    <row r="287" spans="1:11">
      <c r="A287" t="s">
        <v>734</v>
      </c>
      <c r="B287" t="s">
        <v>316</v>
      </c>
      <c r="C287" t="s">
        <v>317</v>
      </c>
      <c r="D287" t="s">
        <v>34</v>
      </c>
      <c r="E287" t="s">
        <v>431</v>
      </c>
      <c r="F287" s="5">
        <v>44700</v>
      </c>
      <c r="G287">
        <v>2</v>
      </c>
      <c r="H287">
        <v>139</v>
      </c>
      <c r="I287" s="6">
        <v>56409.576017347252</v>
      </c>
      <c r="J287" t="s">
        <v>446</v>
      </c>
      <c r="K287" t="s">
        <v>447</v>
      </c>
    </row>
    <row r="288" spans="1:11">
      <c r="A288" t="s">
        <v>735</v>
      </c>
      <c r="B288" t="s">
        <v>318</v>
      </c>
      <c r="C288" t="s">
        <v>319</v>
      </c>
      <c r="D288" t="s">
        <v>449</v>
      </c>
      <c r="E288" t="s">
        <v>433</v>
      </c>
      <c r="F288" s="5">
        <v>44411</v>
      </c>
      <c r="G288">
        <v>1</v>
      </c>
      <c r="H288">
        <v>229</v>
      </c>
      <c r="I288" s="6">
        <v>275158.06254553451</v>
      </c>
      <c r="J288" t="s">
        <v>446</v>
      </c>
      <c r="K288" t="s">
        <v>447</v>
      </c>
    </row>
    <row r="289" spans="1:11">
      <c r="A289" t="s">
        <v>736</v>
      </c>
      <c r="B289" t="s">
        <v>318</v>
      </c>
      <c r="C289" t="s">
        <v>319</v>
      </c>
      <c r="D289" t="s">
        <v>47</v>
      </c>
      <c r="E289" t="s">
        <v>429</v>
      </c>
      <c r="F289" s="5">
        <v>45414</v>
      </c>
      <c r="G289">
        <v>1</v>
      </c>
      <c r="H289">
        <v>191</v>
      </c>
      <c r="I289" s="6">
        <v>131797.44452409615</v>
      </c>
      <c r="J289" t="s">
        <v>457</v>
      </c>
      <c r="K289" t="s">
        <v>447</v>
      </c>
    </row>
    <row r="290" spans="1:11">
      <c r="A290" t="s">
        <v>737</v>
      </c>
      <c r="B290" t="s">
        <v>320</v>
      </c>
      <c r="C290" t="s">
        <v>321</v>
      </c>
      <c r="D290" t="s">
        <v>466</v>
      </c>
      <c r="E290" t="s">
        <v>431</v>
      </c>
      <c r="F290" s="5">
        <v>45109</v>
      </c>
      <c r="G290">
        <v>3</v>
      </c>
      <c r="H290">
        <v>15</v>
      </c>
      <c r="I290" s="6">
        <v>38866.872265269179</v>
      </c>
      <c r="J290" t="s">
        <v>446</v>
      </c>
      <c r="K290" t="s">
        <v>447</v>
      </c>
    </row>
    <row r="291" spans="1:11">
      <c r="A291" t="s">
        <v>738</v>
      </c>
      <c r="B291" t="s">
        <v>320</v>
      </c>
      <c r="C291" t="s">
        <v>321</v>
      </c>
      <c r="D291" t="s">
        <v>475</v>
      </c>
      <c r="E291" t="s">
        <v>433</v>
      </c>
      <c r="F291" s="5">
        <v>45176</v>
      </c>
      <c r="G291">
        <v>1</v>
      </c>
      <c r="H291">
        <v>17</v>
      </c>
      <c r="I291" s="6">
        <v>175251.54716914997</v>
      </c>
      <c r="J291" t="s">
        <v>446</v>
      </c>
      <c r="K291" t="s">
        <v>447</v>
      </c>
    </row>
    <row r="292" spans="1:11">
      <c r="A292" t="s">
        <v>739</v>
      </c>
      <c r="B292" t="s">
        <v>320</v>
      </c>
      <c r="C292" t="s">
        <v>321</v>
      </c>
      <c r="D292" t="s">
        <v>445</v>
      </c>
      <c r="E292" t="s">
        <v>424</v>
      </c>
      <c r="F292" s="5">
        <v>45362</v>
      </c>
      <c r="G292">
        <v>3</v>
      </c>
      <c r="H292">
        <v>62</v>
      </c>
      <c r="I292" s="6">
        <v>25531.867551150262</v>
      </c>
      <c r="J292" t="s">
        <v>457</v>
      </c>
      <c r="K292" t="s">
        <v>447</v>
      </c>
    </row>
    <row r="293" spans="1:11">
      <c r="A293" t="s">
        <v>740</v>
      </c>
      <c r="B293" t="s">
        <v>320</v>
      </c>
      <c r="C293" t="s">
        <v>321</v>
      </c>
      <c r="D293" t="s">
        <v>34</v>
      </c>
      <c r="E293" t="s">
        <v>433</v>
      </c>
      <c r="F293" s="5">
        <v>45651</v>
      </c>
      <c r="G293">
        <v>1</v>
      </c>
      <c r="H293">
        <v>52</v>
      </c>
      <c r="I293" s="6">
        <v>184039.35392976421</v>
      </c>
      <c r="J293" t="s">
        <v>446</v>
      </c>
      <c r="K293" t="s">
        <v>447</v>
      </c>
    </row>
    <row r="294" spans="1:11">
      <c r="A294" t="s">
        <v>741</v>
      </c>
      <c r="B294" t="s">
        <v>322</v>
      </c>
      <c r="C294" t="s">
        <v>323</v>
      </c>
      <c r="D294" t="s">
        <v>449</v>
      </c>
      <c r="E294" t="s">
        <v>433</v>
      </c>
      <c r="F294" s="5">
        <v>44836</v>
      </c>
      <c r="G294">
        <v>2</v>
      </c>
      <c r="H294">
        <v>285</v>
      </c>
      <c r="I294" s="6">
        <v>1190916.8232617213</v>
      </c>
      <c r="J294" t="s">
        <v>446</v>
      </c>
      <c r="K294" t="s">
        <v>447</v>
      </c>
    </row>
    <row r="295" spans="1:11">
      <c r="A295" t="s">
        <v>742</v>
      </c>
      <c r="B295" t="s">
        <v>322</v>
      </c>
      <c r="C295" t="s">
        <v>323</v>
      </c>
      <c r="D295" t="s">
        <v>475</v>
      </c>
      <c r="E295" t="s">
        <v>433</v>
      </c>
      <c r="F295" s="5">
        <v>44836</v>
      </c>
      <c r="G295">
        <v>1</v>
      </c>
      <c r="H295">
        <v>561</v>
      </c>
      <c r="I295" s="6">
        <v>938842.50148204283</v>
      </c>
      <c r="J295" t="s">
        <v>446</v>
      </c>
      <c r="K295" t="s">
        <v>447</v>
      </c>
    </row>
    <row r="296" spans="1:11">
      <c r="A296" t="s">
        <v>743</v>
      </c>
      <c r="B296" t="s">
        <v>324</v>
      </c>
      <c r="C296" t="s">
        <v>325</v>
      </c>
      <c r="D296" t="s">
        <v>466</v>
      </c>
      <c r="E296" t="s">
        <v>427</v>
      </c>
      <c r="F296" s="5">
        <v>45681</v>
      </c>
      <c r="G296">
        <v>1</v>
      </c>
      <c r="H296">
        <v>1100</v>
      </c>
      <c r="I296" s="6">
        <v>281968.4795919357</v>
      </c>
      <c r="J296" t="s">
        <v>457</v>
      </c>
      <c r="K296" t="s">
        <v>447</v>
      </c>
    </row>
    <row r="297" spans="1:11">
      <c r="A297" t="s">
        <v>744</v>
      </c>
      <c r="B297" t="s">
        <v>324</v>
      </c>
      <c r="C297" t="s">
        <v>325</v>
      </c>
      <c r="D297" t="s">
        <v>475</v>
      </c>
      <c r="E297" t="s">
        <v>433</v>
      </c>
      <c r="F297" s="5">
        <v>45329</v>
      </c>
      <c r="G297">
        <v>2</v>
      </c>
      <c r="H297">
        <v>795</v>
      </c>
      <c r="I297" s="6">
        <v>636126.04431605816</v>
      </c>
      <c r="J297" t="s">
        <v>446</v>
      </c>
      <c r="K297" t="s">
        <v>447</v>
      </c>
    </row>
    <row r="298" spans="1:11">
      <c r="A298" t="s">
        <v>745</v>
      </c>
      <c r="B298" t="s">
        <v>326</v>
      </c>
      <c r="C298" t="s">
        <v>327</v>
      </c>
      <c r="D298" t="s">
        <v>445</v>
      </c>
      <c r="E298" t="s">
        <v>431</v>
      </c>
      <c r="F298" s="5">
        <v>45617</v>
      </c>
      <c r="G298">
        <v>3</v>
      </c>
      <c r="H298">
        <v>1174</v>
      </c>
      <c r="I298" s="6">
        <v>140674.63284162933</v>
      </c>
      <c r="J298" t="s">
        <v>457</v>
      </c>
      <c r="K298" t="s">
        <v>447</v>
      </c>
    </row>
    <row r="299" spans="1:11">
      <c r="A299" t="s">
        <v>746</v>
      </c>
      <c r="B299" t="s">
        <v>326</v>
      </c>
      <c r="C299" t="s">
        <v>327</v>
      </c>
      <c r="D299" t="s">
        <v>34</v>
      </c>
      <c r="E299" t="s">
        <v>433</v>
      </c>
      <c r="F299" s="5">
        <v>45331</v>
      </c>
      <c r="G299">
        <v>1</v>
      </c>
      <c r="H299">
        <v>1934</v>
      </c>
      <c r="I299" s="6">
        <v>822018.87237836118</v>
      </c>
      <c r="J299" t="s">
        <v>446</v>
      </c>
      <c r="K299" t="s">
        <v>447</v>
      </c>
    </row>
    <row r="300" spans="1:11">
      <c r="A300" t="s">
        <v>747</v>
      </c>
      <c r="B300" t="s">
        <v>326</v>
      </c>
      <c r="C300" t="s">
        <v>327</v>
      </c>
      <c r="D300" t="s">
        <v>449</v>
      </c>
      <c r="E300" t="s">
        <v>427</v>
      </c>
      <c r="F300" s="5">
        <v>45756</v>
      </c>
      <c r="G300">
        <v>3</v>
      </c>
      <c r="H300">
        <v>1128</v>
      </c>
      <c r="I300" s="6">
        <v>399077.05851227837</v>
      </c>
      <c r="J300" t="s">
        <v>457</v>
      </c>
      <c r="K300" t="s">
        <v>447</v>
      </c>
    </row>
    <row r="301" spans="1:11">
      <c r="A301" t="s">
        <v>748</v>
      </c>
      <c r="B301" t="s">
        <v>328</v>
      </c>
      <c r="C301" t="s">
        <v>329</v>
      </c>
      <c r="D301" t="s">
        <v>445</v>
      </c>
      <c r="E301" t="s">
        <v>431</v>
      </c>
      <c r="F301" s="5">
        <v>45321</v>
      </c>
      <c r="G301">
        <v>1</v>
      </c>
      <c r="H301">
        <v>21</v>
      </c>
      <c r="I301" s="6">
        <v>42004.130981618146</v>
      </c>
      <c r="J301" t="s">
        <v>455</v>
      </c>
      <c r="K301" t="s">
        <v>447</v>
      </c>
    </row>
    <row r="302" spans="1:11">
      <c r="A302" t="s">
        <v>749</v>
      </c>
      <c r="B302" t="s">
        <v>330</v>
      </c>
      <c r="C302" t="s">
        <v>331</v>
      </c>
      <c r="D302" t="s">
        <v>449</v>
      </c>
      <c r="E302" t="s">
        <v>429</v>
      </c>
      <c r="F302" s="5">
        <v>45095</v>
      </c>
      <c r="G302">
        <v>2</v>
      </c>
      <c r="H302">
        <v>1604</v>
      </c>
      <c r="I302" s="6">
        <v>458232.83242522244</v>
      </c>
      <c r="J302" t="s">
        <v>455</v>
      </c>
      <c r="K302" t="s">
        <v>447</v>
      </c>
    </row>
    <row r="303" spans="1:11">
      <c r="A303" t="s">
        <v>750</v>
      </c>
      <c r="B303" t="s">
        <v>332</v>
      </c>
      <c r="C303" t="s">
        <v>333</v>
      </c>
      <c r="D303" t="s">
        <v>34</v>
      </c>
      <c r="E303" t="s">
        <v>429</v>
      </c>
      <c r="F303" s="5">
        <v>45535</v>
      </c>
      <c r="G303">
        <v>1</v>
      </c>
      <c r="H303">
        <v>130</v>
      </c>
      <c r="I303" s="6">
        <v>157870.84114007384</v>
      </c>
      <c r="J303" t="s">
        <v>457</v>
      </c>
      <c r="K303" t="s">
        <v>447</v>
      </c>
    </row>
    <row r="304" spans="1:11">
      <c r="A304" t="s">
        <v>751</v>
      </c>
      <c r="B304" t="s">
        <v>334</v>
      </c>
      <c r="C304" t="s">
        <v>335</v>
      </c>
      <c r="D304" t="s">
        <v>475</v>
      </c>
      <c r="E304" t="s">
        <v>433</v>
      </c>
      <c r="F304" s="5">
        <v>45071</v>
      </c>
      <c r="G304">
        <v>2</v>
      </c>
      <c r="H304">
        <v>58</v>
      </c>
      <c r="I304" s="6">
        <v>120656.82585666337</v>
      </c>
      <c r="J304" t="s">
        <v>446</v>
      </c>
      <c r="K304" t="s">
        <v>447</v>
      </c>
    </row>
    <row r="305" spans="1:11">
      <c r="A305" t="s">
        <v>752</v>
      </c>
      <c r="B305" t="s">
        <v>334</v>
      </c>
      <c r="C305" t="s">
        <v>335</v>
      </c>
      <c r="D305" t="s">
        <v>34</v>
      </c>
      <c r="E305" t="s">
        <v>427</v>
      </c>
      <c r="F305" s="5">
        <v>45118</v>
      </c>
      <c r="G305">
        <v>1</v>
      </c>
      <c r="H305">
        <v>24</v>
      </c>
      <c r="I305" s="6">
        <v>55074.958501298061</v>
      </c>
      <c r="J305" t="s">
        <v>455</v>
      </c>
      <c r="K305" t="s">
        <v>447</v>
      </c>
    </row>
    <row r="306" spans="1:11">
      <c r="A306" t="s">
        <v>753</v>
      </c>
      <c r="B306" t="s">
        <v>336</v>
      </c>
      <c r="C306" t="s">
        <v>337</v>
      </c>
      <c r="D306" t="s">
        <v>449</v>
      </c>
      <c r="E306" t="s">
        <v>433</v>
      </c>
      <c r="F306" s="5">
        <v>44353</v>
      </c>
      <c r="G306">
        <v>1</v>
      </c>
      <c r="H306">
        <v>178</v>
      </c>
      <c r="I306" s="6">
        <v>370893.75509329664</v>
      </c>
      <c r="J306" t="s">
        <v>446</v>
      </c>
      <c r="K306" t="s">
        <v>447</v>
      </c>
    </row>
    <row r="307" spans="1:11">
      <c r="A307" t="s">
        <v>754</v>
      </c>
      <c r="B307" t="s">
        <v>336</v>
      </c>
      <c r="C307" t="s">
        <v>337</v>
      </c>
      <c r="D307" t="s">
        <v>466</v>
      </c>
      <c r="E307" t="s">
        <v>431</v>
      </c>
      <c r="F307" s="5">
        <v>45509</v>
      </c>
      <c r="G307">
        <v>1</v>
      </c>
      <c r="H307">
        <v>277</v>
      </c>
      <c r="I307" s="6">
        <v>102968.56811773597</v>
      </c>
      <c r="J307" t="s">
        <v>457</v>
      </c>
      <c r="K307" t="s">
        <v>447</v>
      </c>
    </row>
    <row r="308" spans="1:11">
      <c r="A308" t="s">
        <v>755</v>
      </c>
      <c r="B308" t="s">
        <v>338</v>
      </c>
      <c r="C308" t="s">
        <v>339</v>
      </c>
      <c r="D308" t="s">
        <v>466</v>
      </c>
      <c r="E308" t="s">
        <v>433</v>
      </c>
      <c r="F308" s="5">
        <v>45331</v>
      </c>
      <c r="G308">
        <v>3</v>
      </c>
      <c r="H308">
        <v>225</v>
      </c>
      <c r="I308" s="6">
        <v>215667.90776615412</v>
      </c>
      <c r="J308" t="s">
        <v>457</v>
      </c>
      <c r="K308" t="s">
        <v>447</v>
      </c>
    </row>
    <row r="309" spans="1:11">
      <c r="A309" t="s">
        <v>756</v>
      </c>
      <c r="B309" t="s">
        <v>340</v>
      </c>
      <c r="C309" t="s">
        <v>341</v>
      </c>
      <c r="D309" t="s">
        <v>34</v>
      </c>
      <c r="E309" t="s">
        <v>429</v>
      </c>
      <c r="F309" s="5">
        <v>45705</v>
      </c>
      <c r="G309">
        <v>1</v>
      </c>
      <c r="H309">
        <v>1068</v>
      </c>
      <c r="I309" s="6">
        <v>362514.59337994934</v>
      </c>
      <c r="J309" t="s">
        <v>446</v>
      </c>
      <c r="K309" t="s">
        <v>447</v>
      </c>
    </row>
    <row r="310" spans="1:11">
      <c r="A310" t="s">
        <v>757</v>
      </c>
      <c r="B310" t="s">
        <v>340</v>
      </c>
      <c r="C310" t="s">
        <v>341</v>
      </c>
      <c r="D310" t="s">
        <v>466</v>
      </c>
      <c r="E310" t="s">
        <v>429</v>
      </c>
      <c r="F310" s="5">
        <v>45367</v>
      </c>
      <c r="G310">
        <v>1</v>
      </c>
      <c r="H310">
        <v>627</v>
      </c>
      <c r="I310" s="6">
        <v>411622.14589715138</v>
      </c>
      <c r="J310" t="s">
        <v>446</v>
      </c>
      <c r="K310" t="s">
        <v>447</v>
      </c>
    </row>
    <row r="311" spans="1:11">
      <c r="A311" t="s">
        <v>758</v>
      </c>
      <c r="B311" t="s">
        <v>342</v>
      </c>
      <c r="C311" t="s">
        <v>343</v>
      </c>
      <c r="D311" t="s">
        <v>449</v>
      </c>
      <c r="E311" t="s">
        <v>427</v>
      </c>
      <c r="F311" s="5">
        <v>45371</v>
      </c>
      <c r="G311">
        <v>1</v>
      </c>
      <c r="H311">
        <v>302</v>
      </c>
      <c r="I311" s="6">
        <v>81226.42093251081</v>
      </c>
      <c r="J311" t="s">
        <v>457</v>
      </c>
      <c r="K311" t="s">
        <v>447</v>
      </c>
    </row>
    <row r="312" spans="1:11">
      <c r="A312" t="s">
        <v>759</v>
      </c>
      <c r="B312" t="s">
        <v>342</v>
      </c>
      <c r="C312" t="s">
        <v>343</v>
      </c>
      <c r="D312" t="s">
        <v>466</v>
      </c>
      <c r="E312" t="s">
        <v>433</v>
      </c>
      <c r="F312" s="5">
        <v>45558</v>
      </c>
      <c r="G312">
        <v>3</v>
      </c>
      <c r="H312">
        <v>245</v>
      </c>
      <c r="I312" s="6">
        <v>289536.71702233795</v>
      </c>
      <c r="J312" t="s">
        <v>457</v>
      </c>
      <c r="K312" t="s">
        <v>447</v>
      </c>
    </row>
    <row r="313" spans="1:11">
      <c r="A313" t="s">
        <v>760</v>
      </c>
      <c r="B313" t="s">
        <v>344</v>
      </c>
      <c r="C313" t="s">
        <v>345</v>
      </c>
      <c r="D313" t="s">
        <v>34</v>
      </c>
      <c r="E313" t="s">
        <v>427</v>
      </c>
      <c r="F313" s="5">
        <v>45267</v>
      </c>
      <c r="G313">
        <v>1</v>
      </c>
      <c r="H313">
        <v>180</v>
      </c>
      <c r="I313" s="6">
        <v>112647.75241314089</v>
      </c>
      <c r="J313" t="s">
        <v>455</v>
      </c>
      <c r="K313" t="s">
        <v>447</v>
      </c>
    </row>
    <row r="314" spans="1:11">
      <c r="A314" t="s">
        <v>761</v>
      </c>
      <c r="B314" t="s">
        <v>346</v>
      </c>
      <c r="C314" t="s">
        <v>347</v>
      </c>
      <c r="D314" t="s">
        <v>466</v>
      </c>
      <c r="E314" t="s">
        <v>427</v>
      </c>
      <c r="F314" s="5">
        <v>45336</v>
      </c>
      <c r="G314">
        <v>2</v>
      </c>
      <c r="H314">
        <v>95</v>
      </c>
      <c r="I314" s="6">
        <v>113991.40457276741</v>
      </c>
      <c r="J314" t="s">
        <v>457</v>
      </c>
      <c r="K314" t="s">
        <v>447</v>
      </c>
    </row>
    <row r="315" spans="1:11">
      <c r="A315" t="s">
        <v>762</v>
      </c>
      <c r="B315" t="s">
        <v>346</v>
      </c>
      <c r="C315" t="s">
        <v>347</v>
      </c>
      <c r="D315" t="s">
        <v>466</v>
      </c>
      <c r="E315" t="s">
        <v>431</v>
      </c>
      <c r="F315" s="5">
        <v>45397</v>
      </c>
      <c r="G315">
        <v>3</v>
      </c>
      <c r="H315">
        <v>316</v>
      </c>
      <c r="I315" s="6">
        <v>99655.052793841343</v>
      </c>
      <c r="J315" t="s">
        <v>446</v>
      </c>
      <c r="K315" t="s">
        <v>447</v>
      </c>
    </row>
    <row r="316" spans="1:11">
      <c r="A316" t="s">
        <v>763</v>
      </c>
      <c r="B316" t="s">
        <v>346</v>
      </c>
      <c r="C316" t="s">
        <v>347</v>
      </c>
      <c r="D316" t="s">
        <v>34</v>
      </c>
      <c r="E316" t="s">
        <v>431</v>
      </c>
      <c r="F316" s="5">
        <v>45342</v>
      </c>
      <c r="G316">
        <v>2</v>
      </c>
      <c r="H316">
        <v>156</v>
      </c>
      <c r="I316" s="6">
        <v>109372.24241829402</v>
      </c>
      <c r="J316" t="s">
        <v>457</v>
      </c>
      <c r="K316" t="s">
        <v>447</v>
      </c>
    </row>
    <row r="317" spans="1:11">
      <c r="A317" t="s">
        <v>764</v>
      </c>
      <c r="B317" t="s">
        <v>348</v>
      </c>
      <c r="C317" t="s">
        <v>349</v>
      </c>
      <c r="D317" t="s">
        <v>34</v>
      </c>
      <c r="E317" t="s">
        <v>429</v>
      </c>
      <c r="F317" s="5">
        <v>44896</v>
      </c>
      <c r="G317">
        <v>1</v>
      </c>
      <c r="H317">
        <v>33</v>
      </c>
      <c r="I317" s="6">
        <v>57099.848480252374</v>
      </c>
      <c r="J317" t="s">
        <v>446</v>
      </c>
      <c r="K317" t="s">
        <v>447</v>
      </c>
    </row>
    <row r="318" spans="1:11">
      <c r="A318" t="s">
        <v>765</v>
      </c>
      <c r="B318" t="s">
        <v>348</v>
      </c>
      <c r="C318" t="s">
        <v>349</v>
      </c>
      <c r="D318" t="s">
        <v>445</v>
      </c>
      <c r="E318" t="s">
        <v>433</v>
      </c>
      <c r="F318" s="5">
        <v>45080</v>
      </c>
      <c r="G318">
        <v>1</v>
      </c>
      <c r="H318">
        <v>54</v>
      </c>
      <c r="I318" s="6">
        <v>181015.34117970083</v>
      </c>
      <c r="J318" t="s">
        <v>446</v>
      </c>
      <c r="K318" t="s">
        <v>447</v>
      </c>
    </row>
    <row r="319" spans="1:11">
      <c r="A319" t="s">
        <v>766</v>
      </c>
      <c r="B319" t="s">
        <v>350</v>
      </c>
      <c r="C319" t="s">
        <v>351</v>
      </c>
      <c r="D319" t="s">
        <v>466</v>
      </c>
      <c r="E319" t="s">
        <v>424</v>
      </c>
      <c r="F319" s="5">
        <v>44305</v>
      </c>
      <c r="G319">
        <v>1</v>
      </c>
      <c r="H319">
        <v>226</v>
      </c>
      <c r="I319" s="6">
        <v>46123.158505808911</v>
      </c>
      <c r="J319" t="s">
        <v>455</v>
      </c>
      <c r="K319" t="s">
        <v>447</v>
      </c>
    </row>
    <row r="320" spans="1:11">
      <c r="A320" t="s">
        <v>767</v>
      </c>
      <c r="B320" t="s">
        <v>350</v>
      </c>
      <c r="C320" t="s">
        <v>351</v>
      </c>
      <c r="D320" t="s">
        <v>47</v>
      </c>
      <c r="E320" t="s">
        <v>427</v>
      </c>
      <c r="F320" s="5">
        <v>44607</v>
      </c>
      <c r="G320">
        <v>2</v>
      </c>
      <c r="H320">
        <v>175</v>
      </c>
      <c r="I320" s="6">
        <v>115401.74803954324</v>
      </c>
      <c r="J320" t="s">
        <v>446</v>
      </c>
      <c r="K320" t="s">
        <v>447</v>
      </c>
    </row>
    <row r="321" spans="1:11">
      <c r="A321" t="s">
        <v>768</v>
      </c>
      <c r="B321" t="s">
        <v>352</v>
      </c>
      <c r="C321" t="s">
        <v>353</v>
      </c>
      <c r="D321" t="s">
        <v>475</v>
      </c>
      <c r="E321" t="s">
        <v>427</v>
      </c>
      <c r="F321" s="5">
        <v>45346</v>
      </c>
      <c r="G321">
        <v>3</v>
      </c>
      <c r="H321">
        <v>294</v>
      </c>
      <c r="I321" s="6">
        <v>104415.58683639324</v>
      </c>
      <c r="J321" t="s">
        <v>457</v>
      </c>
      <c r="K321" t="s">
        <v>447</v>
      </c>
    </row>
    <row r="322" spans="1:11">
      <c r="A322" t="s">
        <v>769</v>
      </c>
      <c r="B322" t="s">
        <v>354</v>
      </c>
      <c r="C322" t="s">
        <v>355</v>
      </c>
      <c r="D322" t="s">
        <v>449</v>
      </c>
      <c r="E322" t="s">
        <v>429</v>
      </c>
      <c r="F322" s="5">
        <v>45528</v>
      </c>
      <c r="G322">
        <v>3</v>
      </c>
      <c r="H322">
        <v>39</v>
      </c>
      <c r="I322" s="6">
        <v>63148.629930284136</v>
      </c>
      <c r="J322" t="s">
        <v>457</v>
      </c>
      <c r="K322" t="s">
        <v>447</v>
      </c>
    </row>
    <row r="323" spans="1:11">
      <c r="A323" t="s">
        <v>770</v>
      </c>
      <c r="B323" t="s">
        <v>354</v>
      </c>
      <c r="C323" t="s">
        <v>355</v>
      </c>
      <c r="D323" t="s">
        <v>475</v>
      </c>
      <c r="E323" t="s">
        <v>431</v>
      </c>
      <c r="F323" s="5">
        <v>45348</v>
      </c>
      <c r="G323">
        <v>2</v>
      </c>
      <c r="H323">
        <v>16</v>
      </c>
      <c r="I323" s="6">
        <v>42689.463131533754</v>
      </c>
      <c r="J323" t="s">
        <v>446</v>
      </c>
      <c r="K323" t="s">
        <v>447</v>
      </c>
    </row>
    <row r="324" spans="1:11">
      <c r="A324" t="s">
        <v>771</v>
      </c>
      <c r="B324" t="s">
        <v>354</v>
      </c>
      <c r="C324" t="s">
        <v>355</v>
      </c>
      <c r="D324" t="s">
        <v>449</v>
      </c>
      <c r="E324" t="s">
        <v>431</v>
      </c>
      <c r="F324" s="5">
        <v>45285</v>
      </c>
      <c r="G324">
        <v>2</v>
      </c>
      <c r="H324">
        <v>60</v>
      </c>
      <c r="I324" s="6">
        <v>36749.403252093238</v>
      </c>
      <c r="J324" t="s">
        <v>446</v>
      </c>
      <c r="K324" t="s">
        <v>447</v>
      </c>
    </row>
    <row r="325" spans="1:11">
      <c r="A325" t="s">
        <v>772</v>
      </c>
      <c r="B325" t="s">
        <v>354</v>
      </c>
      <c r="C325" t="s">
        <v>355</v>
      </c>
      <c r="D325" t="s">
        <v>449</v>
      </c>
      <c r="E325" t="s">
        <v>424</v>
      </c>
      <c r="F325" s="5">
        <v>45081</v>
      </c>
      <c r="G325">
        <v>1</v>
      </c>
      <c r="H325">
        <v>65</v>
      </c>
      <c r="I325" s="6">
        <v>24927.422843697947</v>
      </c>
      <c r="J325" t="s">
        <v>446</v>
      </c>
      <c r="K325" t="s">
        <v>447</v>
      </c>
    </row>
    <row r="326" spans="1:11">
      <c r="A326" t="s">
        <v>773</v>
      </c>
      <c r="B326" t="s">
        <v>356</v>
      </c>
      <c r="C326" t="s">
        <v>357</v>
      </c>
      <c r="D326" t="s">
        <v>34</v>
      </c>
      <c r="E326" t="s">
        <v>429</v>
      </c>
      <c r="F326" s="5">
        <v>45254</v>
      </c>
      <c r="G326">
        <v>1</v>
      </c>
      <c r="H326">
        <v>102</v>
      </c>
      <c r="I326" s="6">
        <v>181659.19152912567</v>
      </c>
      <c r="J326" t="s">
        <v>455</v>
      </c>
      <c r="K326" t="s">
        <v>447</v>
      </c>
    </row>
    <row r="327" spans="1:11">
      <c r="A327" t="s">
        <v>774</v>
      </c>
      <c r="B327" t="s">
        <v>356</v>
      </c>
      <c r="C327" t="s">
        <v>357</v>
      </c>
      <c r="D327" t="s">
        <v>449</v>
      </c>
      <c r="E327" t="s">
        <v>433</v>
      </c>
      <c r="F327" s="5">
        <v>45382</v>
      </c>
      <c r="G327">
        <v>3</v>
      </c>
      <c r="H327">
        <v>152</v>
      </c>
      <c r="I327" s="6">
        <v>249905.29875819321</v>
      </c>
      <c r="J327" t="s">
        <v>446</v>
      </c>
      <c r="K327" t="s">
        <v>447</v>
      </c>
    </row>
    <row r="328" spans="1:11">
      <c r="A328" t="s">
        <v>775</v>
      </c>
      <c r="B328" t="s">
        <v>356</v>
      </c>
      <c r="C328" t="s">
        <v>357</v>
      </c>
      <c r="D328" t="s">
        <v>466</v>
      </c>
      <c r="E328" t="s">
        <v>429</v>
      </c>
      <c r="F328" s="5">
        <v>44708</v>
      </c>
      <c r="G328">
        <v>1</v>
      </c>
      <c r="H328">
        <v>290</v>
      </c>
      <c r="I328" s="6">
        <v>161766.71013318608</v>
      </c>
      <c r="J328" t="s">
        <v>455</v>
      </c>
      <c r="K328" t="s">
        <v>447</v>
      </c>
    </row>
    <row r="329" spans="1:11">
      <c r="A329" t="s">
        <v>776</v>
      </c>
      <c r="B329" t="s">
        <v>356</v>
      </c>
      <c r="C329" t="s">
        <v>357</v>
      </c>
      <c r="D329" t="s">
        <v>47</v>
      </c>
      <c r="E329" t="s">
        <v>429</v>
      </c>
      <c r="F329" s="5">
        <v>45740</v>
      </c>
      <c r="G329">
        <v>3</v>
      </c>
      <c r="H329">
        <v>306</v>
      </c>
      <c r="I329" s="6">
        <v>160747.87837651517</v>
      </c>
      <c r="J329" t="s">
        <v>446</v>
      </c>
      <c r="K329" t="s">
        <v>447</v>
      </c>
    </row>
    <row r="330" spans="1:11">
      <c r="A330" t="s">
        <v>777</v>
      </c>
      <c r="B330" t="s">
        <v>358</v>
      </c>
      <c r="C330" t="s">
        <v>359</v>
      </c>
      <c r="D330" t="s">
        <v>445</v>
      </c>
      <c r="E330" t="s">
        <v>424</v>
      </c>
      <c r="F330" s="5">
        <v>45697</v>
      </c>
      <c r="G330">
        <v>1</v>
      </c>
      <c r="H330">
        <v>1419</v>
      </c>
      <c r="I330" s="6">
        <v>126129.29150375143</v>
      </c>
      <c r="J330" t="s">
        <v>457</v>
      </c>
      <c r="K330" t="s">
        <v>447</v>
      </c>
    </row>
    <row r="331" spans="1:11">
      <c r="A331" t="s">
        <v>778</v>
      </c>
      <c r="B331" t="s">
        <v>358</v>
      </c>
      <c r="C331" t="s">
        <v>359</v>
      </c>
      <c r="D331" t="s">
        <v>445</v>
      </c>
      <c r="E331" t="s">
        <v>433</v>
      </c>
      <c r="F331" s="5">
        <v>45550</v>
      </c>
      <c r="G331">
        <v>2</v>
      </c>
      <c r="H331">
        <v>1149</v>
      </c>
      <c r="I331" s="6">
        <v>611592.01583507238</v>
      </c>
      <c r="J331" t="s">
        <v>457</v>
      </c>
      <c r="K331" t="s">
        <v>447</v>
      </c>
    </row>
    <row r="332" spans="1:11">
      <c r="A332" t="s">
        <v>779</v>
      </c>
      <c r="B332" t="s">
        <v>358</v>
      </c>
      <c r="C332" t="s">
        <v>359</v>
      </c>
      <c r="D332" t="s">
        <v>445</v>
      </c>
      <c r="E332" t="s">
        <v>429</v>
      </c>
      <c r="F332" s="5">
        <v>45407</v>
      </c>
      <c r="G332">
        <v>1</v>
      </c>
      <c r="H332">
        <v>1941</v>
      </c>
      <c r="I332" s="6">
        <v>214431.98631329546</v>
      </c>
      <c r="J332" t="s">
        <v>455</v>
      </c>
      <c r="K332" t="s">
        <v>447</v>
      </c>
    </row>
    <row r="333" spans="1:11">
      <c r="A333" t="s">
        <v>780</v>
      </c>
      <c r="B333" t="s">
        <v>358</v>
      </c>
      <c r="C333" t="s">
        <v>359</v>
      </c>
      <c r="D333" t="s">
        <v>475</v>
      </c>
      <c r="E333" t="s">
        <v>427</v>
      </c>
      <c r="F333" s="5">
        <v>45796</v>
      </c>
      <c r="G333">
        <v>3</v>
      </c>
      <c r="H333">
        <v>1339</v>
      </c>
      <c r="I333" s="6">
        <v>136938.93279782895</v>
      </c>
      <c r="J333" t="s">
        <v>446</v>
      </c>
      <c r="K333" t="s">
        <v>447</v>
      </c>
    </row>
    <row r="334" spans="1:11">
      <c r="A334" t="s">
        <v>781</v>
      </c>
      <c r="B334" t="s">
        <v>360</v>
      </c>
      <c r="C334" t="s">
        <v>361</v>
      </c>
      <c r="D334" t="s">
        <v>445</v>
      </c>
      <c r="E334" t="s">
        <v>427</v>
      </c>
      <c r="F334" s="5">
        <v>44740</v>
      </c>
      <c r="G334">
        <v>1</v>
      </c>
      <c r="H334">
        <v>923</v>
      </c>
      <c r="I334" s="6">
        <v>168010.80760560901</v>
      </c>
      <c r="J334" t="s">
        <v>455</v>
      </c>
      <c r="K334" t="s">
        <v>447</v>
      </c>
    </row>
    <row r="335" spans="1:11">
      <c r="A335" t="s">
        <v>782</v>
      </c>
      <c r="B335" t="s">
        <v>360</v>
      </c>
      <c r="C335" t="s">
        <v>361</v>
      </c>
      <c r="D335" t="s">
        <v>47</v>
      </c>
      <c r="E335" t="s">
        <v>424</v>
      </c>
      <c r="F335" s="5">
        <v>45636</v>
      </c>
      <c r="G335">
        <v>1</v>
      </c>
      <c r="H335">
        <v>1099</v>
      </c>
      <c r="I335" s="6">
        <v>81605.491063080437</v>
      </c>
      <c r="J335" t="s">
        <v>446</v>
      </c>
      <c r="K335" t="s">
        <v>447</v>
      </c>
    </row>
    <row r="336" spans="1:11">
      <c r="A336" t="s">
        <v>783</v>
      </c>
      <c r="B336" t="s">
        <v>360</v>
      </c>
      <c r="C336" t="s">
        <v>361</v>
      </c>
      <c r="D336" t="s">
        <v>475</v>
      </c>
      <c r="E336" t="s">
        <v>427</v>
      </c>
      <c r="F336" s="5">
        <v>44740</v>
      </c>
      <c r="G336">
        <v>1</v>
      </c>
      <c r="H336">
        <v>1537</v>
      </c>
      <c r="I336" s="6">
        <v>199202.3461889528</v>
      </c>
      <c r="J336" t="s">
        <v>446</v>
      </c>
      <c r="K336" t="s">
        <v>447</v>
      </c>
    </row>
    <row r="337" spans="1:11">
      <c r="A337" t="s">
        <v>784</v>
      </c>
      <c r="B337" t="s">
        <v>360</v>
      </c>
      <c r="C337" t="s">
        <v>361</v>
      </c>
      <c r="D337" t="s">
        <v>466</v>
      </c>
      <c r="E337" t="s">
        <v>427</v>
      </c>
      <c r="F337" s="5">
        <v>45656</v>
      </c>
      <c r="G337">
        <v>3</v>
      </c>
      <c r="H337">
        <v>1621</v>
      </c>
      <c r="I337" s="6">
        <v>126225.15287221664</v>
      </c>
      <c r="J337" t="s">
        <v>446</v>
      </c>
      <c r="K337" t="s">
        <v>447</v>
      </c>
    </row>
    <row r="338" spans="1:11">
      <c r="A338" t="s">
        <v>785</v>
      </c>
      <c r="B338" t="s">
        <v>362</v>
      </c>
      <c r="C338" t="s">
        <v>363</v>
      </c>
      <c r="D338" t="s">
        <v>475</v>
      </c>
      <c r="E338" t="s">
        <v>433</v>
      </c>
      <c r="F338" s="5">
        <v>45280</v>
      </c>
      <c r="G338">
        <v>3</v>
      </c>
      <c r="H338">
        <v>1868</v>
      </c>
      <c r="I338" s="6">
        <v>1140550.0027539893</v>
      </c>
      <c r="J338" t="s">
        <v>446</v>
      </c>
      <c r="K338" t="s">
        <v>447</v>
      </c>
    </row>
    <row r="339" spans="1:11">
      <c r="A339" t="s">
        <v>786</v>
      </c>
      <c r="B339" t="s">
        <v>362</v>
      </c>
      <c r="C339" t="s">
        <v>363</v>
      </c>
      <c r="D339" t="s">
        <v>445</v>
      </c>
      <c r="E339" t="s">
        <v>427</v>
      </c>
      <c r="F339" s="5">
        <v>45460</v>
      </c>
      <c r="G339">
        <v>3</v>
      </c>
      <c r="H339">
        <v>1159</v>
      </c>
      <c r="I339" s="6">
        <v>344859.46310386568</v>
      </c>
      <c r="J339" t="s">
        <v>446</v>
      </c>
      <c r="K339" t="s">
        <v>447</v>
      </c>
    </row>
    <row r="340" spans="1:11">
      <c r="A340" t="s">
        <v>787</v>
      </c>
      <c r="B340" t="s">
        <v>364</v>
      </c>
      <c r="C340" t="s">
        <v>365</v>
      </c>
      <c r="D340" t="s">
        <v>445</v>
      </c>
      <c r="E340" t="s">
        <v>427</v>
      </c>
      <c r="F340" s="5">
        <v>45178</v>
      </c>
      <c r="G340">
        <v>1</v>
      </c>
      <c r="H340">
        <v>21</v>
      </c>
      <c r="I340" s="6">
        <v>54203.627133467286</v>
      </c>
      <c r="J340" t="s">
        <v>446</v>
      </c>
      <c r="K340" t="s">
        <v>447</v>
      </c>
    </row>
    <row r="341" spans="1:11">
      <c r="A341" t="s">
        <v>788</v>
      </c>
      <c r="B341" t="s">
        <v>366</v>
      </c>
      <c r="C341" t="s">
        <v>367</v>
      </c>
      <c r="D341" t="s">
        <v>466</v>
      </c>
      <c r="E341" t="s">
        <v>433</v>
      </c>
      <c r="F341" s="5">
        <v>45803</v>
      </c>
      <c r="G341">
        <v>2</v>
      </c>
      <c r="H341">
        <v>17</v>
      </c>
      <c r="I341" s="6">
        <v>160347.11683538009</v>
      </c>
      <c r="J341" t="s">
        <v>457</v>
      </c>
      <c r="K341" t="s">
        <v>447</v>
      </c>
    </row>
    <row r="342" spans="1:11">
      <c r="A342" t="s">
        <v>789</v>
      </c>
      <c r="B342" t="s">
        <v>366</v>
      </c>
      <c r="C342" t="s">
        <v>367</v>
      </c>
      <c r="D342" t="s">
        <v>34</v>
      </c>
      <c r="E342" t="s">
        <v>429</v>
      </c>
      <c r="F342" s="5">
        <v>45399</v>
      </c>
      <c r="G342">
        <v>1</v>
      </c>
      <c r="H342">
        <v>36</v>
      </c>
      <c r="I342" s="6">
        <v>76837.857790762384</v>
      </c>
      <c r="J342" t="s">
        <v>457</v>
      </c>
      <c r="K342" t="s">
        <v>447</v>
      </c>
    </row>
    <row r="343" spans="1:11">
      <c r="A343" t="s">
        <v>790</v>
      </c>
      <c r="B343" t="s">
        <v>366</v>
      </c>
      <c r="C343" t="s">
        <v>367</v>
      </c>
      <c r="D343" t="s">
        <v>466</v>
      </c>
      <c r="E343" t="s">
        <v>429</v>
      </c>
      <c r="F343" s="5">
        <v>44571</v>
      </c>
      <c r="G343">
        <v>1</v>
      </c>
      <c r="H343">
        <v>62</v>
      </c>
      <c r="I343" s="6">
        <v>82424.866995930293</v>
      </c>
      <c r="J343" t="s">
        <v>455</v>
      </c>
      <c r="K343" t="s">
        <v>447</v>
      </c>
    </row>
    <row r="344" spans="1:11">
      <c r="A344" t="s">
        <v>791</v>
      </c>
      <c r="B344" t="s">
        <v>368</v>
      </c>
      <c r="C344" t="s">
        <v>369</v>
      </c>
      <c r="D344" t="s">
        <v>449</v>
      </c>
      <c r="E344" t="s">
        <v>431</v>
      </c>
      <c r="F344" s="5">
        <v>45570</v>
      </c>
      <c r="G344">
        <v>1</v>
      </c>
      <c r="H344">
        <v>273</v>
      </c>
      <c r="I344" s="6">
        <v>57487.314366153463</v>
      </c>
      <c r="J344" t="s">
        <v>446</v>
      </c>
      <c r="K344" t="s">
        <v>447</v>
      </c>
    </row>
    <row r="345" spans="1:11">
      <c r="A345" t="s">
        <v>792</v>
      </c>
      <c r="B345" t="s">
        <v>370</v>
      </c>
      <c r="C345" t="s">
        <v>371</v>
      </c>
      <c r="D345" t="s">
        <v>475</v>
      </c>
      <c r="E345" t="s">
        <v>433</v>
      </c>
      <c r="F345" s="5">
        <v>45413</v>
      </c>
      <c r="G345">
        <v>1</v>
      </c>
      <c r="H345">
        <v>133</v>
      </c>
      <c r="I345" s="6">
        <v>302328.40742659004</v>
      </c>
      <c r="J345" t="s">
        <v>457</v>
      </c>
      <c r="K345" t="s">
        <v>447</v>
      </c>
    </row>
    <row r="346" spans="1:11">
      <c r="A346" t="s">
        <v>793</v>
      </c>
      <c r="B346" t="s">
        <v>370</v>
      </c>
      <c r="C346" t="s">
        <v>371</v>
      </c>
      <c r="D346" t="s">
        <v>47</v>
      </c>
      <c r="E346" t="s">
        <v>433</v>
      </c>
      <c r="F346" s="5">
        <v>45322</v>
      </c>
      <c r="G346">
        <v>3</v>
      </c>
      <c r="H346">
        <v>301</v>
      </c>
      <c r="I346" s="6">
        <v>311439.81005342468</v>
      </c>
      <c r="J346" t="s">
        <v>446</v>
      </c>
      <c r="K346" t="s">
        <v>447</v>
      </c>
    </row>
    <row r="347" spans="1:11">
      <c r="A347" t="s">
        <v>794</v>
      </c>
      <c r="B347" t="s">
        <v>372</v>
      </c>
      <c r="C347" t="s">
        <v>373</v>
      </c>
      <c r="D347" t="s">
        <v>47</v>
      </c>
      <c r="E347" t="s">
        <v>431</v>
      </c>
      <c r="F347" s="5">
        <v>45466</v>
      </c>
      <c r="G347">
        <v>1</v>
      </c>
      <c r="H347">
        <v>342</v>
      </c>
      <c r="I347" s="6">
        <v>87757.680098929341</v>
      </c>
      <c r="J347" t="s">
        <v>446</v>
      </c>
      <c r="K347" t="s">
        <v>447</v>
      </c>
    </row>
    <row r="348" spans="1:11">
      <c r="A348" t="s">
        <v>795</v>
      </c>
      <c r="B348" t="s">
        <v>372</v>
      </c>
      <c r="C348" t="s">
        <v>373</v>
      </c>
      <c r="D348" t="s">
        <v>445</v>
      </c>
      <c r="E348" t="s">
        <v>433</v>
      </c>
      <c r="F348" s="5">
        <v>45414</v>
      </c>
      <c r="G348">
        <v>1</v>
      </c>
      <c r="H348">
        <v>73</v>
      </c>
      <c r="I348" s="6">
        <v>326438.20394359087</v>
      </c>
      <c r="J348" t="s">
        <v>457</v>
      </c>
      <c r="K348" t="s">
        <v>447</v>
      </c>
    </row>
    <row r="349" spans="1:11">
      <c r="A349" t="s">
        <v>796</v>
      </c>
      <c r="B349" t="s">
        <v>372</v>
      </c>
      <c r="C349" t="s">
        <v>373</v>
      </c>
      <c r="D349" t="s">
        <v>475</v>
      </c>
      <c r="E349" t="s">
        <v>433</v>
      </c>
      <c r="F349" s="5">
        <v>44761</v>
      </c>
      <c r="G349">
        <v>1</v>
      </c>
      <c r="H349">
        <v>334</v>
      </c>
      <c r="I349" s="6">
        <v>205940.62594896802</v>
      </c>
      <c r="J349" t="s">
        <v>446</v>
      </c>
      <c r="K349" t="s">
        <v>447</v>
      </c>
    </row>
    <row r="350" spans="1:11">
      <c r="A350" t="s">
        <v>797</v>
      </c>
      <c r="B350" t="s">
        <v>374</v>
      </c>
      <c r="C350" t="s">
        <v>375</v>
      </c>
      <c r="D350" t="s">
        <v>466</v>
      </c>
      <c r="E350" t="s">
        <v>431</v>
      </c>
      <c r="F350" s="5">
        <v>45607</v>
      </c>
      <c r="G350">
        <v>1</v>
      </c>
      <c r="H350">
        <v>111</v>
      </c>
      <c r="I350" s="6">
        <v>89240.544063169131</v>
      </c>
      <c r="J350" t="s">
        <v>457</v>
      </c>
      <c r="K350" t="s">
        <v>447</v>
      </c>
    </row>
    <row r="351" spans="1:11">
      <c r="A351" t="s">
        <v>798</v>
      </c>
      <c r="B351" t="s">
        <v>374</v>
      </c>
      <c r="C351" t="s">
        <v>375</v>
      </c>
      <c r="D351" t="s">
        <v>475</v>
      </c>
      <c r="E351" t="s">
        <v>427</v>
      </c>
      <c r="F351" s="5">
        <v>44278</v>
      </c>
      <c r="G351">
        <v>1</v>
      </c>
      <c r="H351">
        <v>262</v>
      </c>
      <c r="I351" s="6">
        <v>97540.762308421225</v>
      </c>
      <c r="J351" t="s">
        <v>455</v>
      </c>
      <c r="K351" t="s">
        <v>447</v>
      </c>
    </row>
    <row r="352" spans="1:11">
      <c r="A352" t="s">
        <v>799</v>
      </c>
      <c r="B352" t="s">
        <v>374</v>
      </c>
      <c r="C352" t="s">
        <v>375</v>
      </c>
      <c r="D352" t="s">
        <v>47</v>
      </c>
      <c r="E352" t="s">
        <v>427</v>
      </c>
      <c r="F352" s="5">
        <v>45658</v>
      </c>
      <c r="G352">
        <v>1</v>
      </c>
      <c r="H352">
        <v>83</v>
      </c>
      <c r="I352" s="6">
        <v>63417.625540595138</v>
      </c>
      <c r="J352" t="s">
        <v>457</v>
      </c>
      <c r="K352" t="s">
        <v>447</v>
      </c>
    </row>
    <row r="353" spans="1:11">
      <c r="A353" t="s">
        <v>800</v>
      </c>
      <c r="B353" t="s">
        <v>374</v>
      </c>
      <c r="C353" t="s">
        <v>375</v>
      </c>
      <c r="D353" t="s">
        <v>466</v>
      </c>
      <c r="E353" t="s">
        <v>427</v>
      </c>
      <c r="F353" s="5">
        <v>45250</v>
      </c>
      <c r="G353">
        <v>1</v>
      </c>
      <c r="H353">
        <v>290</v>
      </c>
      <c r="I353" s="6">
        <v>75923.153051125846</v>
      </c>
      <c r="J353" t="s">
        <v>446</v>
      </c>
      <c r="K353" t="s">
        <v>447</v>
      </c>
    </row>
    <row r="354" spans="1:11">
      <c r="A354" t="s">
        <v>801</v>
      </c>
      <c r="B354" t="s">
        <v>376</v>
      </c>
      <c r="C354" t="s">
        <v>377</v>
      </c>
      <c r="D354" t="s">
        <v>34</v>
      </c>
      <c r="E354" t="s">
        <v>433</v>
      </c>
      <c r="F354" s="5">
        <v>44974</v>
      </c>
      <c r="G354">
        <v>3</v>
      </c>
      <c r="H354">
        <v>295</v>
      </c>
      <c r="I354" s="6">
        <v>353871.57620183798</v>
      </c>
      <c r="J354" t="s">
        <v>446</v>
      </c>
      <c r="K354" t="s">
        <v>447</v>
      </c>
    </row>
    <row r="355" spans="1:11">
      <c r="A355" t="s">
        <v>802</v>
      </c>
      <c r="B355" t="s">
        <v>376</v>
      </c>
      <c r="C355" t="s">
        <v>377</v>
      </c>
      <c r="D355" t="s">
        <v>466</v>
      </c>
      <c r="E355" t="s">
        <v>429</v>
      </c>
      <c r="F355" s="5">
        <v>45273</v>
      </c>
      <c r="G355">
        <v>2</v>
      </c>
      <c r="H355">
        <v>231</v>
      </c>
      <c r="I355" s="6">
        <v>141609.56661418409</v>
      </c>
      <c r="J355" t="s">
        <v>455</v>
      </c>
      <c r="K355" t="s">
        <v>447</v>
      </c>
    </row>
    <row r="356" spans="1:11">
      <c r="A356" t="s">
        <v>803</v>
      </c>
      <c r="B356" t="s">
        <v>376</v>
      </c>
      <c r="C356" t="s">
        <v>377</v>
      </c>
      <c r="D356" t="s">
        <v>47</v>
      </c>
      <c r="E356" t="s">
        <v>431</v>
      </c>
      <c r="F356" s="5">
        <v>44230</v>
      </c>
      <c r="G356">
        <v>2</v>
      </c>
      <c r="H356">
        <v>323</v>
      </c>
      <c r="I356" s="6">
        <v>107828.03207712976</v>
      </c>
      <c r="J356" t="s">
        <v>455</v>
      </c>
      <c r="K356" t="s">
        <v>447</v>
      </c>
    </row>
    <row r="357" spans="1:11">
      <c r="A357" t="s">
        <v>804</v>
      </c>
      <c r="B357" t="s">
        <v>378</v>
      </c>
      <c r="C357" t="s">
        <v>379</v>
      </c>
      <c r="D357" t="s">
        <v>475</v>
      </c>
      <c r="E357" t="s">
        <v>429</v>
      </c>
      <c r="F357" s="5">
        <v>45438</v>
      </c>
      <c r="G357">
        <v>1</v>
      </c>
      <c r="H357">
        <v>62</v>
      </c>
      <c r="I357" s="6">
        <v>88831.305585782829</v>
      </c>
      <c r="J357" t="s">
        <v>446</v>
      </c>
      <c r="K357" t="s">
        <v>447</v>
      </c>
    </row>
    <row r="358" spans="1:11">
      <c r="A358" t="s">
        <v>805</v>
      </c>
      <c r="B358" t="s">
        <v>378</v>
      </c>
      <c r="C358" t="s">
        <v>379</v>
      </c>
      <c r="D358" t="s">
        <v>449</v>
      </c>
      <c r="E358" t="s">
        <v>427</v>
      </c>
      <c r="F358" s="5">
        <v>45393</v>
      </c>
      <c r="G358">
        <v>3</v>
      </c>
      <c r="H358">
        <v>18</v>
      </c>
      <c r="I358" s="6">
        <v>47990.781827853796</v>
      </c>
      <c r="J358" t="s">
        <v>457</v>
      </c>
      <c r="K358" t="s">
        <v>447</v>
      </c>
    </row>
    <row r="359" spans="1:11">
      <c r="A359" t="s">
        <v>806</v>
      </c>
      <c r="B359" t="s">
        <v>378</v>
      </c>
      <c r="C359" t="s">
        <v>379</v>
      </c>
      <c r="D359" t="s">
        <v>34</v>
      </c>
      <c r="E359" t="s">
        <v>429</v>
      </c>
      <c r="F359" s="5">
        <v>45261</v>
      </c>
      <c r="G359">
        <v>1</v>
      </c>
      <c r="H359">
        <v>18</v>
      </c>
      <c r="I359" s="6">
        <v>68218.512329444988</v>
      </c>
      <c r="J359" t="s">
        <v>455</v>
      </c>
      <c r="K359" t="s">
        <v>447</v>
      </c>
    </row>
    <row r="360" spans="1:11">
      <c r="A360" t="s">
        <v>807</v>
      </c>
      <c r="B360" t="s">
        <v>380</v>
      </c>
      <c r="C360" t="s">
        <v>381</v>
      </c>
      <c r="D360" t="s">
        <v>449</v>
      </c>
      <c r="E360" t="s">
        <v>429</v>
      </c>
      <c r="F360" s="5">
        <v>44575</v>
      </c>
      <c r="G360">
        <v>1</v>
      </c>
      <c r="H360">
        <v>40</v>
      </c>
      <c r="I360" s="6">
        <v>71536.54384375432</v>
      </c>
      <c r="J360" t="s">
        <v>455</v>
      </c>
      <c r="K360" t="s">
        <v>447</v>
      </c>
    </row>
    <row r="361" spans="1:11">
      <c r="A361" t="s">
        <v>808</v>
      </c>
      <c r="B361" t="s">
        <v>380</v>
      </c>
      <c r="C361" t="s">
        <v>381</v>
      </c>
      <c r="D361" t="s">
        <v>445</v>
      </c>
      <c r="E361" t="s">
        <v>429</v>
      </c>
      <c r="F361" s="5">
        <v>44931</v>
      </c>
      <c r="G361">
        <v>3</v>
      </c>
      <c r="H361">
        <v>72</v>
      </c>
      <c r="I361" s="6">
        <v>89028.347476807292</v>
      </c>
      <c r="J361" t="s">
        <v>446</v>
      </c>
      <c r="K361" t="s">
        <v>447</v>
      </c>
    </row>
    <row r="362" spans="1:11">
      <c r="A362" t="s">
        <v>809</v>
      </c>
      <c r="B362" t="s">
        <v>380</v>
      </c>
      <c r="C362" t="s">
        <v>381</v>
      </c>
      <c r="D362" t="s">
        <v>47</v>
      </c>
      <c r="E362" t="s">
        <v>424</v>
      </c>
      <c r="F362" s="5">
        <v>44723</v>
      </c>
      <c r="G362">
        <v>1</v>
      </c>
      <c r="H362">
        <v>36</v>
      </c>
      <c r="I362" s="6">
        <v>30367.027950099895</v>
      </c>
      <c r="J362" t="s">
        <v>455</v>
      </c>
      <c r="K362" t="s">
        <v>447</v>
      </c>
    </row>
    <row r="363" spans="1:11">
      <c r="A363" t="s">
        <v>810</v>
      </c>
      <c r="B363" t="s">
        <v>382</v>
      </c>
      <c r="C363" t="s">
        <v>383</v>
      </c>
      <c r="D363" t="s">
        <v>47</v>
      </c>
      <c r="E363" t="s">
        <v>427</v>
      </c>
      <c r="F363" s="5">
        <v>45488</v>
      </c>
      <c r="G363">
        <v>2</v>
      </c>
      <c r="H363">
        <v>1936</v>
      </c>
      <c r="I363" s="6">
        <v>234941.19027556555</v>
      </c>
      <c r="J363" t="s">
        <v>446</v>
      </c>
      <c r="K363" t="s">
        <v>447</v>
      </c>
    </row>
    <row r="364" spans="1:11">
      <c r="A364" t="s">
        <v>811</v>
      </c>
      <c r="B364" t="s">
        <v>382</v>
      </c>
      <c r="C364" t="s">
        <v>383</v>
      </c>
      <c r="D364" t="s">
        <v>34</v>
      </c>
      <c r="E364" t="s">
        <v>429</v>
      </c>
      <c r="F364" s="5">
        <v>44838</v>
      </c>
      <c r="G364">
        <v>1</v>
      </c>
      <c r="H364">
        <v>1528</v>
      </c>
      <c r="I364" s="6">
        <v>200966.53087116464</v>
      </c>
      <c r="J364" t="s">
        <v>446</v>
      </c>
      <c r="K364" t="s">
        <v>447</v>
      </c>
    </row>
    <row r="365" spans="1:11">
      <c r="A365" t="s">
        <v>812</v>
      </c>
      <c r="B365" t="s">
        <v>382</v>
      </c>
      <c r="C365" t="s">
        <v>383</v>
      </c>
      <c r="D365" t="s">
        <v>47</v>
      </c>
      <c r="E365" t="s">
        <v>429</v>
      </c>
      <c r="F365" s="5">
        <v>44272</v>
      </c>
      <c r="G365">
        <v>3</v>
      </c>
      <c r="H365">
        <v>929</v>
      </c>
      <c r="I365" s="6">
        <v>341001.18106788542</v>
      </c>
      <c r="J365" t="s">
        <v>455</v>
      </c>
      <c r="K365" t="s">
        <v>447</v>
      </c>
    </row>
    <row r="366" spans="1:11">
      <c r="A366" t="s">
        <v>813</v>
      </c>
      <c r="B366" t="s">
        <v>384</v>
      </c>
      <c r="C366" t="s">
        <v>385</v>
      </c>
      <c r="D366" t="s">
        <v>466</v>
      </c>
      <c r="E366" t="s">
        <v>429</v>
      </c>
      <c r="F366" s="5">
        <v>45654</v>
      </c>
      <c r="G366">
        <v>1</v>
      </c>
      <c r="H366">
        <v>230</v>
      </c>
      <c r="I366" s="6">
        <v>108957.44636707006</v>
      </c>
      <c r="J366" t="s">
        <v>446</v>
      </c>
      <c r="K366" t="s">
        <v>447</v>
      </c>
    </row>
    <row r="367" spans="1:11">
      <c r="A367" t="s">
        <v>814</v>
      </c>
      <c r="B367" t="s">
        <v>384</v>
      </c>
      <c r="C367" t="s">
        <v>385</v>
      </c>
      <c r="D367" t="s">
        <v>449</v>
      </c>
      <c r="E367" t="s">
        <v>424</v>
      </c>
      <c r="F367" s="5">
        <v>45347</v>
      </c>
      <c r="G367">
        <v>1</v>
      </c>
      <c r="H367">
        <v>142</v>
      </c>
      <c r="I367" s="6">
        <v>63598.126213288066</v>
      </c>
      <c r="J367" t="s">
        <v>446</v>
      </c>
      <c r="K367" t="s">
        <v>447</v>
      </c>
    </row>
    <row r="368" spans="1:11">
      <c r="A368" t="s">
        <v>815</v>
      </c>
      <c r="B368" t="s">
        <v>384</v>
      </c>
      <c r="C368" t="s">
        <v>385</v>
      </c>
      <c r="D368" t="s">
        <v>34</v>
      </c>
      <c r="E368" t="s">
        <v>433</v>
      </c>
      <c r="F368" s="5">
        <v>45305</v>
      </c>
      <c r="G368">
        <v>1</v>
      </c>
      <c r="H368">
        <v>154</v>
      </c>
      <c r="I368" s="6">
        <v>285260.15542836662</v>
      </c>
      <c r="J368" t="s">
        <v>446</v>
      </c>
      <c r="K368" t="s">
        <v>447</v>
      </c>
    </row>
    <row r="369" spans="1:11">
      <c r="A369" t="s">
        <v>816</v>
      </c>
      <c r="B369" t="s">
        <v>386</v>
      </c>
      <c r="C369" t="s">
        <v>387</v>
      </c>
      <c r="D369" t="s">
        <v>47</v>
      </c>
      <c r="E369" t="s">
        <v>433</v>
      </c>
      <c r="F369" s="5">
        <v>45313</v>
      </c>
      <c r="G369">
        <v>3</v>
      </c>
      <c r="H369">
        <v>1090</v>
      </c>
      <c r="I369" s="6">
        <v>733107.86877782457</v>
      </c>
      <c r="J369" t="s">
        <v>457</v>
      </c>
      <c r="K369" t="s">
        <v>447</v>
      </c>
    </row>
    <row r="370" spans="1:11">
      <c r="A370" t="s">
        <v>817</v>
      </c>
      <c r="B370" t="s">
        <v>386</v>
      </c>
      <c r="C370" t="s">
        <v>387</v>
      </c>
      <c r="D370" t="s">
        <v>34</v>
      </c>
      <c r="E370" t="s">
        <v>431</v>
      </c>
      <c r="F370" s="5">
        <v>45743</v>
      </c>
      <c r="G370">
        <v>2</v>
      </c>
      <c r="H370">
        <v>1858</v>
      </c>
      <c r="I370" s="6">
        <v>317643.28108914045</v>
      </c>
      <c r="J370" t="s">
        <v>446</v>
      </c>
      <c r="K370" t="s">
        <v>447</v>
      </c>
    </row>
    <row r="371" spans="1:11">
      <c r="A371" t="s">
        <v>818</v>
      </c>
      <c r="B371" t="s">
        <v>386</v>
      </c>
      <c r="C371" t="s">
        <v>387</v>
      </c>
      <c r="D371" t="s">
        <v>449</v>
      </c>
      <c r="E371" t="s">
        <v>424</v>
      </c>
      <c r="F371" s="5">
        <v>45547</v>
      </c>
      <c r="G371">
        <v>2</v>
      </c>
      <c r="H371">
        <v>906</v>
      </c>
      <c r="I371" s="6">
        <v>164644.60112234112</v>
      </c>
      <c r="J371" t="s">
        <v>446</v>
      </c>
      <c r="K371" t="s">
        <v>447</v>
      </c>
    </row>
    <row r="372" spans="1:11">
      <c r="A372" t="s">
        <v>819</v>
      </c>
      <c r="B372" t="s">
        <v>388</v>
      </c>
      <c r="C372" t="s">
        <v>389</v>
      </c>
      <c r="D372" t="s">
        <v>449</v>
      </c>
      <c r="E372" t="s">
        <v>427</v>
      </c>
      <c r="F372" s="5">
        <v>45335</v>
      </c>
      <c r="G372">
        <v>3</v>
      </c>
      <c r="H372">
        <v>249</v>
      </c>
      <c r="I372" s="6">
        <v>99085.081457913198</v>
      </c>
      <c r="J372" t="s">
        <v>446</v>
      </c>
      <c r="K372" t="s">
        <v>447</v>
      </c>
    </row>
    <row r="373" spans="1:11">
      <c r="A373" t="s">
        <v>820</v>
      </c>
      <c r="B373" t="s">
        <v>388</v>
      </c>
      <c r="C373" t="s">
        <v>389</v>
      </c>
      <c r="D373" t="s">
        <v>475</v>
      </c>
      <c r="E373" t="s">
        <v>431</v>
      </c>
      <c r="F373" s="5">
        <v>44635</v>
      </c>
      <c r="G373">
        <v>1</v>
      </c>
      <c r="H373">
        <v>60</v>
      </c>
      <c r="I373" s="6">
        <v>57311.478814035989</v>
      </c>
      <c r="J373" t="s">
        <v>446</v>
      </c>
      <c r="K373" t="s">
        <v>447</v>
      </c>
    </row>
    <row r="374" spans="1:11">
      <c r="A374" t="s">
        <v>821</v>
      </c>
      <c r="B374" t="s">
        <v>388</v>
      </c>
      <c r="C374" t="s">
        <v>389</v>
      </c>
      <c r="D374" t="s">
        <v>34</v>
      </c>
      <c r="E374" t="s">
        <v>433</v>
      </c>
      <c r="F374" s="5">
        <v>44934</v>
      </c>
      <c r="G374">
        <v>1</v>
      </c>
      <c r="H374">
        <v>116</v>
      </c>
      <c r="I374" s="6">
        <v>337701.27803628193</v>
      </c>
      <c r="J374" t="s">
        <v>455</v>
      </c>
      <c r="K374" t="s">
        <v>447</v>
      </c>
    </row>
    <row r="375" spans="1:11">
      <c r="A375" t="s">
        <v>822</v>
      </c>
      <c r="B375" t="s">
        <v>390</v>
      </c>
      <c r="C375" t="s">
        <v>391</v>
      </c>
      <c r="D375" t="s">
        <v>449</v>
      </c>
      <c r="E375" t="s">
        <v>431</v>
      </c>
      <c r="F375" s="5">
        <v>44950</v>
      </c>
      <c r="G375">
        <v>1</v>
      </c>
      <c r="H375">
        <v>101</v>
      </c>
      <c r="I375" s="6">
        <v>94822.415309024684</v>
      </c>
      <c r="J375" t="s">
        <v>446</v>
      </c>
      <c r="K375" t="s">
        <v>447</v>
      </c>
    </row>
    <row r="376" spans="1:11">
      <c r="A376" t="s">
        <v>823</v>
      </c>
      <c r="B376" t="s">
        <v>390</v>
      </c>
      <c r="C376" t="s">
        <v>391</v>
      </c>
      <c r="D376" t="s">
        <v>449</v>
      </c>
      <c r="E376" t="s">
        <v>433</v>
      </c>
      <c r="F376" s="5">
        <v>45528</v>
      </c>
      <c r="G376">
        <v>3</v>
      </c>
      <c r="H376">
        <v>264</v>
      </c>
      <c r="I376" s="6">
        <v>341544.15854768449</v>
      </c>
      <c r="J376" t="s">
        <v>446</v>
      </c>
      <c r="K376" t="s">
        <v>447</v>
      </c>
    </row>
    <row r="377" spans="1:11">
      <c r="A377" t="s">
        <v>824</v>
      </c>
      <c r="B377" t="s">
        <v>392</v>
      </c>
      <c r="C377" t="s">
        <v>393</v>
      </c>
      <c r="D377" t="s">
        <v>475</v>
      </c>
      <c r="E377" t="s">
        <v>427</v>
      </c>
      <c r="F377" s="5">
        <v>45320</v>
      </c>
      <c r="G377">
        <v>3</v>
      </c>
      <c r="H377">
        <v>61</v>
      </c>
      <c r="I377" s="6">
        <v>47970.656356019899</v>
      </c>
      <c r="J377" t="s">
        <v>457</v>
      </c>
      <c r="K377" t="s">
        <v>447</v>
      </c>
    </row>
    <row r="378" spans="1:11">
      <c r="A378" t="s">
        <v>825</v>
      </c>
      <c r="B378" t="s">
        <v>392</v>
      </c>
      <c r="C378" t="s">
        <v>393</v>
      </c>
      <c r="D378" t="s">
        <v>34</v>
      </c>
      <c r="E378" t="s">
        <v>427</v>
      </c>
      <c r="F378" s="5">
        <v>45353</v>
      </c>
      <c r="G378">
        <v>1</v>
      </c>
      <c r="H378">
        <v>60</v>
      </c>
      <c r="I378" s="6">
        <v>50516.699331874981</v>
      </c>
      <c r="J378" t="s">
        <v>446</v>
      </c>
      <c r="K378" t="s">
        <v>447</v>
      </c>
    </row>
    <row r="379" spans="1:11">
      <c r="A379" t="s">
        <v>826</v>
      </c>
      <c r="B379" t="s">
        <v>394</v>
      </c>
      <c r="C379" t="s">
        <v>395</v>
      </c>
      <c r="D379" t="s">
        <v>34</v>
      </c>
      <c r="E379" t="s">
        <v>427</v>
      </c>
      <c r="F379" s="5">
        <v>45735</v>
      </c>
      <c r="G379">
        <v>1</v>
      </c>
      <c r="H379">
        <v>436</v>
      </c>
      <c r="I379" s="6">
        <v>135209.28333829989</v>
      </c>
      <c r="J379" t="s">
        <v>446</v>
      </c>
      <c r="K379" t="s">
        <v>447</v>
      </c>
    </row>
    <row r="380" spans="1:11">
      <c r="A380" t="s">
        <v>827</v>
      </c>
      <c r="B380" t="s">
        <v>394</v>
      </c>
      <c r="C380" t="s">
        <v>395</v>
      </c>
      <c r="D380" t="s">
        <v>449</v>
      </c>
      <c r="E380" t="s">
        <v>427</v>
      </c>
      <c r="F380" s="5">
        <v>45437</v>
      </c>
      <c r="G380">
        <v>1</v>
      </c>
      <c r="H380">
        <v>1727</v>
      </c>
      <c r="I380" s="6">
        <v>342671.15282458189</v>
      </c>
      <c r="J380" t="s">
        <v>446</v>
      </c>
      <c r="K380" t="s">
        <v>447</v>
      </c>
    </row>
    <row r="381" spans="1:11">
      <c r="A381" t="s">
        <v>828</v>
      </c>
      <c r="B381" t="s">
        <v>394</v>
      </c>
      <c r="C381" t="s">
        <v>395</v>
      </c>
      <c r="D381" t="s">
        <v>466</v>
      </c>
      <c r="E381" t="s">
        <v>429</v>
      </c>
      <c r="F381" s="5">
        <v>45486</v>
      </c>
      <c r="G381">
        <v>1</v>
      </c>
      <c r="H381">
        <v>1839</v>
      </c>
      <c r="I381" s="6">
        <v>544252.89785814658</v>
      </c>
      <c r="J381" t="s">
        <v>446</v>
      </c>
      <c r="K381" t="s">
        <v>447</v>
      </c>
    </row>
    <row r="382" spans="1:11">
      <c r="A382" t="s">
        <v>829</v>
      </c>
      <c r="B382" t="s">
        <v>396</v>
      </c>
      <c r="C382" t="s">
        <v>397</v>
      </c>
      <c r="D382" t="s">
        <v>466</v>
      </c>
      <c r="E382" t="s">
        <v>427</v>
      </c>
      <c r="F382" s="5">
        <v>45825</v>
      </c>
      <c r="G382">
        <v>1</v>
      </c>
      <c r="H382">
        <v>220</v>
      </c>
      <c r="I382" s="6">
        <v>131366.83531693221</v>
      </c>
      <c r="J382" t="s">
        <v>457</v>
      </c>
      <c r="K382" t="s">
        <v>447</v>
      </c>
    </row>
    <row r="383" spans="1:11">
      <c r="A383" t="s">
        <v>830</v>
      </c>
      <c r="B383" t="s">
        <v>398</v>
      </c>
      <c r="C383" t="s">
        <v>399</v>
      </c>
      <c r="D383" t="s">
        <v>34</v>
      </c>
      <c r="E383" t="s">
        <v>433</v>
      </c>
      <c r="F383" s="5">
        <v>45106</v>
      </c>
      <c r="G383">
        <v>3</v>
      </c>
      <c r="H383">
        <v>34</v>
      </c>
      <c r="I383" s="6">
        <v>133839.05499240043</v>
      </c>
      <c r="J383" t="s">
        <v>446</v>
      </c>
      <c r="K383" t="s">
        <v>447</v>
      </c>
    </row>
    <row r="384" spans="1:11">
      <c r="A384" t="s">
        <v>831</v>
      </c>
      <c r="B384" t="s">
        <v>398</v>
      </c>
      <c r="C384" t="s">
        <v>399</v>
      </c>
      <c r="D384" t="s">
        <v>34</v>
      </c>
      <c r="E384" t="s">
        <v>427</v>
      </c>
      <c r="F384" s="5">
        <v>45253</v>
      </c>
      <c r="G384">
        <v>1</v>
      </c>
      <c r="H384">
        <v>64</v>
      </c>
      <c r="I384" s="6">
        <v>46089.709948730066</v>
      </c>
      <c r="J384" t="s">
        <v>455</v>
      </c>
      <c r="K384" t="s">
        <v>447</v>
      </c>
    </row>
    <row r="385" spans="1:11">
      <c r="A385" t="s">
        <v>832</v>
      </c>
      <c r="B385" t="s">
        <v>398</v>
      </c>
      <c r="C385" t="s">
        <v>399</v>
      </c>
      <c r="D385" t="s">
        <v>466</v>
      </c>
      <c r="E385" t="s">
        <v>429</v>
      </c>
      <c r="F385" s="5">
        <v>45798</v>
      </c>
      <c r="G385">
        <v>1</v>
      </c>
      <c r="H385">
        <v>78</v>
      </c>
      <c r="I385" s="6">
        <v>59547.136322525272</v>
      </c>
      <c r="J385" t="s">
        <v>446</v>
      </c>
      <c r="K385" t="s">
        <v>447</v>
      </c>
    </row>
    <row r="386" spans="1:11">
      <c r="A386" t="s">
        <v>833</v>
      </c>
      <c r="B386" t="s">
        <v>400</v>
      </c>
      <c r="C386" t="s">
        <v>401</v>
      </c>
      <c r="D386" t="s">
        <v>47</v>
      </c>
      <c r="E386" t="s">
        <v>433</v>
      </c>
      <c r="F386" s="5">
        <v>45748</v>
      </c>
      <c r="G386">
        <v>3</v>
      </c>
      <c r="H386">
        <v>296</v>
      </c>
      <c r="I386" s="6">
        <v>327620.09483944299</v>
      </c>
      <c r="J386" t="s">
        <v>457</v>
      </c>
      <c r="K386" t="s">
        <v>447</v>
      </c>
    </row>
    <row r="387" spans="1:11">
      <c r="A387" t="s">
        <v>834</v>
      </c>
      <c r="B387" t="s">
        <v>400</v>
      </c>
      <c r="C387" t="s">
        <v>401</v>
      </c>
      <c r="D387" t="s">
        <v>449</v>
      </c>
      <c r="E387" t="s">
        <v>433</v>
      </c>
      <c r="F387" s="5">
        <v>45526</v>
      </c>
      <c r="G387">
        <v>3</v>
      </c>
      <c r="H387">
        <v>334</v>
      </c>
      <c r="I387" s="6">
        <v>229178.93221824063</v>
      </c>
      <c r="J387" t="s">
        <v>457</v>
      </c>
      <c r="K387" t="s">
        <v>447</v>
      </c>
    </row>
    <row r="388" spans="1:11">
      <c r="A388" t="s">
        <v>835</v>
      </c>
      <c r="B388" t="s">
        <v>402</v>
      </c>
      <c r="C388" t="s">
        <v>403</v>
      </c>
      <c r="D388" t="s">
        <v>34</v>
      </c>
      <c r="E388" t="s">
        <v>429</v>
      </c>
      <c r="F388" s="5">
        <v>45053</v>
      </c>
      <c r="G388">
        <v>3</v>
      </c>
      <c r="H388">
        <v>329</v>
      </c>
      <c r="I388" s="6">
        <v>141855.13834669319</v>
      </c>
      <c r="J388" t="s">
        <v>446</v>
      </c>
      <c r="K388" t="s">
        <v>447</v>
      </c>
    </row>
    <row r="389" spans="1:11">
      <c r="A389" t="s">
        <v>836</v>
      </c>
      <c r="B389" t="s">
        <v>402</v>
      </c>
      <c r="C389" t="s">
        <v>403</v>
      </c>
      <c r="D389" t="s">
        <v>47</v>
      </c>
      <c r="E389" t="s">
        <v>431</v>
      </c>
      <c r="F389" s="5">
        <v>45208</v>
      </c>
      <c r="G389">
        <v>3</v>
      </c>
      <c r="H389">
        <v>94</v>
      </c>
      <c r="I389" s="6">
        <v>54166.723248271024</v>
      </c>
      <c r="J389" t="s">
        <v>446</v>
      </c>
      <c r="K389" t="s">
        <v>447</v>
      </c>
    </row>
    <row r="390" spans="1:11">
      <c r="A390" t="s">
        <v>837</v>
      </c>
      <c r="B390" t="s">
        <v>402</v>
      </c>
      <c r="C390" t="s">
        <v>403</v>
      </c>
      <c r="D390" t="s">
        <v>449</v>
      </c>
      <c r="E390" t="s">
        <v>429</v>
      </c>
      <c r="F390" s="5">
        <v>45186</v>
      </c>
      <c r="G390">
        <v>3</v>
      </c>
      <c r="H390">
        <v>178</v>
      </c>
      <c r="I390" s="6">
        <v>159486.59921936467</v>
      </c>
      <c r="J390" t="s">
        <v>446</v>
      </c>
      <c r="K390" t="s">
        <v>447</v>
      </c>
    </row>
    <row r="391" spans="1:11">
      <c r="A391" t="s">
        <v>838</v>
      </c>
      <c r="B391" t="s">
        <v>404</v>
      </c>
      <c r="C391" t="s">
        <v>405</v>
      </c>
      <c r="D391" t="s">
        <v>466</v>
      </c>
      <c r="E391" t="s">
        <v>429</v>
      </c>
      <c r="F391" s="5">
        <v>45439</v>
      </c>
      <c r="G391">
        <v>3</v>
      </c>
      <c r="H391">
        <v>373</v>
      </c>
      <c r="I391" s="6">
        <v>269285.25593962171</v>
      </c>
      <c r="J391" t="s">
        <v>457</v>
      </c>
      <c r="K391" t="s">
        <v>447</v>
      </c>
    </row>
    <row r="392" spans="1:11">
      <c r="A392" t="s">
        <v>839</v>
      </c>
      <c r="B392" t="s">
        <v>404</v>
      </c>
      <c r="C392" t="s">
        <v>405</v>
      </c>
      <c r="D392" t="s">
        <v>475</v>
      </c>
      <c r="E392" t="s">
        <v>424</v>
      </c>
      <c r="F392" s="5">
        <v>45760</v>
      </c>
      <c r="G392">
        <v>1</v>
      </c>
      <c r="H392">
        <v>1853</v>
      </c>
      <c r="I392" s="6">
        <v>68615.868663712565</v>
      </c>
      <c r="J392" t="s">
        <v>457</v>
      </c>
      <c r="K392" t="s">
        <v>447</v>
      </c>
    </row>
    <row r="393" spans="1:11">
      <c r="A393" t="s">
        <v>840</v>
      </c>
      <c r="B393" t="s">
        <v>406</v>
      </c>
      <c r="C393" t="s">
        <v>407</v>
      </c>
      <c r="D393" t="s">
        <v>445</v>
      </c>
      <c r="E393" t="s">
        <v>424</v>
      </c>
      <c r="F393" s="5">
        <v>45804</v>
      </c>
      <c r="G393">
        <v>1</v>
      </c>
      <c r="H393">
        <v>1752</v>
      </c>
      <c r="I393" s="6">
        <v>154571.37691080695</v>
      </c>
      <c r="J393" t="s">
        <v>446</v>
      </c>
      <c r="K393" t="s">
        <v>447</v>
      </c>
    </row>
    <row r="394" spans="1:11">
      <c r="A394" t="s">
        <v>841</v>
      </c>
      <c r="B394" t="s">
        <v>406</v>
      </c>
      <c r="C394" t="s">
        <v>407</v>
      </c>
      <c r="D394" t="s">
        <v>449</v>
      </c>
      <c r="E394" t="s">
        <v>429</v>
      </c>
      <c r="F394" s="5">
        <v>45239</v>
      </c>
      <c r="G394">
        <v>1</v>
      </c>
      <c r="H394">
        <v>412</v>
      </c>
      <c r="I394" s="6">
        <v>351774.32057610882</v>
      </c>
      <c r="J394" t="s">
        <v>446</v>
      </c>
      <c r="K394" t="s">
        <v>447</v>
      </c>
    </row>
    <row r="395" spans="1:11">
      <c r="A395" t="s">
        <v>842</v>
      </c>
      <c r="B395" t="s">
        <v>406</v>
      </c>
      <c r="C395" t="s">
        <v>407</v>
      </c>
      <c r="D395" t="s">
        <v>445</v>
      </c>
      <c r="E395" t="s">
        <v>429</v>
      </c>
      <c r="F395" s="5">
        <v>45578</v>
      </c>
      <c r="G395">
        <v>1</v>
      </c>
      <c r="H395">
        <v>769</v>
      </c>
      <c r="I395" s="6">
        <v>370917.99211613234</v>
      </c>
      <c r="J395" t="s">
        <v>455</v>
      </c>
      <c r="K395" t="s">
        <v>447</v>
      </c>
    </row>
    <row r="396" spans="1:11">
      <c r="A396" t="s">
        <v>843</v>
      </c>
      <c r="B396" t="s">
        <v>408</v>
      </c>
      <c r="C396" t="s">
        <v>409</v>
      </c>
      <c r="D396" t="s">
        <v>475</v>
      </c>
      <c r="E396" t="s">
        <v>427</v>
      </c>
      <c r="F396" s="5">
        <v>44602</v>
      </c>
      <c r="G396">
        <v>3</v>
      </c>
      <c r="H396">
        <v>204</v>
      </c>
      <c r="I396" s="6">
        <v>89214.915690205031</v>
      </c>
      <c r="J396" t="s">
        <v>446</v>
      </c>
      <c r="K396" t="s">
        <v>447</v>
      </c>
    </row>
    <row r="397" spans="1:11">
      <c r="A397" t="s">
        <v>844</v>
      </c>
      <c r="B397" t="s">
        <v>410</v>
      </c>
      <c r="C397" t="s">
        <v>411</v>
      </c>
      <c r="D397" t="s">
        <v>475</v>
      </c>
      <c r="E397" t="s">
        <v>429</v>
      </c>
      <c r="F397" s="5">
        <v>44737</v>
      </c>
      <c r="G397">
        <v>1</v>
      </c>
      <c r="H397">
        <v>312</v>
      </c>
      <c r="I397" s="6">
        <v>338662.99402888463</v>
      </c>
      <c r="J397" t="s">
        <v>455</v>
      </c>
      <c r="K397" t="s">
        <v>447</v>
      </c>
    </row>
    <row r="398" spans="1:11">
      <c r="A398" t="s">
        <v>845</v>
      </c>
      <c r="B398" t="s">
        <v>412</v>
      </c>
      <c r="C398" t="s">
        <v>413</v>
      </c>
      <c r="D398" t="s">
        <v>475</v>
      </c>
      <c r="E398" t="s">
        <v>433</v>
      </c>
      <c r="F398" s="5">
        <v>44671</v>
      </c>
      <c r="G398">
        <v>2</v>
      </c>
      <c r="H398">
        <v>33</v>
      </c>
      <c r="I398" s="6">
        <v>182626.72577206502</v>
      </c>
      <c r="J398" t="s">
        <v>446</v>
      </c>
      <c r="K398" t="s">
        <v>447</v>
      </c>
    </row>
    <row r="399" spans="1:11">
      <c r="A399" t="s">
        <v>846</v>
      </c>
      <c r="B399" t="s">
        <v>414</v>
      </c>
      <c r="C399" t="s">
        <v>415</v>
      </c>
      <c r="D399" t="s">
        <v>445</v>
      </c>
      <c r="E399" t="s">
        <v>429</v>
      </c>
      <c r="F399" s="5">
        <v>45765</v>
      </c>
      <c r="G399">
        <v>1</v>
      </c>
      <c r="H399">
        <v>10</v>
      </c>
      <c r="I399" s="6">
        <v>88808.881694914991</v>
      </c>
      <c r="J399" t="s">
        <v>457</v>
      </c>
      <c r="K399" t="s">
        <v>447</v>
      </c>
    </row>
    <row r="400" spans="1:11">
      <c r="A400" t="s">
        <v>847</v>
      </c>
      <c r="B400" t="s">
        <v>416</v>
      </c>
      <c r="C400" t="s">
        <v>417</v>
      </c>
      <c r="D400" t="s">
        <v>475</v>
      </c>
      <c r="E400" t="s">
        <v>431</v>
      </c>
      <c r="F400" s="5">
        <v>44731</v>
      </c>
      <c r="G400">
        <v>1</v>
      </c>
      <c r="H400">
        <v>73</v>
      </c>
      <c r="I400" s="6">
        <v>33393.360527564277</v>
      </c>
      <c r="J400" t="s">
        <v>455</v>
      </c>
      <c r="K400" t="s">
        <v>447</v>
      </c>
    </row>
    <row r="401" spans="1:11">
      <c r="A401" t="s">
        <v>848</v>
      </c>
      <c r="B401" t="s">
        <v>416</v>
      </c>
      <c r="C401" t="s">
        <v>417</v>
      </c>
      <c r="D401" t="s">
        <v>475</v>
      </c>
      <c r="E401" t="s">
        <v>429</v>
      </c>
      <c r="F401" s="5">
        <v>44845</v>
      </c>
      <c r="G401">
        <v>3</v>
      </c>
      <c r="H401">
        <v>28</v>
      </c>
      <c r="I401" s="6">
        <v>60283.593704565341</v>
      </c>
      <c r="J401" t="s">
        <v>446</v>
      </c>
      <c r="K401" t="s">
        <v>447</v>
      </c>
    </row>
    <row r="402" spans="1:11">
      <c r="A402" t="s">
        <v>849</v>
      </c>
      <c r="B402" t="s">
        <v>416</v>
      </c>
      <c r="C402" t="s">
        <v>417</v>
      </c>
      <c r="D402" t="s">
        <v>34</v>
      </c>
      <c r="E402" t="s">
        <v>427</v>
      </c>
      <c r="F402" s="5">
        <v>45831</v>
      </c>
      <c r="G402">
        <v>1</v>
      </c>
      <c r="H402">
        <v>65</v>
      </c>
      <c r="I402" s="6">
        <v>56101.805522188988</v>
      </c>
      <c r="J402" t="s">
        <v>457</v>
      </c>
      <c r="K402" t="s">
        <v>447</v>
      </c>
    </row>
  </sheetData>
  <mergeCells count="1">
    <mergeCell ref="A1:K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643"/>
  <sheetViews>
    <sheetView topLeftCell="H111" workbookViewId="0">
      <selection activeCell="N5" sqref="N5"/>
    </sheetView>
  </sheetViews>
  <sheetFormatPr defaultRowHeight="14.25"/>
  <cols>
    <col min="1" max="3" width="15" customWidth="1"/>
    <col min="4" max="4" width="22" customWidth="1"/>
    <col min="5" max="24" width="15" customWidth="1"/>
    <col min="25" max="25" width="28" customWidth="1"/>
    <col min="26" max="37" width="15" customWidth="1"/>
    <col min="38" max="38" width="36" customWidth="1"/>
    <col min="39" max="39" width="25.875" customWidth="1"/>
    <col min="40" max="40" width="25.125" customWidth="1"/>
    <col min="41" max="41" width="16.625" customWidth="1"/>
    <col min="42" max="42" width="15.5" customWidth="1"/>
    <col min="43" max="43" width="32.625" customWidth="1"/>
    <col min="44" max="44" width="37.25" customWidth="1"/>
    <col min="45" max="45" width="24.25" customWidth="1"/>
    <col min="46" max="46" width="24.625" customWidth="1"/>
    <col min="47" max="47" width="22.625" customWidth="1"/>
    <col min="48" max="48" width="11.75" customWidth="1"/>
  </cols>
  <sheetData>
    <row r="1" spans="1:49">
      <c r="A1" s="18" t="s">
        <v>850</v>
      </c>
      <c r="B1" s="18"/>
      <c r="C1" s="18"/>
      <c r="D1" s="18"/>
      <c r="E1" s="18"/>
      <c r="F1" s="18"/>
      <c r="G1" s="18"/>
      <c r="H1" s="18"/>
      <c r="I1" s="18"/>
      <c r="J1" s="18"/>
      <c r="K1" s="18"/>
      <c r="L1" s="18"/>
      <c r="M1" s="18"/>
      <c r="N1" s="18"/>
      <c r="O1" s="18"/>
      <c r="P1" s="18"/>
      <c r="Q1" s="18"/>
      <c r="R1" s="18"/>
      <c r="S1" s="18"/>
      <c r="T1" s="18"/>
      <c r="U1" s="19"/>
      <c r="V1" s="18"/>
      <c r="W1" s="18"/>
      <c r="X1" s="18"/>
      <c r="Y1" s="18"/>
      <c r="Z1" s="18"/>
      <c r="AA1" s="18"/>
      <c r="AB1" s="19"/>
      <c r="AC1" s="18"/>
      <c r="AD1" s="18"/>
      <c r="AE1" s="18"/>
      <c r="AF1" s="18"/>
      <c r="AG1" s="18"/>
      <c r="AH1" s="18"/>
      <c r="AI1" s="18"/>
      <c r="AJ1" s="18"/>
      <c r="AK1" s="18"/>
      <c r="AL1" s="18"/>
    </row>
    <row r="2" spans="1:49">
      <c r="A2" s="18"/>
      <c r="B2" s="18"/>
      <c r="C2" s="18"/>
      <c r="D2" s="18"/>
      <c r="E2" s="18"/>
      <c r="F2" s="18"/>
      <c r="G2" s="18"/>
      <c r="H2" s="18"/>
      <c r="I2" s="18"/>
      <c r="J2" s="18"/>
      <c r="K2" s="18"/>
      <c r="L2" s="18"/>
      <c r="M2" s="18"/>
      <c r="N2" s="18"/>
      <c r="O2" s="18"/>
      <c r="P2" s="18"/>
      <c r="Q2" s="18"/>
      <c r="R2" s="18"/>
      <c r="S2" s="18"/>
      <c r="T2" s="18"/>
      <c r="U2" s="19"/>
      <c r="V2" s="18"/>
      <c r="W2" s="18"/>
      <c r="X2" s="18"/>
      <c r="Y2" s="18"/>
      <c r="Z2" s="18"/>
      <c r="AA2" s="18"/>
      <c r="AB2" s="19"/>
      <c r="AC2" s="18"/>
      <c r="AD2" s="18"/>
      <c r="AE2" s="18"/>
      <c r="AF2" s="18"/>
      <c r="AG2" s="18"/>
      <c r="AH2" s="18"/>
      <c r="AI2" s="18"/>
      <c r="AJ2" s="18"/>
      <c r="AK2" s="18"/>
      <c r="AL2" s="18"/>
    </row>
    <row r="4" spans="1:49" ht="30">
      <c r="A4" s="3" t="s">
        <v>851</v>
      </c>
      <c r="B4" s="3" t="s">
        <v>852</v>
      </c>
      <c r="C4" s="3" t="s">
        <v>22</v>
      </c>
      <c r="D4" s="3" t="s">
        <v>23</v>
      </c>
      <c r="E4" s="3" t="s">
        <v>436</v>
      </c>
      <c r="F4" s="3" t="s">
        <v>437</v>
      </c>
      <c r="G4" s="3" t="s">
        <v>24</v>
      </c>
      <c r="H4" s="3" t="s">
        <v>25</v>
      </c>
      <c r="I4" s="3" t="s">
        <v>26</v>
      </c>
      <c r="J4" s="27" t="s">
        <v>27</v>
      </c>
      <c r="K4" s="3" t="s">
        <v>28</v>
      </c>
      <c r="L4" s="27" t="s">
        <v>29</v>
      </c>
      <c r="M4" s="27" t="s">
        <v>30</v>
      </c>
      <c r="N4" s="27" t="s">
        <v>419</v>
      </c>
      <c r="O4" s="27" t="s">
        <v>853</v>
      </c>
      <c r="P4" s="27" t="s">
        <v>854</v>
      </c>
      <c r="Q4" s="27" t="s">
        <v>855</v>
      </c>
      <c r="R4" s="3" t="s">
        <v>856</v>
      </c>
      <c r="S4" s="3" t="s">
        <v>857</v>
      </c>
      <c r="T4" s="3" t="s">
        <v>858</v>
      </c>
      <c r="U4" s="4" t="s">
        <v>1691</v>
      </c>
      <c r="V4" s="3" t="s">
        <v>859</v>
      </c>
      <c r="W4" s="3" t="s">
        <v>860</v>
      </c>
      <c r="X4" s="3" t="s">
        <v>861</v>
      </c>
      <c r="Y4" s="3" t="s">
        <v>862</v>
      </c>
      <c r="Z4" s="3" t="s">
        <v>863</v>
      </c>
      <c r="AA4" s="3" t="s">
        <v>1692</v>
      </c>
      <c r="AB4" s="4" t="s">
        <v>1693</v>
      </c>
      <c r="AC4" s="3" t="s">
        <v>865</v>
      </c>
      <c r="AD4" s="3" t="s">
        <v>866</v>
      </c>
      <c r="AE4" s="3" t="s">
        <v>867</v>
      </c>
      <c r="AF4" s="3" t="s">
        <v>868</v>
      </c>
      <c r="AG4" s="3" t="s">
        <v>869</v>
      </c>
      <c r="AH4" s="3" t="s">
        <v>870</v>
      </c>
      <c r="AI4" s="3" t="s">
        <v>871</v>
      </c>
      <c r="AJ4" s="3" t="s">
        <v>872</v>
      </c>
      <c r="AK4" s="3" t="s">
        <v>873</v>
      </c>
      <c r="AL4" s="3" t="s">
        <v>874</v>
      </c>
      <c r="AM4" t="s">
        <v>1698</v>
      </c>
      <c r="AN4" t="s">
        <v>1699</v>
      </c>
      <c r="AO4" t="s">
        <v>1712</v>
      </c>
      <c r="AP4" t="s">
        <v>1713</v>
      </c>
      <c r="AQ4" t="s">
        <v>1730</v>
      </c>
      <c r="AR4" t="s">
        <v>1731</v>
      </c>
      <c r="AS4" t="s">
        <v>1732</v>
      </c>
      <c r="AT4" t="s">
        <v>1733</v>
      </c>
      <c r="AU4" t="s">
        <v>1739</v>
      </c>
      <c r="AV4" t="s">
        <v>1667</v>
      </c>
      <c r="AW4" t="s">
        <v>1690</v>
      </c>
    </row>
    <row r="5" spans="1:49">
      <c r="A5" t="s">
        <v>875</v>
      </c>
      <c r="B5" s="5">
        <v>45646</v>
      </c>
      <c r="C5" t="s">
        <v>32</v>
      </c>
      <c r="D5" t="s">
        <v>33</v>
      </c>
      <c r="E5" t="s">
        <v>444</v>
      </c>
      <c r="F5" t="s">
        <v>445</v>
      </c>
      <c r="G5" t="s">
        <v>34</v>
      </c>
      <c r="H5" t="s">
        <v>35</v>
      </c>
      <c r="I5" t="s">
        <v>36</v>
      </c>
      <c r="J5" t="s">
        <v>37</v>
      </c>
      <c r="K5" t="s">
        <v>38</v>
      </c>
      <c r="L5" s="5">
        <v>43891</v>
      </c>
      <c r="M5">
        <v>63</v>
      </c>
      <c r="N5" t="s">
        <v>433</v>
      </c>
      <c r="O5" t="s">
        <v>876</v>
      </c>
      <c r="Q5">
        <v>1</v>
      </c>
      <c r="R5">
        <v>54</v>
      </c>
      <c r="S5" t="s">
        <v>877</v>
      </c>
      <c r="T5" s="6">
        <v>157663.12800229498</v>
      </c>
      <c r="U5" s="7">
        <f>T5*DealsRawTable[[#This Row],[Contract_Years]]</f>
        <v>157663.12800229498</v>
      </c>
      <c r="V5" s="8">
        <v>6.6000000000000003E-2</v>
      </c>
      <c r="W5" s="8">
        <v>0.06</v>
      </c>
      <c r="X5" s="8">
        <v>-0.11899999999999999</v>
      </c>
      <c r="Y5" t="s">
        <v>878</v>
      </c>
      <c r="Z5" t="s">
        <v>879</v>
      </c>
      <c r="AA5" s="6">
        <v>148139.39204154958</v>
      </c>
      <c r="AB5" s="7">
        <f>DealsRawTable[[#This Row],[Final_Price_ACV]]*DealsRawTable[[#This Row],[Contract_Years]]</f>
        <v>148139.39204154958</v>
      </c>
      <c r="AC5" s="6">
        <v>61223.551327863614</v>
      </c>
      <c r="AD5" s="6">
        <v>86915.840713685961</v>
      </c>
      <c r="AE5" s="8">
        <v>0.58671660195087161</v>
      </c>
      <c r="AF5" t="s">
        <v>880</v>
      </c>
      <c r="AG5" t="s">
        <v>44</v>
      </c>
      <c r="AI5" t="s">
        <v>38</v>
      </c>
      <c r="AJ5" s="6">
        <v>148139.39204154958</v>
      </c>
      <c r="AK5" s="6">
        <v>86915.840713685961</v>
      </c>
      <c r="AL5" t="s">
        <v>881</v>
      </c>
      <c r="AM5">
        <f>ROUND(T5*(1-W5),2)</f>
        <v>148203.34</v>
      </c>
      <c r="AN5">
        <f>DealsRawTable[[#This Row],[Validated_Annual_Final_Price]]*DealsRawTable[[#This Row],[Contract_Years]]</f>
        <v>148203.34</v>
      </c>
      <c r="AO5">
        <f>DealsRawTable[[#This Row],[Validated_Annual_Final_Price]]-DealsRawTable[[#This Row],[Cost_to_Serve]]</f>
        <v>86979.788672136376</v>
      </c>
      <c r="AP5" s="17">
        <f>DealsRawTable[[#This Row],[Validated_Grossprofit]]/DealsRawTable[[#This Row],[Validated_Annual_Final_Price]]</f>
        <v>0.5868949287656835</v>
      </c>
      <c r="AQ5" s="17">
        <v>148203.34</v>
      </c>
      <c r="AR5" s="17">
        <v>148203.34</v>
      </c>
      <c r="AS5" s="17">
        <v>86979.788672136376</v>
      </c>
      <c r="AT5" s="17">
        <v>0.5868949287656835</v>
      </c>
      <c r="AU5" s="17" t="str">
        <f t="shared" ref="AU5:AU68" si="0">IF(W5&lt;=0.05,"0–5%", IF(W5&lt;=0.1,"5–10%", IF(W5&lt;=0.15,"10–15%", IF(W5&lt;=0.2,"15–20%", IF(W5&lt;=0.25,"20–25%", IF(W5&lt;=0.3,"25–30%","Above 30%"))))))</f>
        <v>5–10%</v>
      </c>
      <c r="AV5" s="17">
        <v>116</v>
      </c>
      <c r="AW5" s="17" t="s">
        <v>1740</v>
      </c>
    </row>
    <row r="6" spans="1:49">
      <c r="A6" t="s">
        <v>882</v>
      </c>
      <c r="B6" s="5">
        <v>45863</v>
      </c>
      <c r="C6" t="s">
        <v>32</v>
      </c>
      <c r="D6" t="s">
        <v>33</v>
      </c>
      <c r="E6" t="s">
        <v>444</v>
      </c>
      <c r="F6" t="s">
        <v>445</v>
      </c>
      <c r="G6" t="s">
        <v>34</v>
      </c>
      <c r="H6" t="s">
        <v>35</v>
      </c>
      <c r="I6" t="s">
        <v>36</v>
      </c>
      <c r="J6" t="s">
        <v>37</v>
      </c>
      <c r="K6" t="s">
        <v>38</v>
      </c>
      <c r="L6" s="5">
        <v>43891</v>
      </c>
      <c r="M6">
        <v>63</v>
      </c>
      <c r="N6" t="s">
        <v>433</v>
      </c>
      <c r="O6" t="s">
        <v>883</v>
      </c>
      <c r="P6" t="s">
        <v>884</v>
      </c>
      <c r="Q6">
        <v>1</v>
      </c>
      <c r="R6">
        <v>66</v>
      </c>
      <c r="S6" t="s">
        <v>877</v>
      </c>
      <c r="T6" s="6">
        <v>171556.90887757359</v>
      </c>
      <c r="U6" s="7">
        <f>T6*DealsRawTable[[#This Row],[Contract_Years]]</f>
        <v>171556.90887757359</v>
      </c>
      <c r="V6" s="8">
        <v>1.2E-2</v>
      </c>
      <c r="W6" s="8">
        <v>1.2E-2</v>
      </c>
      <c r="X6" s="8">
        <v>7.9000000000000001E-2</v>
      </c>
      <c r="Y6" t="s">
        <v>885</v>
      </c>
      <c r="Z6" t="s">
        <v>879</v>
      </c>
      <c r="AA6" s="6">
        <v>169511.0573968</v>
      </c>
      <c r="AB6" s="7">
        <f>DealsRawTable[[#This Row],[Final_Price_ACV]]*DealsRawTable[[#This Row],[Contract_Years]]</f>
        <v>169511.0573968</v>
      </c>
      <c r="AC6" s="6">
        <v>59147.752737807554</v>
      </c>
      <c r="AD6" s="6">
        <v>110363.30465899245</v>
      </c>
      <c r="AE6" s="8">
        <v>0.65106846924238393</v>
      </c>
      <c r="AF6" t="s">
        <v>880</v>
      </c>
      <c r="AH6" t="s">
        <v>44</v>
      </c>
      <c r="AI6" t="s">
        <v>38</v>
      </c>
      <c r="AJ6" s="6">
        <v>169511.0573968</v>
      </c>
      <c r="AK6" s="6">
        <v>110363.30465899245</v>
      </c>
      <c r="AL6" t="s">
        <v>886</v>
      </c>
      <c r="AM6">
        <f t="shared" ref="AM6:AM68" si="1">ROUND(T6*(1-W6),2)</f>
        <v>169498.23</v>
      </c>
      <c r="AN6">
        <f>DealsRawTable[[#This Row],[Validated_Annual_Final_Price]]*DealsRawTable[[#This Row],[Contract_Years]]</f>
        <v>169498.23</v>
      </c>
      <c r="AO6">
        <f>DealsRawTable[[#This Row],[Validated_Annual_Final_Price]]-DealsRawTable[[#This Row],[Cost_to_Serve]]</f>
        <v>110350.47726219246</v>
      </c>
      <c r="AP6" s="17">
        <f>DealsRawTable[[#This Row],[Validated_Grossprofit]]/DealsRawTable[[#This Row],[Validated_Annual_Final_Price]]</f>
        <v>0.65104206257606623</v>
      </c>
      <c r="AQ6" s="17">
        <v>169498.23</v>
      </c>
      <c r="AR6" s="17">
        <v>169498.23</v>
      </c>
      <c r="AS6" s="17">
        <v>110350.47726219246</v>
      </c>
      <c r="AT6" s="17">
        <v>0.65104206257606623</v>
      </c>
      <c r="AU6" s="17" t="str">
        <f t="shared" si="0"/>
        <v>0–5%</v>
      </c>
      <c r="AV6" s="17">
        <v>55</v>
      </c>
      <c r="AW6" s="17"/>
    </row>
    <row r="7" spans="1:49">
      <c r="A7" t="s">
        <v>887</v>
      </c>
      <c r="B7" s="5">
        <v>46011</v>
      </c>
      <c r="C7" t="s">
        <v>32</v>
      </c>
      <c r="D7" t="s">
        <v>33</v>
      </c>
      <c r="E7" t="s">
        <v>444</v>
      </c>
      <c r="F7" t="s">
        <v>445</v>
      </c>
      <c r="G7" t="s">
        <v>34</v>
      </c>
      <c r="H7" t="s">
        <v>35</v>
      </c>
      <c r="I7" t="s">
        <v>36</v>
      </c>
      <c r="J7" t="s">
        <v>37</v>
      </c>
      <c r="K7" t="s">
        <v>38</v>
      </c>
      <c r="L7" s="5">
        <v>43891</v>
      </c>
      <c r="M7">
        <v>63</v>
      </c>
      <c r="N7" t="s">
        <v>433</v>
      </c>
      <c r="O7" t="s">
        <v>876</v>
      </c>
      <c r="Q7">
        <v>1</v>
      </c>
      <c r="R7">
        <v>66</v>
      </c>
      <c r="S7" t="s">
        <v>888</v>
      </c>
      <c r="T7" s="6">
        <v>183149.11141123963</v>
      </c>
      <c r="U7" s="7">
        <f>T7*DealsRawTable[[#This Row],[Contract_Years]]</f>
        <v>183149.11141123963</v>
      </c>
      <c r="V7" s="8">
        <v>0.16700000000000001</v>
      </c>
      <c r="W7" s="8">
        <v>0.14799999999999999</v>
      </c>
      <c r="X7" s="8">
        <v>-0.02</v>
      </c>
      <c r="Y7" t="s">
        <v>878</v>
      </c>
      <c r="Z7" t="s">
        <v>889</v>
      </c>
      <c r="AA7" s="6">
        <v>155982.6312272042</v>
      </c>
      <c r="AB7" s="7">
        <f>DealsRawTable[[#This Row],[Final_Price_ACV]]*DealsRawTable[[#This Row],[Contract_Years]]</f>
        <v>155982.6312272042</v>
      </c>
      <c r="AC7" s="6">
        <v>64410.548762706043</v>
      </c>
      <c r="AD7" s="6">
        <v>91572.082464498148</v>
      </c>
      <c r="AE7" s="8">
        <v>0.58706589152938649</v>
      </c>
      <c r="AF7" t="s">
        <v>880</v>
      </c>
      <c r="AG7" t="s">
        <v>44</v>
      </c>
      <c r="AI7" t="s">
        <v>38</v>
      </c>
      <c r="AJ7" s="6">
        <v>155982.6312272042</v>
      </c>
      <c r="AK7" s="6">
        <v>91572.082464498148</v>
      </c>
      <c r="AL7" t="s">
        <v>881</v>
      </c>
      <c r="AM7">
        <f t="shared" si="1"/>
        <v>156043.04</v>
      </c>
      <c r="AN7">
        <f>DealsRawTable[[#This Row],[Validated_Annual_Final_Price]]*DealsRawTable[[#This Row],[Contract_Years]]</f>
        <v>156043.04</v>
      </c>
      <c r="AO7">
        <f>DealsRawTable[[#This Row],[Validated_Annual_Final_Price]]-DealsRawTable[[#This Row],[Cost_to_Serve]]</f>
        <v>91632.491237293958</v>
      </c>
      <c r="AP7" s="17">
        <f>DealsRawTable[[#This Row],[Validated_Grossprofit]]/DealsRawTable[[#This Row],[Validated_Annual_Final_Price]]</f>
        <v>0.58722575026283741</v>
      </c>
      <c r="AQ7" s="17">
        <v>156043.04</v>
      </c>
      <c r="AR7" s="17">
        <v>156043.04</v>
      </c>
      <c r="AS7" s="17">
        <v>91632.491237293958</v>
      </c>
      <c r="AT7" s="17">
        <v>0.58722575026283741</v>
      </c>
      <c r="AU7" s="17" t="str">
        <f t="shared" si="0"/>
        <v>10–15%</v>
      </c>
      <c r="AV7" s="17">
        <v>113</v>
      </c>
      <c r="AW7" s="17"/>
    </row>
    <row r="8" spans="1:49">
      <c r="A8" t="s">
        <v>890</v>
      </c>
      <c r="B8" s="5">
        <v>45578</v>
      </c>
      <c r="C8" t="s">
        <v>40</v>
      </c>
      <c r="D8" t="s">
        <v>41</v>
      </c>
      <c r="E8" t="s">
        <v>448</v>
      </c>
      <c r="F8" t="s">
        <v>449</v>
      </c>
      <c r="G8" t="s">
        <v>34</v>
      </c>
      <c r="H8" t="s">
        <v>35</v>
      </c>
      <c r="I8" t="s">
        <v>42</v>
      </c>
      <c r="J8" t="s">
        <v>43</v>
      </c>
      <c r="K8" t="s">
        <v>44</v>
      </c>
      <c r="L8" s="5">
        <v>44958</v>
      </c>
      <c r="M8">
        <v>74</v>
      </c>
      <c r="N8" t="s">
        <v>433</v>
      </c>
      <c r="O8" t="s">
        <v>891</v>
      </c>
      <c r="Q8">
        <v>1</v>
      </c>
      <c r="R8">
        <v>1133</v>
      </c>
      <c r="S8" t="s">
        <v>892</v>
      </c>
      <c r="T8" s="6">
        <v>448091.47124297486</v>
      </c>
      <c r="U8" s="7">
        <f>T8*DealsRawTable[[#This Row],[Contract_Years]]</f>
        <v>448091.47124297486</v>
      </c>
      <c r="V8" s="8">
        <v>0.21099999999999999</v>
      </c>
      <c r="W8" s="8">
        <v>0.2</v>
      </c>
      <c r="X8" s="8">
        <v>0.104</v>
      </c>
      <c r="Y8" t="s">
        <v>878</v>
      </c>
      <c r="Z8" t="s">
        <v>893</v>
      </c>
      <c r="AA8" s="6">
        <v>358284.32269580435</v>
      </c>
      <c r="AB8" s="7">
        <f>DealsRawTable[[#This Row],[Final_Price_ACV]]*DealsRawTable[[#This Row],[Contract_Years]]</f>
        <v>358284.32269580435</v>
      </c>
      <c r="AC8" s="6">
        <v>180745.64098437526</v>
      </c>
      <c r="AD8" s="6">
        <v>177538.68171142909</v>
      </c>
      <c r="AE8" s="8">
        <v>0.49552456098439313</v>
      </c>
      <c r="AF8" t="s">
        <v>880</v>
      </c>
      <c r="AI8" t="s">
        <v>38</v>
      </c>
      <c r="AJ8" s="6">
        <v>358284.32269580435</v>
      </c>
      <c r="AK8" s="6">
        <v>177538.68171142909</v>
      </c>
      <c r="AL8" t="s">
        <v>894</v>
      </c>
      <c r="AM8">
        <f t="shared" si="1"/>
        <v>358473.18</v>
      </c>
      <c r="AN8">
        <f>DealsRawTable[[#This Row],[Validated_Annual_Final_Price]]*DealsRawTable[[#This Row],[Contract_Years]]</f>
        <v>358473.18</v>
      </c>
      <c r="AO8">
        <f>DealsRawTable[[#This Row],[Validated_Annual_Final_Price]]-DealsRawTable[[#This Row],[Cost_to_Serve]]</f>
        <v>177727.53901562473</v>
      </c>
      <c r="AP8" s="17">
        <f>DealsRawTable[[#This Row],[Validated_Grossprofit]]/DealsRawTable[[#This Row],[Validated_Annual_Final_Price]]</f>
        <v>0.49579033783120047</v>
      </c>
      <c r="AQ8" s="17">
        <v>358473.18</v>
      </c>
      <c r="AR8" s="17">
        <v>358473.18</v>
      </c>
      <c r="AS8" s="17">
        <v>177727.53901562473</v>
      </c>
      <c r="AT8" s="17">
        <v>0.49579033783120047</v>
      </c>
      <c r="AU8" s="17" t="str">
        <f t="shared" si="0"/>
        <v>15–20%</v>
      </c>
      <c r="AV8" s="17">
        <v>108</v>
      </c>
      <c r="AW8" s="17"/>
    </row>
    <row r="9" spans="1:49">
      <c r="A9" t="s">
        <v>895</v>
      </c>
      <c r="B9" s="5">
        <v>45943</v>
      </c>
      <c r="C9" t="s">
        <v>40</v>
      </c>
      <c r="D9" t="s">
        <v>41</v>
      </c>
      <c r="E9" t="s">
        <v>448</v>
      </c>
      <c r="F9" t="s">
        <v>449</v>
      </c>
      <c r="G9" t="s">
        <v>34</v>
      </c>
      <c r="H9" t="s">
        <v>35</v>
      </c>
      <c r="I9" t="s">
        <v>42</v>
      </c>
      <c r="J9" t="s">
        <v>43</v>
      </c>
      <c r="K9" t="s">
        <v>44</v>
      </c>
      <c r="L9" s="5">
        <v>44958</v>
      </c>
      <c r="M9">
        <v>74</v>
      </c>
      <c r="N9" t="s">
        <v>433</v>
      </c>
      <c r="O9" t="s">
        <v>876</v>
      </c>
      <c r="Q9">
        <v>1</v>
      </c>
      <c r="R9">
        <v>1133</v>
      </c>
      <c r="S9" t="s">
        <v>896</v>
      </c>
      <c r="T9" s="6">
        <v>470220.96392130462</v>
      </c>
      <c r="U9" s="7">
        <f>T9*DealsRawTable[[#This Row],[Contract_Years]]</f>
        <v>470220.96392130462</v>
      </c>
      <c r="V9" s="8">
        <v>0.14699999999999999</v>
      </c>
      <c r="W9" s="8">
        <v>8.8999999999999996E-2</v>
      </c>
      <c r="X9" s="8">
        <v>-8.5999999999999993E-2</v>
      </c>
      <c r="Y9" t="s">
        <v>897</v>
      </c>
      <c r="Z9" t="s">
        <v>879</v>
      </c>
      <c r="AA9" s="6">
        <v>428472.21491252095</v>
      </c>
      <c r="AB9" s="7">
        <f>DealsRawTable[[#This Row],[Final_Price_ACV]]*DealsRawTable[[#This Row],[Contract_Years]]</f>
        <v>428472.21491252095</v>
      </c>
      <c r="AC9" s="6">
        <v>163165.18136822677</v>
      </c>
      <c r="AD9" s="6">
        <v>265307.03354429419</v>
      </c>
      <c r="AE9" s="8">
        <v>0.61919308723078015</v>
      </c>
      <c r="AF9" t="s">
        <v>880</v>
      </c>
      <c r="AG9" t="s">
        <v>44</v>
      </c>
      <c r="AI9" t="s">
        <v>38</v>
      </c>
      <c r="AJ9" s="6">
        <v>428472.21491252095</v>
      </c>
      <c r="AK9" s="6">
        <v>265307.03354429419</v>
      </c>
      <c r="AL9" t="s">
        <v>881</v>
      </c>
      <c r="AM9">
        <f t="shared" si="1"/>
        <v>428371.3</v>
      </c>
      <c r="AN9">
        <f>DealsRawTable[[#This Row],[Validated_Annual_Final_Price]]*DealsRawTable[[#This Row],[Contract_Years]]</f>
        <v>428371.3</v>
      </c>
      <c r="AO9">
        <f>DealsRawTable[[#This Row],[Validated_Annual_Final_Price]]-DealsRawTable[[#This Row],[Cost_to_Serve]]</f>
        <v>265206.11863177322</v>
      </c>
      <c r="AP9" s="17">
        <f>DealsRawTable[[#This Row],[Validated_Grossprofit]]/DealsRawTable[[#This Row],[Validated_Annual_Final_Price]]</f>
        <v>0.61910337744795985</v>
      </c>
      <c r="AQ9" s="17">
        <v>428371.3</v>
      </c>
      <c r="AR9" s="17">
        <v>428371.3</v>
      </c>
      <c r="AS9" s="17">
        <v>265206.11863177322</v>
      </c>
      <c r="AT9" s="17">
        <v>0.61910337744795985</v>
      </c>
      <c r="AU9" s="17" t="str">
        <f t="shared" si="0"/>
        <v>5–10%</v>
      </c>
      <c r="AV9" s="17">
        <v>116</v>
      </c>
      <c r="AW9" s="17"/>
    </row>
    <row r="10" spans="1:49">
      <c r="A10" t="s">
        <v>898</v>
      </c>
      <c r="B10" s="5">
        <v>45872</v>
      </c>
      <c r="C10" t="s">
        <v>45</v>
      </c>
      <c r="D10" t="s">
        <v>46</v>
      </c>
      <c r="E10" t="s">
        <v>451</v>
      </c>
      <c r="F10" t="s">
        <v>34</v>
      </c>
      <c r="G10" t="s">
        <v>47</v>
      </c>
      <c r="H10" t="s">
        <v>48</v>
      </c>
      <c r="I10" t="s">
        <v>49</v>
      </c>
      <c r="J10" t="s">
        <v>37</v>
      </c>
      <c r="K10" t="s">
        <v>38</v>
      </c>
      <c r="L10" s="5">
        <v>44256</v>
      </c>
      <c r="M10">
        <v>87</v>
      </c>
      <c r="N10" t="s">
        <v>424</v>
      </c>
      <c r="O10" t="s">
        <v>883</v>
      </c>
      <c r="P10" t="s">
        <v>899</v>
      </c>
      <c r="Q10">
        <v>3</v>
      </c>
      <c r="R10">
        <v>30</v>
      </c>
      <c r="S10" t="s">
        <v>900</v>
      </c>
      <c r="T10" s="6">
        <v>30632.964392191396</v>
      </c>
      <c r="U10" s="7">
        <f>T10*DealsRawTable[[#This Row],[Contract_Years]]</f>
        <v>91898.893176574187</v>
      </c>
      <c r="V10" s="8">
        <v>0.14799999999999999</v>
      </c>
      <c r="W10" s="8">
        <v>0.13700000000000001</v>
      </c>
      <c r="X10" s="8">
        <v>5.3999999999999999E-2</v>
      </c>
      <c r="Y10" t="s">
        <v>885</v>
      </c>
      <c r="Z10" t="s">
        <v>889</v>
      </c>
      <c r="AA10" s="6">
        <v>26446.113398962745</v>
      </c>
      <c r="AB10" s="7">
        <f>DealsRawTable[[#This Row],[Final_Price_ACV]]*DealsRawTable[[#This Row],[Contract_Years]]</f>
        <v>79338.340196888239</v>
      </c>
      <c r="AC10" s="6">
        <v>8043.5155085434781</v>
      </c>
      <c r="AD10" s="6">
        <v>18402.597890419267</v>
      </c>
      <c r="AE10" s="8">
        <v>0.69585264242045652</v>
      </c>
      <c r="AF10" t="s">
        <v>880</v>
      </c>
      <c r="AH10" t="s">
        <v>44</v>
      </c>
      <c r="AI10" t="s">
        <v>38</v>
      </c>
      <c r="AJ10" s="6">
        <v>26446.113398962745</v>
      </c>
      <c r="AK10" s="6">
        <v>18402.597890419267</v>
      </c>
      <c r="AL10" t="s">
        <v>886</v>
      </c>
      <c r="AM10">
        <f t="shared" si="1"/>
        <v>26436.25</v>
      </c>
      <c r="AN10">
        <f>DealsRawTable[[#This Row],[Validated_Annual_Final_Price]]*DealsRawTable[[#This Row],[Contract_Years]]</f>
        <v>79308.75</v>
      </c>
      <c r="AO10">
        <f>DealsRawTable[[#This Row],[Validated_Annual_Final_Price]]-DealsRawTable[[#This Row],[Cost_to_Serve]]</f>
        <v>18392.734491456522</v>
      </c>
      <c r="AP10" s="17">
        <f>DealsRawTable[[#This Row],[Validated_Grossprofit]]/DealsRawTable[[#This Row],[Validated_Annual_Final_Price]]</f>
        <v>0.6957391646491663</v>
      </c>
      <c r="AQ10" s="17">
        <v>26436.25</v>
      </c>
      <c r="AR10" s="17">
        <v>79308.75</v>
      </c>
      <c r="AS10" s="17">
        <v>18392.734491456522</v>
      </c>
      <c r="AT10" s="17">
        <v>0.6957391646491663</v>
      </c>
      <c r="AU10" s="17" t="str">
        <f t="shared" si="0"/>
        <v>10–15%</v>
      </c>
      <c r="AV10" s="17">
        <v>113</v>
      </c>
      <c r="AW10" s="17"/>
    </row>
    <row r="11" spans="1:49">
      <c r="A11" t="s">
        <v>901</v>
      </c>
      <c r="B11" s="5">
        <v>46012</v>
      </c>
      <c r="C11" t="s">
        <v>45</v>
      </c>
      <c r="D11" t="s">
        <v>46</v>
      </c>
      <c r="E11" t="s">
        <v>451</v>
      </c>
      <c r="F11" t="s">
        <v>34</v>
      </c>
      <c r="G11" t="s">
        <v>47</v>
      </c>
      <c r="H11" t="s">
        <v>48</v>
      </c>
      <c r="I11" t="s">
        <v>49</v>
      </c>
      <c r="J11" t="s">
        <v>37</v>
      </c>
      <c r="K11" t="s">
        <v>38</v>
      </c>
      <c r="L11" s="5">
        <v>44256</v>
      </c>
      <c r="M11">
        <v>87</v>
      </c>
      <c r="N11" t="s">
        <v>424</v>
      </c>
      <c r="O11" t="s">
        <v>876</v>
      </c>
      <c r="Q11">
        <v>3</v>
      </c>
      <c r="R11">
        <v>30</v>
      </c>
      <c r="S11" t="s">
        <v>877</v>
      </c>
      <c r="T11" s="6">
        <v>33055.575918723778</v>
      </c>
      <c r="U11" s="7">
        <f>T11*DealsRawTable[[#This Row],[Contract_Years]]</f>
        <v>99166.727756171342</v>
      </c>
      <c r="V11" s="8">
        <v>0.154</v>
      </c>
      <c r="W11" s="8">
        <v>0.12</v>
      </c>
      <c r="X11" s="8">
        <v>-8.1000000000000003E-2</v>
      </c>
      <c r="Y11" t="s">
        <v>902</v>
      </c>
      <c r="Z11" t="s">
        <v>889</v>
      </c>
      <c r="AA11" s="6">
        <v>29083.189948800449</v>
      </c>
      <c r="AB11" s="7">
        <f>DealsRawTable[[#This Row],[Final_Price_ACV]]*DealsRawTable[[#This Row],[Contract_Years]]</f>
        <v>87249.56984640134</v>
      </c>
      <c r="AC11" s="6">
        <v>8527.9708061335223</v>
      </c>
      <c r="AD11" s="6">
        <v>20555.219142666927</v>
      </c>
      <c r="AE11" s="8">
        <v>0.70677319712360975</v>
      </c>
      <c r="AF11" t="s">
        <v>880</v>
      </c>
      <c r="AG11" t="s">
        <v>44</v>
      </c>
      <c r="AI11" t="s">
        <v>38</v>
      </c>
      <c r="AJ11" s="6">
        <v>29083.189948800449</v>
      </c>
      <c r="AK11" s="6">
        <v>20555.219142666927</v>
      </c>
      <c r="AL11" t="s">
        <v>881</v>
      </c>
      <c r="AM11">
        <f t="shared" si="1"/>
        <v>29088.91</v>
      </c>
      <c r="AN11">
        <f>DealsRawTable[[#This Row],[Validated_Annual_Final_Price]]*DealsRawTable[[#This Row],[Contract_Years]]</f>
        <v>87266.73</v>
      </c>
      <c r="AO11">
        <f>DealsRawTable[[#This Row],[Validated_Annual_Final_Price]]-DealsRawTable[[#This Row],[Cost_to_Serve]]</f>
        <v>20560.939193866478</v>
      </c>
      <c r="AP11" s="17">
        <f>DealsRawTable[[#This Row],[Validated_Grossprofit]]/DealsRawTable[[#This Row],[Validated_Annual_Final_Price]]</f>
        <v>0.7068308573221368</v>
      </c>
      <c r="AQ11" s="17">
        <v>29088.91</v>
      </c>
      <c r="AR11" s="17">
        <v>87266.73</v>
      </c>
      <c r="AS11" s="17">
        <v>20560.939193866478</v>
      </c>
      <c r="AT11" s="17">
        <v>0.7068308573221368</v>
      </c>
      <c r="AU11" s="17" t="str">
        <f t="shared" si="0"/>
        <v>10–15%</v>
      </c>
      <c r="AV11" s="17">
        <v>113</v>
      </c>
      <c r="AW11" s="17"/>
    </row>
    <row r="12" spans="1:49">
      <c r="A12" t="s">
        <v>903</v>
      </c>
      <c r="B12" s="5">
        <v>45567</v>
      </c>
      <c r="C12" t="s">
        <v>51</v>
      </c>
      <c r="D12" t="s">
        <v>52</v>
      </c>
      <c r="E12" t="s">
        <v>452</v>
      </c>
      <c r="F12" t="s">
        <v>449</v>
      </c>
      <c r="G12" t="s">
        <v>53</v>
      </c>
      <c r="H12" t="s">
        <v>54</v>
      </c>
      <c r="I12" t="s">
        <v>55</v>
      </c>
      <c r="J12" t="s">
        <v>56</v>
      </c>
      <c r="K12" t="s">
        <v>38</v>
      </c>
      <c r="L12" s="5">
        <v>45383</v>
      </c>
      <c r="M12">
        <v>50</v>
      </c>
      <c r="N12" t="s">
        <v>431</v>
      </c>
      <c r="O12" t="s">
        <v>891</v>
      </c>
      <c r="Q12">
        <v>3</v>
      </c>
      <c r="R12">
        <v>176</v>
      </c>
      <c r="S12" t="s">
        <v>892</v>
      </c>
      <c r="T12" s="6">
        <v>64148.04011655935</v>
      </c>
      <c r="U12" s="7">
        <f>T12*DealsRawTable[[#This Row],[Contract_Years]]</f>
        <v>192444.12034967804</v>
      </c>
      <c r="V12" s="8">
        <v>0.189</v>
      </c>
      <c r="W12" s="8">
        <v>0.188</v>
      </c>
      <c r="X12" s="8">
        <v>-1.2999999999999999E-2</v>
      </c>
      <c r="Y12" t="s">
        <v>902</v>
      </c>
      <c r="Z12" t="s">
        <v>889</v>
      </c>
      <c r="AA12" s="6">
        <v>52095.758017692533</v>
      </c>
      <c r="AB12" s="7">
        <f>DealsRawTable[[#This Row],[Final_Price_ACV]]*DealsRawTable[[#This Row],[Contract_Years]]</f>
        <v>156287.27405307759</v>
      </c>
      <c r="AC12" s="6">
        <v>27124.236481101369</v>
      </c>
      <c r="AD12" s="6">
        <v>24971.521536591164</v>
      </c>
      <c r="AE12" s="8">
        <v>0.4793388653277767</v>
      </c>
      <c r="AF12" t="s">
        <v>880</v>
      </c>
      <c r="AI12" t="s">
        <v>38</v>
      </c>
      <c r="AJ12" s="6">
        <v>52095.758017692533</v>
      </c>
      <c r="AK12" s="6">
        <v>24971.521536591164</v>
      </c>
      <c r="AL12" t="s">
        <v>894</v>
      </c>
      <c r="AM12">
        <f t="shared" si="1"/>
        <v>52088.21</v>
      </c>
      <c r="AN12">
        <f>DealsRawTable[[#This Row],[Validated_Annual_Final_Price]]*DealsRawTable[[#This Row],[Contract_Years]]</f>
        <v>156264.63</v>
      </c>
      <c r="AO12">
        <f>DealsRawTable[[#This Row],[Validated_Annual_Final_Price]]-DealsRawTable[[#This Row],[Cost_to_Serve]]</f>
        <v>24963.973518898631</v>
      </c>
      <c r="AP12" s="17">
        <f>DealsRawTable[[#This Row],[Validated_Grossprofit]]/DealsRawTable[[#This Row],[Validated_Annual_Final_Price]]</f>
        <v>0.47926341717057719</v>
      </c>
      <c r="AQ12" s="17">
        <v>52088.21</v>
      </c>
      <c r="AR12" s="17">
        <v>156264.63</v>
      </c>
      <c r="AS12" s="17">
        <v>24963.973518898631</v>
      </c>
      <c r="AT12" s="17">
        <v>0.47926341717057719</v>
      </c>
      <c r="AU12" s="17" t="str">
        <f t="shared" si="0"/>
        <v>15–20%</v>
      </c>
      <c r="AV12" s="17">
        <v>108</v>
      </c>
      <c r="AW12" s="17"/>
    </row>
    <row r="13" spans="1:49">
      <c r="A13" t="s">
        <v>904</v>
      </c>
      <c r="B13" s="5">
        <v>45821</v>
      </c>
      <c r="C13" t="s">
        <v>51</v>
      </c>
      <c r="D13" t="s">
        <v>52</v>
      </c>
      <c r="E13" t="s">
        <v>453</v>
      </c>
      <c r="F13" t="s">
        <v>34</v>
      </c>
      <c r="G13" t="s">
        <v>53</v>
      </c>
      <c r="H13" t="s">
        <v>54</v>
      </c>
      <c r="I13" t="s">
        <v>55</v>
      </c>
      <c r="J13" t="s">
        <v>56</v>
      </c>
      <c r="K13" t="s">
        <v>38</v>
      </c>
      <c r="L13" s="5">
        <v>45383</v>
      </c>
      <c r="M13">
        <v>50</v>
      </c>
      <c r="N13" t="s">
        <v>433</v>
      </c>
      <c r="O13" t="s">
        <v>891</v>
      </c>
      <c r="Q13">
        <v>1</v>
      </c>
      <c r="R13">
        <v>141</v>
      </c>
      <c r="S13" t="s">
        <v>896</v>
      </c>
      <c r="T13" s="6">
        <v>223858.22975661725</v>
      </c>
      <c r="U13" s="7">
        <f>T13*DealsRawTable[[#This Row],[Contract_Years]]</f>
        <v>223858.22975661725</v>
      </c>
      <c r="V13" s="8">
        <v>0.16700000000000001</v>
      </c>
      <c r="W13" s="8">
        <v>0.11899999999999999</v>
      </c>
      <c r="X13" s="8">
        <v>-4.9000000000000002E-2</v>
      </c>
      <c r="Y13" t="s">
        <v>905</v>
      </c>
      <c r="Z13" t="s">
        <v>889</v>
      </c>
      <c r="AA13" s="6">
        <v>197151.9264884225</v>
      </c>
      <c r="AB13" s="7">
        <f>DealsRawTable[[#This Row],[Final_Price_ACV]]*DealsRawTable[[#This Row],[Contract_Years]]</f>
        <v>197151.9264884225</v>
      </c>
      <c r="AC13" s="6">
        <v>94186.983493616368</v>
      </c>
      <c r="AD13" s="6">
        <v>102964.94299480613</v>
      </c>
      <c r="AE13" s="8">
        <v>0.52226191662830446</v>
      </c>
      <c r="AF13" t="s">
        <v>880</v>
      </c>
      <c r="AI13" t="s">
        <v>38</v>
      </c>
      <c r="AJ13" s="6">
        <v>197151.9264884225</v>
      </c>
      <c r="AK13" s="6">
        <v>102964.94299480613</v>
      </c>
      <c r="AL13" t="s">
        <v>894</v>
      </c>
      <c r="AM13">
        <f t="shared" si="1"/>
        <v>197219.1</v>
      </c>
      <c r="AN13">
        <f>DealsRawTable[[#This Row],[Validated_Annual_Final_Price]]*DealsRawTable[[#This Row],[Contract_Years]]</f>
        <v>197219.1</v>
      </c>
      <c r="AO13">
        <f>DealsRawTable[[#This Row],[Validated_Annual_Final_Price]]-DealsRawTable[[#This Row],[Cost_to_Serve]]</f>
        <v>103032.11650638364</v>
      </c>
      <c r="AP13" s="17">
        <f>DealsRawTable[[#This Row],[Validated_Grossprofit]]/DealsRawTable[[#This Row],[Validated_Annual_Final_Price]]</f>
        <v>0.52242463588153298</v>
      </c>
      <c r="AQ13" s="17">
        <v>197219.1</v>
      </c>
      <c r="AR13" s="17">
        <v>197219.1</v>
      </c>
      <c r="AS13" s="17">
        <v>103032.11650638364</v>
      </c>
      <c r="AT13" s="17">
        <v>0.52242463588153298</v>
      </c>
      <c r="AU13" s="17" t="str">
        <f t="shared" si="0"/>
        <v>10–15%</v>
      </c>
      <c r="AV13" s="17">
        <v>113</v>
      </c>
      <c r="AW13" s="17"/>
    </row>
    <row r="14" spans="1:49">
      <c r="A14" t="s">
        <v>906</v>
      </c>
      <c r="B14" s="5">
        <v>45663</v>
      </c>
      <c r="C14" t="s">
        <v>58</v>
      </c>
      <c r="D14" t="s">
        <v>59</v>
      </c>
      <c r="E14" t="s">
        <v>454</v>
      </c>
      <c r="F14" t="s">
        <v>47</v>
      </c>
      <c r="G14" t="s">
        <v>60</v>
      </c>
      <c r="H14" t="s">
        <v>35</v>
      </c>
      <c r="I14" t="s">
        <v>36</v>
      </c>
      <c r="J14" t="s">
        <v>56</v>
      </c>
      <c r="K14" t="s">
        <v>38</v>
      </c>
      <c r="L14" s="5">
        <v>43952</v>
      </c>
      <c r="M14">
        <v>66</v>
      </c>
      <c r="N14" t="s">
        <v>433</v>
      </c>
      <c r="O14" t="s">
        <v>876</v>
      </c>
      <c r="Q14">
        <v>3</v>
      </c>
      <c r="R14">
        <v>276</v>
      </c>
      <c r="S14" t="s">
        <v>907</v>
      </c>
      <c r="T14" s="6">
        <v>340477.39023891656</v>
      </c>
      <c r="U14" s="7">
        <f>T14*DealsRawTable[[#This Row],[Contract_Years]]</f>
        <v>1021432.1707167497</v>
      </c>
      <c r="V14" s="8">
        <v>0.159</v>
      </c>
      <c r="W14" s="8">
        <v>0.13</v>
      </c>
      <c r="X14" s="8">
        <v>-8.1000000000000003E-2</v>
      </c>
      <c r="Y14" t="s">
        <v>902</v>
      </c>
      <c r="Z14" t="s">
        <v>889</v>
      </c>
      <c r="AA14" s="6">
        <v>296123.32635319157</v>
      </c>
      <c r="AB14" s="7">
        <f>DealsRawTable[[#This Row],[Final_Price_ACV]]*DealsRawTable[[#This Row],[Contract_Years]]</f>
        <v>888369.97905957466</v>
      </c>
      <c r="AC14" s="6">
        <v>134110.72118085285</v>
      </c>
      <c r="AD14" s="6">
        <v>162012.60517233872</v>
      </c>
      <c r="AE14" s="8">
        <v>0.5471119319357618</v>
      </c>
      <c r="AF14" t="s">
        <v>457</v>
      </c>
      <c r="AG14" t="s">
        <v>38</v>
      </c>
      <c r="AI14" t="s">
        <v>38</v>
      </c>
      <c r="AJ14" s="6">
        <v>0</v>
      </c>
      <c r="AK14" s="6">
        <v>0</v>
      </c>
      <c r="AL14" t="s">
        <v>881</v>
      </c>
      <c r="AM14">
        <f t="shared" si="1"/>
        <v>296215.33</v>
      </c>
      <c r="AN14">
        <f>DealsRawTable[[#This Row],[Validated_Annual_Final_Price]]*DealsRawTable[[#This Row],[Contract_Years]]</f>
        <v>888645.99</v>
      </c>
      <c r="AO14">
        <f>DealsRawTable[[#This Row],[Validated_Annual_Final_Price]]-DealsRawTable[[#This Row],[Cost_to_Serve]]</f>
        <v>162104.60881914716</v>
      </c>
      <c r="AP14" s="17">
        <f>DealsRawTable[[#This Row],[Validated_Grossprofit]]/DealsRawTable[[#This Row],[Validated_Annual_Final_Price]]</f>
        <v>0.54725259769353318</v>
      </c>
      <c r="AQ14" s="17">
        <v>0</v>
      </c>
      <c r="AR14" s="17">
        <v>0</v>
      </c>
      <c r="AS14" s="17">
        <v>0</v>
      </c>
      <c r="AT14" s="17">
        <v>0</v>
      </c>
      <c r="AU14" s="17" t="str">
        <f t="shared" si="0"/>
        <v>10–15%</v>
      </c>
      <c r="AV14" s="17">
        <v>113</v>
      </c>
      <c r="AW14" s="17"/>
    </row>
    <row r="15" spans="1:49">
      <c r="A15" t="s">
        <v>908</v>
      </c>
      <c r="B15" s="5">
        <v>45804</v>
      </c>
      <c r="C15" t="s">
        <v>58</v>
      </c>
      <c r="D15" t="s">
        <v>59</v>
      </c>
      <c r="E15" t="s">
        <v>456</v>
      </c>
      <c r="F15" t="s">
        <v>34</v>
      </c>
      <c r="G15" t="s">
        <v>60</v>
      </c>
      <c r="H15" t="s">
        <v>35</v>
      </c>
      <c r="I15" t="s">
        <v>36</v>
      </c>
      <c r="J15" t="s">
        <v>56</v>
      </c>
      <c r="K15" t="s">
        <v>38</v>
      </c>
      <c r="L15" s="5">
        <v>43952</v>
      </c>
      <c r="M15">
        <v>66</v>
      </c>
      <c r="N15" t="s">
        <v>433</v>
      </c>
      <c r="O15" t="s">
        <v>891</v>
      </c>
      <c r="Q15">
        <v>1</v>
      </c>
      <c r="R15">
        <v>110</v>
      </c>
      <c r="S15" t="s">
        <v>892</v>
      </c>
      <c r="T15" s="6">
        <v>320597.40806784597</v>
      </c>
      <c r="U15" s="7">
        <f>T15*DealsRawTable[[#This Row],[Contract_Years]]</f>
        <v>320597.40806784597</v>
      </c>
      <c r="V15" s="8">
        <v>0.191</v>
      </c>
      <c r="W15" s="8">
        <v>0.188</v>
      </c>
      <c r="X15" s="8">
        <v>-7.0000000000000001E-3</v>
      </c>
      <c r="Y15" t="s">
        <v>909</v>
      </c>
      <c r="Z15" t="s">
        <v>889</v>
      </c>
      <c r="AA15" s="6">
        <v>260342.59850538964</v>
      </c>
      <c r="AB15" s="7">
        <f>DealsRawTable[[#This Row],[Final_Price_ACV]]*DealsRawTable[[#This Row],[Contract_Years]]</f>
        <v>260342.59850538964</v>
      </c>
      <c r="AC15" s="6">
        <v>126422.6721793515</v>
      </c>
      <c r="AD15" s="6">
        <v>133919.92632603814</v>
      </c>
      <c r="AE15" s="8">
        <v>0.5143988233000053</v>
      </c>
      <c r="AF15" t="s">
        <v>457</v>
      </c>
      <c r="AI15" t="s">
        <v>38</v>
      </c>
      <c r="AJ15" s="6">
        <v>0</v>
      </c>
      <c r="AK15" s="6">
        <v>0</v>
      </c>
      <c r="AL15" t="s">
        <v>894</v>
      </c>
      <c r="AM15">
        <f t="shared" si="1"/>
        <v>260325.1</v>
      </c>
      <c r="AN15">
        <f>DealsRawTable[[#This Row],[Validated_Annual_Final_Price]]*DealsRawTable[[#This Row],[Contract_Years]]</f>
        <v>260325.1</v>
      </c>
      <c r="AO15">
        <f>DealsRawTable[[#This Row],[Validated_Annual_Final_Price]]-DealsRawTable[[#This Row],[Cost_to_Serve]]</f>
        <v>133902.4278206485</v>
      </c>
      <c r="AP15" s="17">
        <f>DealsRawTable[[#This Row],[Validated_Grossprofit]]/DealsRawTable[[#This Row],[Validated_Annual_Final_Price]]</f>
        <v>0.51436618221081443</v>
      </c>
      <c r="AQ15" s="17">
        <v>0</v>
      </c>
      <c r="AR15" s="17">
        <v>0</v>
      </c>
      <c r="AS15" s="17">
        <v>0</v>
      </c>
      <c r="AT15" s="17">
        <v>0</v>
      </c>
      <c r="AU15" s="17" t="str">
        <f t="shared" si="0"/>
        <v>15–20%</v>
      </c>
      <c r="AV15" s="17">
        <v>108</v>
      </c>
      <c r="AW15" s="17"/>
    </row>
    <row r="16" spans="1:49">
      <c r="A16" t="s">
        <v>910</v>
      </c>
      <c r="B16" s="5">
        <v>45340</v>
      </c>
      <c r="C16" t="s">
        <v>58</v>
      </c>
      <c r="D16" t="s">
        <v>59</v>
      </c>
      <c r="E16" t="s">
        <v>458</v>
      </c>
      <c r="F16" t="s">
        <v>449</v>
      </c>
      <c r="G16" t="s">
        <v>60</v>
      </c>
      <c r="H16" t="s">
        <v>35</v>
      </c>
      <c r="I16" t="s">
        <v>36</v>
      </c>
      <c r="J16" t="s">
        <v>56</v>
      </c>
      <c r="K16" t="s">
        <v>38</v>
      </c>
      <c r="L16" s="5">
        <v>43952</v>
      </c>
      <c r="M16">
        <v>66</v>
      </c>
      <c r="N16" t="s">
        <v>431</v>
      </c>
      <c r="O16" t="s">
        <v>876</v>
      </c>
      <c r="Q16">
        <v>1</v>
      </c>
      <c r="R16">
        <v>99</v>
      </c>
      <c r="S16" t="s">
        <v>900</v>
      </c>
      <c r="T16" s="6">
        <v>110842.8131253638</v>
      </c>
      <c r="U16" s="7">
        <f>T16*DealsRawTable[[#This Row],[Contract_Years]]</f>
        <v>110842.8131253638</v>
      </c>
      <c r="V16" s="8">
        <v>0.185</v>
      </c>
      <c r="W16" s="8">
        <v>0.16800000000000001</v>
      </c>
      <c r="X16" s="8">
        <v>-0.13100000000000001</v>
      </c>
      <c r="Y16" t="s">
        <v>911</v>
      </c>
      <c r="Z16" t="s">
        <v>889</v>
      </c>
      <c r="AA16" s="6">
        <v>92186.507436883607</v>
      </c>
      <c r="AB16" s="7">
        <f>DealsRawTable[[#This Row],[Final_Price_ACV]]*DealsRawTable[[#This Row],[Contract_Years]]</f>
        <v>92186.507436883607</v>
      </c>
      <c r="AC16" s="6">
        <v>40259.458722857315</v>
      </c>
      <c r="AD16" s="6">
        <v>51927.048714026292</v>
      </c>
      <c r="AE16" s="8">
        <v>0.56328252536932966</v>
      </c>
      <c r="AF16" t="s">
        <v>457</v>
      </c>
      <c r="AG16" t="s">
        <v>38</v>
      </c>
      <c r="AI16" t="s">
        <v>38</v>
      </c>
      <c r="AJ16" s="6">
        <v>0</v>
      </c>
      <c r="AK16" s="6">
        <v>0</v>
      </c>
      <c r="AL16" t="s">
        <v>881</v>
      </c>
      <c r="AM16">
        <f t="shared" si="1"/>
        <v>92221.22</v>
      </c>
      <c r="AN16">
        <f>DealsRawTable[[#This Row],[Validated_Annual_Final_Price]]*DealsRawTable[[#This Row],[Contract_Years]]</f>
        <v>92221.22</v>
      </c>
      <c r="AO16">
        <f>DealsRawTable[[#This Row],[Validated_Annual_Final_Price]]-DealsRawTable[[#This Row],[Cost_to_Serve]]</f>
        <v>51961.761277142687</v>
      </c>
      <c r="AP16" s="17">
        <f>DealsRawTable[[#This Row],[Validated_Grossprofit]]/DealsRawTable[[#This Row],[Validated_Annual_Final_Price]]</f>
        <v>0.56344690817517584</v>
      </c>
      <c r="AQ16" s="17">
        <v>0</v>
      </c>
      <c r="AR16" s="17">
        <v>0</v>
      </c>
      <c r="AS16" s="17">
        <v>0</v>
      </c>
      <c r="AT16" s="17">
        <v>0</v>
      </c>
      <c r="AU16" s="17" t="str">
        <f t="shared" si="0"/>
        <v>15–20%</v>
      </c>
      <c r="AV16" s="17">
        <v>108</v>
      </c>
      <c r="AW16" s="17"/>
    </row>
    <row r="17" spans="1:49">
      <c r="A17" t="s">
        <v>912</v>
      </c>
      <c r="B17" s="5">
        <v>45432</v>
      </c>
      <c r="C17" t="s">
        <v>58</v>
      </c>
      <c r="D17" t="s">
        <v>59</v>
      </c>
      <c r="E17" t="s">
        <v>459</v>
      </c>
      <c r="F17" t="s">
        <v>34</v>
      </c>
      <c r="G17" t="s">
        <v>60</v>
      </c>
      <c r="H17" t="s">
        <v>35</v>
      </c>
      <c r="I17" t="s">
        <v>36</v>
      </c>
      <c r="J17" t="s">
        <v>56</v>
      </c>
      <c r="K17" t="s">
        <v>38</v>
      </c>
      <c r="L17" s="5">
        <v>43952</v>
      </c>
      <c r="M17">
        <v>66</v>
      </c>
      <c r="N17" t="s">
        <v>429</v>
      </c>
      <c r="O17" t="s">
        <v>876</v>
      </c>
      <c r="Q17">
        <v>1</v>
      </c>
      <c r="R17">
        <v>209</v>
      </c>
      <c r="S17" t="s">
        <v>888</v>
      </c>
      <c r="T17" s="6">
        <v>110315.3150787161</v>
      </c>
      <c r="U17" s="7">
        <f>T17*DealsRawTable[[#This Row],[Contract_Years]]</f>
        <v>110315.3150787161</v>
      </c>
      <c r="V17" s="8">
        <v>0.13700000000000001</v>
      </c>
      <c r="W17" s="8">
        <v>0.115</v>
      </c>
      <c r="X17" s="8">
        <v>-4.1000000000000002E-2</v>
      </c>
      <c r="Y17" t="s">
        <v>885</v>
      </c>
      <c r="Z17" t="s">
        <v>889</v>
      </c>
      <c r="AA17" s="6">
        <v>97591.584522071469</v>
      </c>
      <c r="AB17" s="7">
        <f>DealsRawTable[[#This Row],[Final_Price_ACV]]*DealsRawTable[[#This Row],[Contract_Years]]</f>
        <v>97591.584522071469</v>
      </c>
      <c r="AC17" s="6">
        <v>37804.253901181015</v>
      </c>
      <c r="AD17" s="6">
        <v>59787.330620890454</v>
      </c>
      <c r="AE17" s="8">
        <v>0.612627932148892</v>
      </c>
      <c r="AF17" t="s">
        <v>880</v>
      </c>
      <c r="AG17" t="s">
        <v>44</v>
      </c>
      <c r="AI17" t="s">
        <v>38</v>
      </c>
      <c r="AJ17" s="6">
        <v>97591.584522071469</v>
      </c>
      <c r="AK17" s="6">
        <v>59787.330620890454</v>
      </c>
      <c r="AL17" t="s">
        <v>881</v>
      </c>
      <c r="AM17">
        <f t="shared" si="1"/>
        <v>97629.05</v>
      </c>
      <c r="AN17">
        <f>DealsRawTable[[#This Row],[Validated_Annual_Final_Price]]*DealsRawTable[[#This Row],[Contract_Years]]</f>
        <v>97629.05</v>
      </c>
      <c r="AO17">
        <f>DealsRawTable[[#This Row],[Validated_Annual_Final_Price]]-DealsRawTable[[#This Row],[Cost_to_Serve]]</f>
        <v>59824.796098818988</v>
      </c>
      <c r="AP17" s="17">
        <f>DealsRawTable[[#This Row],[Validated_Grossprofit]]/DealsRawTable[[#This Row],[Validated_Annual_Final_Price]]</f>
        <v>0.61277658748926667</v>
      </c>
      <c r="AQ17" s="17">
        <v>97629.05</v>
      </c>
      <c r="AR17" s="17">
        <v>97629.05</v>
      </c>
      <c r="AS17" s="17">
        <v>59824.796098818988</v>
      </c>
      <c r="AT17" s="17">
        <v>0.61277658748926667</v>
      </c>
      <c r="AU17" s="17" t="str">
        <f t="shared" si="0"/>
        <v>10–15%</v>
      </c>
      <c r="AV17" s="17">
        <v>113</v>
      </c>
      <c r="AW17" s="17"/>
    </row>
    <row r="18" spans="1:49">
      <c r="A18" t="s">
        <v>913</v>
      </c>
      <c r="B18" s="5">
        <v>45797</v>
      </c>
      <c r="C18" t="s">
        <v>58</v>
      </c>
      <c r="D18" t="s">
        <v>59</v>
      </c>
      <c r="E18" t="s">
        <v>459</v>
      </c>
      <c r="F18" t="s">
        <v>34</v>
      </c>
      <c r="G18" t="s">
        <v>60</v>
      </c>
      <c r="H18" t="s">
        <v>35</v>
      </c>
      <c r="I18" t="s">
        <v>36</v>
      </c>
      <c r="J18" t="s">
        <v>56</v>
      </c>
      <c r="K18" t="s">
        <v>38</v>
      </c>
      <c r="L18" s="5">
        <v>43952</v>
      </c>
      <c r="M18">
        <v>66</v>
      </c>
      <c r="N18" t="s">
        <v>429</v>
      </c>
      <c r="O18" t="s">
        <v>876</v>
      </c>
      <c r="Q18">
        <v>1</v>
      </c>
      <c r="R18">
        <v>209</v>
      </c>
      <c r="S18" t="s">
        <v>877</v>
      </c>
      <c r="T18" s="6">
        <v>117035.83469051847</v>
      </c>
      <c r="U18" s="7">
        <f>T18*DealsRawTable[[#This Row],[Contract_Years]]</f>
        <v>117035.83469051847</v>
      </c>
      <c r="V18" s="8">
        <v>0.21299999999999999</v>
      </c>
      <c r="W18" s="8">
        <v>0.21199999999999999</v>
      </c>
      <c r="X18" s="8">
        <v>-1E-3</v>
      </c>
      <c r="Y18" t="s">
        <v>911</v>
      </c>
      <c r="Z18" t="s">
        <v>893</v>
      </c>
      <c r="AA18" s="6">
        <v>92239.590813589384</v>
      </c>
      <c r="AB18" s="7">
        <f>DealsRawTable[[#This Row],[Final_Price_ACV]]*DealsRawTable[[#This Row],[Contract_Years]]</f>
        <v>92239.590813589384</v>
      </c>
      <c r="AC18" s="6">
        <v>45049.823219779239</v>
      </c>
      <c r="AD18" s="6">
        <v>47189.767593810146</v>
      </c>
      <c r="AE18" s="8">
        <v>0.51159992339057314</v>
      </c>
      <c r="AF18" t="s">
        <v>457</v>
      </c>
      <c r="AG18" t="s">
        <v>38</v>
      </c>
      <c r="AI18" t="s">
        <v>38</v>
      </c>
      <c r="AJ18" s="6">
        <v>0</v>
      </c>
      <c r="AK18" s="6">
        <v>0</v>
      </c>
      <c r="AL18" t="s">
        <v>881</v>
      </c>
      <c r="AM18">
        <f t="shared" si="1"/>
        <v>92224.24</v>
      </c>
      <c r="AN18">
        <f>DealsRawTable[[#This Row],[Validated_Annual_Final_Price]]*DealsRawTable[[#This Row],[Contract_Years]]</f>
        <v>92224.24</v>
      </c>
      <c r="AO18">
        <f>DealsRawTable[[#This Row],[Validated_Annual_Final_Price]]-DealsRawTable[[#This Row],[Cost_to_Serve]]</f>
        <v>47174.416780220767</v>
      </c>
      <c r="AP18" s="17">
        <f>DealsRawTable[[#This Row],[Validated_Grossprofit]]/DealsRawTable[[#This Row],[Validated_Annual_Final_Price]]</f>
        <v>0.51151862872733633</v>
      </c>
      <c r="AQ18" s="17">
        <v>0</v>
      </c>
      <c r="AR18" s="17">
        <v>0</v>
      </c>
      <c r="AS18" s="17">
        <v>0</v>
      </c>
      <c r="AT18" s="17">
        <v>0</v>
      </c>
      <c r="AU18" s="17" t="str">
        <f t="shared" si="0"/>
        <v>20–25%</v>
      </c>
      <c r="AV18" s="17">
        <v>29</v>
      </c>
      <c r="AW18" s="17"/>
    </row>
    <row r="19" spans="1:49">
      <c r="A19" t="s">
        <v>914</v>
      </c>
      <c r="B19" s="5">
        <v>45925</v>
      </c>
      <c r="C19" t="s">
        <v>58</v>
      </c>
      <c r="D19" t="s">
        <v>59</v>
      </c>
      <c r="E19" t="s">
        <v>459</v>
      </c>
      <c r="F19" t="s">
        <v>34</v>
      </c>
      <c r="G19" t="s">
        <v>60</v>
      </c>
      <c r="H19" t="s">
        <v>35</v>
      </c>
      <c r="I19" t="s">
        <v>36</v>
      </c>
      <c r="J19" t="s">
        <v>56</v>
      </c>
      <c r="K19" t="s">
        <v>38</v>
      </c>
      <c r="L19" s="5">
        <v>43952</v>
      </c>
      <c r="M19">
        <v>66</v>
      </c>
      <c r="N19" t="s">
        <v>429</v>
      </c>
      <c r="O19" t="s">
        <v>915</v>
      </c>
      <c r="Q19">
        <v>1</v>
      </c>
      <c r="R19">
        <v>209</v>
      </c>
      <c r="S19" t="s">
        <v>907</v>
      </c>
      <c r="T19" s="6">
        <v>117035.83469051847</v>
      </c>
      <c r="U19" s="7">
        <f>T19*DealsRawTable[[#This Row],[Contract_Years]]</f>
        <v>117035.83469051847</v>
      </c>
      <c r="V19" s="8">
        <v>0.27400000000000002</v>
      </c>
      <c r="W19" s="8">
        <v>0.26400000000000001</v>
      </c>
      <c r="X19" s="8">
        <v>-4.1000000000000002E-2</v>
      </c>
      <c r="Y19" t="s">
        <v>878</v>
      </c>
      <c r="Z19" t="s">
        <v>893</v>
      </c>
      <c r="AA19" s="6">
        <v>86133.571058483954</v>
      </c>
      <c r="AB19" s="7">
        <f>DealsRawTable[[#This Row],[Final_Price_ACV]]*DealsRawTable[[#This Row],[Contract_Years]]</f>
        <v>86133.571058483954</v>
      </c>
      <c r="AC19" s="6">
        <v>38249.246020033119</v>
      </c>
      <c r="AD19" s="6">
        <v>47884.325038450836</v>
      </c>
      <c r="AE19" s="8">
        <v>0.55593103188462711</v>
      </c>
      <c r="AF19" t="s">
        <v>880</v>
      </c>
      <c r="AI19" t="s">
        <v>44</v>
      </c>
      <c r="AJ19" s="6">
        <v>86133.571058483954</v>
      </c>
      <c r="AK19" s="6">
        <v>47884.325038450836</v>
      </c>
      <c r="AL19" t="s">
        <v>916</v>
      </c>
      <c r="AM19">
        <f t="shared" si="1"/>
        <v>86138.37</v>
      </c>
      <c r="AN19">
        <f>DealsRawTable[[#This Row],[Validated_Annual_Final_Price]]*DealsRawTable[[#This Row],[Contract_Years]]</f>
        <v>86138.37</v>
      </c>
      <c r="AO19">
        <f>DealsRawTable[[#This Row],[Validated_Annual_Final_Price]]-DealsRawTable[[#This Row],[Cost_to_Serve]]</f>
        <v>47889.123979966877</v>
      </c>
      <c r="AP19" s="17">
        <f>DealsRawTable[[#This Row],[Validated_Grossprofit]]/DealsRawTable[[#This Row],[Validated_Annual_Final_Price]]</f>
        <v>0.55595577185831213</v>
      </c>
      <c r="AQ19" s="17">
        <v>86138.37</v>
      </c>
      <c r="AR19" s="17">
        <v>86138.37</v>
      </c>
      <c r="AS19" s="17">
        <v>47889.123979966877</v>
      </c>
      <c r="AT19" s="17">
        <v>0.55595577185831213</v>
      </c>
      <c r="AU19" s="17" t="str">
        <f t="shared" si="0"/>
        <v>25–30%</v>
      </c>
      <c r="AV19" s="17">
        <v>3</v>
      </c>
      <c r="AW19" s="17"/>
    </row>
    <row r="20" spans="1:49">
      <c r="A20" t="s">
        <v>917</v>
      </c>
      <c r="B20" s="5">
        <v>45344</v>
      </c>
      <c r="C20" t="s">
        <v>61</v>
      </c>
      <c r="D20" t="s">
        <v>62</v>
      </c>
      <c r="E20" t="s">
        <v>460</v>
      </c>
      <c r="F20" t="s">
        <v>34</v>
      </c>
      <c r="G20" t="s">
        <v>34</v>
      </c>
      <c r="H20" t="s">
        <v>54</v>
      </c>
      <c r="I20" t="s">
        <v>55</v>
      </c>
      <c r="J20" t="s">
        <v>56</v>
      </c>
      <c r="K20" t="s">
        <v>38</v>
      </c>
      <c r="L20" s="5">
        <v>45323</v>
      </c>
      <c r="M20">
        <v>73</v>
      </c>
      <c r="N20" t="s">
        <v>429</v>
      </c>
      <c r="O20" t="s">
        <v>891</v>
      </c>
      <c r="Q20">
        <v>1</v>
      </c>
      <c r="R20">
        <v>131</v>
      </c>
      <c r="S20" t="s">
        <v>892</v>
      </c>
      <c r="T20" s="6">
        <v>184726.33752709901</v>
      </c>
      <c r="U20" s="7">
        <f>T20*DealsRawTable[[#This Row],[Contract_Years]]</f>
        <v>184726.33752709901</v>
      </c>
      <c r="V20" s="8">
        <v>0.127</v>
      </c>
      <c r="W20" s="8">
        <v>9.9000000000000005E-2</v>
      </c>
      <c r="X20" s="8">
        <v>3.5999999999999997E-2</v>
      </c>
      <c r="Y20" t="s">
        <v>885</v>
      </c>
      <c r="Z20" t="s">
        <v>879</v>
      </c>
      <c r="AA20" s="6">
        <v>166516.73221357822</v>
      </c>
      <c r="AB20" s="7">
        <f>DealsRawTable[[#This Row],[Final_Price_ACV]]*DealsRawTable[[#This Row],[Contract_Years]]</f>
        <v>166516.73221357822</v>
      </c>
      <c r="AC20" s="6">
        <v>58415.091549074845</v>
      </c>
      <c r="AD20" s="6">
        <v>108101.64066450337</v>
      </c>
      <c r="AE20" s="8">
        <v>0.64919386314793703</v>
      </c>
      <c r="AF20" t="s">
        <v>457</v>
      </c>
      <c r="AI20" t="s">
        <v>38</v>
      </c>
      <c r="AJ20" s="6">
        <v>0</v>
      </c>
      <c r="AK20" s="6">
        <v>0</v>
      </c>
      <c r="AL20" t="s">
        <v>894</v>
      </c>
      <c r="AM20">
        <f t="shared" si="1"/>
        <v>166438.43</v>
      </c>
      <c r="AN20">
        <f>DealsRawTable[[#This Row],[Validated_Annual_Final_Price]]*DealsRawTable[[#This Row],[Contract_Years]]</f>
        <v>166438.43</v>
      </c>
      <c r="AO20">
        <f>DealsRawTable[[#This Row],[Validated_Annual_Final_Price]]-DealsRawTable[[#This Row],[Cost_to_Serve]]</f>
        <v>108023.33845092515</v>
      </c>
      <c r="AP20" s="17">
        <f>DealsRawTable[[#This Row],[Validated_Grossprofit]]/DealsRawTable[[#This Row],[Validated_Annual_Final_Price]]</f>
        <v>0.6490288237573808</v>
      </c>
      <c r="AQ20" s="17">
        <v>0</v>
      </c>
      <c r="AR20" s="17">
        <v>0</v>
      </c>
      <c r="AS20" s="17">
        <v>0</v>
      </c>
      <c r="AT20" s="17">
        <v>0</v>
      </c>
      <c r="AU20" s="17" t="str">
        <f t="shared" si="0"/>
        <v>5–10%</v>
      </c>
      <c r="AV20" s="17">
        <v>116</v>
      </c>
      <c r="AW20" s="17"/>
    </row>
    <row r="21" spans="1:49">
      <c r="A21" t="s">
        <v>918</v>
      </c>
      <c r="B21" s="5">
        <v>45685</v>
      </c>
      <c r="C21" t="s">
        <v>61</v>
      </c>
      <c r="D21" t="s">
        <v>62</v>
      </c>
      <c r="E21" t="s">
        <v>461</v>
      </c>
      <c r="F21" t="s">
        <v>449</v>
      </c>
      <c r="G21" t="s">
        <v>34</v>
      </c>
      <c r="H21" t="s">
        <v>54</v>
      </c>
      <c r="I21" t="s">
        <v>55</v>
      </c>
      <c r="J21" t="s">
        <v>56</v>
      </c>
      <c r="K21" t="s">
        <v>38</v>
      </c>
      <c r="L21" s="5">
        <v>45323</v>
      </c>
      <c r="M21">
        <v>73</v>
      </c>
      <c r="N21" t="s">
        <v>433</v>
      </c>
      <c r="O21" t="s">
        <v>891</v>
      </c>
      <c r="Q21">
        <v>1</v>
      </c>
      <c r="R21">
        <v>210</v>
      </c>
      <c r="S21" t="s">
        <v>877</v>
      </c>
      <c r="T21" s="6">
        <v>259121.63645553179</v>
      </c>
      <c r="U21" s="7">
        <f>T21*DealsRawTable[[#This Row],[Contract_Years]]</f>
        <v>259121.63645553179</v>
      </c>
      <c r="V21" s="8">
        <v>0.13800000000000001</v>
      </c>
      <c r="W21" s="8">
        <v>0.10299999999999999</v>
      </c>
      <c r="X21" s="8">
        <v>0.112</v>
      </c>
      <c r="Y21" t="s">
        <v>885</v>
      </c>
      <c r="Z21" t="s">
        <v>889</v>
      </c>
      <c r="AA21" s="6">
        <v>232470.33258930541</v>
      </c>
      <c r="AB21" s="7">
        <f>DealsRawTable[[#This Row],[Final_Price_ACV]]*DealsRawTable[[#This Row],[Contract_Years]]</f>
        <v>232470.33258930541</v>
      </c>
      <c r="AC21" s="6">
        <v>92801.565502761703</v>
      </c>
      <c r="AD21" s="6">
        <v>139668.76708654372</v>
      </c>
      <c r="AE21" s="8">
        <v>0.60080254340793704</v>
      </c>
      <c r="AF21" t="s">
        <v>457</v>
      </c>
      <c r="AI21" t="s">
        <v>38</v>
      </c>
      <c r="AJ21" s="6">
        <v>0</v>
      </c>
      <c r="AK21" s="6">
        <v>0</v>
      </c>
      <c r="AL21" t="s">
        <v>894</v>
      </c>
      <c r="AM21">
        <f t="shared" si="1"/>
        <v>232432.11</v>
      </c>
      <c r="AN21">
        <f>DealsRawTable[[#This Row],[Validated_Annual_Final_Price]]*DealsRawTable[[#This Row],[Contract_Years]]</f>
        <v>232432.11</v>
      </c>
      <c r="AO21">
        <f>DealsRawTable[[#This Row],[Validated_Annual_Final_Price]]-DealsRawTable[[#This Row],[Cost_to_Serve]]</f>
        <v>139630.5444972383</v>
      </c>
      <c r="AP21" s="17">
        <f>DealsRawTable[[#This Row],[Validated_Grossprofit]]/DealsRawTable[[#This Row],[Validated_Annual_Final_Price]]</f>
        <v>0.60073689688244147</v>
      </c>
      <c r="AQ21" s="17">
        <v>0</v>
      </c>
      <c r="AR21" s="17">
        <v>0</v>
      </c>
      <c r="AS21" s="17">
        <v>0</v>
      </c>
      <c r="AT21" s="17">
        <v>0</v>
      </c>
      <c r="AU21" s="17" t="str">
        <f t="shared" si="0"/>
        <v>10–15%</v>
      </c>
      <c r="AV21" s="17">
        <v>113</v>
      </c>
      <c r="AW21" s="17"/>
    </row>
    <row r="22" spans="1:49">
      <c r="A22" t="s">
        <v>919</v>
      </c>
      <c r="B22" s="5">
        <v>45341</v>
      </c>
      <c r="C22" t="s">
        <v>61</v>
      </c>
      <c r="D22" t="s">
        <v>62</v>
      </c>
      <c r="E22" t="s">
        <v>462</v>
      </c>
      <c r="F22" t="s">
        <v>445</v>
      </c>
      <c r="G22" t="s">
        <v>34</v>
      </c>
      <c r="H22" t="s">
        <v>54</v>
      </c>
      <c r="I22" t="s">
        <v>55</v>
      </c>
      <c r="J22" t="s">
        <v>56</v>
      </c>
      <c r="K22" t="s">
        <v>38</v>
      </c>
      <c r="L22" s="5">
        <v>45323</v>
      </c>
      <c r="M22">
        <v>73</v>
      </c>
      <c r="N22" t="s">
        <v>433</v>
      </c>
      <c r="O22" t="s">
        <v>891</v>
      </c>
      <c r="Q22">
        <v>3</v>
      </c>
      <c r="R22">
        <v>213</v>
      </c>
      <c r="S22" t="s">
        <v>888</v>
      </c>
      <c r="T22" s="6">
        <v>196873.50556857319</v>
      </c>
      <c r="U22" s="7">
        <f>T22*DealsRawTable[[#This Row],[Contract_Years]]</f>
        <v>590620.51670571952</v>
      </c>
      <c r="V22" s="8">
        <v>6.9000000000000006E-2</v>
      </c>
      <c r="W22" s="8">
        <v>3.3000000000000002E-2</v>
      </c>
      <c r="X22" s="8">
        <v>0.15</v>
      </c>
      <c r="Y22" t="s">
        <v>902</v>
      </c>
      <c r="Z22" t="s">
        <v>879</v>
      </c>
      <c r="AA22" s="6">
        <v>190467.74724976684</v>
      </c>
      <c r="AB22" s="7">
        <f>DealsRawTable[[#This Row],[Final_Price_ACV]]*DealsRawTable[[#This Row],[Contract_Years]]</f>
        <v>571403.24174930051</v>
      </c>
      <c r="AC22" s="6">
        <v>70817.896333771874</v>
      </c>
      <c r="AD22" s="6">
        <v>119649.85091599496</v>
      </c>
      <c r="AE22" s="8">
        <v>0.62818956302924112</v>
      </c>
      <c r="AF22" t="s">
        <v>880</v>
      </c>
      <c r="AI22" t="s">
        <v>38</v>
      </c>
      <c r="AJ22" s="6">
        <v>190467.74724976684</v>
      </c>
      <c r="AK22" s="6">
        <v>119649.85091599496</v>
      </c>
      <c r="AL22" t="s">
        <v>894</v>
      </c>
      <c r="AM22">
        <f t="shared" si="1"/>
        <v>190376.68</v>
      </c>
      <c r="AN22">
        <f>DealsRawTable[[#This Row],[Validated_Annual_Final_Price]]*DealsRawTable[[#This Row],[Contract_Years]]</f>
        <v>571130.04</v>
      </c>
      <c r="AO22">
        <f>DealsRawTable[[#This Row],[Validated_Annual_Final_Price]]-DealsRawTable[[#This Row],[Cost_to_Serve]]</f>
        <v>119558.78366622812</v>
      </c>
      <c r="AP22" s="17">
        <f>DealsRawTable[[#This Row],[Validated_Grossprofit]]/DealsRawTable[[#This Row],[Validated_Annual_Final_Price]]</f>
        <v>0.62801170640347403</v>
      </c>
      <c r="AQ22" s="17">
        <v>190376.68</v>
      </c>
      <c r="AR22" s="17">
        <v>571130.04</v>
      </c>
      <c r="AS22" s="17">
        <v>119558.78366622812</v>
      </c>
      <c r="AT22" s="17">
        <v>0.62801170640347403</v>
      </c>
      <c r="AU22" s="17" t="str">
        <f t="shared" si="0"/>
        <v>0–5%</v>
      </c>
      <c r="AV22" s="17">
        <v>55</v>
      </c>
      <c r="AW22" s="17"/>
    </row>
    <row r="23" spans="1:49">
      <c r="A23" t="s">
        <v>920</v>
      </c>
      <c r="B23" s="5">
        <v>45310</v>
      </c>
      <c r="C23" t="s">
        <v>63</v>
      </c>
      <c r="D23" t="s">
        <v>64</v>
      </c>
      <c r="E23" t="s">
        <v>463</v>
      </c>
      <c r="F23" t="s">
        <v>449</v>
      </c>
      <c r="G23" t="s">
        <v>53</v>
      </c>
      <c r="H23" t="s">
        <v>48</v>
      </c>
      <c r="I23" t="s">
        <v>49</v>
      </c>
      <c r="J23" t="s">
        <v>56</v>
      </c>
      <c r="K23" t="s">
        <v>38</v>
      </c>
      <c r="L23" s="5">
        <v>43160</v>
      </c>
      <c r="M23">
        <v>47</v>
      </c>
      <c r="N23" t="s">
        <v>427</v>
      </c>
      <c r="O23" t="s">
        <v>891</v>
      </c>
      <c r="Q23">
        <v>2</v>
      </c>
      <c r="R23">
        <v>204</v>
      </c>
      <c r="S23" t="s">
        <v>907</v>
      </c>
      <c r="T23" s="6">
        <v>112696.56716609298</v>
      </c>
      <c r="U23" s="7">
        <f>T23*DealsRawTable[[#This Row],[Contract_Years]]</f>
        <v>225393.13433218596</v>
      </c>
      <c r="V23" s="8">
        <v>0.218</v>
      </c>
      <c r="W23" s="8">
        <v>0.19500000000000001</v>
      </c>
      <c r="X23" s="8">
        <v>-7.1999999999999995E-2</v>
      </c>
      <c r="Y23" t="s">
        <v>902</v>
      </c>
      <c r="Z23" t="s">
        <v>889</v>
      </c>
      <c r="AA23" s="6">
        <v>90720.722491375025</v>
      </c>
      <c r="AB23" s="7">
        <f>DealsRawTable[[#This Row],[Final_Price_ACV]]*DealsRawTable[[#This Row],[Contract_Years]]</f>
        <v>181441.44498275005</v>
      </c>
      <c r="AC23" s="6">
        <v>40187.432316292958</v>
      </c>
      <c r="AD23" s="6">
        <v>50533.290175082067</v>
      </c>
      <c r="AE23" s="8">
        <v>0.55702036742362093</v>
      </c>
      <c r="AF23" t="s">
        <v>457</v>
      </c>
      <c r="AI23" t="s">
        <v>38</v>
      </c>
      <c r="AJ23" s="6">
        <v>0</v>
      </c>
      <c r="AK23" s="6">
        <v>0</v>
      </c>
      <c r="AL23" t="s">
        <v>894</v>
      </c>
      <c r="AM23">
        <f t="shared" si="1"/>
        <v>90720.74</v>
      </c>
      <c r="AN23">
        <f>DealsRawTable[[#This Row],[Validated_Annual_Final_Price]]*DealsRawTable[[#This Row],[Contract_Years]]</f>
        <v>181441.48</v>
      </c>
      <c r="AO23">
        <f>DealsRawTable[[#This Row],[Validated_Annual_Final_Price]]-DealsRawTable[[#This Row],[Cost_to_Serve]]</f>
        <v>50533.307683707048</v>
      </c>
      <c r="AP23" s="17">
        <f>DealsRawTable[[#This Row],[Validated_Grossprofit]]/DealsRawTable[[#This Row],[Validated_Annual_Final_Price]]</f>
        <v>0.55702045291635682</v>
      </c>
      <c r="AQ23" s="17">
        <v>0</v>
      </c>
      <c r="AR23" s="17">
        <v>0</v>
      </c>
      <c r="AS23" s="17">
        <v>0</v>
      </c>
      <c r="AT23" s="17">
        <v>0</v>
      </c>
      <c r="AU23" s="17" t="str">
        <f t="shared" si="0"/>
        <v>15–20%</v>
      </c>
      <c r="AV23" s="17">
        <v>108</v>
      </c>
      <c r="AW23" s="17"/>
    </row>
    <row r="24" spans="1:49">
      <c r="A24" t="s">
        <v>921</v>
      </c>
      <c r="B24" s="5">
        <v>45504</v>
      </c>
      <c r="C24" t="s">
        <v>63</v>
      </c>
      <c r="D24" t="s">
        <v>64</v>
      </c>
      <c r="E24" t="s">
        <v>464</v>
      </c>
      <c r="F24" t="s">
        <v>449</v>
      </c>
      <c r="G24" t="s">
        <v>53</v>
      </c>
      <c r="H24" t="s">
        <v>48</v>
      </c>
      <c r="I24" t="s">
        <v>49</v>
      </c>
      <c r="J24" t="s">
        <v>56</v>
      </c>
      <c r="K24" t="s">
        <v>38</v>
      </c>
      <c r="L24" s="5">
        <v>43160</v>
      </c>
      <c r="M24">
        <v>47</v>
      </c>
      <c r="N24" t="s">
        <v>424</v>
      </c>
      <c r="O24" t="s">
        <v>876</v>
      </c>
      <c r="Q24">
        <v>1</v>
      </c>
      <c r="R24">
        <v>305</v>
      </c>
      <c r="S24" t="s">
        <v>888</v>
      </c>
      <c r="T24" s="6">
        <v>65414.549504257782</v>
      </c>
      <c r="U24" s="7">
        <f>T24*DealsRawTable[[#This Row],[Contract_Years]]</f>
        <v>65414.549504257782</v>
      </c>
      <c r="V24" s="8">
        <v>0.16300000000000001</v>
      </c>
      <c r="W24" s="8">
        <v>0.14899999999999999</v>
      </c>
      <c r="X24" s="8">
        <v>-2.3E-2</v>
      </c>
      <c r="Y24" t="s">
        <v>878</v>
      </c>
      <c r="Z24" t="s">
        <v>889</v>
      </c>
      <c r="AA24" s="6">
        <v>55639.639669748693</v>
      </c>
      <c r="AB24" s="7">
        <f>DealsRawTable[[#This Row],[Final_Price_ACV]]*DealsRawTable[[#This Row],[Contract_Years]]</f>
        <v>55639.639669748693</v>
      </c>
      <c r="AC24" s="6">
        <v>19905.246992212054</v>
      </c>
      <c r="AD24" s="6">
        <v>35734.392677536642</v>
      </c>
      <c r="AE24" s="8">
        <v>0.64224701830636499</v>
      </c>
      <c r="AF24" t="s">
        <v>457</v>
      </c>
      <c r="AG24" t="s">
        <v>38</v>
      </c>
      <c r="AI24" t="s">
        <v>38</v>
      </c>
      <c r="AJ24" s="6">
        <v>0</v>
      </c>
      <c r="AK24" s="6">
        <v>0</v>
      </c>
      <c r="AL24" t="s">
        <v>881</v>
      </c>
      <c r="AM24">
        <f t="shared" si="1"/>
        <v>55667.78</v>
      </c>
      <c r="AN24">
        <f>DealsRawTable[[#This Row],[Validated_Annual_Final_Price]]*DealsRawTable[[#This Row],[Contract_Years]]</f>
        <v>55667.78</v>
      </c>
      <c r="AO24">
        <f>DealsRawTable[[#This Row],[Validated_Annual_Final_Price]]-DealsRawTable[[#This Row],[Cost_to_Serve]]</f>
        <v>35762.533007787948</v>
      </c>
      <c r="AP24" s="17">
        <f>DealsRawTable[[#This Row],[Validated_Grossprofit]]/DealsRawTable[[#This Row],[Validated_Annual_Final_Price]]</f>
        <v>0.64242786415747044</v>
      </c>
      <c r="AQ24" s="17">
        <v>0</v>
      </c>
      <c r="AR24" s="17">
        <v>0</v>
      </c>
      <c r="AS24" s="17">
        <v>0</v>
      </c>
      <c r="AT24" s="17">
        <v>0</v>
      </c>
      <c r="AU24" s="17" t="str">
        <f t="shared" si="0"/>
        <v>10–15%</v>
      </c>
      <c r="AV24" s="17">
        <v>113</v>
      </c>
      <c r="AW24" s="17"/>
    </row>
    <row r="25" spans="1:49">
      <c r="A25" t="s">
        <v>922</v>
      </c>
      <c r="B25" s="5">
        <v>45391</v>
      </c>
      <c r="C25" t="s">
        <v>63</v>
      </c>
      <c r="D25" t="s">
        <v>64</v>
      </c>
      <c r="E25" t="s">
        <v>465</v>
      </c>
      <c r="F25" t="s">
        <v>466</v>
      </c>
      <c r="G25" t="s">
        <v>53</v>
      </c>
      <c r="H25" t="s">
        <v>48</v>
      </c>
      <c r="I25" t="s">
        <v>49</v>
      </c>
      <c r="J25" t="s">
        <v>56</v>
      </c>
      <c r="K25" t="s">
        <v>38</v>
      </c>
      <c r="L25" s="5">
        <v>43160</v>
      </c>
      <c r="M25">
        <v>47</v>
      </c>
      <c r="N25" t="s">
        <v>429</v>
      </c>
      <c r="O25" t="s">
        <v>876</v>
      </c>
      <c r="Q25">
        <v>1</v>
      </c>
      <c r="R25">
        <v>227</v>
      </c>
      <c r="S25" t="s">
        <v>877</v>
      </c>
      <c r="T25" s="6">
        <v>92718.099061046203</v>
      </c>
      <c r="U25" s="7">
        <f>T25*DealsRawTable[[#This Row],[Contract_Years]]</f>
        <v>92718.099061046203</v>
      </c>
      <c r="V25" s="8">
        <v>0.19700000000000001</v>
      </c>
      <c r="W25" s="8">
        <v>0.19500000000000001</v>
      </c>
      <c r="X25" s="8">
        <v>-0.114</v>
      </c>
      <c r="Y25" t="s">
        <v>878</v>
      </c>
      <c r="Z25" t="s">
        <v>889</v>
      </c>
      <c r="AA25" s="6">
        <v>74619.853473984156</v>
      </c>
      <c r="AB25" s="7">
        <f>DealsRawTable[[#This Row],[Final_Price_ACV]]*DealsRawTable[[#This Row],[Contract_Years]]</f>
        <v>74619.853473984156</v>
      </c>
      <c r="AC25" s="6">
        <v>35433.594947276732</v>
      </c>
      <c r="AD25" s="6">
        <v>39186.258526707425</v>
      </c>
      <c r="AE25" s="8">
        <v>0.52514520871271242</v>
      </c>
      <c r="AF25" t="s">
        <v>880</v>
      </c>
      <c r="AG25" t="s">
        <v>44</v>
      </c>
      <c r="AI25" t="s">
        <v>38</v>
      </c>
      <c r="AJ25" s="6">
        <v>74619.853473984156</v>
      </c>
      <c r="AK25" s="6">
        <v>39186.258526707425</v>
      </c>
      <c r="AL25" t="s">
        <v>881</v>
      </c>
      <c r="AM25">
        <f t="shared" si="1"/>
        <v>74638.070000000007</v>
      </c>
      <c r="AN25">
        <f>DealsRawTable[[#This Row],[Validated_Annual_Final_Price]]*DealsRawTable[[#This Row],[Contract_Years]]</f>
        <v>74638.070000000007</v>
      </c>
      <c r="AO25">
        <f>DealsRawTable[[#This Row],[Validated_Annual_Final_Price]]-DealsRawTable[[#This Row],[Cost_to_Serve]]</f>
        <v>39204.475052723275</v>
      </c>
      <c r="AP25" s="17">
        <f>DealsRawTable[[#This Row],[Validated_Grossprofit]]/DealsRawTable[[#This Row],[Validated_Annual_Final_Price]]</f>
        <v>0.52526110405485127</v>
      </c>
      <c r="AQ25" s="17">
        <v>74638.070000000007</v>
      </c>
      <c r="AR25" s="17">
        <v>74638.070000000007</v>
      </c>
      <c r="AS25" s="17">
        <v>39204.475052723275</v>
      </c>
      <c r="AT25" s="17">
        <v>0.52526110405485127</v>
      </c>
      <c r="AU25" s="17" t="str">
        <f t="shared" si="0"/>
        <v>15–20%</v>
      </c>
      <c r="AV25" s="17">
        <v>108</v>
      </c>
      <c r="AW25" s="17"/>
    </row>
    <row r="26" spans="1:49">
      <c r="A26" t="s">
        <v>923</v>
      </c>
      <c r="B26" s="5">
        <v>45756</v>
      </c>
      <c r="C26" t="s">
        <v>63</v>
      </c>
      <c r="D26" t="s">
        <v>64</v>
      </c>
      <c r="E26" t="s">
        <v>465</v>
      </c>
      <c r="F26" t="s">
        <v>466</v>
      </c>
      <c r="G26" t="s">
        <v>53</v>
      </c>
      <c r="H26" t="s">
        <v>48</v>
      </c>
      <c r="I26" t="s">
        <v>49</v>
      </c>
      <c r="J26" t="s">
        <v>56</v>
      </c>
      <c r="K26" t="s">
        <v>38</v>
      </c>
      <c r="L26" s="5">
        <v>43160</v>
      </c>
      <c r="M26">
        <v>47</v>
      </c>
      <c r="N26" t="s">
        <v>429</v>
      </c>
      <c r="O26" t="s">
        <v>876</v>
      </c>
      <c r="Q26">
        <v>1</v>
      </c>
      <c r="R26">
        <v>227</v>
      </c>
      <c r="S26" t="s">
        <v>888</v>
      </c>
      <c r="T26" s="6">
        <v>99705.747883316188</v>
      </c>
      <c r="U26" s="7">
        <f>T26*DealsRawTable[[#This Row],[Contract_Years]]</f>
        <v>99705.747883316188</v>
      </c>
      <c r="V26" s="8">
        <v>0.20899999999999999</v>
      </c>
      <c r="W26" s="8">
        <v>0.17699999999999999</v>
      </c>
      <c r="X26" s="8">
        <v>1.2E-2</v>
      </c>
      <c r="Y26" t="s">
        <v>878</v>
      </c>
      <c r="Z26" t="s">
        <v>889</v>
      </c>
      <c r="AA26" s="6">
        <v>82087.56100594037</v>
      </c>
      <c r="AB26" s="7">
        <f>DealsRawTable[[#This Row],[Final_Price_ACV]]*DealsRawTable[[#This Row],[Contract_Years]]</f>
        <v>82087.56100594037</v>
      </c>
      <c r="AC26" s="6">
        <v>37524.630797920596</v>
      </c>
      <c r="AD26" s="6">
        <v>44562.930208019774</v>
      </c>
      <c r="AE26" s="8">
        <v>0.54287068176864117</v>
      </c>
      <c r="AF26" t="s">
        <v>880</v>
      </c>
      <c r="AG26" t="s">
        <v>44</v>
      </c>
      <c r="AI26" t="s">
        <v>38</v>
      </c>
      <c r="AJ26" s="6">
        <v>82087.56100594037</v>
      </c>
      <c r="AK26" s="6">
        <v>44562.930208019774</v>
      </c>
      <c r="AL26" t="s">
        <v>881</v>
      </c>
      <c r="AM26">
        <f t="shared" si="1"/>
        <v>82057.83</v>
      </c>
      <c r="AN26">
        <f>DealsRawTable[[#This Row],[Validated_Annual_Final_Price]]*DealsRawTable[[#This Row],[Contract_Years]]</f>
        <v>82057.83</v>
      </c>
      <c r="AO26">
        <f>DealsRawTable[[#This Row],[Validated_Annual_Final_Price]]-DealsRawTable[[#This Row],[Cost_to_Serve]]</f>
        <v>44533.199202079406</v>
      </c>
      <c r="AP26" s="17">
        <f>DealsRawTable[[#This Row],[Validated_Grossprofit]]/DealsRawTable[[#This Row],[Validated_Annual_Final_Price]]</f>
        <v>0.5427050557159433</v>
      </c>
      <c r="AQ26" s="17">
        <v>82057.83</v>
      </c>
      <c r="AR26" s="17">
        <v>82057.83</v>
      </c>
      <c r="AS26" s="17">
        <v>44533.199202079406</v>
      </c>
      <c r="AT26" s="17">
        <v>0.5427050557159433</v>
      </c>
      <c r="AU26" s="17" t="str">
        <f t="shared" si="0"/>
        <v>15–20%</v>
      </c>
      <c r="AV26" s="17">
        <v>108</v>
      </c>
      <c r="AW26" s="17"/>
    </row>
    <row r="27" spans="1:49">
      <c r="A27" t="s">
        <v>924</v>
      </c>
      <c r="B27" s="5">
        <v>45796</v>
      </c>
      <c r="C27" t="s">
        <v>63</v>
      </c>
      <c r="D27" t="s">
        <v>64</v>
      </c>
      <c r="E27" t="s">
        <v>467</v>
      </c>
      <c r="F27" t="s">
        <v>47</v>
      </c>
      <c r="G27" t="s">
        <v>53</v>
      </c>
      <c r="H27" t="s">
        <v>48</v>
      </c>
      <c r="I27" t="s">
        <v>49</v>
      </c>
      <c r="J27" t="s">
        <v>56</v>
      </c>
      <c r="K27" t="s">
        <v>38</v>
      </c>
      <c r="L27" s="5">
        <v>43160</v>
      </c>
      <c r="M27">
        <v>47</v>
      </c>
      <c r="N27" t="s">
        <v>433</v>
      </c>
      <c r="O27" t="s">
        <v>891</v>
      </c>
      <c r="Q27">
        <v>3</v>
      </c>
      <c r="R27">
        <v>133</v>
      </c>
      <c r="S27" t="s">
        <v>877</v>
      </c>
      <c r="T27" s="6">
        <v>362900.54353028967</v>
      </c>
      <c r="U27" s="7">
        <f>T27*DealsRawTable[[#This Row],[Contract_Years]]</f>
        <v>1088701.6305908691</v>
      </c>
      <c r="V27" s="8">
        <v>0.14699999999999999</v>
      </c>
      <c r="W27" s="8">
        <v>0.112</v>
      </c>
      <c r="X27" s="8">
        <v>-0.14000000000000001</v>
      </c>
      <c r="Y27" t="s">
        <v>905</v>
      </c>
      <c r="Z27" t="s">
        <v>889</v>
      </c>
      <c r="AA27" s="6">
        <v>322206.15675560193</v>
      </c>
      <c r="AB27" s="7">
        <f>DealsRawTable[[#This Row],[Final_Price_ACV]]*DealsRawTable[[#This Row],[Contract_Years]]</f>
        <v>966618.47026680573</v>
      </c>
      <c r="AC27" s="6">
        <v>137627.51091191306</v>
      </c>
      <c r="AD27" s="6">
        <v>184578.64584368886</v>
      </c>
      <c r="AE27" s="8">
        <v>0.57285884199815107</v>
      </c>
      <c r="AF27" t="s">
        <v>457</v>
      </c>
      <c r="AI27" t="s">
        <v>38</v>
      </c>
      <c r="AJ27" s="6">
        <v>0</v>
      </c>
      <c r="AK27" s="6">
        <v>0</v>
      </c>
      <c r="AL27" t="s">
        <v>894</v>
      </c>
      <c r="AM27">
        <f t="shared" si="1"/>
        <v>322255.68</v>
      </c>
      <c r="AN27">
        <f>DealsRawTable[[#This Row],[Validated_Annual_Final_Price]]*DealsRawTable[[#This Row],[Contract_Years]]</f>
        <v>966767.04</v>
      </c>
      <c r="AO27">
        <f>DealsRawTable[[#This Row],[Validated_Annual_Final_Price]]-DealsRawTable[[#This Row],[Cost_to_Serve]]</f>
        <v>184628.16908808693</v>
      </c>
      <c r="AP27" s="17">
        <f>DealsRawTable[[#This Row],[Validated_Grossprofit]]/DealsRawTable[[#This Row],[Validated_Annual_Final_Price]]</f>
        <v>0.57292448371456772</v>
      </c>
      <c r="AQ27" s="17">
        <v>0</v>
      </c>
      <c r="AR27" s="17">
        <v>0</v>
      </c>
      <c r="AS27" s="17">
        <v>0</v>
      </c>
      <c r="AT27" s="17">
        <v>0</v>
      </c>
      <c r="AU27" s="17" t="str">
        <f t="shared" si="0"/>
        <v>10–15%</v>
      </c>
      <c r="AV27" s="17">
        <v>113</v>
      </c>
      <c r="AW27" s="17"/>
    </row>
    <row r="28" spans="1:49">
      <c r="A28" t="s">
        <v>925</v>
      </c>
      <c r="B28" s="5">
        <v>45719</v>
      </c>
      <c r="C28" t="s">
        <v>65</v>
      </c>
      <c r="D28" t="s">
        <v>66</v>
      </c>
      <c r="E28" t="s">
        <v>468</v>
      </c>
      <c r="F28" t="s">
        <v>34</v>
      </c>
      <c r="G28" t="s">
        <v>47</v>
      </c>
      <c r="H28" t="s">
        <v>35</v>
      </c>
      <c r="I28" t="s">
        <v>42</v>
      </c>
      <c r="J28" t="s">
        <v>43</v>
      </c>
      <c r="K28" t="s">
        <v>44</v>
      </c>
      <c r="L28" s="5">
        <v>45536</v>
      </c>
      <c r="M28">
        <v>71</v>
      </c>
      <c r="N28" t="s">
        <v>429</v>
      </c>
      <c r="O28" t="s">
        <v>891</v>
      </c>
      <c r="Q28">
        <v>1</v>
      </c>
      <c r="R28">
        <v>796</v>
      </c>
      <c r="S28" t="s">
        <v>888</v>
      </c>
      <c r="T28" s="6">
        <v>181007.60392663832</v>
      </c>
      <c r="U28" s="7">
        <f>T28*DealsRawTable[[#This Row],[Contract_Years]]</f>
        <v>181007.60392663832</v>
      </c>
      <c r="V28" s="8">
        <v>0.25</v>
      </c>
      <c r="W28" s="8">
        <v>0.23400000000000001</v>
      </c>
      <c r="X28" s="8">
        <v>0.13400000000000001</v>
      </c>
      <c r="Y28" t="s">
        <v>909</v>
      </c>
      <c r="Z28" t="s">
        <v>893</v>
      </c>
      <c r="AA28" s="6">
        <v>138635.96416842093</v>
      </c>
      <c r="AB28" s="7">
        <f>DealsRawTable[[#This Row],[Final_Price_ACV]]*DealsRawTable[[#This Row],[Contract_Years]]</f>
        <v>138635.96416842093</v>
      </c>
      <c r="AC28" s="6">
        <v>66961.706135230095</v>
      </c>
      <c r="AD28" s="6">
        <v>71674.258033190839</v>
      </c>
      <c r="AE28" s="8">
        <v>0.51699613778512676</v>
      </c>
      <c r="AF28" t="s">
        <v>457</v>
      </c>
      <c r="AI28" t="s">
        <v>38</v>
      </c>
      <c r="AJ28" s="6">
        <v>0</v>
      </c>
      <c r="AK28" s="6">
        <v>0</v>
      </c>
      <c r="AL28" t="s">
        <v>894</v>
      </c>
      <c r="AM28">
        <f t="shared" si="1"/>
        <v>138651.82</v>
      </c>
      <c r="AN28">
        <f>DealsRawTable[[#This Row],[Validated_Annual_Final_Price]]*DealsRawTable[[#This Row],[Contract_Years]]</f>
        <v>138651.82</v>
      </c>
      <c r="AO28">
        <f>DealsRawTable[[#This Row],[Validated_Annual_Final_Price]]-DealsRawTable[[#This Row],[Cost_to_Serve]]</f>
        <v>71690.113864769912</v>
      </c>
      <c r="AP28" s="17">
        <f>DealsRawTable[[#This Row],[Validated_Grossprofit]]/DealsRawTable[[#This Row],[Validated_Annual_Final_Price]]</f>
        <v>0.51705137274627844</v>
      </c>
      <c r="AQ28" s="17">
        <v>0</v>
      </c>
      <c r="AR28" s="17">
        <v>0</v>
      </c>
      <c r="AS28" s="17">
        <v>0</v>
      </c>
      <c r="AT28" s="17">
        <v>0</v>
      </c>
      <c r="AU28" s="17" t="str">
        <f t="shared" si="0"/>
        <v>20–25%</v>
      </c>
      <c r="AV28" s="17">
        <v>29</v>
      </c>
      <c r="AW28" s="17"/>
    </row>
    <row r="29" spans="1:49">
      <c r="A29" t="s">
        <v>926</v>
      </c>
      <c r="B29" s="5">
        <v>45830</v>
      </c>
      <c r="C29" t="s">
        <v>65</v>
      </c>
      <c r="D29" t="s">
        <v>66</v>
      </c>
      <c r="E29" t="s">
        <v>469</v>
      </c>
      <c r="F29" t="s">
        <v>449</v>
      </c>
      <c r="G29" t="s">
        <v>47</v>
      </c>
      <c r="H29" t="s">
        <v>35</v>
      </c>
      <c r="I29" t="s">
        <v>42</v>
      </c>
      <c r="J29" t="s">
        <v>43</v>
      </c>
      <c r="K29" t="s">
        <v>44</v>
      </c>
      <c r="L29" s="5">
        <v>45536</v>
      </c>
      <c r="M29">
        <v>71</v>
      </c>
      <c r="N29" t="s">
        <v>427</v>
      </c>
      <c r="O29" t="s">
        <v>891</v>
      </c>
      <c r="Q29">
        <v>1</v>
      </c>
      <c r="R29">
        <v>1345</v>
      </c>
      <c r="S29" t="s">
        <v>877</v>
      </c>
      <c r="T29" s="6">
        <v>237976.41916023474</v>
      </c>
      <c r="U29" s="7">
        <f>T29*DealsRawTable[[#This Row],[Contract_Years]]</f>
        <v>237976.41916023474</v>
      </c>
      <c r="V29" s="8">
        <v>0.105</v>
      </c>
      <c r="W29" s="8">
        <v>0.1</v>
      </c>
      <c r="X29" s="8">
        <v>7.0000000000000007E-2</v>
      </c>
      <c r="Y29" t="s">
        <v>885</v>
      </c>
      <c r="Z29" t="s">
        <v>889</v>
      </c>
      <c r="AA29" s="6">
        <v>214135.77996422813</v>
      </c>
      <c r="AB29" s="7">
        <f>DealsRawTable[[#This Row],[Final_Price_ACV]]*DealsRawTable[[#This Row],[Contract_Years]]</f>
        <v>214135.77996422813</v>
      </c>
      <c r="AC29" s="6">
        <v>84085.734436483966</v>
      </c>
      <c r="AD29" s="6">
        <v>130050.04552774417</v>
      </c>
      <c r="AE29" s="8">
        <v>0.60732515392555753</v>
      </c>
      <c r="AF29" t="s">
        <v>457</v>
      </c>
      <c r="AI29" t="s">
        <v>38</v>
      </c>
      <c r="AJ29" s="6">
        <v>0</v>
      </c>
      <c r="AK29" s="6">
        <v>0</v>
      </c>
      <c r="AL29" t="s">
        <v>894</v>
      </c>
      <c r="AM29">
        <f t="shared" si="1"/>
        <v>214178.78</v>
      </c>
      <c r="AN29">
        <f>DealsRawTable[[#This Row],[Validated_Annual_Final_Price]]*DealsRawTable[[#This Row],[Contract_Years]]</f>
        <v>214178.78</v>
      </c>
      <c r="AO29">
        <f>DealsRawTable[[#This Row],[Validated_Annual_Final_Price]]-DealsRawTable[[#This Row],[Cost_to_Serve]]</f>
        <v>130093.04556351603</v>
      </c>
      <c r="AP29" s="17">
        <f>DealsRawTable[[#This Row],[Validated_Grossprofit]]/DealsRawTable[[#This Row],[Validated_Annual_Final_Price]]</f>
        <v>0.6074039900849002</v>
      </c>
      <c r="AQ29" s="17">
        <v>0</v>
      </c>
      <c r="AR29" s="17">
        <v>0</v>
      </c>
      <c r="AS29" s="17">
        <v>0</v>
      </c>
      <c r="AT29" s="17">
        <v>0</v>
      </c>
      <c r="AU29" s="17" t="str">
        <f t="shared" si="0"/>
        <v>5–10%</v>
      </c>
      <c r="AV29" s="17">
        <v>116</v>
      </c>
      <c r="AW29" s="17"/>
    </row>
    <row r="30" spans="1:49">
      <c r="A30" t="s">
        <v>927</v>
      </c>
      <c r="B30" s="5">
        <v>45580</v>
      </c>
      <c r="C30" t="s">
        <v>67</v>
      </c>
      <c r="D30" t="s">
        <v>68</v>
      </c>
      <c r="E30" t="s">
        <v>470</v>
      </c>
      <c r="F30" t="s">
        <v>445</v>
      </c>
      <c r="G30" t="s">
        <v>69</v>
      </c>
      <c r="H30" t="s">
        <v>70</v>
      </c>
      <c r="I30" t="s">
        <v>71</v>
      </c>
      <c r="J30" t="s">
        <v>37</v>
      </c>
      <c r="K30" t="s">
        <v>38</v>
      </c>
      <c r="L30" s="5">
        <v>44682</v>
      </c>
      <c r="M30">
        <v>38</v>
      </c>
      <c r="N30" t="s">
        <v>431</v>
      </c>
      <c r="O30" t="s">
        <v>891</v>
      </c>
      <c r="Q30">
        <v>1</v>
      </c>
      <c r="R30">
        <v>75</v>
      </c>
      <c r="S30" t="s">
        <v>892</v>
      </c>
      <c r="T30" s="6">
        <v>41655.050931630954</v>
      </c>
      <c r="U30" s="7">
        <f>T30*DealsRawTable[[#This Row],[Contract_Years]]</f>
        <v>41655.050931630954</v>
      </c>
      <c r="V30" s="8">
        <v>0.22600000000000001</v>
      </c>
      <c r="W30" s="8">
        <v>0.184</v>
      </c>
      <c r="X30" s="8">
        <v>-0.11700000000000001</v>
      </c>
      <c r="Y30" t="s">
        <v>909</v>
      </c>
      <c r="Z30" t="s">
        <v>889</v>
      </c>
      <c r="AA30" s="6">
        <v>33993.638276106052</v>
      </c>
      <c r="AB30" s="7">
        <f>DealsRawTable[[#This Row],[Final_Price_ACV]]*DealsRawTable[[#This Row],[Contract_Years]]</f>
        <v>33993.638276106052</v>
      </c>
      <c r="AC30" s="6">
        <v>17884.638519967157</v>
      </c>
      <c r="AD30" s="6">
        <v>16108.999756138895</v>
      </c>
      <c r="AE30" s="8">
        <v>0.47388277845686866</v>
      </c>
      <c r="AF30" t="s">
        <v>457</v>
      </c>
      <c r="AI30" t="s">
        <v>38</v>
      </c>
      <c r="AJ30" s="6">
        <v>0</v>
      </c>
      <c r="AK30" s="6">
        <v>0</v>
      </c>
      <c r="AL30" t="s">
        <v>894</v>
      </c>
      <c r="AM30">
        <f t="shared" si="1"/>
        <v>33990.519999999997</v>
      </c>
      <c r="AN30">
        <f>DealsRawTable[[#This Row],[Validated_Annual_Final_Price]]*DealsRawTable[[#This Row],[Contract_Years]]</f>
        <v>33990.519999999997</v>
      </c>
      <c r="AO30">
        <f>DealsRawTable[[#This Row],[Validated_Annual_Final_Price]]-DealsRawTable[[#This Row],[Cost_to_Serve]]</f>
        <v>16105.88148003284</v>
      </c>
      <c r="AP30" s="17">
        <f>DealsRawTable[[#This Row],[Validated_Grossprofit]]/DealsRawTable[[#This Row],[Validated_Annual_Final_Price]]</f>
        <v>0.47383451268273746</v>
      </c>
      <c r="AQ30" s="17">
        <v>0</v>
      </c>
      <c r="AR30" s="17">
        <v>0</v>
      </c>
      <c r="AS30" s="17">
        <v>0</v>
      </c>
      <c r="AT30" s="17">
        <v>0</v>
      </c>
      <c r="AU30" s="17" t="str">
        <f t="shared" si="0"/>
        <v>15–20%</v>
      </c>
      <c r="AV30" s="17">
        <v>108</v>
      </c>
      <c r="AW30" s="17"/>
    </row>
    <row r="31" spans="1:49">
      <c r="A31" t="s">
        <v>928</v>
      </c>
      <c r="B31" s="5">
        <v>45882</v>
      </c>
      <c r="C31" t="s">
        <v>72</v>
      </c>
      <c r="D31" t="s">
        <v>73</v>
      </c>
      <c r="E31" t="s">
        <v>471</v>
      </c>
      <c r="F31" t="s">
        <v>34</v>
      </c>
      <c r="G31" t="s">
        <v>34</v>
      </c>
      <c r="H31" t="s">
        <v>54</v>
      </c>
      <c r="I31" t="s">
        <v>55</v>
      </c>
      <c r="J31" t="s">
        <v>56</v>
      </c>
      <c r="K31" t="s">
        <v>38</v>
      </c>
      <c r="L31" s="5">
        <v>44348</v>
      </c>
      <c r="M31">
        <v>59</v>
      </c>
      <c r="N31" t="s">
        <v>427</v>
      </c>
      <c r="O31" t="s">
        <v>876</v>
      </c>
      <c r="Q31">
        <v>2</v>
      </c>
      <c r="R31">
        <v>207</v>
      </c>
      <c r="S31" t="s">
        <v>907</v>
      </c>
      <c r="T31" s="6">
        <v>139960.12649665176</v>
      </c>
      <c r="U31" s="7">
        <f>T31*DealsRawTable[[#This Row],[Contract_Years]]</f>
        <v>279920.25299330353</v>
      </c>
      <c r="V31" s="8">
        <v>0.20399999999999999</v>
      </c>
      <c r="W31" s="8">
        <v>0.156</v>
      </c>
      <c r="X31" s="8">
        <v>-1E-3</v>
      </c>
      <c r="Y31" t="s">
        <v>878</v>
      </c>
      <c r="Z31" t="s">
        <v>889</v>
      </c>
      <c r="AA31" s="6">
        <v>118066.05037244645</v>
      </c>
      <c r="AB31" s="7">
        <f>DealsRawTable[[#This Row],[Final_Price_ACV]]*DealsRawTable[[#This Row],[Contract_Years]]</f>
        <v>236132.1007448929</v>
      </c>
      <c r="AC31" s="6">
        <v>43010.709834581547</v>
      </c>
      <c r="AD31" s="6">
        <v>75055.340537864904</v>
      </c>
      <c r="AE31" s="8">
        <v>0.63570637199345892</v>
      </c>
      <c r="AF31" t="s">
        <v>457</v>
      </c>
      <c r="AG31" t="s">
        <v>38</v>
      </c>
      <c r="AI31" t="s">
        <v>38</v>
      </c>
      <c r="AJ31" s="6">
        <v>0</v>
      </c>
      <c r="AK31" s="6">
        <v>0</v>
      </c>
      <c r="AL31" t="s">
        <v>881</v>
      </c>
      <c r="AM31">
        <f t="shared" si="1"/>
        <v>118126.35</v>
      </c>
      <c r="AN31">
        <f>DealsRawTable[[#This Row],[Validated_Annual_Final_Price]]*DealsRawTable[[#This Row],[Contract_Years]]</f>
        <v>236252.7</v>
      </c>
      <c r="AO31">
        <f>DealsRawTable[[#This Row],[Validated_Annual_Final_Price]]-DealsRawTable[[#This Row],[Cost_to_Serve]]</f>
        <v>75115.640165418459</v>
      </c>
      <c r="AP31" s="17">
        <f>DealsRawTable[[#This Row],[Validated_Grossprofit]]/DealsRawTable[[#This Row],[Validated_Annual_Final_Price]]</f>
        <v>0.6358923319430293</v>
      </c>
      <c r="AQ31" s="17">
        <v>0</v>
      </c>
      <c r="AR31" s="17">
        <v>0</v>
      </c>
      <c r="AS31" s="17">
        <v>0</v>
      </c>
      <c r="AT31" s="17">
        <v>0</v>
      </c>
      <c r="AU31" s="17" t="str">
        <f t="shared" si="0"/>
        <v>15–20%</v>
      </c>
      <c r="AV31" s="17">
        <v>108</v>
      </c>
      <c r="AW31" s="17"/>
    </row>
    <row r="32" spans="1:49">
      <c r="A32" t="s">
        <v>929</v>
      </c>
      <c r="B32" s="5">
        <v>45298</v>
      </c>
      <c r="C32" t="s">
        <v>74</v>
      </c>
      <c r="D32" t="s">
        <v>75</v>
      </c>
      <c r="E32" t="s">
        <v>472</v>
      </c>
      <c r="F32" t="s">
        <v>445</v>
      </c>
      <c r="G32" t="s">
        <v>47</v>
      </c>
      <c r="H32" t="s">
        <v>70</v>
      </c>
      <c r="I32" t="s">
        <v>76</v>
      </c>
      <c r="J32" t="s">
        <v>43</v>
      </c>
      <c r="K32" t="s">
        <v>44</v>
      </c>
      <c r="L32" s="5">
        <v>44197</v>
      </c>
      <c r="M32">
        <v>45</v>
      </c>
      <c r="N32" t="s">
        <v>429</v>
      </c>
      <c r="O32" t="s">
        <v>891</v>
      </c>
      <c r="Q32">
        <v>1</v>
      </c>
      <c r="R32">
        <v>628</v>
      </c>
      <c r="S32" t="s">
        <v>900</v>
      </c>
      <c r="T32" s="6">
        <v>253577.76661081877</v>
      </c>
      <c r="U32" s="7">
        <f>T32*DealsRawTable[[#This Row],[Contract_Years]]</f>
        <v>253577.76661081877</v>
      </c>
      <c r="V32" s="8">
        <v>0.17100000000000001</v>
      </c>
      <c r="W32" s="8">
        <v>0.13400000000000001</v>
      </c>
      <c r="X32" s="8">
        <v>4.3999999999999997E-2</v>
      </c>
      <c r="Y32" t="s">
        <v>930</v>
      </c>
      <c r="Z32" t="s">
        <v>889</v>
      </c>
      <c r="AA32" s="6">
        <v>219611.37895489178</v>
      </c>
      <c r="AB32" s="7">
        <f>DealsRawTable[[#This Row],[Final_Price_ACV]]*DealsRawTable[[#This Row],[Contract_Years]]</f>
        <v>219611.37895489178</v>
      </c>
      <c r="AC32" s="6">
        <v>106942.15176128368</v>
      </c>
      <c r="AD32" s="6">
        <v>112669.22719360811</v>
      </c>
      <c r="AE32" s="8">
        <v>0.51303911359142451</v>
      </c>
      <c r="AF32" t="s">
        <v>457</v>
      </c>
      <c r="AI32" t="s">
        <v>38</v>
      </c>
      <c r="AJ32" s="6">
        <v>0</v>
      </c>
      <c r="AK32" s="6">
        <v>0</v>
      </c>
      <c r="AL32" t="s">
        <v>894</v>
      </c>
      <c r="AM32">
        <f t="shared" si="1"/>
        <v>219598.35</v>
      </c>
      <c r="AN32">
        <f>DealsRawTable[[#This Row],[Validated_Annual_Final_Price]]*DealsRawTable[[#This Row],[Contract_Years]]</f>
        <v>219598.35</v>
      </c>
      <c r="AO32">
        <f>DealsRawTable[[#This Row],[Validated_Annual_Final_Price]]-DealsRawTable[[#This Row],[Cost_to_Serve]]</f>
        <v>112656.19823871633</v>
      </c>
      <c r="AP32" s="17">
        <f>DealsRawTable[[#This Row],[Validated_Grossprofit]]/DealsRawTable[[#This Row],[Validated_Annual_Final_Price]]</f>
        <v>0.51301022179226907</v>
      </c>
      <c r="AQ32" s="17">
        <v>0</v>
      </c>
      <c r="AR32" s="17">
        <v>0</v>
      </c>
      <c r="AS32" s="17">
        <v>0</v>
      </c>
      <c r="AT32" s="17">
        <v>0</v>
      </c>
      <c r="AU32" s="17" t="str">
        <f t="shared" si="0"/>
        <v>10–15%</v>
      </c>
      <c r="AV32" s="17">
        <v>113</v>
      </c>
      <c r="AW32" s="17"/>
    </row>
    <row r="33" spans="1:49">
      <c r="A33" t="s">
        <v>931</v>
      </c>
      <c r="B33" s="5">
        <v>45386</v>
      </c>
      <c r="C33" t="s">
        <v>74</v>
      </c>
      <c r="D33" t="s">
        <v>75</v>
      </c>
      <c r="E33" t="s">
        <v>473</v>
      </c>
      <c r="F33" t="s">
        <v>466</v>
      </c>
      <c r="G33" t="s">
        <v>47</v>
      </c>
      <c r="H33" t="s">
        <v>70</v>
      </c>
      <c r="I33" t="s">
        <v>76</v>
      </c>
      <c r="J33" t="s">
        <v>43</v>
      </c>
      <c r="K33" t="s">
        <v>44</v>
      </c>
      <c r="L33" s="5">
        <v>44197</v>
      </c>
      <c r="M33">
        <v>45</v>
      </c>
      <c r="N33" t="s">
        <v>429</v>
      </c>
      <c r="O33" t="s">
        <v>891</v>
      </c>
      <c r="Q33">
        <v>3</v>
      </c>
      <c r="R33">
        <v>1885</v>
      </c>
      <c r="S33" t="s">
        <v>932</v>
      </c>
      <c r="T33" s="6">
        <v>468080.85100970516</v>
      </c>
      <c r="U33" s="7">
        <f>T33*DealsRawTable[[#This Row],[Contract_Years]]</f>
        <v>1404242.5530291155</v>
      </c>
      <c r="V33" s="8">
        <v>0.184</v>
      </c>
      <c r="W33" s="8">
        <v>0.152</v>
      </c>
      <c r="X33" s="8">
        <v>-0.18</v>
      </c>
      <c r="Y33" t="s">
        <v>905</v>
      </c>
      <c r="Z33" t="s">
        <v>889</v>
      </c>
      <c r="AA33" s="6">
        <v>396827.14668511221</v>
      </c>
      <c r="AB33" s="7">
        <f>DealsRawTable[[#This Row],[Final_Price_ACV]]*DealsRawTable[[#This Row],[Contract_Years]]</f>
        <v>1190481.4400553366</v>
      </c>
      <c r="AC33" s="6">
        <v>177287.52057713308</v>
      </c>
      <c r="AD33" s="6">
        <v>219539.62610797913</v>
      </c>
      <c r="AE33" s="8">
        <v>0.55323741821067207</v>
      </c>
      <c r="AF33" t="s">
        <v>457</v>
      </c>
      <c r="AI33" t="s">
        <v>38</v>
      </c>
      <c r="AJ33" s="6">
        <v>0</v>
      </c>
      <c r="AK33" s="6">
        <v>0</v>
      </c>
      <c r="AL33" t="s">
        <v>894</v>
      </c>
      <c r="AM33">
        <f t="shared" si="1"/>
        <v>396932.56</v>
      </c>
      <c r="AN33">
        <f>DealsRawTable[[#This Row],[Validated_Annual_Final_Price]]*DealsRawTable[[#This Row],[Contract_Years]]</f>
        <v>1190797.68</v>
      </c>
      <c r="AO33">
        <f>DealsRawTable[[#This Row],[Validated_Annual_Final_Price]]-DealsRawTable[[#This Row],[Cost_to_Serve]]</f>
        <v>219645.03942286692</v>
      </c>
      <c r="AP33" s="17">
        <f>DealsRawTable[[#This Row],[Validated_Grossprofit]]/DealsRawTable[[#This Row],[Validated_Annual_Final_Price]]</f>
        <v>0.55335606487627753</v>
      </c>
      <c r="AQ33" s="17">
        <v>0</v>
      </c>
      <c r="AR33" s="17">
        <v>0</v>
      </c>
      <c r="AS33" s="17">
        <v>0</v>
      </c>
      <c r="AT33" s="17">
        <v>0</v>
      </c>
      <c r="AU33" s="17" t="str">
        <f t="shared" si="0"/>
        <v>15–20%</v>
      </c>
      <c r="AV33" s="17">
        <v>108</v>
      </c>
      <c r="AW33" s="17"/>
    </row>
    <row r="34" spans="1:49">
      <c r="A34" t="s">
        <v>933</v>
      </c>
      <c r="B34" s="5">
        <v>45719</v>
      </c>
      <c r="C34" t="s">
        <v>74</v>
      </c>
      <c r="D34" t="s">
        <v>75</v>
      </c>
      <c r="E34" t="s">
        <v>473</v>
      </c>
      <c r="F34" t="s">
        <v>466</v>
      </c>
      <c r="G34" t="s">
        <v>47</v>
      </c>
      <c r="H34" t="s">
        <v>70</v>
      </c>
      <c r="I34" t="s">
        <v>76</v>
      </c>
      <c r="J34" t="s">
        <v>43</v>
      </c>
      <c r="K34" t="s">
        <v>44</v>
      </c>
      <c r="L34" s="5">
        <v>44197</v>
      </c>
      <c r="M34">
        <v>45</v>
      </c>
      <c r="N34" t="s">
        <v>429</v>
      </c>
      <c r="O34" t="s">
        <v>915</v>
      </c>
      <c r="Q34">
        <v>3</v>
      </c>
      <c r="R34">
        <v>1885</v>
      </c>
      <c r="S34" t="s">
        <v>900</v>
      </c>
      <c r="T34" s="6">
        <v>468080.85100970516</v>
      </c>
      <c r="U34" s="7">
        <f>T34*DealsRawTable[[#This Row],[Contract_Years]]</f>
        <v>1404242.5530291155</v>
      </c>
      <c r="V34" s="8">
        <v>0.182</v>
      </c>
      <c r="W34" s="8">
        <v>0.17100000000000001</v>
      </c>
      <c r="X34" s="8">
        <v>-0.13500000000000001</v>
      </c>
      <c r="Y34" t="s">
        <v>878</v>
      </c>
      <c r="Z34" t="s">
        <v>889</v>
      </c>
      <c r="AA34" s="6">
        <v>387889.10276917927</v>
      </c>
      <c r="AB34" s="7">
        <f>DealsRawTable[[#This Row],[Final_Price_ACV]]*DealsRawTable[[#This Row],[Contract_Years]]</f>
        <v>1163667.3083075378</v>
      </c>
      <c r="AC34" s="6">
        <v>167433.57391995599</v>
      </c>
      <c r="AD34" s="6">
        <v>220455.52884922328</v>
      </c>
      <c r="AE34" s="8">
        <v>0.5683467962244082</v>
      </c>
      <c r="AF34" t="s">
        <v>880</v>
      </c>
      <c r="AI34" t="s">
        <v>44</v>
      </c>
      <c r="AJ34" s="6">
        <v>387889.10276917927</v>
      </c>
      <c r="AK34" s="6">
        <v>220455.52884922328</v>
      </c>
      <c r="AL34" t="s">
        <v>934</v>
      </c>
      <c r="AM34">
        <f t="shared" si="1"/>
        <v>388039.03</v>
      </c>
      <c r="AN34">
        <f>DealsRawTable[[#This Row],[Validated_Annual_Final_Price]]*DealsRawTable[[#This Row],[Contract_Years]]</f>
        <v>1164117.0900000001</v>
      </c>
      <c r="AO34">
        <f>DealsRawTable[[#This Row],[Validated_Annual_Final_Price]]-DealsRawTable[[#This Row],[Cost_to_Serve]]</f>
        <v>220605.45608004404</v>
      </c>
      <c r="AP34" s="17">
        <f>DealsRawTable[[#This Row],[Validated_Grossprofit]]/DealsRawTable[[#This Row],[Validated_Annual_Final_Price]]</f>
        <v>0.56851357472995445</v>
      </c>
      <c r="AQ34" s="17">
        <v>388039.03</v>
      </c>
      <c r="AR34" s="17">
        <v>1164117.0900000001</v>
      </c>
      <c r="AS34" s="17">
        <v>220605.45608004404</v>
      </c>
      <c r="AT34" s="17">
        <v>0.56851357472995445</v>
      </c>
      <c r="AU34" s="17" t="str">
        <f t="shared" si="0"/>
        <v>15–20%</v>
      </c>
      <c r="AV34" s="17">
        <v>108</v>
      </c>
      <c r="AW34" s="17"/>
    </row>
    <row r="35" spans="1:49">
      <c r="A35" t="s">
        <v>935</v>
      </c>
      <c r="B35" s="5">
        <v>45776</v>
      </c>
      <c r="C35" t="s">
        <v>77</v>
      </c>
      <c r="D35" t="s">
        <v>78</v>
      </c>
      <c r="E35" t="s">
        <v>474</v>
      </c>
      <c r="F35" t="s">
        <v>475</v>
      </c>
      <c r="G35" t="s">
        <v>47</v>
      </c>
      <c r="H35" t="s">
        <v>70</v>
      </c>
      <c r="I35" t="s">
        <v>71</v>
      </c>
      <c r="J35" t="s">
        <v>56</v>
      </c>
      <c r="K35" t="s">
        <v>38</v>
      </c>
      <c r="L35" s="5">
        <v>44531</v>
      </c>
      <c r="M35">
        <v>69</v>
      </c>
      <c r="N35" t="s">
        <v>429</v>
      </c>
      <c r="O35" t="s">
        <v>891</v>
      </c>
      <c r="Q35">
        <v>1</v>
      </c>
      <c r="R35">
        <v>338</v>
      </c>
      <c r="S35" t="s">
        <v>877</v>
      </c>
      <c r="T35" s="6">
        <v>173097.35487898233</v>
      </c>
      <c r="U35" s="7">
        <f>T35*DealsRawTable[[#This Row],[Contract_Years]]</f>
        <v>173097.35487898233</v>
      </c>
      <c r="V35" s="8">
        <v>0.124</v>
      </c>
      <c r="W35" s="8">
        <v>7.9000000000000001E-2</v>
      </c>
      <c r="X35" s="8">
        <v>-4.8000000000000001E-2</v>
      </c>
      <c r="Y35" t="s">
        <v>885</v>
      </c>
      <c r="Z35" t="s">
        <v>879</v>
      </c>
      <c r="AA35" s="6">
        <v>159491.64409505556</v>
      </c>
      <c r="AB35" s="7">
        <f>DealsRawTable[[#This Row],[Final_Price_ACV]]*DealsRawTable[[#This Row],[Contract_Years]]</f>
        <v>159491.64409505556</v>
      </c>
      <c r="AC35" s="6">
        <v>61793.252981050959</v>
      </c>
      <c r="AD35" s="6">
        <v>97698.391114004597</v>
      </c>
      <c r="AE35" s="8">
        <v>0.61256118882176203</v>
      </c>
      <c r="AF35" t="s">
        <v>880</v>
      </c>
      <c r="AI35" t="s">
        <v>38</v>
      </c>
      <c r="AJ35" s="6">
        <v>159491.64409505556</v>
      </c>
      <c r="AK35" s="6">
        <v>97698.391114004597</v>
      </c>
      <c r="AL35" t="s">
        <v>894</v>
      </c>
      <c r="AM35">
        <f t="shared" si="1"/>
        <v>159422.66</v>
      </c>
      <c r="AN35">
        <f>DealsRawTable[[#This Row],[Validated_Annual_Final_Price]]*DealsRawTable[[#This Row],[Contract_Years]]</f>
        <v>159422.66</v>
      </c>
      <c r="AO35">
        <f>DealsRawTable[[#This Row],[Validated_Annual_Final_Price]]-DealsRawTable[[#This Row],[Cost_to_Serve]]</f>
        <v>97629.407018949045</v>
      </c>
      <c r="AP35" s="17">
        <f>DealsRawTable[[#This Row],[Validated_Grossprofit]]/DealsRawTable[[#This Row],[Validated_Annual_Final_Price]]</f>
        <v>0.61239353940618635</v>
      </c>
      <c r="AQ35" s="17">
        <v>159422.66</v>
      </c>
      <c r="AR35" s="17">
        <v>159422.66</v>
      </c>
      <c r="AS35" s="17">
        <v>97629.407018949045</v>
      </c>
      <c r="AT35" s="17">
        <v>0.61239353940618635</v>
      </c>
      <c r="AU35" s="17" t="str">
        <f t="shared" si="0"/>
        <v>5–10%</v>
      </c>
      <c r="AV35" s="17">
        <v>116</v>
      </c>
      <c r="AW35" s="17"/>
    </row>
    <row r="36" spans="1:49">
      <c r="A36" t="s">
        <v>936</v>
      </c>
      <c r="B36" s="5">
        <v>45702</v>
      </c>
      <c r="C36" t="s">
        <v>77</v>
      </c>
      <c r="D36" t="s">
        <v>78</v>
      </c>
      <c r="E36" t="s">
        <v>476</v>
      </c>
      <c r="F36" t="s">
        <v>34</v>
      </c>
      <c r="G36" t="s">
        <v>47</v>
      </c>
      <c r="H36" t="s">
        <v>70</v>
      </c>
      <c r="I36" t="s">
        <v>71</v>
      </c>
      <c r="J36" t="s">
        <v>56</v>
      </c>
      <c r="K36" t="s">
        <v>38</v>
      </c>
      <c r="L36" s="5">
        <v>44531</v>
      </c>
      <c r="M36">
        <v>69</v>
      </c>
      <c r="N36" t="s">
        <v>427</v>
      </c>
      <c r="O36" t="s">
        <v>876</v>
      </c>
      <c r="Q36">
        <v>3</v>
      </c>
      <c r="R36">
        <v>213</v>
      </c>
      <c r="S36" t="s">
        <v>900</v>
      </c>
      <c r="T36" s="6">
        <v>120002.85621004306</v>
      </c>
      <c r="U36" s="7">
        <f>T36*DealsRawTable[[#This Row],[Contract_Years]]</f>
        <v>360008.56863012916</v>
      </c>
      <c r="V36" s="8">
        <v>6.9000000000000006E-2</v>
      </c>
      <c r="W36" s="8">
        <v>5.6000000000000001E-2</v>
      </c>
      <c r="X36" s="8">
        <v>-1.7999999999999999E-2</v>
      </c>
      <c r="Y36" t="s">
        <v>911</v>
      </c>
      <c r="Z36" t="s">
        <v>879</v>
      </c>
      <c r="AA36" s="6">
        <v>113266.1200032303</v>
      </c>
      <c r="AB36" s="7">
        <f>DealsRawTable[[#This Row],[Final_Price_ACV]]*DealsRawTable[[#This Row],[Contract_Years]]</f>
        <v>339798.36000969092</v>
      </c>
      <c r="AC36" s="6">
        <v>38550.371158741174</v>
      </c>
      <c r="AD36" s="6">
        <v>74715.748844489135</v>
      </c>
      <c r="AE36" s="8">
        <v>0.65964781739109868</v>
      </c>
      <c r="AF36" t="s">
        <v>880</v>
      </c>
      <c r="AG36" t="s">
        <v>44</v>
      </c>
      <c r="AI36" t="s">
        <v>38</v>
      </c>
      <c r="AJ36" s="6">
        <v>113266.1200032303</v>
      </c>
      <c r="AK36" s="6">
        <v>74715.748844489135</v>
      </c>
      <c r="AL36" t="s">
        <v>881</v>
      </c>
      <c r="AM36">
        <f t="shared" si="1"/>
        <v>113282.7</v>
      </c>
      <c r="AN36">
        <f>DealsRawTable[[#This Row],[Validated_Annual_Final_Price]]*DealsRawTable[[#This Row],[Contract_Years]]</f>
        <v>339848.1</v>
      </c>
      <c r="AO36">
        <f>DealsRawTable[[#This Row],[Validated_Annual_Final_Price]]-DealsRawTable[[#This Row],[Cost_to_Serve]]</f>
        <v>74732.32884125883</v>
      </c>
      <c r="AP36" s="17">
        <f>DealsRawTable[[#This Row],[Validated_Grossprofit]]/DealsRawTable[[#This Row],[Validated_Annual_Final_Price]]</f>
        <v>0.65969763115867497</v>
      </c>
      <c r="AQ36" s="17">
        <v>113282.7</v>
      </c>
      <c r="AR36" s="17">
        <v>339848.1</v>
      </c>
      <c r="AS36" s="17">
        <v>74732.32884125883</v>
      </c>
      <c r="AT36" s="17">
        <v>0.65969763115867497</v>
      </c>
      <c r="AU36" s="17" t="str">
        <f t="shared" si="0"/>
        <v>5–10%</v>
      </c>
      <c r="AV36" s="17">
        <v>116</v>
      </c>
      <c r="AW36" s="17"/>
    </row>
    <row r="37" spans="1:49">
      <c r="A37" t="s">
        <v>937</v>
      </c>
      <c r="B37" s="5">
        <v>45551</v>
      </c>
      <c r="C37" t="s">
        <v>79</v>
      </c>
      <c r="D37" t="s">
        <v>80</v>
      </c>
      <c r="E37" t="s">
        <v>478</v>
      </c>
      <c r="F37" t="s">
        <v>449</v>
      </c>
      <c r="G37" t="s">
        <v>53</v>
      </c>
      <c r="H37" t="s">
        <v>54</v>
      </c>
      <c r="I37" t="s">
        <v>55</v>
      </c>
      <c r="J37" t="s">
        <v>56</v>
      </c>
      <c r="K37" t="s">
        <v>38</v>
      </c>
      <c r="L37" s="5">
        <v>44531</v>
      </c>
      <c r="M37">
        <v>67</v>
      </c>
      <c r="N37" t="s">
        <v>431</v>
      </c>
      <c r="O37" t="s">
        <v>876</v>
      </c>
      <c r="Q37">
        <v>1</v>
      </c>
      <c r="R37">
        <v>280</v>
      </c>
      <c r="S37" t="s">
        <v>888</v>
      </c>
      <c r="T37" s="6">
        <v>55186.783711223899</v>
      </c>
      <c r="U37" s="7">
        <f>T37*DealsRawTable[[#This Row],[Contract_Years]]</f>
        <v>55186.783711223899</v>
      </c>
      <c r="V37" s="8">
        <v>0.2</v>
      </c>
      <c r="W37" s="8">
        <v>0.17799999999999999</v>
      </c>
      <c r="X37" s="8">
        <v>-7.2999999999999995E-2</v>
      </c>
      <c r="Y37" t="s">
        <v>897</v>
      </c>
      <c r="Z37" t="s">
        <v>889</v>
      </c>
      <c r="AA37" s="6">
        <v>45368.134815524143</v>
      </c>
      <c r="AB37" s="7">
        <f>DealsRawTable[[#This Row],[Final_Price_ACV]]*DealsRawTable[[#This Row],[Contract_Years]]</f>
        <v>45368.134815524143</v>
      </c>
      <c r="AC37" s="6">
        <v>21810.707359076958</v>
      </c>
      <c r="AD37" s="6">
        <v>23557.427456447185</v>
      </c>
      <c r="AE37" s="8">
        <v>0.51925051695945557</v>
      </c>
      <c r="AF37" t="s">
        <v>880</v>
      </c>
      <c r="AG37" t="s">
        <v>44</v>
      </c>
      <c r="AI37" t="s">
        <v>38</v>
      </c>
      <c r="AJ37" s="6">
        <v>45368.134815524143</v>
      </c>
      <c r="AK37" s="6">
        <v>23557.427456447185</v>
      </c>
      <c r="AL37" t="s">
        <v>881</v>
      </c>
      <c r="AM37">
        <f t="shared" si="1"/>
        <v>45363.54</v>
      </c>
      <c r="AN37">
        <f>DealsRawTable[[#This Row],[Validated_Annual_Final_Price]]*DealsRawTable[[#This Row],[Contract_Years]]</f>
        <v>45363.54</v>
      </c>
      <c r="AO37">
        <f>DealsRawTable[[#This Row],[Validated_Annual_Final_Price]]-DealsRawTable[[#This Row],[Cost_to_Serve]]</f>
        <v>23552.832640923043</v>
      </c>
      <c r="AP37" s="17">
        <f>DealsRawTable[[#This Row],[Validated_Grossprofit]]/DealsRawTable[[#This Row],[Validated_Annual_Final_Price]]</f>
        <v>0.51920182245307667</v>
      </c>
      <c r="AQ37" s="17">
        <v>45363.54</v>
      </c>
      <c r="AR37" s="17">
        <v>45363.54</v>
      </c>
      <c r="AS37" s="17">
        <v>23552.832640923043</v>
      </c>
      <c r="AT37" s="17">
        <v>0.51920182245307667</v>
      </c>
      <c r="AU37" s="17" t="str">
        <f t="shared" si="0"/>
        <v>15–20%</v>
      </c>
      <c r="AV37" s="17">
        <v>108</v>
      </c>
      <c r="AW37" s="17"/>
    </row>
    <row r="38" spans="1:49">
      <c r="A38" t="s">
        <v>938</v>
      </c>
      <c r="B38" s="5">
        <v>45750</v>
      </c>
      <c r="C38" t="s">
        <v>79</v>
      </c>
      <c r="D38" t="s">
        <v>80</v>
      </c>
      <c r="E38" t="s">
        <v>478</v>
      </c>
      <c r="F38" t="s">
        <v>449</v>
      </c>
      <c r="G38" t="s">
        <v>53</v>
      </c>
      <c r="H38" t="s">
        <v>54</v>
      </c>
      <c r="I38" t="s">
        <v>55</v>
      </c>
      <c r="J38" t="s">
        <v>56</v>
      </c>
      <c r="K38" t="s">
        <v>38</v>
      </c>
      <c r="L38" s="5">
        <v>44531</v>
      </c>
      <c r="M38">
        <v>67</v>
      </c>
      <c r="N38" t="s">
        <v>431</v>
      </c>
      <c r="O38" t="s">
        <v>883</v>
      </c>
      <c r="P38" t="s">
        <v>899</v>
      </c>
      <c r="Q38">
        <v>1</v>
      </c>
      <c r="R38">
        <v>397</v>
      </c>
      <c r="S38" t="s">
        <v>888</v>
      </c>
      <c r="T38" s="6">
        <v>66130.910891404186</v>
      </c>
      <c r="U38" s="7">
        <f>T38*DealsRawTable[[#This Row],[Contract_Years]]</f>
        <v>66130.910891404186</v>
      </c>
      <c r="V38" s="8">
        <v>0.187</v>
      </c>
      <c r="W38" s="8">
        <v>0.16500000000000001</v>
      </c>
      <c r="X38" s="8">
        <v>-1.7000000000000001E-2</v>
      </c>
      <c r="Y38" t="s">
        <v>885</v>
      </c>
      <c r="Z38" t="s">
        <v>889</v>
      </c>
      <c r="AA38" s="6">
        <v>55225.688310959304</v>
      </c>
      <c r="AB38" s="7">
        <f>DealsRawTable[[#This Row],[Final_Price_ACV]]*DealsRawTable[[#This Row],[Contract_Years]]</f>
        <v>55225.688310959304</v>
      </c>
      <c r="AC38" s="6">
        <v>25358.410636038767</v>
      </c>
      <c r="AD38" s="6">
        <v>29867.277674920537</v>
      </c>
      <c r="AE38" s="8">
        <v>0.54082218960761241</v>
      </c>
      <c r="AF38" t="s">
        <v>880</v>
      </c>
      <c r="AH38" t="s">
        <v>44</v>
      </c>
      <c r="AI38" t="s">
        <v>38</v>
      </c>
      <c r="AJ38" s="6">
        <v>55225.688310959304</v>
      </c>
      <c r="AK38" s="6">
        <v>29867.277674920537</v>
      </c>
      <c r="AL38" t="s">
        <v>886</v>
      </c>
      <c r="AM38">
        <f t="shared" si="1"/>
        <v>55219.31</v>
      </c>
      <c r="AN38">
        <f>DealsRawTable[[#This Row],[Validated_Annual_Final_Price]]*DealsRawTable[[#This Row],[Contract_Years]]</f>
        <v>55219.31</v>
      </c>
      <c r="AO38">
        <f>DealsRawTable[[#This Row],[Validated_Annual_Final_Price]]-DealsRawTable[[#This Row],[Cost_to_Serve]]</f>
        <v>29860.899363961231</v>
      </c>
      <c r="AP38" s="17">
        <f>DealsRawTable[[#This Row],[Validated_Grossprofit]]/DealsRawTable[[#This Row],[Validated_Annual_Final_Price]]</f>
        <v>0.54076915057361696</v>
      </c>
      <c r="AQ38" s="17">
        <v>55219.31</v>
      </c>
      <c r="AR38" s="17">
        <v>55219.31</v>
      </c>
      <c r="AS38" s="17">
        <v>29860.899363961231</v>
      </c>
      <c r="AT38" s="17">
        <v>0.54076915057361696</v>
      </c>
      <c r="AU38" s="17" t="str">
        <f t="shared" si="0"/>
        <v>15–20%</v>
      </c>
      <c r="AV38" s="17">
        <v>108</v>
      </c>
      <c r="AW38" s="17"/>
    </row>
    <row r="39" spans="1:49">
      <c r="A39" t="s">
        <v>939</v>
      </c>
      <c r="B39" s="5">
        <v>45916</v>
      </c>
      <c r="C39" t="s">
        <v>79</v>
      </c>
      <c r="D39" t="s">
        <v>80</v>
      </c>
      <c r="E39" t="s">
        <v>478</v>
      </c>
      <c r="F39" t="s">
        <v>449</v>
      </c>
      <c r="G39" t="s">
        <v>53</v>
      </c>
      <c r="H39" t="s">
        <v>54</v>
      </c>
      <c r="I39" t="s">
        <v>55</v>
      </c>
      <c r="J39" t="s">
        <v>56</v>
      </c>
      <c r="K39" t="s">
        <v>38</v>
      </c>
      <c r="L39" s="5">
        <v>44531</v>
      </c>
      <c r="M39">
        <v>67</v>
      </c>
      <c r="N39" t="s">
        <v>431</v>
      </c>
      <c r="O39" t="s">
        <v>876</v>
      </c>
      <c r="Q39">
        <v>1</v>
      </c>
      <c r="R39">
        <v>397</v>
      </c>
      <c r="S39" t="s">
        <v>900</v>
      </c>
      <c r="T39" s="6">
        <v>67469.034078249926</v>
      </c>
      <c r="U39" s="7">
        <f>T39*DealsRawTable[[#This Row],[Contract_Years]]</f>
        <v>67469.034078249926</v>
      </c>
      <c r="V39" s="8">
        <v>7.6999999999999999E-2</v>
      </c>
      <c r="W39" s="8">
        <v>3.4000000000000002E-2</v>
      </c>
      <c r="X39" s="8">
        <v>-2.9000000000000001E-2</v>
      </c>
      <c r="Y39" t="s">
        <v>911</v>
      </c>
      <c r="Z39" t="s">
        <v>879</v>
      </c>
      <c r="AA39" s="6">
        <v>65189.490557432808</v>
      </c>
      <c r="AB39" s="7">
        <f>DealsRawTable[[#This Row],[Final_Price_ACV]]*DealsRawTable[[#This Row],[Contract_Years]]</f>
        <v>65189.490557432808</v>
      </c>
      <c r="AC39" s="6">
        <v>25848.650271161565</v>
      </c>
      <c r="AD39" s="6">
        <v>39340.840286271239</v>
      </c>
      <c r="AE39" s="8">
        <v>0.60348439525864117</v>
      </c>
      <c r="AF39" t="s">
        <v>880</v>
      </c>
      <c r="AG39" t="s">
        <v>44</v>
      </c>
      <c r="AI39" t="s">
        <v>38</v>
      </c>
      <c r="AJ39" s="6">
        <v>65189.490557432808</v>
      </c>
      <c r="AK39" s="6">
        <v>39340.840286271239</v>
      </c>
      <c r="AL39" t="s">
        <v>881</v>
      </c>
      <c r="AM39">
        <f t="shared" si="1"/>
        <v>65175.09</v>
      </c>
      <c r="AN39">
        <f>DealsRawTable[[#This Row],[Validated_Annual_Final_Price]]*DealsRawTable[[#This Row],[Contract_Years]]</f>
        <v>65175.09</v>
      </c>
      <c r="AO39">
        <f>DealsRawTable[[#This Row],[Validated_Annual_Final_Price]]-DealsRawTable[[#This Row],[Cost_to_Serve]]</f>
        <v>39326.439728838435</v>
      </c>
      <c r="AP39" s="17">
        <f>DealsRawTable[[#This Row],[Validated_Grossprofit]]/DealsRawTable[[#This Row],[Validated_Annual_Final_Price]]</f>
        <v>0.60339678439781885</v>
      </c>
      <c r="AQ39" s="17">
        <v>65175.09</v>
      </c>
      <c r="AR39" s="17">
        <v>65175.09</v>
      </c>
      <c r="AS39" s="17">
        <v>39326.439728838435</v>
      </c>
      <c r="AT39" s="17">
        <v>0.60339678439781885</v>
      </c>
      <c r="AU39" s="17" t="str">
        <f t="shared" si="0"/>
        <v>0–5%</v>
      </c>
      <c r="AV39" s="17">
        <v>55</v>
      </c>
      <c r="AW39" s="17"/>
    </row>
    <row r="40" spans="1:49">
      <c r="A40" t="s">
        <v>940</v>
      </c>
      <c r="B40" s="5">
        <v>45719</v>
      </c>
      <c r="C40" t="s">
        <v>79</v>
      </c>
      <c r="D40" t="s">
        <v>80</v>
      </c>
      <c r="E40" t="s">
        <v>479</v>
      </c>
      <c r="F40" t="s">
        <v>47</v>
      </c>
      <c r="G40" t="s">
        <v>53</v>
      </c>
      <c r="H40" t="s">
        <v>54</v>
      </c>
      <c r="I40" t="s">
        <v>55</v>
      </c>
      <c r="J40" t="s">
        <v>56</v>
      </c>
      <c r="K40" t="s">
        <v>38</v>
      </c>
      <c r="L40" s="5">
        <v>44531</v>
      </c>
      <c r="M40">
        <v>67</v>
      </c>
      <c r="N40" t="s">
        <v>427</v>
      </c>
      <c r="O40" t="s">
        <v>891</v>
      </c>
      <c r="Q40">
        <v>3</v>
      </c>
      <c r="R40">
        <v>115</v>
      </c>
      <c r="S40" t="s">
        <v>932</v>
      </c>
      <c r="T40" s="6">
        <v>102198.76502877213</v>
      </c>
      <c r="U40" s="7">
        <f>T40*DealsRawTable[[#This Row],[Contract_Years]]</f>
        <v>306596.29508631642</v>
      </c>
      <c r="V40" s="8">
        <v>6.9000000000000006E-2</v>
      </c>
      <c r="W40" s="8">
        <v>5.0999999999999997E-2</v>
      </c>
      <c r="X40" s="8">
        <v>3.1E-2</v>
      </c>
      <c r="Y40" t="s">
        <v>902</v>
      </c>
      <c r="Z40" t="s">
        <v>879</v>
      </c>
      <c r="AA40" s="6">
        <v>97031.657896035671</v>
      </c>
      <c r="AB40" s="7">
        <f>DealsRawTable[[#This Row],[Final_Price_ACV]]*DealsRawTable[[#This Row],[Contract_Years]]</f>
        <v>291094.97368810698</v>
      </c>
      <c r="AC40" s="6">
        <v>35647.422251724754</v>
      </c>
      <c r="AD40" s="6">
        <v>61384.235644310917</v>
      </c>
      <c r="AE40" s="8">
        <v>0.632620703132589</v>
      </c>
      <c r="AF40" t="s">
        <v>880</v>
      </c>
      <c r="AI40" t="s">
        <v>38</v>
      </c>
      <c r="AJ40" s="6">
        <v>97031.657896035671</v>
      </c>
      <c r="AK40" s="6">
        <v>61384.235644310917</v>
      </c>
      <c r="AL40" t="s">
        <v>894</v>
      </c>
      <c r="AM40">
        <f t="shared" si="1"/>
        <v>96986.63</v>
      </c>
      <c r="AN40">
        <f>DealsRawTable[[#This Row],[Validated_Annual_Final_Price]]*DealsRawTable[[#This Row],[Contract_Years]]</f>
        <v>290959.89</v>
      </c>
      <c r="AO40">
        <f>DealsRawTable[[#This Row],[Validated_Annual_Final_Price]]-DealsRawTable[[#This Row],[Cost_to_Serve]]</f>
        <v>61339.20774827525</v>
      </c>
      <c r="AP40" s="17">
        <f>DealsRawTable[[#This Row],[Validated_Grossprofit]]/DealsRawTable[[#This Row],[Validated_Annual_Final_Price]]</f>
        <v>0.63245014027474966</v>
      </c>
      <c r="AQ40" s="17">
        <v>96986.63</v>
      </c>
      <c r="AR40" s="17">
        <v>290959.89</v>
      </c>
      <c r="AS40" s="17">
        <v>61339.20774827525</v>
      </c>
      <c r="AT40" s="17">
        <v>0.63245014027474966</v>
      </c>
      <c r="AU40" s="17" t="str">
        <f t="shared" si="0"/>
        <v>5–10%</v>
      </c>
      <c r="AV40" s="17">
        <v>116</v>
      </c>
      <c r="AW40" s="17"/>
    </row>
    <row r="41" spans="1:49">
      <c r="A41" t="s">
        <v>941</v>
      </c>
      <c r="B41" s="5">
        <v>45343</v>
      </c>
      <c r="C41" t="s">
        <v>79</v>
      </c>
      <c r="D41" t="s">
        <v>80</v>
      </c>
      <c r="E41" t="s">
        <v>480</v>
      </c>
      <c r="F41" t="s">
        <v>475</v>
      </c>
      <c r="G41" t="s">
        <v>53</v>
      </c>
      <c r="H41" t="s">
        <v>54</v>
      </c>
      <c r="I41" t="s">
        <v>55</v>
      </c>
      <c r="J41" t="s">
        <v>56</v>
      </c>
      <c r="K41" t="s">
        <v>38</v>
      </c>
      <c r="L41" s="5">
        <v>44531</v>
      </c>
      <c r="M41">
        <v>67</v>
      </c>
      <c r="N41" t="s">
        <v>427</v>
      </c>
      <c r="O41" t="s">
        <v>876</v>
      </c>
      <c r="Q41">
        <v>1</v>
      </c>
      <c r="R41">
        <v>264</v>
      </c>
      <c r="S41" t="s">
        <v>888</v>
      </c>
      <c r="T41" s="6">
        <v>109848.93217139826</v>
      </c>
      <c r="U41" s="7">
        <f>T41*DealsRawTable[[#This Row],[Contract_Years]]</f>
        <v>109848.93217139826</v>
      </c>
      <c r="V41" s="8">
        <v>0.2</v>
      </c>
      <c r="W41" s="8">
        <v>0.19700000000000001</v>
      </c>
      <c r="X41" s="8">
        <v>-9.4E-2</v>
      </c>
      <c r="Y41" t="s">
        <v>911</v>
      </c>
      <c r="Z41" t="s">
        <v>889</v>
      </c>
      <c r="AA41" s="6">
        <v>88180.621625383646</v>
      </c>
      <c r="AB41" s="7">
        <f>DealsRawTable[[#This Row],[Final_Price_ACV]]*DealsRawTable[[#This Row],[Contract_Years]]</f>
        <v>88180.621625383646</v>
      </c>
      <c r="AC41" s="6">
        <v>30477.677331283277</v>
      </c>
      <c r="AD41" s="6">
        <v>57702.944294100365</v>
      </c>
      <c r="AE41" s="8">
        <v>0.6543721651139961</v>
      </c>
      <c r="AF41" t="s">
        <v>880</v>
      </c>
      <c r="AG41" t="s">
        <v>44</v>
      </c>
      <c r="AI41" t="s">
        <v>38</v>
      </c>
      <c r="AJ41" s="6">
        <v>88180.621625383646</v>
      </c>
      <c r="AK41" s="6">
        <v>57702.944294100365</v>
      </c>
      <c r="AL41" t="s">
        <v>881</v>
      </c>
      <c r="AM41">
        <f t="shared" si="1"/>
        <v>88208.69</v>
      </c>
      <c r="AN41">
        <f>DealsRawTable[[#This Row],[Validated_Annual_Final_Price]]*DealsRawTable[[#This Row],[Contract_Years]]</f>
        <v>88208.69</v>
      </c>
      <c r="AO41">
        <f>DealsRawTable[[#This Row],[Validated_Annual_Final_Price]]-DealsRawTable[[#This Row],[Cost_to_Serve]]</f>
        <v>57731.012668716721</v>
      </c>
      <c r="AP41" s="17">
        <f>DealsRawTable[[#This Row],[Validated_Grossprofit]]/DealsRawTable[[#This Row],[Validated_Annual_Final_Price]]</f>
        <v>0.65448214533870441</v>
      </c>
      <c r="AQ41" s="17">
        <v>88208.69</v>
      </c>
      <c r="AR41" s="17">
        <v>88208.69</v>
      </c>
      <c r="AS41" s="17">
        <v>57731.012668716721</v>
      </c>
      <c r="AT41" s="17">
        <v>0.65448214533870441</v>
      </c>
      <c r="AU41" s="17" t="str">
        <f t="shared" si="0"/>
        <v>15–20%</v>
      </c>
      <c r="AV41" s="17">
        <v>108</v>
      </c>
      <c r="AW41" s="17"/>
    </row>
    <row r="42" spans="1:49">
      <c r="A42" t="s">
        <v>942</v>
      </c>
      <c r="B42" s="5">
        <v>45708</v>
      </c>
      <c r="C42" t="s">
        <v>79</v>
      </c>
      <c r="D42" t="s">
        <v>80</v>
      </c>
      <c r="E42" t="s">
        <v>480</v>
      </c>
      <c r="F42" t="s">
        <v>475</v>
      </c>
      <c r="G42" t="s">
        <v>53</v>
      </c>
      <c r="H42" t="s">
        <v>54</v>
      </c>
      <c r="I42" t="s">
        <v>55</v>
      </c>
      <c r="J42" t="s">
        <v>56</v>
      </c>
      <c r="K42" t="s">
        <v>38</v>
      </c>
      <c r="L42" s="5">
        <v>44531</v>
      </c>
      <c r="M42">
        <v>67</v>
      </c>
      <c r="N42" t="s">
        <v>427</v>
      </c>
      <c r="O42" t="s">
        <v>876</v>
      </c>
      <c r="Q42">
        <v>1</v>
      </c>
      <c r="R42">
        <v>264</v>
      </c>
      <c r="S42" t="s">
        <v>888</v>
      </c>
      <c r="T42" s="6">
        <v>112393.82361063169</v>
      </c>
      <c r="U42" s="7">
        <f>T42*DealsRawTable[[#This Row],[Contract_Years]]</f>
        <v>112393.82361063169</v>
      </c>
      <c r="V42" s="8">
        <v>8.5999999999999993E-2</v>
      </c>
      <c r="W42" s="8">
        <v>6.7000000000000004E-2</v>
      </c>
      <c r="X42" s="8">
        <v>-1.2E-2</v>
      </c>
      <c r="Y42" t="s">
        <v>885</v>
      </c>
      <c r="Z42" t="s">
        <v>879</v>
      </c>
      <c r="AA42" s="6">
        <v>104820.09140975786</v>
      </c>
      <c r="AB42" s="7">
        <f>DealsRawTable[[#This Row],[Final_Price_ACV]]*DealsRawTable[[#This Row],[Contract_Years]]</f>
        <v>104820.09140975786</v>
      </c>
      <c r="AC42" s="6">
        <v>36410.452283662715</v>
      </c>
      <c r="AD42" s="6">
        <v>68409.63912609515</v>
      </c>
      <c r="AE42" s="8">
        <v>0.65263861351419117</v>
      </c>
      <c r="AF42" t="s">
        <v>457</v>
      </c>
      <c r="AG42" t="s">
        <v>38</v>
      </c>
      <c r="AI42" t="s">
        <v>38</v>
      </c>
      <c r="AJ42" s="6">
        <v>0</v>
      </c>
      <c r="AK42" s="6">
        <v>0</v>
      </c>
      <c r="AL42" t="s">
        <v>881</v>
      </c>
      <c r="AM42">
        <f t="shared" si="1"/>
        <v>104863.44</v>
      </c>
      <c r="AN42">
        <f>DealsRawTable[[#This Row],[Validated_Annual_Final_Price]]*DealsRawTable[[#This Row],[Contract_Years]]</f>
        <v>104863.44</v>
      </c>
      <c r="AO42">
        <f>DealsRawTable[[#This Row],[Validated_Annual_Final_Price]]-DealsRawTable[[#This Row],[Cost_to_Serve]]</f>
        <v>68452.987716337288</v>
      </c>
      <c r="AP42" s="17">
        <f>DealsRawTable[[#This Row],[Validated_Grossprofit]]/DealsRawTable[[#This Row],[Validated_Annual_Final_Price]]</f>
        <v>0.65278220623257532</v>
      </c>
      <c r="AQ42" s="17">
        <v>0</v>
      </c>
      <c r="AR42" s="17">
        <v>0</v>
      </c>
      <c r="AS42" s="17">
        <v>0</v>
      </c>
      <c r="AT42" s="17">
        <v>0</v>
      </c>
      <c r="AU42" s="17" t="str">
        <f t="shared" si="0"/>
        <v>5–10%</v>
      </c>
      <c r="AV42" s="17">
        <v>116</v>
      </c>
      <c r="AW42" s="17"/>
    </row>
    <row r="43" spans="1:49">
      <c r="A43" t="s">
        <v>943</v>
      </c>
      <c r="B43" s="5">
        <v>45516</v>
      </c>
      <c r="C43" t="s">
        <v>81</v>
      </c>
      <c r="D43" t="s">
        <v>82</v>
      </c>
      <c r="E43" t="s">
        <v>481</v>
      </c>
      <c r="F43" t="s">
        <v>449</v>
      </c>
      <c r="G43" t="s">
        <v>83</v>
      </c>
      <c r="H43" t="s">
        <v>54</v>
      </c>
      <c r="I43" t="s">
        <v>55</v>
      </c>
      <c r="J43" t="s">
        <v>37</v>
      </c>
      <c r="K43" t="s">
        <v>44</v>
      </c>
      <c r="L43" s="5">
        <v>44743</v>
      </c>
      <c r="M43">
        <v>80</v>
      </c>
      <c r="N43" t="s">
        <v>433</v>
      </c>
      <c r="O43" t="s">
        <v>883</v>
      </c>
      <c r="P43" t="s">
        <v>884</v>
      </c>
      <c r="Q43">
        <v>1</v>
      </c>
      <c r="R43">
        <v>85</v>
      </c>
      <c r="S43" t="s">
        <v>932</v>
      </c>
      <c r="T43" s="6">
        <v>178886.3942294319</v>
      </c>
      <c r="U43" s="7">
        <f>T43*DealsRawTable[[#This Row],[Contract_Years]]</f>
        <v>178886.3942294319</v>
      </c>
      <c r="V43" s="8">
        <v>4.2999999999999997E-2</v>
      </c>
      <c r="W43" s="8">
        <v>7.0000000000000001E-3</v>
      </c>
      <c r="X43" s="8">
        <v>-2.4E-2</v>
      </c>
      <c r="Y43" t="s">
        <v>885</v>
      </c>
      <c r="Z43" t="s">
        <v>879</v>
      </c>
      <c r="AA43" s="6">
        <v>177720.63122071169</v>
      </c>
      <c r="AB43" s="7">
        <f>DealsRawTable[[#This Row],[Final_Price_ACV]]*DealsRawTable[[#This Row],[Contract_Years]]</f>
        <v>177720.63122071169</v>
      </c>
      <c r="AC43" s="6">
        <v>65664.052755904835</v>
      </c>
      <c r="AD43" s="6">
        <v>112056.57846480685</v>
      </c>
      <c r="AE43" s="8">
        <v>0.63052093443019297</v>
      </c>
      <c r="AF43" t="s">
        <v>880</v>
      </c>
      <c r="AH43" t="s">
        <v>44</v>
      </c>
      <c r="AI43" t="s">
        <v>38</v>
      </c>
      <c r="AJ43" s="6">
        <v>177720.63122071169</v>
      </c>
      <c r="AK43" s="6">
        <v>112056.57846480685</v>
      </c>
      <c r="AL43" t="s">
        <v>886</v>
      </c>
      <c r="AM43">
        <f t="shared" si="1"/>
        <v>177634.19</v>
      </c>
      <c r="AN43">
        <f>DealsRawTable[[#This Row],[Validated_Annual_Final_Price]]*DealsRawTable[[#This Row],[Contract_Years]]</f>
        <v>177634.19</v>
      </c>
      <c r="AO43">
        <f>DealsRawTable[[#This Row],[Validated_Annual_Final_Price]]-DealsRawTable[[#This Row],[Cost_to_Serve]]</f>
        <v>111970.13724409517</v>
      </c>
      <c r="AP43" s="17">
        <f>DealsRawTable[[#This Row],[Validated_Grossprofit]]/DealsRawTable[[#This Row],[Validated_Annual_Final_Price]]</f>
        <v>0.63034113671526393</v>
      </c>
      <c r="AQ43" s="17">
        <v>177634.19</v>
      </c>
      <c r="AR43" s="17">
        <v>177634.19</v>
      </c>
      <c r="AS43" s="17">
        <v>111970.13724409517</v>
      </c>
      <c r="AT43" s="17">
        <v>0.63034113671526393</v>
      </c>
      <c r="AU43" s="17" t="str">
        <f t="shared" si="0"/>
        <v>0–5%</v>
      </c>
      <c r="AV43" s="17">
        <v>55</v>
      </c>
      <c r="AW43" s="17"/>
    </row>
    <row r="44" spans="1:49">
      <c r="A44" t="s">
        <v>944</v>
      </c>
      <c r="B44" s="5">
        <v>45609</v>
      </c>
      <c r="C44" t="s">
        <v>81</v>
      </c>
      <c r="D44" t="s">
        <v>82</v>
      </c>
      <c r="E44" t="s">
        <v>481</v>
      </c>
      <c r="F44" t="s">
        <v>449</v>
      </c>
      <c r="G44" t="s">
        <v>83</v>
      </c>
      <c r="H44" t="s">
        <v>54</v>
      </c>
      <c r="I44" t="s">
        <v>55</v>
      </c>
      <c r="J44" t="s">
        <v>37</v>
      </c>
      <c r="K44" t="s">
        <v>44</v>
      </c>
      <c r="L44" s="5">
        <v>44743</v>
      </c>
      <c r="M44">
        <v>80</v>
      </c>
      <c r="N44" t="s">
        <v>433</v>
      </c>
      <c r="O44" t="s">
        <v>876</v>
      </c>
      <c r="Q44">
        <v>1</v>
      </c>
      <c r="R44">
        <v>85</v>
      </c>
      <c r="S44" t="s">
        <v>896</v>
      </c>
      <c r="T44" s="6">
        <v>183401.78262051713</v>
      </c>
      <c r="U44" s="7">
        <f>T44*DealsRawTable[[#This Row],[Contract_Years]]</f>
        <v>183401.78262051713</v>
      </c>
      <c r="V44" s="8">
        <v>0.10299999999999999</v>
      </c>
      <c r="W44" s="8">
        <v>8.2000000000000003E-2</v>
      </c>
      <c r="X44" s="8">
        <v>-6.3E-2</v>
      </c>
      <c r="Y44" t="s">
        <v>897</v>
      </c>
      <c r="Z44" t="s">
        <v>879</v>
      </c>
      <c r="AA44" s="6">
        <v>168366.76449982187</v>
      </c>
      <c r="AB44" s="7">
        <f>DealsRawTable[[#This Row],[Final_Price_ACV]]*DealsRawTable[[#This Row],[Contract_Years]]</f>
        <v>168366.76449982187</v>
      </c>
      <c r="AC44" s="6">
        <v>65192.74244156116</v>
      </c>
      <c r="AD44" s="6">
        <v>103174.02205826071</v>
      </c>
      <c r="AE44" s="8">
        <v>0.61279328117260257</v>
      </c>
      <c r="AF44" t="s">
        <v>880</v>
      </c>
      <c r="AG44" t="s">
        <v>44</v>
      </c>
      <c r="AI44" t="s">
        <v>38</v>
      </c>
      <c r="AJ44" s="6">
        <v>168366.76449982187</v>
      </c>
      <c r="AK44" s="6">
        <v>103174.02205826071</v>
      </c>
      <c r="AL44" t="s">
        <v>881</v>
      </c>
      <c r="AM44">
        <f t="shared" si="1"/>
        <v>168362.84</v>
      </c>
      <c r="AN44">
        <f>DealsRawTable[[#This Row],[Validated_Annual_Final_Price]]*DealsRawTable[[#This Row],[Contract_Years]]</f>
        <v>168362.84</v>
      </c>
      <c r="AO44">
        <f>DealsRawTable[[#This Row],[Validated_Annual_Final_Price]]-DealsRawTable[[#This Row],[Cost_to_Serve]]</f>
        <v>103170.09755843884</v>
      </c>
      <c r="AP44" s="17">
        <f>DealsRawTable[[#This Row],[Validated_Grossprofit]]/DealsRawTable[[#This Row],[Validated_Annual_Final_Price]]</f>
        <v>0.61278425547133109</v>
      </c>
      <c r="AQ44" s="17">
        <v>168362.84</v>
      </c>
      <c r="AR44" s="17">
        <v>168362.84</v>
      </c>
      <c r="AS44" s="17">
        <v>103170.09755843884</v>
      </c>
      <c r="AT44" s="17">
        <v>0.61278425547133109</v>
      </c>
      <c r="AU44" s="17" t="str">
        <f t="shared" si="0"/>
        <v>5–10%</v>
      </c>
      <c r="AV44" s="17">
        <v>116</v>
      </c>
      <c r="AW44" s="17"/>
    </row>
    <row r="45" spans="1:49">
      <c r="A45" t="s">
        <v>945</v>
      </c>
      <c r="B45" s="5">
        <v>45808</v>
      </c>
      <c r="C45" t="s">
        <v>81</v>
      </c>
      <c r="D45" t="s">
        <v>82</v>
      </c>
      <c r="E45" t="s">
        <v>481</v>
      </c>
      <c r="F45" t="s">
        <v>449</v>
      </c>
      <c r="G45" t="s">
        <v>83</v>
      </c>
      <c r="H45" t="s">
        <v>54</v>
      </c>
      <c r="I45" t="s">
        <v>55</v>
      </c>
      <c r="J45" t="s">
        <v>37</v>
      </c>
      <c r="K45" t="s">
        <v>44</v>
      </c>
      <c r="L45" s="5">
        <v>44743</v>
      </c>
      <c r="M45">
        <v>80</v>
      </c>
      <c r="N45" t="s">
        <v>433</v>
      </c>
      <c r="O45" t="s">
        <v>883</v>
      </c>
      <c r="P45" t="s">
        <v>946</v>
      </c>
      <c r="Q45">
        <v>1</v>
      </c>
      <c r="R45">
        <v>103</v>
      </c>
      <c r="S45" t="s">
        <v>947</v>
      </c>
      <c r="T45" s="6">
        <v>247456.65158676612</v>
      </c>
      <c r="U45" s="7">
        <f>T45*DealsRawTable[[#This Row],[Contract_Years]]</f>
        <v>247456.65158676612</v>
      </c>
      <c r="V45" s="8">
        <v>6.6000000000000003E-2</v>
      </c>
      <c r="W45" s="8">
        <v>3.5999999999999997E-2</v>
      </c>
      <c r="X45" s="8">
        <v>6.0999999999999999E-2</v>
      </c>
      <c r="Y45" t="s">
        <v>885</v>
      </c>
      <c r="Z45" t="s">
        <v>879</v>
      </c>
      <c r="AA45" s="6">
        <v>238605.31554552613</v>
      </c>
      <c r="AB45" s="7">
        <f>DealsRawTable[[#This Row],[Final_Price_ACV]]*DealsRawTable[[#This Row],[Contract_Years]]</f>
        <v>238605.31554552613</v>
      </c>
      <c r="AC45" s="6">
        <v>97136.575043016914</v>
      </c>
      <c r="AD45" s="6">
        <v>141468.74050250923</v>
      </c>
      <c r="AE45" s="8">
        <v>0.59289852859760306</v>
      </c>
      <c r="AF45" t="s">
        <v>880</v>
      </c>
      <c r="AH45" t="s">
        <v>44</v>
      </c>
      <c r="AI45" t="s">
        <v>38</v>
      </c>
      <c r="AJ45" s="6">
        <v>238605.31554552613</v>
      </c>
      <c r="AK45" s="6">
        <v>141468.74050250923</v>
      </c>
      <c r="AL45" t="s">
        <v>886</v>
      </c>
      <c r="AM45">
        <f t="shared" si="1"/>
        <v>238548.21</v>
      </c>
      <c r="AN45">
        <f>DealsRawTable[[#This Row],[Validated_Annual_Final_Price]]*DealsRawTable[[#This Row],[Contract_Years]]</f>
        <v>238548.21</v>
      </c>
      <c r="AO45">
        <f>DealsRawTable[[#This Row],[Validated_Annual_Final_Price]]-DealsRawTable[[#This Row],[Cost_to_Serve]]</f>
        <v>141411.63495698309</v>
      </c>
      <c r="AP45" s="17">
        <f>DealsRawTable[[#This Row],[Validated_Grossprofit]]/DealsRawTable[[#This Row],[Validated_Annual_Final_Price]]</f>
        <v>0.59280107344751443</v>
      </c>
      <c r="AQ45" s="17">
        <v>238548.21</v>
      </c>
      <c r="AR45" s="17">
        <v>238548.21</v>
      </c>
      <c r="AS45" s="17">
        <v>141411.63495698309</v>
      </c>
      <c r="AT45" s="17">
        <v>0.59280107344751443</v>
      </c>
      <c r="AU45" s="17" t="str">
        <f t="shared" si="0"/>
        <v>0–5%</v>
      </c>
      <c r="AV45" s="17">
        <v>55</v>
      </c>
      <c r="AW45" s="17"/>
    </row>
    <row r="46" spans="1:49">
      <c r="A46" t="s">
        <v>948</v>
      </c>
      <c r="B46" s="5">
        <v>45974</v>
      </c>
      <c r="C46" t="s">
        <v>81</v>
      </c>
      <c r="D46" t="s">
        <v>82</v>
      </c>
      <c r="E46" t="s">
        <v>481</v>
      </c>
      <c r="F46" t="s">
        <v>449</v>
      </c>
      <c r="G46" t="s">
        <v>83</v>
      </c>
      <c r="H46" t="s">
        <v>54</v>
      </c>
      <c r="I46" t="s">
        <v>55</v>
      </c>
      <c r="J46" t="s">
        <v>37</v>
      </c>
      <c r="K46" t="s">
        <v>44</v>
      </c>
      <c r="L46" s="5">
        <v>44743</v>
      </c>
      <c r="M46">
        <v>80</v>
      </c>
      <c r="N46" t="s">
        <v>433</v>
      </c>
      <c r="O46" t="s">
        <v>876</v>
      </c>
      <c r="Q46">
        <v>1</v>
      </c>
      <c r="R46">
        <v>103</v>
      </c>
      <c r="S46" t="s">
        <v>907</v>
      </c>
      <c r="T46" s="6">
        <v>264737.78253317944</v>
      </c>
      <c r="U46" s="7">
        <f>T46*DealsRawTable[[#This Row],[Contract_Years]]</f>
        <v>264737.78253317944</v>
      </c>
      <c r="V46" s="8">
        <v>4.8000000000000001E-2</v>
      </c>
      <c r="W46" s="8">
        <v>3.1E-2</v>
      </c>
      <c r="X46" s="8">
        <v>3.1E-2</v>
      </c>
      <c r="Y46" t="s">
        <v>902</v>
      </c>
      <c r="Z46" t="s">
        <v>879</v>
      </c>
      <c r="AA46" s="6">
        <v>256502.02173111713</v>
      </c>
      <c r="AB46" s="7">
        <f>DealsRawTable[[#This Row],[Final_Price_ACV]]*DealsRawTable[[#This Row],[Contract_Years]]</f>
        <v>256502.02173111713</v>
      </c>
      <c r="AC46" s="6">
        <v>84893.721819848623</v>
      </c>
      <c r="AD46" s="6">
        <v>171608.29991126852</v>
      </c>
      <c r="AE46" s="8">
        <v>0.66903293296908206</v>
      </c>
      <c r="AF46" t="s">
        <v>457</v>
      </c>
      <c r="AG46" t="s">
        <v>38</v>
      </c>
      <c r="AI46" t="s">
        <v>38</v>
      </c>
      <c r="AJ46" s="6">
        <v>0</v>
      </c>
      <c r="AK46" s="6">
        <v>0</v>
      </c>
      <c r="AL46" t="s">
        <v>881</v>
      </c>
      <c r="AM46">
        <f t="shared" si="1"/>
        <v>256530.91</v>
      </c>
      <c r="AN46">
        <f>DealsRawTable[[#This Row],[Validated_Annual_Final_Price]]*DealsRawTable[[#This Row],[Contract_Years]]</f>
        <v>256530.91</v>
      </c>
      <c r="AO46">
        <f>DealsRawTable[[#This Row],[Validated_Annual_Final_Price]]-DealsRawTable[[#This Row],[Cost_to_Serve]]</f>
        <v>171637.1881801514</v>
      </c>
      <c r="AP46" s="17">
        <f>DealsRawTable[[#This Row],[Validated_Grossprofit]]/DealsRawTable[[#This Row],[Validated_Annual_Final_Price]]</f>
        <v>0.66907020358736258</v>
      </c>
      <c r="AQ46" s="17">
        <v>0</v>
      </c>
      <c r="AR46" s="17">
        <v>0</v>
      </c>
      <c r="AS46" s="17">
        <v>0</v>
      </c>
      <c r="AT46" s="17">
        <v>0</v>
      </c>
      <c r="AU46" s="17" t="str">
        <f t="shared" si="0"/>
        <v>0–5%</v>
      </c>
      <c r="AV46" s="17">
        <v>55</v>
      </c>
      <c r="AW46" s="17"/>
    </row>
    <row r="47" spans="1:49">
      <c r="A47" t="s">
        <v>949</v>
      </c>
      <c r="B47" s="5">
        <v>45596</v>
      </c>
      <c r="C47" t="s">
        <v>81</v>
      </c>
      <c r="D47" t="s">
        <v>82</v>
      </c>
      <c r="E47" t="s">
        <v>482</v>
      </c>
      <c r="F47" t="s">
        <v>449</v>
      </c>
      <c r="G47" t="s">
        <v>83</v>
      </c>
      <c r="H47" t="s">
        <v>54</v>
      </c>
      <c r="I47" t="s">
        <v>55</v>
      </c>
      <c r="J47" t="s">
        <v>37</v>
      </c>
      <c r="K47" t="s">
        <v>44</v>
      </c>
      <c r="L47" s="5">
        <v>44743</v>
      </c>
      <c r="M47">
        <v>80</v>
      </c>
      <c r="N47" t="s">
        <v>427</v>
      </c>
      <c r="O47" t="s">
        <v>876</v>
      </c>
      <c r="Q47">
        <v>1</v>
      </c>
      <c r="R47">
        <v>51</v>
      </c>
      <c r="S47" t="s">
        <v>932</v>
      </c>
      <c r="T47" s="6">
        <v>62550.838258899508</v>
      </c>
      <c r="U47" s="7">
        <f>T47*DealsRawTable[[#This Row],[Contract_Years]]</f>
        <v>62550.838258899508</v>
      </c>
      <c r="V47" s="8">
        <v>0.19600000000000001</v>
      </c>
      <c r="W47" s="8">
        <v>0.13300000000000001</v>
      </c>
      <c r="X47" s="8">
        <v>3.9E-2</v>
      </c>
      <c r="Y47" t="s">
        <v>905</v>
      </c>
      <c r="Z47" t="s">
        <v>889</v>
      </c>
      <c r="AA47" s="6">
        <v>54213.499229660614</v>
      </c>
      <c r="AB47" s="7">
        <f>DealsRawTable[[#This Row],[Final_Price_ACV]]*DealsRawTable[[#This Row],[Contract_Years]]</f>
        <v>54213.499229660614</v>
      </c>
      <c r="AC47" s="6">
        <v>19711.944606812944</v>
      </c>
      <c r="AD47" s="6">
        <v>34501.554622847674</v>
      </c>
      <c r="AE47" s="8">
        <v>0.63640154413739847</v>
      </c>
      <c r="AF47" t="s">
        <v>880</v>
      </c>
      <c r="AG47" t="s">
        <v>44</v>
      </c>
      <c r="AI47" t="s">
        <v>38</v>
      </c>
      <c r="AJ47" s="6">
        <v>54213.499229660614</v>
      </c>
      <c r="AK47" s="6">
        <v>34501.554622847674</v>
      </c>
      <c r="AL47" t="s">
        <v>881</v>
      </c>
      <c r="AM47">
        <f t="shared" si="1"/>
        <v>54231.58</v>
      </c>
      <c r="AN47">
        <f>DealsRawTable[[#This Row],[Validated_Annual_Final_Price]]*DealsRawTable[[#This Row],[Contract_Years]]</f>
        <v>54231.58</v>
      </c>
      <c r="AO47">
        <f>DealsRawTable[[#This Row],[Validated_Annual_Final_Price]]-DealsRawTable[[#This Row],[Cost_to_Serve]]</f>
        <v>34519.635393187054</v>
      </c>
      <c r="AP47" s="17">
        <f>DealsRawTable[[#This Row],[Validated_Grossprofit]]/DealsRawTable[[#This Row],[Validated_Annual_Final_Price]]</f>
        <v>0.63652276760490945</v>
      </c>
      <c r="AQ47" s="17">
        <v>54231.58</v>
      </c>
      <c r="AR47" s="17">
        <v>54231.58</v>
      </c>
      <c r="AS47" s="17">
        <v>34519.635393187054</v>
      </c>
      <c r="AT47" s="17">
        <v>0.63652276760490945</v>
      </c>
      <c r="AU47" s="17" t="str">
        <f t="shared" si="0"/>
        <v>10–15%</v>
      </c>
      <c r="AV47" s="17">
        <v>113</v>
      </c>
      <c r="AW47" s="17"/>
    </row>
    <row r="48" spans="1:49">
      <c r="A48" t="s">
        <v>950</v>
      </c>
      <c r="B48" s="5">
        <v>45741</v>
      </c>
      <c r="C48" t="s">
        <v>81</v>
      </c>
      <c r="D48" t="s">
        <v>82</v>
      </c>
      <c r="E48" t="s">
        <v>482</v>
      </c>
      <c r="F48" t="s">
        <v>449</v>
      </c>
      <c r="G48" t="s">
        <v>83</v>
      </c>
      <c r="H48" t="s">
        <v>54</v>
      </c>
      <c r="I48" t="s">
        <v>55</v>
      </c>
      <c r="J48" t="s">
        <v>37</v>
      </c>
      <c r="K48" t="s">
        <v>44</v>
      </c>
      <c r="L48" s="5">
        <v>44743</v>
      </c>
      <c r="M48">
        <v>80</v>
      </c>
      <c r="N48" t="s">
        <v>427</v>
      </c>
      <c r="O48" t="s">
        <v>883</v>
      </c>
      <c r="P48" t="s">
        <v>951</v>
      </c>
      <c r="Q48">
        <v>1</v>
      </c>
      <c r="R48">
        <v>72</v>
      </c>
      <c r="S48" t="s">
        <v>896</v>
      </c>
      <c r="T48" s="6">
        <v>74210.126313024462</v>
      </c>
      <c r="U48" s="7">
        <f>T48*DealsRawTable[[#This Row],[Contract_Years]]</f>
        <v>74210.126313024462</v>
      </c>
      <c r="V48" s="8">
        <v>0.14199999999999999</v>
      </c>
      <c r="W48" s="8">
        <v>0.127</v>
      </c>
      <c r="X48" s="8">
        <v>4.0000000000000001E-3</v>
      </c>
      <c r="Y48" t="s">
        <v>885</v>
      </c>
      <c r="Z48" t="s">
        <v>889</v>
      </c>
      <c r="AA48" s="6">
        <v>64753.210256389182</v>
      </c>
      <c r="AB48" s="7">
        <f>DealsRawTable[[#This Row],[Final_Price_ACV]]*DealsRawTable[[#This Row],[Contract_Years]]</f>
        <v>64753.210256389182</v>
      </c>
      <c r="AC48" s="6">
        <v>21484.603750732495</v>
      </c>
      <c r="AD48" s="6">
        <v>43268.606505656688</v>
      </c>
      <c r="AE48" s="8">
        <v>0.66820789786846724</v>
      </c>
      <c r="AF48" t="s">
        <v>880</v>
      </c>
      <c r="AH48" t="s">
        <v>44</v>
      </c>
      <c r="AI48" t="s">
        <v>38</v>
      </c>
      <c r="AJ48" s="6">
        <v>64753.210256389182</v>
      </c>
      <c r="AK48" s="6">
        <v>43268.606505656688</v>
      </c>
      <c r="AL48" t="s">
        <v>886</v>
      </c>
      <c r="AM48">
        <f t="shared" si="1"/>
        <v>64785.440000000002</v>
      </c>
      <c r="AN48">
        <f>DealsRawTable[[#This Row],[Validated_Annual_Final_Price]]*DealsRawTable[[#This Row],[Contract_Years]]</f>
        <v>64785.440000000002</v>
      </c>
      <c r="AO48">
        <f>DealsRawTable[[#This Row],[Validated_Annual_Final_Price]]-DealsRawTable[[#This Row],[Cost_to_Serve]]</f>
        <v>43300.836249267508</v>
      </c>
      <c r="AP48" s="17">
        <f>DealsRawTable[[#This Row],[Validated_Grossprofit]]/DealsRawTable[[#This Row],[Validated_Annual_Final_Price]]</f>
        <v>0.66837295925237994</v>
      </c>
      <c r="AQ48" s="17">
        <v>64785.440000000002</v>
      </c>
      <c r="AR48" s="17">
        <v>64785.440000000002</v>
      </c>
      <c r="AS48" s="17">
        <v>43300.836249267508</v>
      </c>
      <c r="AT48" s="17">
        <v>0.66837295925237994</v>
      </c>
      <c r="AU48" s="17" t="str">
        <f t="shared" si="0"/>
        <v>10–15%</v>
      </c>
      <c r="AV48" s="17">
        <v>113</v>
      </c>
      <c r="AW48" s="17"/>
    </row>
    <row r="49" spans="1:49">
      <c r="A49" t="s">
        <v>952</v>
      </c>
      <c r="B49" s="5">
        <v>45961</v>
      </c>
      <c r="C49" t="s">
        <v>81</v>
      </c>
      <c r="D49" t="s">
        <v>82</v>
      </c>
      <c r="E49" t="s">
        <v>482</v>
      </c>
      <c r="F49" t="s">
        <v>449</v>
      </c>
      <c r="G49" t="s">
        <v>83</v>
      </c>
      <c r="H49" t="s">
        <v>54</v>
      </c>
      <c r="I49" t="s">
        <v>55</v>
      </c>
      <c r="J49" t="s">
        <v>37</v>
      </c>
      <c r="K49" t="s">
        <v>44</v>
      </c>
      <c r="L49" s="5">
        <v>44743</v>
      </c>
      <c r="M49">
        <v>80</v>
      </c>
      <c r="N49" t="s">
        <v>427</v>
      </c>
      <c r="O49" t="s">
        <v>876</v>
      </c>
      <c r="Q49">
        <v>1</v>
      </c>
      <c r="R49">
        <v>72</v>
      </c>
      <c r="S49" t="s">
        <v>877</v>
      </c>
      <c r="T49" s="6">
        <v>77343.666561613747</v>
      </c>
      <c r="U49" s="7">
        <f>T49*DealsRawTable[[#This Row],[Contract_Years]]</f>
        <v>77343.666561613747</v>
      </c>
      <c r="V49" s="8">
        <v>0.16800000000000001</v>
      </c>
      <c r="W49" s="8">
        <v>0.158</v>
      </c>
      <c r="X49" s="8">
        <v>-8.9999999999999993E-3</v>
      </c>
      <c r="Y49" t="s">
        <v>911</v>
      </c>
      <c r="Z49" t="s">
        <v>889</v>
      </c>
      <c r="AA49" s="6">
        <v>65107.556505032524</v>
      </c>
      <c r="AB49" s="7">
        <f>DealsRawTable[[#This Row],[Final_Price_ACV]]*DealsRawTable[[#This Row],[Contract_Years]]</f>
        <v>65107.556505032524</v>
      </c>
      <c r="AC49" s="6">
        <v>26608.311006145257</v>
      </c>
      <c r="AD49" s="6">
        <v>38499.245498887263</v>
      </c>
      <c r="AE49" s="8">
        <v>0.59131762218585859</v>
      </c>
      <c r="AF49" t="s">
        <v>880</v>
      </c>
      <c r="AG49" t="s">
        <v>44</v>
      </c>
      <c r="AI49" t="s">
        <v>38</v>
      </c>
      <c r="AJ49" s="6">
        <v>65107.556505032524</v>
      </c>
      <c r="AK49" s="6">
        <v>38499.245498887263</v>
      </c>
      <c r="AL49" t="s">
        <v>881</v>
      </c>
      <c r="AM49">
        <f t="shared" si="1"/>
        <v>65123.37</v>
      </c>
      <c r="AN49">
        <f>DealsRawTable[[#This Row],[Validated_Annual_Final_Price]]*DealsRawTable[[#This Row],[Contract_Years]]</f>
        <v>65123.37</v>
      </c>
      <c r="AO49">
        <f>DealsRawTable[[#This Row],[Validated_Annual_Final_Price]]-DealsRawTable[[#This Row],[Cost_to_Serve]]</f>
        <v>38515.058993854749</v>
      </c>
      <c r="AP49" s="17">
        <f>DealsRawTable[[#This Row],[Validated_Grossprofit]]/DealsRawTable[[#This Row],[Validated_Annual_Final_Price]]</f>
        <v>0.59141685993606818</v>
      </c>
      <c r="AQ49" s="17">
        <v>65123.37</v>
      </c>
      <c r="AR49" s="17">
        <v>65123.37</v>
      </c>
      <c r="AS49" s="17">
        <v>38515.058993854749</v>
      </c>
      <c r="AT49" s="17">
        <v>0.59141685993606818</v>
      </c>
      <c r="AU49" s="17" t="str">
        <f t="shared" si="0"/>
        <v>15–20%</v>
      </c>
      <c r="AV49" s="17">
        <v>108</v>
      </c>
      <c r="AW49" s="17"/>
    </row>
    <row r="50" spans="1:49">
      <c r="A50" t="s">
        <v>953</v>
      </c>
      <c r="B50" s="5">
        <v>45739</v>
      </c>
      <c r="C50" t="s">
        <v>81</v>
      </c>
      <c r="D50" t="s">
        <v>82</v>
      </c>
      <c r="E50" t="s">
        <v>483</v>
      </c>
      <c r="F50" t="s">
        <v>449</v>
      </c>
      <c r="G50" t="s">
        <v>83</v>
      </c>
      <c r="H50" t="s">
        <v>54</v>
      </c>
      <c r="I50" t="s">
        <v>55</v>
      </c>
      <c r="J50" t="s">
        <v>37</v>
      </c>
      <c r="K50" t="s">
        <v>44</v>
      </c>
      <c r="L50" s="5">
        <v>44743</v>
      </c>
      <c r="M50">
        <v>80</v>
      </c>
      <c r="N50" t="s">
        <v>429</v>
      </c>
      <c r="O50" t="s">
        <v>891</v>
      </c>
      <c r="Q50">
        <v>2</v>
      </c>
      <c r="R50">
        <v>73</v>
      </c>
      <c r="S50" t="s">
        <v>907</v>
      </c>
      <c r="T50" s="6">
        <v>89451.615648960258</v>
      </c>
      <c r="U50" s="7">
        <f>T50*DealsRawTable[[#This Row],[Contract_Years]]</f>
        <v>178903.23129792052</v>
      </c>
      <c r="V50" s="8">
        <v>0.255</v>
      </c>
      <c r="W50" s="8">
        <v>0.218</v>
      </c>
      <c r="X50" s="8">
        <v>-2.1999999999999999E-2</v>
      </c>
      <c r="Y50" t="s">
        <v>930</v>
      </c>
      <c r="Z50" t="s">
        <v>893</v>
      </c>
      <c r="AA50" s="6">
        <v>69942.781279672257</v>
      </c>
      <c r="AB50" s="7">
        <f>DealsRawTable[[#This Row],[Final_Price_ACV]]*DealsRawTable[[#This Row],[Contract_Years]]</f>
        <v>139885.56255934451</v>
      </c>
      <c r="AC50" s="6">
        <v>31005.628119178033</v>
      </c>
      <c r="AD50" s="6">
        <v>38937.153160494228</v>
      </c>
      <c r="AE50" s="8">
        <v>0.55670009753830996</v>
      </c>
      <c r="AF50" t="s">
        <v>457</v>
      </c>
      <c r="AI50" t="s">
        <v>38</v>
      </c>
      <c r="AJ50" s="6">
        <v>0</v>
      </c>
      <c r="AK50" s="6">
        <v>0</v>
      </c>
      <c r="AL50" t="s">
        <v>894</v>
      </c>
      <c r="AM50">
        <f t="shared" si="1"/>
        <v>69951.16</v>
      </c>
      <c r="AN50">
        <f>DealsRawTable[[#This Row],[Validated_Annual_Final_Price]]*DealsRawTable[[#This Row],[Contract_Years]]</f>
        <v>139902.32</v>
      </c>
      <c r="AO50">
        <f>DealsRawTable[[#This Row],[Validated_Annual_Final_Price]]-DealsRawTable[[#This Row],[Cost_to_Serve]]</f>
        <v>38945.531880821974</v>
      </c>
      <c r="AP50" s="17">
        <f>DealsRawTable[[#This Row],[Validated_Grossprofit]]/DealsRawTable[[#This Row],[Validated_Annual_Final_Price]]</f>
        <v>0.55675319581293536</v>
      </c>
      <c r="AQ50" s="17">
        <v>0</v>
      </c>
      <c r="AR50" s="17">
        <v>0</v>
      </c>
      <c r="AS50" s="17">
        <v>0</v>
      </c>
      <c r="AT50" s="17">
        <v>0</v>
      </c>
      <c r="AU50" s="17" t="str">
        <f t="shared" si="0"/>
        <v>20–25%</v>
      </c>
      <c r="AV50" s="17">
        <v>29</v>
      </c>
      <c r="AW50" s="17"/>
    </row>
    <row r="51" spans="1:49">
      <c r="A51" t="s">
        <v>954</v>
      </c>
      <c r="B51" s="5">
        <v>45626</v>
      </c>
      <c r="C51" t="s">
        <v>84</v>
      </c>
      <c r="D51" t="s">
        <v>85</v>
      </c>
      <c r="E51" t="s">
        <v>485</v>
      </c>
      <c r="F51" t="s">
        <v>47</v>
      </c>
      <c r="G51" t="s">
        <v>53</v>
      </c>
      <c r="H51" t="s">
        <v>48</v>
      </c>
      <c r="I51" t="s">
        <v>49</v>
      </c>
      <c r="J51" t="s">
        <v>37</v>
      </c>
      <c r="K51" t="s">
        <v>38</v>
      </c>
      <c r="L51" s="5">
        <v>44470</v>
      </c>
      <c r="M51">
        <v>81</v>
      </c>
      <c r="N51" t="s">
        <v>429</v>
      </c>
      <c r="O51" t="s">
        <v>876</v>
      </c>
      <c r="Q51">
        <v>1</v>
      </c>
      <c r="R51">
        <v>74</v>
      </c>
      <c r="S51" t="s">
        <v>932</v>
      </c>
      <c r="T51" s="6">
        <v>76441.027976165162</v>
      </c>
      <c r="U51" s="7">
        <f>T51*DealsRawTable[[#This Row],[Contract_Years]]</f>
        <v>76441.027976165162</v>
      </c>
      <c r="V51" s="8">
        <v>0.189</v>
      </c>
      <c r="W51" s="8">
        <v>0.16900000000000001</v>
      </c>
      <c r="X51" s="8">
        <v>-0.106</v>
      </c>
      <c r="Y51" t="s">
        <v>911</v>
      </c>
      <c r="Z51" t="s">
        <v>889</v>
      </c>
      <c r="AA51" s="6">
        <v>63514.511795704464</v>
      </c>
      <c r="AB51" s="7">
        <f>DealsRawTable[[#This Row],[Final_Price_ACV]]*DealsRawTable[[#This Row],[Contract_Years]]</f>
        <v>63514.511795704464</v>
      </c>
      <c r="AC51" s="6">
        <v>26148.539982455888</v>
      </c>
      <c r="AD51" s="6">
        <v>37365.971813248572</v>
      </c>
      <c r="AE51" s="8">
        <v>0.58830605410991543</v>
      </c>
      <c r="AF51" t="s">
        <v>880</v>
      </c>
      <c r="AG51" t="s">
        <v>44</v>
      </c>
      <c r="AI51" t="s">
        <v>38</v>
      </c>
      <c r="AJ51" s="6">
        <v>63514.511795704464</v>
      </c>
      <c r="AK51" s="6">
        <v>37365.971813248572</v>
      </c>
      <c r="AL51" t="s">
        <v>881</v>
      </c>
      <c r="AM51">
        <f t="shared" si="1"/>
        <v>63522.49</v>
      </c>
      <c r="AN51">
        <f>DealsRawTable[[#This Row],[Validated_Annual_Final_Price]]*DealsRawTable[[#This Row],[Contract_Years]]</f>
        <v>63522.49</v>
      </c>
      <c r="AO51">
        <f>DealsRawTable[[#This Row],[Validated_Annual_Final_Price]]-DealsRawTable[[#This Row],[Cost_to_Serve]]</f>
        <v>37373.950017544106</v>
      </c>
      <c r="AP51" s="17">
        <f>DealsRawTable[[#This Row],[Validated_Grossprofit]]/DealsRawTable[[#This Row],[Validated_Annual_Final_Price]]</f>
        <v>0.58835776144077645</v>
      </c>
      <c r="AQ51" s="17">
        <v>63522.49</v>
      </c>
      <c r="AR51" s="17">
        <v>63522.49</v>
      </c>
      <c r="AS51" s="17">
        <v>37373.950017544106</v>
      </c>
      <c r="AT51" s="17">
        <v>0.58835776144077645</v>
      </c>
      <c r="AU51" s="17" t="str">
        <f t="shared" si="0"/>
        <v>15–20%</v>
      </c>
      <c r="AV51" s="17">
        <v>108</v>
      </c>
      <c r="AW51" s="17"/>
    </row>
    <row r="52" spans="1:49">
      <c r="A52" t="s">
        <v>955</v>
      </c>
      <c r="B52" s="5">
        <v>45991</v>
      </c>
      <c r="C52" t="s">
        <v>84</v>
      </c>
      <c r="D52" t="s">
        <v>85</v>
      </c>
      <c r="E52" t="s">
        <v>485</v>
      </c>
      <c r="F52" t="s">
        <v>47</v>
      </c>
      <c r="G52" t="s">
        <v>53</v>
      </c>
      <c r="H52" t="s">
        <v>48</v>
      </c>
      <c r="I52" t="s">
        <v>49</v>
      </c>
      <c r="J52" t="s">
        <v>37</v>
      </c>
      <c r="K52" t="s">
        <v>38</v>
      </c>
      <c r="L52" s="5">
        <v>44470</v>
      </c>
      <c r="M52">
        <v>81</v>
      </c>
      <c r="N52" t="s">
        <v>429</v>
      </c>
      <c r="O52" t="s">
        <v>876</v>
      </c>
      <c r="Q52">
        <v>1</v>
      </c>
      <c r="R52">
        <v>74</v>
      </c>
      <c r="S52" t="s">
        <v>900</v>
      </c>
      <c r="T52" s="6">
        <v>80922.440241869932</v>
      </c>
      <c r="U52" s="7">
        <f>T52*DealsRawTable[[#This Row],[Contract_Years]]</f>
        <v>80922.440241869932</v>
      </c>
      <c r="V52" s="8">
        <v>2.1999999999999999E-2</v>
      </c>
      <c r="W52" s="8">
        <v>2.1000000000000001E-2</v>
      </c>
      <c r="X52" s="8">
        <v>1.4999999999999999E-2</v>
      </c>
      <c r="Y52" t="s">
        <v>911</v>
      </c>
      <c r="Z52" t="s">
        <v>879</v>
      </c>
      <c r="AA52" s="6">
        <v>79240.897110602295</v>
      </c>
      <c r="AB52" s="7">
        <f>DealsRawTable[[#This Row],[Final_Price_ACV]]*DealsRawTable[[#This Row],[Contract_Years]]</f>
        <v>79240.897110602295</v>
      </c>
      <c r="AC52" s="6">
        <v>26569.301181700888</v>
      </c>
      <c r="AD52" s="6">
        <v>52671.595928901406</v>
      </c>
      <c r="AE52" s="8">
        <v>0.66470216579430974</v>
      </c>
      <c r="AF52" t="s">
        <v>880</v>
      </c>
      <c r="AG52" t="s">
        <v>44</v>
      </c>
      <c r="AI52" t="s">
        <v>38</v>
      </c>
      <c r="AJ52" s="6">
        <v>79240.897110602295</v>
      </c>
      <c r="AK52" s="6">
        <v>52671.595928901406</v>
      </c>
      <c r="AL52" t="s">
        <v>881</v>
      </c>
      <c r="AM52">
        <f t="shared" si="1"/>
        <v>79223.070000000007</v>
      </c>
      <c r="AN52">
        <f>DealsRawTable[[#This Row],[Validated_Annual_Final_Price]]*DealsRawTable[[#This Row],[Contract_Years]]</f>
        <v>79223.070000000007</v>
      </c>
      <c r="AO52">
        <f>DealsRawTable[[#This Row],[Validated_Annual_Final_Price]]-DealsRawTable[[#This Row],[Cost_to_Serve]]</f>
        <v>52653.768818299119</v>
      </c>
      <c r="AP52" s="17">
        <f>DealsRawTable[[#This Row],[Validated_Grossprofit]]/DealsRawTable[[#This Row],[Validated_Annual_Final_Price]]</f>
        <v>0.66462671565617326</v>
      </c>
      <c r="AQ52" s="17">
        <v>79223.070000000007</v>
      </c>
      <c r="AR52" s="17">
        <v>79223.070000000007</v>
      </c>
      <c r="AS52" s="17">
        <v>52653.768818299119</v>
      </c>
      <c r="AT52" s="17">
        <v>0.66462671565617326</v>
      </c>
      <c r="AU52" s="17" t="str">
        <f t="shared" si="0"/>
        <v>0–5%</v>
      </c>
      <c r="AV52" s="17">
        <v>55</v>
      </c>
      <c r="AW52" s="17"/>
    </row>
    <row r="53" spans="1:49">
      <c r="A53" t="s">
        <v>956</v>
      </c>
      <c r="B53" s="5">
        <v>45432</v>
      </c>
      <c r="C53" t="s">
        <v>86</v>
      </c>
      <c r="D53" t="s">
        <v>87</v>
      </c>
      <c r="E53" t="s">
        <v>486</v>
      </c>
      <c r="F53" t="s">
        <v>34</v>
      </c>
      <c r="G53" t="s">
        <v>60</v>
      </c>
      <c r="H53" t="s">
        <v>35</v>
      </c>
      <c r="I53" t="s">
        <v>42</v>
      </c>
      <c r="J53" t="s">
        <v>43</v>
      </c>
      <c r="K53" t="s">
        <v>44</v>
      </c>
      <c r="L53" s="5">
        <v>43221</v>
      </c>
      <c r="M53">
        <v>80</v>
      </c>
      <c r="N53" t="s">
        <v>433</v>
      </c>
      <c r="O53" t="s">
        <v>883</v>
      </c>
      <c r="P53" t="s">
        <v>951</v>
      </c>
      <c r="Q53">
        <v>1</v>
      </c>
      <c r="R53">
        <v>533</v>
      </c>
      <c r="S53" t="s">
        <v>892</v>
      </c>
      <c r="T53" s="6">
        <v>1157457.9469481122</v>
      </c>
      <c r="U53" s="7">
        <f>T53*DealsRawTable[[#This Row],[Contract_Years]]</f>
        <v>1157457.9469481122</v>
      </c>
      <c r="V53" s="8">
        <v>6.4000000000000001E-2</v>
      </c>
      <c r="W53" s="8">
        <v>0.05</v>
      </c>
      <c r="X53" s="8">
        <v>0.104</v>
      </c>
      <c r="Y53" t="s">
        <v>885</v>
      </c>
      <c r="Z53" t="s">
        <v>879</v>
      </c>
      <c r="AA53" s="6">
        <v>1099091.5398195924</v>
      </c>
      <c r="AB53" s="7">
        <f>DealsRawTable[[#This Row],[Final_Price_ACV]]*DealsRawTable[[#This Row],[Contract_Years]]</f>
        <v>1099091.5398195924</v>
      </c>
      <c r="AC53" s="6">
        <v>417114.25091168814</v>
      </c>
      <c r="AD53" s="6">
        <v>681977.28890790418</v>
      </c>
      <c r="AE53" s="8">
        <v>0.62049180091027323</v>
      </c>
      <c r="AF53" t="s">
        <v>880</v>
      </c>
      <c r="AH53" t="s">
        <v>44</v>
      </c>
      <c r="AI53" t="s">
        <v>38</v>
      </c>
      <c r="AJ53" s="6">
        <v>1099091.5398195924</v>
      </c>
      <c r="AK53" s="6">
        <v>681977.28890790418</v>
      </c>
      <c r="AL53" t="s">
        <v>886</v>
      </c>
      <c r="AM53">
        <f t="shared" si="1"/>
        <v>1099585.05</v>
      </c>
      <c r="AN53">
        <f>DealsRawTable[[#This Row],[Validated_Annual_Final_Price]]*DealsRawTable[[#This Row],[Contract_Years]]</f>
        <v>1099585.05</v>
      </c>
      <c r="AO53">
        <f>DealsRawTable[[#This Row],[Validated_Annual_Final_Price]]-DealsRawTable[[#This Row],[Cost_to_Serve]]</f>
        <v>682470.79908831185</v>
      </c>
      <c r="AP53" s="17">
        <f>DealsRawTable[[#This Row],[Validated_Grossprofit]]/DealsRawTable[[#This Row],[Validated_Annual_Final_Price]]</f>
        <v>0.62066212985372238</v>
      </c>
      <c r="AQ53" s="17">
        <v>1099585.05</v>
      </c>
      <c r="AR53" s="17">
        <v>1099585.05</v>
      </c>
      <c r="AS53" s="17">
        <v>682470.79908831185</v>
      </c>
      <c r="AT53" s="17">
        <v>0.62066212985372238</v>
      </c>
      <c r="AU53" s="17" t="str">
        <f t="shared" si="0"/>
        <v>0–5%</v>
      </c>
      <c r="AV53" s="17">
        <v>55</v>
      </c>
      <c r="AW53" s="17"/>
    </row>
    <row r="54" spans="1:49">
      <c r="A54" t="s">
        <v>957</v>
      </c>
      <c r="B54" s="5">
        <v>45628</v>
      </c>
      <c r="C54" t="s">
        <v>86</v>
      </c>
      <c r="D54" t="s">
        <v>87</v>
      </c>
      <c r="E54" t="s">
        <v>486</v>
      </c>
      <c r="F54" t="s">
        <v>34</v>
      </c>
      <c r="G54" t="s">
        <v>60</v>
      </c>
      <c r="H54" t="s">
        <v>35</v>
      </c>
      <c r="I54" t="s">
        <v>42</v>
      </c>
      <c r="J54" t="s">
        <v>43</v>
      </c>
      <c r="K54" t="s">
        <v>44</v>
      </c>
      <c r="L54" s="5">
        <v>43221</v>
      </c>
      <c r="M54">
        <v>80</v>
      </c>
      <c r="N54" t="s">
        <v>433</v>
      </c>
      <c r="O54" t="s">
        <v>876</v>
      </c>
      <c r="Q54">
        <v>1</v>
      </c>
      <c r="R54">
        <v>533</v>
      </c>
      <c r="S54" t="s">
        <v>877</v>
      </c>
      <c r="T54" s="6">
        <v>1184782.7660114898</v>
      </c>
      <c r="U54" s="7">
        <f>T54*DealsRawTable[[#This Row],[Contract_Years]]</f>
        <v>1184782.7660114898</v>
      </c>
      <c r="V54" s="8">
        <v>5.8999999999999997E-2</v>
      </c>
      <c r="W54" s="8">
        <v>3.7999999999999999E-2</v>
      </c>
      <c r="X54" s="8">
        <v>-2.5999999999999999E-2</v>
      </c>
      <c r="Y54" t="s">
        <v>909</v>
      </c>
      <c r="Z54" t="s">
        <v>879</v>
      </c>
      <c r="AA54" s="6">
        <v>1139777.1409114096</v>
      </c>
      <c r="AB54" s="7">
        <f>DealsRawTable[[#This Row],[Final_Price_ACV]]*DealsRawTable[[#This Row],[Contract_Years]]</f>
        <v>1139777.1409114096</v>
      </c>
      <c r="AC54" s="6">
        <v>398219.84912046336</v>
      </c>
      <c r="AD54" s="6">
        <v>741557.29179094627</v>
      </c>
      <c r="AE54" s="8">
        <v>0.65061604165702824</v>
      </c>
      <c r="AF54" t="s">
        <v>880</v>
      </c>
      <c r="AG54" t="s">
        <v>44</v>
      </c>
      <c r="AI54" t="s">
        <v>38</v>
      </c>
      <c r="AJ54" s="6">
        <v>1139777.1409114096</v>
      </c>
      <c r="AK54" s="6">
        <v>741557.29179094627</v>
      </c>
      <c r="AL54" t="s">
        <v>881</v>
      </c>
      <c r="AM54">
        <f t="shared" si="1"/>
        <v>1139761.02</v>
      </c>
      <c r="AN54">
        <f>DealsRawTable[[#This Row],[Validated_Annual_Final_Price]]*DealsRawTable[[#This Row],[Contract_Years]]</f>
        <v>1139761.02</v>
      </c>
      <c r="AO54">
        <f>DealsRawTable[[#This Row],[Validated_Annual_Final_Price]]-DealsRawTable[[#This Row],[Cost_to_Serve]]</f>
        <v>741541.17087953666</v>
      </c>
      <c r="AP54" s="17">
        <f>DealsRawTable[[#This Row],[Validated_Grossprofit]]/DealsRawTable[[#This Row],[Validated_Annual_Final_Price]]</f>
        <v>0.65061109992999822</v>
      </c>
      <c r="AQ54" s="17">
        <v>1139761.02</v>
      </c>
      <c r="AR54" s="17">
        <v>1139761.02</v>
      </c>
      <c r="AS54" s="17">
        <v>741541.17087953666</v>
      </c>
      <c r="AT54" s="17">
        <v>0.65061109992999822</v>
      </c>
      <c r="AU54" s="17" t="str">
        <f t="shared" si="0"/>
        <v>0–5%</v>
      </c>
      <c r="AV54" s="17">
        <v>55</v>
      </c>
      <c r="AW54" s="17"/>
    </row>
    <row r="55" spans="1:49">
      <c r="A55" t="s">
        <v>958</v>
      </c>
      <c r="B55" s="5">
        <v>45993</v>
      </c>
      <c r="C55" t="s">
        <v>86</v>
      </c>
      <c r="D55" t="s">
        <v>87</v>
      </c>
      <c r="E55" t="s">
        <v>486</v>
      </c>
      <c r="F55" t="s">
        <v>34</v>
      </c>
      <c r="G55" t="s">
        <v>60</v>
      </c>
      <c r="H55" t="s">
        <v>35</v>
      </c>
      <c r="I55" t="s">
        <v>42</v>
      </c>
      <c r="J55" t="s">
        <v>43</v>
      </c>
      <c r="K55" t="s">
        <v>44</v>
      </c>
      <c r="L55" s="5">
        <v>43221</v>
      </c>
      <c r="M55">
        <v>80</v>
      </c>
      <c r="N55" t="s">
        <v>433</v>
      </c>
      <c r="O55" t="s">
        <v>876</v>
      </c>
      <c r="Q55">
        <v>1</v>
      </c>
      <c r="R55">
        <v>533</v>
      </c>
      <c r="S55" t="s">
        <v>892</v>
      </c>
      <c r="T55" s="6">
        <v>1239770.4355148997</v>
      </c>
      <c r="U55" s="7">
        <f>T55*DealsRawTable[[#This Row],[Contract_Years]]</f>
        <v>1239770.4355148997</v>
      </c>
      <c r="V55" s="8">
        <v>6.5000000000000002E-2</v>
      </c>
      <c r="W55" s="8">
        <v>3.1E-2</v>
      </c>
      <c r="X55" s="8">
        <v>5.0000000000000001E-3</v>
      </c>
      <c r="Y55" t="s">
        <v>911</v>
      </c>
      <c r="Z55" t="s">
        <v>879</v>
      </c>
      <c r="AA55" s="6">
        <v>1200751.2043398533</v>
      </c>
      <c r="AB55" s="7">
        <f>DealsRawTable[[#This Row],[Final_Price_ACV]]*DealsRawTable[[#This Row],[Contract_Years]]</f>
        <v>1200751.2043398533</v>
      </c>
      <c r="AC55" s="6">
        <v>434910.73210590053</v>
      </c>
      <c r="AD55" s="6">
        <v>765840.47223395272</v>
      </c>
      <c r="AE55" s="8">
        <v>0.63780112771570785</v>
      </c>
      <c r="AF55" t="s">
        <v>880</v>
      </c>
      <c r="AG55" t="s">
        <v>44</v>
      </c>
      <c r="AI55" t="s">
        <v>38</v>
      </c>
      <c r="AJ55" s="6">
        <v>1200751.2043398533</v>
      </c>
      <c r="AK55" s="6">
        <v>765840.47223395272</v>
      </c>
      <c r="AL55" t="s">
        <v>881</v>
      </c>
      <c r="AM55">
        <f t="shared" si="1"/>
        <v>1201337.55</v>
      </c>
      <c r="AN55">
        <f>DealsRawTable[[#This Row],[Validated_Annual_Final_Price]]*DealsRawTable[[#This Row],[Contract_Years]]</f>
        <v>1201337.55</v>
      </c>
      <c r="AO55">
        <f>DealsRawTable[[#This Row],[Validated_Annual_Final_Price]]-DealsRawTable[[#This Row],[Cost_to_Serve]]</f>
        <v>766426.81789409951</v>
      </c>
      <c r="AP55" s="17">
        <f>DealsRawTable[[#This Row],[Validated_Grossprofit]]/DealsRawTable[[#This Row],[Validated_Annual_Final_Price]]</f>
        <v>0.63797790878516991</v>
      </c>
      <c r="AQ55" s="17">
        <v>1201337.55</v>
      </c>
      <c r="AR55" s="17">
        <v>1201337.55</v>
      </c>
      <c r="AS55" s="17">
        <v>766426.81789409951</v>
      </c>
      <c r="AT55" s="17">
        <v>0.63797790878516991</v>
      </c>
      <c r="AU55" s="17" t="str">
        <f t="shared" si="0"/>
        <v>0–5%</v>
      </c>
      <c r="AV55" s="17">
        <v>55</v>
      </c>
      <c r="AW55" s="17"/>
    </row>
    <row r="56" spans="1:49">
      <c r="A56" t="s">
        <v>959</v>
      </c>
      <c r="B56" s="5">
        <v>45540</v>
      </c>
      <c r="C56" t="s">
        <v>88</v>
      </c>
      <c r="D56" t="s">
        <v>89</v>
      </c>
      <c r="E56" t="s">
        <v>489</v>
      </c>
      <c r="F56" t="s">
        <v>34</v>
      </c>
      <c r="G56" t="s">
        <v>47</v>
      </c>
      <c r="H56" t="s">
        <v>54</v>
      </c>
      <c r="I56" t="s">
        <v>55</v>
      </c>
      <c r="J56" t="s">
        <v>56</v>
      </c>
      <c r="K56" t="s">
        <v>38</v>
      </c>
      <c r="L56" s="5">
        <v>44958</v>
      </c>
      <c r="M56">
        <v>81</v>
      </c>
      <c r="N56" t="s">
        <v>433</v>
      </c>
      <c r="O56" t="s">
        <v>891</v>
      </c>
      <c r="Q56">
        <v>1</v>
      </c>
      <c r="R56">
        <v>145</v>
      </c>
      <c r="S56" t="s">
        <v>888</v>
      </c>
      <c r="T56" s="6">
        <v>336527.78014903475</v>
      </c>
      <c r="U56" s="7">
        <f>T56*DealsRawTable[[#This Row],[Contract_Years]]</f>
        <v>336527.78014903475</v>
      </c>
      <c r="V56" s="8">
        <v>8.9999999999999993E-3</v>
      </c>
      <c r="W56" s="8">
        <v>0</v>
      </c>
      <c r="X56" s="8">
        <v>7.0000000000000007E-2</v>
      </c>
      <c r="Y56" t="s">
        <v>911</v>
      </c>
      <c r="Z56" t="s">
        <v>879</v>
      </c>
      <c r="AA56" s="6">
        <v>336527.78014903475</v>
      </c>
      <c r="AB56" s="7">
        <f>DealsRawTable[[#This Row],[Final_Price_ACV]]*DealsRawTable[[#This Row],[Contract_Years]]</f>
        <v>336527.78014903475</v>
      </c>
      <c r="AC56" s="6">
        <v>139120.90221287814</v>
      </c>
      <c r="AD56" s="6">
        <v>197406.87793615661</v>
      </c>
      <c r="AE56" s="8">
        <v>0.58659905535505263</v>
      </c>
      <c r="AF56" t="s">
        <v>880</v>
      </c>
      <c r="AI56" t="s">
        <v>38</v>
      </c>
      <c r="AJ56" s="6">
        <v>336527.78014903475</v>
      </c>
      <c r="AK56" s="6">
        <v>197406.87793615661</v>
      </c>
      <c r="AL56" t="s">
        <v>894</v>
      </c>
      <c r="AM56">
        <f t="shared" si="1"/>
        <v>336527.78</v>
      </c>
      <c r="AN56">
        <f>DealsRawTable[[#This Row],[Validated_Annual_Final_Price]]*DealsRawTable[[#This Row],[Contract_Years]]</f>
        <v>336527.78</v>
      </c>
      <c r="AO56">
        <f>DealsRawTable[[#This Row],[Validated_Annual_Final_Price]]-DealsRawTable[[#This Row],[Cost_to_Serve]]</f>
        <v>197406.87778712189</v>
      </c>
      <c r="AP56" s="17">
        <f>DealsRawTable[[#This Row],[Validated_Grossprofit]]/DealsRawTable[[#This Row],[Validated_Annual_Final_Price]]</f>
        <v>0.58659905517197386</v>
      </c>
      <c r="AQ56" s="17">
        <v>336527.78</v>
      </c>
      <c r="AR56" s="17">
        <v>336527.78</v>
      </c>
      <c r="AS56" s="17">
        <v>197406.87778712189</v>
      </c>
      <c r="AT56" s="17">
        <v>0.58659905517197386</v>
      </c>
      <c r="AU56" s="17" t="str">
        <f t="shared" si="0"/>
        <v>0–5%</v>
      </c>
      <c r="AV56" s="17">
        <v>55</v>
      </c>
      <c r="AW56" s="17"/>
    </row>
    <row r="57" spans="1:49">
      <c r="A57" t="s">
        <v>960</v>
      </c>
      <c r="B57" s="5">
        <v>45905</v>
      </c>
      <c r="C57" t="s">
        <v>88</v>
      </c>
      <c r="D57" t="s">
        <v>89</v>
      </c>
      <c r="E57" t="s">
        <v>489</v>
      </c>
      <c r="F57" t="s">
        <v>34</v>
      </c>
      <c r="G57" t="s">
        <v>47</v>
      </c>
      <c r="H57" t="s">
        <v>54</v>
      </c>
      <c r="I57" t="s">
        <v>55</v>
      </c>
      <c r="J57" t="s">
        <v>56</v>
      </c>
      <c r="K57" t="s">
        <v>38</v>
      </c>
      <c r="L57" s="5">
        <v>44958</v>
      </c>
      <c r="M57">
        <v>81</v>
      </c>
      <c r="N57" t="s">
        <v>433</v>
      </c>
      <c r="O57" t="s">
        <v>876</v>
      </c>
      <c r="Q57">
        <v>1</v>
      </c>
      <c r="R57">
        <v>145</v>
      </c>
      <c r="S57" t="s">
        <v>907</v>
      </c>
      <c r="T57" s="6">
        <v>351058.04406415421</v>
      </c>
      <c r="U57" s="7">
        <f>T57*DealsRawTable[[#This Row],[Contract_Years]]</f>
        <v>351058.04406415421</v>
      </c>
      <c r="V57" s="8">
        <v>0.215</v>
      </c>
      <c r="W57" s="8">
        <v>0.19700000000000001</v>
      </c>
      <c r="X57" s="8">
        <v>-6.2E-2</v>
      </c>
      <c r="Y57" t="s">
        <v>902</v>
      </c>
      <c r="Z57" t="s">
        <v>889</v>
      </c>
      <c r="AA57" s="6">
        <v>282013.06125455344</v>
      </c>
      <c r="AB57" s="7">
        <f>DealsRawTable[[#This Row],[Final_Price_ACV]]*DealsRawTable[[#This Row],[Contract_Years]]</f>
        <v>282013.06125455344</v>
      </c>
      <c r="AC57" s="6">
        <v>121286.23352937678</v>
      </c>
      <c r="AD57" s="6">
        <v>160726.82772517664</v>
      </c>
      <c r="AE57" s="8">
        <v>0.56992689278352182</v>
      </c>
      <c r="AF57" t="s">
        <v>457</v>
      </c>
      <c r="AG57" t="s">
        <v>38</v>
      </c>
      <c r="AI57" t="s">
        <v>38</v>
      </c>
      <c r="AJ57" s="6">
        <v>0</v>
      </c>
      <c r="AK57" s="6">
        <v>0</v>
      </c>
      <c r="AL57" t="s">
        <v>881</v>
      </c>
      <c r="AM57">
        <f t="shared" si="1"/>
        <v>281899.61</v>
      </c>
      <c r="AN57">
        <f>DealsRawTable[[#This Row],[Validated_Annual_Final_Price]]*DealsRawTable[[#This Row],[Contract_Years]]</f>
        <v>281899.61</v>
      </c>
      <c r="AO57">
        <f>DealsRawTable[[#This Row],[Validated_Annual_Final_Price]]-DealsRawTable[[#This Row],[Cost_to_Serve]]</f>
        <v>160613.37647062319</v>
      </c>
      <c r="AP57" s="17">
        <f>DealsRawTable[[#This Row],[Validated_Grossprofit]]/DealsRawTable[[#This Row],[Validated_Annual_Final_Price]]</f>
        <v>0.56975380870737347</v>
      </c>
      <c r="AQ57" s="17">
        <v>0</v>
      </c>
      <c r="AR57" s="17">
        <v>0</v>
      </c>
      <c r="AS57" s="17">
        <v>0</v>
      </c>
      <c r="AT57" s="17">
        <v>0</v>
      </c>
      <c r="AU57" s="17" t="str">
        <f t="shared" si="0"/>
        <v>15–20%</v>
      </c>
      <c r="AV57" s="17">
        <v>108</v>
      </c>
      <c r="AW57" s="17"/>
    </row>
    <row r="58" spans="1:49">
      <c r="A58" t="s">
        <v>961</v>
      </c>
      <c r="B58" s="5">
        <v>45652</v>
      </c>
      <c r="C58" t="s">
        <v>90</v>
      </c>
      <c r="D58" t="s">
        <v>91</v>
      </c>
      <c r="E58" t="s">
        <v>491</v>
      </c>
      <c r="F58" t="s">
        <v>445</v>
      </c>
      <c r="G58" t="s">
        <v>83</v>
      </c>
      <c r="H58" t="s">
        <v>35</v>
      </c>
      <c r="I58" t="s">
        <v>36</v>
      </c>
      <c r="J58" t="s">
        <v>37</v>
      </c>
      <c r="K58" t="s">
        <v>38</v>
      </c>
      <c r="L58" s="5">
        <v>44136</v>
      </c>
      <c r="M58">
        <v>87</v>
      </c>
      <c r="N58" t="s">
        <v>431</v>
      </c>
      <c r="O58" t="s">
        <v>891</v>
      </c>
      <c r="Q58">
        <v>2</v>
      </c>
      <c r="R58">
        <v>50</v>
      </c>
      <c r="S58" t="s">
        <v>888</v>
      </c>
      <c r="T58" s="6">
        <v>49222.070276409802</v>
      </c>
      <c r="U58" s="7">
        <f>T58*DealsRawTable[[#This Row],[Contract_Years]]</f>
        <v>98444.140552819605</v>
      </c>
      <c r="V58" s="8">
        <v>0.16700000000000001</v>
      </c>
      <c r="W58" s="8">
        <v>0.13400000000000001</v>
      </c>
      <c r="X58" s="8">
        <v>-3.4000000000000002E-2</v>
      </c>
      <c r="Y58" t="s">
        <v>897</v>
      </c>
      <c r="Z58" t="s">
        <v>889</v>
      </c>
      <c r="AA58" s="6">
        <v>42645.880259383201</v>
      </c>
      <c r="AB58" s="7">
        <f>DealsRawTable[[#This Row],[Final_Price_ACV]]*DealsRawTable[[#This Row],[Contract_Years]]</f>
        <v>85291.760518766401</v>
      </c>
      <c r="AC58" s="6">
        <v>18354.390792181184</v>
      </c>
      <c r="AD58" s="6">
        <v>24291.489467202016</v>
      </c>
      <c r="AE58" s="8">
        <v>0.56960928744945438</v>
      </c>
      <c r="AF58" t="s">
        <v>880</v>
      </c>
      <c r="AI58" t="s">
        <v>38</v>
      </c>
      <c r="AJ58" s="6">
        <v>42645.880259383201</v>
      </c>
      <c r="AK58" s="6">
        <v>24291.489467202016</v>
      </c>
      <c r="AL58" t="s">
        <v>894</v>
      </c>
      <c r="AM58">
        <f t="shared" si="1"/>
        <v>42626.31</v>
      </c>
      <c r="AN58">
        <f>DealsRawTable[[#This Row],[Validated_Annual_Final_Price]]*DealsRawTable[[#This Row],[Contract_Years]]</f>
        <v>85252.62</v>
      </c>
      <c r="AO58">
        <f>DealsRawTable[[#This Row],[Validated_Annual_Final_Price]]-DealsRawTable[[#This Row],[Cost_to_Serve]]</f>
        <v>24271.919207818813</v>
      </c>
      <c r="AP58" s="17">
        <f>DealsRawTable[[#This Row],[Validated_Grossprofit]]/DealsRawTable[[#This Row],[Validated_Annual_Final_Price]]</f>
        <v>0.5694116898183027</v>
      </c>
      <c r="AQ58" s="17">
        <v>42626.31</v>
      </c>
      <c r="AR58" s="17">
        <v>85252.62</v>
      </c>
      <c r="AS58" s="17">
        <v>24271.919207818813</v>
      </c>
      <c r="AT58" s="17">
        <v>0.5694116898183027</v>
      </c>
      <c r="AU58" s="17" t="str">
        <f t="shared" si="0"/>
        <v>10–15%</v>
      </c>
      <c r="AV58" s="17">
        <v>113</v>
      </c>
      <c r="AW58" s="17"/>
    </row>
    <row r="59" spans="1:49">
      <c r="A59" t="s">
        <v>962</v>
      </c>
      <c r="B59" s="5">
        <v>45508</v>
      </c>
      <c r="C59" t="s">
        <v>92</v>
      </c>
      <c r="D59" t="s">
        <v>93</v>
      </c>
      <c r="E59" t="s">
        <v>492</v>
      </c>
      <c r="F59" t="s">
        <v>47</v>
      </c>
      <c r="G59" t="s">
        <v>69</v>
      </c>
      <c r="H59" t="s">
        <v>54</v>
      </c>
      <c r="I59" t="s">
        <v>94</v>
      </c>
      <c r="J59" t="s">
        <v>43</v>
      </c>
      <c r="K59" t="s">
        <v>38</v>
      </c>
      <c r="L59" s="5">
        <v>43435</v>
      </c>
      <c r="M59">
        <v>86</v>
      </c>
      <c r="N59" t="s">
        <v>427</v>
      </c>
      <c r="O59" t="s">
        <v>883</v>
      </c>
      <c r="P59" t="s">
        <v>946</v>
      </c>
      <c r="Q59">
        <v>3</v>
      </c>
      <c r="R59">
        <v>681</v>
      </c>
      <c r="S59" t="s">
        <v>896</v>
      </c>
      <c r="T59" s="6">
        <v>289447.96156024834</v>
      </c>
      <c r="U59" s="7">
        <f>T59*DealsRawTable[[#This Row],[Contract_Years]]</f>
        <v>868343.88468074496</v>
      </c>
      <c r="V59" s="8">
        <v>0.06</v>
      </c>
      <c r="W59" s="8">
        <v>0.03</v>
      </c>
      <c r="X59" s="8">
        <v>2.1999999999999999E-2</v>
      </c>
      <c r="Y59" t="s">
        <v>885</v>
      </c>
      <c r="Z59" t="s">
        <v>879</v>
      </c>
      <c r="AA59" s="6">
        <v>280672.97182075906</v>
      </c>
      <c r="AB59" s="7">
        <f>DealsRawTable[[#This Row],[Final_Price_ACV]]*DealsRawTable[[#This Row],[Contract_Years]]</f>
        <v>842018.91546227713</v>
      </c>
      <c r="AC59" s="6">
        <v>101542.3754570016</v>
      </c>
      <c r="AD59" s="6">
        <v>179130.59636375745</v>
      </c>
      <c r="AE59" s="8">
        <v>0.63821819109163203</v>
      </c>
      <c r="AF59" t="s">
        <v>457</v>
      </c>
      <c r="AH59" t="s">
        <v>38</v>
      </c>
      <c r="AI59" t="s">
        <v>38</v>
      </c>
      <c r="AJ59" s="6">
        <v>0</v>
      </c>
      <c r="AK59" s="6">
        <v>0</v>
      </c>
      <c r="AL59" t="s">
        <v>886</v>
      </c>
      <c r="AM59">
        <f t="shared" si="1"/>
        <v>280764.52</v>
      </c>
      <c r="AN59">
        <f>DealsRawTable[[#This Row],[Validated_Annual_Final_Price]]*DealsRawTable[[#This Row],[Contract_Years]]</f>
        <v>842293.56</v>
      </c>
      <c r="AO59">
        <f>DealsRawTable[[#This Row],[Validated_Annual_Final_Price]]-DealsRawTable[[#This Row],[Cost_to_Serve]]</f>
        <v>179222.1445429984</v>
      </c>
      <c r="AP59" s="17">
        <f>DealsRawTable[[#This Row],[Validated_Grossprofit]]/DealsRawTable[[#This Row],[Validated_Annual_Final_Price]]</f>
        <v>0.63833615637402619</v>
      </c>
      <c r="AQ59" s="17">
        <v>0</v>
      </c>
      <c r="AR59" s="17">
        <v>0</v>
      </c>
      <c r="AS59" s="17">
        <v>0</v>
      </c>
      <c r="AT59" s="17">
        <v>0</v>
      </c>
      <c r="AU59" s="17" t="str">
        <f t="shared" si="0"/>
        <v>0–5%</v>
      </c>
      <c r="AV59" s="17">
        <v>55</v>
      </c>
      <c r="AW59" s="17"/>
    </row>
    <row r="60" spans="1:49">
      <c r="A60" t="s">
        <v>963</v>
      </c>
      <c r="B60" s="5">
        <v>45676</v>
      </c>
      <c r="C60" t="s">
        <v>92</v>
      </c>
      <c r="D60" t="s">
        <v>93</v>
      </c>
      <c r="E60" t="s">
        <v>492</v>
      </c>
      <c r="F60" t="s">
        <v>47</v>
      </c>
      <c r="G60" t="s">
        <v>69</v>
      </c>
      <c r="H60" t="s">
        <v>54</v>
      </c>
      <c r="I60" t="s">
        <v>94</v>
      </c>
      <c r="J60" t="s">
        <v>43</v>
      </c>
      <c r="K60" t="s">
        <v>38</v>
      </c>
      <c r="L60" s="5">
        <v>43435</v>
      </c>
      <c r="M60">
        <v>86</v>
      </c>
      <c r="N60" t="s">
        <v>427</v>
      </c>
      <c r="O60" t="s">
        <v>876</v>
      </c>
      <c r="Q60">
        <v>3</v>
      </c>
      <c r="R60">
        <v>596</v>
      </c>
      <c r="S60" t="s">
        <v>900</v>
      </c>
      <c r="T60" s="6">
        <v>273862.34884035238</v>
      </c>
      <c r="U60" s="7">
        <f>T60*DealsRawTable[[#This Row],[Contract_Years]]</f>
        <v>821587.04652105714</v>
      </c>
      <c r="V60" s="8">
        <v>0.21099999999999999</v>
      </c>
      <c r="W60" s="8">
        <v>0.17699999999999999</v>
      </c>
      <c r="X60" s="8">
        <v>-0.09</v>
      </c>
      <c r="Y60" t="s">
        <v>902</v>
      </c>
      <c r="Z60" t="s">
        <v>889</v>
      </c>
      <c r="AA60" s="6">
        <v>225488.3887525766</v>
      </c>
      <c r="AB60" s="7">
        <f>DealsRawTable[[#This Row],[Final_Price_ACV]]*DealsRawTable[[#This Row],[Contract_Years]]</f>
        <v>676465.16625772975</v>
      </c>
      <c r="AC60" s="6">
        <v>74877.975272699288</v>
      </c>
      <c r="AD60" s="6">
        <v>150610.41347987732</v>
      </c>
      <c r="AE60" s="8">
        <v>0.66792979591130419</v>
      </c>
      <c r="AF60" t="s">
        <v>880</v>
      </c>
      <c r="AG60" t="s">
        <v>44</v>
      </c>
      <c r="AI60" t="s">
        <v>38</v>
      </c>
      <c r="AJ60" s="6">
        <v>225488.3887525766</v>
      </c>
      <c r="AK60" s="6">
        <v>150610.41347987732</v>
      </c>
      <c r="AL60" t="s">
        <v>881</v>
      </c>
      <c r="AM60">
        <f t="shared" si="1"/>
        <v>225388.71</v>
      </c>
      <c r="AN60">
        <f>DealsRawTable[[#This Row],[Validated_Annual_Final_Price]]*DealsRawTable[[#This Row],[Contract_Years]]</f>
        <v>676166.13</v>
      </c>
      <c r="AO60">
        <f>DealsRawTable[[#This Row],[Validated_Annual_Final_Price]]-DealsRawTable[[#This Row],[Cost_to_Serve]]</f>
        <v>150510.7347273007</v>
      </c>
      <c r="AP60" s="17">
        <f>DealsRawTable[[#This Row],[Validated_Grossprofit]]/DealsRawTable[[#This Row],[Validated_Annual_Final_Price]]</f>
        <v>0.66778293698606606</v>
      </c>
      <c r="AQ60" s="17">
        <v>225388.71</v>
      </c>
      <c r="AR60" s="17">
        <v>676166.13</v>
      </c>
      <c r="AS60" s="17">
        <v>150510.7347273007</v>
      </c>
      <c r="AT60" s="17">
        <v>0.66778293698606606</v>
      </c>
      <c r="AU60" s="17" t="str">
        <f t="shared" si="0"/>
        <v>15–20%</v>
      </c>
      <c r="AV60" s="17">
        <v>108</v>
      </c>
      <c r="AW60" s="17"/>
    </row>
    <row r="61" spans="1:49">
      <c r="A61" t="s">
        <v>964</v>
      </c>
      <c r="B61" s="5">
        <v>45488</v>
      </c>
      <c r="C61" t="s">
        <v>92</v>
      </c>
      <c r="D61" t="s">
        <v>93</v>
      </c>
      <c r="E61" t="s">
        <v>493</v>
      </c>
      <c r="F61" t="s">
        <v>34</v>
      </c>
      <c r="G61" t="s">
        <v>69</v>
      </c>
      <c r="H61" t="s">
        <v>54</v>
      </c>
      <c r="I61" t="s">
        <v>94</v>
      </c>
      <c r="J61" t="s">
        <v>43</v>
      </c>
      <c r="K61" t="s">
        <v>38</v>
      </c>
      <c r="L61" s="5">
        <v>43435</v>
      </c>
      <c r="M61">
        <v>86</v>
      </c>
      <c r="N61" t="s">
        <v>424</v>
      </c>
      <c r="O61" t="s">
        <v>891</v>
      </c>
      <c r="Q61">
        <v>1</v>
      </c>
      <c r="R61">
        <v>1723</v>
      </c>
      <c r="S61" t="s">
        <v>947</v>
      </c>
      <c r="T61" s="6">
        <v>137877.26221858559</v>
      </c>
      <c r="U61" s="7">
        <f>T61*DealsRawTable[[#This Row],[Contract_Years]]</f>
        <v>137877.26221858559</v>
      </c>
      <c r="V61" s="8">
        <v>0.21</v>
      </c>
      <c r="W61" s="8">
        <v>0.16600000000000001</v>
      </c>
      <c r="X61" s="8">
        <v>2.7E-2</v>
      </c>
      <c r="Y61" t="s">
        <v>878</v>
      </c>
      <c r="Z61" t="s">
        <v>889</v>
      </c>
      <c r="AA61" s="6">
        <v>114993.43147735474</v>
      </c>
      <c r="AB61" s="7">
        <f>DealsRawTable[[#This Row],[Final_Price_ACV]]*DealsRawTable[[#This Row],[Contract_Years]]</f>
        <v>114993.43147735474</v>
      </c>
      <c r="AC61" s="6">
        <v>46709.960026907436</v>
      </c>
      <c r="AD61" s="6">
        <v>68283.471450447309</v>
      </c>
      <c r="AE61" s="8">
        <v>0.5938032335689899</v>
      </c>
      <c r="AF61" t="s">
        <v>457</v>
      </c>
      <c r="AI61" t="s">
        <v>38</v>
      </c>
      <c r="AJ61" s="6">
        <v>0</v>
      </c>
      <c r="AK61" s="6">
        <v>0</v>
      </c>
      <c r="AL61" t="s">
        <v>894</v>
      </c>
      <c r="AM61">
        <f t="shared" si="1"/>
        <v>114989.64</v>
      </c>
      <c r="AN61">
        <f>DealsRawTable[[#This Row],[Validated_Annual_Final_Price]]*DealsRawTable[[#This Row],[Contract_Years]]</f>
        <v>114989.64</v>
      </c>
      <c r="AO61">
        <f>DealsRawTable[[#This Row],[Validated_Annual_Final_Price]]-DealsRawTable[[#This Row],[Cost_to_Serve]]</f>
        <v>68279.67997309257</v>
      </c>
      <c r="AP61" s="17">
        <f>DealsRawTable[[#This Row],[Validated_Grossprofit]]/DealsRawTable[[#This Row],[Validated_Annual_Final_Price]]</f>
        <v>0.59378984031163651</v>
      </c>
      <c r="AQ61" s="17">
        <v>0</v>
      </c>
      <c r="AR61" s="17">
        <v>0</v>
      </c>
      <c r="AS61" s="17">
        <v>0</v>
      </c>
      <c r="AT61" s="17">
        <v>0</v>
      </c>
      <c r="AU61" s="17" t="str">
        <f t="shared" si="0"/>
        <v>15–20%</v>
      </c>
      <c r="AV61" s="17">
        <v>108</v>
      </c>
      <c r="AW61" s="17"/>
    </row>
    <row r="62" spans="1:49">
      <c r="A62" t="s">
        <v>965</v>
      </c>
      <c r="B62" s="5">
        <v>45293</v>
      </c>
      <c r="C62" t="s">
        <v>95</v>
      </c>
      <c r="D62" t="s">
        <v>96</v>
      </c>
      <c r="E62" t="s">
        <v>494</v>
      </c>
      <c r="F62" t="s">
        <v>445</v>
      </c>
      <c r="G62" t="s">
        <v>34</v>
      </c>
      <c r="H62" t="s">
        <v>35</v>
      </c>
      <c r="I62" t="s">
        <v>42</v>
      </c>
      <c r="J62" t="s">
        <v>43</v>
      </c>
      <c r="K62" t="s">
        <v>38</v>
      </c>
      <c r="L62" s="5">
        <v>43739</v>
      </c>
      <c r="M62">
        <v>78</v>
      </c>
      <c r="N62" t="s">
        <v>433</v>
      </c>
      <c r="O62" t="s">
        <v>876</v>
      </c>
      <c r="Q62">
        <v>1</v>
      </c>
      <c r="R62">
        <v>259</v>
      </c>
      <c r="S62" t="s">
        <v>888</v>
      </c>
      <c r="T62" s="6">
        <v>620606.73368014046</v>
      </c>
      <c r="U62" s="7">
        <f>T62*DealsRawTable[[#This Row],[Contract_Years]]</f>
        <v>620606.73368014046</v>
      </c>
      <c r="V62" s="8">
        <v>0.14000000000000001</v>
      </c>
      <c r="W62" s="8">
        <v>0.121</v>
      </c>
      <c r="X62" s="8">
        <v>1.2E-2</v>
      </c>
      <c r="Y62" t="s">
        <v>909</v>
      </c>
      <c r="Z62" t="s">
        <v>889</v>
      </c>
      <c r="AA62" s="6">
        <v>545559.11696049012</v>
      </c>
      <c r="AB62" s="7">
        <f>DealsRawTable[[#This Row],[Final_Price_ACV]]*DealsRawTable[[#This Row],[Contract_Years]]</f>
        <v>545559.11696049012</v>
      </c>
      <c r="AC62" s="6">
        <v>212776.07402413277</v>
      </c>
      <c r="AD62" s="6">
        <v>332783.04293635732</v>
      </c>
      <c r="AE62" s="8">
        <v>0.60998530240024884</v>
      </c>
      <c r="AF62" t="s">
        <v>880</v>
      </c>
      <c r="AG62" t="s">
        <v>44</v>
      </c>
      <c r="AI62" t="s">
        <v>38</v>
      </c>
      <c r="AJ62" s="6">
        <v>545559.11696049012</v>
      </c>
      <c r="AK62" s="6">
        <v>332783.04293635732</v>
      </c>
      <c r="AL62" t="s">
        <v>881</v>
      </c>
      <c r="AM62">
        <f t="shared" si="1"/>
        <v>545513.31999999995</v>
      </c>
      <c r="AN62">
        <f>DealsRawTable[[#This Row],[Validated_Annual_Final_Price]]*DealsRawTable[[#This Row],[Contract_Years]]</f>
        <v>545513.31999999995</v>
      </c>
      <c r="AO62">
        <f>DealsRawTable[[#This Row],[Validated_Annual_Final_Price]]-DealsRawTable[[#This Row],[Cost_to_Serve]]</f>
        <v>332737.24597586715</v>
      </c>
      <c r="AP62" s="17">
        <f>DealsRawTable[[#This Row],[Validated_Grossprofit]]/DealsRawTable[[#This Row],[Validated_Annual_Final_Price]]</f>
        <v>0.60995255986758889</v>
      </c>
      <c r="AQ62" s="17">
        <v>545513.31999999995</v>
      </c>
      <c r="AR62" s="17">
        <v>545513.31999999995</v>
      </c>
      <c r="AS62" s="17">
        <v>332737.24597586715</v>
      </c>
      <c r="AT62" s="17">
        <v>0.60995255986758889</v>
      </c>
      <c r="AU62" s="17" t="str">
        <f t="shared" si="0"/>
        <v>10–15%</v>
      </c>
      <c r="AV62" s="17">
        <v>113</v>
      </c>
      <c r="AW62" s="17"/>
    </row>
    <row r="63" spans="1:49">
      <c r="A63" t="s">
        <v>966</v>
      </c>
      <c r="B63" s="5">
        <v>45658</v>
      </c>
      <c r="C63" t="s">
        <v>95</v>
      </c>
      <c r="D63" t="s">
        <v>96</v>
      </c>
      <c r="E63" t="s">
        <v>494</v>
      </c>
      <c r="F63" t="s">
        <v>445</v>
      </c>
      <c r="G63" t="s">
        <v>34</v>
      </c>
      <c r="H63" t="s">
        <v>35</v>
      </c>
      <c r="I63" t="s">
        <v>42</v>
      </c>
      <c r="J63" t="s">
        <v>43</v>
      </c>
      <c r="K63" t="s">
        <v>38</v>
      </c>
      <c r="L63" s="5">
        <v>43739</v>
      </c>
      <c r="M63">
        <v>78</v>
      </c>
      <c r="N63" t="s">
        <v>433</v>
      </c>
      <c r="O63" t="s">
        <v>876</v>
      </c>
      <c r="Q63">
        <v>1</v>
      </c>
      <c r="R63">
        <v>259</v>
      </c>
      <c r="S63" t="s">
        <v>947</v>
      </c>
      <c r="T63" s="6">
        <v>639965.12917802564</v>
      </c>
      <c r="U63" s="7">
        <f>T63*DealsRawTable[[#This Row],[Contract_Years]]</f>
        <v>639965.12917802564</v>
      </c>
      <c r="V63" s="8">
        <v>0.13900000000000001</v>
      </c>
      <c r="W63" s="8">
        <v>0.10199999999999999</v>
      </c>
      <c r="X63" s="8">
        <v>-0.03</v>
      </c>
      <c r="Y63" t="s">
        <v>897</v>
      </c>
      <c r="Z63" t="s">
        <v>889</v>
      </c>
      <c r="AA63" s="6">
        <v>574726.13565761002</v>
      </c>
      <c r="AB63" s="7">
        <f>DealsRawTable[[#This Row],[Final_Price_ACV]]*DealsRawTable[[#This Row],[Contract_Years]]</f>
        <v>574726.13565761002</v>
      </c>
      <c r="AC63" s="6">
        <v>228296.10581128384</v>
      </c>
      <c r="AD63" s="6">
        <v>346430.02984632622</v>
      </c>
      <c r="AE63" s="8">
        <v>0.60277410118114072</v>
      </c>
      <c r="AF63" t="s">
        <v>880</v>
      </c>
      <c r="AG63" t="s">
        <v>44</v>
      </c>
      <c r="AI63" t="s">
        <v>38</v>
      </c>
      <c r="AJ63" s="6">
        <v>574726.13565761002</v>
      </c>
      <c r="AK63" s="6">
        <v>346430.02984632622</v>
      </c>
      <c r="AL63" t="s">
        <v>881</v>
      </c>
      <c r="AM63">
        <f t="shared" si="1"/>
        <v>574688.68999999994</v>
      </c>
      <c r="AN63">
        <f>DealsRawTable[[#This Row],[Validated_Annual_Final_Price]]*DealsRawTable[[#This Row],[Contract_Years]]</f>
        <v>574688.68999999994</v>
      </c>
      <c r="AO63">
        <f>DealsRawTable[[#This Row],[Validated_Annual_Final_Price]]-DealsRawTable[[#This Row],[Cost_to_Serve]]</f>
        <v>346392.58418871614</v>
      </c>
      <c r="AP63" s="17">
        <f>DealsRawTable[[#This Row],[Validated_Grossprofit]]/DealsRawTable[[#This Row],[Validated_Annual_Final_Price]]</f>
        <v>0.60274821867247153</v>
      </c>
      <c r="AQ63" s="17">
        <v>574688.68999999994</v>
      </c>
      <c r="AR63" s="17">
        <v>574688.68999999994</v>
      </c>
      <c r="AS63" s="17">
        <v>346392.58418871614</v>
      </c>
      <c r="AT63" s="17">
        <v>0.60274821867247153</v>
      </c>
      <c r="AU63" s="17" t="str">
        <f t="shared" si="0"/>
        <v>10–15%</v>
      </c>
      <c r="AV63" s="17">
        <v>113</v>
      </c>
      <c r="AW63" s="17"/>
    </row>
    <row r="64" spans="1:49">
      <c r="A64" t="s">
        <v>967</v>
      </c>
      <c r="B64" s="5">
        <v>45740</v>
      </c>
      <c r="C64" t="s">
        <v>95</v>
      </c>
      <c r="D64" t="s">
        <v>96</v>
      </c>
      <c r="E64" t="s">
        <v>495</v>
      </c>
      <c r="F64" t="s">
        <v>449</v>
      </c>
      <c r="G64" t="s">
        <v>34</v>
      </c>
      <c r="H64" t="s">
        <v>35</v>
      </c>
      <c r="I64" t="s">
        <v>42</v>
      </c>
      <c r="J64" t="s">
        <v>43</v>
      </c>
      <c r="K64" t="s">
        <v>38</v>
      </c>
      <c r="L64" s="5">
        <v>43739</v>
      </c>
      <c r="M64">
        <v>78</v>
      </c>
      <c r="N64" t="s">
        <v>431</v>
      </c>
      <c r="O64" t="s">
        <v>891</v>
      </c>
      <c r="Q64">
        <v>3</v>
      </c>
      <c r="R64">
        <v>526</v>
      </c>
      <c r="S64" t="s">
        <v>932</v>
      </c>
      <c r="T64" s="6">
        <v>206904.50767017025</v>
      </c>
      <c r="U64" s="7">
        <f>T64*DealsRawTable[[#This Row],[Contract_Years]]</f>
        <v>620713.52301051072</v>
      </c>
      <c r="V64" s="8">
        <v>0.13500000000000001</v>
      </c>
      <c r="W64" s="8">
        <v>9.8000000000000004E-2</v>
      </c>
      <c r="X64" s="8">
        <v>-0.109</v>
      </c>
      <c r="Y64" t="s">
        <v>878</v>
      </c>
      <c r="Z64" t="s">
        <v>879</v>
      </c>
      <c r="AA64" s="6">
        <v>186664.2495379922</v>
      </c>
      <c r="AB64" s="7">
        <f>DealsRawTable[[#This Row],[Final_Price_ACV]]*DealsRawTable[[#This Row],[Contract_Years]]</f>
        <v>559992.74861397664</v>
      </c>
      <c r="AC64" s="6">
        <v>82827.288033533521</v>
      </c>
      <c r="AD64" s="6">
        <v>103836.96150445868</v>
      </c>
      <c r="AE64" s="8">
        <v>0.55627663980361974</v>
      </c>
      <c r="AF64" t="s">
        <v>457</v>
      </c>
      <c r="AI64" t="s">
        <v>38</v>
      </c>
      <c r="AJ64" s="6">
        <v>0</v>
      </c>
      <c r="AK64" s="6">
        <v>0</v>
      </c>
      <c r="AL64" t="s">
        <v>894</v>
      </c>
      <c r="AM64">
        <f t="shared" si="1"/>
        <v>186627.87</v>
      </c>
      <c r="AN64">
        <f>DealsRawTable[[#This Row],[Validated_Annual_Final_Price]]*DealsRawTable[[#This Row],[Contract_Years]]</f>
        <v>559883.61</v>
      </c>
      <c r="AO64">
        <f>DealsRawTable[[#This Row],[Validated_Annual_Final_Price]]-DealsRawTable[[#This Row],[Cost_to_Serve]]</f>
        <v>103800.58196646647</v>
      </c>
      <c r="AP64" s="17">
        <f>DealsRawTable[[#This Row],[Validated_Grossprofit]]/DealsRawTable[[#This Row],[Validated_Annual_Final_Price]]</f>
        <v>0.55619014441126335</v>
      </c>
      <c r="AQ64" s="17">
        <v>0</v>
      </c>
      <c r="AR64" s="17">
        <v>0</v>
      </c>
      <c r="AS64" s="17">
        <v>0</v>
      </c>
      <c r="AT64" s="17">
        <v>0</v>
      </c>
      <c r="AU64" s="17" t="str">
        <f t="shared" si="0"/>
        <v>5–10%</v>
      </c>
      <c r="AV64" s="17">
        <v>116</v>
      </c>
      <c r="AW64" s="17"/>
    </row>
    <row r="65" spans="1:49">
      <c r="A65" t="s">
        <v>968</v>
      </c>
      <c r="B65" s="5">
        <v>45548</v>
      </c>
      <c r="C65" t="s">
        <v>97</v>
      </c>
      <c r="D65" t="s">
        <v>98</v>
      </c>
      <c r="E65" t="s">
        <v>496</v>
      </c>
      <c r="F65" t="s">
        <v>34</v>
      </c>
      <c r="G65" t="s">
        <v>60</v>
      </c>
      <c r="H65" t="s">
        <v>70</v>
      </c>
      <c r="I65" t="s">
        <v>71</v>
      </c>
      <c r="J65" t="s">
        <v>37</v>
      </c>
      <c r="K65" t="s">
        <v>38</v>
      </c>
      <c r="L65" s="5">
        <v>44743</v>
      </c>
      <c r="M65">
        <v>81</v>
      </c>
      <c r="N65" t="s">
        <v>427</v>
      </c>
      <c r="O65" t="s">
        <v>891</v>
      </c>
      <c r="Q65">
        <v>1</v>
      </c>
      <c r="R65">
        <v>68</v>
      </c>
      <c r="S65" t="s">
        <v>907</v>
      </c>
      <c r="T65" s="6">
        <v>46855.347775131348</v>
      </c>
      <c r="U65" s="7">
        <f>T65*DealsRawTable[[#This Row],[Contract_Years]]</f>
        <v>46855.347775131348</v>
      </c>
      <c r="V65" s="8">
        <v>9.1999999999999998E-2</v>
      </c>
      <c r="W65" s="8">
        <v>7.8E-2</v>
      </c>
      <c r="X65" s="8">
        <v>3.0000000000000001E-3</v>
      </c>
      <c r="Y65" t="s">
        <v>905</v>
      </c>
      <c r="Z65" t="s">
        <v>879</v>
      </c>
      <c r="AA65" s="6">
        <v>43200.501500495549</v>
      </c>
      <c r="AB65" s="7">
        <f>DealsRawTable[[#This Row],[Final_Price_ACV]]*DealsRawTable[[#This Row],[Contract_Years]]</f>
        <v>43200.501500495549</v>
      </c>
      <c r="AC65" s="6">
        <v>14389.641497498587</v>
      </c>
      <c r="AD65" s="6">
        <v>28810.86000299696</v>
      </c>
      <c r="AE65" s="8">
        <v>0.66691031359130104</v>
      </c>
      <c r="AF65" t="s">
        <v>457</v>
      </c>
      <c r="AI65" t="s">
        <v>38</v>
      </c>
      <c r="AJ65" s="6">
        <v>0</v>
      </c>
      <c r="AK65" s="6">
        <v>0</v>
      </c>
      <c r="AL65" t="s">
        <v>894</v>
      </c>
      <c r="AM65">
        <f t="shared" si="1"/>
        <v>43200.63</v>
      </c>
      <c r="AN65">
        <f>DealsRawTable[[#This Row],[Validated_Annual_Final_Price]]*DealsRawTable[[#This Row],[Contract_Years]]</f>
        <v>43200.63</v>
      </c>
      <c r="AO65">
        <f>DealsRawTable[[#This Row],[Validated_Annual_Final_Price]]-DealsRawTable[[#This Row],[Cost_to_Serve]]</f>
        <v>28810.988502501408</v>
      </c>
      <c r="AP65" s="17">
        <f>DealsRawTable[[#This Row],[Validated_Grossprofit]]/DealsRawTable[[#This Row],[Validated_Annual_Final_Price]]</f>
        <v>0.66691130436064039</v>
      </c>
      <c r="AQ65" s="17">
        <v>0</v>
      </c>
      <c r="AR65" s="17">
        <v>0</v>
      </c>
      <c r="AS65" s="17">
        <v>0</v>
      </c>
      <c r="AT65" s="17">
        <v>0</v>
      </c>
      <c r="AU65" s="17" t="str">
        <f t="shared" si="0"/>
        <v>5–10%</v>
      </c>
      <c r="AV65" s="17">
        <v>116</v>
      </c>
      <c r="AW65" s="17"/>
    </row>
    <row r="66" spans="1:49">
      <c r="A66" t="s">
        <v>969</v>
      </c>
      <c r="B66" s="5">
        <v>45870</v>
      </c>
      <c r="C66" t="s">
        <v>97</v>
      </c>
      <c r="D66" t="s">
        <v>98</v>
      </c>
      <c r="E66" t="s">
        <v>496</v>
      </c>
      <c r="F66" t="s">
        <v>34</v>
      </c>
      <c r="G66" t="s">
        <v>60</v>
      </c>
      <c r="H66" t="s">
        <v>70</v>
      </c>
      <c r="I66" t="s">
        <v>71</v>
      </c>
      <c r="J66" t="s">
        <v>37</v>
      </c>
      <c r="K66" t="s">
        <v>38</v>
      </c>
      <c r="L66" s="5">
        <v>44743</v>
      </c>
      <c r="M66">
        <v>81</v>
      </c>
      <c r="N66" t="s">
        <v>427</v>
      </c>
      <c r="O66" t="s">
        <v>915</v>
      </c>
      <c r="Q66">
        <v>1</v>
      </c>
      <c r="R66">
        <v>68</v>
      </c>
      <c r="S66" t="s">
        <v>896</v>
      </c>
      <c r="T66" s="6">
        <v>46855.347775131348</v>
      </c>
      <c r="U66" s="7">
        <f>T66*DealsRawTable[[#This Row],[Contract_Years]]</f>
        <v>46855.347775131348</v>
      </c>
      <c r="V66" s="8">
        <v>0.22600000000000001</v>
      </c>
      <c r="W66" s="8">
        <v>0.21099999999999999</v>
      </c>
      <c r="X66" s="8">
        <v>-7.5999999999999998E-2</v>
      </c>
      <c r="Y66" t="s">
        <v>878</v>
      </c>
      <c r="Z66" t="s">
        <v>893</v>
      </c>
      <c r="AA66" s="6">
        <v>36972.627621215193</v>
      </c>
      <c r="AB66" s="7">
        <f>DealsRawTable[[#This Row],[Final_Price_ACV]]*DealsRawTable[[#This Row],[Contract_Years]]</f>
        <v>36972.627621215193</v>
      </c>
      <c r="AC66" s="6">
        <v>16372.349105397509</v>
      </c>
      <c r="AD66" s="6">
        <v>20600.278515817685</v>
      </c>
      <c r="AE66" s="8">
        <v>0.55717648003998177</v>
      </c>
      <c r="AF66" t="s">
        <v>880</v>
      </c>
      <c r="AI66" t="s">
        <v>44</v>
      </c>
      <c r="AJ66" s="6">
        <v>36972.627621215193</v>
      </c>
      <c r="AK66" s="6">
        <v>20600.278515817685</v>
      </c>
      <c r="AL66" t="s">
        <v>934</v>
      </c>
      <c r="AM66">
        <f t="shared" si="1"/>
        <v>36968.870000000003</v>
      </c>
      <c r="AN66">
        <f>DealsRawTable[[#This Row],[Validated_Annual_Final_Price]]*DealsRawTable[[#This Row],[Contract_Years]]</f>
        <v>36968.870000000003</v>
      </c>
      <c r="AO66">
        <f>DealsRawTable[[#This Row],[Validated_Annual_Final_Price]]-DealsRawTable[[#This Row],[Cost_to_Serve]]</f>
        <v>20596.520894602494</v>
      </c>
      <c r="AP66" s="17">
        <f>DealsRawTable[[#This Row],[Validated_Grossprofit]]/DealsRawTable[[#This Row],[Validated_Annual_Final_Price]]</f>
        <v>0.55713147019647857</v>
      </c>
      <c r="AQ66" s="17">
        <v>36968.870000000003</v>
      </c>
      <c r="AR66" s="17">
        <v>36968.870000000003</v>
      </c>
      <c r="AS66" s="17">
        <v>20596.520894602494</v>
      </c>
      <c r="AT66" s="17">
        <v>0.55713147019647857</v>
      </c>
      <c r="AU66" s="17" t="str">
        <f t="shared" si="0"/>
        <v>20–25%</v>
      </c>
      <c r="AV66" s="17">
        <v>29</v>
      </c>
      <c r="AW66" s="17"/>
    </row>
    <row r="67" spans="1:49">
      <c r="A67" t="s">
        <v>970</v>
      </c>
      <c r="B67" s="5">
        <v>45337</v>
      </c>
      <c r="C67" t="s">
        <v>97</v>
      </c>
      <c r="D67" t="s">
        <v>98</v>
      </c>
      <c r="E67" t="s">
        <v>497</v>
      </c>
      <c r="F67" t="s">
        <v>449</v>
      </c>
      <c r="G67" t="s">
        <v>60</v>
      </c>
      <c r="H67" t="s">
        <v>70</v>
      </c>
      <c r="I67" t="s">
        <v>71</v>
      </c>
      <c r="J67" t="s">
        <v>37</v>
      </c>
      <c r="K67" t="s">
        <v>38</v>
      </c>
      <c r="L67" s="5">
        <v>44743</v>
      </c>
      <c r="M67">
        <v>81</v>
      </c>
      <c r="N67" t="s">
        <v>429</v>
      </c>
      <c r="O67" t="s">
        <v>891</v>
      </c>
      <c r="Q67">
        <v>2</v>
      </c>
      <c r="R67">
        <v>45</v>
      </c>
      <c r="S67" t="s">
        <v>900</v>
      </c>
      <c r="T67" s="6">
        <v>75480.442566834448</v>
      </c>
      <c r="U67" s="7">
        <f>T67*DealsRawTable[[#This Row],[Contract_Years]]</f>
        <v>150960.8851336689</v>
      </c>
      <c r="V67" s="8">
        <v>8.8999999999999996E-2</v>
      </c>
      <c r="W67" s="8">
        <v>0.08</v>
      </c>
      <c r="X67" s="8">
        <v>4.2000000000000003E-2</v>
      </c>
      <c r="Y67" t="s">
        <v>885</v>
      </c>
      <c r="Z67" t="s">
        <v>879</v>
      </c>
      <c r="AA67" s="6">
        <v>69441.091228456993</v>
      </c>
      <c r="AB67" s="7">
        <f>DealsRawTable[[#This Row],[Final_Price_ACV]]*DealsRawTable[[#This Row],[Contract_Years]]</f>
        <v>138882.18245691399</v>
      </c>
      <c r="AC67" s="6">
        <v>27371.750366718003</v>
      </c>
      <c r="AD67" s="6">
        <v>42069.340861738994</v>
      </c>
      <c r="AE67" s="8">
        <v>0.60582776159627738</v>
      </c>
      <c r="AF67" t="s">
        <v>880</v>
      </c>
      <c r="AI67" t="s">
        <v>38</v>
      </c>
      <c r="AJ67" s="6">
        <v>69441.091228456993</v>
      </c>
      <c r="AK67" s="6">
        <v>42069.340861738994</v>
      </c>
      <c r="AL67" t="s">
        <v>894</v>
      </c>
      <c r="AM67">
        <f t="shared" si="1"/>
        <v>69442.009999999995</v>
      </c>
      <c r="AN67">
        <f>DealsRawTable[[#This Row],[Validated_Annual_Final_Price]]*DealsRawTable[[#This Row],[Contract_Years]]</f>
        <v>138884.01999999999</v>
      </c>
      <c r="AO67">
        <f>DealsRawTable[[#This Row],[Validated_Annual_Final_Price]]-DealsRawTable[[#This Row],[Cost_to_Serve]]</f>
        <v>42070.259633281996</v>
      </c>
      <c r="AP67" s="17">
        <f>DealsRawTable[[#This Row],[Validated_Grossprofit]]/DealsRawTable[[#This Row],[Validated_Annual_Final_Price]]</f>
        <v>0.60583297680009551</v>
      </c>
      <c r="AQ67" s="17">
        <v>69442.009999999995</v>
      </c>
      <c r="AR67" s="17">
        <v>138884.01999999999</v>
      </c>
      <c r="AS67" s="17">
        <v>42070.259633281996</v>
      </c>
      <c r="AT67" s="17">
        <v>0.60583297680009551</v>
      </c>
      <c r="AU67" s="17" t="str">
        <f t="shared" si="0"/>
        <v>5–10%</v>
      </c>
      <c r="AV67" s="17">
        <v>116</v>
      </c>
      <c r="AW67" s="17"/>
    </row>
    <row r="68" spans="1:49">
      <c r="A68" t="s">
        <v>971</v>
      </c>
      <c r="B68" s="5">
        <v>45744</v>
      </c>
      <c r="C68" t="s">
        <v>97</v>
      </c>
      <c r="D68" t="s">
        <v>98</v>
      </c>
      <c r="E68" t="s">
        <v>498</v>
      </c>
      <c r="F68" t="s">
        <v>475</v>
      </c>
      <c r="G68" t="s">
        <v>60</v>
      </c>
      <c r="H68" t="s">
        <v>70</v>
      </c>
      <c r="I68" t="s">
        <v>71</v>
      </c>
      <c r="J68" t="s">
        <v>37</v>
      </c>
      <c r="K68" t="s">
        <v>38</v>
      </c>
      <c r="L68" s="5">
        <v>44743</v>
      </c>
      <c r="M68">
        <v>81</v>
      </c>
      <c r="N68" t="s">
        <v>429</v>
      </c>
      <c r="O68" t="s">
        <v>891</v>
      </c>
      <c r="Q68">
        <v>3</v>
      </c>
      <c r="R68">
        <v>48</v>
      </c>
      <c r="S68" t="s">
        <v>896</v>
      </c>
      <c r="T68" s="6">
        <v>92549.228390537362</v>
      </c>
      <c r="U68" s="7">
        <f>T68*DealsRawTable[[#This Row],[Contract_Years]]</f>
        <v>277647.68517161207</v>
      </c>
      <c r="V68" s="8">
        <v>0.20399999999999999</v>
      </c>
      <c r="W68" s="8">
        <v>0.19800000000000001</v>
      </c>
      <c r="X68" s="8">
        <v>-7.0000000000000007E-2</v>
      </c>
      <c r="Y68" t="s">
        <v>902</v>
      </c>
      <c r="Z68" t="s">
        <v>889</v>
      </c>
      <c r="AA68" s="6">
        <v>74238.652806820726</v>
      </c>
      <c r="AB68" s="7">
        <f>DealsRawTable[[#This Row],[Final_Price_ACV]]*DealsRawTable[[#This Row],[Contract_Years]]</f>
        <v>222715.95842046218</v>
      </c>
      <c r="AC68" s="6">
        <v>35240.868372540288</v>
      </c>
      <c r="AD68" s="6">
        <v>38997.784434280438</v>
      </c>
      <c r="AE68" s="8">
        <v>0.52530296496298345</v>
      </c>
      <c r="AF68" t="s">
        <v>457</v>
      </c>
      <c r="AI68" t="s">
        <v>38</v>
      </c>
      <c r="AJ68" s="6">
        <v>0</v>
      </c>
      <c r="AK68" s="6">
        <v>0</v>
      </c>
      <c r="AL68" t="s">
        <v>894</v>
      </c>
      <c r="AM68">
        <f t="shared" si="1"/>
        <v>74224.479999999996</v>
      </c>
      <c r="AN68">
        <f>DealsRawTable[[#This Row],[Validated_Annual_Final_Price]]*DealsRawTable[[#This Row],[Contract_Years]]</f>
        <v>222673.44</v>
      </c>
      <c r="AO68">
        <f>DealsRawTable[[#This Row],[Validated_Annual_Final_Price]]-DealsRawTable[[#This Row],[Cost_to_Serve]]</f>
        <v>38983.611627459708</v>
      </c>
      <c r="AP68" s="17">
        <f>DealsRawTable[[#This Row],[Validated_Grossprofit]]/DealsRawTable[[#This Row],[Validated_Annual_Final_Price]]</f>
        <v>0.5252123238513724</v>
      </c>
      <c r="AQ68" s="17">
        <v>0</v>
      </c>
      <c r="AR68" s="17">
        <v>0</v>
      </c>
      <c r="AS68" s="17">
        <v>0</v>
      </c>
      <c r="AT68" s="17">
        <v>0</v>
      </c>
      <c r="AU68" s="17" t="str">
        <f t="shared" si="0"/>
        <v>15–20%</v>
      </c>
      <c r="AV68" s="17">
        <v>108</v>
      </c>
      <c r="AW68" s="17"/>
    </row>
    <row r="69" spans="1:49">
      <c r="A69" t="s">
        <v>972</v>
      </c>
      <c r="B69" s="5">
        <v>45520</v>
      </c>
      <c r="C69" t="s">
        <v>99</v>
      </c>
      <c r="D69" t="s">
        <v>100</v>
      </c>
      <c r="E69" t="s">
        <v>499</v>
      </c>
      <c r="F69" t="s">
        <v>475</v>
      </c>
      <c r="G69" t="s">
        <v>83</v>
      </c>
      <c r="H69" t="s">
        <v>48</v>
      </c>
      <c r="I69" t="s">
        <v>49</v>
      </c>
      <c r="J69" t="s">
        <v>56</v>
      </c>
      <c r="K69" t="s">
        <v>38</v>
      </c>
      <c r="L69" s="5">
        <v>43952</v>
      </c>
      <c r="M69">
        <v>53</v>
      </c>
      <c r="N69" t="s">
        <v>427</v>
      </c>
      <c r="O69" t="s">
        <v>876</v>
      </c>
      <c r="Q69">
        <v>1</v>
      </c>
      <c r="R69">
        <v>339</v>
      </c>
      <c r="S69" t="s">
        <v>877</v>
      </c>
      <c r="T69" s="6">
        <v>86522.161940963386</v>
      </c>
      <c r="U69" s="7">
        <f>T69*DealsRawTable[[#This Row],[Contract_Years]]</f>
        <v>86522.161940963386</v>
      </c>
      <c r="V69" s="8">
        <v>0.185</v>
      </c>
      <c r="W69" s="8">
        <v>0.18</v>
      </c>
      <c r="X69" s="8">
        <v>-1E-3</v>
      </c>
      <c r="Y69" t="s">
        <v>878</v>
      </c>
      <c r="Z69" t="s">
        <v>889</v>
      </c>
      <c r="AA69" s="6">
        <v>70946.785065395452</v>
      </c>
      <c r="AB69" s="7">
        <f>DealsRawTable[[#This Row],[Final_Price_ACV]]*DealsRawTable[[#This Row],[Contract_Years]]</f>
        <v>70946.785065395452</v>
      </c>
      <c r="AC69" s="6">
        <v>26552.027317816614</v>
      </c>
      <c r="AD69" s="6">
        <v>44394.757747578842</v>
      </c>
      <c r="AE69" s="8">
        <v>0.62574727955125542</v>
      </c>
      <c r="AF69" t="s">
        <v>880</v>
      </c>
      <c r="AG69" t="s">
        <v>44</v>
      </c>
      <c r="AI69" t="s">
        <v>38</v>
      </c>
      <c r="AJ69" s="6">
        <v>70946.785065395452</v>
      </c>
      <c r="AK69" s="6">
        <v>44394.757747578842</v>
      </c>
      <c r="AL69" t="s">
        <v>881</v>
      </c>
      <c r="AM69">
        <f t="shared" ref="AM69:AM132" si="2">ROUND(T69*(1-W69),2)</f>
        <v>70948.17</v>
      </c>
      <c r="AN69">
        <f>DealsRawTable[[#This Row],[Validated_Annual_Final_Price]]*DealsRawTable[[#This Row],[Contract_Years]]</f>
        <v>70948.17</v>
      </c>
      <c r="AO69">
        <f>DealsRawTable[[#This Row],[Validated_Annual_Final_Price]]-DealsRawTable[[#This Row],[Cost_to_Serve]]</f>
        <v>44396.142682183388</v>
      </c>
      <c r="AP69" s="17">
        <f>DealsRawTable[[#This Row],[Validated_Grossprofit]]/DealsRawTable[[#This Row],[Validated_Annual_Final_Price]]</f>
        <v>0.62575458510322945</v>
      </c>
      <c r="AQ69" s="17">
        <v>70948.17</v>
      </c>
      <c r="AR69" s="17">
        <v>70948.17</v>
      </c>
      <c r="AS69" s="17">
        <v>44396.142682183388</v>
      </c>
      <c r="AT69" s="17">
        <v>0.62575458510322945</v>
      </c>
      <c r="AU69" s="17" t="str">
        <f t="shared" ref="AU69:AU132" si="3">IF(W69&lt;=0.05,"0–5%", IF(W69&lt;=0.1,"5–10%", IF(W69&lt;=0.15,"10–15%", IF(W69&lt;=0.2,"15–20%", IF(W69&lt;=0.25,"20–25%", IF(W69&lt;=0.3,"25–30%","Above 30%"))))))</f>
        <v>15–20%</v>
      </c>
      <c r="AV69" s="17">
        <v>108</v>
      </c>
      <c r="AW69" s="17"/>
    </row>
    <row r="70" spans="1:49">
      <c r="A70" t="s">
        <v>973</v>
      </c>
      <c r="B70" s="5">
        <v>45885</v>
      </c>
      <c r="C70" t="s">
        <v>99</v>
      </c>
      <c r="D70" t="s">
        <v>100</v>
      </c>
      <c r="E70" t="s">
        <v>499</v>
      </c>
      <c r="F70" t="s">
        <v>475</v>
      </c>
      <c r="G70" t="s">
        <v>83</v>
      </c>
      <c r="H70" t="s">
        <v>48</v>
      </c>
      <c r="I70" t="s">
        <v>49</v>
      </c>
      <c r="J70" t="s">
        <v>56</v>
      </c>
      <c r="K70" t="s">
        <v>38</v>
      </c>
      <c r="L70" s="5">
        <v>43952</v>
      </c>
      <c r="M70">
        <v>53</v>
      </c>
      <c r="N70" t="s">
        <v>427</v>
      </c>
      <c r="O70" t="s">
        <v>876</v>
      </c>
      <c r="Q70">
        <v>1</v>
      </c>
      <c r="R70">
        <v>339</v>
      </c>
      <c r="S70" t="s">
        <v>892</v>
      </c>
      <c r="T70" s="6">
        <v>92015.976231441236</v>
      </c>
      <c r="U70" s="7">
        <f>T70*DealsRawTable[[#This Row],[Contract_Years]]</f>
        <v>92015.976231441236</v>
      </c>
      <c r="V70" s="8">
        <v>0.13300000000000001</v>
      </c>
      <c r="W70" s="8">
        <v>0.1</v>
      </c>
      <c r="X70" s="8">
        <v>-2.9000000000000001E-2</v>
      </c>
      <c r="Y70" t="s">
        <v>878</v>
      </c>
      <c r="Z70" t="s">
        <v>879</v>
      </c>
      <c r="AA70" s="6">
        <v>82825.087789610247</v>
      </c>
      <c r="AB70" s="7">
        <f>DealsRawTable[[#This Row],[Final_Price_ACV]]*DealsRawTable[[#This Row],[Contract_Years]]</f>
        <v>82825.087789610247</v>
      </c>
      <c r="AC70" s="6">
        <v>27647.365488134459</v>
      </c>
      <c r="AD70" s="6">
        <v>55177.722301475791</v>
      </c>
      <c r="AE70" s="8">
        <v>0.66619575993250446</v>
      </c>
      <c r="AF70" t="s">
        <v>457</v>
      </c>
      <c r="AG70" t="s">
        <v>38</v>
      </c>
      <c r="AI70" t="s">
        <v>38</v>
      </c>
      <c r="AJ70" s="6">
        <v>0</v>
      </c>
      <c r="AK70" s="6">
        <v>0</v>
      </c>
      <c r="AL70" t="s">
        <v>881</v>
      </c>
      <c r="AM70">
        <f t="shared" si="2"/>
        <v>82814.38</v>
      </c>
      <c r="AN70">
        <f>DealsRawTable[[#This Row],[Validated_Annual_Final_Price]]*DealsRawTable[[#This Row],[Contract_Years]]</f>
        <v>82814.38</v>
      </c>
      <c r="AO70">
        <f>DealsRawTable[[#This Row],[Validated_Annual_Final_Price]]-DealsRawTable[[#This Row],[Cost_to_Serve]]</f>
        <v>55167.014511865549</v>
      </c>
      <c r="AP70" s="17">
        <f>DealsRawTable[[#This Row],[Validated_Grossprofit]]/DealsRawTable[[#This Row],[Validated_Annual_Final_Price]]</f>
        <v>0.66615259948653294</v>
      </c>
      <c r="AQ70" s="17">
        <v>0</v>
      </c>
      <c r="AR70" s="17">
        <v>0</v>
      </c>
      <c r="AS70" s="17">
        <v>0</v>
      </c>
      <c r="AT70" s="17">
        <v>0</v>
      </c>
      <c r="AU70" s="17" t="str">
        <f t="shared" si="3"/>
        <v>5–10%</v>
      </c>
      <c r="AV70" s="17">
        <v>116</v>
      </c>
      <c r="AW70" s="17"/>
    </row>
    <row r="71" spans="1:49">
      <c r="A71" t="s">
        <v>974</v>
      </c>
      <c r="B71" s="5">
        <v>45654</v>
      </c>
      <c r="C71" t="s">
        <v>99</v>
      </c>
      <c r="D71" t="s">
        <v>100</v>
      </c>
      <c r="E71" t="s">
        <v>500</v>
      </c>
      <c r="F71" t="s">
        <v>475</v>
      </c>
      <c r="G71" t="s">
        <v>83</v>
      </c>
      <c r="H71" t="s">
        <v>48</v>
      </c>
      <c r="I71" t="s">
        <v>49</v>
      </c>
      <c r="J71" t="s">
        <v>56</v>
      </c>
      <c r="K71" t="s">
        <v>38</v>
      </c>
      <c r="L71" s="5">
        <v>43952</v>
      </c>
      <c r="M71">
        <v>53</v>
      </c>
      <c r="N71" t="s">
        <v>431</v>
      </c>
      <c r="O71" t="s">
        <v>883</v>
      </c>
      <c r="P71" t="s">
        <v>884</v>
      </c>
      <c r="Q71">
        <v>2</v>
      </c>
      <c r="R71">
        <v>300</v>
      </c>
      <c r="S71" t="s">
        <v>896</v>
      </c>
      <c r="T71" s="6">
        <v>55658.748515152845</v>
      </c>
      <c r="U71" s="7">
        <f>T71*DealsRawTable[[#This Row],[Contract_Years]]</f>
        <v>111317.49703030569</v>
      </c>
      <c r="V71" s="8">
        <v>0.11700000000000001</v>
      </c>
      <c r="W71" s="8">
        <v>9.8000000000000004E-2</v>
      </c>
      <c r="X71" s="8">
        <v>-5.7000000000000002E-2</v>
      </c>
      <c r="Y71" t="s">
        <v>885</v>
      </c>
      <c r="Z71" t="s">
        <v>879</v>
      </c>
      <c r="AA71" s="6">
        <v>50202.62392588293</v>
      </c>
      <c r="AB71" s="7">
        <f>DealsRawTable[[#This Row],[Final_Price_ACV]]*DealsRawTable[[#This Row],[Contract_Years]]</f>
        <v>100405.24785176586</v>
      </c>
      <c r="AC71" s="6">
        <v>20030.991941360327</v>
      </c>
      <c r="AD71" s="6">
        <v>30171.631984522603</v>
      </c>
      <c r="AE71" s="8">
        <v>0.6009971118056846</v>
      </c>
      <c r="AF71" t="s">
        <v>880</v>
      </c>
      <c r="AH71" t="s">
        <v>44</v>
      </c>
      <c r="AI71" t="s">
        <v>38</v>
      </c>
      <c r="AJ71" s="6">
        <v>50202.62392588293</v>
      </c>
      <c r="AK71" s="6">
        <v>30171.631984522603</v>
      </c>
      <c r="AL71" t="s">
        <v>886</v>
      </c>
      <c r="AM71">
        <f t="shared" si="2"/>
        <v>50204.19</v>
      </c>
      <c r="AN71">
        <f>DealsRawTable[[#This Row],[Validated_Annual_Final_Price]]*DealsRawTable[[#This Row],[Contract_Years]]</f>
        <v>100408.38</v>
      </c>
      <c r="AO71">
        <f>DealsRawTable[[#This Row],[Validated_Annual_Final_Price]]-DealsRawTable[[#This Row],[Cost_to_Serve]]</f>
        <v>30173.198058639675</v>
      </c>
      <c r="AP71" s="17">
        <f>DealsRawTable[[#This Row],[Validated_Grossprofit]]/DealsRawTable[[#This Row],[Validated_Annual_Final_Price]]</f>
        <v>0.60100955833845093</v>
      </c>
      <c r="AQ71" s="17">
        <v>50204.19</v>
      </c>
      <c r="AR71" s="17">
        <v>100408.38</v>
      </c>
      <c r="AS71" s="17">
        <v>30173.198058639675</v>
      </c>
      <c r="AT71" s="17">
        <v>0.60100955833845093</v>
      </c>
      <c r="AU71" s="17" t="str">
        <f t="shared" si="3"/>
        <v>5–10%</v>
      </c>
      <c r="AV71" s="17">
        <v>116</v>
      </c>
      <c r="AW71" s="17"/>
    </row>
    <row r="72" spans="1:49">
      <c r="A72" t="s">
        <v>975</v>
      </c>
      <c r="B72" s="5">
        <v>45795</v>
      </c>
      <c r="C72" t="s">
        <v>99</v>
      </c>
      <c r="D72" t="s">
        <v>100</v>
      </c>
      <c r="E72" t="s">
        <v>500</v>
      </c>
      <c r="F72" t="s">
        <v>475</v>
      </c>
      <c r="G72" t="s">
        <v>83</v>
      </c>
      <c r="H72" t="s">
        <v>48</v>
      </c>
      <c r="I72" t="s">
        <v>49</v>
      </c>
      <c r="J72" t="s">
        <v>56</v>
      </c>
      <c r="K72" t="s">
        <v>38</v>
      </c>
      <c r="L72" s="5">
        <v>43952</v>
      </c>
      <c r="M72">
        <v>53</v>
      </c>
      <c r="N72" t="s">
        <v>431</v>
      </c>
      <c r="O72" t="s">
        <v>876</v>
      </c>
      <c r="Q72">
        <v>2</v>
      </c>
      <c r="R72">
        <v>300</v>
      </c>
      <c r="S72" t="s">
        <v>877</v>
      </c>
      <c r="T72" s="6">
        <v>57475.249903974756</v>
      </c>
      <c r="U72" s="7">
        <f>T72*DealsRawTable[[#This Row],[Contract_Years]]</f>
        <v>114950.49980794951</v>
      </c>
      <c r="V72" s="8">
        <v>8.6999999999999994E-2</v>
      </c>
      <c r="W72" s="8">
        <v>7.0000000000000007E-2</v>
      </c>
      <c r="X72" s="8">
        <v>-8.5000000000000006E-2</v>
      </c>
      <c r="Y72" t="s">
        <v>878</v>
      </c>
      <c r="Z72" t="s">
        <v>879</v>
      </c>
      <c r="AA72" s="6">
        <v>53461.192088342694</v>
      </c>
      <c r="AB72" s="7">
        <f>DealsRawTable[[#This Row],[Final_Price_ACV]]*DealsRawTable[[#This Row],[Contract_Years]]</f>
        <v>106922.38417668539</v>
      </c>
      <c r="AC72" s="6">
        <v>21274.062675887049</v>
      </c>
      <c r="AD72" s="6">
        <v>32187.129412455644</v>
      </c>
      <c r="AE72" s="8">
        <v>0.602065314205257</v>
      </c>
      <c r="AF72" t="s">
        <v>457</v>
      </c>
      <c r="AG72" t="s">
        <v>38</v>
      </c>
      <c r="AI72" t="s">
        <v>38</v>
      </c>
      <c r="AJ72" s="6">
        <v>0</v>
      </c>
      <c r="AK72" s="6">
        <v>0</v>
      </c>
      <c r="AL72" t="s">
        <v>881</v>
      </c>
      <c r="AM72">
        <f t="shared" si="2"/>
        <v>53451.98</v>
      </c>
      <c r="AN72">
        <f>DealsRawTable[[#This Row],[Validated_Annual_Final_Price]]*DealsRawTable[[#This Row],[Contract_Years]]</f>
        <v>106903.96</v>
      </c>
      <c r="AO72">
        <f>DealsRawTable[[#This Row],[Validated_Annual_Final_Price]]-DealsRawTable[[#This Row],[Cost_to_Serve]]</f>
        <v>32177.917324112954</v>
      </c>
      <c r="AP72" s="17">
        <f>DealsRawTable[[#This Row],[Validated_Grossprofit]]/DealsRawTable[[#This Row],[Validated_Annual_Final_Price]]</f>
        <v>0.60199673284531185</v>
      </c>
      <c r="AQ72" s="17">
        <v>0</v>
      </c>
      <c r="AR72" s="17">
        <v>0</v>
      </c>
      <c r="AS72" s="17">
        <v>0</v>
      </c>
      <c r="AT72" s="17">
        <v>0</v>
      </c>
      <c r="AU72" s="17" t="str">
        <f t="shared" si="3"/>
        <v>5–10%</v>
      </c>
      <c r="AV72" s="17">
        <v>116</v>
      </c>
      <c r="AW72" s="17"/>
    </row>
    <row r="73" spans="1:49">
      <c r="A73" t="s">
        <v>976</v>
      </c>
      <c r="B73" s="5">
        <v>45320</v>
      </c>
      <c r="C73" t="s">
        <v>99</v>
      </c>
      <c r="D73" t="s">
        <v>100</v>
      </c>
      <c r="E73" t="s">
        <v>501</v>
      </c>
      <c r="F73" t="s">
        <v>34</v>
      </c>
      <c r="G73" t="s">
        <v>83</v>
      </c>
      <c r="H73" t="s">
        <v>48</v>
      </c>
      <c r="I73" t="s">
        <v>49</v>
      </c>
      <c r="J73" t="s">
        <v>56</v>
      </c>
      <c r="K73" t="s">
        <v>38</v>
      </c>
      <c r="L73" s="5">
        <v>43952</v>
      </c>
      <c r="M73">
        <v>53</v>
      </c>
      <c r="N73" t="s">
        <v>427</v>
      </c>
      <c r="O73" t="s">
        <v>891</v>
      </c>
      <c r="Q73">
        <v>1</v>
      </c>
      <c r="R73">
        <v>125</v>
      </c>
      <c r="S73" t="s">
        <v>896</v>
      </c>
      <c r="T73" s="6">
        <v>124310.03888941061</v>
      </c>
      <c r="U73" s="7">
        <f>T73*DealsRawTable[[#This Row],[Contract_Years]]</f>
        <v>124310.03888941061</v>
      </c>
      <c r="V73" s="8">
        <v>8.4000000000000005E-2</v>
      </c>
      <c r="W73" s="8">
        <v>6.8000000000000005E-2</v>
      </c>
      <c r="X73" s="8">
        <v>0</v>
      </c>
      <c r="Y73" t="s">
        <v>902</v>
      </c>
      <c r="Z73" t="s">
        <v>879</v>
      </c>
      <c r="AA73" s="6">
        <v>115858.19019260952</v>
      </c>
      <c r="AB73" s="7">
        <f>DealsRawTable[[#This Row],[Final_Price_ACV]]*DealsRawTable[[#This Row],[Contract_Years]]</f>
        <v>115858.19019260952</v>
      </c>
      <c r="AC73" s="6">
        <v>45971.149447965021</v>
      </c>
      <c r="AD73" s="6">
        <v>69887.040744644502</v>
      </c>
      <c r="AE73" s="8">
        <v>0.60321191474215285</v>
      </c>
      <c r="AF73" t="s">
        <v>880</v>
      </c>
      <c r="AI73" t="s">
        <v>38</v>
      </c>
      <c r="AJ73" s="6">
        <v>115858.19019260952</v>
      </c>
      <c r="AK73" s="6">
        <v>69887.040744644502</v>
      </c>
      <c r="AL73" t="s">
        <v>894</v>
      </c>
      <c r="AM73">
        <f t="shared" si="2"/>
        <v>115856.96000000001</v>
      </c>
      <c r="AN73">
        <f>DealsRawTable[[#This Row],[Validated_Annual_Final_Price]]*DealsRawTable[[#This Row],[Contract_Years]]</f>
        <v>115856.96000000001</v>
      </c>
      <c r="AO73">
        <f>DealsRawTable[[#This Row],[Validated_Annual_Final_Price]]-DealsRawTable[[#This Row],[Cost_to_Serve]]</f>
        <v>69885.810552034993</v>
      </c>
      <c r="AP73" s="17">
        <f>DealsRawTable[[#This Row],[Validated_Grossprofit]]/DealsRawTable[[#This Row],[Validated_Annual_Final_Price]]</f>
        <v>0.60320770156609482</v>
      </c>
      <c r="AQ73" s="17">
        <v>115856.96000000001</v>
      </c>
      <c r="AR73" s="17">
        <v>115856.96000000001</v>
      </c>
      <c r="AS73" s="17">
        <v>69885.810552034993</v>
      </c>
      <c r="AT73" s="17">
        <v>0.60320770156609482</v>
      </c>
      <c r="AU73" s="17" t="str">
        <f t="shared" si="3"/>
        <v>5–10%</v>
      </c>
      <c r="AV73" s="17">
        <v>116</v>
      </c>
      <c r="AW73" s="17"/>
    </row>
    <row r="74" spans="1:49">
      <c r="A74" t="s">
        <v>977</v>
      </c>
      <c r="B74" s="5">
        <v>45472</v>
      </c>
      <c r="C74" t="s">
        <v>99</v>
      </c>
      <c r="D74" t="s">
        <v>100</v>
      </c>
      <c r="E74" t="s">
        <v>501</v>
      </c>
      <c r="F74" t="s">
        <v>34</v>
      </c>
      <c r="G74" t="s">
        <v>83</v>
      </c>
      <c r="H74" t="s">
        <v>48</v>
      </c>
      <c r="I74" t="s">
        <v>49</v>
      </c>
      <c r="J74" t="s">
        <v>56</v>
      </c>
      <c r="K74" t="s">
        <v>38</v>
      </c>
      <c r="L74" s="5">
        <v>43952</v>
      </c>
      <c r="M74">
        <v>53</v>
      </c>
      <c r="N74" t="s">
        <v>427</v>
      </c>
      <c r="O74" t="s">
        <v>883</v>
      </c>
      <c r="P74" t="s">
        <v>978</v>
      </c>
      <c r="Q74">
        <v>1</v>
      </c>
      <c r="R74">
        <v>140</v>
      </c>
      <c r="S74" t="s">
        <v>907</v>
      </c>
      <c r="T74" s="6">
        <v>135021.91918171392</v>
      </c>
      <c r="U74" s="7">
        <f>T74*DealsRawTable[[#This Row],[Contract_Years]]</f>
        <v>135021.91918171392</v>
      </c>
      <c r="V74" s="8">
        <v>8.8999999999999996E-2</v>
      </c>
      <c r="W74" s="8">
        <v>8.6999999999999994E-2</v>
      </c>
      <c r="X74" s="8">
        <v>-0.01</v>
      </c>
      <c r="Y74" t="s">
        <v>885</v>
      </c>
      <c r="Z74" t="s">
        <v>879</v>
      </c>
      <c r="AA74" s="6">
        <v>123307.68931423355</v>
      </c>
      <c r="AB74" s="7">
        <f>DealsRawTable[[#This Row],[Final_Price_ACV]]*DealsRawTable[[#This Row],[Contract_Years]]</f>
        <v>123307.68931423355</v>
      </c>
      <c r="AC74" s="6">
        <v>48396.561839158509</v>
      </c>
      <c r="AD74" s="6">
        <v>74911.127475075045</v>
      </c>
      <c r="AE74" s="8">
        <v>0.60751383706634721</v>
      </c>
      <c r="AF74" t="s">
        <v>880</v>
      </c>
      <c r="AH74" t="s">
        <v>44</v>
      </c>
      <c r="AI74" t="s">
        <v>38</v>
      </c>
      <c r="AJ74" s="6">
        <v>123307.68931423355</v>
      </c>
      <c r="AK74" s="6">
        <v>74911.127475075045</v>
      </c>
      <c r="AL74" t="s">
        <v>886</v>
      </c>
      <c r="AM74">
        <f t="shared" si="2"/>
        <v>123275.01</v>
      </c>
      <c r="AN74">
        <f>DealsRawTable[[#This Row],[Validated_Annual_Final_Price]]*DealsRawTable[[#This Row],[Contract_Years]]</f>
        <v>123275.01</v>
      </c>
      <c r="AO74">
        <f>DealsRawTable[[#This Row],[Validated_Annual_Final_Price]]-DealsRawTable[[#This Row],[Cost_to_Serve]]</f>
        <v>74878.448160841479</v>
      </c>
      <c r="AP74" s="17">
        <f>DealsRawTable[[#This Row],[Validated_Grossprofit]]/DealsRawTable[[#This Row],[Validated_Annual_Final_Price]]</f>
        <v>0.60740979182107946</v>
      </c>
      <c r="AQ74" s="17">
        <v>123275.01</v>
      </c>
      <c r="AR74" s="17">
        <v>123275.01</v>
      </c>
      <c r="AS74" s="17">
        <v>74878.448160841479</v>
      </c>
      <c r="AT74" s="17">
        <v>0.60740979182107946</v>
      </c>
      <c r="AU74" s="17" t="str">
        <f t="shared" si="3"/>
        <v>5–10%</v>
      </c>
      <c r="AV74" s="17">
        <v>116</v>
      </c>
      <c r="AW74" s="17"/>
    </row>
    <row r="75" spans="1:49">
      <c r="A75" t="s">
        <v>979</v>
      </c>
      <c r="B75" s="5">
        <v>45685</v>
      </c>
      <c r="C75" t="s">
        <v>99</v>
      </c>
      <c r="D75" t="s">
        <v>100</v>
      </c>
      <c r="E75" t="s">
        <v>501</v>
      </c>
      <c r="F75" t="s">
        <v>34</v>
      </c>
      <c r="G75" t="s">
        <v>83</v>
      </c>
      <c r="H75" t="s">
        <v>48</v>
      </c>
      <c r="I75" t="s">
        <v>49</v>
      </c>
      <c r="J75" t="s">
        <v>56</v>
      </c>
      <c r="K75" t="s">
        <v>38</v>
      </c>
      <c r="L75" s="5">
        <v>43952</v>
      </c>
      <c r="M75">
        <v>53</v>
      </c>
      <c r="N75" t="s">
        <v>427</v>
      </c>
      <c r="O75" t="s">
        <v>876</v>
      </c>
      <c r="Q75">
        <v>1</v>
      </c>
      <c r="R75">
        <v>140</v>
      </c>
      <c r="S75" t="s">
        <v>896</v>
      </c>
      <c r="T75" s="6">
        <v>139959.62058159459</v>
      </c>
      <c r="U75" s="7">
        <f>T75*DealsRawTable[[#This Row],[Contract_Years]]</f>
        <v>139959.62058159459</v>
      </c>
      <c r="V75" s="8">
        <v>0.12</v>
      </c>
      <c r="W75" s="8">
        <v>7.6999999999999999E-2</v>
      </c>
      <c r="X75" s="8">
        <v>2.8000000000000001E-2</v>
      </c>
      <c r="Y75" t="s">
        <v>878</v>
      </c>
      <c r="Z75" t="s">
        <v>879</v>
      </c>
      <c r="AA75" s="6">
        <v>129150.82942532747</v>
      </c>
      <c r="AB75" s="7">
        <f>DealsRawTable[[#This Row],[Final_Price_ACV]]*DealsRawTable[[#This Row],[Contract_Years]]</f>
        <v>129150.82942532747</v>
      </c>
      <c r="AC75" s="6">
        <v>41549.278605106498</v>
      </c>
      <c r="AD75" s="6">
        <v>87601.55082022096</v>
      </c>
      <c r="AE75" s="8">
        <v>0.67828872032812226</v>
      </c>
      <c r="AF75" t="s">
        <v>457</v>
      </c>
      <c r="AG75" t="s">
        <v>38</v>
      </c>
      <c r="AI75" t="s">
        <v>38</v>
      </c>
      <c r="AJ75" s="6">
        <v>0</v>
      </c>
      <c r="AK75" s="6">
        <v>0</v>
      </c>
      <c r="AL75" t="s">
        <v>881</v>
      </c>
      <c r="AM75">
        <f t="shared" si="2"/>
        <v>129182.73</v>
      </c>
      <c r="AN75">
        <f>DealsRawTable[[#This Row],[Validated_Annual_Final_Price]]*DealsRawTable[[#This Row],[Contract_Years]]</f>
        <v>129182.73</v>
      </c>
      <c r="AO75">
        <f>DealsRawTable[[#This Row],[Validated_Annual_Final_Price]]-DealsRawTable[[#This Row],[Cost_to_Serve]]</f>
        <v>87633.451394893491</v>
      </c>
      <c r="AP75" s="17">
        <f>DealsRawTable[[#This Row],[Validated_Grossprofit]]/DealsRawTable[[#This Row],[Validated_Annual_Final_Price]]</f>
        <v>0.6783681641879955</v>
      </c>
      <c r="AQ75" s="17">
        <v>0</v>
      </c>
      <c r="AR75" s="17">
        <v>0</v>
      </c>
      <c r="AS75" s="17">
        <v>0</v>
      </c>
      <c r="AT75" s="17">
        <v>0</v>
      </c>
      <c r="AU75" s="17" t="str">
        <f t="shared" si="3"/>
        <v>5–10%</v>
      </c>
      <c r="AV75" s="17">
        <v>116</v>
      </c>
      <c r="AW75" s="17"/>
    </row>
    <row r="76" spans="1:49">
      <c r="A76" t="s">
        <v>980</v>
      </c>
      <c r="B76" s="5">
        <v>45648</v>
      </c>
      <c r="C76" t="s">
        <v>99</v>
      </c>
      <c r="D76" t="s">
        <v>100</v>
      </c>
      <c r="E76" t="s">
        <v>502</v>
      </c>
      <c r="F76" t="s">
        <v>475</v>
      </c>
      <c r="G76" t="s">
        <v>83</v>
      </c>
      <c r="H76" t="s">
        <v>48</v>
      </c>
      <c r="I76" t="s">
        <v>49</v>
      </c>
      <c r="J76" t="s">
        <v>56</v>
      </c>
      <c r="K76" t="s">
        <v>38</v>
      </c>
      <c r="L76" s="5">
        <v>43952</v>
      </c>
      <c r="M76">
        <v>53</v>
      </c>
      <c r="N76" t="s">
        <v>429</v>
      </c>
      <c r="O76" t="s">
        <v>876</v>
      </c>
      <c r="Q76">
        <v>1</v>
      </c>
      <c r="R76">
        <v>331</v>
      </c>
      <c r="S76" t="s">
        <v>900</v>
      </c>
      <c r="T76" s="6">
        <v>116336.89724573609</v>
      </c>
      <c r="U76" s="7">
        <f>T76*DealsRawTable[[#This Row],[Contract_Years]]</f>
        <v>116336.89724573609</v>
      </c>
      <c r="V76" s="8">
        <v>0.20200000000000001</v>
      </c>
      <c r="W76" s="8">
        <v>0.17899999999999999</v>
      </c>
      <c r="X76" s="8">
        <v>1.2999999999999999E-2</v>
      </c>
      <c r="Y76" t="s">
        <v>878</v>
      </c>
      <c r="Z76" t="s">
        <v>889</v>
      </c>
      <c r="AA76" s="6">
        <v>95492.103192150855</v>
      </c>
      <c r="AB76" s="7">
        <f>DealsRawTable[[#This Row],[Final_Price_ACV]]*DealsRawTable[[#This Row],[Contract_Years]]</f>
        <v>95492.103192150855</v>
      </c>
      <c r="AC76" s="6">
        <v>40198.453920525506</v>
      </c>
      <c r="AD76" s="6">
        <v>55293.649271625349</v>
      </c>
      <c r="AE76" s="8">
        <v>0.57903897205366306</v>
      </c>
      <c r="AF76" t="s">
        <v>880</v>
      </c>
      <c r="AG76" t="s">
        <v>44</v>
      </c>
      <c r="AI76" t="s">
        <v>38</v>
      </c>
      <c r="AJ76" s="6">
        <v>95492.103192150855</v>
      </c>
      <c r="AK76" s="6">
        <v>55293.649271625349</v>
      </c>
      <c r="AL76" t="s">
        <v>881</v>
      </c>
      <c r="AM76">
        <f t="shared" si="2"/>
        <v>95512.59</v>
      </c>
      <c r="AN76">
        <f>DealsRawTable[[#This Row],[Validated_Annual_Final_Price]]*DealsRawTable[[#This Row],[Contract_Years]]</f>
        <v>95512.59</v>
      </c>
      <c r="AO76">
        <f>DealsRawTable[[#This Row],[Validated_Annual_Final_Price]]-DealsRawTable[[#This Row],[Cost_to_Serve]]</f>
        <v>55314.136079474491</v>
      </c>
      <c r="AP76" s="17">
        <f>DealsRawTable[[#This Row],[Validated_Grossprofit]]/DealsRawTable[[#This Row],[Validated_Annual_Final_Price]]</f>
        <v>0.57912926536150355</v>
      </c>
      <c r="AQ76" s="17">
        <v>95512.59</v>
      </c>
      <c r="AR76" s="17">
        <v>95512.59</v>
      </c>
      <c r="AS76" s="17">
        <v>55314.136079474491</v>
      </c>
      <c r="AT76" s="17">
        <v>0.57912926536150355</v>
      </c>
      <c r="AU76" s="17" t="str">
        <f t="shared" si="3"/>
        <v>15–20%</v>
      </c>
      <c r="AV76" s="17">
        <v>108</v>
      </c>
      <c r="AW76" s="17"/>
    </row>
    <row r="77" spans="1:49">
      <c r="A77" t="s">
        <v>981</v>
      </c>
      <c r="B77" s="5">
        <v>45836</v>
      </c>
      <c r="C77" t="s">
        <v>99</v>
      </c>
      <c r="D77" t="s">
        <v>100</v>
      </c>
      <c r="E77" t="s">
        <v>502</v>
      </c>
      <c r="F77" t="s">
        <v>475</v>
      </c>
      <c r="G77" t="s">
        <v>83</v>
      </c>
      <c r="H77" t="s">
        <v>48</v>
      </c>
      <c r="I77" t="s">
        <v>49</v>
      </c>
      <c r="J77" t="s">
        <v>56</v>
      </c>
      <c r="K77" t="s">
        <v>38</v>
      </c>
      <c r="L77" s="5">
        <v>43952</v>
      </c>
      <c r="M77">
        <v>53</v>
      </c>
      <c r="N77" t="s">
        <v>429</v>
      </c>
      <c r="O77" t="s">
        <v>883</v>
      </c>
      <c r="P77" t="s">
        <v>978</v>
      </c>
      <c r="Q77">
        <v>1</v>
      </c>
      <c r="R77">
        <v>384</v>
      </c>
      <c r="S77" t="s">
        <v>932</v>
      </c>
      <c r="T77" s="6">
        <v>141738.32825835899</v>
      </c>
      <c r="U77" s="7">
        <f>T77*DealsRawTable[[#This Row],[Contract_Years]]</f>
        <v>141738.32825835899</v>
      </c>
      <c r="V77" s="8">
        <v>7.9000000000000001E-2</v>
      </c>
      <c r="W77" s="8">
        <v>6.9000000000000006E-2</v>
      </c>
      <c r="X77" s="8">
        <v>-4.8000000000000001E-2</v>
      </c>
      <c r="Y77" t="s">
        <v>885</v>
      </c>
      <c r="Z77" t="s">
        <v>879</v>
      </c>
      <c r="AA77" s="6">
        <v>131923.92404642116</v>
      </c>
      <c r="AB77" s="7">
        <f>DealsRawTable[[#This Row],[Final_Price_ACV]]*DealsRawTable[[#This Row],[Contract_Years]]</f>
        <v>131923.92404642116</v>
      </c>
      <c r="AC77" s="6">
        <v>47995.305084466723</v>
      </c>
      <c r="AD77" s="6">
        <v>83928.618961954431</v>
      </c>
      <c r="AE77" s="8">
        <v>0.63618952793142947</v>
      </c>
      <c r="AF77" t="s">
        <v>457</v>
      </c>
      <c r="AH77" t="s">
        <v>38</v>
      </c>
      <c r="AI77" t="s">
        <v>38</v>
      </c>
      <c r="AJ77" s="6">
        <v>0</v>
      </c>
      <c r="AK77" s="6">
        <v>0</v>
      </c>
      <c r="AL77" t="s">
        <v>886</v>
      </c>
      <c r="AM77">
        <f t="shared" si="2"/>
        <v>131958.38</v>
      </c>
      <c r="AN77">
        <f>DealsRawTable[[#This Row],[Validated_Annual_Final_Price]]*DealsRawTable[[#This Row],[Contract_Years]]</f>
        <v>131958.38</v>
      </c>
      <c r="AO77">
        <f>DealsRawTable[[#This Row],[Validated_Annual_Final_Price]]-DealsRawTable[[#This Row],[Cost_to_Serve]]</f>
        <v>83963.074915533274</v>
      </c>
      <c r="AP77" s="17">
        <f>DealsRawTable[[#This Row],[Validated_Grossprofit]]/DealsRawTable[[#This Row],[Validated_Annual_Final_Price]]</f>
        <v>0.63628452331358776</v>
      </c>
      <c r="AQ77" s="17">
        <v>0</v>
      </c>
      <c r="AR77" s="17">
        <v>0</v>
      </c>
      <c r="AS77" s="17">
        <v>0</v>
      </c>
      <c r="AT77" s="17">
        <v>0</v>
      </c>
      <c r="AU77" s="17" t="str">
        <f t="shared" si="3"/>
        <v>5–10%</v>
      </c>
      <c r="AV77" s="17">
        <v>116</v>
      </c>
      <c r="AW77" s="17"/>
    </row>
    <row r="78" spans="1:49">
      <c r="A78" t="s">
        <v>982</v>
      </c>
      <c r="B78" s="5">
        <v>46013</v>
      </c>
      <c r="C78" t="s">
        <v>99</v>
      </c>
      <c r="D78" t="s">
        <v>100</v>
      </c>
      <c r="E78" t="s">
        <v>502</v>
      </c>
      <c r="F78" t="s">
        <v>475</v>
      </c>
      <c r="G78" t="s">
        <v>83</v>
      </c>
      <c r="H78" t="s">
        <v>48</v>
      </c>
      <c r="I78" t="s">
        <v>49</v>
      </c>
      <c r="J78" t="s">
        <v>56</v>
      </c>
      <c r="K78" t="s">
        <v>38</v>
      </c>
      <c r="L78" s="5">
        <v>43952</v>
      </c>
      <c r="M78">
        <v>53</v>
      </c>
      <c r="N78" t="s">
        <v>429</v>
      </c>
      <c r="O78" t="s">
        <v>876</v>
      </c>
      <c r="Q78">
        <v>1</v>
      </c>
      <c r="R78">
        <v>331</v>
      </c>
      <c r="S78" t="s">
        <v>888</v>
      </c>
      <c r="T78" s="6">
        <v>122863.91212851039</v>
      </c>
      <c r="U78" s="7">
        <f>T78*DealsRawTable[[#This Row],[Contract_Years]]</f>
        <v>122863.91212851039</v>
      </c>
      <c r="V78" s="8">
        <v>0.113</v>
      </c>
      <c r="W78" s="8">
        <v>0.1</v>
      </c>
      <c r="X78" s="8">
        <v>6.3E-2</v>
      </c>
      <c r="Y78" t="s">
        <v>878</v>
      </c>
      <c r="Z78" t="s">
        <v>889</v>
      </c>
      <c r="AA78" s="6">
        <v>110572.03249867282</v>
      </c>
      <c r="AB78" s="7">
        <f>DealsRawTable[[#This Row],[Final_Price_ACV]]*DealsRawTable[[#This Row],[Contract_Years]]</f>
        <v>110572.03249867282</v>
      </c>
      <c r="AC78" s="6">
        <v>38760.308400977432</v>
      </c>
      <c r="AD78" s="6">
        <v>71811.724097695391</v>
      </c>
      <c r="AE78" s="8">
        <v>0.64945648980954862</v>
      </c>
      <c r="AF78" t="s">
        <v>457</v>
      </c>
      <c r="AG78" t="s">
        <v>38</v>
      </c>
      <c r="AI78" t="s">
        <v>38</v>
      </c>
      <c r="AJ78" s="6">
        <v>0</v>
      </c>
      <c r="AK78" s="6">
        <v>0</v>
      </c>
      <c r="AL78" t="s">
        <v>881</v>
      </c>
      <c r="AM78">
        <f t="shared" si="2"/>
        <v>110577.52</v>
      </c>
      <c r="AN78">
        <f>DealsRawTable[[#This Row],[Validated_Annual_Final_Price]]*DealsRawTable[[#This Row],[Contract_Years]]</f>
        <v>110577.52</v>
      </c>
      <c r="AO78">
        <f>DealsRawTable[[#This Row],[Validated_Annual_Final_Price]]-DealsRawTable[[#This Row],[Cost_to_Serve]]</f>
        <v>71817.211599022572</v>
      </c>
      <c r="AP78" s="17">
        <f>DealsRawTable[[#This Row],[Validated_Grossprofit]]/DealsRawTable[[#This Row],[Validated_Annual_Final_Price]]</f>
        <v>0.6494738858225666</v>
      </c>
      <c r="AQ78" s="17">
        <v>0</v>
      </c>
      <c r="AR78" s="17">
        <v>0</v>
      </c>
      <c r="AS78" s="17">
        <v>0</v>
      </c>
      <c r="AT78" s="17">
        <v>0</v>
      </c>
      <c r="AU78" s="17" t="str">
        <f t="shared" si="3"/>
        <v>5–10%</v>
      </c>
      <c r="AV78" s="17">
        <v>116</v>
      </c>
      <c r="AW78" s="17"/>
    </row>
    <row r="79" spans="1:49">
      <c r="A79" t="s">
        <v>983</v>
      </c>
      <c r="B79" s="5">
        <v>45590</v>
      </c>
      <c r="C79" t="s">
        <v>101</v>
      </c>
      <c r="D79" t="s">
        <v>102</v>
      </c>
      <c r="E79" t="s">
        <v>503</v>
      </c>
      <c r="F79" t="s">
        <v>34</v>
      </c>
      <c r="G79" t="s">
        <v>53</v>
      </c>
      <c r="H79" t="s">
        <v>48</v>
      </c>
      <c r="I79" t="s">
        <v>49</v>
      </c>
      <c r="J79" t="s">
        <v>56</v>
      </c>
      <c r="K79" t="s">
        <v>38</v>
      </c>
      <c r="L79" s="5">
        <v>45627</v>
      </c>
      <c r="M79">
        <v>64</v>
      </c>
      <c r="N79" t="s">
        <v>431</v>
      </c>
      <c r="O79" t="s">
        <v>891</v>
      </c>
      <c r="Q79">
        <v>1</v>
      </c>
      <c r="R79">
        <v>285</v>
      </c>
      <c r="S79" t="s">
        <v>892</v>
      </c>
      <c r="T79" s="6">
        <v>78320.350875097269</v>
      </c>
      <c r="U79" s="7">
        <f>T79*DealsRawTable[[#This Row],[Contract_Years]]</f>
        <v>78320.350875097269</v>
      </c>
      <c r="V79" s="8">
        <v>6.4000000000000001E-2</v>
      </c>
      <c r="W79" s="8">
        <v>4.3999999999999997E-2</v>
      </c>
      <c r="X79" s="8">
        <v>-2.9000000000000001E-2</v>
      </c>
      <c r="Y79" t="s">
        <v>911</v>
      </c>
      <c r="Z79" t="s">
        <v>879</v>
      </c>
      <c r="AA79" s="6">
        <v>74835.986323559118</v>
      </c>
      <c r="AB79" s="7">
        <f>DealsRawTable[[#This Row],[Final_Price_ACV]]*DealsRawTable[[#This Row],[Contract_Years]]</f>
        <v>74835.986323559118</v>
      </c>
      <c r="AC79" s="6">
        <v>33155.445994676622</v>
      </c>
      <c r="AD79" s="6">
        <v>41680.540328882496</v>
      </c>
      <c r="AE79" s="8">
        <v>0.55695852191582651</v>
      </c>
      <c r="AF79" t="s">
        <v>880</v>
      </c>
      <c r="AI79" t="s">
        <v>38</v>
      </c>
      <c r="AJ79" s="6">
        <v>74835.986323559118</v>
      </c>
      <c r="AK79" s="6">
        <v>41680.540328882496</v>
      </c>
      <c r="AL79" t="s">
        <v>894</v>
      </c>
      <c r="AM79">
        <f t="shared" si="2"/>
        <v>74874.259999999995</v>
      </c>
      <c r="AN79">
        <f>DealsRawTable[[#This Row],[Validated_Annual_Final_Price]]*DealsRawTable[[#This Row],[Contract_Years]]</f>
        <v>74874.259999999995</v>
      </c>
      <c r="AO79">
        <f>DealsRawTable[[#This Row],[Validated_Annual_Final_Price]]-DealsRawTable[[#This Row],[Cost_to_Serve]]</f>
        <v>41718.814005323373</v>
      </c>
      <c r="AP79" s="17">
        <f>DealsRawTable[[#This Row],[Validated_Grossprofit]]/DealsRawTable[[#This Row],[Validated_Annual_Final_Price]]</f>
        <v>0.55718499261726762</v>
      </c>
      <c r="AQ79" s="17">
        <v>74874.259999999995</v>
      </c>
      <c r="AR79" s="17">
        <v>74874.259999999995</v>
      </c>
      <c r="AS79" s="17">
        <v>41718.814005323373</v>
      </c>
      <c r="AT79" s="17">
        <v>0.55718499261726762</v>
      </c>
      <c r="AU79" s="17" t="str">
        <f t="shared" si="3"/>
        <v>0–5%</v>
      </c>
      <c r="AV79" s="17">
        <v>55</v>
      </c>
      <c r="AW79" s="17"/>
    </row>
    <row r="80" spans="1:49">
      <c r="A80" t="s">
        <v>984</v>
      </c>
      <c r="B80" s="5">
        <v>45755</v>
      </c>
      <c r="C80" t="s">
        <v>101</v>
      </c>
      <c r="D80" t="s">
        <v>102</v>
      </c>
      <c r="E80" t="s">
        <v>503</v>
      </c>
      <c r="F80" t="s">
        <v>34</v>
      </c>
      <c r="G80" t="s">
        <v>53</v>
      </c>
      <c r="H80" t="s">
        <v>48</v>
      </c>
      <c r="I80" t="s">
        <v>49</v>
      </c>
      <c r="J80" t="s">
        <v>56</v>
      </c>
      <c r="K80" t="s">
        <v>38</v>
      </c>
      <c r="L80" s="5">
        <v>45627</v>
      </c>
      <c r="M80">
        <v>64</v>
      </c>
      <c r="N80" t="s">
        <v>431</v>
      </c>
      <c r="O80" t="s">
        <v>883</v>
      </c>
      <c r="P80" t="s">
        <v>985</v>
      </c>
      <c r="Q80">
        <v>1</v>
      </c>
      <c r="R80">
        <v>352</v>
      </c>
      <c r="S80" t="s">
        <v>907</v>
      </c>
      <c r="T80" s="6">
        <v>93593.320157358874</v>
      </c>
      <c r="U80" s="7">
        <f>T80*DealsRawTable[[#This Row],[Contract_Years]]</f>
        <v>93593.320157358874</v>
      </c>
      <c r="V80" s="8">
        <v>9.6000000000000002E-2</v>
      </c>
      <c r="W80" s="8">
        <v>8.2000000000000003E-2</v>
      </c>
      <c r="X80" s="8">
        <v>6.3E-2</v>
      </c>
      <c r="Y80" t="s">
        <v>885</v>
      </c>
      <c r="Z80" t="s">
        <v>879</v>
      </c>
      <c r="AA80" s="6">
        <v>85891.794893412938</v>
      </c>
      <c r="AB80" s="7">
        <f>DealsRawTable[[#This Row],[Final_Price_ACV]]*DealsRawTable[[#This Row],[Contract_Years]]</f>
        <v>85891.794893412938</v>
      </c>
      <c r="AC80" s="6">
        <v>36649.417829870261</v>
      </c>
      <c r="AD80" s="6">
        <v>49242.377063542677</v>
      </c>
      <c r="AE80" s="8">
        <v>0.57330711419699398</v>
      </c>
      <c r="AF80" t="s">
        <v>880</v>
      </c>
      <c r="AH80" t="s">
        <v>44</v>
      </c>
      <c r="AI80" t="s">
        <v>38</v>
      </c>
      <c r="AJ80" s="6">
        <v>85891.794893412938</v>
      </c>
      <c r="AK80" s="6">
        <v>49242.377063542677</v>
      </c>
      <c r="AL80" t="s">
        <v>886</v>
      </c>
      <c r="AM80">
        <f t="shared" si="2"/>
        <v>85918.67</v>
      </c>
      <c r="AN80">
        <f>DealsRawTable[[#This Row],[Validated_Annual_Final_Price]]*DealsRawTable[[#This Row],[Contract_Years]]</f>
        <v>85918.67</v>
      </c>
      <c r="AO80">
        <f>DealsRawTable[[#This Row],[Validated_Annual_Final_Price]]-DealsRawTable[[#This Row],[Cost_to_Serve]]</f>
        <v>49269.252170129737</v>
      </c>
      <c r="AP80" s="17">
        <f>DealsRawTable[[#This Row],[Validated_Grossprofit]]/DealsRawTable[[#This Row],[Validated_Annual_Final_Price]]</f>
        <v>0.57344058247328245</v>
      </c>
      <c r="AQ80" s="17">
        <v>85918.67</v>
      </c>
      <c r="AR80" s="17">
        <v>85918.67</v>
      </c>
      <c r="AS80" s="17">
        <v>49269.252170129737</v>
      </c>
      <c r="AT80" s="17">
        <v>0.57344058247328245</v>
      </c>
      <c r="AU80" s="17" t="str">
        <f t="shared" si="3"/>
        <v>5–10%</v>
      </c>
      <c r="AV80" s="17">
        <v>116</v>
      </c>
      <c r="AW80" s="17"/>
    </row>
    <row r="81" spans="1:49">
      <c r="A81" t="s">
        <v>986</v>
      </c>
      <c r="B81" s="5">
        <v>45955</v>
      </c>
      <c r="C81" t="s">
        <v>101</v>
      </c>
      <c r="D81" t="s">
        <v>102</v>
      </c>
      <c r="E81" t="s">
        <v>503</v>
      </c>
      <c r="F81" t="s">
        <v>34</v>
      </c>
      <c r="G81" t="s">
        <v>53</v>
      </c>
      <c r="H81" t="s">
        <v>48</v>
      </c>
      <c r="I81" t="s">
        <v>49</v>
      </c>
      <c r="J81" t="s">
        <v>56</v>
      </c>
      <c r="K81" t="s">
        <v>38</v>
      </c>
      <c r="L81" s="5">
        <v>45627</v>
      </c>
      <c r="M81">
        <v>64</v>
      </c>
      <c r="N81" t="s">
        <v>431</v>
      </c>
      <c r="O81" t="s">
        <v>876</v>
      </c>
      <c r="Q81">
        <v>1</v>
      </c>
      <c r="R81">
        <v>352</v>
      </c>
      <c r="S81" t="s">
        <v>907</v>
      </c>
      <c r="T81" s="6">
        <v>96598.602781087189</v>
      </c>
      <c r="U81" s="7">
        <f>T81*DealsRawTable[[#This Row],[Contract_Years]]</f>
        <v>96598.602781087189</v>
      </c>
      <c r="V81" s="8">
        <v>0.13800000000000001</v>
      </c>
      <c r="W81" s="8">
        <v>0.108</v>
      </c>
      <c r="X81" s="8">
        <v>-1E-3</v>
      </c>
      <c r="Y81" t="s">
        <v>878</v>
      </c>
      <c r="Z81" t="s">
        <v>889</v>
      </c>
      <c r="AA81" s="6">
        <v>86190.673580923991</v>
      </c>
      <c r="AB81" s="7">
        <f>DealsRawTable[[#This Row],[Final_Price_ACV]]*DealsRawTable[[#This Row],[Contract_Years]]</f>
        <v>86190.673580923991</v>
      </c>
      <c r="AC81" s="6">
        <v>35774.136838029153</v>
      </c>
      <c r="AD81" s="6">
        <v>50416.536742894838</v>
      </c>
      <c r="AE81" s="8">
        <v>0.5849419043646179</v>
      </c>
      <c r="AF81" t="s">
        <v>457</v>
      </c>
      <c r="AG81" t="s">
        <v>38</v>
      </c>
      <c r="AI81" t="s">
        <v>38</v>
      </c>
      <c r="AJ81" s="6">
        <v>0</v>
      </c>
      <c r="AK81" s="6">
        <v>0</v>
      </c>
      <c r="AL81" t="s">
        <v>881</v>
      </c>
      <c r="AM81">
        <f t="shared" si="2"/>
        <v>86165.95</v>
      </c>
      <c r="AN81">
        <f>DealsRawTable[[#This Row],[Validated_Annual_Final_Price]]*DealsRawTable[[#This Row],[Contract_Years]]</f>
        <v>86165.95</v>
      </c>
      <c r="AO81">
        <f>DealsRawTable[[#This Row],[Validated_Annual_Final_Price]]-DealsRawTable[[#This Row],[Cost_to_Serve]]</f>
        <v>50391.813161970844</v>
      </c>
      <c r="AP81" s="17">
        <f>DealsRawTable[[#This Row],[Validated_Grossprofit]]/DealsRawTable[[#This Row],[Validated_Annual_Final_Price]]</f>
        <v>0.58482281181801909</v>
      </c>
      <c r="AQ81" s="17">
        <v>0</v>
      </c>
      <c r="AR81" s="17">
        <v>0</v>
      </c>
      <c r="AS81" s="17">
        <v>0</v>
      </c>
      <c r="AT81" s="17">
        <v>0</v>
      </c>
      <c r="AU81" s="17" t="str">
        <f t="shared" si="3"/>
        <v>10–15%</v>
      </c>
      <c r="AV81" s="17">
        <v>113</v>
      </c>
      <c r="AW81" s="17"/>
    </row>
    <row r="82" spans="1:49">
      <c r="A82" t="s">
        <v>987</v>
      </c>
      <c r="B82" s="5">
        <v>45497</v>
      </c>
      <c r="C82" t="s">
        <v>101</v>
      </c>
      <c r="D82" t="s">
        <v>102</v>
      </c>
      <c r="E82" t="s">
        <v>504</v>
      </c>
      <c r="F82" t="s">
        <v>47</v>
      </c>
      <c r="G82" t="s">
        <v>53</v>
      </c>
      <c r="H82" t="s">
        <v>48</v>
      </c>
      <c r="I82" t="s">
        <v>49</v>
      </c>
      <c r="J82" t="s">
        <v>56</v>
      </c>
      <c r="K82" t="s">
        <v>38</v>
      </c>
      <c r="L82" s="5">
        <v>45627</v>
      </c>
      <c r="M82">
        <v>64</v>
      </c>
      <c r="N82" t="s">
        <v>424</v>
      </c>
      <c r="O82" t="s">
        <v>891</v>
      </c>
      <c r="Q82">
        <v>3</v>
      </c>
      <c r="R82">
        <v>168</v>
      </c>
      <c r="S82" t="s">
        <v>896</v>
      </c>
      <c r="T82" s="6">
        <v>51328.855793147522</v>
      </c>
      <c r="U82" s="7">
        <f>T82*DealsRawTable[[#This Row],[Contract_Years]]</f>
        <v>153986.56737944257</v>
      </c>
      <c r="V82" s="8">
        <v>0.11</v>
      </c>
      <c r="W82" s="8">
        <v>0.104</v>
      </c>
      <c r="X82" s="8">
        <v>0.05</v>
      </c>
      <c r="Y82" t="s">
        <v>878</v>
      </c>
      <c r="Z82" t="s">
        <v>889</v>
      </c>
      <c r="AA82" s="6">
        <v>45992.190055589563</v>
      </c>
      <c r="AB82" s="7">
        <f>DealsRawTable[[#This Row],[Final_Price_ACV]]*DealsRawTable[[#This Row],[Contract_Years]]</f>
        <v>137976.57016676868</v>
      </c>
      <c r="AC82" s="6">
        <v>16406.887966709328</v>
      </c>
      <c r="AD82" s="6">
        <v>29585.302088880235</v>
      </c>
      <c r="AE82" s="8">
        <v>0.64326795599690401</v>
      </c>
      <c r="AF82" t="s">
        <v>457</v>
      </c>
      <c r="AI82" t="s">
        <v>38</v>
      </c>
      <c r="AJ82" s="6">
        <v>0</v>
      </c>
      <c r="AK82" s="6">
        <v>0</v>
      </c>
      <c r="AL82" t="s">
        <v>894</v>
      </c>
      <c r="AM82">
        <f t="shared" si="2"/>
        <v>45990.65</v>
      </c>
      <c r="AN82">
        <f>DealsRawTable[[#This Row],[Validated_Annual_Final_Price]]*DealsRawTable[[#This Row],[Contract_Years]]</f>
        <v>137971.95000000001</v>
      </c>
      <c r="AO82">
        <f>DealsRawTable[[#This Row],[Validated_Annual_Final_Price]]-DealsRawTable[[#This Row],[Cost_to_Serve]]</f>
        <v>29583.762033290674</v>
      </c>
      <c r="AP82" s="17">
        <f>DealsRawTable[[#This Row],[Validated_Grossprofit]]/DealsRawTable[[#This Row],[Validated_Annual_Final_Price]]</f>
        <v>0.64325601036929625</v>
      </c>
      <c r="AQ82" s="17">
        <v>0</v>
      </c>
      <c r="AR82" s="17">
        <v>0</v>
      </c>
      <c r="AS82" s="17">
        <v>0</v>
      </c>
      <c r="AT82" s="17">
        <v>0</v>
      </c>
      <c r="AU82" s="17" t="str">
        <f t="shared" si="3"/>
        <v>10–15%</v>
      </c>
      <c r="AV82" s="17">
        <v>113</v>
      </c>
      <c r="AW82" s="17"/>
    </row>
    <row r="83" spans="1:49">
      <c r="A83" t="s">
        <v>988</v>
      </c>
      <c r="B83" s="5">
        <v>45872</v>
      </c>
      <c r="C83" t="s">
        <v>101</v>
      </c>
      <c r="D83" t="s">
        <v>102</v>
      </c>
      <c r="E83" t="s">
        <v>504</v>
      </c>
      <c r="F83" t="s">
        <v>47</v>
      </c>
      <c r="G83" t="s">
        <v>53</v>
      </c>
      <c r="H83" t="s">
        <v>48</v>
      </c>
      <c r="I83" t="s">
        <v>49</v>
      </c>
      <c r="J83" t="s">
        <v>56</v>
      </c>
      <c r="K83" t="s">
        <v>38</v>
      </c>
      <c r="L83" s="5">
        <v>45627</v>
      </c>
      <c r="M83">
        <v>64</v>
      </c>
      <c r="N83" t="s">
        <v>424</v>
      </c>
      <c r="O83" t="s">
        <v>915</v>
      </c>
      <c r="Q83">
        <v>3</v>
      </c>
      <c r="R83">
        <v>168</v>
      </c>
      <c r="S83" t="s">
        <v>877</v>
      </c>
      <c r="T83" s="6">
        <v>51328.855793147522</v>
      </c>
      <c r="U83" s="7">
        <f>T83*DealsRawTable[[#This Row],[Contract_Years]]</f>
        <v>153986.56737944257</v>
      </c>
      <c r="V83" s="8">
        <v>0.183</v>
      </c>
      <c r="W83" s="8">
        <v>0.13600000000000001</v>
      </c>
      <c r="X83" s="8">
        <v>-0.01</v>
      </c>
      <c r="Y83" t="s">
        <v>878</v>
      </c>
      <c r="Z83" t="s">
        <v>889</v>
      </c>
      <c r="AA83" s="6">
        <v>44343.91067927517</v>
      </c>
      <c r="AB83" s="7">
        <f>DealsRawTable[[#This Row],[Final_Price_ACV]]*DealsRawTable[[#This Row],[Contract_Years]]</f>
        <v>133031.73203782551</v>
      </c>
      <c r="AC83" s="6">
        <v>16111.38189214072</v>
      </c>
      <c r="AD83" s="6">
        <v>28232.528787134448</v>
      </c>
      <c r="AE83" s="8">
        <v>0.63667205608749722</v>
      </c>
      <c r="AF83" t="s">
        <v>457</v>
      </c>
      <c r="AI83" t="s">
        <v>44</v>
      </c>
      <c r="AJ83" s="6">
        <v>0</v>
      </c>
      <c r="AK83" s="6">
        <v>0</v>
      </c>
      <c r="AL83" t="s">
        <v>934</v>
      </c>
      <c r="AM83">
        <f t="shared" si="2"/>
        <v>44348.13</v>
      </c>
      <c r="AN83">
        <f>DealsRawTable[[#This Row],[Validated_Annual_Final_Price]]*DealsRawTable[[#This Row],[Contract_Years]]</f>
        <v>133044.38999999998</v>
      </c>
      <c r="AO83">
        <f>DealsRawTable[[#This Row],[Validated_Annual_Final_Price]]-DealsRawTable[[#This Row],[Cost_to_Serve]]</f>
        <v>28236.748107859275</v>
      </c>
      <c r="AP83" s="17">
        <f>DealsRawTable[[#This Row],[Validated_Grossprofit]]/DealsRawTable[[#This Row],[Validated_Annual_Final_Price]]</f>
        <v>0.63670662343280937</v>
      </c>
      <c r="AQ83" s="17">
        <v>0</v>
      </c>
      <c r="AR83" s="17">
        <v>0</v>
      </c>
      <c r="AS83" s="17">
        <v>0</v>
      </c>
      <c r="AT83" s="17">
        <v>0</v>
      </c>
      <c r="AU83" s="17" t="str">
        <f t="shared" si="3"/>
        <v>10–15%</v>
      </c>
      <c r="AV83" s="17">
        <v>113</v>
      </c>
      <c r="AW83" s="17"/>
    </row>
    <row r="84" spans="1:49">
      <c r="A84" t="s">
        <v>989</v>
      </c>
      <c r="B84" s="5">
        <v>45583</v>
      </c>
      <c r="C84" t="s">
        <v>103</v>
      </c>
      <c r="D84" t="s">
        <v>104</v>
      </c>
      <c r="E84" t="s">
        <v>505</v>
      </c>
      <c r="F84" t="s">
        <v>466</v>
      </c>
      <c r="G84" t="s">
        <v>34</v>
      </c>
      <c r="H84" t="s">
        <v>70</v>
      </c>
      <c r="I84" t="s">
        <v>76</v>
      </c>
      <c r="J84" t="s">
        <v>43</v>
      </c>
      <c r="K84" t="s">
        <v>44</v>
      </c>
      <c r="L84" s="5">
        <v>44531</v>
      </c>
      <c r="M84">
        <v>62</v>
      </c>
      <c r="N84" t="s">
        <v>424</v>
      </c>
      <c r="O84" t="s">
        <v>876</v>
      </c>
      <c r="Q84">
        <v>1</v>
      </c>
      <c r="R84">
        <v>764</v>
      </c>
      <c r="S84" t="s">
        <v>888</v>
      </c>
      <c r="T84" s="6">
        <v>77819.4061745402</v>
      </c>
      <c r="U84" s="7">
        <f>T84*DealsRawTable[[#This Row],[Contract_Years]]</f>
        <v>77819.4061745402</v>
      </c>
      <c r="V84" s="8">
        <v>0.157</v>
      </c>
      <c r="W84" s="8">
        <v>0.14099999999999999</v>
      </c>
      <c r="X84" s="8">
        <v>3.2000000000000001E-2</v>
      </c>
      <c r="Y84" t="s">
        <v>878</v>
      </c>
      <c r="Z84" t="s">
        <v>889</v>
      </c>
      <c r="AA84" s="6">
        <v>66846.671375198799</v>
      </c>
      <c r="AB84" s="7">
        <f>DealsRawTable[[#This Row],[Final_Price_ACV]]*DealsRawTable[[#This Row],[Contract_Years]]</f>
        <v>66846.671375198799</v>
      </c>
      <c r="AC84" s="6">
        <v>19990.464356505599</v>
      </c>
      <c r="AD84" s="6">
        <v>46856.207018693196</v>
      </c>
      <c r="AE84" s="8">
        <v>0.70095048945215854</v>
      </c>
      <c r="AF84" t="s">
        <v>880</v>
      </c>
      <c r="AG84" t="s">
        <v>44</v>
      </c>
      <c r="AI84" t="s">
        <v>38</v>
      </c>
      <c r="AJ84" s="6">
        <v>66846.671375198799</v>
      </c>
      <c r="AK84" s="6">
        <v>46856.207018693196</v>
      </c>
      <c r="AL84" t="s">
        <v>881</v>
      </c>
      <c r="AM84">
        <f t="shared" si="2"/>
        <v>66846.87</v>
      </c>
      <c r="AN84">
        <f>DealsRawTable[[#This Row],[Validated_Annual_Final_Price]]*DealsRawTable[[#This Row],[Contract_Years]]</f>
        <v>66846.87</v>
      </c>
      <c r="AO84">
        <f>DealsRawTable[[#This Row],[Validated_Annual_Final_Price]]-DealsRawTable[[#This Row],[Cost_to_Serve]]</f>
        <v>46856.405643494392</v>
      </c>
      <c r="AP84" s="17">
        <f>DealsRawTable[[#This Row],[Validated_Grossprofit]]/DealsRawTable[[#This Row],[Validated_Annual_Final_Price]]</f>
        <v>0.70095137803003182</v>
      </c>
      <c r="AQ84" s="17">
        <v>66846.87</v>
      </c>
      <c r="AR84" s="17">
        <v>66846.87</v>
      </c>
      <c r="AS84" s="17">
        <v>46856.405643494392</v>
      </c>
      <c r="AT84" s="17">
        <v>0.70095137803003182</v>
      </c>
      <c r="AU84" s="17" t="str">
        <f t="shared" si="3"/>
        <v>10–15%</v>
      </c>
      <c r="AV84" s="17">
        <v>113</v>
      </c>
      <c r="AW84" s="17"/>
    </row>
    <row r="85" spans="1:49">
      <c r="A85" t="s">
        <v>990</v>
      </c>
      <c r="B85" s="5">
        <v>45948</v>
      </c>
      <c r="C85" t="s">
        <v>103</v>
      </c>
      <c r="D85" t="s">
        <v>104</v>
      </c>
      <c r="E85" t="s">
        <v>505</v>
      </c>
      <c r="F85" t="s">
        <v>466</v>
      </c>
      <c r="G85" t="s">
        <v>34</v>
      </c>
      <c r="H85" t="s">
        <v>70</v>
      </c>
      <c r="I85" t="s">
        <v>76</v>
      </c>
      <c r="J85" t="s">
        <v>43</v>
      </c>
      <c r="K85" t="s">
        <v>44</v>
      </c>
      <c r="L85" s="5">
        <v>44531</v>
      </c>
      <c r="M85">
        <v>62</v>
      </c>
      <c r="N85" t="s">
        <v>424</v>
      </c>
      <c r="O85" t="s">
        <v>876</v>
      </c>
      <c r="Q85">
        <v>1</v>
      </c>
      <c r="R85">
        <v>764</v>
      </c>
      <c r="S85" t="s">
        <v>947</v>
      </c>
      <c r="T85" s="6">
        <v>82762.157594876364</v>
      </c>
      <c r="U85" s="7">
        <f>T85*DealsRawTable[[#This Row],[Contract_Years]]</f>
        <v>82762.157594876364</v>
      </c>
      <c r="V85" s="8">
        <v>0.17599999999999999</v>
      </c>
      <c r="W85" s="8">
        <v>0.17299999999999999</v>
      </c>
      <c r="X85" s="8">
        <v>6.7000000000000004E-2</v>
      </c>
      <c r="Y85" t="s">
        <v>878</v>
      </c>
      <c r="Z85" t="s">
        <v>889</v>
      </c>
      <c r="AA85" s="6">
        <v>68455.708959175943</v>
      </c>
      <c r="AB85" s="7">
        <f>DealsRawTable[[#This Row],[Final_Price_ACV]]*DealsRawTable[[#This Row],[Contract_Years]]</f>
        <v>68455.708959175943</v>
      </c>
      <c r="AC85" s="6">
        <v>21981.705600626105</v>
      </c>
      <c r="AD85" s="6">
        <v>46474.003358549839</v>
      </c>
      <c r="AE85" s="8">
        <v>0.67889156456278832</v>
      </c>
      <c r="AF85" t="s">
        <v>880</v>
      </c>
      <c r="AG85" t="s">
        <v>44</v>
      </c>
      <c r="AI85" t="s">
        <v>38</v>
      </c>
      <c r="AJ85" s="6">
        <v>68455.708959175943</v>
      </c>
      <c r="AK85" s="6">
        <v>46474.003358549839</v>
      </c>
      <c r="AL85" t="s">
        <v>881</v>
      </c>
      <c r="AM85">
        <f t="shared" si="2"/>
        <v>68444.3</v>
      </c>
      <c r="AN85">
        <f>DealsRawTable[[#This Row],[Validated_Annual_Final_Price]]*DealsRawTable[[#This Row],[Contract_Years]]</f>
        <v>68444.3</v>
      </c>
      <c r="AO85">
        <f>DealsRawTable[[#This Row],[Validated_Annual_Final_Price]]-DealsRawTable[[#This Row],[Cost_to_Serve]]</f>
        <v>46462.594399373898</v>
      </c>
      <c r="AP85" s="17">
        <f>DealsRawTable[[#This Row],[Validated_Grossprofit]]/DealsRawTable[[#This Row],[Validated_Annual_Final_Price]]</f>
        <v>0.67883803909710372</v>
      </c>
      <c r="AQ85" s="17">
        <v>68444.3</v>
      </c>
      <c r="AR85" s="17">
        <v>68444.3</v>
      </c>
      <c r="AS85" s="17">
        <v>46462.594399373898</v>
      </c>
      <c r="AT85" s="17">
        <v>0.67883803909710372</v>
      </c>
      <c r="AU85" s="17" t="str">
        <f t="shared" si="3"/>
        <v>15–20%</v>
      </c>
      <c r="AV85" s="17">
        <v>108</v>
      </c>
      <c r="AW85" s="17"/>
    </row>
    <row r="86" spans="1:49">
      <c r="A86" t="s">
        <v>991</v>
      </c>
      <c r="B86" s="5">
        <v>45522</v>
      </c>
      <c r="C86" t="s">
        <v>103</v>
      </c>
      <c r="D86" t="s">
        <v>104</v>
      </c>
      <c r="E86" t="s">
        <v>506</v>
      </c>
      <c r="F86" t="s">
        <v>34</v>
      </c>
      <c r="G86" t="s">
        <v>34</v>
      </c>
      <c r="H86" t="s">
        <v>70</v>
      </c>
      <c r="I86" t="s">
        <v>76</v>
      </c>
      <c r="J86" t="s">
        <v>43</v>
      </c>
      <c r="K86" t="s">
        <v>44</v>
      </c>
      <c r="L86" s="5">
        <v>44531</v>
      </c>
      <c r="M86">
        <v>62</v>
      </c>
      <c r="N86" t="s">
        <v>427</v>
      </c>
      <c r="O86" t="s">
        <v>891</v>
      </c>
      <c r="Q86">
        <v>1</v>
      </c>
      <c r="R86">
        <v>1409</v>
      </c>
      <c r="S86" t="s">
        <v>932</v>
      </c>
      <c r="T86" s="6">
        <v>329442.78031857318</v>
      </c>
      <c r="U86" s="7">
        <f>T86*DealsRawTable[[#This Row],[Contract_Years]]</f>
        <v>329442.78031857318</v>
      </c>
      <c r="V86" s="8">
        <v>0.19</v>
      </c>
      <c r="W86" s="8">
        <v>0.16200000000000001</v>
      </c>
      <c r="X86" s="8">
        <v>-0.124</v>
      </c>
      <c r="Y86" t="s">
        <v>897</v>
      </c>
      <c r="Z86" t="s">
        <v>889</v>
      </c>
      <c r="AA86" s="6">
        <v>276207.02758687275</v>
      </c>
      <c r="AB86" s="7">
        <f>DealsRawTable[[#This Row],[Final_Price_ACV]]*DealsRawTable[[#This Row],[Contract_Years]]</f>
        <v>276207.02758687275</v>
      </c>
      <c r="AC86" s="6">
        <v>118383.41542595436</v>
      </c>
      <c r="AD86" s="6">
        <v>157823.61216091839</v>
      </c>
      <c r="AE86" s="8">
        <v>0.57139607757184829</v>
      </c>
      <c r="AF86" t="s">
        <v>880</v>
      </c>
      <c r="AI86" t="s">
        <v>38</v>
      </c>
      <c r="AJ86" s="6">
        <v>276207.02758687275</v>
      </c>
      <c r="AK86" s="6">
        <v>157823.61216091839</v>
      </c>
      <c r="AL86" t="s">
        <v>894</v>
      </c>
      <c r="AM86">
        <f t="shared" si="2"/>
        <v>276073.05</v>
      </c>
      <c r="AN86">
        <f>DealsRawTable[[#This Row],[Validated_Annual_Final_Price]]*DealsRawTable[[#This Row],[Contract_Years]]</f>
        <v>276073.05</v>
      </c>
      <c r="AO86">
        <f>DealsRawTable[[#This Row],[Validated_Annual_Final_Price]]-DealsRawTable[[#This Row],[Cost_to_Serve]]</f>
        <v>157689.63457404563</v>
      </c>
      <c r="AP86" s="17">
        <f>DealsRawTable[[#This Row],[Validated_Grossprofit]]/DealsRawTable[[#This Row],[Validated_Annual_Final_Price]]</f>
        <v>0.57118807711960884</v>
      </c>
      <c r="AQ86" s="17">
        <v>276073.05</v>
      </c>
      <c r="AR86" s="17">
        <v>276073.05</v>
      </c>
      <c r="AS86" s="17">
        <v>157689.63457404563</v>
      </c>
      <c r="AT86" s="17">
        <v>0.57118807711960884</v>
      </c>
      <c r="AU86" s="17" t="str">
        <f t="shared" si="3"/>
        <v>15–20%</v>
      </c>
      <c r="AV86" s="17">
        <v>108</v>
      </c>
      <c r="AW86" s="17"/>
    </row>
    <row r="87" spans="1:49">
      <c r="A87" t="s">
        <v>992</v>
      </c>
      <c r="B87" s="5">
        <v>45887</v>
      </c>
      <c r="C87" t="s">
        <v>103</v>
      </c>
      <c r="D87" t="s">
        <v>104</v>
      </c>
      <c r="E87" t="s">
        <v>506</v>
      </c>
      <c r="F87" t="s">
        <v>34</v>
      </c>
      <c r="G87" t="s">
        <v>34</v>
      </c>
      <c r="H87" t="s">
        <v>70</v>
      </c>
      <c r="I87" t="s">
        <v>76</v>
      </c>
      <c r="J87" t="s">
        <v>43</v>
      </c>
      <c r="K87" t="s">
        <v>44</v>
      </c>
      <c r="L87" s="5">
        <v>44531</v>
      </c>
      <c r="M87">
        <v>62</v>
      </c>
      <c r="N87" t="s">
        <v>427</v>
      </c>
      <c r="O87" t="s">
        <v>876</v>
      </c>
      <c r="Q87">
        <v>1</v>
      </c>
      <c r="R87">
        <v>1409</v>
      </c>
      <c r="S87" t="s">
        <v>888</v>
      </c>
      <c r="T87" s="6">
        <v>347991.83887547237</v>
      </c>
      <c r="U87" s="7">
        <f>T87*DealsRawTable[[#This Row],[Contract_Years]]</f>
        <v>347991.83887547237</v>
      </c>
      <c r="V87" s="8">
        <v>0.188</v>
      </c>
      <c r="W87" s="8">
        <v>0.17699999999999999</v>
      </c>
      <c r="X87" s="8">
        <v>-6.9000000000000006E-2</v>
      </c>
      <c r="Y87" t="s">
        <v>878</v>
      </c>
      <c r="Z87" t="s">
        <v>889</v>
      </c>
      <c r="AA87" s="6">
        <v>286525.3530324907</v>
      </c>
      <c r="AB87" s="7">
        <f>DealsRawTable[[#This Row],[Final_Price_ACV]]*DealsRawTable[[#This Row],[Contract_Years]]</f>
        <v>286525.3530324907</v>
      </c>
      <c r="AC87" s="6">
        <v>109065.74734413366</v>
      </c>
      <c r="AD87" s="6">
        <v>177459.60568835703</v>
      </c>
      <c r="AE87" s="8">
        <v>0.61935044773588988</v>
      </c>
      <c r="AF87" t="s">
        <v>880</v>
      </c>
      <c r="AG87" t="s">
        <v>44</v>
      </c>
      <c r="AI87" t="s">
        <v>38</v>
      </c>
      <c r="AJ87" s="6">
        <v>286525.3530324907</v>
      </c>
      <c r="AK87" s="6">
        <v>177459.60568835703</v>
      </c>
      <c r="AL87" t="s">
        <v>881</v>
      </c>
      <c r="AM87">
        <f t="shared" si="2"/>
        <v>286397.28000000003</v>
      </c>
      <c r="AN87">
        <f>DealsRawTable[[#This Row],[Validated_Annual_Final_Price]]*DealsRawTable[[#This Row],[Contract_Years]]</f>
        <v>286397.28000000003</v>
      </c>
      <c r="AO87">
        <f>DealsRawTable[[#This Row],[Validated_Annual_Final_Price]]-DealsRawTable[[#This Row],[Cost_to_Serve]]</f>
        <v>177331.53265586635</v>
      </c>
      <c r="AP87" s="17">
        <f>DealsRawTable[[#This Row],[Validated_Grossprofit]]/DealsRawTable[[#This Row],[Validated_Annual_Final_Price]]</f>
        <v>0.6191802263480517</v>
      </c>
      <c r="AQ87" s="17">
        <v>286397.28000000003</v>
      </c>
      <c r="AR87" s="17">
        <v>286397.28000000003</v>
      </c>
      <c r="AS87" s="17">
        <v>177331.53265586635</v>
      </c>
      <c r="AT87" s="17">
        <v>0.6191802263480517</v>
      </c>
      <c r="AU87" s="17" t="str">
        <f t="shared" si="3"/>
        <v>15–20%</v>
      </c>
      <c r="AV87" s="17">
        <v>108</v>
      </c>
      <c r="AW87" s="17"/>
    </row>
    <row r="88" spans="1:49">
      <c r="A88" t="s">
        <v>993</v>
      </c>
      <c r="B88" s="5">
        <v>45624</v>
      </c>
      <c r="C88" t="s">
        <v>105</v>
      </c>
      <c r="D88" t="s">
        <v>106</v>
      </c>
      <c r="E88" t="s">
        <v>507</v>
      </c>
      <c r="F88" t="s">
        <v>445</v>
      </c>
      <c r="G88" t="s">
        <v>47</v>
      </c>
      <c r="H88" t="s">
        <v>48</v>
      </c>
      <c r="I88" t="s">
        <v>49</v>
      </c>
      <c r="J88" t="s">
        <v>37</v>
      </c>
      <c r="K88" t="s">
        <v>38</v>
      </c>
      <c r="L88" s="5">
        <v>43132</v>
      </c>
      <c r="M88">
        <v>75</v>
      </c>
      <c r="N88" t="s">
        <v>427</v>
      </c>
      <c r="O88" t="s">
        <v>891</v>
      </c>
      <c r="Q88">
        <v>1</v>
      </c>
      <c r="R88">
        <v>66</v>
      </c>
      <c r="S88" t="s">
        <v>932</v>
      </c>
      <c r="T88" s="6">
        <v>47271.301465597389</v>
      </c>
      <c r="U88" s="7">
        <f>T88*DealsRawTable[[#This Row],[Contract_Years]]</f>
        <v>47271.301465597389</v>
      </c>
      <c r="V88" s="8">
        <v>0.105</v>
      </c>
      <c r="W88" s="8">
        <v>9.4E-2</v>
      </c>
      <c r="X88" s="8">
        <v>-0.13400000000000001</v>
      </c>
      <c r="Y88" t="s">
        <v>878</v>
      </c>
      <c r="Z88" t="s">
        <v>879</v>
      </c>
      <c r="AA88" s="6">
        <v>42825.233697954354</v>
      </c>
      <c r="AB88" s="7">
        <f>DealsRawTable[[#This Row],[Final_Price_ACV]]*DealsRawTable[[#This Row],[Contract_Years]]</f>
        <v>42825.233697954354</v>
      </c>
      <c r="AC88" s="6">
        <v>16223.05890650135</v>
      </c>
      <c r="AD88" s="6">
        <v>26602.174791453006</v>
      </c>
      <c r="AE88" s="8">
        <v>0.62117990946827506</v>
      </c>
      <c r="AF88" t="s">
        <v>457</v>
      </c>
      <c r="AI88" t="s">
        <v>38</v>
      </c>
      <c r="AJ88" s="6">
        <v>0</v>
      </c>
      <c r="AK88" s="6">
        <v>0</v>
      </c>
      <c r="AL88" t="s">
        <v>894</v>
      </c>
      <c r="AM88">
        <f t="shared" si="2"/>
        <v>42827.8</v>
      </c>
      <c r="AN88">
        <f>DealsRawTable[[#This Row],[Validated_Annual_Final_Price]]*DealsRawTable[[#This Row],[Contract_Years]]</f>
        <v>42827.8</v>
      </c>
      <c r="AO88">
        <f>DealsRawTable[[#This Row],[Validated_Annual_Final_Price]]-DealsRawTable[[#This Row],[Cost_to_Serve]]</f>
        <v>26604.741093498655</v>
      </c>
      <c r="AP88" s="17">
        <f>DealsRawTable[[#This Row],[Validated_Grossprofit]]/DealsRawTable[[#This Row],[Validated_Annual_Final_Price]]</f>
        <v>0.62120260890119627</v>
      </c>
      <c r="AQ88" s="17">
        <v>0</v>
      </c>
      <c r="AR88" s="17">
        <v>0</v>
      </c>
      <c r="AS88" s="17">
        <v>0</v>
      </c>
      <c r="AT88" s="17">
        <v>0</v>
      </c>
      <c r="AU88" s="17" t="str">
        <f t="shared" si="3"/>
        <v>5–10%</v>
      </c>
      <c r="AV88" s="17">
        <v>116</v>
      </c>
      <c r="AW88" s="17"/>
    </row>
    <row r="89" spans="1:49">
      <c r="A89" t="s">
        <v>994</v>
      </c>
      <c r="B89" s="5">
        <v>45774</v>
      </c>
      <c r="C89" t="s">
        <v>105</v>
      </c>
      <c r="D89" t="s">
        <v>106</v>
      </c>
      <c r="E89" t="s">
        <v>508</v>
      </c>
      <c r="F89" t="s">
        <v>445</v>
      </c>
      <c r="G89" t="s">
        <v>47</v>
      </c>
      <c r="H89" t="s">
        <v>48</v>
      </c>
      <c r="I89" t="s">
        <v>49</v>
      </c>
      <c r="J89" t="s">
        <v>37</v>
      </c>
      <c r="K89" t="s">
        <v>38</v>
      </c>
      <c r="L89" s="5">
        <v>43132</v>
      </c>
      <c r="M89">
        <v>75</v>
      </c>
      <c r="N89" t="s">
        <v>429</v>
      </c>
      <c r="O89" t="s">
        <v>891</v>
      </c>
      <c r="Q89">
        <v>1</v>
      </c>
      <c r="R89">
        <v>50</v>
      </c>
      <c r="S89" t="s">
        <v>900</v>
      </c>
      <c r="T89" s="6">
        <v>57208.563362141882</v>
      </c>
      <c r="U89" s="7">
        <f>T89*DealsRawTable[[#This Row],[Contract_Years]]</f>
        <v>57208.563362141882</v>
      </c>
      <c r="V89" s="8">
        <v>7.4999999999999997E-2</v>
      </c>
      <c r="W89" s="8">
        <v>5.8999999999999997E-2</v>
      </c>
      <c r="X89" s="8">
        <v>-9.6000000000000002E-2</v>
      </c>
      <c r="Y89" t="s">
        <v>911</v>
      </c>
      <c r="Z89" t="s">
        <v>879</v>
      </c>
      <c r="AA89" s="6">
        <v>53823.128988005577</v>
      </c>
      <c r="AB89" s="7">
        <f>DealsRawTable[[#This Row],[Final_Price_ACV]]*DealsRawTable[[#This Row],[Contract_Years]]</f>
        <v>53823.128988005577</v>
      </c>
      <c r="AC89" s="6">
        <v>20791.988207595306</v>
      </c>
      <c r="AD89" s="6">
        <v>33031.140780410271</v>
      </c>
      <c r="AE89" s="8">
        <v>0.61369789162148536</v>
      </c>
      <c r="AF89" t="s">
        <v>457</v>
      </c>
      <c r="AI89" t="s">
        <v>38</v>
      </c>
      <c r="AJ89" s="6">
        <v>0</v>
      </c>
      <c r="AK89" s="6">
        <v>0</v>
      </c>
      <c r="AL89" t="s">
        <v>894</v>
      </c>
      <c r="AM89">
        <f t="shared" si="2"/>
        <v>53833.26</v>
      </c>
      <c r="AN89">
        <f>DealsRawTable[[#This Row],[Validated_Annual_Final_Price]]*DealsRawTable[[#This Row],[Contract_Years]]</f>
        <v>53833.26</v>
      </c>
      <c r="AO89">
        <f>DealsRawTable[[#This Row],[Validated_Annual_Final_Price]]-DealsRawTable[[#This Row],[Cost_to_Serve]]</f>
        <v>33041.271792404696</v>
      </c>
      <c r="AP89" s="17">
        <f>DealsRawTable[[#This Row],[Validated_Grossprofit]]/DealsRawTable[[#This Row],[Validated_Annual_Final_Price]]</f>
        <v>0.61377059075383311</v>
      </c>
      <c r="AQ89" s="17">
        <v>0</v>
      </c>
      <c r="AR89" s="17">
        <v>0</v>
      </c>
      <c r="AS89" s="17">
        <v>0</v>
      </c>
      <c r="AT89" s="17">
        <v>0</v>
      </c>
      <c r="AU89" s="17" t="str">
        <f t="shared" si="3"/>
        <v>5–10%</v>
      </c>
      <c r="AV89" s="17">
        <v>116</v>
      </c>
      <c r="AW89" s="17"/>
    </row>
    <row r="90" spans="1:49">
      <c r="A90" t="s">
        <v>995</v>
      </c>
      <c r="B90" s="5">
        <v>45320</v>
      </c>
      <c r="C90" t="s">
        <v>107</v>
      </c>
      <c r="D90" t="s">
        <v>108</v>
      </c>
      <c r="E90" t="s">
        <v>509</v>
      </c>
      <c r="F90" t="s">
        <v>47</v>
      </c>
      <c r="G90" t="s">
        <v>53</v>
      </c>
      <c r="H90" t="s">
        <v>54</v>
      </c>
      <c r="I90" t="s">
        <v>55</v>
      </c>
      <c r="J90" t="s">
        <v>56</v>
      </c>
      <c r="K90" t="s">
        <v>38</v>
      </c>
      <c r="L90" s="5">
        <v>45108</v>
      </c>
      <c r="M90">
        <v>40</v>
      </c>
      <c r="N90" t="s">
        <v>427</v>
      </c>
      <c r="O90" t="s">
        <v>891</v>
      </c>
      <c r="Q90">
        <v>1</v>
      </c>
      <c r="R90">
        <v>255</v>
      </c>
      <c r="S90" t="s">
        <v>947</v>
      </c>
      <c r="T90" s="6">
        <v>128064.60737383582</v>
      </c>
      <c r="U90" s="7">
        <f>T90*DealsRawTable[[#This Row],[Contract_Years]]</f>
        <v>128064.60737383582</v>
      </c>
      <c r="V90" s="8">
        <v>0.129</v>
      </c>
      <c r="W90" s="8">
        <v>9.0999999999999998E-2</v>
      </c>
      <c r="X90" s="8">
        <v>8.9999999999999993E-3</v>
      </c>
      <c r="Y90" t="s">
        <v>905</v>
      </c>
      <c r="Z90" t="s">
        <v>879</v>
      </c>
      <c r="AA90" s="6">
        <v>116407.15643724783</v>
      </c>
      <c r="AB90" s="7">
        <f>DealsRawTable[[#This Row],[Final_Price_ACV]]*DealsRawTable[[#This Row],[Contract_Years]]</f>
        <v>116407.15643724783</v>
      </c>
      <c r="AC90" s="6">
        <v>46750.64637749437</v>
      </c>
      <c r="AD90" s="6">
        <v>69656.510059753462</v>
      </c>
      <c r="AE90" s="8">
        <v>0.59838683627070244</v>
      </c>
      <c r="AF90" t="s">
        <v>457</v>
      </c>
      <c r="AI90" t="s">
        <v>38</v>
      </c>
      <c r="AJ90" s="6">
        <v>0</v>
      </c>
      <c r="AK90" s="6">
        <v>0</v>
      </c>
      <c r="AL90" t="s">
        <v>894</v>
      </c>
      <c r="AM90">
        <f t="shared" si="2"/>
        <v>116410.73</v>
      </c>
      <c r="AN90">
        <f>DealsRawTable[[#This Row],[Validated_Annual_Final_Price]]*DealsRawTable[[#This Row],[Contract_Years]]</f>
        <v>116410.73</v>
      </c>
      <c r="AO90">
        <f>DealsRawTable[[#This Row],[Validated_Annual_Final_Price]]-DealsRawTable[[#This Row],[Cost_to_Serve]]</f>
        <v>69660.083622505626</v>
      </c>
      <c r="AP90" s="17">
        <f>DealsRawTable[[#This Row],[Validated_Grossprofit]]/DealsRawTable[[#This Row],[Validated_Annual_Final_Price]]</f>
        <v>0.59839916494386414</v>
      </c>
      <c r="AQ90" s="17">
        <v>0</v>
      </c>
      <c r="AR90" s="17">
        <v>0</v>
      </c>
      <c r="AS90" s="17">
        <v>0</v>
      </c>
      <c r="AT90" s="17">
        <v>0</v>
      </c>
      <c r="AU90" s="17" t="str">
        <f t="shared" si="3"/>
        <v>5–10%</v>
      </c>
      <c r="AV90" s="17">
        <v>116</v>
      </c>
      <c r="AW90" s="17"/>
    </row>
    <row r="91" spans="1:49">
      <c r="A91" t="s">
        <v>996</v>
      </c>
      <c r="B91" s="5">
        <v>45556</v>
      </c>
      <c r="C91" t="s">
        <v>107</v>
      </c>
      <c r="D91" t="s">
        <v>108</v>
      </c>
      <c r="E91" t="s">
        <v>509</v>
      </c>
      <c r="F91" t="s">
        <v>47</v>
      </c>
      <c r="G91" t="s">
        <v>53</v>
      </c>
      <c r="H91" t="s">
        <v>54</v>
      </c>
      <c r="I91" t="s">
        <v>55</v>
      </c>
      <c r="J91" t="s">
        <v>56</v>
      </c>
      <c r="K91" t="s">
        <v>38</v>
      </c>
      <c r="L91" s="5">
        <v>45108</v>
      </c>
      <c r="M91">
        <v>40</v>
      </c>
      <c r="N91" t="s">
        <v>427</v>
      </c>
      <c r="O91" t="s">
        <v>915</v>
      </c>
      <c r="Q91">
        <v>1</v>
      </c>
      <c r="R91">
        <v>255</v>
      </c>
      <c r="S91" t="s">
        <v>947</v>
      </c>
      <c r="T91" s="6">
        <v>128064.60737383582</v>
      </c>
      <c r="U91" s="7">
        <f>T91*DealsRawTable[[#This Row],[Contract_Years]]</f>
        <v>128064.60737383582</v>
      </c>
      <c r="V91" s="8">
        <v>0.13700000000000001</v>
      </c>
      <c r="W91" s="8">
        <v>0.13200000000000001</v>
      </c>
      <c r="X91" s="8">
        <v>-6.5000000000000002E-2</v>
      </c>
      <c r="Y91" t="s">
        <v>878</v>
      </c>
      <c r="Z91" t="s">
        <v>889</v>
      </c>
      <c r="AA91" s="6">
        <v>111213.80337522077</v>
      </c>
      <c r="AB91" s="7">
        <f>DealsRawTable[[#This Row],[Final_Price_ACV]]*DealsRawTable[[#This Row],[Contract_Years]]</f>
        <v>111213.80337522077</v>
      </c>
      <c r="AC91" s="6">
        <v>46962.878854390758</v>
      </c>
      <c r="AD91" s="6">
        <v>64250.924520830013</v>
      </c>
      <c r="AE91" s="8">
        <v>0.57772437027493639</v>
      </c>
      <c r="AF91" t="s">
        <v>457</v>
      </c>
      <c r="AI91" t="s">
        <v>44</v>
      </c>
      <c r="AJ91" s="6">
        <v>0</v>
      </c>
      <c r="AK91" s="6">
        <v>0</v>
      </c>
      <c r="AL91" t="s">
        <v>934</v>
      </c>
      <c r="AM91">
        <f t="shared" si="2"/>
        <v>111160.08</v>
      </c>
      <c r="AN91">
        <f>DealsRawTable[[#This Row],[Validated_Annual_Final_Price]]*DealsRawTable[[#This Row],[Contract_Years]]</f>
        <v>111160.08</v>
      </c>
      <c r="AO91">
        <f>DealsRawTable[[#This Row],[Validated_Annual_Final_Price]]-DealsRawTable[[#This Row],[Cost_to_Serve]]</f>
        <v>64197.201145609244</v>
      </c>
      <c r="AP91" s="17">
        <f>DealsRawTable[[#This Row],[Validated_Grossprofit]]/DealsRawTable[[#This Row],[Validated_Annual_Final_Price]]</f>
        <v>0.57752028557022672</v>
      </c>
      <c r="AQ91" s="17">
        <v>0</v>
      </c>
      <c r="AR91" s="17">
        <v>0</v>
      </c>
      <c r="AS91" s="17">
        <v>0</v>
      </c>
      <c r="AT91" s="17">
        <v>0</v>
      </c>
      <c r="AU91" s="17" t="str">
        <f t="shared" si="3"/>
        <v>10–15%</v>
      </c>
      <c r="AV91" s="17">
        <v>113</v>
      </c>
      <c r="AW91" s="17"/>
    </row>
    <row r="92" spans="1:49">
      <c r="A92" t="s">
        <v>997</v>
      </c>
      <c r="B92" s="5">
        <v>45402</v>
      </c>
      <c r="C92" t="s">
        <v>109</v>
      </c>
      <c r="D92" t="s">
        <v>110</v>
      </c>
      <c r="E92" t="s">
        <v>511</v>
      </c>
      <c r="F92" t="s">
        <v>445</v>
      </c>
      <c r="G92" t="s">
        <v>34</v>
      </c>
      <c r="H92" t="s">
        <v>48</v>
      </c>
      <c r="I92" t="s">
        <v>49</v>
      </c>
      <c r="J92" t="s">
        <v>37</v>
      </c>
      <c r="K92" t="s">
        <v>38</v>
      </c>
      <c r="L92" s="5">
        <v>44287</v>
      </c>
      <c r="M92">
        <v>72</v>
      </c>
      <c r="N92" t="s">
        <v>429</v>
      </c>
      <c r="O92" t="s">
        <v>876</v>
      </c>
      <c r="Q92">
        <v>1</v>
      </c>
      <c r="R92">
        <v>55</v>
      </c>
      <c r="S92" t="s">
        <v>947</v>
      </c>
      <c r="T92" s="6">
        <v>74635.039889024556</v>
      </c>
      <c r="U92" s="7">
        <f>T92*DealsRawTable[[#This Row],[Contract_Years]]</f>
        <v>74635.039889024556</v>
      </c>
      <c r="V92" s="8">
        <v>0.14199999999999999</v>
      </c>
      <c r="W92" s="8">
        <v>0.14099999999999999</v>
      </c>
      <c r="X92" s="8">
        <v>-0.11</v>
      </c>
      <c r="Y92" t="s">
        <v>909</v>
      </c>
      <c r="Z92" t="s">
        <v>889</v>
      </c>
      <c r="AA92" s="6">
        <v>64107.95279990913</v>
      </c>
      <c r="AB92" s="7">
        <f>DealsRawTable[[#This Row],[Final_Price_ACV]]*DealsRawTable[[#This Row],[Contract_Years]]</f>
        <v>64107.95279990913</v>
      </c>
      <c r="AC92" s="6">
        <v>24002.114117329817</v>
      </c>
      <c r="AD92" s="6">
        <v>40105.838682579313</v>
      </c>
      <c r="AE92" s="8">
        <v>0.62559849333757167</v>
      </c>
      <c r="AF92" t="s">
        <v>880</v>
      </c>
      <c r="AG92" t="s">
        <v>44</v>
      </c>
      <c r="AI92" t="s">
        <v>38</v>
      </c>
      <c r="AJ92" s="6">
        <v>64107.95279990913</v>
      </c>
      <c r="AK92" s="6">
        <v>40105.838682579313</v>
      </c>
      <c r="AL92" t="s">
        <v>881</v>
      </c>
      <c r="AM92">
        <f t="shared" si="2"/>
        <v>64111.5</v>
      </c>
      <c r="AN92">
        <f>DealsRawTable[[#This Row],[Validated_Annual_Final_Price]]*DealsRawTable[[#This Row],[Contract_Years]]</f>
        <v>64111.5</v>
      </c>
      <c r="AO92">
        <f>DealsRawTable[[#This Row],[Validated_Annual_Final_Price]]-DealsRawTable[[#This Row],[Cost_to_Serve]]</f>
        <v>40109.385882670183</v>
      </c>
      <c r="AP92" s="17">
        <f>DealsRawTable[[#This Row],[Validated_Grossprofit]]/DealsRawTable[[#This Row],[Validated_Annual_Final_Price]]</f>
        <v>0.6256192084519967</v>
      </c>
      <c r="AQ92" s="17">
        <v>64111.5</v>
      </c>
      <c r="AR92" s="17">
        <v>64111.5</v>
      </c>
      <c r="AS92" s="17">
        <v>40109.385882670183</v>
      </c>
      <c r="AT92" s="17">
        <v>0.6256192084519967</v>
      </c>
      <c r="AU92" s="17" t="str">
        <f t="shared" si="3"/>
        <v>10–15%</v>
      </c>
      <c r="AV92" s="17">
        <v>113</v>
      </c>
      <c r="AW92" s="17"/>
    </row>
    <row r="93" spans="1:49">
      <c r="A93" t="s">
        <v>998</v>
      </c>
      <c r="B93" s="5">
        <v>45767</v>
      </c>
      <c r="C93" t="s">
        <v>109</v>
      </c>
      <c r="D93" t="s">
        <v>110</v>
      </c>
      <c r="E93" t="s">
        <v>511</v>
      </c>
      <c r="F93" t="s">
        <v>445</v>
      </c>
      <c r="G93" t="s">
        <v>34</v>
      </c>
      <c r="H93" t="s">
        <v>48</v>
      </c>
      <c r="I93" t="s">
        <v>49</v>
      </c>
      <c r="J93" t="s">
        <v>37</v>
      </c>
      <c r="K93" t="s">
        <v>38</v>
      </c>
      <c r="L93" s="5">
        <v>44287</v>
      </c>
      <c r="M93">
        <v>72</v>
      </c>
      <c r="N93" t="s">
        <v>429</v>
      </c>
      <c r="O93" t="s">
        <v>876</v>
      </c>
      <c r="Q93">
        <v>1</v>
      </c>
      <c r="R93">
        <v>55</v>
      </c>
      <c r="S93" t="s">
        <v>947</v>
      </c>
      <c r="T93" s="6">
        <v>77849.189391306238</v>
      </c>
      <c r="U93" s="7">
        <f>T93*DealsRawTable[[#This Row],[Contract_Years]]</f>
        <v>77849.189391306238</v>
      </c>
      <c r="V93" s="8">
        <v>0.10299999999999999</v>
      </c>
      <c r="W93" s="8">
        <v>7.0999999999999994E-2</v>
      </c>
      <c r="X93" s="8">
        <v>-8.9999999999999993E-3</v>
      </c>
      <c r="Y93" t="s">
        <v>902</v>
      </c>
      <c r="Z93" t="s">
        <v>879</v>
      </c>
      <c r="AA93" s="6">
        <v>72314.756611578006</v>
      </c>
      <c r="AB93" s="7">
        <f>DealsRawTable[[#This Row],[Final_Price_ACV]]*DealsRawTable[[#This Row],[Contract_Years]]</f>
        <v>72314.756611578006</v>
      </c>
      <c r="AC93" s="6">
        <v>26187.223860324037</v>
      </c>
      <c r="AD93" s="6">
        <v>46127.532751253966</v>
      </c>
      <c r="AE93" s="8">
        <v>0.63787164491221815</v>
      </c>
      <c r="AF93" t="s">
        <v>457</v>
      </c>
      <c r="AG93" t="s">
        <v>38</v>
      </c>
      <c r="AI93" t="s">
        <v>38</v>
      </c>
      <c r="AJ93" s="6">
        <v>0</v>
      </c>
      <c r="AK93" s="6">
        <v>0</v>
      </c>
      <c r="AL93" t="s">
        <v>881</v>
      </c>
      <c r="AM93">
        <f t="shared" si="2"/>
        <v>72321.899999999994</v>
      </c>
      <c r="AN93">
        <f>DealsRawTable[[#This Row],[Validated_Annual_Final_Price]]*DealsRawTable[[#This Row],[Contract_Years]]</f>
        <v>72321.899999999994</v>
      </c>
      <c r="AO93">
        <f>DealsRawTable[[#This Row],[Validated_Annual_Final_Price]]-DealsRawTable[[#This Row],[Cost_to_Serve]]</f>
        <v>46134.676139675954</v>
      </c>
      <c r="AP93" s="17">
        <f>DealsRawTable[[#This Row],[Validated_Grossprofit]]/DealsRawTable[[#This Row],[Validated_Annual_Final_Price]]</f>
        <v>0.63790741310275256</v>
      </c>
      <c r="AQ93" s="17">
        <v>0</v>
      </c>
      <c r="AR93" s="17">
        <v>0</v>
      </c>
      <c r="AS93" s="17">
        <v>0</v>
      </c>
      <c r="AT93" s="17">
        <v>0</v>
      </c>
      <c r="AU93" s="17" t="str">
        <f t="shared" si="3"/>
        <v>5–10%</v>
      </c>
      <c r="AV93" s="17">
        <v>116</v>
      </c>
      <c r="AW93" s="17"/>
    </row>
    <row r="94" spans="1:49">
      <c r="A94" t="s">
        <v>999</v>
      </c>
      <c r="B94" s="5">
        <v>45892</v>
      </c>
      <c r="C94" t="s">
        <v>109</v>
      </c>
      <c r="D94" t="s">
        <v>110</v>
      </c>
      <c r="E94" t="s">
        <v>511</v>
      </c>
      <c r="F94" t="s">
        <v>445</v>
      </c>
      <c r="G94" t="s">
        <v>34</v>
      </c>
      <c r="H94" t="s">
        <v>48</v>
      </c>
      <c r="I94" t="s">
        <v>49</v>
      </c>
      <c r="J94" t="s">
        <v>37</v>
      </c>
      <c r="K94" t="s">
        <v>38</v>
      </c>
      <c r="L94" s="5">
        <v>44287</v>
      </c>
      <c r="M94">
        <v>72</v>
      </c>
      <c r="N94" t="s">
        <v>429</v>
      </c>
      <c r="O94" t="s">
        <v>915</v>
      </c>
      <c r="Q94">
        <v>1</v>
      </c>
      <c r="R94">
        <v>55</v>
      </c>
      <c r="S94" t="s">
        <v>947</v>
      </c>
      <c r="T94" s="6">
        <v>77849.189391306238</v>
      </c>
      <c r="U94" s="7">
        <f>T94*DealsRawTable[[#This Row],[Contract_Years]]</f>
        <v>77849.189391306238</v>
      </c>
      <c r="V94" s="8">
        <v>0.217</v>
      </c>
      <c r="W94" s="8">
        <v>0.19900000000000001</v>
      </c>
      <c r="X94" s="8">
        <v>-9.2999999999999999E-2</v>
      </c>
      <c r="Y94" t="s">
        <v>878</v>
      </c>
      <c r="Z94" t="s">
        <v>889</v>
      </c>
      <c r="AA94" s="6">
        <v>62385.967604455196</v>
      </c>
      <c r="AB94" s="7">
        <f>DealsRawTable[[#This Row],[Final_Price_ACV]]*DealsRawTable[[#This Row],[Contract_Years]]</f>
        <v>62385.967604455196</v>
      </c>
      <c r="AC94" s="6">
        <v>24114.843487952901</v>
      </c>
      <c r="AD94" s="6">
        <v>38271.124116502295</v>
      </c>
      <c r="AE94" s="8">
        <v>0.61345724986029104</v>
      </c>
      <c r="AF94" t="s">
        <v>880</v>
      </c>
      <c r="AI94" t="s">
        <v>44</v>
      </c>
      <c r="AJ94" s="6">
        <v>62385.967604455196</v>
      </c>
      <c r="AK94" s="6">
        <v>38271.124116502295</v>
      </c>
      <c r="AL94" t="s">
        <v>916</v>
      </c>
      <c r="AM94">
        <f t="shared" si="2"/>
        <v>62357.2</v>
      </c>
      <c r="AN94">
        <f>DealsRawTable[[#This Row],[Validated_Annual_Final_Price]]*DealsRawTable[[#This Row],[Contract_Years]]</f>
        <v>62357.2</v>
      </c>
      <c r="AO94">
        <f>DealsRawTable[[#This Row],[Validated_Annual_Final_Price]]-DealsRawTable[[#This Row],[Cost_to_Serve]]</f>
        <v>38242.356512047096</v>
      </c>
      <c r="AP94" s="17">
        <f>DealsRawTable[[#This Row],[Validated_Grossprofit]]/DealsRawTable[[#This Row],[Validated_Annual_Final_Price]]</f>
        <v>0.61327892387803007</v>
      </c>
      <c r="AQ94" s="17">
        <v>62357.2</v>
      </c>
      <c r="AR94" s="17">
        <v>62357.2</v>
      </c>
      <c r="AS94" s="17">
        <v>38242.356512047096</v>
      </c>
      <c r="AT94" s="17">
        <v>0.61327892387803007</v>
      </c>
      <c r="AU94" s="17" t="str">
        <f t="shared" si="3"/>
        <v>15–20%</v>
      </c>
      <c r="AV94" s="17">
        <v>108</v>
      </c>
      <c r="AW94" s="17"/>
    </row>
    <row r="95" spans="1:49">
      <c r="A95" t="s">
        <v>1000</v>
      </c>
      <c r="B95" s="5">
        <v>45332</v>
      </c>
      <c r="C95" t="s">
        <v>111</v>
      </c>
      <c r="D95" t="s">
        <v>112</v>
      </c>
      <c r="E95" t="s">
        <v>512</v>
      </c>
      <c r="F95" t="s">
        <v>47</v>
      </c>
      <c r="G95" t="s">
        <v>60</v>
      </c>
      <c r="H95" t="s">
        <v>54</v>
      </c>
      <c r="I95" t="s">
        <v>55</v>
      </c>
      <c r="J95" t="s">
        <v>37</v>
      </c>
      <c r="K95" t="s">
        <v>38</v>
      </c>
      <c r="L95" s="5">
        <v>43344</v>
      </c>
      <c r="M95">
        <v>53</v>
      </c>
      <c r="N95" t="s">
        <v>433</v>
      </c>
      <c r="O95" t="s">
        <v>876</v>
      </c>
      <c r="Q95">
        <v>3</v>
      </c>
      <c r="R95">
        <v>66</v>
      </c>
      <c r="S95" t="s">
        <v>877</v>
      </c>
      <c r="T95" s="6">
        <v>158972.8325734933</v>
      </c>
      <c r="U95" s="7">
        <f>T95*DealsRawTable[[#This Row],[Contract_Years]]</f>
        <v>476918.49772047991</v>
      </c>
      <c r="V95" s="8">
        <v>0.247</v>
      </c>
      <c r="W95" s="8">
        <v>0.187</v>
      </c>
      <c r="X95" s="8">
        <v>-4.3999999999999997E-2</v>
      </c>
      <c r="Y95" t="s">
        <v>878</v>
      </c>
      <c r="Z95" t="s">
        <v>889</v>
      </c>
      <c r="AA95" s="6">
        <v>129300.6997514556</v>
      </c>
      <c r="AB95" s="7">
        <f>DealsRawTable[[#This Row],[Final_Price_ACV]]*DealsRawTable[[#This Row],[Contract_Years]]</f>
        <v>387902.09925436683</v>
      </c>
      <c r="AC95" s="6">
        <v>56384.814121746713</v>
      </c>
      <c r="AD95" s="6">
        <v>72915.885629708879</v>
      </c>
      <c r="AE95" s="8">
        <v>0.56392491123303479</v>
      </c>
      <c r="AF95" t="s">
        <v>880</v>
      </c>
      <c r="AG95" t="s">
        <v>44</v>
      </c>
      <c r="AI95" t="s">
        <v>38</v>
      </c>
      <c r="AJ95" s="6">
        <v>129300.6997514556</v>
      </c>
      <c r="AK95" s="6">
        <v>72915.885629708879</v>
      </c>
      <c r="AL95" t="s">
        <v>881</v>
      </c>
      <c r="AM95">
        <f t="shared" si="2"/>
        <v>129244.91</v>
      </c>
      <c r="AN95">
        <f>DealsRawTable[[#This Row],[Validated_Annual_Final_Price]]*DealsRawTable[[#This Row],[Contract_Years]]</f>
        <v>387734.73</v>
      </c>
      <c r="AO95">
        <f>DealsRawTable[[#This Row],[Validated_Annual_Final_Price]]-DealsRawTable[[#This Row],[Cost_to_Serve]]</f>
        <v>72860.095878253283</v>
      </c>
      <c r="AP95" s="17">
        <f>DealsRawTable[[#This Row],[Validated_Grossprofit]]/DealsRawTable[[#This Row],[Validated_Annual_Final_Price]]</f>
        <v>0.56373667541919659</v>
      </c>
      <c r="AQ95" s="17">
        <v>129244.91</v>
      </c>
      <c r="AR95" s="17">
        <v>387734.73</v>
      </c>
      <c r="AS95" s="17">
        <v>72860.095878253283</v>
      </c>
      <c r="AT95" s="17">
        <v>0.56373667541919659</v>
      </c>
      <c r="AU95" s="17" t="str">
        <f t="shared" si="3"/>
        <v>15–20%</v>
      </c>
      <c r="AV95" s="17">
        <v>108</v>
      </c>
      <c r="AW95" s="17"/>
    </row>
    <row r="96" spans="1:49">
      <c r="A96" t="s">
        <v>1001</v>
      </c>
      <c r="B96" s="5">
        <v>45548</v>
      </c>
      <c r="C96" t="s">
        <v>111</v>
      </c>
      <c r="D96" t="s">
        <v>112</v>
      </c>
      <c r="E96" t="s">
        <v>513</v>
      </c>
      <c r="F96" t="s">
        <v>449</v>
      </c>
      <c r="G96" t="s">
        <v>60</v>
      </c>
      <c r="H96" t="s">
        <v>54</v>
      </c>
      <c r="I96" t="s">
        <v>55</v>
      </c>
      <c r="J96" t="s">
        <v>37</v>
      </c>
      <c r="K96" t="s">
        <v>38</v>
      </c>
      <c r="L96" s="5">
        <v>43344</v>
      </c>
      <c r="M96">
        <v>53</v>
      </c>
      <c r="N96" t="s">
        <v>433</v>
      </c>
      <c r="O96" t="s">
        <v>891</v>
      </c>
      <c r="Q96">
        <v>1</v>
      </c>
      <c r="R96">
        <v>50</v>
      </c>
      <c r="S96" t="s">
        <v>907</v>
      </c>
      <c r="T96" s="6">
        <v>128386.83447807649</v>
      </c>
      <c r="U96" s="7">
        <f>T96*DealsRawTable[[#This Row],[Contract_Years]]</f>
        <v>128386.83447807649</v>
      </c>
      <c r="V96" s="8">
        <v>0.17799999999999999</v>
      </c>
      <c r="W96" s="8">
        <v>0.14899999999999999</v>
      </c>
      <c r="X96" s="8">
        <v>-0.111</v>
      </c>
      <c r="Y96" t="s">
        <v>885</v>
      </c>
      <c r="Z96" t="s">
        <v>889</v>
      </c>
      <c r="AA96" s="6">
        <v>109234.02679034932</v>
      </c>
      <c r="AB96" s="7">
        <f>DealsRawTable[[#This Row],[Final_Price_ACV]]*DealsRawTable[[#This Row],[Contract_Years]]</f>
        <v>109234.02679034932</v>
      </c>
      <c r="AC96" s="6">
        <v>46387.803580716718</v>
      </c>
      <c r="AD96" s="6">
        <v>62846.223209632604</v>
      </c>
      <c r="AE96" s="8">
        <v>0.57533558961670528</v>
      </c>
      <c r="AF96" t="s">
        <v>457</v>
      </c>
      <c r="AI96" t="s">
        <v>38</v>
      </c>
      <c r="AJ96" s="6">
        <v>0</v>
      </c>
      <c r="AK96" s="6">
        <v>0</v>
      </c>
      <c r="AL96" t="s">
        <v>894</v>
      </c>
      <c r="AM96">
        <f t="shared" si="2"/>
        <v>109257.2</v>
      </c>
      <c r="AN96">
        <f>DealsRawTable[[#This Row],[Validated_Annual_Final_Price]]*DealsRawTable[[#This Row],[Contract_Years]]</f>
        <v>109257.2</v>
      </c>
      <c r="AO96">
        <f>DealsRawTable[[#This Row],[Validated_Annual_Final_Price]]-DealsRawTable[[#This Row],[Cost_to_Serve]]</f>
        <v>62869.396419283279</v>
      </c>
      <c r="AP96" s="17">
        <f>DealsRawTable[[#This Row],[Validated_Grossprofit]]/DealsRawTable[[#This Row],[Validated_Annual_Final_Price]]</f>
        <v>0.57542565999570994</v>
      </c>
      <c r="AQ96" s="17">
        <v>0</v>
      </c>
      <c r="AR96" s="17">
        <v>0</v>
      </c>
      <c r="AS96" s="17">
        <v>0</v>
      </c>
      <c r="AT96" s="17">
        <v>0</v>
      </c>
      <c r="AU96" s="17" t="str">
        <f t="shared" si="3"/>
        <v>10–15%</v>
      </c>
      <c r="AV96" s="17">
        <v>113</v>
      </c>
      <c r="AW96" s="17"/>
    </row>
    <row r="97" spans="1:49">
      <c r="A97" t="s">
        <v>1002</v>
      </c>
      <c r="B97" s="5">
        <v>45842</v>
      </c>
      <c r="C97" t="s">
        <v>111</v>
      </c>
      <c r="D97" t="s">
        <v>112</v>
      </c>
      <c r="E97" t="s">
        <v>514</v>
      </c>
      <c r="F97" t="s">
        <v>475</v>
      </c>
      <c r="G97" t="s">
        <v>60</v>
      </c>
      <c r="H97" t="s">
        <v>54</v>
      </c>
      <c r="I97" t="s">
        <v>55</v>
      </c>
      <c r="J97" t="s">
        <v>37</v>
      </c>
      <c r="K97" t="s">
        <v>38</v>
      </c>
      <c r="L97" s="5">
        <v>43344</v>
      </c>
      <c r="M97">
        <v>53</v>
      </c>
      <c r="N97" t="s">
        <v>433</v>
      </c>
      <c r="O97" t="s">
        <v>891</v>
      </c>
      <c r="Q97">
        <v>1</v>
      </c>
      <c r="R97">
        <v>77</v>
      </c>
      <c r="S97" t="s">
        <v>947</v>
      </c>
      <c r="T97" s="6">
        <v>129088.71913347699</v>
      </c>
      <c r="U97" s="7">
        <f>T97*DealsRawTable[[#This Row],[Contract_Years]]</f>
        <v>129088.71913347699</v>
      </c>
      <c r="V97" s="8">
        <v>0.184</v>
      </c>
      <c r="W97" s="8">
        <v>0.16800000000000001</v>
      </c>
      <c r="X97" s="8">
        <v>-0.10100000000000001</v>
      </c>
      <c r="Y97" t="s">
        <v>897</v>
      </c>
      <c r="Z97" t="s">
        <v>889</v>
      </c>
      <c r="AA97" s="6">
        <v>107440.63149439763</v>
      </c>
      <c r="AB97" s="7">
        <f>DealsRawTable[[#This Row],[Final_Price_ACV]]*DealsRawTable[[#This Row],[Contract_Years]]</f>
        <v>107440.63149439763</v>
      </c>
      <c r="AC97" s="6">
        <v>51082.764714716002</v>
      </c>
      <c r="AD97" s="6">
        <v>56357.86677968163</v>
      </c>
      <c r="AE97" s="8">
        <v>0.52454891595290321</v>
      </c>
      <c r="AF97" t="s">
        <v>457</v>
      </c>
      <c r="AI97" t="s">
        <v>38</v>
      </c>
      <c r="AJ97" s="6">
        <v>0</v>
      </c>
      <c r="AK97" s="6">
        <v>0</v>
      </c>
      <c r="AL97" t="s">
        <v>894</v>
      </c>
      <c r="AM97">
        <f t="shared" si="2"/>
        <v>107401.81</v>
      </c>
      <c r="AN97">
        <f>DealsRawTable[[#This Row],[Validated_Annual_Final_Price]]*DealsRawTable[[#This Row],[Contract_Years]]</f>
        <v>107401.81</v>
      </c>
      <c r="AO97">
        <f>DealsRawTable[[#This Row],[Validated_Annual_Final_Price]]-DealsRawTable[[#This Row],[Cost_to_Serve]]</f>
        <v>56319.045285283995</v>
      </c>
      <c r="AP97" s="17">
        <f>DealsRawTable[[#This Row],[Validated_Grossprofit]]/DealsRawTable[[#This Row],[Validated_Annual_Final_Price]]</f>
        <v>0.5243770592440109</v>
      </c>
      <c r="AQ97" s="17">
        <v>0</v>
      </c>
      <c r="AR97" s="17">
        <v>0</v>
      </c>
      <c r="AS97" s="17">
        <v>0</v>
      </c>
      <c r="AT97" s="17">
        <v>0</v>
      </c>
      <c r="AU97" s="17" t="str">
        <f t="shared" si="3"/>
        <v>15–20%</v>
      </c>
      <c r="AV97" s="17">
        <v>108</v>
      </c>
      <c r="AW97" s="17"/>
    </row>
    <row r="98" spans="1:49">
      <c r="A98" t="s">
        <v>1003</v>
      </c>
      <c r="B98" s="5">
        <v>45696</v>
      </c>
      <c r="C98" t="s">
        <v>113</v>
      </c>
      <c r="D98" t="s">
        <v>114</v>
      </c>
      <c r="E98" t="s">
        <v>515</v>
      </c>
      <c r="F98" t="s">
        <v>466</v>
      </c>
      <c r="G98" t="s">
        <v>34</v>
      </c>
      <c r="H98" t="s">
        <v>48</v>
      </c>
      <c r="I98" t="s">
        <v>115</v>
      </c>
      <c r="J98" t="s">
        <v>43</v>
      </c>
      <c r="K98" t="s">
        <v>38</v>
      </c>
      <c r="L98" s="5">
        <v>43617</v>
      </c>
      <c r="M98">
        <v>92</v>
      </c>
      <c r="N98" t="s">
        <v>424</v>
      </c>
      <c r="O98" t="s">
        <v>891</v>
      </c>
      <c r="Q98">
        <v>1</v>
      </c>
      <c r="R98">
        <v>1345</v>
      </c>
      <c r="S98" t="s">
        <v>932</v>
      </c>
      <c r="T98" s="6">
        <v>178580.6585869359</v>
      </c>
      <c r="U98" s="7">
        <f>T98*DealsRawTable[[#This Row],[Contract_Years]]</f>
        <v>178580.6585869359</v>
      </c>
      <c r="V98" s="8">
        <v>0.13200000000000001</v>
      </c>
      <c r="W98" s="8">
        <v>9.9000000000000005E-2</v>
      </c>
      <c r="X98" s="8">
        <v>5.8999999999999997E-2</v>
      </c>
      <c r="Y98" t="s">
        <v>897</v>
      </c>
      <c r="Z98" t="s">
        <v>879</v>
      </c>
      <c r="AA98" s="6">
        <v>160972.31743410538</v>
      </c>
      <c r="AB98" s="7">
        <f>DealsRawTable[[#This Row],[Final_Price_ACV]]*DealsRawTable[[#This Row],[Contract_Years]]</f>
        <v>160972.31743410538</v>
      </c>
      <c r="AC98" s="6">
        <v>56576.113406023556</v>
      </c>
      <c r="AD98" s="6">
        <v>104396.20402808182</v>
      </c>
      <c r="AE98" s="8">
        <v>0.64853513754510483</v>
      </c>
      <c r="AF98" t="s">
        <v>880</v>
      </c>
      <c r="AI98" t="s">
        <v>38</v>
      </c>
      <c r="AJ98" s="6">
        <v>160972.31743410538</v>
      </c>
      <c r="AK98" s="6">
        <v>104396.20402808182</v>
      </c>
      <c r="AL98" t="s">
        <v>894</v>
      </c>
      <c r="AM98">
        <f t="shared" si="2"/>
        <v>160901.17000000001</v>
      </c>
      <c r="AN98">
        <f>DealsRawTable[[#This Row],[Validated_Annual_Final_Price]]*DealsRawTable[[#This Row],[Contract_Years]]</f>
        <v>160901.17000000001</v>
      </c>
      <c r="AO98">
        <f>DealsRawTable[[#This Row],[Validated_Annual_Final_Price]]-DealsRawTable[[#This Row],[Cost_to_Serve]]</f>
        <v>104325.05659397645</v>
      </c>
      <c r="AP98" s="17">
        <f>DealsRawTable[[#This Row],[Validated_Grossprofit]]/DealsRawTable[[#This Row],[Validated_Annual_Final_Price]]</f>
        <v>0.64837972647418562</v>
      </c>
      <c r="AQ98" s="17">
        <v>160901.17000000001</v>
      </c>
      <c r="AR98" s="17">
        <v>160901.17000000001</v>
      </c>
      <c r="AS98" s="17">
        <v>104325.05659397645</v>
      </c>
      <c r="AT98" s="17">
        <v>0.64837972647418562</v>
      </c>
      <c r="AU98" s="17" t="str">
        <f t="shared" si="3"/>
        <v>5–10%</v>
      </c>
      <c r="AV98" s="17">
        <v>116</v>
      </c>
      <c r="AW98" s="17"/>
    </row>
    <row r="99" spans="1:49">
      <c r="A99" t="s">
        <v>1004</v>
      </c>
      <c r="B99" s="5">
        <v>45363</v>
      </c>
      <c r="C99" t="s">
        <v>113</v>
      </c>
      <c r="D99" t="s">
        <v>114</v>
      </c>
      <c r="E99" t="s">
        <v>516</v>
      </c>
      <c r="F99" t="s">
        <v>449</v>
      </c>
      <c r="G99" t="s">
        <v>34</v>
      </c>
      <c r="H99" t="s">
        <v>48</v>
      </c>
      <c r="I99" t="s">
        <v>115</v>
      </c>
      <c r="J99" t="s">
        <v>43</v>
      </c>
      <c r="K99" t="s">
        <v>38</v>
      </c>
      <c r="L99" s="5">
        <v>43617</v>
      </c>
      <c r="M99">
        <v>92</v>
      </c>
      <c r="N99" t="s">
        <v>431</v>
      </c>
      <c r="O99" t="s">
        <v>876</v>
      </c>
      <c r="Q99">
        <v>2</v>
      </c>
      <c r="R99">
        <v>1816</v>
      </c>
      <c r="S99" t="s">
        <v>892</v>
      </c>
      <c r="T99" s="6">
        <v>329201.77789723972</v>
      </c>
      <c r="U99" s="7">
        <f>T99*DealsRawTable[[#This Row],[Contract_Years]]</f>
        <v>658403.55579447944</v>
      </c>
      <c r="V99" s="8">
        <v>0.16400000000000001</v>
      </c>
      <c r="W99" s="8">
        <v>0.14399999999999999</v>
      </c>
      <c r="X99" s="8">
        <v>-5.0000000000000001E-3</v>
      </c>
      <c r="Y99" t="s">
        <v>905</v>
      </c>
      <c r="Z99" t="s">
        <v>889</v>
      </c>
      <c r="AA99" s="6">
        <v>281710.26841463475</v>
      </c>
      <c r="AB99" s="7">
        <f>DealsRawTable[[#This Row],[Final_Price_ACV]]*DealsRawTable[[#This Row],[Contract_Years]]</f>
        <v>563420.53682926949</v>
      </c>
      <c r="AC99" s="6">
        <v>117322.31219498134</v>
      </c>
      <c r="AD99" s="6">
        <v>164387.95621965342</v>
      </c>
      <c r="AE99" s="8">
        <v>0.58353554928888607</v>
      </c>
      <c r="AF99" t="s">
        <v>880</v>
      </c>
      <c r="AG99" t="s">
        <v>44</v>
      </c>
      <c r="AI99" t="s">
        <v>38</v>
      </c>
      <c r="AJ99" s="6">
        <v>281710.26841463475</v>
      </c>
      <c r="AK99" s="6">
        <v>164387.95621965342</v>
      </c>
      <c r="AL99" t="s">
        <v>881</v>
      </c>
      <c r="AM99">
        <f t="shared" si="2"/>
        <v>281796.71999999997</v>
      </c>
      <c r="AN99">
        <f>DealsRawTable[[#This Row],[Validated_Annual_Final_Price]]*DealsRawTable[[#This Row],[Contract_Years]]</f>
        <v>563593.43999999994</v>
      </c>
      <c r="AO99">
        <f>DealsRawTable[[#This Row],[Validated_Annual_Final_Price]]-DealsRawTable[[#This Row],[Cost_to_Serve]]</f>
        <v>164474.40780501865</v>
      </c>
      <c r="AP99" s="17">
        <f>DealsRawTable[[#This Row],[Validated_Grossprofit]]/DealsRawTable[[#This Row],[Validated_Annual_Final_Price]]</f>
        <v>0.58366331519053405</v>
      </c>
      <c r="AQ99" s="17">
        <v>281796.71999999997</v>
      </c>
      <c r="AR99" s="17">
        <v>563593.43999999994</v>
      </c>
      <c r="AS99" s="17">
        <v>164474.40780501865</v>
      </c>
      <c r="AT99" s="17">
        <v>0.58366331519053405</v>
      </c>
      <c r="AU99" s="17" t="str">
        <f t="shared" si="3"/>
        <v>10–15%</v>
      </c>
      <c r="AV99" s="17">
        <v>113</v>
      </c>
      <c r="AW99" s="17"/>
    </row>
    <row r="100" spans="1:49">
      <c r="A100" t="s">
        <v>1005</v>
      </c>
      <c r="B100" s="5">
        <v>45977</v>
      </c>
      <c r="C100" t="s">
        <v>116</v>
      </c>
      <c r="D100" t="s">
        <v>117</v>
      </c>
      <c r="E100" t="s">
        <v>517</v>
      </c>
      <c r="F100" t="s">
        <v>475</v>
      </c>
      <c r="G100" t="s">
        <v>60</v>
      </c>
      <c r="H100" t="s">
        <v>35</v>
      </c>
      <c r="I100" t="s">
        <v>36</v>
      </c>
      <c r="J100" t="s">
        <v>37</v>
      </c>
      <c r="K100" t="s">
        <v>38</v>
      </c>
      <c r="L100" s="5">
        <v>44075</v>
      </c>
      <c r="M100">
        <v>82</v>
      </c>
      <c r="N100" t="s">
        <v>427</v>
      </c>
      <c r="O100" t="s">
        <v>876</v>
      </c>
      <c r="Q100">
        <v>3</v>
      </c>
      <c r="R100">
        <v>64</v>
      </c>
      <c r="S100" t="s">
        <v>888</v>
      </c>
      <c r="T100" s="6">
        <v>55750.815635783678</v>
      </c>
      <c r="U100" s="7">
        <f>T100*DealsRawTable[[#This Row],[Contract_Years]]</f>
        <v>167252.44690735103</v>
      </c>
      <c r="V100" s="8">
        <v>0.16600000000000001</v>
      </c>
      <c r="W100" s="8">
        <v>0.158</v>
      </c>
      <c r="X100" s="8">
        <v>-2.3E-2</v>
      </c>
      <c r="Y100" t="s">
        <v>885</v>
      </c>
      <c r="Z100" t="s">
        <v>889</v>
      </c>
      <c r="AA100" s="6">
        <v>46959.85939006925</v>
      </c>
      <c r="AB100" s="7">
        <f>DealsRawTable[[#This Row],[Final_Price_ACV]]*DealsRawTable[[#This Row],[Contract_Years]]</f>
        <v>140879.57817020774</v>
      </c>
      <c r="AC100" s="6">
        <v>17438.326962810766</v>
      </c>
      <c r="AD100" s="6">
        <v>29521.532427258484</v>
      </c>
      <c r="AE100" s="8">
        <v>0.62865461717079796</v>
      </c>
      <c r="AF100" t="s">
        <v>880</v>
      </c>
      <c r="AG100" t="s">
        <v>44</v>
      </c>
      <c r="AI100" t="s">
        <v>38</v>
      </c>
      <c r="AJ100" s="6">
        <v>46959.85939006925</v>
      </c>
      <c r="AK100" s="6">
        <v>29521.532427258484</v>
      </c>
      <c r="AL100" t="s">
        <v>881</v>
      </c>
      <c r="AM100">
        <f t="shared" si="2"/>
        <v>46942.19</v>
      </c>
      <c r="AN100">
        <f>DealsRawTable[[#This Row],[Validated_Annual_Final_Price]]*DealsRawTable[[#This Row],[Contract_Years]]</f>
        <v>140826.57</v>
      </c>
      <c r="AO100">
        <f>DealsRawTable[[#This Row],[Validated_Annual_Final_Price]]-DealsRawTable[[#This Row],[Cost_to_Serve]]</f>
        <v>29503.863037189236</v>
      </c>
      <c r="AP100" s="17">
        <f>DealsRawTable[[#This Row],[Validated_Grossprofit]]/DealsRawTable[[#This Row],[Validated_Annual_Final_Price]]</f>
        <v>0.62851484000190949</v>
      </c>
      <c r="AQ100" s="17">
        <v>46942.19</v>
      </c>
      <c r="AR100" s="17">
        <v>140826.57</v>
      </c>
      <c r="AS100" s="17">
        <v>29503.863037189236</v>
      </c>
      <c r="AT100" s="17">
        <v>0.62851484000190949</v>
      </c>
      <c r="AU100" s="17" t="str">
        <f t="shared" si="3"/>
        <v>15–20%</v>
      </c>
      <c r="AV100" s="17">
        <v>108</v>
      </c>
      <c r="AW100" s="17"/>
    </row>
    <row r="101" spans="1:49">
      <c r="A101" t="s">
        <v>1006</v>
      </c>
      <c r="B101" s="5">
        <v>45591</v>
      </c>
      <c r="C101" t="s">
        <v>118</v>
      </c>
      <c r="D101" t="s">
        <v>119</v>
      </c>
      <c r="E101" t="s">
        <v>518</v>
      </c>
      <c r="F101" t="s">
        <v>466</v>
      </c>
      <c r="G101" t="s">
        <v>69</v>
      </c>
      <c r="H101" t="s">
        <v>54</v>
      </c>
      <c r="I101" t="s">
        <v>55</v>
      </c>
      <c r="J101" t="s">
        <v>56</v>
      </c>
      <c r="K101" t="s">
        <v>38</v>
      </c>
      <c r="L101" s="5">
        <v>43466</v>
      </c>
      <c r="M101">
        <v>54</v>
      </c>
      <c r="N101" t="s">
        <v>424</v>
      </c>
      <c r="O101" t="s">
        <v>876</v>
      </c>
      <c r="Q101">
        <v>1</v>
      </c>
      <c r="R101">
        <v>206</v>
      </c>
      <c r="S101" t="s">
        <v>932</v>
      </c>
      <c r="T101" s="6">
        <v>34843.3515377476</v>
      </c>
      <c r="U101" s="7">
        <f>T101*DealsRawTable[[#This Row],[Contract_Years]]</f>
        <v>34843.3515377476</v>
      </c>
      <c r="V101" s="8">
        <v>0.219</v>
      </c>
      <c r="W101" s="8">
        <v>0.20899999999999999</v>
      </c>
      <c r="X101" s="8">
        <v>-8.5999999999999993E-2</v>
      </c>
      <c r="Y101" t="s">
        <v>878</v>
      </c>
      <c r="Z101" t="s">
        <v>893</v>
      </c>
      <c r="AA101" s="6">
        <v>27577.373485041317</v>
      </c>
      <c r="AB101" s="7">
        <f>DealsRawTable[[#This Row],[Final_Price_ACV]]*DealsRawTable[[#This Row],[Contract_Years]]</f>
        <v>27577.373485041317</v>
      </c>
      <c r="AC101" s="6">
        <v>9106.8110010692217</v>
      </c>
      <c r="AD101" s="6">
        <v>18470.562483972095</v>
      </c>
      <c r="AE101" s="8">
        <v>0.66977235863273954</v>
      </c>
      <c r="AF101" t="s">
        <v>880</v>
      </c>
      <c r="AG101" t="s">
        <v>44</v>
      </c>
      <c r="AI101" t="s">
        <v>38</v>
      </c>
      <c r="AJ101" s="6">
        <v>27577.373485041317</v>
      </c>
      <c r="AK101" s="6">
        <v>18470.562483972095</v>
      </c>
      <c r="AL101" t="s">
        <v>881</v>
      </c>
      <c r="AM101">
        <f t="shared" si="2"/>
        <v>27561.09</v>
      </c>
      <c r="AN101">
        <f>DealsRawTable[[#This Row],[Validated_Annual_Final_Price]]*DealsRawTable[[#This Row],[Contract_Years]]</f>
        <v>27561.09</v>
      </c>
      <c r="AO101">
        <f>DealsRawTable[[#This Row],[Validated_Annual_Final_Price]]-DealsRawTable[[#This Row],[Cost_to_Serve]]</f>
        <v>18454.278998930778</v>
      </c>
      <c r="AP101" s="17">
        <f>DealsRawTable[[#This Row],[Validated_Grossprofit]]/DealsRawTable[[#This Row],[Validated_Annual_Final_Price]]</f>
        <v>0.66957725543259639</v>
      </c>
      <c r="AQ101" s="17">
        <v>27561.09</v>
      </c>
      <c r="AR101" s="17">
        <v>27561.09</v>
      </c>
      <c r="AS101" s="17">
        <v>18454.278998930778</v>
      </c>
      <c r="AT101" s="17">
        <v>0.66957725543259639</v>
      </c>
      <c r="AU101" s="17" t="str">
        <f t="shared" si="3"/>
        <v>20–25%</v>
      </c>
      <c r="AV101" s="17">
        <v>29</v>
      </c>
      <c r="AW101" s="17"/>
    </row>
    <row r="102" spans="1:49">
      <c r="A102" t="s">
        <v>1007</v>
      </c>
      <c r="B102" s="5">
        <v>45956</v>
      </c>
      <c r="C102" t="s">
        <v>118</v>
      </c>
      <c r="D102" t="s">
        <v>119</v>
      </c>
      <c r="E102" t="s">
        <v>518</v>
      </c>
      <c r="F102" t="s">
        <v>466</v>
      </c>
      <c r="G102" t="s">
        <v>69</v>
      </c>
      <c r="H102" t="s">
        <v>54</v>
      </c>
      <c r="I102" t="s">
        <v>55</v>
      </c>
      <c r="J102" t="s">
        <v>56</v>
      </c>
      <c r="K102" t="s">
        <v>38</v>
      </c>
      <c r="L102" s="5">
        <v>43466</v>
      </c>
      <c r="M102">
        <v>54</v>
      </c>
      <c r="N102" t="s">
        <v>424</v>
      </c>
      <c r="O102" t="s">
        <v>876</v>
      </c>
      <c r="Q102">
        <v>1</v>
      </c>
      <c r="R102">
        <v>206</v>
      </c>
      <c r="S102" t="s">
        <v>892</v>
      </c>
      <c r="T102" s="6">
        <v>37348.167598059837</v>
      </c>
      <c r="U102" s="7">
        <f>T102*DealsRawTable[[#This Row],[Contract_Years]]</f>
        <v>37348.167598059837</v>
      </c>
      <c r="V102" s="8">
        <v>0.185</v>
      </c>
      <c r="W102" s="8">
        <v>0.17599999999999999</v>
      </c>
      <c r="X102" s="8">
        <v>3.3000000000000002E-2</v>
      </c>
      <c r="Y102" t="s">
        <v>878</v>
      </c>
      <c r="Z102" t="s">
        <v>889</v>
      </c>
      <c r="AA102" s="6">
        <v>30768.282492842525</v>
      </c>
      <c r="AB102" s="7">
        <f>DealsRawTable[[#This Row],[Final_Price_ACV]]*DealsRawTable[[#This Row],[Contract_Years]]</f>
        <v>30768.282492842525</v>
      </c>
      <c r="AC102" s="6">
        <v>10680.367127934409</v>
      </c>
      <c r="AD102" s="6">
        <v>20087.915364908116</v>
      </c>
      <c r="AE102" s="8">
        <v>0.65287737037584304</v>
      </c>
      <c r="AF102" t="s">
        <v>880</v>
      </c>
      <c r="AG102" t="s">
        <v>44</v>
      </c>
      <c r="AI102" t="s">
        <v>38</v>
      </c>
      <c r="AJ102" s="6">
        <v>30768.282492842525</v>
      </c>
      <c r="AK102" s="6">
        <v>20087.915364908116</v>
      </c>
      <c r="AL102" t="s">
        <v>881</v>
      </c>
      <c r="AM102">
        <f t="shared" si="2"/>
        <v>30774.89</v>
      </c>
      <c r="AN102">
        <f>DealsRawTable[[#This Row],[Validated_Annual_Final_Price]]*DealsRawTable[[#This Row],[Contract_Years]]</f>
        <v>30774.89</v>
      </c>
      <c r="AO102">
        <f>DealsRawTable[[#This Row],[Validated_Annual_Final_Price]]-DealsRawTable[[#This Row],[Cost_to_Serve]]</f>
        <v>20094.52287206559</v>
      </c>
      <c r="AP102" s="17">
        <f>DealsRawTable[[#This Row],[Validated_Grossprofit]]/DealsRawTable[[#This Row],[Validated_Annual_Final_Price]]</f>
        <v>0.65295189916407792</v>
      </c>
      <c r="AQ102" s="17">
        <v>30774.89</v>
      </c>
      <c r="AR102" s="17">
        <v>30774.89</v>
      </c>
      <c r="AS102" s="17">
        <v>20094.52287206559</v>
      </c>
      <c r="AT102" s="17">
        <v>0.65295189916407792</v>
      </c>
      <c r="AU102" s="17" t="str">
        <f t="shared" si="3"/>
        <v>15–20%</v>
      </c>
      <c r="AV102" s="17">
        <v>108</v>
      </c>
      <c r="AW102" s="17"/>
    </row>
    <row r="103" spans="1:49">
      <c r="A103" t="s">
        <v>1008</v>
      </c>
      <c r="B103" s="5">
        <v>45443</v>
      </c>
      <c r="C103" t="s">
        <v>118</v>
      </c>
      <c r="D103" t="s">
        <v>119</v>
      </c>
      <c r="E103" t="s">
        <v>519</v>
      </c>
      <c r="F103" t="s">
        <v>449</v>
      </c>
      <c r="G103" t="s">
        <v>69</v>
      </c>
      <c r="H103" t="s">
        <v>54</v>
      </c>
      <c r="I103" t="s">
        <v>55</v>
      </c>
      <c r="J103" t="s">
        <v>56</v>
      </c>
      <c r="K103" t="s">
        <v>38</v>
      </c>
      <c r="L103" s="5">
        <v>43466</v>
      </c>
      <c r="M103">
        <v>54</v>
      </c>
      <c r="N103" t="s">
        <v>431</v>
      </c>
      <c r="O103" t="s">
        <v>883</v>
      </c>
      <c r="P103" t="s">
        <v>884</v>
      </c>
      <c r="Q103">
        <v>1</v>
      </c>
      <c r="R103">
        <v>178</v>
      </c>
      <c r="S103" t="s">
        <v>932</v>
      </c>
      <c r="T103" s="6">
        <v>147965.01134531447</v>
      </c>
      <c r="U103" s="7">
        <f>T103*DealsRawTable[[#This Row],[Contract_Years]]</f>
        <v>147965.01134531447</v>
      </c>
      <c r="V103" s="8">
        <v>0.107</v>
      </c>
      <c r="W103" s="8">
        <v>9.2999999999999999E-2</v>
      </c>
      <c r="X103" s="8">
        <v>-6.0000000000000001E-3</v>
      </c>
      <c r="Y103" t="s">
        <v>885</v>
      </c>
      <c r="Z103" t="s">
        <v>879</v>
      </c>
      <c r="AA103" s="6">
        <v>134245.4709872627</v>
      </c>
      <c r="AB103" s="7">
        <f>DealsRawTable[[#This Row],[Final_Price_ACV]]*DealsRawTable[[#This Row],[Contract_Years]]</f>
        <v>134245.4709872627</v>
      </c>
      <c r="AC103" s="6">
        <v>57429.428426371989</v>
      </c>
      <c r="AD103" s="6">
        <v>76816.04256089071</v>
      </c>
      <c r="AE103" s="8">
        <v>0.57220584050972612</v>
      </c>
      <c r="AF103" t="s">
        <v>880</v>
      </c>
      <c r="AH103" t="s">
        <v>44</v>
      </c>
      <c r="AI103" t="s">
        <v>38</v>
      </c>
      <c r="AJ103" s="6">
        <v>134245.4709872627</v>
      </c>
      <c r="AK103" s="6">
        <v>76816.04256089071</v>
      </c>
      <c r="AL103" t="s">
        <v>886</v>
      </c>
      <c r="AM103">
        <f t="shared" si="2"/>
        <v>134204.26999999999</v>
      </c>
      <c r="AN103">
        <f>DealsRawTable[[#This Row],[Validated_Annual_Final_Price]]*DealsRawTable[[#This Row],[Contract_Years]]</f>
        <v>134204.26999999999</v>
      </c>
      <c r="AO103">
        <f>DealsRawTable[[#This Row],[Validated_Annual_Final_Price]]-DealsRawTable[[#This Row],[Cost_to_Serve]]</f>
        <v>76774.841573628</v>
      </c>
      <c r="AP103" s="17">
        <f>DealsRawTable[[#This Row],[Validated_Grossprofit]]/DealsRawTable[[#This Row],[Validated_Annual_Final_Price]]</f>
        <v>0.57207450682178751</v>
      </c>
      <c r="AQ103" s="17">
        <v>134204.26999999999</v>
      </c>
      <c r="AR103" s="17">
        <v>134204.26999999999</v>
      </c>
      <c r="AS103" s="17">
        <v>76774.841573628</v>
      </c>
      <c r="AT103" s="17">
        <v>0.57207450682178751</v>
      </c>
      <c r="AU103" s="17" t="str">
        <f t="shared" si="3"/>
        <v>5–10%</v>
      </c>
      <c r="AV103" s="17">
        <v>116</v>
      </c>
      <c r="AW103" s="17"/>
    </row>
    <row r="104" spans="1:49">
      <c r="A104" t="s">
        <v>1009</v>
      </c>
      <c r="B104" s="5">
        <v>45629</v>
      </c>
      <c r="C104" t="s">
        <v>118</v>
      </c>
      <c r="D104" t="s">
        <v>119</v>
      </c>
      <c r="E104" t="s">
        <v>519</v>
      </c>
      <c r="F104" t="s">
        <v>449</v>
      </c>
      <c r="G104" t="s">
        <v>69</v>
      </c>
      <c r="H104" t="s">
        <v>54</v>
      </c>
      <c r="I104" t="s">
        <v>55</v>
      </c>
      <c r="J104" t="s">
        <v>56</v>
      </c>
      <c r="K104" t="s">
        <v>38</v>
      </c>
      <c r="L104" s="5">
        <v>43466</v>
      </c>
      <c r="M104">
        <v>54</v>
      </c>
      <c r="N104" t="s">
        <v>431</v>
      </c>
      <c r="O104" t="s">
        <v>876</v>
      </c>
      <c r="Q104">
        <v>1</v>
      </c>
      <c r="R104">
        <v>178</v>
      </c>
      <c r="S104" t="s">
        <v>877</v>
      </c>
      <c r="T104" s="6">
        <v>158442.39918438293</v>
      </c>
      <c r="U104" s="7">
        <f>T104*DealsRawTable[[#This Row],[Contract_Years]]</f>
        <v>158442.39918438293</v>
      </c>
      <c r="V104" s="8">
        <v>0.23200000000000001</v>
      </c>
      <c r="W104" s="8">
        <v>0.19800000000000001</v>
      </c>
      <c r="X104" s="8">
        <v>-5.5E-2</v>
      </c>
      <c r="Y104" t="s">
        <v>878</v>
      </c>
      <c r="Z104" t="s">
        <v>889</v>
      </c>
      <c r="AA104" s="6">
        <v>127081.12397269894</v>
      </c>
      <c r="AB104" s="7">
        <f>DealsRawTable[[#This Row],[Final_Price_ACV]]*DealsRawTable[[#This Row],[Contract_Years]]</f>
        <v>127081.12397269894</v>
      </c>
      <c r="AC104" s="6">
        <v>60171.886608019624</v>
      </c>
      <c r="AD104" s="6">
        <v>66909.237364679313</v>
      </c>
      <c r="AE104" s="8">
        <v>0.52650807038072422</v>
      </c>
      <c r="AF104" t="s">
        <v>457</v>
      </c>
      <c r="AG104" t="s">
        <v>38</v>
      </c>
      <c r="AI104" t="s">
        <v>38</v>
      </c>
      <c r="AJ104" s="6">
        <v>0</v>
      </c>
      <c r="AK104" s="6">
        <v>0</v>
      </c>
      <c r="AL104" t="s">
        <v>881</v>
      </c>
      <c r="AM104">
        <f t="shared" si="2"/>
        <v>127070.8</v>
      </c>
      <c r="AN104">
        <f>DealsRawTable[[#This Row],[Validated_Annual_Final_Price]]*DealsRawTable[[#This Row],[Contract_Years]]</f>
        <v>127070.8</v>
      </c>
      <c r="AO104">
        <f>DealsRawTable[[#This Row],[Validated_Annual_Final_Price]]-DealsRawTable[[#This Row],[Cost_to_Serve]]</f>
        <v>66898.913391980372</v>
      </c>
      <c r="AP104" s="17">
        <f>DealsRawTable[[#This Row],[Validated_Grossprofit]]/DealsRawTable[[#This Row],[Validated_Annual_Final_Price]]</f>
        <v>0.52646960113559027</v>
      </c>
      <c r="AQ104" s="17">
        <v>0</v>
      </c>
      <c r="AR104" s="17">
        <v>0</v>
      </c>
      <c r="AS104" s="17">
        <v>0</v>
      </c>
      <c r="AT104" s="17">
        <v>0</v>
      </c>
      <c r="AU104" s="17" t="str">
        <f t="shared" si="3"/>
        <v>15–20%</v>
      </c>
      <c r="AV104" s="17">
        <v>108</v>
      </c>
      <c r="AW104" s="17"/>
    </row>
    <row r="105" spans="1:49">
      <c r="A105" t="s">
        <v>1010</v>
      </c>
      <c r="B105" s="5">
        <v>45758</v>
      </c>
      <c r="C105" t="s">
        <v>118</v>
      </c>
      <c r="D105" t="s">
        <v>119</v>
      </c>
      <c r="E105" t="s">
        <v>519</v>
      </c>
      <c r="F105" t="s">
        <v>449</v>
      </c>
      <c r="G105" t="s">
        <v>69</v>
      </c>
      <c r="H105" t="s">
        <v>54</v>
      </c>
      <c r="I105" t="s">
        <v>55</v>
      </c>
      <c r="J105" t="s">
        <v>56</v>
      </c>
      <c r="K105" t="s">
        <v>38</v>
      </c>
      <c r="L105" s="5">
        <v>43466</v>
      </c>
      <c r="M105">
        <v>54</v>
      </c>
      <c r="N105" t="s">
        <v>431</v>
      </c>
      <c r="O105" t="s">
        <v>915</v>
      </c>
      <c r="Q105">
        <v>1</v>
      </c>
      <c r="R105">
        <v>178</v>
      </c>
      <c r="S105" t="s">
        <v>892</v>
      </c>
      <c r="T105" s="6">
        <v>158442.39918438293</v>
      </c>
      <c r="U105" s="7">
        <f>T105*DealsRawTable[[#This Row],[Contract_Years]]</f>
        <v>158442.39918438293</v>
      </c>
      <c r="V105" s="8">
        <v>0.217</v>
      </c>
      <c r="W105" s="8">
        <v>0.183</v>
      </c>
      <c r="X105" s="8">
        <v>-0.151</v>
      </c>
      <c r="Y105" t="s">
        <v>878</v>
      </c>
      <c r="Z105" t="s">
        <v>889</v>
      </c>
      <c r="AA105" s="6">
        <v>129449.27196351325</v>
      </c>
      <c r="AB105" s="7">
        <f>DealsRawTable[[#This Row],[Final_Price_ACV]]*DealsRawTable[[#This Row],[Contract_Years]]</f>
        <v>129449.27196351325</v>
      </c>
      <c r="AC105" s="6">
        <v>63049.481290722273</v>
      </c>
      <c r="AD105" s="6">
        <v>66399.790672790987</v>
      </c>
      <c r="AE105" s="8">
        <v>0.51294062659160045</v>
      </c>
      <c r="AF105" t="s">
        <v>880</v>
      </c>
      <c r="AI105" t="s">
        <v>44</v>
      </c>
      <c r="AJ105" s="6">
        <v>129449.27196351325</v>
      </c>
      <c r="AK105" s="6">
        <v>66399.790672790987</v>
      </c>
      <c r="AL105" t="s">
        <v>916</v>
      </c>
      <c r="AM105">
        <f t="shared" si="2"/>
        <v>129447.44</v>
      </c>
      <c r="AN105">
        <f>DealsRawTable[[#This Row],[Validated_Annual_Final_Price]]*DealsRawTable[[#This Row],[Contract_Years]]</f>
        <v>129447.44</v>
      </c>
      <c r="AO105">
        <f>DealsRawTable[[#This Row],[Validated_Annual_Final_Price]]-DealsRawTable[[#This Row],[Cost_to_Serve]]</f>
        <v>66397.958709277736</v>
      </c>
      <c r="AP105" s="17">
        <f>DealsRawTable[[#This Row],[Validated_Grossprofit]]/DealsRawTable[[#This Row],[Validated_Annual_Final_Price]]</f>
        <v>0.51293373363951988</v>
      </c>
      <c r="AQ105" s="17">
        <v>129447.44</v>
      </c>
      <c r="AR105" s="17">
        <v>129447.44</v>
      </c>
      <c r="AS105" s="17">
        <v>66397.958709277736</v>
      </c>
      <c r="AT105" s="17">
        <v>0.51293373363951988</v>
      </c>
      <c r="AU105" s="17" t="str">
        <f t="shared" si="3"/>
        <v>15–20%</v>
      </c>
      <c r="AV105" s="17">
        <v>108</v>
      </c>
      <c r="AW105" s="17"/>
    </row>
    <row r="106" spans="1:49">
      <c r="A106" t="s">
        <v>1011</v>
      </c>
      <c r="B106" s="5">
        <v>45858</v>
      </c>
      <c r="C106" t="s">
        <v>118</v>
      </c>
      <c r="D106" t="s">
        <v>119</v>
      </c>
      <c r="E106" t="s">
        <v>520</v>
      </c>
      <c r="F106" t="s">
        <v>47</v>
      </c>
      <c r="G106" t="s">
        <v>69</v>
      </c>
      <c r="H106" t="s">
        <v>54</v>
      </c>
      <c r="I106" t="s">
        <v>55</v>
      </c>
      <c r="J106" t="s">
        <v>56</v>
      </c>
      <c r="K106" t="s">
        <v>38</v>
      </c>
      <c r="L106" s="5">
        <v>43466</v>
      </c>
      <c r="M106">
        <v>54</v>
      </c>
      <c r="N106" t="s">
        <v>431</v>
      </c>
      <c r="O106" t="s">
        <v>876</v>
      </c>
      <c r="Q106">
        <v>2</v>
      </c>
      <c r="R106">
        <v>156</v>
      </c>
      <c r="S106" t="s">
        <v>947</v>
      </c>
      <c r="T106" s="6">
        <v>119783.39204314092</v>
      </c>
      <c r="U106" s="7">
        <f>T106*DealsRawTable[[#This Row],[Contract_Years]]</f>
        <v>239566.78408628184</v>
      </c>
      <c r="V106" s="8">
        <v>0.17100000000000001</v>
      </c>
      <c r="W106" s="8">
        <v>0.16200000000000001</v>
      </c>
      <c r="X106" s="8">
        <v>-4.9000000000000002E-2</v>
      </c>
      <c r="Y106" t="s">
        <v>878</v>
      </c>
      <c r="Z106" t="s">
        <v>889</v>
      </c>
      <c r="AA106" s="6">
        <v>100407.10836851354</v>
      </c>
      <c r="AB106" s="7">
        <f>DealsRawTable[[#This Row],[Final_Price_ACV]]*DealsRawTable[[#This Row],[Contract_Years]]</f>
        <v>200814.21673702708</v>
      </c>
      <c r="AC106" s="6">
        <v>43450.969276943528</v>
      </c>
      <c r="AD106" s="6">
        <v>56956.13909157001</v>
      </c>
      <c r="AE106" s="8">
        <v>0.56725206030762232</v>
      </c>
      <c r="AF106" t="s">
        <v>880</v>
      </c>
      <c r="AG106" t="s">
        <v>44</v>
      </c>
      <c r="AI106" t="s">
        <v>38</v>
      </c>
      <c r="AJ106" s="6">
        <v>100407.10836851354</v>
      </c>
      <c r="AK106" s="6">
        <v>56956.13909157001</v>
      </c>
      <c r="AL106" t="s">
        <v>881</v>
      </c>
      <c r="AM106">
        <f t="shared" si="2"/>
        <v>100378.48</v>
      </c>
      <c r="AN106">
        <f>DealsRawTable[[#This Row],[Validated_Annual_Final_Price]]*DealsRawTable[[#This Row],[Contract_Years]]</f>
        <v>200756.96</v>
      </c>
      <c r="AO106">
        <f>DealsRawTable[[#This Row],[Validated_Annual_Final_Price]]-DealsRawTable[[#This Row],[Cost_to_Serve]]</f>
        <v>56927.510723056468</v>
      </c>
      <c r="AP106" s="17">
        <f>DealsRawTable[[#This Row],[Validated_Grossprofit]]/DealsRawTable[[#This Row],[Validated_Annual_Final_Price]]</f>
        <v>0.56712863875859121</v>
      </c>
      <c r="AQ106" s="17">
        <v>100378.48</v>
      </c>
      <c r="AR106" s="17">
        <v>200756.96</v>
      </c>
      <c r="AS106" s="17">
        <v>56927.510723056468</v>
      </c>
      <c r="AT106" s="17">
        <v>0.56712863875859121</v>
      </c>
      <c r="AU106" s="17" t="str">
        <f t="shared" si="3"/>
        <v>15–20%</v>
      </c>
      <c r="AV106" s="17">
        <v>108</v>
      </c>
      <c r="AW106" s="17"/>
    </row>
    <row r="107" spans="1:49">
      <c r="A107" t="s">
        <v>1012</v>
      </c>
      <c r="B107" s="5">
        <v>45350</v>
      </c>
      <c r="C107" t="s">
        <v>120</v>
      </c>
      <c r="D107" t="s">
        <v>121</v>
      </c>
      <c r="E107" t="s">
        <v>521</v>
      </c>
      <c r="F107" t="s">
        <v>34</v>
      </c>
      <c r="G107" t="s">
        <v>60</v>
      </c>
      <c r="H107" t="s">
        <v>35</v>
      </c>
      <c r="I107" t="s">
        <v>36</v>
      </c>
      <c r="J107" t="s">
        <v>37</v>
      </c>
      <c r="K107" t="s">
        <v>38</v>
      </c>
      <c r="L107" s="5">
        <v>44501</v>
      </c>
      <c r="M107">
        <v>71</v>
      </c>
      <c r="N107" t="s">
        <v>429</v>
      </c>
      <c r="O107" t="s">
        <v>891</v>
      </c>
      <c r="Q107">
        <v>1</v>
      </c>
      <c r="R107">
        <v>57</v>
      </c>
      <c r="S107" t="s">
        <v>907</v>
      </c>
      <c r="T107" s="6">
        <v>65607.901596217416</v>
      </c>
      <c r="U107" s="7">
        <f>T107*DealsRawTable[[#This Row],[Contract_Years]]</f>
        <v>65607.901596217416</v>
      </c>
      <c r="V107" s="8">
        <v>0.20699999999999999</v>
      </c>
      <c r="W107" s="8">
        <v>0.16200000000000001</v>
      </c>
      <c r="X107" s="8">
        <v>7.9000000000000001E-2</v>
      </c>
      <c r="Y107" t="s">
        <v>897</v>
      </c>
      <c r="Z107" t="s">
        <v>889</v>
      </c>
      <c r="AA107" s="6">
        <v>54969.461053857987</v>
      </c>
      <c r="AB107" s="7">
        <f>DealsRawTable[[#This Row],[Final_Price_ACV]]*DealsRawTable[[#This Row],[Contract_Years]]</f>
        <v>54969.461053857987</v>
      </c>
      <c r="AC107" s="6">
        <v>23747.814061383884</v>
      </c>
      <c r="AD107" s="6">
        <v>31221.646992474103</v>
      </c>
      <c r="AE107" s="8">
        <v>0.56798168280900108</v>
      </c>
      <c r="AF107" t="s">
        <v>457</v>
      </c>
      <c r="AI107" t="s">
        <v>38</v>
      </c>
      <c r="AJ107" s="6">
        <v>0</v>
      </c>
      <c r="AK107" s="6">
        <v>0</v>
      </c>
      <c r="AL107" t="s">
        <v>894</v>
      </c>
      <c r="AM107">
        <f t="shared" si="2"/>
        <v>54979.42</v>
      </c>
      <c r="AN107">
        <f>DealsRawTable[[#This Row],[Validated_Annual_Final_Price]]*DealsRawTable[[#This Row],[Contract_Years]]</f>
        <v>54979.42</v>
      </c>
      <c r="AO107">
        <f>DealsRawTable[[#This Row],[Validated_Annual_Final_Price]]-DealsRawTable[[#This Row],[Cost_to_Serve]]</f>
        <v>31231.605938616114</v>
      </c>
      <c r="AP107" s="17">
        <f>DealsRawTable[[#This Row],[Validated_Grossprofit]]/DealsRawTable[[#This Row],[Validated_Annual_Final_Price]]</f>
        <v>0.56805993840269897</v>
      </c>
      <c r="AQ107" s="17">
        <v>0</v>
      </c>
      <c r="AR107" s="17">
        <v>0</v>
      </c>
      <c r="AS107" s="17">
        <v>0</v>
      </c>
      <c r="AT107" s="17">
        <v>0</v>
      </c>
      <c r="AU107" s="17" t="str">
        <f t="shared" si="3"/>
        <v>15–20%</v>
      </c>
      <c r="AV107" s="17">
        <v>108</v>
      </c>
      <c r="AW107" s="17"/>
    </row>
    <row r="108" spans="1:49">
      <c r="A108" t="s">
        <v>1013</v>
      </c>
      <c r="B108" s="5">
        <v>45657</v>
      </c>
      <c r="C108" t="s">
        <v>122</v>
      </c>
      <c r="D108" t="s">
        <v>123</v>
      </c>
      <c r="E108" t="s">
        <v>522</v>
      </c>
      <c r="F108" t="s">
        <v>445</v>
      </c>
      <c r="G108" t="s">
        <v>47</v>
      </c>
      <c r="H108" t="s">
        <v>54</v>
      </c>
      <c r="I108" t="s">
        <v>55</v>
      </c>
      <c r="J108" t="s">
        <v>37</v>
      </c>
      <c r="K108" t="s">
        <v>38</v>
      </c>
      <c r="L108" s="5">
        <v>43647</v>
      </c>
      <c r="M108">
        <v>91</v>
      </c>
      <c r="N108" t="s">
        <v>427</v>
      </c>
      <c r="O108" t="s">
        <v>891</v>
      </c>
      <c r="Q108">
        <v>1</v>
      </c>
      <c r="R108">
        <v>66</v>
      </c>
      <c r="S108" t="s">
        <v>900</v>
      </c>
      <c r="T108" s="6">
        <v>49889.96340066391</v>
      </c>
      <c r="U108" s="7">
        <f>T108*DealsRawTable[[#This Row],[Contract_Years]]</f>
        <v>49889.96340066391</v>
      </c>
      <c r="V108" s="8">
        <v>0.188</v>
      </c>
      <c r="W108" s="8">
        <v>0.17399999999999999</v>
      </c>
      <c r="X108" s="8">
        <v>1.4E-2</v>
      </c>
      <c r="Y108" t="s">
        <v>897</v>
      </c>
      <c r="Z108" t="s">
        <v>889</v>
      </c>
      <c r="AA108" s="6">
        <v>41184.884448973826</v>
      </c>
      <c r="AB108" s="7">
        <f>DealsRawTable[[#This Row],[Final_Price_ACV]]*DealsRawTable[[#This Row],[Contract_Years]]</f>
        <v>41184.884448973826</v>
      </c>
      <c r="AC108" s="6">
        <v>18015.806146585652</v>
      </c>
      <c r="AD108" s="6">
        <v>23169.078302388174</v>
      </c>
      <c r="AE108" s="8">
        <v>0.56256266376305109</v>
      </c>
      <c r="AF108" t="s">
        <v>457</v>
      </c>
      <c r="AI108" t="s">
        <v>38</v>
      </c>
      <c r="AJ108" s="6">
        <v>0</v>
      </c>
      <c r="AK108" s="6">
        <v>0</v>
      </c>
      <c r="AL108" t="s">
        <v>894</v>
      </c>
      <c r="AM108">
        <f t="shared" si="2"/>
        <v>41209.11</v>
      </c>
      <c r="AN108">
        <f>DealsRawTable[[#This Row],[Validated_Annual_Final_Price]]*DealsRawTable[[#This Row],[Contract_Years]]</f>
        <v>41209.11</v>
      </c>
      <c r="AO108">
        <f>DealsRawTable[[#This Row],[Validated_Annual_Final_Price]]-DealsRawTable[[#This Row],[Cost_to_Serve]]</f>
        <v>23193.303853414349</v>
      </c>
      <c r="AP108" s="17">
        <f>DealsRawTable[[#This Row],[Validated_Grossprofit]]/DealsRawTable[[#This Row],[Validated_Annual_Final_Price]]</f>
        <v>0.56281981953539761</v>
      </c>
      <c r="AQ108" s="17">
        <v>0</v>
      </c>
      <c r="AR108" s="17">
        <v>0</v>
      </c>
      <c r="AS108" s="17">
        <v>0</v>
      </c>
      <c r="AT108" s="17">
        <v>0</v>
      </c>
      <c r="AU108" s="17" t="str">
        <f t="shared" si="3"/>
        <v>15–20%</v>
      </c>
      <c r="AV108" s="17">
        <v>108</v>
      </c>
      <c r="AW108" s="17"/>
    </row>
    <row r="109" spans="1:49">
      <c r="A109" t="s">
        <v>1014</v>
      </c>
      <c r="B109" s="5">
        <v>45945</v>
      </c>
      <c r="C109" t="s">
        <v>122</v>
      </c>
      <c r="D109" t="s">
        <v>123</v>
      </c>
      <c r="E109" t="s">
        <v>522</v>
      </c>
      <c r="F109" t="s">
        <v>445</v>
      </c>
      <c r="G109" t="s">
        <v>47</v>
      </c>
      <c r="H109" t="s">
        <v>54</v>
      </c>
      <c r="I109" t="s">
        <v>55</v>
      </c>
      <c r="J109" t="s">
        <v>37</v>
      </c>
      <c r="K109" t="s">
        <v>38</v>
      </c>
      <c r="L109" s="5">
        <v>43647</v>
      </c>
      <c r="M109">
        <v>91</v>
      </c>
      <c r="N109" t="s">
        <v>427</v>
      </c>
      <c r="O109" t="s">
        <v>915</v>
      </c>
      <c r="Q109">
        <v>1</v>
      </c>
      <c r="R109">
        <v>66</v>
      </c>
      <c r="S109" t="s">
        <v>947</v>
      </c>
      <c r="T109" s="6">
        <v>49889.96340066391</v>
      </c>
      <c r="U109" s="7">
        <f>T109*DealsRawTable[[#This Row],[Contract_Years]]</f>
        <v>49889.96340066391</v>
      </c>
      <c r="V109" s="8">
        <v>0.23400000000000001</v>
      </c>
      <c r="W109" s="8">
        <v>0.20499999999999999</v>
      </c>
      <c r="X109" s="8">
        <v>-4.8000000000000001E-2</v>
      </c>
      <c r="Y109" t="s">
        <v>878</v>
      </c>
      <c r="Z109" t="s">
        <v>893</v>
      </c>
      <c r="AA109" s="6">
        <v>39677.351631452206</v>
      </c>
      <c r="AB109" s="7">
        <f>DealsRawTable[[#This Row],[Final_Price_ACV]]*DealsRawTable[[#This Row],[Contract_Years]]</f>
        <v>39677.351631452206</v>
      </c>
      <c r="AC109" s="6">
        <v>17788.346732144881</v>
      </c>
      <c r="AD109" s="6">
        <v>21889.004899307325</v>
      </c>
      <c r="AE109" s="8">
        <v>0.55167504884463936</v>
      </c>
      <c r="AF109" t="s">
        <v>457</v>
      </c>
      <c r="AI109" t="s">
        <v>44</v>
      </c>
      <c r="AJ109" s="6">
        <v>0</v>
      </c>
      <c r="AK109" s="6">
        <v>0</v>
      </c>
      <c r="AL109" t="s">
        <v>934</v>
      </c>
      <c r="AM109">
        <f t="shared" si="2"/>
        <v>39662.519999999997</v>
      </c>
      <c r="AN109">
        <f>DealsRawTable[[#This Row],[Validated_Annual_Final_Price]]*DealsRawTable[[#This Row],[Contract_Years]]</f>
        <v>39662.519999999997</v>
      </c>
      <c r="AO109">
        <f>DealsRawTable[[#This Row],[Validated_Annual_Final_Price]]-DealsRawTable[[#This Row],[Cost_to_Serve]]</f>
        <v>21874.173267855116</v>
      </c>
      <c r="AP109" s="17">
        <f>DealsRawTable[[#This Row],[Validated_Grossprofit]]/DealsRawTable[[#This Row],[Validated_Annual_Final_Price]]</f>
        <v>0.55150739962703121</v>
      </c>
      <c r="AQ109" s="17">
        <v>0</v>
      </c>
      <c r="AR109" s="17">
        <v>0</v>
      </c>
      <c r="AS109" s="17">
        <v>0</v>
      </c>
      <c r="AT109" s="17">
        <v>0</v>
      </c>
      <c r="AU109" s="17" t="str">
        <f t="shared" si="3"/>
        <v>20–25%</v>
      </c>
      <c r="AV109" s="17">
        <v>29</v>
      </c>
      <c r="AW109" s="17"/>
    </row>
    <row r="110" spans="1:49">
      <c r="A110" t="s">
        <v>1015</v>
      </c>
      <c r="B110" s="5">
        <v>45722</v>
      </c>
      <c r="C110" t="s">
        <v>124</v>
      </c>
      <c r="D110" t="s">
        <v>125</v>
      </c>
      <c r="E110" t="s">
        <v>523</v>
      </c>
      <c r="F110" t="s">
        <v>466</v>
      </c>
      <c r="G110" t="s">
        <v>34</v>
      </c>
      <c r="H110" t="s">
        <v>54</v>
      </c>
      <c r="I110" t="s">
        <v>55</v>
      </c>
      <c r="J110" t="s">
        <v>56</v>
      </c>
      <c r="K110" t="s">
        <v>38</v>
      </c>
      <c r="L110" s="5">
        <v>44531</v>
      </c>
      <c r="M110">
        <v>61</v>
      </c>
      <c r="N110" t="s">
        <v>433</v>
      </c>
      <c r="O110" t="s">
        <v>891</v>
      </c>
      <c r="Q110">
        <v>1</v>
      </c>
      <c r="R110">
        <v>311</v>
      </c>
      <c r="S110" t="s">
        <v>907</v>
      </c>
      <c r="T110" s="6">
        <v>238838.39611433915</v>
      </c>
      <c r="U110" s="7">
        <f>T110*DealsRawTable[[#This Row],[Contract_Years]]</f>
        <v>238838.39611433915</v>
      </c>
      <c r="V110" s="8">
        <v>0.158</v>
      </c>
      <c r="W110" s="8">
        <v>0.13100000000000001</v>
      </c>
      <c r="X110" s="8">
        <v>-1.2999999999999999E-2</v>
      </c>
      <c r="Y110" t="s">
        <v>878</v>
      </c>
      <c r="Z110" t="s">
        <v>889</v>
      </c>
      <c r="AA110" s="6">
        <v>207488.17816269211</v>
      </c>
      <c r="AB110" s="7">
        <f>DealsRawTable[[#This Row],[Final_Price_ACV]]*DealsRawTable[[#This Row],[Contract_Years]]</f>
        <v>207488.17816269211</v>
      </c>
      <c r="AC110" s="6">
        <v>99306.255271969785</v>
      </c>
      <c r="AD110" s="6">
        <v>108181.92289072233</v>
      </c>
      <c r="AE110" s="8">
        <v>0.52138836944192812</v>
      </c>
      <c r="AF110" t="s">
        <v>457</v>
      </c>
      <c r="AI110" t="s">
        <v>38</v>
      </c>
      <c r="AJ110" s="6">
        <v>0</v>
      </c>
      <c r="AK110" s="6">
        <v>0</v>
      </c>
      <c r="AL110" t="s">
        <v>894</v>
      </c>
      <c r="AM110">
        <f t="shared" si="2"/>
        <v>207550.57</v>
      </c>
      <c r="AN110">
        <f>DealsRawTable[[#This Row],[Validated_Annual_Final_Price]]*DealsRawTable[[#This Row],[Contract_Years]]</f>
        <v>207550.57</v>
      </c>
      <c r="AO110">
        <f>DealsRawTable[[#This Row],[Validated_Annual_Final_Price]]-DealsRawTable[[#This Row],[Cost_to_Serve]]</f>
        <v>108244.31472803022</v>
      </c>
      <c r="AP110" s="17">
        <f>DealsRawTable[[#This Row],[Validated_Grossprofit]]/DealsRawTable[[#This Row],[Validated_Annual_Final_Price]]</f>
        <v>0.5215322450236114</v>
      </c>
      <c r="AQ110" s="17">
        <v>0</v>
      </c>
      <c r="AR110" s="17">
        <v>0</v>
      </c>
      <c r="AS110" s="17">
        <v>0</v>
      </c>
      <c r="AT110" s="17">
        <v>0</v>
      </c>
      <c r="AU110" s="17" t="str">
        <f t="shared" si="3"/>
        <v>10–15%</v>
      </c>
      <c r="AV110" s="17">
        <v>113</v>
      </c>
      <c r="AW110" s="17"/>
    </row>
    <row r="111" spans="1:49">
      <c r="A111" t="s">
        <v>1016</v>
      </c>
      <c r="B111" s="5">
        <v>45814</v>
      </c>
      <c r="C111" t="s">
        <v>124</v>
      </c>
      <c r="D111" t="s">
        <v>125</v>
      </c>
      <c r="E111" t="s">
        <v>524</v>
      </c>
      <c r="F111" t="s">
        <v>34</v>
      </c>
      <c r="G111" t="s">
        <v>34</v>
      </c>
      <c r="H111" t="s">
        <v>54</v>
      </c>
      <c r="I111" t="s">
        <v>55</v>
      </c>
      <c r="J111" t="s">
        <v>56</v>
      </c>
      <c r="K111" t="s">
        <v>38</v>
      </c>
      <c r="L111" s="5">
        <v>44531</v>
      </c>
      <c r="M111">
        <v>61</v>
      </c>
      <c r="N111" t="s">
        <v>433</v>
      </c>
      <c r="O111" t="s">
        <v>883</v>
      </c>
      <c r="P111" t="s">
        <v>884</v>
      </c>
      <c r="Q111">
        <v>3</v>
      </c>
      <c r="R111">
        <v>353</v>
      </c>
      <c r="S111" t="s">
        <v>892</v>
      </c>
      <c r="T111" s="6">
        <v>245840.6214233248</v>
      </c>
      <c r="U111" s="7">
        <f>T111*DealsRawTable[[#This Row],[Contract_Years]]</f>
        <v>737521.86426997441</v>
      </c>
      <c r="V111" s="8">
        <v>0.129</v>
      </c>
      <c r="W111" s="8">
        <v>0.104</v>
      </c>
      <c r="X111" s="8">
        <v>6.2E-2</v>
      </c>
      <c r="Y111" t="s">
        <v>885</v>
      </c>
      <c r="Z111" t="s">
        <v>889</v>
      </c>
      <c r="AA111" s="6">
        <v>220182.1179302377</v>
      </c>
      <c r="AB111" s="7">
        <f>DealsRawTable[[#This Row],[Final_Price_ACV]]*DealsRawTable[[#This Row],[Contract_Years]]</f>
        <v>660546.35379071312</v>
      </c>
      <c r="AC111" s="6">
        <v>93762.539793824311</v>
      </c>
      <c r="AD111" s="6">
        <v>126419.57813641339</v>
      </c>
      <c r="AE111" s="8">
        <v>0.57415915209094337</v>
      </c>
      <c r="AF111" t="s">
        <v>880</v>
      </c>
      <c r="AH111" t="s">
        <v>44</v>
      </c>
      <c r="AI111" t="s">
        <v>38</v>
      </c>
      <c r="AJ111" s="6">
        <v>220182.1179302377</v>
      </c>
      <c r="AK111" s="6">
        <v>126419.57813641339</v>
      </c>
      <c r="AL111" t="s">
        <v>886</v>
      </c>
      <c r="AM111">
        <f t="shared" si="2"/>
        <v>220273.2</v>
      </c>
      <c r="AN111">
        <f>DealsRawTable[[#This Row],[Validated_Annual_Final_Price]]*DealsRawTable[[#This Row],[Contract_Years]]</f>
        <v>660819.60000000009</v>
      </c>
      <c r="AO111">
        <f>DealsRawTable[[#This Row],[Validated_Annual_Final_Price]]-DealsRawTable[[#This Row],[Cost_to_Serve]]</f>
        <v>126510.6602061757</v>
      </c>
      <c r="AP111" s="17">
        <f>DealsRawTable[[#This Row],[Validated_Grossprofit]]/DealsRawTable[[#This Row],[Validated_Annual_Final_Price]]</f>
        <v>0.5743352355446586</v>
      </c>
      <c r="AQ111" s="17">
        <v>220273.2</v>
      </c>
      <c r="AR111" s="17">
        <v>660819.60000000009</v>
      </c>
      <c r="AS111" s="17">
        <v>126510.6602061757</v>
      </c>
      <c r="AT111" s="17">
        <v>0.5743352355446586</v>
      </c>
      <c r="AU111" s="17" t="str">
        <f t="shared" si="3"/>
        <v>10–15%</v>
      </c>
      <c r="AV111" s="17">
        <v>113</v>
      </c>
      <c r="AW111" s="17"/>
    </row>
    <row r="112" spans="1:49">
      <c r="A112" t="s">
        <v>1017</v>
      </c>
      <c r="B112" s="5">
        <v>45923</v>
      </c>
      <c r="C112" t="s">
        <v>124</v>
      </c>
      <c r="D112" t="s">
        <v>125</v>
      </c>
      <c r="E112" t="s">
        <v>524</v>
      </c>
      <c r="F112" t="s">
        <v>34</v>
      </c>
      <c r="G112" t="s">
        <v>34</v>
      </c>
      <c r="H112" t="s">
        <v>54</v>
      </c>
      <c r="I112" t="s">
        <v>55</v>
      </c>
      <c r="J112" t="s">
        <v>56</v>
      </c>
      <c r="K112" t="s">
        <v>38</v>
      </c>
      <c r="L112" s="5">
        <v>44531</v>
      </c>
      <c r="M112">
        <v>61</v>
      </c>
      <c r="N112" t="s">
        <v>433</v>
      </c>
      <c r="O112" t="s">
        <v>876</v>
      </c>
      <c r="Q112">
        <v>3</v>
      </c>
      <c r="R112">
        <v>353</v>
      </c>
      <c r="S112" t="s">
        <v>900</v>
      </c>
      <c r="T112" s="6">
        <v>258090.22575544225</v>
      </c>
      <c r="U112" s="7">
        <f>T112*DealsRawTable[[#This Row],[Contract_Years]]</f>
        <v>774270.67726632673</v>
      </c>
      <c r="V112" s="8">
        <v>2.8000000000000001E-2</v>
      </c>
      <c r="W112" s="8">
        <v>1.4E-2</v>
      </c>
      <c r="X112" s="8">
        <v>-6.0999999999999999E-2</v>
      </c>
      <c r="Y112" t="s">
        <v>878</v>
      </c>
      <c r="Z112" t="s">
        <v>879</v>
      </c>
      <c r="AA112" s="6">
        <v>254364.47817631791</v>
      </c>
      <c r="AB112" s="7">
        <f>DealsRawTable[[#This Row],[Final_Price_ACV]]*DealsRawTable[[#This Row],[Contract_Years]]</f>
        <v>763093.43452895375</v>
      </c>
      <c r="AC112" s="6">
        <v>101504.69850481783</v>
      </c>
      <c r="AD112" s="6">
        <v>152859.77967150009</v>
      </c>
      <c r="AE112" s="8">
        <v>0.60094782403359881</v>
      </c>
      <c r="AF112" t="s">
        <v>880</v>
      </c>
      <c r="AG112" t="s">
        <v>44</v>
      </c>
      <c r="AI112" t="s">
        <v>38</v>
      </c>
      <c r="AJ112" s="6">
        <v>254364.47817631791</v>
      </c>
      <c r="AK112" s="6">
        <v>152859.77967150009</v>
      </c>
      <c r="AL112" t="s">
        <v>881</v>
      </c>
      <c r="AM112">
        <f t="shared" si="2"/>
        <v>254476.96</v>
      </c>
      <c r="AN112">
        <f>DealsRawTable[[#This Row],[Validated_Annual_Final_Price]]*DealsRawTable[[#This Row],[Contract_Years]]</f>
        <v>763430.88</v>
      </c>
      <c r="AO112">
        <f>DealsRawTable[[#This Row],[Validated_Annual_Final_Price]]-DealsRawTable[[#This Row],[Cost_to_Serve]]</f>
        <v>152972.26149518217</v>
      </c>
      <c r="AP112" s="17">
        <f>DealsRawTable[[#This Row],[Validated_Grossprofit]]/DealsRawTable[[#This Row],[Validated_Annual_Final_Price]]</f>
        <v>0.60112420981130155</v>
      </c>
      <c r="AQ112" s="17">
        <v>254476.96</v>
      </c>
      <c r="AR112" s="17">
        <v>763430.88</v>
      </c>
      <c r="AS112" s="17">
        <v>152972.26149518217</v>
      </c>
      <c r="AT112" s="17">
        <v>0.60112420981130155</v>
      </c>
      <c r="AU112" s="17" t="str">
        <f t="shared" si="3"/>
        <v>0–5%</v>
      </c>
      <c r="AV112" s="17">
        <v>55</v>
      </c>
      <c r="AW112" s="17"/>
    </row>
    <row r="113" spans="1:49">
      <c r="A113" t="s">
        <v>1018</v>
      </c>
      <c r="B113" s="5">
        <v>45502</v>
      </c>
      <c r="C113" t="s">
        <v>126</v>
      </c>
      <c r="D113" t="s">
        <v>127</v>
      </c>
      <c r="E113" t="s">
        <v>525</v>
      </c>
      <c r="F113" t="s">
        <v>34</v>
      </c>
      <c r="G113" t="s">
        <v>47</v>
      </c>
      <c r="H113" t="s">
        <v>48</v>
      </c>
      <c r="I113" t="s">
        <v>49</v>
      </c>
      <c r="J113" t="s">
        <v>56</v>
      </c>
      <c r="K113" t="s">
        <v>38</v>
      </c>
      <c r="L113" s="5">
        <v>44531</v>
      </c>
      <c r="M113">
        <v>70</v>
      </c>
      <c r="N113" t="s">
        <v>429</v>
      </c>
      <c r="O113" t="s">
        <v>883</v>
      </c>
      <c r="P113" t="s">
        <v>951</v>
      </c>
      <c r="Q113">
        <v>1</v>
      </c>
      <c r="R113">
        <v>281</v>
      </c>
      <c r="S113" t="s">
        <v>877</v>
      </c>
      <c r="T113" s="6">
        <v>114895.83925241933</v>
      </c>
      <c r="U113" s="7">
        <f>T113*DealsRawTable[[#This Row],[Contract_Years]]</f>
        <v>114895.83925241933</v>
      </c>
      <c r="V113" s="8">
        <v>0.245</v>
      </c>
      <c r="W113" s="8">
        <v>0.222</v>
      </c>
      <c r="X113" s="8">
        <v>-6.3E-2</v>
      </c>
      <c r="Y113" t="s">
        <v>885</v>
      </c>
      <c r="Z113" t="s">
        <v>893</v>
      </c>
      <c r="AA113" s="6">
        <v>89344.374617015841</v>
      </c>
      <c r="AB113" s="7">
        <f>DealsRawTable[[#This Row],[Final_Price_ACV]]*DealsRawTable[[#This Row],[Contract_Years]]</f>
        <v>89344.374617015841</v>
      </c>
      <c r="AC113" s="6">
        <v>39828.317195075128</v>
      </c>
      <c r="AD113" s="6">
        <v>49516.057421940714</v>
      </c>
      <c r="AE113" s="8">
        <v>0.55421572577116973</v>
      </c>
      <c r="AF113" t="s">
        <v>457</v>
      </c>
      <c r="AH113" t="s">
        <v>38</v>
      </c>
      <c r="AI113" t="s">
        <v>38</v>
      </c>
      <c r="AJ113" s="6">
        <v>0</v>
      </c>
      <c r="AK113" s="6">
        <v>0</v>
      </c>
      <c r="AL113" t="s">
        <v>886</v>
      </c>
      <c r="AM113">
        <f t="shared" si="2"/>
        <v>89388.96</v>
      </c>
      <c r="AN113">
        <f>DealsRawTable[[#This Row],[Validated_Annual_Final_Price]]*DealsRawTable[[#This Row],[Contract_Years]]</f>
        <v>89388.96</v>
      </c>
      <c r="AO113">
        <f>DealsRawTable[[#This Row],[Validated_Annual_Final_Price]]-DealsRawTable[[#This Row],[Cost_to_Serve]]</f>
        <v>49560.642804924879</v>
      </c>
      <c r="AP113" s="17">
        <f>DealsRawTable[[#This Row],[Validated_Grossprofit]]/DealsRawTable[[#This Row],[Validated_Annual_Final_Price]]</f>
        <v>0.55443807383959809</v>
      </c>
      <c r="AQ113" s="17">
        <v>0</v>
      </c>
      <c r="AR113" s="17">
        <v>0</v>
      </c>
      <c r="AS113" s="17">
        <v>0</v>
      </c>
      <c r="AT113" s="17">
        <v>0</v>
      </c>
      <c r="AU113" s="17" t="str">
        <f t="shared" si="3"/>
        <v>20–25%</v>
      </c>
      <c r="AV113" s="17">
        <v>29</v>
      </c>
      <c r="AW113" s="17"/>
    </row>
    <row r="114" spans="1:49">
      <c r="A114" t="s">
        <v>1019</v>
      </c>
      <c r="B114" s="5">
        <v>45604</v>
      </c>
      <c r="C114" t="s">
        <v>126</v>
      </c>
      <c r="D114" t="s">
        <v>127</v>
      </c>
      <c r="E114" t="s">
        <v>525</v>
      </c>
      <c r="F114" t="s">
        <v>34</v>
      </c>
      <c r="G114" t="s">
        <v>47</v>
      </c>
      <c r="H114" t="s">
        <v>48</v>
      </c>
      <c r="I114" t="s">
        <v>49</v>
      </c>
      <c r="J114" t="s">
        <v>56</v>
      </c>
      <c r="K114" t="s">
        <v>38</v>
      </c>
      <c r="L114" s="5">
        <v>44531</v>
      </c>
      <c r="M114">
        <v>70</v>
      </c>
      <c r="N114" t="s">
        <v>429</v>
      </c>
      <c r="O114" t="s">
        <v>876</v>
      </c>
      <c r="Q114">
        <v>1</v>
      </c>
      <c r="R114">
        <v>200</v>
      </c>
      <c r="S114" t="s">
        <v>877</v>
      </c>
      <c r="T114" s="6">
        <v>99627.673419281302</v>
      </c>
      <c r="U114" s="7">
        <f>T114*DealsRawTable[[#This Row],[Contract_Years]]</f>
        <v>99627.673419281302</v>
      </c>
      <c r="V114" s="8">
        <v>0.16400000000000001</v>
      </c>
      <c r="W114" s="8">
        <v>0.128</v>
      </c>
      <c r="X114" s="8">
        <v>-0.108</v>
      </c>
      <c r="Y114" t="s">
        <v>902</v>
      </c>
      <c r="Z114" t="s">
        <v>889</v>
      </c>
      <c r="AA114" s="6">
        <v>86888.416666757665</v>
      </c>
      <c r="AB114" s="7">
        <f>DealsRawTable[[#This Row],[Final_Price_ACV]]*DealsRawTable[[#This Row],[Contract_Years]]</f>
        <v>86888.416666757665</v>
      </c>
      <c r="AC114" s="6">
        <v>39015.98364203157</v>
      </c>
      <c r="AD114" s="6">
        <v>47872.433024726095</v>
      </c>
      <c r="AE114" s="8">
        <v>0.5509644997713653</v>
      </c>
      <c r="AF114" t="s">
        <v>880</v>
      </c>
      <c r="AG114" t="s">
        <v>44</v>
      </c>
      <c r="AI114" t="s">
        <v>38</v>
      </c>
      <c r="AJ114" s="6">
        <v>86888.416666757665</v>
      </c>
      <c r="AK114" s="6">
        <v>47872.433024726095</v>
      </c>
      <c r="AL114" t="s">
        <v>881</v>
      </c>
      <c r="AM114">
        <f t="shared" si="2"/>
        <v>86875.33</v>
      </c>
      <c r="AN114">
        <f>DealsRawTable[[#This Row],[Validated_Annual_Final_Price]]*DealsRawTable[[#This Row],[Contract_Years]]</f>
        <v>86875.33</v>
      </c>
      <c r="AO114">
        <f>DealsRawTable[[#This Row],[Validated_Annual_Final_Price]]-DealsRawTable[[#This Row],[Cost_to_Serve]]</f>
        <v>47859.346357968432</v>
      </c>
      <c r="AP114" s="17">
        <f>DealsRawTable[[#This Row],[Validated_Grossprofit]]/DealsRawTable[[#This Row],[Validated_Annual_Final_Price]]</f>
        <v>0.55089685826768575</v>
      </c>
      <c r="AQ114" s="17">
        <v>86875.33</v>
      </c>
      <c r="AR114" s="17">
        <v>86875.33</v>
      </c>
      <c r="AS114" s="17">
        <v>47859.346357968432</v>
      </c>
      <c r="AT114" s="17">
        <v>0.55089685826768575</v>
      </c>
      <c r="AU114" s="17" t="str">
        <f t="shared" si="3"/>
        <v>10–15%</v>
      </c>
      <c r="AV114" s="17">
        <v>113</v>
      </c>
      <c r="AW114" s="17"/>
    </row>
    <row r="115" spans="1:49">
      <c r="A115" t="s">
        <v>1020</v>
      </c>
      <c r="B115" s="5">
        <v>45969</v>
      </c>
      <c r="C115" t="s">
        <v>126</v>
      </c>
      <c r="D115" t="s">
        <v>127</v>
      </c>
      <c r="E115" t="s">
        <v>525</v>
      </c>
      <c r="F115" t="s">
        <v>34</v>
      </c>
      <c r="G115" t="s">
        <v>47</v>
      </c>
      <c r="H115" t="s">
        <v>48</v>
      </c>
      <c r="I115" t="s">
        <v>49</v>
      </c>
      <c r="J115" t="s">
        <v>56</v>
      </c>
      <c r="K115" t="s">
        <v>38</v>
      </c>
      <c r="L115" s="5">
        <v>44531</v>
      </c>
      <c r="M115">
        <v>70</v>
      </c>
      <c r="N115" t="s">
        <v>429</v>
      </c>
      <c r="O115" t="s">
        <v>876</v>
      </c>
      <c r="Q115">
        <v>1</v>
      </c>
      <c r="R115">
        <v>200</v>
      </c>
      <c r="S115" t="s">
        <v>896</v>
      </c>
      <c r="T115" s="6">
        <v>102653.56881328317</v>
      </c>
      <c r="U115" s="7">
        <f>T115*DealsRawTable[[#This Row],[Contract_Years]]</f>
        <v>102653.56881328317</v>
      </c>
      <c r="V115" s="8">
        <v>0.112</v>
      </c>
      <c r="W115" s="8">
        <v>7.1999999999999995E-2</v>
      </c>
      <c r="X115" s="8">
        <v>-0.13600000000000001</v>
      </c>
      <c r="Y115" t="s">
        <v>909</v>
      </c>
      <c r="Z115" t="s">
        <v>879</v>
      </c>
      <c r="AA115" s="6">
        <v>95298.064864385145</v>
      </c>
      <c r="AB115" s="7">
        <f>DealsRawTable[[#This Row],[Final_Price_ACV]]*DealsRawTable[[#This Row],[Contract_Years]]</f>
        <v>95298.064864385145</v>
      </c>
      <c r="AC115" s="6">
        <v>37853.321568073618</v>
      </c>
      <c r="AD115" s="6">
        <v>57444.743296311528</v>
      </c>
      <c r="AE115" s="8">
        <v>0.60279023900494555</v>
      </c>
      <c r="AF115" t="s">
        <v>880</v>
      </c>
      <c r="AG115" t="s">
        <v>44</v>
      </c>
      <c r="AI115" t="s">
        <v>38</v>
      </c>
      <c r="AJ115" s="6">
        <v>95298.064864385145</v>
      </c>
      <c r="AK115" s="6">
        <v>57444.743296311528</v>
      </c>
      <c r="AL115" t="s">
        <v>881</v>
      </c>
      <c r="AM115">
        <f t="shared" si="2"/>
        <v>95262.51</v>
      </c>
      <c r="AN115">
        <f>DealsRawTable[[#This Row],[Validated_Annual_Final_Price]]*DealsRawTable[[#This Row],[Contract_Years]]</f>
        <v>95262.51</v>
      </c>
      <c r="AO115">
        <f>DealsRawTable[[#This Row],[Validated_Annual_Final_Price]]-DealsRawTable[[#This Row],[Cost_to_Serve]]</f>
        <v>57409.188431926377</v>
      </c>
      <c r="AP115" s="17">
        <f>DealsRawTable[[#This Row],[Validated_Grossprofit]]/DealsRawTable[[#This Row],[Validated_Annual_Final_Price]]</f>
        <v>0.6026419882483296</v>
      </c>
      <c r="AQ115" s="17">
        <v>95262.51</v>
      </c>
      <c r="AR115" s="17">
        <v>95262.51</v>
      </c>
      <c r="AS115" s="17">
        <v>57409.188431926377</v>
      </c>
      <c r="AT115" s="17">
        <v>0.6026419882483296</v>
      </c>
      <c r="AU115" s="17" t="str">
        <f t="shared" si="3"/>
        <v>5–10%</v>
      </c>
      <c r="AV115" s="17">
        <v>116</v>
      </c>
      <c r="AW115" s="17"/>
    </row>
    <row r="116" spans="1:49">
      <c r="A116" t="s">
        <v>1021</v>
      </c>
      <c r="B116" s="5">
        <v>45809</v>
      </c>
      <c r="C116" t="s">
        <v>126</v>
      </c>
      <c r="D116" t="s">
        <v>127</v>
      </c>
      <c r="E116" t="s">
        <v>526</v>
      </c>
      <c r="F116" t="s">
        <v>475</v>
      </c>
      <c r="G116" t="s">
        <v>47</v>
      </c>
      <c r="H116" t="s">
        <v>48</v>
      </c>
      <c r="I116" t="s">
        <v>49</v>
      </c>
      <c r="J116" t="s">
        <v>56</v>
      </c>
      <c r="K116" t="s">
        <v>38</v>
      </c>
      <c r="L116" s="5">
        <v>44531</v>
      </c>
      <c r="M116">
        <v>70</v>
      </c>
      <c r="N116" t="s">
        <v>427</v>
      </c>
      <c r="O116" t="s">
        <v>891</v>
      </c>
      <c r="Q116">
        <v>2</v>
      </c>
      <c r="R116">
        <v>92</v>
      </c>
      <c r="S116" t="s">
        <v>900</v>
      </c>
      <c r="T116" s="6">
        <v>69970.05425864087</v>
      </c>
      <c r="U116" s="7">
        <f>T116*DealsRawTable[[#This Row],[Contract_Years]]</f>
        <v>139940.10851728174</v>
      </c>
      <c r="V116" s="8">
        <v>0.122</v>
      </c>
      <c r="W116" s="8">
        <v>9.0999999999999998E-2</v>
      </c>
      <c r="X116" s="8">
        <v>5.0000000000000001E-3</v>
      </c>
      <c r="Y116" t="s">
        <v>897</v>
      </c>
      <c r="Z116" t="s">
        <v>879</v>
      </c>
      <c r="AA116" s="6">
        <v>63608.333397051814</v>
      </c>
      <c r="AB116" s="7">
        <f>DealsRawTable[[#This Row],[Final_Price_ACV]]*DealsRawTable[[#This Row],[Contract_Years]]</f>
        <v>127216.66679410363</v>
      </c>
      <c r="AC116" s="6">
        <v>25682.098718017485</v>
      </c>
      <c r="AD116" s="6">
        <v>37926.234679034329</v>
      </c>
      <c r="AE116" s="8">
        <v>0.59624631952379015</v>
      </c>
      <c r="AF116" t="s">
        <v>880</v>
      </c>
      <c r="AI116" t="s">
        <v>38</v>
      </c>
      <c r="AJ116" s="6">
        <v>63608.333397051814</v>
      </c>
      <c r="AK116" s="6">
        <v>37926.234679034329</v>
      </c>
      <c r="AL116" t="s">
        <v>894</v>
      </c>
      <c r="AM116">
        <f t="shared" si="2"/>
        <v>63602.78</v>
      </c>
      <c r="AN116">
        <f>DealsRawTable[[#This Row],[Validated_Annual_Final_Price]]*DealsRawTable[[#This Row],[Contract_Years]]</f>
        <v>127205.56</v>
      </c>
      <c r="AO116">
        <f>DealsRawTable[[#This Row],[Validated_Annual_Final_Price]]-DealsRawTable[[#This Row],[Cost_to_Serve]]</f>
        <v>37920.681281982514</v>
      </c>
      <c r="AP116" s="17">
        <f>DealsRawTable[[#This Row],[Validated_Grossprofit]]/DealsRawTable[[#This Row],[Validated_Annual_Final_Price]]</f>
        <v>0.5962110662770167</v>
      </c>
      <c r="AQ116" s="17">
        <v>63602.78</v>
      </c>
      <c r="AR116" s="17">
        <v>127205.56</v>
      </c>
      <c r="AS116" s="17">
        <v>37920.681281982514</v>
      </c>
      <c r="AT116" s="17">
        <v>0.5962110662770167</v>
      </c>
      <c r="AU116" s="17" t="str">
        <f t="shared" si="3"/>
        <v>5–10%</v>
      </c>
      <c r="AV116" s="17">
        <v>116</v>
      </c>
      <c r="AW116" s="17"/>
    </row>
    <row r="117" spans="1:49">
      <c r="A117" t="s">
        <v>1022</v>
      </c>
      <c r="B117" s="5">
        <v>45680</v>
      </c>
      <c r="C117" t="s">
        <v>128</v>
      </c>
      <c r="D117" t="s">
        <v>129</v>
      </c>
      <c r="E117" t="s">
        <v>528</v>
      </c>
      <c r="F117" t="s">
        <v>466</v>
      </c>
      <c r="G117" t="s">
        <v>47</v>
      </c>
      <c r="H117" t="s">
        <v>35</v>
      </c>
      <c r="I117" t="s">
        <v>36</v>
      </c>
      <c r="J117" t="s">
        <v>37</v>
      </c>
      <c r="K117" t="s">
        <v>38</v>
      </c>
      <c r="L117" s="5">
        <v>44682</v>
      </c>
      <c r="M117">
        <v>77</v>
      </c>
      <c r="N117" t="s">
        <v>433</v>
      </c>
      <c r="O117" t="s">
        <v>891</v>
      </c>
      <c r="Q117">
        <v>1</v>
      </c>
      <c r="R117">
        <v>24</v>
      </c>
      <c r="S117" t="s">
        <v>888</v>
      </c>
      <c r="T117" s="6">
        <v>128140.26042605813</v>
      </c>
      <c r="U117" s="7">
        <f>T117*DealsRawTable[[#This Row],[Contract_Years]]</f>
        <v>128140.26042605813</v>
      </c>
      <c r="V117" s="8">
        <v>0.249</v>
      </c>
      <c r="W117" s="8">
        <v>0.221</v>
      </c>
      <c r="X117" s="8">
        <v>2.4E-2</v>
      </c>
      <c r="Y117" t="s">
        <v>885</v>
      </c>
      <c r="Z117" t="s">
        <v>893</v>
      </c>
      <c r="AA117" s="6">
        <v>99767.791595345276</v>
      </c>
      <c r="AB117" s="7">
        <f>DealsRawTable[[#This Row],[Final_Price_ACV]]*DealsRawTable[[#This Row],[Contract_Years]]</f>
        <v>99767.791595345276</v>
      </c>
      <c r="AC117" s="6">
        <v>46207.19623803415</v>
      </c>
      <c r="AD117" s="6">
        <v>53560.595357311126</v>
      </c>
      <c r="AE117" s="8">
        <v>0.53685257036209699</v>
      </c>
      <c r="AF117" t="s">
        <v>457</v>
      </c>
      <c r="AI117" t="s">
        <v>38</v>
      </c>
      <c r="AJ117" s="6">
        <v>0</v>
      </c>
      <c r="AK117" s="6">
        <v>0</v>
      </c>
      <c r="AL117" t="s">
        <v>894</v>
      </c>
      <c r="AM117">
        <f t="shared" si="2"/>
        <v>99821.26</v>
      </c>
      <c r="AN117">
        <f>DealsRawTable[[#This Row],[Validated_Annual_Final_Price]]*DealsRawTable[[#This Row],[Contract_Years]]</f>
        <v>99821.26</v>
      </c>
      <c r="AO117">
        <f>DealsRawTable[[#This Row],[Validated_Annual_Final_Price]]-DealsRawTable[[#This Row],[Cost_to_Serve]]</f>
        <v>53614.063761965845</v>
      </c>
      <c r="AP117" s="17">
        <f>DealsRawTable[[#This Row],[Validated_Grossprofit]]/DealsRawTable[[#This Row],[Validated_Annual_Final_Price]]</f>
        <v>0.53710065132383467</v>
      </c>
      <c r="AQ117" s="17">
        <v>0</v>
      </c>
      <c r="AR117" s="17">
        <v>0</v>
      </c>
      <c r="AS117" s="17">
        <v>0</v>
      </c>
      <c r="AT117" s="17">
        <v>0</v>
      </c>
      <c r="AU117" s="17" t="str">
        <f t="shared" si="3"/>
        <v>20–25%</v>
      </c>
      <c r="AV117" s="17">
        <v>29</v>
      </c>
      <c r="AW117" s="17"/>
    </row>
    <row r="118" spans="1:49">
      <c r="A118" t="s">
        <v>1023</v>
      </c>
      <c r="B118" s="5">
        <v>45399</v>
      </c>
      <c r="C118" t="s">
        <v>130</v>
      </c>
      <c r="D118" t="s">
        <v>131</v>
      </c>
      <c r="E118" t="s">
        <v>529</v>
      </c>
      <c r="F118" t="s">
        <v>466</v>
      </c>
      <c r="G118" t="s">
        <v>60</v>
      </c>
      <c r="H118" t="s">
        <v>54</v>
      </c>
      <c r="I118" t="s">
        <v>55</v>
      </c>
      <c r="J118" t="s">
        <v>37</v>
      </c>
      <c r="K118" t="s">
        <v>38</v>
      </c>
      <c r="L118" s="5">
        <v>45017</v>
      </c>
      <c r="M118">
        <v>78</v>
      </c>
      <c r="N118" t="s">
        <v>427</v>
      </c>
      <c r="O118" t="s">
        <v>883</v>
      </c>
      <c r="P118" t="s">
        <v>951</v>
      </c>
      <c r="Q118">
        <v>1</v>
      </c>
      <c r="R118">
        <v>34</v>
      </c>
      <c r="S118" t="s">
        <v>877</v>
      </c>
      <c r="T118" s="6">
        <v>57591.693399911739</v>
      </c>
      <c r="U118" s="7">
        <f>T118*DealsRawTable[[#This Row],[Contract_Years]]</f>
        <v>57591.693399911739</v>
      </c>
      <c r="V118" s="8">
        <v>9.9000000000000005E-2</v>
      </c>
      <c r="W118" s="8">
        <v>6.7000000000000004E-2</v>
      </c>
      <c r="X118" s="8">
        <v>4.8000000000000001E-2</v>
      </c>
      <c r="Y118" t="s">
        <v>885</v>
      </c>
      <c r="Z118" t="s">
        <v>879</v>
      </c>
      <c r="AA118" s="6">
        <v>53754.944555690294</v>
      </c>
      <c r="AB118" s="7">
        <f>DealsRawTable[[#This Row],[Final_Price_ACV]]*DealsRawTable[[#This Row],[Contract_Years]]</f>
        <v>53754.944555690294</v>
      </c>
      <c r="AC118" s="6">
        <v>15959.88898031073</v>
      </c>
      <c r="AD118" s="6">
        <v>37795.055575379563</v>
      </c>
      <c r="AE118" s="8">
        <v>0.70309914534882956</v>
      </c>
      <c r="AF118" t="s">
        <v>880</v>
      </c>
      <c r="AH118" t="s">
        <v>44</v>
      </c>
      <c r="AI118" t="s">
        <v>38</v>
      </c>
      <c r="AJ118" s="6">
        <v>53754.944555690294</v>
      </c>
      <c r="AK118" s="6">
        <v>37795.055575379563</v>
      </c>
      <c r="AL118" t="s">
        <v>886</v>
      </c>
      <c r="AM118">
        <f t="shared" si="2"/>
        <v>53733.05</v>
      </c>
      <c r="AN118">
        <f>DealsRawTable[[#This Row],[Validated_Annual_Final_Price]]*DealsRawTable[[#This Row],[Contract_Years]]</f>
        <v>53733.05</v>
      </c>
      <c r="AO118">
        <f>DealsRawTable[[#This Row],[Validated_Annual_Final_Price]]-DealsRawTable[[#This Row],[Cost_to_Serve]]</f>
        <v>37773.161019689273</v>
      </c>
      <c r="AP118" s="17">
        <f>DealsRawTable[[#This Row],[Validated_Grossprofit]]/DealsRawTable[[#This Row],[Validated_Annual_Final_Price]]</f>
        <v>0.70297816743492636</v>
      </c>
      <c r="AQ118" s="17">
        <v>53733.05</v>
      </c>
      <c r="AR118" s="17">
        <v>53733.05</v>
      </c>
      <c r="AS118" s="17">
        <v>37773.161019689273</v>
      </c>
      <c r="AT118" s="17">
        <v>0.70297816743492636</v>
      </c>
      <c r="AU118" s="17" t="str">
        <f t="shared" si="3"/>
        <v>5–10%</v>
      </c>
      <c r="AV118" s="17">
        <v>116</v>
      </c>
      <c r="AW118" s="17"/>
    </row>
    <row r="119" spans="1:49">
      <c r="A119" t="s">
        <v>1024</v>
      </c>
      <c r="B119" s="5">
        <v>45541</v>
      </c>
      <c r="C119" t="s">
        <v>130</v>
      </c>
      <c r="D119" t="s">
        <v>131</v>
      </c>
      <c r="E119" t="s">
        <v>529</v>
      </c>
      <c r="F119" t="s">
        <v>466</v>
      </c>
      <c r="G119" t="s">
        <v>60</v>
      </c>
      <c r="H119" t="s">
        <v>54</v>
      </c>
      <c r="I119" t="s">
        <v>55</v>
      </c>
      <c r="J119" t="s">
        <v>37</v>
      </c>
      <c r="K119" t="s">
        <v>38</v>
      </c>
      <c r="L119" s="5">
        <v>45017</v>
      </c>
      <c r="M119">
        <v>78</v>
      </c>
      <c r="N119" t="s">
        <v>427</v>
      </c>
      <c r="O119" t="s">
        <v>876</v>
      </c>
      <c r="Q119">
        <v>1</v>
      </c>
      <c r="R119">
        <v>34</v>
      </c>
      <c r="S119" t="s">
        <v>932</v>
      </c>
      <c r="T119" s="6">
        <v>61880.039265459745</v>
      </c>
      <c r="U119" s="7">
        <f>T119*DealsRawTable[[#This Row],[Contract_Years]]</f>
        <v>61880.039265459745</v>
      </c>
      <c r="V119" s="8">
        <v>8.3000000000000004E-2</v>
      </c>
      <c r="W119" s="8">
        <v>5.0999999999999997E-2</v>
      </c>
      <c r="X119" s="8">
        <v>-0.18</v>
      </c>
      <c r="Y119" t="s">
        <v>909</v>
      </c>
      <c r="Z119" t="s">
        <v>879</v>
      </c>
      <c r="AA119" s="6">
        <v>58754.887218567783</v>
      </c>
      <c r="AB119" s="7">
        <f>DealsRawTable[[#This Row],[Final_Price_ACV]]*DealsRawTable[[#This Row],[Contract_Years]]</f>
        <v>58754.887218567783</v>
      </c>
      <c r="AC119" s="6">
        <v>19921.271784372391</v>
      </c>
      <c r="AD119" s="6">
        <v>38833.615434195395</v>
      </c>
      <c r="AE119" s="8">
        <v>0.6609427278744423</v>
      </c>
      <c r="AF119" t="s">
        <v>880</v>
      </c>
      <c r="AG119" t="s">
        <v>44</v>
      </c>
      <c r="AI119" t="s">
        <v>38</v>
      </c>
      <c r="AJ119" s="6">
        <v>58754.887218567783</v>
      </c>
      <c r="AK119" s="6">
        <v>38833.615434195395</v>
      </c>
      <c r="AL119" t="s">
        <v>881</v>
      </c>
      <c r="AM119">
        <f t="shared" si="2"/>
        <v>58724.160000000003</v>
      </c>
      <c r="AN119">
        <f>DealsRawTable[[#This Row],[Validated_Annual_Final_Price]]*DealsRawTable[[#This Row],[Contract_Years]]</f>
        <v>58724.160000000003</v>
      </c>
      <c r="AO119">
        <f>DealsRawTable[[#This Row],[Validated_Annual_Final_Price]]-DealsRawTable[[#This Row],[Cost_to_Serve]]</f>
        <v>38802.888215627609</v>
      </c>
      <c r="AP119" s="17">
        <f>DealsRawTable[[#This Row],[Validated_Grossprofit]]/DealsRawTable[[#This Row],[Validated_Annual_Final_Price]]</f>
        <v>0.66076531730087928</v>
      </c>
      <c r="AQ119" s="17">
        <v>58724.160000000003</v>
      </c>
      <c r="AR119" s="17">
        <v>58724.160000000003</v>
      </c>
      <c r="AS119" s="17">
        <v>38802.888215627609</v>
      </c>
      <c r="AT119" s="17">
        <v>0.66076531730087928</v>
      </c>
      <c r="AU119" s="17" t="str">
        <f t="shared" si="3"/>
        <v>5–10%</v>
      </c>
      <c r="AV119" s="17">
        <v>116</v>
      </c>
      <c r="AW119" s="17"/>
    </row>
    <row r="120" spans="1:49">
      <c r="A120" t="s">
        <v>1025</v>
      </c>
      <c r="B120" s="5">
        <v>45906</v>
      </c>
      <c r="C120" t="s">
        <v>130</v>
      </c>
      <c r="D120" t="s">
        <v>131</v>
      </c>
      <c r="E120" t="s">
        <v>529</v>
      </c>
      <c r="F120" t="s">
        <v>466</v>
      </c>
      <c r="G120" t="s">
        <v>60</v>
      </c>
      <c r="H120" t="s">
        <v>54</v>
      </c>
      <c r="I120" t="s">
        <v>55</v>
      </c>
      <c r="J120" t="s">
        <v>37</v>
      </c>
      <c r="K120" t="s">
        <v>38</v>
      </c>
      <c r="L120" s="5">
        <v>45017</v>
      </c>
      <c r="M120">
        <v>78</v>
      </c>
      <c r="N120" t="s">
        <v>427</v>
      </c>
      <c r="O120" t="s">
        <v>876</v>
      </c>
      <c r="Q120">
        <v>1</v>
      </c>
      <c r="R120">
        <v>34</v>
      </c>
      <c r="S120" t="s">
        <v>877</v>
      </c>
      <c r="T120" s="6">
        <v>65111.855534373673</v>
      </c>
      <c r="U120" s="7">
        <f>T120*DealsRawTable[[#This Row],[Contract_Years]]</f>
        <v>65111.855534373673</v>
      </c>
      <c r="V120" s="8">
        <v>1.6E-2</v>
      </c>
      <c r="W120" s="8">
        <v>6.0000000000000001E-3</v>
      </c>
      <c r="X120" s="8">
        <v>-1.6E-2</v>
      </c>
      <c r="Y120" t="s">
        <v>878</v>
      </c>
      <c r="Z120" t="s">
        <v>879</v>
      </c>
      <c r="AA120" s="6">
        <v>64699.831970099382</v>
      </c>
      <c r="AB120" s="7">
        <f>DealsRawTable[[#This Row],[Final_Price_ACV]]*DealsRawTable[[#This Row],[Contract_Years]]</f>
        <v>64699.831970099382</v>
      </c>
      <c r="AC120" s="6">
        <v>19797.99626660952</v>
      </c>
      <c r="AD120" s="6">
        <v>44901.835703489865</v>
      </c>
      <c r="AE120" s="8">
        <v>0.69400235419839984</v>
      </c>
      <c r="AF120" t="s">
        <v>457</v>
      </c>
      <c r="AG120" t="s">
        <v>38</v>
      </c>
      <c r="AI120" t="s">
        <v>38</v>
      </c>
      <c r="AJ120" s="6">
        <v>0</v>
      </c>
      <c r="AK120" s="6">
        <v>0</v>
      </c>
      <c r="AL120" t="s">
        <v>881</v>
      </c>
      <c r="AM120">
        <f t="shared" si="2"/>
        <v>64721.18</v>
      </c>
      <c r="AN120">
        <f>DealsRawTable[[#This Row],[Validated_Annual_Final_Price]]*DealsRawTable[[#This Row],[Contract_Years]]</f>
        <v>64721.18</v>
      </c>
      <c r="AO120">
        <f>DealsRawTable[[#This Row],[Validated_Annual_Final_Price]]-DealsRawTable[[#This Row],[Cost_to_Serve]]</f>
        <v>44923.183733390484</v>
      </c>
      <c r="AP120" s="17">
        <f>DealsRawTable[[#This Row],[Validated_Grossprofit]]/DealsRawTable[[#This Row],[Validated_Annual_Final_Price]]</f>
        <v>0.69410328633363116</v>
      </c>
      <c r="AQ120" s="17">
        <v>0</v>
      </c>
      <c r="AR120" s="17">
        <v>0</v>
      </c>
      <c r="AS120" s="17">
        <v>0</v>
      </c>
      <c r="AT120" s="17">
        <v>0</v>
      </c>
      <c r="AU120" s="17" t="str">
        <f t="shared" si="3"/>
        <v>0–5%</v>
      </c>
      <c r="AV120" s="17">
        <v>55</v>
      </c>
      <c r="AW120" s="17"/>
    </row>
    <row r="121" spans="1:49">
      <c r="A121" t="s">
        <v>1026</v>
      </c>
      <c r="B121" s="5">
        <v>45513</v>
      </c>
      <c r="C121" t="s">
        <v>130</v>
      </c>
      <c r="D121" t="s">
        <v>131</v>
      </c>
      <c r="E121" t="s">
        <v>530</v>
      </c>
      <c r="F121" t="s">
        <v>47</v>
      </c>
      <c r="G121" t="s">
        <v>60</v>
      </c>
      <c r="H121" t="s">
        <v>54</v>
      </c>
      <c r="I121" t="s">
        <v>55</v>
      </c>
      <c r="J121" t="s">
        <v>37</v>
      </c>
      <c r="K121" t="s">
        <v>38</v>
      </c>
      <c r="L121" s="5">
        <v>45017</v>
      </c>
      <c r="M121">
        <v>78</v>
      </c>
      <c r="N121" t="s">
        <v>429</v>
      </c>
      <c r="O121" t="s">
        <v>891</v>
      </c>
      <c r="Q121">
        <v>1</v>
      </c>
      <c r="R121">
        <v>79</v>
      </c>
      <c r="S121" t="s">
        <v>932</v>
      </c>
      <c r="T121" s="6">
        <v>63754.011960434866</v>
      </c>
      <c r="U121" s="7">
        <f>T121*DealsRawTable[[#This Row],[Contract_Years]]</f>
        <v>63754.011960434866</v>
      </c>
      <c r="V121" s="8">
        <v>6.9000000000000006E-2</v>
      </c>
      <c r="W121" s="8">
        <v>5.1999999999999998E-2</v>
      </c>
      <c r="X121" s="8">
        <v>5.8999999999999997E-2</v>
      </c>
      <c r="Y121" t="s">
        <v>878</v>
      </c>
      <c r="Z121" t="s">
        <v>879</v>
      </c>
      <c r="AA121" s="6">
        <v>60431.032295362886</v>
      </c>
      <c r="AB121" s="7">
        <f>DealsRawTable[[#This Row],[Final_Price_ACV]]*DealsRawTable[[#This Row],[Contract_Years]]</f>
        <v>60431.032295362886</v>
      </c>
      <c r="AC121" s="6">
        <v>23376.011140752911</v>
      </c>
      <c r="AD121" s="6">
        <v>37055.021154609974</v>
      </c>
      <c r="AE121" s="8">
        <v>0.61317868894742267</v>
      </c>
      <c r="AF121" t="s">
        <v>457</v>
      </c>
      <c r="AI121" t="s">
        <v>38</v>
      </c>
      <c r="AJ121" s="6">
        <v>0</v>
      </c>
      <c r="AK121" s="6">
        <v>0</v>
      </c>
      <c r="AL121" t="s">
        <v>894</v>
      </c>
      <c r="AM121">
        <f t="shared" si="2"/>
        <v>60438.8</v>
      </c>
      <c r="AN121">
        <f>DealsRawTable[[#This Row],[Validated_Annual_Final_Price]]*DealsRawTable[[#This Row],[Contract_Years]]</f>
        <v>60438.8</v>
      </c>
      <c r="AO121">
        <f>DealsRawTable[[#This Row],[Validated_Annual_Final_Price]]-DealsRawTable[[#This Row],[Cost_to_Serve]]</f>
        <v>37062.788859247092</v>
      </c>
      <c r="AP121" s="17">
        <f>DealsRawTable[[#This Row],[Validated_Grossprofit]]/DealsRawTable[[#This Row],[Validated_Annual_Final_Price]]</f>
        <v>0.61322840392673394</v>
      </c>
      <c r="AQ121" s="17">
        <v>0</v>
      </c>
      <c r="AR121" s="17">
        <v>0</v>
      </c>
      <c r="AS121" s="17">
        <v>0</v>
      </c>
      <c r="AT121" s="17">
        <v>0</v>
      </c>
      <c r="AU121" s="17" t="str">
        <f t="shared" si="3"/>
        <v>5–10%</v>
      </c>
      <c r="AV121" s="17">
        <v>116</v>
      </c>
      <c r="AW121" s="17"/>
    </row>
    <row r="122" spans="1:49">
      <c r="A122" t="s">
        <v>1027</v>
      </c>
      <c r="B122" s="5">
        <v>45613</v>
      </c>
      <c r="C122" t="s">
        <v>132</v>
      </c>
      <c r="D122" t="s">
        <v>133</v>
      </c>
      <c r="E122" t="s">
        <v>531</v>
      </c>
      <c r="F122" t="s">
        <v>466</v>
      </c>
      <c r="G122" t="s">
        <v>34</v>
      </c>
      <c r="H122" t="s">
        <v>35</v>
      </c>
      <c r="I122" t="s">
        <v>36</v>
      </c>
      <c r="J122" t="s">
        <v>37</v>
      </c>
      <c r="K122" t="s">
        <v>38</v>
      </c>
      <c r="L122" s="5">
        <v>44256</v>
      </c>
      <c r="M122">
        <v>87</v>
      </c>
      <c r="N122" t="s">
        <v>429</v>
      </c>
      <c r="O122" t="s">
        <v>876</v>
      </c>
      <c r="Q122">
        <v>1</v>
      </c>
      <c r="R122">
        <v>77</v>
      </c>
      <c r="S122" t="s">
        <v>892</v>
      </c>
      <c r="T122" s="6">
        <v>61384.650560749687</v>
      </c>
      <c r="U122" s="7">
        <f>T122*DealsRawTable[[#This Row],[Contract_Years]]</f>
        <v>61384.650560749687</v>
      </c>
      <c r="V122" s="8">
        <v>0.17799999999999999</v>
      </c>
      <c r="W122" s="8">
        <v>0.17399999999999999</v>
      </c>
      <c r="X122" s="8">
        <v>-1.6E-2</v>
      </c>
      <c r="Y122" t="s">
        <v>930</v>
      </c>
      <c r="Z122" t="s">
        <v>889</v>
      </c>
      <c r="AA122" s="6">
        <v>50689.565298060872</v>
      </c>
      <c r="AB122" s="7">
        <f>DealsRawTable[[#This Row],[Final_Price_ACV]]*DealsRawTable[[#This Row],[Contract_Years]]</f>
        <v>50689.565298060872</v>
      </c>
      <c r="AC122" s="6">
        <v>22441.659240066601</v>
      </c>
      <c r="AD122" s="6">
        <v>28247.906057994271</v>
      </c>
      <c r="AE122" s="8">
        <v>0.55727260417194568</v>
      </c>
      <c r="AF122" t="s">
        <v>880</v>
      </c>
      <c r="AG122" t="s">
        <v>44</v>
      </c>
      <c r="AI122" t="s">
        <v>38</v>
      </c>
      <c r="AJ122" s="6">
        <v>50689.565298060872</v>
      </c>
      <c r="AK122" s="6">
        <v>28247.906057994271</v>
      </c>
      <c r="AL122" t="s">
        <v>881</v>
      </c>
      <c r="AM122">
        <f t="shared" si="2"/>
        <v>50703.72</v>
      </c>
      <c r="AN122">
        <f>DealsRawTable[[#This Row],[Validated_Annual_Final_Price]]*DealsRawTable[[#This Row],[Contract_Years]]</f>
        <v>50703.72</v>
      </c>
      <c r="AO122">
        <f>DealsRawTable[[#This Row],[Validated_Annual_Final_Price]]-DealsRawTable[[#This Row],[Cost_to_Serve]]</f>
        <v>28262.0607599334</v>
      </c>
      <c r="AP122" s="17">
        <f>DealsRawTable[[#This Row],[Validated_Grossprofit]]/DealsRawTable[[#This Row],[Validated_Annual_Final_Price]]</f>
        <v>0.55739619814746133</v>
      </c>
      <c r="AQ122" s="17">
        <v>50703.72</v>
      </c>
      <c r="AR122" s="17">
        <v>50703.72</v>
      </c>
      <c r="AS122" s="17">
        <v>28262.0607599334</v>
      </c>
      <c r="AT122" s="17">
        <v>0.55739619814746133</v>
      </c>
      <c r="AU122" s="17" t="str">
        <f t="shared" si="3"/>
        <v>15–20%</v>
      </c>
      <c r="AV122" s="17">
        <v>108</v>
      </c>
      <c r="AW122" s="17"/>
    </row>
    <row r="123" spans="1:49">
      <c r="A123" t="s">
        <v>1028</v>
      </c>
      <c r="B123" s="5">
        <v>45978</v>
      </c>
      <c r="C123" t="s">
        <v>132</v>
      </c>
      <c r="D123" t="s">
        <v>133</v>
      </c>
      <c r="E123" t="s">
        <v>531</v>
      </c>
      <c r="F123" t="s">
        <v>466</v>
      </c>
      <c r="G123" t="s">
        <v>34</v>
      </c>
      <c r="H123" t="s">
        <v>35</v>
      </c>
      <c r="I123" t="s">
        <v>36</v>
      </c>
      <c r="J123" t="s">
        <v>37</v>
      </c>
      <c r="K123" t="s">
        <v>38</v>
      </c>
      <c r="L123" s="5">
        <v>44256</v>
      </c>
      <c r="M123">
        <v>87</v>
      </c>
      <c r="N123" t="s">
        <v>429</v>
      </c>
      <c r="O123" t="s">
        <v>876</v>
      </c>
      <c r="Q123">
        <v>1</v>
      </c>
      <c r="R123">
        <v>77</v>
      </c>
      <c r="S123" t="s">
        <v>892</v>
      </c>
      <c r="T123" s="6">
        <v>64134.307315289298</v>
      </c>
      <c r="U123" s="7">
        <f>T123*DealsRawTable[[#This Row],[Contract_Years]]</f>
        <v>64134.307315289298</v>
      </c>
      <c r="V123" s="8">
        <v>4.2999999999999997E-2</v>
      </c>
      <c r="W123" s="8">
        <v>3.9E-2</v>
      </c>
      <c r="X123" s="8">
        <v>-3.9E-2</v>
      </c>
      <c r="Y123" t="s">
        <v>878</v>
      </c>
      <c r="Z123" t="s">
        <v>879</v>
      </c>
      <c r="AA123" s="6">
        <v>61617.765765932389</v>
      </c>
      <c r="AB123" s="7">
        <f>DealsRawTable[[#This Row],[Final_Price_ACV]]*DealsRawTable[[#This Row],[Contract_Years]]</f>
        <v>61617.765765932389</v>
      </c>
      <c r="AC123" s="6">
        <v>22045.265798194014</v>
      </c>
      <c r="AD123" s="6">
        <v>39572.499967738375</v>
      </c>
      <c r="AE123" s="8">
        <v>0.64222549253185457</v>
      </c>
      <c r="AF123" t="s">
        <v>880</v>
      </c>
      <c r="AG123" t="s">
        <v>44</v>
      </c>
      <c r="AI123" t="s">
        <v>38</v>
      </c>
      <c r="AJ123" s="6">
        <v>61617.765765932389</v>
      </c>
      <c r="AK123" s="6">
        <v>39572.499967738375</v>
      </c>
      <c r="AL123" t="s">
        <v>881</v>
      </c>
      <c r="AM123">
        <f t="shared" si="2"/>
        <v>61633.07</v>
      </c>
      <c r="AN123">
        <f>DealsRawTable[[#This Row],[Validated_Annual_Final_Price]]*DealsRawTable[[#This Row],[Contract_Years]]</f>
        <v>61633.07</v>
      </c>
      <c r="AO123">
        <f>DealsRawTable[[#This Row],[Validated_Annual_Final_Price]]-DealsRawTable[[#This Row],[Cost_to_Serve]]</f>
        <v>39587.804201805986</v>
      </c>
      <c r="AP123" s="17">
        <f>DealsRawTable[[#This Row],[Validated_Grossprofit]]/DealsRawTable[[#This Row],[Validated_Annual_Final_Price]]</f>
        <v>0.64231433225386936</v>
      </c>
      <c r="AQ123" s="17">
        <v>61633.07</v>
      </c>
      <c r="AR123" s="17">
        <v>61633.07</v>
      </c>
      <c r="AS123" s="17">
        <v>39587.804201805986</v>
      </c>
      <c r="AT123" s="17">
        <v>0.64231433225386936</v>
      </c>
      <c r="AU123" s="17" t="str">
        <f t="shared" si="3"/>
        <v>0–5%</v>
      </c>
      <c r="AV123" s="17">
        <v>55</v>
      </c>
      <c r="AW123" s="17"/>
    </row>
    <row r="124" spans="1:49">
      <c r="A124" t="s">
        <v>1029</v>
      </c>
      <c r="B124" s="5">
        <v>45425</v>
      </c>
      <c r="C124" t="s">
        <v>134</v>
      </c>
      <c r="D124" t="s">
        <v>135</v>
      </c>
      <c r="E124" t="s">
        <v>532</v>
      </c>
      <c r="F124" t="s">
        <v>466</v>
      </c>
      <c r="G124" t="s">
        <v>34</v>
      </c>
      <c r="H124" t="s">
        <v>70</v>
      </c>
      <c r="I124" t="s">
        <v>76</v>
      </c>
      <c r="J124" t="s">
        <v>43</v>
      </c>
      <c r="K124" t="s">
        <v>44</v>
      </c>
      <c r="L124" s="5">
        <v>44621</v>
      </c>
      <c r="M124">
        <v>61</v>
      </c>
      <c r="N124" t="s">
        <v>424</v>
      </c>
      <c r="O124" t="s">
        <v>876</v>
      </c>
      <c r="Q124">
        <v>1</v>
      </c>
      <c r="R124">
        <v>1632</v>
      </c>
      <c r="S124" t="s">
        <v>932</v>
      </c>
      <c r="T124" s="6">
        <v>104303.67910079149</v>
      </c>
      <c r="U124" s="7">
        <f>T124*DealsRawTable[[#This Row],[Contract_Years]]</f>
        <v>104303.67910079149</v>
      </c>
      <c r="V124" s="8">
        <v>0.14199999999999999</v>
      </c>
      <c r="W124" s="8">
        <v>0.10100000000000001</v>
      </c>
      <c r="X124" s="8">
        <v>3.7999999999999999E-2</v>
      </c>
      <c r="Y124" t="s">
        <v>878</v>
      </c>
      <c r="Z124" t="s">
        <v>889</v>
      </c>
      <c r="AA124" s="6">
        <v>93788.364885593313</v>
      </c>
      <c r="AB124" s="7">
        <f>DealsRawTable[[#This Row],[Final_Price_ACV]]*DealsRawTable[[#This Row],[Contract_Years]]</f>
        <v>93788.364885593313</v>
      </c>
      <c r="AC124" s="6">
        <v>33498.177168354749</v>
      </c>
      <c r="AD124" s="6">
        <v>60290.187717238565</v>
      </c>
      <c r="AE124" s="8">
        <v>0.64283227232698725</v>
      </c>
      <c r="AF124" t="s">
        <v>457</v>
      </c>
      <c r="AG124" t="s">
        <v>38</v>
      </c>
      <c r="AI124" t="s">
        <v>38</v>
      </c>
      <c r="AJ124" s="6">
        <v>0</v>
      </c>
      <c r="AK124" s="6">
        <v>0</v>
      </c>
      <c r="AL124" t="s">
        <v>881</v>
      </c>
      <c r="AM124">
        <f t="shared" si="2"/>
        <v>93769.01</v>
      </c>
      <c r="AN124">
        <f>DealsRawTable[[#This Row],[Validated_Annual_Final_Price]]*DealsRawTable[[#This Row],[Contract_Years]]</f>
        <v>93769.01</v>
      </c>
      <c r="AO124">
        <f>DealsRawTable[[#This Row],[Validated_Annual_Final_Price]]-DealsRawTable[[#This Row],[Cost_to_Serve]]</f>
        <v>60270.832831645246</v>
      </c>
      <c r="AP124" s="17">
        <f>DealsRawTable[[#This Row],[Validated_Grossprofit]]/DealsRawTable[[#This Row],[Validated_Annual_Final_Price]]</f>
        <v>0.64275854924399067</v>
      </c>
      <c r="AQ124" s="17">
        <v>0</v>
      </c>
      <c r="AR124" s="17">
        <v>0</v>
      </c>
      <c r="AS124" s="17">
        <v>0</v>
      </c>
      <c r="AT124" s="17">
        <v>0</v>
      </c>
      <c r="AU124" s="17" t="str">
        <f t="shared" si="3"/>
        <v>10–15%</v>
      </c>
      <c r="AV124" s="17">
        <v>113</v>
      </c>
      <c r="AW124" s="17"/>
    </row>
    <row r="125" spans="1:49">
      <c r="A125" t="s">
        <v>1030</v>
      </c>
      <c r="B125" s="5">
        <v>45381</v>
      </c>
      <c r="C125" t="s">
        <v>134</v>
      </c>
      <c r="D125" t="s">
        <v>135</v>
      </c>
      <c r="E125" t="s">
        <v>533</v>
      </c>
      <c r="F125" t="s">
        <v>445</v>
      </c>
      <c r="G125" t="s">
        <v>34</v>
      </c>
      <c r="H125" t="s">
        <v>70</v>
      </c>
      <c r="I125" t="s">
        <v>76</v>
      </c>
      <c r="J125" t="s">
        <v>43</v>
      </c>
      <c r="K125" t="s">
        <v>44</v>
      </c>
      <c r="L125" s="5">
        <v>44621</v>
      </c>
      <c r="M125">
        <v>61</v>
      </c>
      <c r="N125" t="s">
        <v>431</v>
      </c>
      <c r="O125" t="s">
        <v>891</v>
      </c>
      <c r="Q125">
        <v>2</v>
      </c>
      <c r="R125">
        <v>961</v>
      </c>
      <c r="S125" t="s">
        <v>892</v>
      </c>
      <c r="T125" s="6">
        <v>132120.58117283878</v>
      </c>
      <c r="U125" s="7">
        <f>T125*DealsRawTable[[#This Row],[Contract_Years]]</f>
        <v>264241.16234567756</v>
      </c>
      <c r="V125" s="8">
        <v>0.113</v>
      </c>
      <c r="W125" s="8">
        <v>8.2000000000000003E-2</v>
      </c>
      <c r="X125" s="8">
        <v>-2E-3</v>
      </c>
      <c r="Y125" t="s">
        <v>905</v>
      </c>
      <c r="Z125" t="s">
        <v>879</v>
      </c>
      <c r="AA125" s="6">
        <v>121239.67157082279</v>
      </c>
      <c r="AB125" s="7">
        <f>DealsRawTable[[#This Row],[Final_Price_ACV]]*DealsRawTable[[#This Row],[Contract_Years]]</f>
        <v>242479.34314164557</v>
      </c>
      <c r="AC125" s="6">
        <v>58608.824186692349</v>
      </c>
      <c r="AD125" s="6">
        <v>62630.847384130437</v>
      </c>
      <c r="AE125" s="8">
        <v>0.51658707560539951</v>
      </c>
      <c r="AF125" t="s">
        <v>457</v>
      </c>
      <c r="AI125" t="s">
        <v>38</v>
      </c>
      <c r="AJ125" s="6">
        <v>0</v>
      </c>
      <c r="AK125" s="6">
        <v>0</v>
      </c>
      <c r="AL125" t="s">
        <v>894</v>
      </c>
      <c r="AM125">
        <f t="shared" si="2"/>
        <v>121286.69</v>
      </c>
      <c r="AN125">
        <f>DealsRawTable[[#This Row],[Validated_Annual_Final_Price]]*DealsRawTable[[#This Row],[Contract_Years]]</f>
        <v>242573.38</v>
      </c>
      <c r="AO125">
        <f>DealsRawTable[[#This Row],[Validated_Annual_Final_Price]]-DealsRawTable[[#This Row],[Cost_to_Serve]]</f>
        <v>62677.865813307653</v>
      </c>
      <c r="AP125" s="17">
        <f>DealsRawTable[[#This Row],[Validated_Grossprofit]]/DealsRawTable[[#This Row],[Validated_Annual_Final_Price]]</f>
        <v>0.51677447717723723</v>
      </c>
      <c r="AQ125" s="17">
        <v>0</v>
      </c>
      <c r="AR125" s="17">
        <v>0</v>
      </c>
      <c r="AS125" s="17">
        <v>0</v>
      </c>
      <c r="AT125" s="17">
        <v>0</v>
      </c>
      <c r="AU125" s="17" t="str">
        <f t="shared" si="3"/>
        <v>5–10%</v>
      </c>
      <c r="AV125" s="17">
        <v>116</v>
      </c>
      <c r="AW125" s="17"/>
    </row>
    <row r="126" spans="1:49">
      <c r="A126" t="s">
        <v>1031</v>
      </c>
      <c r="B126" s="5">
        <v>45371</v>
      </c>
      <c r="C126" t="s">
        <v>134</v>
      </c>
      <c r="D126" t="s">
        <v>135</v>
      </c>
      <c r="E126" t="s">
        <v>534</v>
      </c>
      <c r="F126" t="s">
        <v>466</v>
      </c>
      <c r="G126" t="s">
        <v>34</v>
      </c>
      <c r="H126" t="s">
        <v>70</v>
      </c>
      <c r="I126" t="s">
        <v>76</v>
      </c>
      <c r="J126" t="s">
        <v>43</v>
      </c>
      <c r="K126" t="s">
        <v>44</v>
      </c>
      <c r="L126" s="5">
        <v>44621</v>
      </c>
      <c r="M126">
        <v>61</v>
      </c>
      <c r="N126" t="s">
        <v>427</v>
      </c>
      <c r="O126" t="s">
        <v>876</v>
      </c>
      <c r="Q126">
        <v>1</v>
      </c>
      <c r="R126">
        <v>1175</v>
      </c>
      <c r="S126" t="s">
        <v>888</v>
      </c>
      <c r="T126" s="6">
        <v>285932.17683169735</v>
      </c>
      <c r="U126" s="7">
        <f>T126*DealsRawTable[[#This Row],[Contract_Years]]</f>
        <v>285932.17683169735</v>
      </c>
      <c r="V126" s="8">
        <v>0.16</v>
      </c>
      <c r="W126" s="8">
        <v>0.114</v>
      </c>
      <c r="X126" s="8">
        <v>-2.1999999999999999E-2</v>
      </c>
      <c r="Y126" t="s">
        <v>878</v>
      </c>
      <c r="Z126" t="s">
        <v>889</v>
      </c>
      <c r="AA126" s="6">
        <v>253198.12075738836</v>
      </c>
      <c r="AB126" s="7">
        <f>DealsRawTable[[#This Row],[Final_Price_ACV]]*DealsRawTable[[#This Row],[Contract_Years]]</f>
        <v>253198.12075738836</v>
      </c>
      <c r="AC126" s="6">
        <v>86129.83593760393</v>
      </c>
      <c r="AD126" s="6">
        <v>167068.28481978443</v>
      </c>
      <c r="AE126" s="8">
        <v>0.65983224646389615</v>
      </c>
      <c r="AF126" t="s">
        <v>880</v>
      </c>
      <c r="AG126" t="s">
        <v>44</v>
      </c>
      <c r="AI126" t="s">
        <v>38</v>
      </c>
      <c r="AJ126" s="6">
        <v>253198.12075738836</v>
      </c>
      <c r="AK126" s="6">
        <v>167068.28481978443</v>
      </c>
      <c r="AL126" t="s">
        <v>881</v>
      </c>
      <c r="AM126">
        <f t="shared" si="2"/>
        <v>253335.91</v>
      </c>
      <c r="AN126">
        <f>DealsRawTable[[#This Row],[Validated_Annual_Final_Price]]*DealsRawTable[[#This Row],[Contract_Years]]</f>
        <v>253335.91</v>
      </c>
      <c r="AO126">
        <f>DealsRawTable[[#This Row],[Validated_Annual_Final_Price]]-DealsRawTable[[#This Row],[Cost_to_Serve]]</f>
        <v>167206.07406239607</v>
      </c>
      <c r="AP126" s="17">
        <f>DealsRawTable[[#This Row],[Validated_Grossprofit]]/DealsRawTable[[#This Row],[Validated_Annual_Final_Price]]</f>
        <v>0.66001726349176504</v>
      </c>
      <c r="AQ126" s="17">
        <v>253335.91</v>
      </c>
      <c r="AR126" s="17">
        <v>253335.91</v>
      </c>
      <c r="AS126" s="17">
        <v>167206.07406239607</v>
      </c>
      <c r="AT126" s="17">
        <v>0.66001726349176504</v>
      </c>
      <c r="AU126" s="17" t="str">
        <f t="shared" si="3"/>
        <v>10–15%</v>
      </c>
      <c r="AV126" s="17">
        <v>113</v>
      </c>
      <c r="AW126" s="17"/>
    </row>
    <row r="127" spans="1:49">
      <c r="A127" t="s">
        <v>1032</v>
      </c>
      <c r="B127" s="5">
        <v>45736</v>
      </c>
      <c r="C127" t="s">
        <v>134</v>
      </c>
      <c r="D127" t="s">
        <v>135</v>
      </c>
      <c r="E127" t="s">
        <v>534</v>
      </c>
      <c r="F127" t="s">
        <v>466</v>
      </c>
      <c r="G127" t="s">
        <v>34</v>
      </c>
      <c r="H127" t="s">
        <v>70</v>
      </c>
      <c r="I127" t="s">
        <v>76</v>
      </c>
      <c r="J127" t="s">
        <v>43</v>
      </c>
      <c r="K127" t="s">
        <v>44</v>
      </c>
      <c r="L127" s="5">
        <v>44621</v>
      </c>
      <c r="M127">
        <v>61</v>
      </c>
      <c r="N127" t="s">
        <v>427</v>
      </c>
      <c r="O127" t="s">
        <v>876</v>
      </c>
      <c r="Q127">
        <v>1</v>
      </c>
      <c r="R127">
        <v>1175</v>
      </c>
      <c r="S127" t="s">
        <v>900</v>
      </c>
      <c r="T127" s="6">
        <v>296528.31934855832</v>
      </c>
      <c r="U127" s="7">
        <f>T127*DealsRawTable[[#This Row],[Contract_Years]]</f>
        <v>296528.31934855832</v>
      </c>
      <c r="V127" s="8">
        <v>0.121</v>
      </c>
      <c r="W127" s="8">
        <v>9.9000000000000005E-2</v>
      </c>
      <c r="X127" s="8">
        <v>0.12</v>
      </c>
      <c r="Y127" t="s">
        <v>878</v>
      </c>
      <c r="Z127" t="s">
        <v>879</v>
      </c>
      <c r="AA127" s="6">
        <v>267111.16974269407</v>
      </c>
      <c r="AB127" s="7">
        <f>DealsRawTable[[#This Row],[Final_Price_ACV]]*DealsRawTable[[#This Row],[Contract_Years]]</f>
        <v>267111.16974269407</v>
      </c>
      <c r="AC127" s="6">
        <v>86070.49403623055</v>
      </c>
      <c r="AD127" s="6">
        <v>181040.67570646352</v>
      </c>
      <c r="AE127" s="8">
        <v>0.67777276360572447</v>
      </c>
      <c r="AF127" t="s">
        <v>880</v>
      </c>
      <c r="AG127" t="s">
        <v>44</v>
      </c>
      <c r="AI127" t="s">
        <v>38</v>
      </c>
      <c r="AJ127" s="6">
        <v>267111.16974269407</v>
      </c>
      <c r="AK127" s="6">
        <v>181040.67570646352</v>
      </c>
      <c r="AL127" t="s">
        <v>881</v>
      </c>
      <c r="AM127">
        <f t="shared" si="2"/>
        <v>267172.02</v>
      </c>
      <c r="AN127">
        <f>DealsRawTable[[#This Row],[Validated_Annual_Final_Price]]*DealsRawTable[[#This Row],[Contract_Years]]</f>
        <v>267172.02</v>
      </c>
      <c r="AO127">
        <f>DealsRawTable[[#This Row],[Validated_Annual_Final_Price]]-DealsRawTable[[#This Row],[Cost_to_Serve]]</f>
        <v>181101.52596376947</v>
      </c>
      <c r="AP127" s="17">
        <f>DealsRawTable[[#This Row],[Validated_Grossprofit]]/DealsRawTable[[#This Row],[Validated_Annual_Final_Price]]</f>
        <v>0.67784615306561469</v>
      </c>
      <c r="AQ127" s="17">
        <v>267172.02</v>
      </c>
      <c r="AR127" s="17">
        <v>267172.02</v>
      </c>
      <c r="AS127" s="17">
        <v>181101.52596376947</v>
      </c>
      <c r="AT127" s="17">
        <v>0.67784615306561469</v>
      </c>
      <c r="AU127" s="17" t="str">
        <f t="shared" si="3"/>
        <v>5–10%</v>
      </c>
      <c r="AV127" s="17">
        <v>116</v>
      </c>
      <c r="AW127" s="17"/>
    </row>
    <row r="128" spans="1:49">
      <c r="A128" t="s">
        <v>1033</v>
      </c>
      <c r="B128" s="5">
        <v>45451</v>
      </c>
      <c r="C128" t="s">
        <v>134</v>
      </c>
      <c r="D128" t="s">
        <v>135</v>
      </c>
      <c r="E128" t="s">
        <v>535</v>
      </c>
      <c r="F128" t="s">
        <v>47</v>
      </c>
      <c r="G128" t="s">
        <v>34</v>
      </c>
      <c r="H128" t="s">
        <v>70</v>
      </c>
      <c r="I128" t="s">
        <v>76</v>
      </c>
      <c r="J128" t="s">
        <v>43</v>
      </c>
      <c r="K128" t="s">
        <v>44</v>
      </c>
      <c r="L128" s="5">
        <v>44621</v>
      </c>
      <c r="M128">
        <v>61</v>
      </c>
      <c r="N128" t="s">
        <v>433</v>
      </c>
      <c r="O128" t="s">
        <v>883</v>
      </c>
      <c r="P128" t="s">
        <v>946</v>
      </c>
      <c r="Q128">
        <v>1</v>
      </c>
      <c r="R128">
        <v>420</v>
      </c>
      <c r="S128" t="s">
        <v>907</v>
      </c>
      <c r="T128" s="6">
        <v>1562184.075539951</v>
      </c>
      <c r="U128" s="7">
        <f>T128*DealsRawTable[[#This Row],[Contract_Years]]</f>
        <v>1562184.075539951</v>
      </c>
      <c r="V128" s="8">
        <v>0.13900000000000001</v>
      </c>
      <c r="W128" s="8">
        <v>0.129</v>
      </c>
      <c r="X128" s="8">
        <v>-6.7000000000000004E-2</v>
      </c>
      <c r="Y128" t="s">
        <v>885</v>
      </c>
      <c r="Z128" t="s">
        <v>889</v>
      </c>
      <c r="AA128" s="6">
        <v>1360524.6278988195</v>
      </c>
      <c r="AB128" s="7">
        <f>DealsRawTable[[#This Row],[Final_Price_ACV]]*DealsRawTable[[#This Row],[Contract_Years]]</f>
        <v>1360524.6278988195</v>
      </c>
      <c r="AC128" s="6">
        <v>619160.18843942985</v>
      </c>
      <c r="AD128" s="6">
        <v>741364.43945938966</v>
      </c>
      <c r="AE128" s="8">
        <v>0.54491070889642435</v>
      </c>
      <c r="AF128" t="s">
        <v>880</v>
      </c>
      <c r="AH128" t="s">
        <v>44</v>
      </c>
      <c r="AI128" t="s">
        <v>38</v>
      </c>
      <c r="AJ128" s="6">
        <v>1360524.6278988195</v>
      </c>
      <c r="AK128" s="6">
        <v>741364.43945938966</v>
      </c>
      <c r="AL128" t="s">
        <v>886</v>
      </c>
      <c r="AM128">
        <f t="shared" si="2"/>
        <v>1360662.33</v>
      </c>
      <c r="AN128">
        <f>DealsRawTable[[#This Row],[Validated_Annual_Final_Price]]*DealsRawTable[[#This Row],[Contract_Years]]</f>
        <v>1360662.33</v>
      </c>
      <c r="AO128">
        <f>DealsRawTable[[#This Row],[Validated_Annual_Final_Price]]-DealsRawTable[[#This Row],[Cost_to_Serve]]</f>
        <v>741502.14156057022</v>
      </c>
      <c r="AP128" s="17">
        <f>DealsRawTable[[#This Row],[Validated_Grossprofit]]/DealsRawTable[[#This Row],[Validated_Annual_Final_Price]]</f>
        <v>0.54495676496061307</v>
      </c>
      <c r="AQ128" s="17">
        <v>1360662.33</v>
      </c>
      <c r="AR128" s="17">
        <v>1360662.33</v>
      </c>
      <c r="AS128" s="17">
        <v>741502.14156057022</v>
      </c>
      <c r="AT128" s="17">
        <v>0.54495676496061307</v>
      </c>
      <c r="AU128" s="17" t="str">
        <f t="shared" si="3"/>
        <v>10–15%</v>
      </c>
      <c r="AV128" s="17">
        <v>113</v>
      </c>
      <c r="AW128" s="17"/>
    </row>
    <row r="129" spans="1:49">
      <c r="A129" t="s">
        <v>1034</v>
      </c>
      <c r="B129" s="5">
        <v>45618</v>
      </c>
      <c r="C129" t="s">
        <v>134</v>
      </c>
      <c r="D129" t="s">
        <v>135</v>
      </c>
      <c r="E129" t="s">
        <v>535</v>
      </c>
      <c r="F129" t="s">
        <v>47</v>
      </c>
      <c r="G129" t="s">
        <v>34</v>
      </c>
      <c r="H129" t="s">
        <v>70</v>
      </c>
      <c r="I129" t="s">
        <v>76</v>
      </c>
      <c r="J129" t="s">
        <v>43</v>
      </c>
      <c r="K129" t="s">
        <v>44</v>
      </c>
      <c r="L129" s="5">
        <v>44621</v>
      </c>
      <c r="M129">
        <v>61</v>
      </c>
      <c r="N129" t="s">
        <v>433</v>
      </c>
      <c r="O129" t="s">
        <v>876</v>
      </c>
      <c r="Q129">
        <v>1</v>
      </c>
      <c r="R129">
        <v>420</v>
      </c>
      <c r="S129" t="s">
        <v>932</v>
      </c>
      <c r="T129" s="6">
        <v>1686502.3820917602</v>
      </c>
      <c r="U129" s="7">
        <f>T129*DealsRawTable[[#This Row],[Contract_Years]]</f>
        <v>1686502.3820917602</v>
      </c>
      <c r="V129" s="8">
        <v>5.5E-2</v>
      </c>
      <c r="W129" s="8">
        <v>2.9000000000000001E-2</v>
      </c>
      <c r="X129" s="8">
        <v>5.1999999999999998E-2</v>
      </c>
      <c r="Y129" t="s">
        <v>878</v>
      </c>
      <c r="Z129" t="s">
        <v>879</v>
      </c>
      <c r="AA129" s="6">
        <v>1637953.8281112479</v>
      </c>
      <c r="AB129" s="7">
        <f>DealsRawTable[[#This Row],[Final_Price_ACV]]*DealsRawTable[[#This Row],[Contract_Years]]</f>
        <v>1637953.8281112479</v>
      </c>
      <c r="AC129" s="6">
        <v>644578.13293468708</v>
      </c>
      <c r="AD129" s="6">
        <v>993375.69517656078</v>
      </c>
      <c r="AE129" s="8">
        <v>0.60647356361811433</v>
      </c>
      <c r="AF129" t="s">
        <v>880</v>
      </c>
      <c r="AG129" t="s">
        <v>44</v>
      </c>
      <c r="AI129" t="s">
        <v>38</v>
      </c>
      <c r="AJ129" s="6">
        <v>1637953.8281112479</v>
      </c>
      <c r="AK129" s="6">
        <v>993375.69517656078</v>
      </c>
      <c r="AL129" t="s">
        <v>881</v>
      </c>
      <c r="AM129">
        <f t="shared" si="2"/>
        <v>1637593.81</v>
      </c>
      <c r="AN129">
        <f>DealsRawTable[[#This Row],[Validated_Annual_Final_Price]]*DealsRawTable[[#This Row],[Contract_Years]]</f>
        <v>1637593.81</v>
      </c>
      <c r="AO129">
        <f>DealsRawTable[[#This Row],[Validated_Annual_Final_Price]]-DealsRawTable[[#This Row],[Cost_to_Serve]]</f>
        <v>993015.67706531298</v>
      </c>
      <c r="AP129" s="17">
        <f>DealsRawTable[[#This Row],[Validated_Grossprofit]]/DealsRawTable[[#This Row],[Validated_Annual_Final_Price]]</f>
        <v>0.60638704848628666</v>
      </c>
      <c r="AQ129" s="17">
        <v>1637593.81</v>
      </c>
      <c r="AR129" s="17">
        <v>1637593.81</v>
      </c>
      <c r="AS129" s="17">
        <v>993015.67706531298</v>
      </c>
      <c r="AT129" s="17">
        <v>0.60638704848628666</v>
      </c>
      <c r="AU129" s="17" t="str">
        <f t="shared" si="3"/>
        <v>0–5%</v>
      </c>
      <c r="AV129" s="17">
        <v>55</v>
      </c>
      <c r="AW129" s="17"/>
    </row>
    <row r="130" spans="1:49">
      <c r="A130" t="s">
        <v>1035</v>
      </c>
      <c r="B130" s="5">
        <v>45983</v>
      </c>
      <c r="C130" t="s">
        <v>134</v>
      </c>
      <c r="D130" t="s">
        <v>135</v>
      </c>
      <c r="E130" t="s">
        <v>535</v>
      </c>
      <c r="F130" t="s">
        <v>47</v>
      </c>
      <c r="G130" t="s">
        <v>34</v>
      </c>
      <c r="H130" t="s">
        <v>70</v>
      </c>
      <c r="I130" t="s">
        <v>76</v>
      </c>
      <c r="J130" t="s">
        <v>43</v>
      </c>
      <c r="K130" t="s">
        <v>44</v>
      </c>
      <c r="L130" s="5">
        <v>44621</v>
      </c>
      <c r="M130">
        <v>61</v>
      </c>
      <c r="N130" t="s">
        <v>433</v>
      </c>
      <c r="O130" t="s">
        <v>876</v>
      </c>
      <c r="Q130">
        <v>1</v>
      </c>
      <c r="R130">
        <v>420</v>
      </c>
      <c r="S130" t="s">
        <v>907</v>
      </c>
      <c r="T130" s="6">
        <v>1820829.3399646431</v>
      </c>
      <c r="U130" s="7">
        <f>T130*DealsRawTable[[#This Row],[Contract_Years]]</f>
        <v>1820829.3399646431</v>
      </c>
      <c r="V130" s="8">
        <v>5.2999999999999999E-2</v>
      </c>
      <c r="W130" s="8">
        <v>4.3999999999999997E-2</v>
      </c>
      <c r="X130" s="8">
        <v>4.0000000000000001E-3</v>
      </c>
      <c r="Y130" t="s">
        <v>878</v>
      </c>
      <c r="Z130" t="s">
        <v>879</v>
      </c>
      <c r="AA130" s="6">
        <v>1741237.5919371694</v>
      </c>
      <c r="AB130" s="7">
        <f>DealsRawTable[[#This Row],[Final_Price_ACV]]*DealsRawTable[[#This Row],[Contract_Years]]</f>
        <v>1741237.5919371694</v>
      </c>
      <c r="AC130" s="6">
        <v>638594.22176156484</v>
      </c>
      <c r="AD130" s="6">
        <v>1102643.3701756047</v>
      </c>
      <c r="AE130" s="8">
        <v>0.63325267917567007</v>
      </c>
      <c r="AF130" t="s">
        <v>880</v>
      </c>
      <c r="AG130" t="s">
        <v>44</v>
      </c>
      <c r="AI130" t="s">
        <v>38</v>
      </c>
      <c r="AJ130" s="6">
        <v>1741237.5919371694</v>
      </c>
      <c r="AK130" s="6">
        <v>1102643.3701756047</v>
      </c>
      <c r="AL130" t="s">
        <v>881</v>
      </c>
      <c r="AM130">
        <f t="shared" si="2"/>
        <v>1740712.85</v>
      </c>
      <c r="AN130">
        <f>DealsRawTable[[#This Row],[Validated_Annual_Final_Price]]*DealsRawTable[[#This Row],[Contract_Years]]</f>
        <v>1740712.85</v>
      </c>
      <c r="AO130">
        <f>DealsRawTable[[#This Row],[Validated_Annual_Final_Price]]-DealsRawTable[[#This Row],[Cost_to_Serve]]</f>
        <v>1102118.6282384354</v>
      </c>
      <c r="AP130" s="17">
        <f>DealsRawTable[[#This Row],[Validated_Grossprofit]]/DealsRawTable[[#This Row],[Validated_Annual_Final_Price]]</f>
        <v>0.63314212234282941</v>
      </c>
      <c r="AQ130" s="17">
        <v>1740712.85</v>
      </c>
      <c r="AR130" s="17">
        <v>1740712.85</v>
      </c>
      <c r="AS130" s="17">
        <v>1102118.6282384354</v>
      </c>
      <c r="AT130" s="17">
        <v>0.63314212234282941</v>
      </c>
      <c r="AU130" s="17" t="str">
        <f t="shared" si="3"/>
        <v>0–5%</v>
      </c>
      <c r="AV130" s="17">
        <v>55</v>
      </c>
      <c r="AW130" s="17"/>
    </row>
    <row r="131" spans="1:49">
      <c r="A131" t="s">
        <v>1036</v>
      </c>
      <c r="B131" s="5">
        <v>45488</v>
      </c>
      <c r="C131" t="s">
        <v>136</v>
      </c>
      <c r="D131" t="s">
        <v>137</v>
      </c>
      <c r="E131" t="s">
        <v>536</v>
      </c>
      <c r="F131" t="s">
        <v>445</v>
      </c>
      <c r="G131" t="s">
        <v>83</v>
      </c>
      <c r="H131" t="s">
        <v>54</v>
      </c>
      <c r="I131" t="s">
        <v>55</v>
      </c>
      <c r="J131" t="s">
        <v>56</v>
      </c>
      <c r="K131" t="s">
        <v>38</v>
      </c>
      <c r="L131" s="5">
        <v>43374</v>
      </c>
      <c r="M131">
        <v>49</v>
      </c>
      <c r="N131" t="s">
        <v>431</v>
      </c>
      <c r="O131" t="s">
        <v>876</v>
      </c>
      <c r="Q131">
        <v>1</v>
      </c>
      <c r="R131">
        <v>311</v>
      </c>
      <c r="S131" t="s">
        <v>947</v>
      </c>
      <c r="T131" s="6">
        <v>113591.30554100915</v>
      </c>
      <c r="U131" s="7">
        <f>T131*DealsRawTable[[#This Row],[Contract_Years]]</f>
        <v>113591.30554100915</v>
      </c>
      <c r="V131" s="8">
        <v>0.13800000000000001</v>
      </c>
      <c r="W131" s="8">
        <v>0.112</v>
      </c>
      <c r="X131" s="8">
        <v>-3.4000000000000002E-2</v>
      </c>
      <c r="Y131" t="s">
        <v>878</v>
      </c>
      <c r="Z131" t="s">
        <v>889</v>
      </c>
      <c r="AA131" s="6">
        <v>100895.33528878557</v>
      </c>
      <c r="AB131" s="7">
        <f>DealsRawTable[[#This Row],[Final_Price_ACV]]*DealsRawTable[[#This Row],[Contract_Years]]</f>
        <v>100895.33528878557</v>
      </c>
      <c r="AC131" s="6">
        <v>45996.563309371733</v>
      </c>
      <c r="AD131" s="6">
        <v>54898.771979413839</v>
      </c>
      <c r="AE131" s="8">
        <v>0.54411605672631913</v>
      </c>
      <c r="AF131" t="s">
        <v>880</v>
      </c>
      <c r="AG131" t="s">
        <v>44</v>
      </c>
      <c r="AI131" t="s">
        <v>38</v>
      </c>
      <c r="AJ131" s="6">
        <v>100895.33528878557</v>
      </c>
      <c r="AK131" s="6">
        <v>54898.771979413839</v>
      </c>
      <c r="AL131" t="s">
        <v>881</v>
      </c>
      <c r="AM131">
        <f t="shared" si="2"/>
        <v>100869.08</v>
      </c>
      <c r="AN131">
        <f>DealsRawTable[[#This Row],[Validated_Annual_Final_Price]]*DealsRawTable[[#This Row],[Contract_Years]]</f>
        <v>100869.08</v>
      </c>
      <c r="AO131">
        <f>DealsRawTable[[#This Row],[Validated_Annual_Final_Price]]-DealsRawTable[[#This Row],[Cost_to_Serve]]</f>
        <v>54872.516690628268</v>
      </c>
      <c r="AP131" s="17">
        <f>DealsRawTable[[#This Row],[Validated_Grossprofit]]/DealsRawTable[[#This Row],[Validated_Annual_Final_Price]]</f>
        <v>0.54399739435145311</v>
      </c>
      <c r="AQ131" s="17">
        <v>100869.08</v>
      </c>
      <c r="AR131" s="17">
        <v>100869.08</v>
      </c>
      <c r="AS131" s="17">
        <v>54872.516690628268</v>
      </c>
      <c r="AT131" s="17">
        <v>0.54399739435145311</v>
      </c>
      <c r="AU131" s="17" t="str">
        <f t="shared" si="3"/>
        <v>10–15%</v>
      </c>
      <c r="AV131" s="17">
        <v>113</v>
      </c>
      <c r="AW131" s="17"/>
    </row>
    <row r="132" spans="1:49">
      <c r="A132" t="s">
        <v>1037</v>
      </c>
      <c r="B132" s="5">
        <v>45712</v>
      </c>
      <c r="C132" t="s">
        <v>136</v>
      </c>
      <c r="D132" t="s">
        <v>137</v>
      </c>
      <c r="E132" t="s">
        <v>536</v>
      </c>
      <c r="F132" t="s">
        <v>445</v>
      </c>
      <c r="G132" t="s">
        <v>83</v>
      </c>
      <c r="H132" t="s">
        <v>54</v>
      </c>
      <c r="I132" t="s">
        <v>55</v>
      </c>
      <c r="J132" t="s">
        <v>56</v>
      </c>
      <c r="K132" t="s">
        <v>38</v>
      </c>
      <c r="L132" s="5">
        <v>43374</v>
      </c>
      <c r="M132">
        <v>49</v>
      </c>
      <c r="N132" t="s">
        <v>431</v>
      </c>
      <c r="O132" t="s">
        <v>883</v>
      </c>
      <c r="P132" t="s">
        <v>985</v>
      </c>
      <c r="Q132">
        <v>1</v>
      </c>
      <c r="R132">
        <v>354</v>
      </c>
      <c r="S132" t="s">
        <v>892</v>
      </c>
      <c r="T132" s="6">
        <v>151655.67938384213</v>
      </c>
      <c r="U132" s="7">
        <f>T132*DealsRawTable[[#This Row],[Contract_Years]]</f>
        <v>151655.67938384213</v>
      </c>
      <c r="V132" s="8">
        <v>0.121</v>
      </c>
      <c r="W132" s="8">
        <v>0.113</v>
      </c>
      <c r="X132" s="8">
        <v>-7.6999999999999999E-2</v>
      </c>
      <c r="Y132" t="s">
        <v>885</v>
      </c>
      <c r="Z132" t="s">
        <v>889</v>
      </c>
      <c r="AA132" s="6">
        <v>134553.92038887675</v>
      </c>
      <c r="AB132" s="7">
        <f>DealsRawTable[[#This Row],[Final_Price_ACV]]*DealsRawTable[[#This Row],[Contract_Years]]</f>
        <v>134553.92038887675</v>
      </c>
      <c r="AC132" s="6">
        <v>58602.473585284461</v>
      </c>
      <c r="AD132" s="6">
        <v>75951.446803592291</v>
      </c>
      <c r="AE132" s="8">
        <v>0.56446847913523157</v>
      </c>
      <c r="AF132" t="s">
        <v>880</v>
      </c>
      <c r="AH132" t="s">
        <v>44</v>
      </c>
      <c r="AI132" t="s">
        <v>38</v>
      </c>
      <c r="AJ132" s="6">
        <v>134553.92038887675</v>
      </c>
      <c r="AK132" s="6">
        <v>75951.446803592291</v>
      </c>
      <c r="AL132" t="s">
        <v>886</v>
      </c>
      <c r="AM132">
        <f t="shared" si="2"/>
        <v>134518.59</v>
      </c>
      <c r="AN132">
        <f>DealsRawTable[[#This Row],[Validated_Annual_Final_Price]]*DealsRawTable[[#This Row],[Contract_Years]]</f>
        <v>134518.59</v>
      </c>
      <c r="AO132">
        <f>DealsRawTable[[#This Row],[Validated_Annual_Final_Price]]-DealsRawTable[[#This Row],[Cost_to_Serve]]</f>
        <v>75916.116414715536</v>
      </c>
      <c r="AP132" s="17">
        <f>DealsRawTable[[#This Row],[Validated_Grossprofit]]/DealsRawTable[[#This Row],[Validated_Annual_Final_Price]]</f>
        <v>0.56435408975603696</v>
      </c>
      <c r="AQ132" s="17">
        <v>134518.59</v>
      </c>
      <c r="AR132" s="17">
        <v>134518.59</v>
      </c>
      <c r="AS132" s="17">
        <v>75916.116414715536</v>
      </c>
      <c r="AT132" s="17">
        <v>0.56435408975603696</v>
      </c>
      <c r="AU132" s="17" t="str">
        <f t="shared" si="3"/>
        <v>10–15%</v>
      </c>
      <c r="AV132" s="17">
        <v>113</v>
      </c>
      <c r="AW132" s="17"/>
    </row>
    <row r="133" spans="1:49">
      <c r="A133" t="s">
        <v>1038</v>
      </c>
      <c r="B133" s="5">
        <v>45853</v>
      </c>
      <c r="C133" t="s">
        <v>136</v>
      </c>
      <c r="D133" t="s">
        <v>137</v>
      </c>
      <c r="E133" t="s">
        <v>536</v>
      </c>
      <c r="F133" t="s">
        <v>445</v>
      </c>
      <c r="G133" t="s">
        <v>83</v>
      </c>
      <c r="H133" t="s">
        <v>54</v>
      </c>
      <c r="I133" t="s">
        <v>55</v>
      </c>
      <c r="J133" t="s">
        <v>56</v>
      </c>
      <c r="K133" t="s">
        <v>38</v>
      </c>
      <c r="L133" s="5">
        <v>43374</v>
      </c>
      <c r="M133">
        <v>49</v>
      </c>
      <c r="N133" t="s">
        <v>431</v>
      </c>
      <c r="O133" t="s">
        <v>876</v>
      </c>
      <c r="Q133">
        <v>1</v>
      </c>
      <c r="R133">
        <v>354</v>
      </c>
      <c r="S133" t="s">
        <v>932</v>
      </c>
      <c r="T133" s="6">
        <v>155866.17665323356</v>
      </c>
      <c r="U133" s="7">
        <f>T133*DealsRawTable[[#This Row],[Contract_Years]]</f>
        <v>155866.17665323356</v>
      </c>
      <c r="V133" s="8">
        <v>0.23499999999999999</v>
      </c>
      <c r="W133" s="8">
        <v>0.23</v>
      </c>
      <c r="X133" s="8">
        <v>1E-3</v>
      </c>
      <c r="Y133" t="s">
        <v>878</v>
      </c>
      <c r="Z133" t="s">
        <v>893</v>
      </c>
      <c r="AA133" s="6">
        <v>120075.22811729999</v>
      </c>
      <c r="AB133" s="7">
        <f>DealsRawTable[[#This Row],[Final_Price_ACV]]*DealsRawTable[[#This Row],[Contract_Years]]</f>
        <v>120075.22811729999</v>
      </c>
      <c r="AC133" s="6">
        <v>58184.074790116116</v>
      </c>
      <c r="AD133" s="6">
        <v>61891.153327183878</v>
      </c>
      <c r="AE133" s="8">
        <v>0.5154364834245676</v>
      </c>
      <c r="AF133" t="s">
        <v>457</v>
      </c>
      <c r="AG133" t="s">
        <v>38</v>
      </c>
      <c r="AI133" t="s">
        <v>38</v>
      </c>
      <c r="AJ133" s="6">
        <v>0</v>
      </c>
      <c r="AK133" s="6">
        <v>0</v>
      </c>
      <c r="AL133" t="s">
        <v>881</v>
      </c>
      <c r="AM133">
        <f t="shared" ref="AM133:AM196" si="4">ROUND(T133*(1-W133),2)</f>
        <v>120016.96000000001</v>
      </c>
      <c r="AN133">
        <f>DealsRawTable[[#This Row],[Validated_Annual_Final_Price]]*DealsRawTable[[#This Row],[Contract_Years]]</f>
        <v>120016.96000000001</v>
      </c>
      <c r="AO133">
        <f>DealsRawTable[[#This Row],[Validated_Annual_Final_Price]]-DealsRawTable[[#This Row],[Cost_to_Serve]]</f>
        <v>61832.885209883891</v>
      </c>
      <c r="AP133" s="17">
        <f>DealsRawTable[[#This Row],[Validated_Grossprofit]]/DealsRawTable[[#This Row],[Validated_Annual_Final_Price]]</f>
        <v>0.5152012283087648</v>
      </c>
      <c r="AQ133" s="17">
        <v>0</v>
      </c>
      <c r="AR133" s="17">
        <v>0</v>
      </c>
      <c r="AS133" s="17">
        <v>0</v>
      </c>
      <c r="AT133" s="17">
        <v>0</v>
      </c>
      <c r="AU133" s="17" t="str">
        <f t="shared" ref="AU133:AU196" si="5">IF(W133&lt;=0.05,"0–5%", IF(W133&lt;=0.1,"5–10%", IF(W133&lt;=0.15,"10–15%", IF(W133&lt;=0.2,"15–20%", IF(W133&lt;=0.25,"20–25%", IF(W133&lt;=0.3,"25–30%","Above 30%"))))))</f>
        <v>20–25%</v>
      </c>
      <c r="AV133" s="17">
        <v>29</v>
      </c>
      <c r="AW133" s="17"/>
    </row>
    <row r="134" spans="1:49">
      <c r="A134" t="s">
        <v>1039</v>
      </c>
      <c r="B134" s="5">
        <v>45494</v>
      </c>
      <c r="C134" t="s">
        <v>138</v>
      </c>
      <c r="D134" t="s">
        <v>139</v>
      </c>
      <c r="E134" t="s">
        <v>537</v>
      </c>
      <c r="F134" t="s">
        <v>47</v>
      </c>
      <c r="G134" t="s">
        <v>83</v>
      </c>
      <c r="H134" t="s">
        <v>48</v>
      </c>
      <c r="I134" t="s">
        <v>115</v>
      </c>
      <c r="J134" t="s">
        <v>43</v>
      </c>
      <c r="K134" t="s">
        <v>44</v>
      </c>
      <c r="L134" s="5">
        <v>44105</v>
      </c>
      <c r="M134">
        <v>83</v>
      </c>
      <c r="N134" t="s">
        <v>429</v>
      </c>
      <c r="O134" t="s">
        <v>891</v>
      </c>
      <c r="Q134">
        <v>3</v>
      </c>
      <c r="R134">
        <v>1865</v>
      </c>
      <c r="S134" t="s">
        <v>907</v>
      </c>
      <c r="T134" s="6">
        <v>357913.87233186373</v>
      </c>
      <c r="U134" s="7">
        <f>T134*DealsRawTable[[#This Row],[Contract_Years]]</f>
        <v>1073741.6169955912</v>
      </c>
      <c r="V134" s="8">
        <v>0.152</v>
      </c>
      <c r="W134" s="8">
        <v>0.10199999999999999</v>
      </c>
      <c r="X134" s="8">
        <v>-0.128</v>
      </c>
      <c r="Y134" t="s">
        <v>911</v>
      </c>
      <c r="Z134" t="s">
        <v>889</v>
      </c>
      <c r="AA134" s="6">
        <v>321425.41935681581</v>
      </c>
      <c r="AB134" s="7">
        <f>DealsRawTable[[#This Row],[Final_Price_ACV]]*DealsRawTable[[#This Row],[Contract_Years]]</f>
        <v>964276.25807044748</v>
      </c>
      <c r="AC134" s="6">
        <v>142025.43107791449</v>
      </c>
      <c r="AD134" s="6">
        <v>179399.98827890132</v>
      </c>
      <c r="AE134" s="8">
        <v>0.55813877022510339</v>
      </c>
      <c r="AF134" t="s">
        <v>880</v>
      </c>
      <c r="AI134" t="s">
        <v>38</v>
      </c>
      <c r="AJ134" s="6">
        <v>321425.41935681581</v>
      </c>
      <c r="AK134" s="6">
        <v>179399.98827890132</v>
      </c>
      <c r="AL134" t="s">
        <v>894</v>
      </c>
      <c r="AM134">
        <f t="shared" si="4"/>
        <v>321406.65999999997</v>
      </c>
      <c r="AN134">
        <f>DealsRawTable[[#This Row],[Validated_Annual_Final_Price]]*DealsRawTable[[#This Row],[Contract_Years]]</f>
        <v>964219.98</v>
      </c>
      <c r="AO134">
        <f>DealsRawTable[[#This Row],[Validated_Annual_Final_Price]]-DealsRawTable[[#This Row],[Cost_to_Serve]]</f>
        <v>179381.22892208549</v>
      </c>
      <c r="AP134" s="17">
        <f>DealsRawTable[[#This Row],[Validated_Grossprofit]]/DealsRawTable[[#This Row],[Validated_Annual_Final_Price]]</f>
        <v>0.55811298036601198</v>
      </c>
      <c r="AQ134" s="17">
        <v>321406.65999999997</v>
      </c>
      <c r="AR134" s="17">
        <v>964219.98</v>
      </c>
      <c r="AS134" s="17">
        <v>179381.22892208549</v>
      </c>
      <c r="AT134" s="17">
        <v>0.55811298036601198</v>
      </c>
      <c r="AU134" s="17" t="str">
        <f t="shared" si="5"/>
        <v>10–15%</v>
      </c>
      <c r="AV134" s="17">
        <v>113</v>
      </c>
      <c r="AW134" s="17"/>
    </row>
    <row r="135" spans="1:49">
      <c r="A135" t="s">
        <v>1040</v>
      </c>
      <c r="B135" s="5">
        <v>45368</v>
      </c>
      <c r="C135" t="s">
        <v>138</v>
      </c>
      <c r="D135" t="s">
        <v>139</v>
      </c>
      <c r="E135" t="s">
        <v>538</v>
      </c>
      <c r="F135" t="s">
        <v>449</v>
      </c>
      <c r="G135" t="s">
        <v>83</v>
      </c>
      <c r="H135" t="s">
        <v>48</v>
      </c>
      <c r="I135" t="s">
        <v>115</v>
      </c>
      <c r="J135" t="s">
        <v>43</v>
      </c>
      <c r="K135" t="s">
        <v>44</v>
      </c>
      <c r="L135" s="5">
        <v>44105</v>
      </c>
      <c r="M135">
        <v>83</v>
      </c>
      <c r="N135" t="s">
        <v>429</v>
      </c>
      <c r="O135" t="s">
        <v>876</v>
      </c>
      <c r="Q135">
        <v>1</v>
      </c>
      <c r="R135">
        <v>765</v>
      </c>
      <c r="S135" t="s">
        <v>896</v>
      </c>
      <c r="T135" s="6">
        <v>450340.26075695589</v>
      </c>
      <c r="U135" s="7">
        <f>T135*DealsRawTable[[#This Row],[Contract_Years]]</f>
        <v>450340.26075695589</v>
      </c>
      <c r="V135" s="8">
        <v>0.14299999999999999</v>
      </c>
      <c r="W135" s="8">
        <v>7.9000000000000001E-2</v>
      </c>
      <c r="X135" s="8">
        <v>-9.8000000000000004E-2</v>
      </c>
      <c r="Y135" t="s">
        <v>878</v>
      </c>
      <c r="Z135" t="s">
        <v>879</v>
      </c>
      <c r="AA135" s="6">
        <v>414750.40475902677</v>
      </c>
      <c r="AB135" s="7">
        <f>DealsRawTable[[#This Row],[Final_Price_ACV]]*DealsRawTable[[#This Row],[Contract_Years]]</f>
        <v>414750.40475902677</v>
      </c>
      <c r="AC135" s="6">
        <v>172483.79585423489</v>
      </c>
      <c r="AD135" s="6">
        <v>242266.60890479188</v>
      </c>
      <c r="AE135" s="8">
        <v>0.58412627480267476</v>
      </c>
      <c r="AF135" t="s">
        <v>880</v>
      </c>
      <c r="AG135" t="s">
        <v>44</v>
      </c>
      <c r="AI135" t="s">
        <v>38</v>
      </c>
      <c r="AJ135" s="6">
        <v>414750.40475902677</v>
      </c>
      <c r="AK135" s="6">
        <v>242266.60890479188</v>
      </c>
      <c r="AL135" t="s">
        <v>881</v>
      </c>
      <c r="AM135">
        <f t="shared" si="4"/>
        <v>414763.38</v>
      </c>
      <c r="AN135">
        <f>DealsRawTable[[#This Row],[Validated_Annual_Final_Price]]*DealsRawTable[[#This Row],[Contract_Years]]</f>
        <v>414763.38</v>
      </c>
      <c r="AO135">
        <f>DealsRawTable[[#This Row],[Validated_Annual_Final_Price]]-DealsRawTable[[#This Row],[Cost_to_Serve]]</f>
        <v>242279.58414576511</v>
      </c>
      <c r="AP135" s="17">
        <f>DealsRawTable[[#This Row],[Validated_Grossprofit]]/DealsRawTable[[#This Row],[Validated_Annual_Final_Price]]</f>
        <v>0.58413928477910737</v>
      </c>
      <c r="AQ135" s="17">
        <v>414763.38</v>
      </c>
      <c r="AR135" s="17">
        <v>414763.38</v>
      </c>
      <c r="AS135" s="17">
        <v>242279.58414576511</v>
      </c>
      <c r="AT135" s="17">
        <v>0.58413928477910737</v>
      </c>
      <c r="AU135" s="17" t="str">
        <f t="shared" si="5"/>
        <v>5–10%</v>
      </c>
      <c r="AV135" s="17">
        <v>116</v>
      </c>
      <c r="AW135" s="17"/>
    </row>
    <row r="136" spans="1:49">
      <c r="A136" t="s">
        <v>1041</v>
      </c>
      <c r="B136" s="5">
        <v>45558</v>
      </c>
      <c r="C136" t="s">
        <v>138</v>
      </c>
      <c r="D136" t="s">
        <v>139</v>
      </c>
      <c r="E136" t="s">
        <v>538</v>
      </c>
      <c r="F136" t="s">
        <v>449</v>
      </c>
      <c r="G136" t="s">
        <v>83</v>
      </c>
      <c r="H136" t="s">
        <v>48</v>
      </c>
      <c r="I136" t="s">
        <v>115</v>
      </c>
      <c r="J136" t="s">
        <v>43</v>
      </c>
      <c r="K136" t="s">
        <v>44</v>
      </c>
      <c r="L136" s="5">
        <v>44105</v>
      </c>
      <c r="M136">
        <v>83</v>
      </c>
      <c r="N136" t="s">
        <v>429</v>
      </c>
      <c r="O136" t="s">
        <v>883</v>
      </c>
      <c r="P136" t="s">
        <v>985</v>
      </c>
      <c r="Q136">
        <v>1</v>
      </c>
      <c r="R136">
        <v>1096</v>
      </c>
      <c r="S136" t="s">
        <v>888</v>
      </c>
      <c r="T136" s="6">
        <v>568934.39269697282</v>
      </c>
      <c r="U136" s="7">
        <f>T136*DealsRawTable[[#This Row],[Contract_Years]]</f>
        <v>568934.39269697282</v>
      </c>
      <c r="V136" s="8">
        <v>0.10199999999999999</v>
      </c>
      <c r="W136" s="8">
        <v>9.7000000000000003E-2</v>
      </c>
      <c r="X136" s="8">
        <v>2.5999999999999999E-2</v>
      </c>
      <c r="Y136" t="s">
        <v>885</v>
      </c>
      <c r="Z136" t="s">
        <v>879</v>
      </c>
      <c r="AA136" s="6">
        <v>513498.46302734595</v>
      </c>
      <c r="AB136" s="7">
        <f>DealsRawTable[[#This Row],[Final_Price_ACV]]*DealsRawTable[[#This Row],[Contract_Years]]</f>
        <v>513498.46302734595</v>
      </c>
      <c r="AC136" s="6">
        <v>179490.21243326343</v>
      </c>
      <c r="AD136" s="6">
        <v>334008.25059408252</v>
      </c>
      <c r="AE136" s="8">
        <v>0.65045618369513047</v>
      </c>
      <c r="AF136" t="s">
        <v>457</v>
      </c>
      <c r="AH136" t="s">
        <v>38</v>
      </c>
      <c r="AI136" t="s">
        <v>38</v>
      </c>
      <c r="AJ136" s="6">
        <v>0</v>
      </c>
      <c r="AK136" s="6">
        <v>0</v>
      </c>
      <c r="AL136" t="s">
        <v>886</v>
      </c>
      <c r="AM136">
        <f t="shared" si="4"/>
        <v>513747.76</v>
      </c>
      <c r="AN136">
        <f>DealsRawTable[[#This Row],[Validated_Annual_Final_Price]]*DealsRawTable[[#This Row],[Contract_Years]]</f>
        <v>513747.76</v>
      </c>
      <c r="AO136">
        <f>DealsRawTable[[#This Row],[Validated_Annual_Final_Price]]-DealsRawTable[[#This Row],[Cost_to_Serve]]</f>
        <v>334257.54756673658</v>
      </c>
      <c r="AP136" s="17">
        <f>DealsRawTable[[#This Row],[Validated_Grossprofit]]/DealsRawTable[[#This Row],[Validated_Annual_Final_Price]]</f>
        <v>0.65062580042536167</v>
      </c>
      <c r="AQ136" s="17">
        <v>0</v>
      </c>
      <c r="AR136" s="17">
        <v>0</v>
      </c>
      <c r="AS136" s="17">
        <v>0</v>
      </c>
      <c r="AT136" s="17">
        <v>0</v>
      </c>
      <c r="AU136" s="17" t="str">
        <f t="shared" si="5"/>
        <v>5–10%</v>
      </c>
      <c r="AV136" s="17">
        <v>116</v>
      </c>
      <c r="AW136" s="17"/>
    </row>
    <row r="137" spans="1:49">
      <c r="A137" t="s">
        <v>1042</v>
      </c>
      <c r="B137" s="5">
        <v>45733</v>
      </c>
      <c r="C137" t="s">
        <v>138</v>
      </c>
      <c r="D137" t="s">
        <v>139</v>
      </c>
      <c r="E137" t="s">
        <v>538</v>
      </c>
      <c r="F137" t="s">
        <v>449</v>
      </c>
      <c r="G137" t="s">
        <v>83</v>
      </c>
      <c r="H137" t="s">
        <v>48</v>
      </c>
      <c r="I137" t="s">
        <v>115</v>
      </c>
      <c r="J137" t="s">
        <v>43</v>
      </c>
      <c r="K137" t="s">
        <v>44</v>
      </c>
      <c r="L137" s="5">
        <v>44105</v>
      </c>
      <c r="M137">
        <v>83</v>
      </c>
      <c r="N137" t="s">
        <v>429</v>
      </c>
      <c r="O137" t="s">
        <v>876</v>
      </c>
      <c r="Q137">
        <v>1</v>
      </c>
      <c r="R137">
        <v>765</v>
      </c>
      <c r="S137" t="s">
        <v>877</v>
      </c>
      <c r="T137" s="6">
        <v>460504.98393952387</v>
      </c>
      <c r="U137" s="7">
        <f>T137*DealsRawTable[[#This Row],[Contract_Years]]</f>
        <v>460504.98393952387</v>
      </c>
      <c r="V137" s="8">
        <v>1.6E-2</v>
      </c>
      <c r="W137" s="8">
        <v>5.0000000000000001E-3</v>
      </c>
      <c r="X137" s="8">
        <v>0</v>
      </c>
      <c r="Y137" t="s">
        <v>905</v>
      </c>
      <c r="Z137" t="s">
        <v>879</v>
      </c>
      <c r="AA137" s="6">
        <v>458199.8346732537</v>
      </c>
      <c r="AB137" s="7">
        <f>DealsRawTable[[#This Row],[Final_Price_ACV]]*DealsRawTable[[#This Row],[Contract_Years]]</f>
        <v>458199.8346732537</v>
      </c>
      <c r="AC137" s="6">
        <v>173619.72477271955</v>
      </c>
      <c r="AD137" s="6">
        <v>284580.10990053415</v>
      </c>
      <c r="AE137" s="8">
        <v>0.62108296067690794</v>
      </c>
      <c r="AF137" t="s">
        <v>457</v>
      </c>
      <c r="AG137" t="s">
        <v>38</v>
      </c>
      <c r="AI137" t="s">
        <v>38</v>
      </c>
      <c r="AJ137" s="6">
        <v>0</v>
      </c>
      <c r="AK137" s="6">
        <v>0</v>
      </c>
      <c r="AL137" t="s">
        <v>881</v>
      </c>
      <c r="AM137">
        <f t="shared" si="4"/>
        <v>458202.46</v>
      </c>
      <c r="AN137">
        <f>DealsRawTable[[#This Row],[Validated_Annual_Final_Price]]*DealsRawTable[[#This Row],[Contract_Years]]</f>
        <v>458202.46</v>
      </c>
      <c r="AO137">
        <f>DealsRawTable[[#This Row],[Validated_Annual_Final_Price]]-DealsRawTable[[#This Row],[Cost_to_Serve]]</f>
        <v>284582.73522728047</v>
      </c>
      <c r="AP137" s="17">
        <f>DealsRawTable[[#This Row],[Validated_Grossprofit]]/DealsRawTable[[#This Row],[Validated_Annual_Final_Price]]</f>
        <v>0.62108513172818947</v>
      </c>
      <c r="AQ137" s="17">
        <v>0</v>
      </c>
      <c r="AR137" s="17">
        <v>0</v>
      </c>
      <c r="AS137" s="17">
        <v>0</v>
      </c>
      <c r="AT137" s="17">
        <v>0</v>
      </c>
      <c r="AU137" s="17" t="str">
        <f t="shared" si="5"/>
        <v>0–5%</v>
      </c>
      <c r="AV137" s="17">
        <v>55</v>
      </c>
      <c r="AW137" s="17"/>
    </row>
    <row r="138" spans="1:49">
      <c r="A138" t="s">
        <v>1043</v>
      </c>
      <c r="B138" s="5">
        <v>45910</v>
      </c>
      <c r="C138" t="s">
        <v>138</v>
      </c>
      <c r="D138" t="s">
        <v>139</v>
      </c>
      <c r="E138" t="s">
        <v>538</v>
      </c>
      <c r="F138" t="s">
        <v>449</v>
      </c>
      <c r="G138" t="s">
        <v>83</v>
      </c>
      <c r="H138" t="s">
        <v>48</v>
      </c>
      <c r="I138" t="s">
        <v>115</v>
      </c>
      <c r="J138" t="s">
        <v>43</v>
      </c>
      <c r="K138" t="s">
        <v>44</v>
      </c>
      <c r="L138" s="5">
        <v>44105</v>
      </c>
      <c r="M138">
        <v>83</v>
      </c>
      <c r="N138" t="s">
        <v>429</v>
      </c>
      <c r="O138" t="s">
        <v>915</v>
      </c>
      <c r="Q138">
        <v>1</v>
      </c>
      <c r="R138">
        <v>765</v>
      </c>
      <c r="S138" t="s">
        <v>932</v>
      </c>
      <c r="T138" s="6">
        <v>460504.98393952387</v>
      </c>
      <c r="U138" s="7">
        <f>T138*DealsRawTable[[#This Row],[Contract_Years]]</f>
        <v>460504.98393952387</v>
      </c>
      <c r="V138" s="8">
        <v>0.22900000000000001</v>
      </c>
      <c r="W138" s="8">
        <v>0.21</v>
      </c>
      <c r="X138" s="8">
        <v>-6.3E-2</v>
      </c>
      <c r="Y138" t="s">
        <v>878</v>
      </c>
      <c r="Z138" t="s">
        <v>893</v>
      </c>
      <c r="AA138" s="6">
        <v>363756.70317116729</v>
      </c>
      <c r="AB138" s="7">
        <f>DealsRawTable[[#This Row],[Final_Price_ACV]]*DealsRawTable[[#This Row],[Contract_Years]]</f>
        <v>363756.70317116729</v>
      </c>
      <c r="AC138" s="6">
        <v>179921.64046519814</v>
      </c>
      <c r="AD138" s="6">
        <v>183835.06270596915</v>
      </c>
      <c r="AE138" s="8">
        <v>0.50537917543052058</v>
      </c>
      <c r="AF138" t="s">
        <v>457</v>
      </c>
      <c r="AI138" t="s">
        <v>44</v>
      </c>
      <c r="AJ138" s="6">
        <v>0</v>
      </c>
      <c r="AK138" s="6">
        <v>0</v>
      </c>
      <c r="AL138" t="s">
        <v>916</v>
      </c>
      <c r="AM138">
        <f t="shared" si="4"/>
        <v>363798.94</v>
      </c>
      <c r="AN138">
        <f>DealsRawTable[[#This Row],[Validated_Annual_Final_Price]]*DealsRawTable[[#This Row],[Contract_Years]]</f>
        <v>363798.94</v>
      </c>
      <c r="AO138">
        <f>DealsRawTable[[#This Row],[Validated_Annual_Final_Price]]-DealsRawTable[[#This Row],[Cost_to_Serve]]</f>
        <v>183877.29953480186</v>
      </c>
      <c r="AP138" s="17">
        <f>DealsRawTable[[#This Row],[Validated_Grossprofit]]/DealsRawTable[[#This Row],[Validated_Annual_Final_Price]]</f>
        <v>0.50543660059812667</v>
      </c>
      <c r="AQ138" s="17">
        <v>0</v>
      </c>
      <c r="AR138" s="17">
        <v>0</v>
      </c>
      <c r="AS138" s="17">
        <v>0</v>
      </c>
      <c r="AT138" s="17">
        <v>0</v>
      </c>
      <c r="AU138" s="17" t="str">
        <f t="shared" si="5"/>
        <v>20–25%</v>
      </c>
      <c r="AV138" s="17">
        <v>29</v>
      </c>
      <c r="AW138" s="17"/>
    </row>
    <row r="139" spans="1:49">
      <c r="A139" t="s">
        <v>1044</v>
      </c>
      <c r="B139" s="5">
        <v>45375</v>
      </c>
      <c r="C139" t="s">
        <v>140</v>
      </c>
      <c r="D139" t="s">
        <v>141</v>
      </c>
      <c r="E139" t="s">
        <v>539</v>
      </c>
      <c r="F139" t="s">
        <v>34</v>
      </c>
      <c r="G139" t="s">
        <v>47</v>
      </c>
      <c r="H139" t="s">
        <v>54</v>
      </c>
      <c r="I139" t="s">
        <v>94</v>
      </c>
      <c r="J139" t="s">
        <v>43</v>
      </c>
      <c r="K139" t="s">
        <v>38</v>
      </c>
      <c r="L139" s="5">
        <v>43435</v>
      </c>
      <c r="M139">
        <v>44</v>
      </c>
      <c r="N139" t="s">
        <v>429</v>
      </c>
      <c r="O139" t="s">
        <v>883</v>
      </c>
      <c r="P139" t="s">
        <v>884</v>
      </c>
      <c r="Q139">
        <v>1</v>
      </c>
      <c r="R139">
        <v>1641</v>
      </c>
      <c r="S139" t="s">
        <v>907</v>
      </c>
      <c r="T139" s="6">
        <v>459552.86570209399</v>
      </c>
      <c r="U139" s="7">
        <f>T139*DealsRawTable[[#This Row],[Contract_Years]]</f>
        <v>459552.86570209399</v>
      </c>
      <c r="V139" s="8">
        <v>7.2999999999999995E-2</v>
      </c>
      <c r="W139" s="8">
        <v>4.8000000000000001E-2</v>
      </c>
      <c r="X139" s="8">
        <v>-4.9000000000000002E-2</v>
      </c>
      <c r="Y139" t="s">
        <v>885</v>
      </c>
      <c r="Z139" t="s">
        <v>879</v>
      </c>
      <c r="AA139" s="6">
        <v>437434.10974016035</v>
      </c>
      <c r="AB139" s="7">
        <f>DealsRawTable[[#This Row],[Final_Price_ACV]]*DealsRawTable[[#This Row],[Contract_Years]]</f>
        <v>437434.10974016035</v>
      </c>
      <c r="AC139" s="6">
        <v>164287.57839407225</v>
      </c>
      <c r="AD139" s="6">
        <v>273146.5313460881</v>
      </c>
      <c r="AE139" s="8">
        <v>0.62442897173322742</v>
      </c>
      <c r="AF139" t="s">
        <v>880</v>
      </c>
      <c r="AH139" t="s">
        <v>44</v>
      </c>
      <c r="AI139" t="s">
        <v>38</v>
      </c>
      <c r="AJ139" s="6">
        <v>437434.10974016035</v>
      </c>
      <c r="AK139" s="6">
        <v>273146.5313460881</v>
      </c>
      <c r="AL139" t="s">
        <v>886</v>
      </c>
      <c r="AM139">
        <f t="shared" si="4"/>
        <v>437494.33</v>
      </c>
      <c r="AN139">
        <f>DealsRawTable[[#This Row],[Validated_Annual_Final_Price]]*DealsRawTable[[#This Row],[Contract_Years]]</f>
        <v>437494.33</v>
      </c>
      <c r="AO139">
        <f>DealsRawTable[[#This Row],[Validated_Annual_Final_Price]]-DealsRawTable[[#This Row],[Cost_to_Serve]]</f>
        <v>273206.75160592777</v>
      </c>
      <c r="AP139" s="17">
        <f>DealsRawTable[[#This Row],[Validated_Grossprofit]]/DealsRawTable[[#This Row],[Validated_Annual_Final_Price]]</f>
        <v>0.62448066836872551</v>
      </c>
      <c r="AQ139" s="17">
        <v>437494.33</v>
      </c>
      <c r="AR139" s="17">
        <v>437494.33</v>
      </c>
      <c r="AS139" s="17">
        <v>273206.75160592777</v>
      </c>
      <c r="AT139" s="17">
        <v>0.62448066836872551</v>
      </c>
      <c r="AU139" s="17" t="str">
        <f t="shared" si="5"/>
        <v>0–5%</v>
      </c>
      <c r="AV139" s="17">
        <v>55</v>
      </c>
      <c r="AW139" s="17"/>
    </row>
    <row r="140" spans="1:49">
      <c r="A140" t="s">
        <v>1045</v>
      </c>
      <c r="B140" s="5">
        <v>45614</v>
      </c>
      <c r="C140" t="s">
        <v>140</v>
      </c>
      <c r="D140" t="s">
        <v>141</v>
      </c>
      <c r="E140" t="s">
        <v>539</v>
      </c>
      <c r="F140" t="s">
        <v>34</v>
      </c>
      <c r="G140" t="s">
        <v>47</v>
      </c>
      <c r="H140" t="s">
        <v>54</v>
      </c>
      <c r="I140" t="s">
        <v>94</v>
      </c>
      <c r="J140" t="s">
        <v>43</v>
      </c>
      <c r="K140" t="s">
        <v>38</v>
      </c>
      <c r="L140" s="5">
        <v>43435</v>
      </c>
      <c r="M140">
        <v>44</v>
      </c>
      <c r="N140" t="s">
        <v>429</v>
      </c>
      <c r="O140" t="s">
        <v>876</v>
      </c>
      <c r="Q140">
        <v>1</v>
      </c>
      <c r="R140">
        <v>1641</v>
      </c>
      <c r="S140" t="s">
        <v>877</v>
      </c>
      <c r="T140" s="6">
        <v>477462.61329572112</v>
      </c>
      <c r="U140" s="7">
        <f>T140*DealsRawTable[[#This Row],[Contract_Years]]</f>
        <v>477462.61329572112</v>
      </c>
      <c r="V140" s="8">
        <v>0.11700000000000001</v>
      </c>
      <c r="W140" s="8">
        <v>0.106</v>
      </c>
      <c r="X140" s="8">
        <v>3.7999999999999999E-2</v>
      </c>
      <c r="Y140" t="s">
        <v>878</v>
      </c>
      <c r="Z140" t="s">
        <v>889</v>
      </c>
      <c r="AA140" s="6">
        <v>426996.61823163339</v>
      </c>
      <c r="AB140" s="7">
        <f>DealsRawTable[[#This Row],[Final_Price_ACV]]*DealsRawTable[[#This Row],[Contract_Years]]</f>
        <v>426996.61823163339</v>
      </c>
      <c r="AC140" s="6">
        <v>156349.44706572007</v>
      </c>
      <c r="AD140" s="6">
        <v>270647.17116591334</v>
      </c>
      <c r="AE140" s="8">
        <v>0.63383914441002676</v>
      </c>
      <c r="AF140" t="s">
        <v>880</v>
      </c>
      <c r="AG140" t="s">
        <v>44</v>
      </c>
      <c r="AI140" t="s">
        <v>38</v>
      </c>
      <c r="AJ140" s="6">
        <v>426996.61823163339</v>
      </c>
      <c r="AK140" s="6">
        <v>270647.17116591334</v>
      </c>
      <c r="AL140" t="s">
        <v>881</v>
      </c>
      <c r="AM140">
        <f t="shared" si="4"/>
        <v>426851.58</v>
      </c>
      <c r="AN140">
        <f>DealsRawTable[[#This Row],[Validated_Annual_Final_Price]]*DealsRawTable[[#This Row],[Contract_Years]]</f>
        <v>426851.58</v>
      </c>
      <c r="AO140">
        <f>DealsRawTable[[#This Row],[Validated_Annual_Final_Price]]-DealsRawTable[[#This Row],[Cost_to_Serve]]</f>
        <v>270502.13293427997</v>
      </c>
      <c r="AP140" s="17">
        <f>DealsRawTable[[#This Row],[Validated_Grossprofit]]/DealsRawTable[[#This Row],[Validated_Annual_Final_Price]]</f>
        <v>0.6337147280426606</v>
      </c>
      <c r="AQ140" s="17">
        <v>426851.58</v>
      </c>
      <c r="AR140" s="17">
        <v>426851.58</v>
      </c>
      <c r="AS140" s="17">
        <v>270502.13293427997</v>
      </c>
      <c r="AT140" s="17">
        <v>0.6337147280426606</v>
      </c>
      <c r="AU140" s="17" t="str">
        <f t="shared" si="5"/>
        <v>10–15%</v>
      </c>
      <c r="AV140" s="17">
        <v>113</v>
      </c>
      <c r="AW140" s="17"/>
    </row>
    <row r="141" spans="1:49">
      <c r="A141" t="s">
        <v>1046</v>
      </c>
      <c r="B141" s="5">
        <v>45815</v>
      </c>
      <c r="C141" t="s">
        <v>140</v>
      </c>
      <c r="D141" t="s">
        <v>141</v>
      </c>
      <c r="E141" t="s">
        <v>539</v>
      </c>
      <c r="F141" t="s">
        <v>34</v>
      </c>
      <c r="G141" t="s">
        <v>47</v>
      </c>
      <c r="H141" t="s">
        <v>54</v>
      </c>
      <c r="I141" t="s">
        <v>94</v>
      </c>
      <c r="J141" t="s">
        <v>43</v>
      </c>
      <c r="K141" t="s">
        <v>38</v>
      </c>
      <c r="L141" s="5">
        <v>43435</v>
      </c>
      <c r="M141">
        <v>44</v>
      </c>
      <c r="N141" t="s">
        <v>429</v>
      </c>
      <c r="O141" t="s">
        <v>883</v>
      </c>
      <c r="P141" t="s">
        <v>884</v>
      </c>
      <c r="Q141">
        <v>1</v>
      </c>
      <c r="R141">
        <v>2259</v>
      </c>
      <c r="S141" t="s">
        <v>932</v>
      </c>
      <c r="T141" s="6">
        <v>533700.372939119</v>
      </c>
      <c r="U141" s="7">
        <f>T141*DealsRawTable[[#This Row],[Contract_Years]]</f>
        <v>533700.372939119</v>
      </c>
      <c r="V141" s="8">
        <v>0.15</v>
      </c>
      <c r="W141" s="8">
        <v>0.12</v>
      </c>
      <c r="X141" s="8">
        <v>-1.4E-2</v>
      </c>
      <c r="Y141" t="s">
        <v>885</v>
      </c>
      <c r="Z141" t="s">
        <v>889</v>
      </c>
      <c r="AA141" s="6">
        <v>469779.60737337038</v>
      </c>
      <c r="AB141" s="7">
        <f>DealsRawTable[[#This Row],[Final_Price_ACV]]*DealsRawTable[[#This Row],[Contract_Years]]</f>
        <v>469779.60737337038</v>
      </c>
      <c r="AC141" s="6">
        <v>188070.23577121136</v>
      </c>
      <c r="AD141" s="6">
        <v>281709.37160215899</v>
      </c>
      <c r="AE141" s="8">
        <v>0.59966283589287994</v>
      </c>
      <c r="AF141" t="s">
        <v>880</v>
      </c>
      <c r="AH141" t="s">
        <v>44</v>
      </c>
      <c r="AI141" t="s">
        <v>38</v>
      </c>
      <c r="AJ141" s="6">
        <v>469779.60737337038</v>
      </c>
      <c r="AK141" s="6">
        <v>281709.37160215899</v>
      </c>
      <c r="AL141" t="s">
        <v>886</v>
      </c>
      <c r="AM141">
        <f t="shared" si="4"/>
        <v>469656.33</v>
      </c>
      <c r="AN141">
        <f>DealsRawTable[[#This Row],[Validated_Annual_Final_Price]]*DealsRawTable[[#This Row],[Contract_Years]]</f>
        <v>469656.33</v>
      </c>
      <c r="AO141">
        <f>DealsRawTable[[#This Row],[Validated_Annual_Final_Price]]-DealsRawTable[[#This Row],[Cost_to_Serve]]</f>
        <v>281586.09422878863</v>
      </c>
      <c r="AP141" s="17">
        <f>DealsRawTable[[#This Row],[Validated_Grossprofit]]/DealsRawTable[[#This Row],[Validated_Annual_Final_Price]]</f>
        <v>0.59955775370639341</v>
      </c>
      <c r="AQ141" s="17">
        <v>469656.33</v>
      </c>
      <c r="AR141" s="17">
        <v>469656.33</v>
      </c>
      <c r="AS141" s="17">
        <v>281586.09422878863</v>
      </c>
      <c r="AT141" s="17">
        <v>0.59955775370639341</v>
      </c>
      <c r="AU141" s="17" t="str">
        <f t="shared" si="5"/>
        <v>10–15%</v>
      </c>
      <c r="AV141" s="17">
        <v>113</v>
      </c>
      <c r="AW141" s="17"/>
    </row>
    <row r="142" spans="1:49">
      <c r="A142" t="s">
        <v>1047</v>
      </c>
      <c r="B142" s="5">
        <v>45979</v>
      </c>
      <c r="C142" t="s">
        <v>140</v>
      </c>
      <c r="D142" t="s">
        <v>141</v>
      </c>
      <c r="E142" t="s">
        <v>539</v>
      </c>
      <c r="F142" t="s">
        <v>34</v>
      </c>
      <c r="G142" t="s">
        <v>47</v>
      </c>
      <c r="H142" t="s">
        <v>54</v>
      </c>
      <c r="I142" t="s">
        <v>94</v>
      </c>
      <c r="J142" t="s">
        <v>43</v>
      </c>
      <c r="K142" t="s">
        <v>38</v>
      </c>
      <c r="L142" s="5">
        <v>43435</v>
      </c>
      <c r="M142">
        <v>44</v>
      </c>
      <c r="N142" t="s">
        <v>429</v>
      </c>
      <c r="O142" t="s">
        <v>876</v>
      </c>
      <c r="Q142">
        <v>1</v>
      </c>
      <c r="R142">
        <v>2259</v>
      </c>
      <c r="S142" t="s">
        <v>907</v>
      </c>
      <c r="T142" s="6">
        <v>554030.22018407786</v>
      </c>
      <c r="U142" s="7">
        <f>T142*DealsRawTable[[#This Row],[Contract_Years]]</f>
        <v>554030.22018407786</v>
      </c>
      <c r="V142" s="8">
        <v>0.153</v>
      </c>
      <c r="W142" s="8">
        <v>0.14199999999999999</v>
      </c>
      <c r="X142" s="8">
        <v>-6.0999999999999999E-2</v>
      </c>
      <c r="Y142" t="s">
        <v>878</v>
      </c>
      <c r="Z142" t="s">
        <v>889</v>
      </c>
      <c r="AA142" s="6">
        <v>475435.2548284799</v>
      </c>
      <c r="AB142" s="7">
        <f>DealsRawTable[[#This Row],[Final_Price_ACV]]*DealsRawTable[[#This Row],[Contract_Years]]</f>
        <v>475435.2548284799</v>
      </c>
      <c r="AC142" s="6">
        <v>179437.53604562051</v>
      </c>
      <c r="AD142" s="6">
        <v>295997.71878285939</v>
      </c>
      <c r="AE142" s="8">
        <v>0.62258260357584294</v>
      </c>
      <c r="AF142" t="s">
        <v>880</v>
      </c>
      <c r="AG142" t="s">
        <v>44</v>
      </c>
      <c r="AI142" t="s">
        <v>38</v>
      </c>
      <c r="AJ142" s="6">
        <v>475435.2548284799</v>
      </c>
      <c r="AK142" s="6">
        <v>295997.71878285939</v>
      </c>
      <c r="AL142" t="s">
        <v>881</v>
      </c>
      <c r="AM142">
        <f t="shared" si="4"/>
        <v>475357.93</v>
      </c>
      <c r="AN142">
        <f>DealsRawTable[[#This Row],[Validated_Annual_Final_Price]]*DealsRawTable[[#This Row],[Contract_Years]]</f>
        <v>475357.93</v>
      </c>
      <c r="AO142">
        <f>DealsRawTable[[#This Row],[Validated_Annual_Final_Price]]-DealsRawTable[[#This Row],[Cost_to_Serve]]</f>
        <v>295920.39395437948</v>
      </c>
      <c r="AP142" s="17">
        <f>DealsRawTable[[#This Row],[Validated_Grossprofit]]/DealsRawTable[[#This Row],[Validated_Annual_Final_Price]]</f>
        <v>0.62252121039482711</v>
      </c>
      <c r="AQ142" s="17">
        <v>475357.93</v>
      </c>
      <c r="AR142" s="17">
        <v>475357.93</v>
      </c>
      <c r="AS142" s="17">
        <v>295920.39395437948</v>
      </c>
      <c r="AT142" s="17">
        <v>0.62252121039482711</v>
      </c>
      <c r="AU142" s="17" t="str">
        <f t="shared" si="5"/>
        <v>10–15%</v>
      </c>
      <c r="AV142" s="17">
        <v>113</v>
      </c>
      <c r="AW142" s="17"/>
    </row>
    <row r="143" spans="1:49">
      <c r="A143" t="s">
        <v>1048</v>
      </c>
      <c r="B143" s="5">
        <v>45675</v>
      </c>
      <c r="C143" t="s">
        <v>142</v>
      </c>
      <c r="D143" t="s">
        <v>143</v>
      </c>
      <c r="E143" t="s">
        <v>540</v>
      </c>
      <c r="F143" t="s">
        <v>475</v>
      </c>
      <c r="G143" t="s">
        <v>60</v>
      </c>
      <c r="H143" t="s">
        <v>35</v>
      </c>
      <c r="I143" t="s">
        <v>36</v>
      </c>
      <c r="J143" t="s">
        <v>37</v>
      </c>
      <c r="K143" t="s">
        <v>38</v>
      </c>
      <c r="L143" s="5">
        <v>43556</v>
      </c>
      <c r="M143">
        <v>72</v>
      </c>
      <c r="N143" t="s">
        <v>429</v>
      </c>
      <c r="O143" t="s">
        <v>891</v>
      </c>
      <c r="Q143">
        <v>2</v>
      </c>
      <c r="R143">
        <v>10</v>
      </c>
      <c r="S143" t="s">
        <v>900</v>
      </c>
      <c r="T143" s="6">
        <v>89280.842015537433</v>
      </c>
      <c r="U143" s="7">
        <f>T143*DealsRawTable[[#This Row],[Contract_Years]]</f>
        <v>178561.68403107487</v>
      </c>
      <c r="V143" s="8">
        <v>0.113</v>
      </c>
      <c r="W143" s="8">
        <v>0.11</v>
      </c>
      <c r="X143" s="8">
        <v>1.7000000000000001E-2</v>
      </c>
      <c r="Y143" t="s">
        <v>878</v>
      </c>
      <c r="Z143" t="s">
        <v>889</v>
      </c>
      <c r="AA143" s="6">
        <v>79436.132357132883</v>
      </c>
      <c r="AB143" s="7">
        <f>DealsRawTable[[#This Row],[Final_Price_ACV]]*DealsRawTable[[#This Row],[Contract_Years]]</f>
        <v>158872.26471426577</v>
      </c>
      <c r="AC143" s="6">
        <v>33894.787005956357</v>
      </c>
      <c r="AD143" s="6">
        <v>45541.345351176526</v>
      </c>
      <c r="AE143" s="8">
        <v>0.57330768757005313</v>
      </c>
      <c r="AF143" t="s">
        <v>880</v>
      </c>
      <c r="AI143" t="s">
        <v>38</v>
      </c>
      <c r="AJ143" s="6">
        <v>79436.132357132883</v>
      </c>
      <c r="AK143" s="6">
        <v>45541.345351176526</v>
      </c>
      <c r="AL143" t="s">
        <v>894</v>
      </c>
      <c r="AM143">
        <f t="shared" si="4"/>
        <v>79459.95</v>
      </c>
      <c r="AN143">
        <f>DealsRawTable[[#This Row],[Validated_Annual_Final_Price]]*DealsRawTable[[#This Row],[Contract_Years]]</f>
        <v>158919.9</v>
      </c>
      <c r="AO143">
        <f>DealsRawTable[[#This Row],[Validated_Annual_Final_Price]]-DealsRawTable[[#This Row],[Cost_to_Serve]]</f>
        <v>45565.16299404364</v>
      </c>
      <c r="AP143" s="17">
        <f>DealsRawTable[[#This Row],[Validated_Grossprofit]]/DealsRawTable[[#This Row],[Validated_Annual_Final_Price]]</f>
        <v>0.57343558602847899</v>
      </c>
      <c r="AQ143" s="17">
        <v>79459.95</v>
      </c>
      <c r="AR143" s="17">
        <v>158919.9</v>
      </c>
      <c r="AS143" s="17">
        <v>45565.16299404364</v>
      </c>
      <c r="AT143" s="17">
        <v>0.57343558602847899</v>
      </c>
      <c r="AU143" s="17" t="str">
        <f t="shared" si="5"/>
        <v>10–15%</v>
      </c>
      <c r="AV143" s="17">
        <v>113</v>
      </c>
      <c r="AW143" s="17"/>
    </row>
    <row r="144" spans="1:49">
      <c r="A144" t="s">
        <v>1049</v>
      </c>
      <c r="B144" s="5">
        <v>45352</v>
      </c>
      <c r="C144" t="s">
        <v>142</v>
      </c>
      <c r="D144" t="s">
        <v>143</v>
      </c>
      <c r="E144" t="s">
        <v>541</v>
      </c>
      <c r="F144" t="s">
        <v>466</v>
      </c>
      <c r="G144" t="s">
        <v>60</v>
      </c>
      <c r="H144" t="s">
        <v>35</v>
      </c>
      <c r="I144" t="s">
        <v>36</v>
      </c>
      <c r="J144" t="s">
        <v>37</v>
      </c>
      <c r="K144" t="s">
        <v>38</v>
      </c>
      <c r="L144" s="5">
        <v>43556</v>
      </c>
      <c r="M144">
        <v>72</v>
      </c>
      <c r="N144" t="s">
        <v>427</v>
      </c>
      <c r="O144" t="s">
        <v>876</v>
      </c>
      <c r="Q144">
        <v>1</v>
      </c>
      <c r="R144">
        <v>68</v>
      </c>
      <c r="S144" t="s">
        <v>888</v>
      </c>
      <c r="T144" s="6">
        <v>64003.257905411214</v>
      </c>
      <c r="U144" s="7">
        <f>T144*DealsRawTable[[#This Row],[Contract_Years]]</f>
        <v>64003.257905411214</v>
      </c>
      <c r="V144" s="8">
        <v>0.17799999999999999</v>
      </c>
      <c r="W144" s="8">
        <v>0.17399999999999999</v>
      </c>
      <c r="X144" s="8">
        <v>1.6E-2</v>
      </c>
      <c r="Y144" t="s">
        <v>911</v>
      </c>
      <c r="Z144" t="s">
        <v>889</v>
      </c>
      <c r="AA144" s="6">
        <v>52839.142887158167</v>
      </c>
      <c r="AB144" s="7">
        <f>DealsRawTable[[#This Row],[Final_Price_ACV]]*DealsRawTable[[#This Row],[Contract_Years]]</f>
        <v>52839.142887158167</v>
      </c>
      <c r="AC144" s="6">
        <v>21040.437116737852</v>
      </c>
      <c r="AD144" s="6">
        <v>31798.705770420314</v>
      </c>
      <c r="AE144" s="8">
        <v>0.60180207385893381</v>
      </c>
      <c r="AF144" t="s">
        <v>880</v>
      </c>
      <c r="AG144" t="s">
        <v>44</v>
      </c>
      <c r="AI144" t="s">
        <v>38</v>
      </c>
      <c r="AJ144" s="6">
        <v>52839.142887158167</v>
      </c>
      <c r="AK144" s="6">
        <v>31798.705770420314</v>
      </c>
      <c r="AL144" t="s">
        <v>881</v>
      </c>
      <c r="AM144">
        <f t="shared" si="4"/>
        <v>52866.69</v>
      </c>
      <c r="AN144">
        <f>DealsRawTable[[#This Row],[Validated_Annual_Final_Price]]*DealsRawTable[[#This Row],[Contract_Years]]</f>
        <v>52866.69</v>
      </c>
      <c r="AO144">
        <f>DealsRawTable[[#This Row],[Validated_Annual_Final_Price]]-DealsRawTable[[#This Row],[Cost_to_Serve]]</f>
        <v>31826.25288326215</v>
      </c>
      <c r="AP144" s="17">
        <f>DealsRawTable[[#This Row],[Validated_Grossprofit]]/DealsRawTable[[#This Row],[Validated_Annual_Final_Price]]</f>
        <v>0.60200956184815335</v>
      </c>
      <c r="AQ144" s="17">
        <v>52866.69</v>
      </c>
      <c r="AR144" s="17">
        <v>52866.69</v>
      </c>
      <c r="AS144" s="17">
        <v>31826.25288326215</v>
      </c>
      <c r="AT144" s="17">
        <v>0.60200956184815335</v>
      </c>
      <c r="AU144" s="17" t="str">
        <f t="shared" si="5"/>
        <v>15–20%</v>
      </c>
      <c r="AV144" s="17">
        <v>108</v>
      </c>
      <c r="AW144" s="17"/>
    </row>
    <row r="145" spans="1:49">
      <c r="A145" t="s">
        <v>1050</v>
      </c>
      <c r="B145" s="5">
        <v>45717</v>
      </c>
      <c r="C145" t="s">
        <v>142</v>
      </c>
      <c r="D145" t="s">
        <v>143</v>
      </c>
      <c r="E145" t="s">
        <v>541</v>
      </c>
      <c r="F145" t="s">
        <v>466</v>
      </c>
      <c r="G145" t="s">
        <v>60</v>
      </c>
      <c r="H145" t="s">
        <v>35</v>
      </c>
      <c r="I145" t="s">
        <v>36</v>
      </c>
      <c r="J145" t="s">
        <v>37</v>
      </c>
      <c r="K145" t="s">
        <v>38</v>
      </c>
      <c r="L145" s="5">
        <v>43556</v>
      </c>
      <c r="M145">
        <v>72</v>
      </c>
      <c r="N145" t="s">
        <v>427</v>
      </c>
      <c r="O145" t="s">
        <v>876</v>
      </c>
      <c r="Q145">
        <v>1</v>
      </c>
      <c r="R145">
        <v>68</v>
      </c>
      <c r="S145" t="s">
        <v>900</v>
      </c>
      <c r="T145" s="6">
        <v>68642.180668351953</v>
      </c>
      <c r="U145" s="7">
        <f>T145*DealsRawTable[[#This Row],[Contract_Years]]</f>
        <v>68642.180668351953</v>
      </c>
      <c r="V145" s="8">
        <v>0.17</v>
      </c>
      <c r="W145" s="8">
        <v>0.158</v>
      </c>
      <c r="X145" s="8">
        <v>-3.5999999999999997E-2</v>
      </c>
      <c r="Y145" t="s">
        <v>902</v>
      </c>
      <c r="Z145" t="s">
        <v>889</v>
      </c>
      <c r="AA145" s="6">
        <v>57781.338392621685</v>
      </c>
      <c r="AB145" s="7">
        <f>DealsRawTable[[#This Row],[Final_Price_ACV]]*DealsRawTable[[#This Row],[Contract_Years]]</f>
        <v>57781.338392621685</v>
      </c>
      <c r="AC145" s="6">
        <v>19330.632107735692</v>
      </c>
      <c r="AD145" s="6">
        <v>38450.706284885993</v>
      </c>
      <c r="AE145" s="8">
        <v>0.66545198423087948</v>
      </c>
      <c r="AF145" t="s">
        <v>880</v>
      </c>
      <c r="AG145" t="s">
        <v>44</v>
      </c>
      <c r="AI145" t="s">
        <v>38</v>
      </c>
      <c r="AJ145" s="6">
        <v>57781.338392621685</v>
      </c>
      <c r="AK145" s="6">
        <v>38450.706284885993</v>
      </c>
      <c r="AL145" t="s">
        <v>881</v>
      </c>
      <c r="AM145">
        <f t="shared" si="4"/>
        <v>57796.72</v>
      </c>
      <c r="AN145">
        <f>DealsRawTable[[#This Row],[Validated_Annual_Final_Price]]*DealsRawTable[[#This Row],[Contract_Years]]</f>
        <v>57796.72</v>
      </c>
      <c r="AO145">
        <f>DealsRawTable[[#This Row],[Validated_Annual_Final_Price]]-DealsRawTable[[#This Row],[Cost_to_Serve]]</f>
        <v>38466.08789226431</v>
      </c>
      <c r="AP145" s="17">
        <f>DealsRawTable[[#This Row],[Validated_Grossprofit]]/DealsRawTable[[#This Row],[Validated_Annual_Final_Price]]</f>
        <v>0.66554101845683122</v>
      </c>
      <c r="AQ145" s="17">
        <v>57796.72</v>
      </c>
      <c r="AR145" s="17">
        <v>57796.72</v>
      </c>
      <c r="AS145" s="17">
        <v>38466.08789226431</v>
      </c>
      <c r="AT145" s="17">
        <v>0.66554101845683122</v>
      </c>
      <c r="AU145" s="17" t="str">
        <f t="shared" si="5"/>
        <v>15–20%</v>
      </c>
      <c r="AV145" s="17">
        <v>108</v>
      </c>
      <c r="AW145" s="17"/>
    </row>
    <row r="146" spans="1:49">
      <c r="A146" t="s">
        <v>1051</v>
      </c>
      <c r="B146" s="5">
        <v>45476</v>
      </c>
      <c r="C146" t="s">
        <v>144</v>
      </c>
      <c r="D146" t="s">
        <v>145</v>
      </c>
      <c r="E146" t="s">
        <v>542</v>
      </c>
      <c r="F146" t="s">
        <v>449</v>
      </c>
      <c r="G146" t="s">
        <v>47</v>
      </c>
      <c r="H146" t="s">
        <v>48</v>
      </c>
      <c r="I146" t="s">
        <v>115</v>
      </c>
      <c r="J146" t="s">
        <v>43</v>
      </c>
      <c r="K146" t="s">
        <v>44</v>
      </c>
      <c r="L146" s="5">
        <v>45170</v>
      </c>
      <c r="M146">
        <v>72</v>
      </c>
      <c r="N146" t="s">
        <v>429</v>
      </c>
      <c r="O146" t="s">
        <v>891</v>
      </c>
      <c r="Q146">
        <v>1</v>
      </c>
      <c r="R146">
        <v>1109</v>
      </c>
      <c r="S146" t="s">
        <v>888</v>
      </c>
      <c r="T146" s="6">
        <v>397907.78840651119</v>
      </c>
      <c r="U146" s="7">
        <f>T146*DealsRawTable[[#This Row],[Contract_Years]]</f>
        <v>397907.78840651119</v>
      </c>
      <c r="V146" s="8">
        <v>0.17</v>
      </c>
      <c r="W146" s="8">
        <v>0.16200000000000001</v>
      </c>
      <c r="X146" s="8">
        <v>-1.2999999999999999E-2</v>
      </c>
      <c r="Y146" t="s">
        <v>878</v>
      </c>
      <c r="Z146" t="s">
        <v>889</v>
      </c>
      <c r="AA146" s="6">
        <v>333273.69920743624</v>
      </c>
      <c r="AB146" s="7">
        <f>DealsRawTable[[#This Row],[Final_Price_ACV]]*DealsRawTable[[#This Row],[Contract_Years]]</f>
        <v>333273.69920743624</v>
      </c>
      <c r="AC146" s="6">
        <v>154807.87497431217</v>
      </c>
      <c r="AD146" s="6">
        <v>178465.82423312406</v>
      </c>
      <c r="AE146" s="8">
        <v>0.53549327371927824</v>
      </c>
      <c r="AF146" t="s">
        <v>880</v>
      </c>
      <c r="AI146" t="s">
        <v>38</v>
      </c>
      <c r="AJ146" s="6">
        <v>333273.69920743624</v>
      </c>
      <c r="AK146" s="6">
        <v>178465.82423312406</v>
      </c>
      <c r="AL146" t="s">
        <v>894</v>
      </c>
      <c r="AM146">
        <f t="shared" si="4"/>
        <v>333446.73</v>
      </c>
      <c r="AN146">
        <f>DealsRawTable[[#This Row],[Validated_Annual_Final_Price]]*DealsRawTable[[#This Row],[Contract_Years]]</f>
        <v>333446.73</v>
      </c>
      <c r="AO146">
        <f>DealsRawTable[[#This Row],[Validated_Annual_Final_Price]]-DealsRawTable[[#This Row],[Cost_to_Serve]]</f>
        <v>178638.85502568781</v>
      </c>
      <c r="AP146" s="17">
        <f>DealsRawTable[[#This Row],[Validated_Grossprofit]]/DealsRawTable[[#This Row],[Validated_Annual_Final_Price]]</f>
        <v>0.53573431362091273</v>
      </c>
      <c r="AQ146" s="17">
        <v>333446.73</v>
      </c>
      <c r="AR146" s="17">
        <v>333446.73</v>
      </c>
      <c r="AS146" s="17">
        <v>178638.85502568781</v>
      </c>
      <c r="AT146" s="17">
        <v>0.53573431362091273</v>
      </c>
      <c r="AU146" s="17" t="str">
        <f t="shared" si="5"/>
        <v>15–20%</v>
      </c>
      <c r="AV146" s="17">
        <v>108</v>
      </c>
      <c r="AW146" s="17"/>
    </row>
    <row r="147" spans="1:49">
      <c r="A147" t="s">
        <v>1052</v>
      </c>
      <c r="B147" s="5">
        <v>45841</v>
      </c>
      <c r="C147" t="s">
        <v>144</v>
      </c>
      <c r="D147" t="s">
        <v>145</v>
      </c>
      <c r="E147" t="s">
        <v>542</v>
      </c>
      <c r="F147" t="s">
        <v>449</v>
      </c>
      <c r="G147" t="s">
        <v>47</v>
      </c>
      <c r="H147" t="s">
        <v>48</v>
      </c>
      <c r="I147" t="s">
        <v>115</v>
      </c>
      <c r="J147" t="s">
        <v>43</v>
      </c>
      <c r="K147" t="s">
        <v>44</v>
      </c>
      <c r="L147" s="5">
        <v>45170</v>
      </c>
      <c r="M147">
        <v>72</v>
      </c>
      <c r="N147" t="s">
        <v>429</v>
      </c>
      <c r="O147" t="s">
        <v>876</v>
      </c>
      <c r="Q147">
        <v>1</v>
      </c>
      <c r="R147">
        <v>1109</v>
      </c>
      <c r="S147" t="s">
        <v>888</v>
      </c>
      <c r="T147" s="6">
        <v>423336.29560979013</v>
      </c>
      <c r="U147" s="7">
        <f>T147*DealsRawTable[[#This Row],[Contract_Years]]</f>
        <v>423336.29560979013</v>
      </c>
      <c r="V147" s="8">
        <v>0.20100000000000001</v>
      </c>
      <c r="W147" s="8">
        <v>0.16700000000000001</v>
      </c>
      <c r="X147" s="8">
        <v>-0.13400000000000001</v>
      </c>
      <c r="Y147" t="s">
        <v>930</v>
      </c>
      <c r="Z147" t="s">
        <v>889</v>
      </c>
      <c r="AA147" s="6">
        <v>352577.77873484162</v>
      </c>
      <c r="AB147" s="7">
        <f>DealsRawTable[[#This Row],[Final_Price_ACV]]*DealsRawTable[[#This Row],[Contract_Years]]</f>
        <v>352577.77873484162</v>
      </c>
      <c r="AC147" s="6">
        <v>145914.18268039683</v>
      </c>
      <c r="AD147" s="6">
        <v>206663.59605444479</v>
      </c>
      <c r="AE147" s="8">
        <v>0.58615037168824946</v>
      </c>
      <c r="AF147" t="s">
        <v>880</v>
      </c>
      <c r="AG147" t="s">
        <v>44</v>
      </c>
      <c r="AI147" t="s">
        <v>38</v>
      </c>
      <c r="AJ147" s="6">
        <v>352577.77873484162</v>
      </c>
      <c r="AK147" s="6">
        <v>206663.59605444479</v>
      </c>
      <c r="AL147" t="s">
        <v>881</v>
      </c>
      <c r="AM147">
        <f t="shared" si="4"/>
        <v>352639.13</v>
      </c>
      <c r="AN147">
        <f>DealsRawTable[[#This Row],[Validated_Annual_Final_Price]]*DealsRawTable[[#This Row],[Contract_Years]]</f>
        <v>352639.13</v>
      </c>
      <c r="AO147">
        <f>DealsRawTable[[#This Row],[Validated_Annual_Final_Price]]-DealsRawTable[[#This Row],[Cost_to_Serve]]</f>
        <v>206724.94731960318</v>
      </c>
      <c r="AP147" s="17">
        <f>DealsRawTable[[#This Row],[Validated_Grossprofit]]/DealsRawTable[[#This Row],[Validated_Annual_Final_Price]]</f>
        <v>0.58622237220130158</v>
      </c>
      <c r="AQ147" s="17">
        <v>352639.13</v>
      </c>
      <c r="AR147" s="17">
        <v>352639.13</v>
      </c>
      <c r="AS147" s="17">
        <v>206724.94731960318</v>
      </c>
      <c r="AT147" s="17">
        <v>0.58622237220130158</v>
      </c>
      <c r="AU147" s="17" t="str">
        <f t="shared" si="5"/>
        <v>15–20%</v>
      </c>
      <c r="AV147" s="17">
        <v>108</v>
      </c>
      <c r="AW147" s="17"/>
    </row>
    <row r="148" spans="1:49">
      <c r="A148" t="s">
        <v>1053</v>
      </c>
      <c r="B148" s="5">
        <v>45527</v>
      </c>
      <c r="C148" t="s">
        <v>144</v>
      </c>
      <c r="D148" t="s">
        <v>145</v>
      </c>
      <c r="E148" t="s">
        <v>543</v>
      </c>
      <c r="F148" t="s">
        <v>47</v>
      </c>
      <c r="G148" t="s">
        <v>47</v>
      </c>
      <c r="H148" t="s">
        <v>48</v>
      </c>
      <c r="I148" t="s">
        <v>115</v>
      </c>
      <c r="J148" t="s">
        <v>43</v>
      </c>
      <c r="K148" t="s">
        <v>44</v>
      </c>
      <c r="L148" s="5">
        <v>45170</v>
      </c>
      <c r="M148">
        <v>72</v>
      </c>
      <c r="N148" t="s">
        <v>427</v>
      </c>
      <c r="O148" t="s">
        <v>891</v>
      </c>
      <c r="Q148">
        <v>1</v>
      </c>
      <c r="R148">
        <v>601</v>
      </c>
      <c r="S148" t="s">
        <v>932</v>
      </c>
      <c r="T148" s="6">
        <v>285663.61273304751</v>
      </c>
      <c r="U148" s="7">
        <f>T148*DealsRawTable[[#This Row],[Contract_Years]]</f>
        <v>285663.61273304751</v>
      </c>
      <c r="V148" s="8">
        <v>0.16</v>
      </c>
      <c r="W148" s="8">
        <v>0.112</v>
      </c>
      <c r="X148" s="8">
        <v>-0.02</v>
      </c>
      <c r="Y148" t="s">
        <v>885</v>
      </c>
      <c r="Z148" t="s">
        <v>889</v>
      </c>
      <c r="AA148" s="6">
        <v>253600.26197138737</v>
      </c>
      <c r="AB148" s="7">
        <f>DealsRawTable[[#This Row],[Final_Price_ACV]]*DealsRawTable[[#This Row],[Contract_Years]]</f>
        <v>253600.26197138737</v>
      </c>
      <c r="AC148" s="6">
        <v>104577.26266673309</v>
      </c>
      <c r="AD148" s="6">
        <v>149022.99930465428</v>
      </c>
      <c r="AE148" s="8">
        <v>0.58762951641378003</v>
      </c>
      <c r="AF148" t="s">
        <v>880</v>
      </c>
      <c r="AI148" t="s">
        <v>38</v>
      </c>
      <c r="AJ148" s="6">
        <v>253600.26197138737</v>
      </c>
      <c r="AK148" s="6">
        <v>149022.99930465428</v>
      </c>
      <c r="AL148" t="s">
        <v>894</v>
      </c>
      <c r="AM148">
        <f t="shared" si="4"/>
        <v>253669.29</v>
      </c>
      <c r="AN148">
        <f>DealsRawTable[[#This Row],[Validated_Annual_Final_Price]]*DealsRawTable[[#This Row],[Contract_Years]]</f>
        <v>253669.29</v>
      </c>
      <c r="AO148">
        <f>DealsRawTable[[#This Row],[Validated_Annual_Final_Price]]-DealsRawTable[[#This Row],[Cost_to_Serve]]</f>
        <v>149092.02733326692</v>
      </c>
      <c r="AP148" s="17">
        <f>DealsRawTable[[#This Row],[Validated_Grossprofit]]/DealsRawTable[[#This Row],[Validated_Annual_Final_Price]]</f>
        <v>0.58774172992429208</v>
      </c>
      <c r="AQ148" s="17">
        <v>253669.29</v>
      </c>
      <c r="AR148" s="17">
        <v>253669.29</v>
      </c>
      <c r="AS148" s="17">
        <v>149092.02733326692</v>
      </c>
      <c r="AT148" s="17">
        <v>0.58774172992429208</v>
      </c>
      <c r="AU148" s="17" t="str">
        <f t="shared" si="5"/>
        <v>10–15%</v>
      </c>
      <c r="AV148" s="17">
        <v>113</v>
      </c>
      <c r="AW148" s="17"/>
    </row>
    <row r="149" spans="1:49">
      <c r="A149" t="s">
        <v>1054</v>
      </c>
      <c r="B149" s="5">
        <v>45707</v>
      </c>
      <c r="C149" t="s">
        <v>144</v>
      </c>
      <c r="D149" t="s">
        <v>145</v>
      </c>
      <c r="E149" t="s">
        <v>543</v>
      </c>
      <c r="F149" t="s">
        <v>47</v>
      </c>
      <c r="G149" t="s">
        <v>47</v>
      </c>
      <c r="H149" t="s">
        <v>48</v>
      </c>
      <c r="I149" t="s">
        <v>115</v>
      </c>
      <c r="J149" t="s">
        <v>43</v>
      </c>
      <c r="K149" t="s">
        <v>44</v>
      </c>
      <c r="L149" s="5">
        <v>45170</v>
      </c>
      <c r="M149">
        <v>72</v>
      </c>
      <c r="N149" t="s">
        <v>427</v>
      </c>
      <c r="O149" t="s">
        <v>883</v>
      </c>
      <c r="P149" t="s">
        <v>946</v>
      </c>
      <c r="Q149">
        <v>1</v>
      </c>
      <c r="R149">
        <v>792</v>
      </c>
      <c r="S149" t="s">
        <v>900</v>
      </c>
      <c r="T149" s="6">
        <v>353521.3188171307</v>
      </c>
      <c r="U149" s="7">
        <f>T149*DealsRawTable[[#This Row],[Contract_Years]]</f>
        <v>353521.3188171307</v>
      </c>
      <c r="V149" s="8">
        <v>8.7999999999999995E-2</v>
      </c>
      <c r="W149" s="8">
        <v>6.8000000000000005E-2</v>
      </c>
      <c r="X149" s="8">
        <v>-1.2999999999999999E-2</v>
      </c>
      <c r="Y149" t="s">
        <v>885</v>
      </c>
      <c r="Z149" t="s">
        <v>879</v>
      </c>
      <c r="AA149" s="6">
        <v>329405.46771228081</v>
      </c>
      <c r="AB149" s="7">
        <f>DealsRawTable[[#This Row],[Final_Price_ACV]]*DealsRawTable[[#This Row],[Contract_Years]]</f>
        <v>329405.46771228081</v>
      </c>
      <c r="AC149" s="6">
        <v>112024.62254620665</v>
      </c>
      <c r="AD149" s="6">
        <v>217380.84516607417</v>
      </c>
      <c r="AE149" s="8">
        <v>0.65991875203463668</v>
      </c>
      <c r="AF149" t="s">
        <v>457</v>
      </c>
      <c r="AH149" t="s">
        <v>38</v>
      </c>
      <c r="AI149" t="s">
        <v>38</v>
      </c>
      <c r="AJ149" s="6">
        <v>0</v>
      </c>
      <c r="AK149" s="6">
        <v>0</v>
      </c>
      <c r="AL149" t="s">
        <v>886</v>
      </c>
      <c r="AM149">
        <f t="shared" si="4"/>
        <v>329481.87</v>
      </c>
      <c r="AN149">
        <f>DealsRawTable[[#This Row],[Validated_Annual_Final_Price]]*DealsRawTable[[#This Row],[Contract_Years]]</f>
        <v>329481.87</v>
      </c>
      <c r="AO149">
        <f>DealsRawTable[[#This Row],[Validated_Annual_Final_Price]]-DealsRawTable[[#This Row],[Cost_to_Serve]]</f>
        <v>217457.24745379336</v>
      </c>
      <c r="AP149" s="17">
        <f>DealsRawTable[[#This Row],[Validated_Grossprofit]]/DealsRawTable[[#This Row],[Validated_Annual_Final_Price]]</f>
        <v>0.65999761217147812</v>
      </c>
      <c r="AQ149" s="17">
        <v>0</v>
      </c>
      <c r="AR149" s="17">
        <v>0</v>
      </c>
      <c r="AS149" s="17">
        <v>0</v>
      </c>
      <c r="AT149" s="17">
        <v>0</v>
      </c>
      <c r="AU149" s="17" t="str">
        <f t="shared" si="5"/>
        <v>5–10%</v>
      </c>
      <c r="AV149" s="17">
        <v>116</v>
      </c>
      <c r="AW149" s="17"/>
    </row>
    <row r="150" spans="1:49">
      <c r="A150" t="s">
        <v>1055</v>
      </c>
      <c r="B150" s="5">
        <v>45892</v>
      </c>
      <c r="C150" t="s">
        <v>144</v>
      </c>
      <c r="D150" t="s">
        <v>145</v>
      </c>
      <c r="E150" t="s">
        <v>543</v>
      </c>
      <c r="F150" t="s">
        <v>47</v>
      </c>
      <c r="G150" t="s">
        <v>47</v>
      </c>
      <c r="H150" t="s">
        <v>48</v>
      </c>
      <c r="I150" t="s">
        <v>115</v>
      </c>
      <c r="J150" t="s">
        <v>43</v>
      </c>
      <c r="K150" t="s">
        <v>44</v>
      </c>
      <c r="L150" s="5">
        <v>45170</v>
      </c>
      <c r="M150">
        <v>72</v>
      </c>
      <c r="N150" t="s">
        <v>427</v>
      </c>
      <c r="O150" t="s">
        <v>876</v>
      </c>
      <c r="Q150">
        <v>1</v>
      </c>
      <c r="R150">
        <v>601</v>
      </c>
      <c r="S150" t="s">
        <v>877</v>
      </c>
      <c r="T150" s="6">
        <v>294100.67141326866</v>
      </c>
      <c r="U150" s="7">
        <f>T150*DealsRawTable[[#This Row],[Contract_Years]]</f>
        <v>294100.67141326866</v>
      </c>
      <c r="V150" s="8">
        <v>0.17699999999999999</v>
      </c>
      <c r="W150" s="8">
        <v>0.17100000000000001</v>
      </c>
      <c r="X150" s="8">
        <v>1.7000000000000001E-2</v>
      </c>
      <c r="Y150" t="s">
        <v>878</v>
      </c>
      <c r="Z150" t="s">
        <v>889</v>
      </c>
      <c r="AA150" s="6">
        <v>243840.33623266581</v>
      </c>
      <c r="AB150" s="7">
        <f>DealsRawTable[[#This Row],[Final_Price_ACV]]*DealsRawTable[[#This Row],[Contract_Years]]</f>
        <v>243840.33623266581</v>
      </c>
      <c r="AC150" s="6">
        <v>86620.214776490713</v>
      </c>
      <c r="AD150" s="6">
        <v>157220.12145617511</v>
      </c>
      <c r="AE150" s="8">
        <v>0.6447666693920564</v>
      </c>
      <c r="AF150" t="s">
        <v>880</v>
      </c>
      <c r="AG150" t="s">
        <v>44</v>
      </c>
      <c r="AI150" t="s">
        <v>38</v>
      </c>
      <c r="AJ150" s="6">
        <v>243840.33623266581</v>
      </c>
      <c r="AK150" s="6">
        <v>157220.12145617511</v>
      </c>
      <c r="AL150" t="s">
        <v>881</v>
      </c>
      <c r="AM150">
        <f t="shared" si="4"/>
        <v>243809.46</v>
      </c>
      <c r="AN150">
        <f>DealsRawTable[[#This Row],[Validated_Annual_Final_Price]]*DealsRawTable[[#This Row],[Contract_Years]]</f>
        <v>243809.46</v>
      </c>
      <c r="AO150">
        <f>DealsRawTable[[#This Row],[Validated_Annual_Final_Price]]-DealsRawTable[[#This Row],[Cost_to_Serve]]</f>
        <v>157189.24522350926</v>
      </c>
      <c r="AP150" s="17">
        <f>DealsRawTable[[#This Row],[Validated_Grossprofit]]/DealsRawTable[[#This Row],[Validated_Annual_Final_Price]]</f>
        <v>0.64472168234780258</v>
      </c>
      <c r="AQ150" s="17">
        <v>243809.46</v>
      </c>
      <c r="AR150" s="17">
        <v>243809.46</v>
      </c>
      <c r="AS150" s="17">
        <v>157189.24522350926</v>
      </c>
      <c r="AT150" s="17">
        <v>0.64472168234780258</v>
      </c>
      <c r="AU150" s="17" t="str">
        <f t="shared" si="5"/>
        <v>15–20%</v>
      </c>
      <c r="AV150" s="17">
        <v>108</v>
      </c>
      <c r="AW150" s="17"/>
    </row>
    <row r="151" spans="1:49">
      <c r="A151" t="s">
        <v>1056</v>
      </c>
      <c r="B151" s="5">
        <v>45385</v>
      </c>
      <c r="C151" t="s">
        <v>144</v>
      </c>
      <c r="D151" t="s">
        <v>145</v>
      </c>
      <c r="E151" t="s">
        <v>544</v>
      </c>
      <c r="F151" t="s">
        <v>445</v>
      </c>
      <c r="G151" t="s">
        <v>47</v>
      </c>
      <c r="H151" t="s">
        <v>48</v>
      </c>
      <c r="I151" t="s">
        <v>115</v>
      </c>
      <c r="J151" t="s">
        <v>43</v>
      </c>
      <c r="K151" t="s">
        <v>44</v>
      </c>
      <c r="L151" s="5">
        <v>45170</v>
      </c>
      <c r="M151">
        <v>72</v>
      </c>
      <c r="N151" t="s">
        <v>429</v>
      </c>
      <c r="O151" t="s">
        <v>891</v>
      </c>
      <c r="Q151">
        <v>2</v>
      </c>
      <c r="R151">
        <v>1444</v>
      </c>
      <c r="S151" t="s">
        <v>947</v>
      </c>
      <c r="T151" s="6">
        <v>176430.57633414248</v>
      </c>
      <c r="U151" s="7">
        <f>T151*DealsRawTable[[#This Row],[Contract_Years]]</f>
        <v>352861.15266828495</v>
      </c>
      <c r="V151" s="8">
        <v>0.17499999999999999</v>
      </c>
      <c r="W151" s="8">
        <v>0.14599999999999999</v>
      </c>
      <c r="X151" s="8">
        <v>-7.0000000000000001E-3</v>
      </c>
      <c r="Y151" t="s">
        <v>878</v>
      </c>
      <c r="Z151" t="s">
        <v>889</v>
      </c>
      <c r="AA151" s="6">
        <v>150687.1043670557</v>
      </c>
      <c r="AB151" s="7">
        <f>DealsRawTable[[#This Row],[Final_Price_ACV]]*DealsRawTable[[#This Row],[Contract_Years]]</f>
        <v>301374.20873411139</v>
      </c>
      <c r="AC151" s="6">
        <v>67804.725373064008</v>
      </c>
      <c r="AD151" s="6">
        <v>82882.37899399169</v>
      </c>
      <c r="AE151" s="8">
        <v>0.55002967468337682</v>
      </c>
      <c r="AF151" t="s">
        <v>457</v>
      </c>
      <c r="AI151" t="s">
        <v>38</v>
      </c>
      <c r="AJ151" s="6">
        <v>0</v>
      </c>
      <c r="AK151" s="6">
        <v>0</v>
      </c>
      <c r="AL151" t="s">
        <v>894</v>
      </c>
      <c r="AM151">
        <f t="shared" si="4"/>
        <v>150671.71</v>
      </c>
      <c r="AN151">
        <f>DealsRawTable[[#This Row],[Validated_Annual_Final_Price]]*DealsRawTable[[#This Row],[Contract_Years]]</f>
        <v>301343.42</v>
      </c>
      <c r="AO151">
        <f>DealsRawTable[[#This Row],[Validated_Annual_Final_Price]]-DealsRawTable[[#This Row],[Cost_to_Serve]]</f>
        <v>82866.984626935984</v>
      </c>
      <c r="AP151" s="17">
        <f>DealsRawTable[[#This Row],[Validated_Grossprofit]]/DealsRawTable[[#This Row],[Validated_Annual_Final_Price]]</f>
        <v>0.54998370050314016</v>
      </c>
      <c r="AQ151" s="17">
        <v>0</v>
      </c>
      <c r="AR151" s="17">
        <v>0</v>
      </c>
      <c r="AS151" s="17">
        <v>0</v>
      </c>
      <c r="AT151" s="17">
        <v>0</v>
      </c>
      <c r="AU151" s="17" t="str">
        <f t="shared" si="5"/>
        <v>10–15%</v>
      </c>
      <c r="AV151" s="17">
        <v>113</v>
      </c>
      <c r="AW151" s="17"/>
    </row>
    <row r="152" spans="1:49">
      <c r="A152" t="s">
        <v>1057</v>
      </c>
      <c r="B152" s="5">
        <v>45357</v>
      </c>
      <c r="C152" t="s">
        <v>144</v>
      </c>
      <c r="D152" t="s">
        <v>145</v>
      </c>
      <c r="E152" t="s">
        <v>545</v>
      </c>
      <c r="F152" t="s">
        <v>445</v>
      </c>
      <c r="G152" t="s">
        <v>47</v>
      </c>
      <c r="H152" t="s">
        <v>48</v>
      </c>
      <c r="I152" t="s">
        <v>115</v>
      </c>
      <c r="J152" t="s">
        <v>43</v>
      </c>
      <c r="K152" t="s">
        <v>44</v>
      </c>
      <c r="L152" s="5">
        <v>45170</v>
      </c>
      <c r="M152">
        <v>72</v>
      </c>
      <c r="N152" t="s">
        <v>431</v>
      </c>
      <c r="O152" t="s">
        <v>891</v>
      </c>
      <c r="Q152">
        <v>2</v>
      </c>
      <c r="R152">
        <v>1987</v>
      </c>
      <c r="S152" t="s">
        <v>888</v>
      </c>
      <c r="T152" s="6">
        <v>322981.90815970325</v>
      </c>
      <c r="U152" s="7">
        <f>T152*DealsRawTable[[#This Row],[Contract_Years]]</f>
        <v>645963.8163194065</v>
      </c>
      <c r="V152" s="8">
        <v>0.16800000000000001</v>
      </c>
      <c r="W152" s="8">
        <v>0.153</v>
      </c>
      <c r="X152" s="8">
        <v>-0.125</v>
      </c>
      <c r="Y152" t="s">
        <v>909</v>
      </c>
      <c r="Z152" t="s">
        <v>889</v>
      </c>
      <c r="AA152" s="6">
        <v>273509.61284964456</v>
      </c>
      <c r="AB152" s="7">
        <f>DealsRawTable[[#This Row],[Final_Price_ACV]]*DealsRawTable[[#This Row],[Contract_Years]]</f>
        <v>547019.22569928912</v>
      </c>
      <c r="AC152" s="6">
        <v>127042.84313567987</v>
      </c>
      <c r="AD152" s="6">
        <v>146466.76971396469</v>
      </c>
      <c r="AE152" s="8">
        <v>0.53550867257627732</v>
      </c>
      <c r="AF152" t="s">
        <v>457</v>
      </c>
      <c r="AI152" t="s">
        <v>38</v>
      </c>
      <c r="AJ152" s="6">
        <v>0</v>
      </c>
      <c r="AK152" s="6">
        <v>0</v>
      </c>
      <c r="AL152" t="s">
        <v>894</v>
      </c>
      <c r="AM152">
        <f t="shared" si="4"/>
        <v>273565.68</v>
      </c>
      <c r="AN152">
        <f>DealsRawTable[[#This Row],[Validated_Annual_Final_Price]]*DealsRawTable[[#This Row],[Contract_Years]]</f>
        <v>547131.36</v>
      </c>
      <c r="AO152">
        <f>DealsRawTable[[#This Row],[Validated_Annual_Final_Price]]-DealsRawTable[[#This Row],[Cost_to_Serve]]</f>
        <v>146522.83686432012</v>
      </c>
      <c r="AP152" s="17">
        <f>DealsRawTable[[#This Row],[Validated_Grossprofit]]/DealsRawTable[[#This Row],[Validated_Annual_Final_Price]]</f>
        <v>0.53560386984332287</v>
      </c>
      <c r="AQ152" s="17">
        <v>0</v>
      </c>
      <c r="AR152" s="17">
        <v>0</v>
      </c>
      <c r="AS152" s="17">
        <v>0</v>
      </c>
      <c r="AT152" s="17">
        <v>0</v>
      </c>
      <c r="AU152" s="17" t="str">
        <f t="shared" si="5"/>
        <v>15–20%</v>
      </c>
      <c r="AV152" s="17">
        <v>108</v>
      </c>
      <c r="AW152" s="17"/>
    </row>
    <row r="153" spans="1:49">
      <c r="A153" t="s">
        <v>1058</v>
      </c>
      <c r="B153" s="5">
        <v>45662</v>
      </c>
      <c r="C153" t="s">
        <v>144</v>
      </c>
      <c r="D153" t="s">
        <v>145</v>
      </c>
      <c r="E153" t="s">
        <v>545</v>
      </c>
      <c r="F153" t="s">
        <v>445</v>
      </c>
      <c r="G153" t="s">
        <v>47</v>
      </c>
      <c r="H153" t="s">
        <v>48</v>
      </c>
      <c r="I153" t="s">
        <v>115</v>
      </c>
      <c r="J153" t="s">
        <v>43</v>
      </c>
      <c r="K153" t="s">
        <v>44</v>
      </c>
      <c r="L153" s="5">
        <v>45170</v>
      </c>
      <c r="M153">
        <v>72</v>
      </c>
      <c r="N153" t="s">
        <v>431</v>
      </c>
      <c r="O153" t="s">
        <v>915</v>
      </c>
      <c r="Q153">
        <v>2</v>
      </c>
      <c r="R153">
        <v>1987</v>
      </c>
      <c r="S153" t="s">
        <v>877</v>
      </c>
      <c r="T153" s="6">
        <v>322981.90815970325</v>
      </c>
      <c r="U153" s="7">
        <f>T153*DealsRawTable[[#This Row],[Contract_Years]]</f>
        <v>645963.8163194065</v>
      </c>
      <c r="V153" s="8">
        <v>0.22</v>
      </c>
      <c r="W153" s="8">
        <v>0.20300000000000001</v>
      </c>
      <c r="X153" s="8">
        <v>-0.06</v>
      </c>
      <c r="Y153" t="s">
        <v>878</v>
      </c>
      <c r="Z153" t="s">
        <v>893</v>
      </c>
      <c r="AA153" s="6">
        <v>257533.37486965401</v>
      </c>
      <c r="AB153" s="7">
        <f>DealsRawTable[[#This Row],[Final_Price_ACV]]*DealsRawTable[[#This Row],[Contract_Years]]</f>
        <v>515066.74973930803</v>
      </c>
      <c r="AC153" s="6">
        <v>136591.65463379756</v>
      </c>
      <c r="AD153" s="6">
        <v>120941.72023585645</v>
      </c>
      <c r="AE153" s="8">
        <v>0.46961571600989183</v>
      </c>
      <c r="AF153" t="s">
        <v>880</v>
      </c>
      <c r="AI153" t="s">
        <v>44</v>
      </c>
      <c r="AJ153" s="6">
        <v>257533.37486965401</v>
      </c>
      <c r="AK153" s="6">
        <v>120941.72023585645</v>
      </c>
      <c r="AL153" t="s">
        <v>934</v>
      </c>
      <c r="AM153">
        <f t="shared" si="4"/>
        <v>257416.58</v>
      </c>
      <c r="AN153">
        <f>DealsRawTable[[#This Row],[Validated_Annual_Final_Price]]*DealsRawTable[[#This Row],[Contract_Years]]</f>
        <v>514833.16</v>
      </c>
      <c r="AO153">
        <f>DealsRawTable[[#This Row],[Validated_Annual_Final_Price]]-DealsRawTable[[#This Row],[Cost_to_Serve]]</f>
        <v>120824.92536620243</v>
      </c>
      <c r="AP153" s="17">
        <f>DealsRawTable[[#This Row],[Validated_Grossprofit]]/DealsRawTable[[#This Row],[Validated_Annual_Final_Price]]</f>
        <v>0.46937507042554305</v>
      </c>
      <c r="AQ153" s="17">
        <v>257416.58</v>
      </c>
      <c r="AR153" s="17">
        <v>514833.16</v>
      </c>
      <c r="AS153" s="17">
        <v>120824.92536620243</v>
      </c>
      <c r="AT153" s="17">
        <v>0.46937507042554305</v>
      </c>
      <c r="AU153" s="17" t="str">
        <f t="shared" si="5"/>
        <v>20–25%</v>
      </c>
      <c r="AV153" s="17">
        <v>29</v>
      </c>
      <c r="AW153" s="17"/>
    </row>
    <row r="154" spans="1:49">
      <c r="A154" t="s">
        <v>1059</v>
      </c>
      <c r="B154" s="5">
        <v>45427</v>
      </c>
      <c r="C154" t="s">
        <v>146</v>
      </c>
      <c r="D154" t="s">
        <v>147</v>
      </c>
      <c r="E154" t="s">
        <v>546</v>
      </c>
      <c r="F154" t="s">
        <v>445</v>
      </c>
      <c r="G154" t="s">
        <v>83</v>
      </c>
      <c r="H154" t="s">
        <v>54</v>
      </c>
      <c r="I154" t="s">
        <v>94</v>
      </c>
      <c r="J154" t="s">
        <v>43</v>
      </c>
      <c r="K154" t="s">
        <v>38</v>
      </c>
      <c r="L154" s="5">
        <v>43405</v>
      </c>
      <c r="M154">
        <v>64</v>
      </c>
      <c r="N154" t="s">
        <v>429</v>
      </c>
      <c r="O154" t="s">
        <v>876</v>
      </c>
      <c r="Q154">
        <v>3</v>
      </c>
      <c r="R154">
        <v>1905</v>
      </c>
      <c r="S154" t="s">
        <v>877</v>
      </c>
      <c r="T154" s="6">
        <v>224576.18734677241</v>
      </c>
      <c r="U154" s="7">
        <f>T154*DealsRawTable[[#This Row],[Contract_Years]]</f>
        <v>673728.56204031722</v>
      </c>
      <c r="V154" s="8">
        <v>0.161</v>
      </c>
      <c r="W154" s="8">
        <v>9.9000000000000005E-2</v>
      </c>
      <c r="X154" s="8">
        <v>-8.0000000000000002E-3</v>
      </c>
      <c r="Y154" t="s">
        <v>878</v>
      </c>
      <c r="Z154" t="s">
        <v>879</v>
      </c>
      <c r="AA154" s="6">
        <v>202295.86189575359</v>
      </c>
      <c r="AB154" s="7">
        <f>DealsRawTable[[#This Row],[Final_Price_ACV]]*DealsRawTable[[#This Row],[Contract_Years]]</f>
        <v>606887.58568726084</v>
      </c>
      <c r="AC154" s="6">
        <v>78086.753975502448</v>
      </c>
      <c r="AD154" s="6">
        <v>124209.10792025115</v>
      </c>
      <c r="AE154" s="8">
        <v>0.61399727486397204</v>
      </c>
      <c r="AF154" t="s">
        <v>457</v>
      </c>
      <c r="AG154" t="s">
        <v>38</v>
      </c>
      <c r="AI154" t="s">
        <v>38</v>
      </c>
      <c r="AJ154" s="6">
        <v>0</v>
      </c>
      <c r="AK154" s="6">
        <v>0</v>
      </c>
      <c r="AL154" t="s">
        <v>881</v>
      </c>
      <c r="AM154">
        <f t="shared" si="4"/>
        <v>202343.14</v>
      </c>
      <c r="AN154">
        <f>DealsRawTable[[#This Row],[Validated_Annual_Final_Price]]*DealsRawTable[[#This Row],[Contract_Years]]</f>
        <v>607029.42000000004</v>
      </c>
      <c r="AO154">
        <f>DealsRawTable[[#This Row],[Validated_Annual_Final_Price]]-DealsRawTable[[#This Row],[Cost_to_Serve]]</f>
        <v>124256.38602449757</v>
      </c>
      <c r="AP154" s="17">
        <f>DealsRawTable[[#This Row],[Validated_Grossprofit]]/DealsRawTable[[#This Row],[Validated_Annual_Final_Price]]</f>
        <v>0.61408746560173755</v>
      </c>
      <c r="AQ154" s="17">
        <v>0</v>
      </c>
      <c r="AR154" s="17">
        <v>0</v>
      </c>
      <c r="AS154" s="17">
        <v>0</v>
      </c>
      <c r="AT154" s="17">
        <v>0</v>
      </c>
      <c r="AU154" s="17" t="str">
        <f t="shared" si="5"/>
        <v>5–10%</v>
      </c>
      <c r="AV154" s="17">
        <v>116</v>
      </c>
      <c r="AW154" s="17"/>
    </row>
    <row r="155" spans="1:49">
      <c r="A155" t="s">
        <v>1060</v>
      </c>
      <c r="B155" s="5">
        <v>45292</v>
      </c>
      <c r="C155" t="s">
        <v>146</v>
      </c>
      <c r="D155" t="s">
        <v>147</v>
      </c>
      <c r="E155" t="s">
        <v>547</v>
      </c>
      <c r="F155" t="s">
        <v>34</v>
      </c>
      <c r="G155" t="s">
        <v>83</v>
      </c>
      <c r="H155" t="s">
        <v>54</v>
      </c>
      <c r="I155" t="s">
        <v>94</v>
      </c>
      <c r="J155" t="s">
        <v>43</v>
      </c>
      <c r="K155" t="s">
        <v>38</v>
      </c>
      <c r="L155" s="5">
        <v>43405</v>
      </c>
      <c r="M155">
        <v>64</v>
      </c>
      <c r="N155" t="s">
        <v>433</v>
      </c>
      <c r="O155" t="s">
        <v>891</v>
      </c>
      <c r="Q155">
        <v>1</v>
      </c>
      <c r="R155">
        <v>706</v>
      </c>
      <c r="S155" t="s">
        <v>932</v>
      </c>
      <c r="T155" s="6">
        <v>467884.39757865702</v>
      </c>
      <c r="U155" s="7">
        <f>T155*DealsRawTable[[#This Row],[Contract_Years]]</f>
        <v>467884.39757865702</v>
      </c>
      <c r="V155" s="8">
        <v>0.152</v>
      </c>
      <c r="W155" s="8">
        <v>0.13200000000000001</v>
      </c>
      <c r="X155" s="8">
        <v>2.1000000000000001E-2</v>
      </c>
      <c r="Y155" t="s">
        <v>930</v>
      </c>
      <c r="Z155" t="s">
        <v>889</v>
      </c>
      <c r="AA155" s="6">
        <v>406200.21966924454</v>
      </c>
      <c r="AB155" s="7">
        <f>DealsRawTable[[#This Row],[Final_Price_ACV]]*DealsRawTable[[#This Row],[Contract_Years]]</f>
        <v>406200.21966924454</v>
      </c>
      <c r="AC155" s="6">
        <v>192091.15240867724</v>
      </c>
      <c r="AD155" s="6">
        <v>214109.0672605673</v>
      </c>
      <c r="AE155" s="8">
        <v>0.52710229313738255</v>
      </c>
      <c r="AF155" t="s">
        <v>457</v>
      </c>
      <c r="AI155" t="s">
        <v>38</v>
      </c>
      <c r="AJ155" s="6">
        <v>0</v>
      </c>
      <c r="AK155" s="6">
        <v>0</v>
      </c>
      <c r="AL155" t="s">
        <v>894</v>
      </c>
      <c r="AM155">
        <f t="shared" si="4"/>
        <v>406123.66</v>
      </c>
      <c r="AN155">
        <f>DealsRawTable[[#This Row],[Validated_Annual_Final_Price]]*DealsRawTable[[#This Row],[Contract_Years]]</f>
        <v>406123.66</v>
      </c>
      <c r="AO155">
        <f>DealsRawTable[[#This Row],[Validated_Annual_Final_Price]]-DealsRawTable[[#This Row],[Cost_to_Serve]]</f>
        <v>214032.50759132273</v>
      </c>
      <c r="AP155" s="17">
        <f>DealsRawTable[[#This Row],[Validated_Grossprofit]]/DealsRawTable[[#This Row],[Validated_Annual_Final_Price]]</f>
        <v>0.52701314567913315</v>
      </c>
      <c r="AQ155" s="17">
        <v>0</v>
      </c>
      <c r="AR155" s="17">
        <v>0</v>
      </c>
      <c r="AS155" s="17">
        <v>0</v>
      </c>
      <c r="AT155" s="17">
        <v>0</v>
      </c>
      <c r="AU155" s="17" t="str">
        <f t="shared" si="5"/>
        <v>10–15%</v>
      </c>
      <c r="AV155" s="17">
        <v>113</v>
      </c>
      <c r="AW155" s="17"/>
    </row>
    <row r="156" spans="1:49">
      <c r="A156" t="s">
        <v>1061</v>
      </c>
      <c r="B156" s="5">
        <v>45548</v>
      </c>
      <c r="C156" t="s">
        <v>148</v>
      </c>
      <c r="D156" t="s">
        <v>149</v>
      </c>
      <c r="E156" t="s">
        <v>548</v>
      </c>
      <c r="F156" t="s">
        <v>47</v>
      </c>
      <c r="G156" t="s">
        <v>83</v>
      </c>
      <c r="H156" t="s">
        <v>35</v>
      </c>
      <c r="I156" t="s">
        <v>36</v>
      </c>
      <c r="J156" t="s">
        <v>56</v>
      </c>
      <c r="K156" t="s">
        <v>38</v>
      </c>
      <c r="L156" s="5">
        <v>43891</v>
      </c>
      <c r="M156">
        <v>66</v>
      </c>
      <c r="N156" t="s">
        <v>431</v>
      </c>
      <c r="O156" t="s">
        <v>876</v>
      </c>
      <c r="Q156">
        <v>1</v>
      </c>
      <c r="R156">
        <v>236</v>
      </c>
      <c r="S156" t="s">
        <v>896</v>
      </c>
      <c r="T156" s="6">
        <v>98829.564827558017</v>
      </c>
      <c r="U156" s="7">
        <f>T156*DealsRawTable[[#This Row],[Contract_Years]]</f>
        <v>98829.564827558017</v>
      </c>
      <c r="V156" s="8">
        <v>0.09</v>
      </c>
      <c r="W156" s="8">
        <v>7.9000000000000001E-2</v>
      </c>
      <c r="X156" s="8">
        <v>-0.10299999999999999</v>
      </c>
      <c r="Y156" t="s">
        <v>909</v>
      </c>
      <c r="Z156" t="s">
        <v>879</v>
      </c>
      <c r="AA156" s="6">
        <v>90995.75390030726</v>
      </c>
      <c r="AB156" s="7">
        <f>DealsRawTable[[#This Row],[Final_Price_ACV]]*DealsRawTable[[#This Row],[Contract_Years]]</f>
        <v>90995.75390030726</v>
      </c>
      <c r="AC156" s="6">
        <v>37095.800340508853</v>
      </c>
      <c r="AD156" s="6">
        <v>53899.953559798407</v>
      </c>
      <c r="AE156" s="8">
        <v>0.59233482057690179</v>
      </c>
      <c r="AF156" t="s">
        <v>880</v>
      </c>
      <c r="AG156" t="s">
        <v>44</v>
      </c>
      <c r="AI156" t="s">
        <v>38</v>
      </c>
      <c r="AJ156" s="6">
        <v>90995.75390030726</v>
      </c>
      <c r="AK156" s="6">
        <v>53899.953559798407</v>
      </c>
      <c r="AL156" t="s">
        <v>881</v>
      </c>
      <c r="AM156">
        <f t="shared" si="4"/>
        <v>91022.03</v>
      </c>
      <c r="AN156">
        <f>DealsRawTable[[#This Row],[Validated_Annual_Final_Price]]*DealsRawTable[[#This Row],[Contract_Years]]</f>
        <v>91022.03</v>
      </c>
      <c r="AO156">
        <f>DealsRawTable[[#This Row],[Validated_Annual_Final_Price]]-DealsRawTable[[#This Row],[Cost_to_Serve]]</f>
        <v>53926.229659491146</v>
      </c>
      <c r="AP156" s="17">
        <f>DealsRawTable[[#This Row],[Validated_Grossprofit]]/DealsRawTable[[#This Row],[Validated_Annual_Final_Price]]</f>
        <v>0.59245250473419619</v>
      </c>
      <c r="AQ156" s="17">
        <v>91022.03</v>
      </c>
      <c r="AR156" s="17">
        <v>91022.03</v>
      </c>
      <c r="AS156" s="17">
        <v>53926.229659491146</v>
      </c>
      <c r="AT156" s="17">
        <v>0.59245250473419619</v>
      </c>
      <c r="AU156" s="17" t="str">
        <f t="shared" si="5"/>
        <v>5–10%</v>
      </c>
      <c r="AV156" s="17">
        <v>116</v>
      </c>
      <c r="AW156" s="17"/>
    </row>
    <row r="157" spans="1:49">
      <c r="A157" t="s">
        <v>1062</v>
      </c>
      <c r="B157" s="5">
        <v>45913</v>
      </c>
      <c r="C157" t="s">
        <v>148</v>
      </c>
      <c r="D157" t="s">
        <v>149</v>
      </c>
      <c r="E157" t="s">
        <v>548</v>
      </c>
      <c r="F157" t="s">
        <v>47</v>
      </c>
      <c r="G157" t="s">
        <v>83</v>
      </c>
      <c r="H157" t="s">
        <v>35</v>
      </c>
      <c r="I157" t="s">
        <v>36</v>
      </c>
      <c r="J157" t="s">
        <v>56</v>
      </c>
      <c r="K157" t="s">
        <v>38</v>
      </c>
      <c r="L157" s="5">
        <v>43891</v>
      </c>
      <c r="M157">
        <v>66</v>
      </c>
      <c r="N157" t="s">
        <v>431</v>
      </c>
      <c r="O157" t="s">
        <v>876</v>
      </c>
      <c r="Q157">
        <v>1</v>
      </c>
      <c r="R157">
        <v>236</v>
      </c>
      <c r="S157" t="s">
        <v>877</v>
      </c>
      <c r="T157" s="6">
        <v>101284.18512689442</v>
      </c>
      <c r="U157" s="7">
        <f>T157*DealsRawTable[[#This Row],[Contract_Years]]</f>
        <v>101284.18512689442</v>
      </c>
      <c r="V157" s="8">
        <v>0.19600000000000001</v>
      </c>
      <c r="W157" s="8">
        <v>0.17599999999999999</v>
      </c>
      <c r="X157" s="8">
        <v>7.0000000000000007E-2</v>
      </c>
      <c r="Y157" t="s">
        <v>885</v>
      </c>
      <c r="Z157" t="s">
        <v>889</v>
      </c>
      <c r="AA157" s="6">
        <v>83478.988731028498</v>
      </c>
      <c r="AB157" s="7">
        <f>DealsRawTable[[#This Row],[Final_Price_ACV]]*DealsRawTable[[#This Row],[Contract_Years]]</f>
        <v>83478.988731028498</v>
      </c>
      <c r="AC157" s="6">
        <v>38833.006658401937</v>
      </c>
      <c r="AD157" s="6">
        <v>44645.982072626561</v>
      </c>
      <c r="AE157" s="8">
        <v>0.53481699708266817</v>
      </c>
      <c r="AF157" t="s">
        <v>880</v>
      </c>
      <c r="AG157" t="s">
        <v>44</v>
      </c>
      <c r="AI157" t="s">
        <v>38</v>
      </c>
      <c r="AJ157" s="6">
        <v>83478.988731028498</v>
      </c>
      <c r="AK157" s="6">
        <v>44645.982072626561</v>
      </c>
      <c r="AL157" t="s">
        <v>881</v>
      </c>
      <c r="AM157">
        <f t="shared" si="4"/>
        <v>83458.17</v>
      </c>
      <c r="AN157">
        <f>DealsRawTable[[#This Row],[Validated_Annual_Final_Price]]*DealsRawTable[[#This Row],[Contract_Years]]</f>
        <v>83458.17</v>
      </c>
      <c r="AO157">
        <f>DealsRawTable[[#This Row],[Validated_Annual_Final_Price]]-DealsRawTable[[#This Row],[Cost_to_Serve]]</f>
        <v>44625.163341598061</v>
      </c>
      <c r="AP157" s="17">
        <f>DealsRawTable[[#This Row],[Validated_Grossprofit]]/DealsRawTable[[#This Row],[Validated_Annual_Final_Price]]</f>
        <v>0.53470095667803474</v>
      </c>
      <c r="AQ157" s="17">
        <v>83458.17</v>
      </c>
      <c r="AR157" s="17">
        <v>83458.17</v>
      </c>
      <c r="AS157" s="17">
        <v>44625.163341598061</v>
      </c>
      <c r="AT157" s="17">
        <v>0.53470095667803474</v>
      </c>
      <c r="AU157" s="17" t="str">
        <f t="shared" si="5"/>
        <v>15–20%</v>
      </c>
      <c r="AV157" s="17">
        <v>108</v>
      </c>
      <c r="AW157" s="17"/>
    </row>
    <row r="158" spans="1:49">
      <c r="A158" t="s">
        <v>1063</v>
      </c>
      <c r="B158" s="5">
        <v>45822</v>
      </c>
      <c r="C158" t="s">
        <v>148</v>
      </c>
      <c r="D158" t="s">
        <v>149</v>
      </c>
      <c r="E158" t="s">
        <v>549</v>
      </c>
      <c r="F158" t="s">
        <v>475</v>
      </c>
      <c r="G158" t="s">
        <v>83</v>
      </c>
      <c r="H158" t="s">
        <v>35</v>
      </c>
      <c r="I158" t="s">
        <v>36</v>
      </c>
      <c r="J158" t="s">
        <v>56</v>
      </c>
      <c r="K158" t="s">
        <v>38</v>
      </c>
      <c r="L158" s="5">
        <v>43891</v>
      </c>
      <c r="M158">
        <v>66</v>
      </c>
      <c r="N158" t="s">
        <v>429</v>
      </c>
      <c r="O158" t="s">
        <v>891</v>
      </c>
      <c r="Q158">
        <v>2</v>
      </c>
      <c r="R158">
        <v>292</v>
      </c>
      <c r="S158" t="s">
        <v>877</v>
      </c>
      <c r="T158" s="6">
        <v>184221.87807163122</v>
      </c>
      <c r="U158" s="7">
        <f>T158*DealsRawTable[[#This Row],[Contract_Years]]</f>
        <v>368443.75614326244</v>
      </c>
      <c r="V158" s="8">
        <v>7.6999999999999999E-2</v>
      </c>
      <c r="W158" s="8">
        <v>3.2000000000000001E-2</v>
      </c>
      <c r="X158" s="8">
        <v>0.15</v>
      </c>
      <c r="Y158" t="s">
        <v>885</v>
      </c>
      <c r="Z158" t="s">
        <v>879</v>
      </c>
      <c r="AA158" s="6">
        <v>178285.49059966439</v>
      </c>
      <c r="AB158" s="7">
        <f>DealsRawTable[[#This Row],[Final_Price_ACV]]*DealsRawTable[[#This Row],[Contract_Years]]</f>
        <v>356570.98119932879</v>
      </c>
      <c r="AC158" s="6">
        <v>64929.303892937438</v>
      </c>
      <c r="AD158" s="6">
        <v>113356.18670672696</v>
      </c>
      <c r="AE158" s="8">
        <v>0.63581274239116548</v>
      </c>
      <c r="AF158" t="s">
        <v>880</v>
      </c>
      <c r="AI158" t="s">
        <v>38</v>
      </c>
      <c r="AJ158" s="6">
        <v>178285.49059966439</v>
      </c>
      <c r="AK158" s="6">
        <v>113356.18670672696</v>
      </c>
      <c r="AL158" t="s">
        <v>894</v>
      </c>
      <c r="AM158">
        <f t="shared" si="4"/>
        <v>178326.78</v>
      </c>
      <c r="AN158">
        <f>DealsRawTable[[#This Row],[Validated_Annual_Final_Price]]*DealsRawTable[[#This Row],[Contract_Years]]</f>
        <v>356653.56</v>
      </c>
      <c r="AO158">
        <f>DealsRawTable[[#This Row],[Validated_Annual_Final_Price]]-DealsRawTable[[#This Row],[Cost_to_Serve]]</f>
        <v>113397.47610706257</v>
      </c>
      <c r="AP158" s="17">
        <f>DealsRawTable[[#This Row],[Validated_Grossprofit]]/DealsRawTable[[#This Row],[Validated_Annual_Final_Price]]</f>
        <v>0.63589706552802994</v>
      </c>
      <c r="AQ158" s="17">
        <v>178326.78</v>
      </c>
      <c r="AR158" s="17">
        <v>356653.56</v>
      </c>
      <c r="AS158" s="17">
        <v>113397.47610706257</v>
      </c>
      <c r="AT158" s="17">
        <v>0.63589706552802994</v>
      </c>
      <c r="AU158" s="17" t="str">
        <f t="shared" si="5"/>
        <v>0–5%</v>
      </c>
      <c r="AV158" s="17">
        <v>55</v>
      </c>
      <c r="AW158" s="17"/>
    </row>
    <row r="159" spans="1:49">
      <c r="A159" t="s">
        <v>1064</v>
      </c>
      <c r="B159" s="5">
        <v>45447</v>
      </c>
      <c r="C159" t="s">
        <v>150</v>
      </c>
      <c r="D159" t="s">
        <v>151</v>
      </c>
      <c r="E159" t="s">
        <v>550</v>
      </c>
      <c r="F159" t="s">
        <v>449</v>
      </c>
      <c r="G159" t="s">
        <v>69</v>
      </c>
      <c r="H159" t="s">
        <v>54</v>
      </c>
      <c r="I159" t="s">
        <v>94</v>
      </c>
      <c r="J159" t="s">
        <v>43</v>
      </c>
      <c r="K159" t="s">
        <v>38</v>
      </c>
      <c r="L159" s="5">
        <v>45627</v>
      </c>
      <c r="M159">
        <v>77</v>
      </c>
      <c r="N159" t="s">
        <v>431</v>
      </c>
      <c r="O159" t="s">
        <v>891</v>
      </c>
      <c r="Q159">
        <v>1</v>
      </c>
      <c r="R159">
        <v>1805</v>
      </c>
      <c r="S159" t="s">
        <v>900</v>
      </c>
      <c r="T159" s="6">
        <v>124654.98072259182</v>
      </c>
      <c r="U159" s="7">
        <f>T159*DealsRawTable[[#This Row],[Contract_Years]]</f>
        <v>124654.98072259182</v>
      </c>
      <c r="V159" s="8">
        <v>0.104</v>
      </c>
      <c r="W159" s="8">
        <v>6.0999999999999999E-2</v>
      </c>
      <c r="X159" s="8">
        <v>9.1999999999999998E-2</v>
      </c>
      <c r="Y159" t="s">
        <v>909</v>
      </c>
      <c r="Z159" t="s">
        <v>879</v>
      </c>
      <c r="AA159" s="6">
        <v>117009.40455359341</v>
      </c>
      <c r="AB159" s="7">
        <f>DealsRawTable[[#This Row],[Final_Price_ACV]]*DealsRawTable[[#This Row],[Contract_Years]]</f>
        <v>117009.40455359341</v>
      </c>
      <c r="AC159" s="6">
        <v>52235.671511045432</v>
      </c>
      <c r="AD159" s="6">
        <v>64773.733042547981</v>
      </c>
      <c r="AE159" s="8">
        <v>0.55357715296192189</v>
      </c>
      <c r="AF159" t="s">
        <v>457</v>
      </c>
      <c r="AI159" t="s">
        <v>38</v>
      </c>
      <c r="AJ159" s="6">
        <v>0</v>
      </c>
      <c r="AK159" s="6">
        <v>0</v>
      </c>
      <c r="AL159" t="s">
        <v>894</v>
      </c>
      <c r="AM159">
        <f t="shared" si="4"/>
        <v>117051.03</v>
      </c>
      <c r="AN159">
        <f>DealsRawTable[[#This Row],[Validated_Annual_Final_Price]]*DealsRawTable[[#This Row],[Contract_Years]]</f>
        <v>117051.03</v>
      </c>
      <c r="AO159">
        <f>DealsRawTable[[#This Row],[Validated_Annual_Final_Price]]-DealsRawTable[[#This Row],[Cost_to_Serve]]</f>
        <v>64815.358488954567</v>
      </c>
      <c r="AP159" s="17">
        <f>DealsRawTable[[#This Row],[Validated_Grossprofit]]/DealsRawTable[[#This Row],[Validated_Annual_Final_Price]]</f>
        <v>0.55373590893608171</v>
      </c>
      <c r="AQ159" s="17">
        <v>0</v>
      </c>
      <c r="AR159" s="17">
        <v>0</v>
      </c>
      <c r="AS159" s="17">
        <v>0</v>
      </c>
      <c r="AT159" s="17">
        <v>0</v>
      </c>
      <c r="AU159" s="17" t="str">
        <f t="shared" si="5"/>
        <v>5–10%</v>
      </c>
      <c r="AV159" s="17">
        <v>116</v>
      </c>
      <c r="AW159" s="17"/>
    </row>
    <row r="160" spans="1:49">
      <c r="A160" t="s">
        <v>1065</v>
      </c>
      <c r="B160" s="5">
        <v>45732</v>
      </c>
      <c r="C160" t="s">
        <v>152</v>
      </c>
      <c r="D160" t="s">
        <v>153</v>
      </c>
      <c r="E160" t="s">
        <v>551</v>
      </c>
      <c r="F160" t="s">
        <v>475</v>
      </c>
      <c r="G160" t="s">
        <v>69</v>
      </c>
      <c r="H160" t="s">
        <v>70</v>
      </c>
      <c r="I160" t="s">
        <v>71</v>
      </c>
      <c r="J160" t="s">
        <v>56</v>
      </c>
      <c r="K160" t="s">
        <v>38</v>
      </c>
      <c r="L160" s="5">
        <v>43800</v>
      </c>
      <c r="M160">
        <v>61</v>
      </c>
      <c r="N160" t="s">
        <v>424</v>
      </c>
      <c r="O160" t="s">
        <v>891</v>
      </c>
      <c r="Q160">
        <v>3</v>
      </c>
      <c r="R160">
        <v>70</v>
      </c>
      <c r="S160" t="s">
        <v>896</v>
      </c>
      <c r="T160" s="6">
        <v>56440.202754460122</v>
      </c>
      <c r="U160" s="7">
        <f>T160*DealsRawTable[[#This Row],[Contract_Years]]</f>
        <v>169320.60826338036</v>
      </c>
      <c r="V160" s="8">
        <v>0.14599999999999999</v>
      </c>
      <c r="W160" s="8">
        <v>0.107</v>
      </c>
      <c r="X160" s="8">
        <v>-0.03</v>
      </c>
      <c r="Y160" t="s">
        <v>911</v>
      </c>
      <c r="Z160" t="s">
        <v>889</v>
      </c>
      <c r="AA160" s="6">
        <v>50428.682080301245</v>
      </c>
      <c r="AB160" s="7">
        <f>DealsRawTable[[#This Row],[Final_Price_ACV]]*DealsRawTable[[#This Row],[Contract_Years]]</f>
        <v>151286.04624090373</v>
      </c>
      <c r="AC160" s="6">
        <v>15273.132774352527</v>
      </c>
      <c r="AD160" s="6">
        <v>35155.54930594872</v>
      </c>
      <c r="AE160" s="8">
        <v>0.69713400897465438</v>
      </c>
      <c r="AF160" t="s">
        <v>880</v>
      </c>
      <c r="AI160" t="s">
        <v>38</v>
      </c>
      <c r="AJ160" s="6">
        <v>50428.682080301245</v>
      </c>
      <c r="AK160" s="6">
        <v>35155.54930594872</v>
      </c>
      <c r="AL160" t="s">
        <v>894</v>
      </c>
      <c r="AM160">
        <f t="shared" si="4"/>
        <v>50401.1</v>
      </c>
      <c r="AN160">
        <f>DealsRawTable[[#This Row],[Validated_Annual_Final_Price]]*DealsRawTable[[#This Row],[Contract_Years]]</f>
        <v>151203.29999999999</v>
      </c>
      <c r="AO160">
        <f>DealsRawTable[[#This Row],[Validated_Annual_Final_Price]]-DealsRawTable[[#This Row],[Cost_to_Serve]]</f>
        <v>35127.967225647473</v>
      </c>
      <c r="AP160" s="17">
        <f>DealsRawTable[[#This Row],[Validated_Grossprofit]]/DealsRawTable[[#This Row],[Validated_Annual_Final_Price]]</f>
        <v>0.69696826509039433</v>
      </c>
      <c r="AQ160" s="17">
        <v>50401.1</v>
      </c>
      <c r="AR160" s="17">
        <v>151203.29999999999</v>
      </c>
      <c r="AS160" s="17">
        <v>35127.967225647473</v>
      </c>
      <c r="AT160" s="17">
        <v>0.69696826509039433</v>
      </c>
      <c r="AU160" s="17" t="str">
        <f t="shared" si="5"/>
        <v>10–15%</v>
      </c>
      <c r="AV160" s="17">
        <v>113</v>
      </c>
      <c r="AW160" s="17"/>
    </row>
    <row r="161" spans="1:49">
      <c r="A161" t="s">
        <v>1066</v>
      </c>
      <c r="B161" s="5">
        <v>45543</v>
      </c>
      <c r="C161" t="s">
        <v>154</v>
      </c>
      <c r="D161" t="s">
        <v>155</v>
      </c>
      <c r="E161" t="s">
        <v>552</v>
      </c>
      <c r="F161" t="s">
        <v>449</v>
      </c>
      <c r="G161" t="s">
        <v>34</v>
      </c>
      <c r="H161" t="s">
        <v>70</v>
      </c>
      <c r="I161" t="s">
        <v>71</v>
      </c>
      <c r="J161" t="s">
        <v>56</v>
      </c>
      <c r="K161" t="s">
        <v>38</v>
      </c>
      <c r="L161" s="5">
        <v>44256</v>
      </c>
      <c r="M161">
        <v>67</v>
      </c>
      <c r="N161" t="s">
        <v>424</v>
      </c>
      <c r="O161" t="s">
        <v>876</v>
      </c>
      <c r="Q161">
        <v>1</v>
      </c>
      <c r="R161">
        <v>276</v>
      </c>
      <c r="S161" t="s">
        <v>907</v>
      </c>
      <c r="T161" s="6">
        <v>63975.927724041205</v>
      </c>
      <c r="U161" s="7">
        <f>T161*DealsRawTable[[#This Row],[Contract_Years]]</f>
        <v>63975.927724041205</v>
      </c>
      <c r="V161" s="8">
        <v>0.14000000000000001</v>
      </c>
      <c r="W161" s="8">
        <v>0.13100000000000001</v>
      </c>
      <c r="X161" s="8">
        <v>3.0000000000000001E-3</v>
      </c>
      <c r="Y161" t="s">
        <v>930</v>
      </c>
      <c r="Z161" t="s">
        <v>889</v>
      </c>
      <c r="AA161" s="6">
        <v>55588.875427835235</v>
      </c>
      <c r="AB161" s="7">
        <f>DealsRawTable[[#This Row],[Final_Price_ACV]]*DealsRawTable[[#This Row],[Contract_Years]]</f>
        <v>55588.875427835235</v>
      </c>
      <c r="AC161" s="6">
        <v>17837.075423303704</v>
      </c>
      <c r="AD161" s="6">
        <v>37751.800004531528</v>
      </c>
      <c r="AE161" s="8">
        <v>0.67912508957912687</v>
      </c>
      <c r="AF161" t="s">
        <v>880</v>
      </c>
      <c r="AG161" t="s">
        <v>44</v>
      </c>
      <c r="AI161" t="s">
        <v>38</v>
      </c>
      <c r="AJ161" s="6">
        <v>55588.875427835235</v>
      </c>
      <c r="AK161" s="6">
        <v>37751.800004531528</v>
      </c>
      <c r="AL161" t="s">
        <v>881</v>
      </c>
      <c r="AM161">
        <f t="shared" si="4"/>
        <v>55595.08</v>
      </c>
      <c r="AN161">
        <f>DealsRawTable[[#This Row],[Validated_Annual_Final_Price]]*DealsRawTable[[#This Row],[Contract_Years]]</f>
        <v>55595.08</v>
      </c>
      <c r="AO161">
        <f>DealsRawTable[[#This Row],[Validated_Annual_Final_Price]]-DealsRawTable[[#This Row],[Cost_to_Serve]]</f>
        <v>37758.004576696301</v>
      </c>
      <c r="AP161" s="17">
        <f>DealsRawTable[[#This Row],[Validated_Grossprofit]]/DealsRawTable[[#This Row],[Validated_Annual_Final_Price]]</f>
        <v>0.67916090014973085</v>
      </c>
      <c r="AQ161" s="17">
        <v>55595.08</v>
      </c>
      <c r="AR161" s="17">
        <v>55595.08</v>
      </c>
      <c r="AS161" s="17">
        <v>37758.004576696301</v>
      </c>
      <c r="AT161" s="17">
        <v>0.67916090014973085</v>
      </c>
      <c r="AU161" s="17" t="str">
        <f t="shared" si="5"/>
        <v>10–15%</v>
      </c>
      <c r="AV161" s="17">
        <v>113</v>
      </c>
      <c r="AW161" s="17"/>
    </row>
    <row r="162" spans="1:49">
      <c r="A162" t="s">
        <v>1067</v>
      </c>
      <c r="B162" s="5">
        <v>45758</v>
      </c>
      <c r="C162" t="s">
        <v>154</v>
      </c>
      <c r="D162" t="s">
        <v>155</v>
      </c>
      <c r="E162" t="s">
        <v>552</v>
      </c>
      <c r="F162" t="s">
        <v>449</v>
      </c>
      <c r="G162" t="s">
        <v>34</v>
      </c>
      <c r="H162" t="s">
        <v>70</v>
      </c>
      <c r="I162" t="s">
        <v>71</v>
      </c>
      <c r="J162" t="s">
        <v>56</v>
      </c>
      <c r="K162" t="s">
        <v>38</v>
      </c>
      <c r="L162" s="5">
        <v>44256</v>
      </c>
      <c r="M162">
        <v>67</v>
      </c>
      <c r="N162" t="s">
        <v>424</v>
      </c>
      <c r="O162" t="s">
        <v>883</v>
      </c>
      <c r="P162" t="s">
        <v>946</v>
      </c>
      <c r="Q162">
        <v>1</v>
      </c>
      <c r="R162">
        <v>367</v>
      </c>
      <c r="S162" t="s">
        <v>932</v>
      </c>
      <c r="T162" s="6">
        <v>75295.617172149854</v>
      </c>
      <c r="U162" s="7">
        <f>T162*DealsRawTable[[#This Row],[Contract_Years]]</f>
        <v>75295.617172149854</v>
      </c>
      <c r="V162" s="8">
        <v>0.155</v>
      </c>
      <c r="W162" s="8">
        <v>0.14199999999999999</v>
      </c>
      <c r="X162" s="8">
        <v>-5.0999999999999997E-2</v>
      </c>
      <c r="Y162" t="s">
        <v>885</v>
      </c>
      <c r="Z162" t="s">
        <v>889</v>
      </c>
      <c r="AA162" s="6">
        <v>64630.142418922682</v>
      </c>
      <c r="AB162" s="7">
        <f>DealsRawTable[[#This Row],[Final_Price_ACV]]*DealsRawTable[[#This Row],[Contract_Years]]</f>
        <v>64630.142418922682</v>
      </c>
      <c r="AC162" s="6">
        <v>24923.022322219647</v>
      </c>
      <c r="AD162" s="6">
        <v>39707.120096703031</v>
      </c>
      <c r="AE162" s="8">
        <v>0.61437463404192372</v>
      </c>
      <c r="AF162" t="s">
        <v>880</v>
      </c>
      <c r="AH162" t="s">
        <v>44</v>
      </c>
      <c r="AI162" t="s">
        <v>38</v>
      </c>
      <c r="AJ162" s="6">
        <v>64630.142418922682</v>
      </c>
      <c r="AK162" s="6">
        <v>39707.120096703031</v>
      </c>
      <c r="AL162" t="s">
        <v>886</v>
      </c>
      <c r="AM162">
        <f t="shared" si="4"/>
        <v>64603.64</v>
      </c>
      <c r="AN162">
        <f>DealsRawTable[[#This Row],[Validated_Annual_Final_Price]]*DealsRawTable[[#This Row],[Contract_Years]]</f>
        <v>64603.64</v>
      </c>
      <c r="AO162">
        <f>DealsRawTable[[#This Row],[Validated_Annual_Final_Price]]-DealsRawTable[[#This Row],[Cost_to_Serve]]</f>
        <v>39680.617677780348</v>
      </c>
      <c r="AP162" s="17">
        <f>DealsRawTable[[#This Row],[Validated_Grossprofit]]/DealsRawTable[[#This Row],[Validated_Annual_Final_Price]]</f>
        <v>0.61421643854402552</v>
      </c>
      <c r="AQ162" s="17">
        <v>64603.64</v>
      </c>
      <c r="AR162" s="17">
        <v>64603.64</v>
      </c>
      <c r="AS162" s="17">
        <v>39680.617677780348</v>
      </c>
      <c r="AT162" s="17">
        <v>0.61421643854402552</v>
      </c>
      <c r="AU162" s="17" t="str">
        <f t="shared" si="5"/>
        <v>10–15%</v>
      </c>
      <c r="AV162" s="17">
        <v>113</v>
      </c>
      <c r="AW162" s="17"/>
    </row>
    <row r="163" spans="1:49">
      <c r="A163" t="s">
        <v>1068</v>
      </c>
      <c r="B163" s="5">
        <v>45908</v>
      </c>
      <c r="C163" t="s">
        <v>154</v>
      </c>
      <c r="D163" t="s">
        <v>155</v>
      </c>
      <c r="E163" t="s">
        <v>552</v>
      </c>
      <c r="F163" t="s">
        <v>449</v>
      </c>
      <c r="G163" t="s">
        <v>34</v>
      </c>
      <c r="H163" t="s">
        <v>70</v>
      </c>
      <c r="I163" t="s">
        <v>71</v>
      </c>
      <c r="J163" t="s">
        <v>56</v>
      </c>
      <c r="K163" t="s">
        <v>38</v>
      </c>
      <c r="L163" s="5">
        <v>44256</v>
      </c>
      <c r="M163">
        <v>67</v>
      </c>
      <c r="N163" t="s">
        <v>424</v>
      </c>
      <c r="O163" t="s">
        <v>876</v>
      </c>
      <c r="Q163">
        <v>1</v>
      </c>
      <c r="R163">
        <v>367</v>
      </c>
      <c r="S163" t="s">
        <v>877</v>
      </c>
      <c r="T163" s="6">
        <v>77956.056522961255</v>
      </c>
      <c r="U163" s="7">
        <f>T163*DealsRawTable[[#This Row],[Contract_Years]]</f>
        <v>77956.056522961255</v>
      </c>
      <c r="V163" s="8">
        <v>8.7999999999999995E-2</v>
      </c>
      <c r="W163" s="8">
        <v>4.4999999999999998E-2</v>
      </c>
      <c r="X163" s="8">
        <v>3.7999999999999999E-2</v>
      </c>
      <c r="Y163" t="s">
        <v>885</v>
      </c>
      <c r="Z163" t="s">
        <v>879</v>
      </c>
      <c r="AA163" s="6">
        <v>74437.255117224166</v>
      </c>
      <c r="AB163" s="7">
        <f>DealsRawTable[[#This Row],[Final_Price_ACV]]*DealsRawTable[[#This Row],[Contract_Years]]</f>
        <v>74437.255117224166</v>
      </c>
      <c r="AC163" s="6">
        <v>17814.331314686551</v>
      </c>
      <c r="AD163" s="6">
        <v>56622.923802537611</v>
      </c>
      <c r="AE163" s="8">
        <v>0.76067990031829547</v>
      </c>
      <c r="AF163" t="s">
        <v>880</v>
      </c>
      <c r="AG163" t="s">
        <v>44</v>
      </c>
      <c r="AI163" t="s">
        <v>38</v>
      </c>
      <c r="AJ163" s="6">
        <v>74437.255117224166</v>
      </c>
      <c r="AK163" s="6">
        <v>56622.923802537611</v>
      </c>
      <c r="AL163" t="s">
        <v>881</v>
      </c>
      <c r="AM163">
        <f t="shared" si="4"/>
        <v>74448.03</v>
      </c>
      <c r="AN163">
        <f>DealsRawTable[[#This Row],[Validated_Annual_Final_Price]]*DealsRawTable[[#This Row],[Contract_Years]]</f>
        <v>74448.03</v>
      </c>
      <c r="AO163">
        <f>DealsRawTable[[#This Row],[Validated_Annual_Final_Price]]-DealsRawTable[[#This Row],[Cost_to_Serve]]</f>
        <v>56633.698685313444</v>
      </c>
      <c r="AP163" s="17">
        <f>DealsRawTable[[#This Row],[Validated_Grossprofit]]/DealsRawTable[[#This Row],[Validated_Annual_Final_Price]]</f>
        <v>0.76071453717866599</v>
      </c>
      <c r="AQ163" s="17">
        <v>74448.03</v>
      </c>
      <c r="AR163" s="17">
        <v>74448.03</v>
      </c>
      <c r="AS163" s="17">
        <v>56633.698685313444</v>
      </c>
      <c r="AT163" s="17">
        <v>0.76071453717866599</v>
      </c>
      <c r="AU163" s="17" t="str">
        <f t="shared" si="5"/>
        <v>0–5%</v>
      </c>
      <c r="AV163" s="17">
        <v>55</v>
      </c>
      <c r="AW163" s="17"/>
    </row>
    <row r="164" spans="1:49">
      <c r="A164" t="s">
        <v>1069</v>
      </c>
      <c r="B164" s="5">
        <v>45836</v>
      </c>
      <c r="C164" t="s">
        <v>156</v>
      </c>
      <c r="D164" t="s">
        <v>157</v>
      </c>
      <c r="E164" t="s">
        <v>553</v>
      </c>
      <c r="F164" t="s">
        <v>47</v>
      </c>
      <c r="G164" t="s">
        <v>83</v>
      </c>
      <c r="H164" t="s">
        <v>48</v>
      </c>
      <c r="I164" t="s">
        <v>49</v>
      </c>
      <c r="J164" t="s">
        <v>56</v>
      </c>
      <c r="K164" t="s">
        <v>38</v>
      </c>
      <c r="L164" s="5">
        <v>44652</v>
      </c>
      <c r="M164">
        <v>81</v>
      </c>
      <c r="N164" t="s">
        <v>429</v>
      </c>
      <c r="O164" t="s">
        <v>891</v>
      </c>
      <c r="Q164">
        <v>3</v>
      </c>
      <c r="R164">
        <v>77</v>
      </c>
      <c r="S164" t="s">
        <v>907</v>
      </c>
      <c r="T164" s="6">
        <v>119488.28879321752</v>
      </c>
      <c r="U164" s="7">
        <f>T164*DealsRawTable[[#This Row],[Contract_Years]]</f>
        <v>358464.86637965258</v>
      </c>
      <c r="V164" s="8">
        <v>8.1000000000000003E-2</v>
      </c>
      <c r="W164" s="8">
        <v>6.2E-2</v>
      </c>
      <c r="X164" s="8">
        <v>7.9000000000000001E-2</v>
      </c>
      <c r="Y164" t="s">
        <v>897</v>
      </c>
      <c r="Z164" t="s">
        <v>879</v>
      </c>
      <c r="AA164" s="6">
        <v>112099.98384088035</v>
      </c>
      <c r="AB164" s="7">
        <f>DealsRawTable[[#This Row],[Final_Price_ACV]]*DealsRawTable[[#This Row],[Contract_Years]]</f>
        <v>336299.95152264106</v>
      </c>
      <c r="AC164" s="6">
        <v>40424.103751544892</v>
      </c>
      <c r="AD164" s="6">
        <v>71675.880089335464</v>
      </c>
      <c r="AE164" s="8">
        <v>0.63939242124312312</v>
      </c>
      <c r="AF164" t="s">
        <v>880</v>
      </c>
      <c r="AI164" t="s">
        <v>38</v>
      </c>
      <c r="AJ164" s="6">
        <v>112099.98384088035</v>
      </c>
      <c r="AK164" s="6">
        <v>71675.880089335464</v>
      </c>
      <c r="AL164" t="s">
        <v>894</v>
      </c>
      <c r="AM164">
        <f t="shared" si="4"/>
        <v>112080.01</v>
      </c>
      <c r="AN164">
        <f>DealsRawTable[[#This Row],[Validated_Annual_Final_Price]]*DealsRawTable[[#This Row],[Contract_Years]]</f>
        <v>336240.02999999997</v>
      </c>
      <c r="AO164">
        <f>DealsRawTable[[#This Row],[Validated_Annual_Final_Price]]-DealsRawTable[[#This Row],[Cost_to_Serve]]</f>
        <v>71655.90624845511</v>
      </c>
      <c r="AP164" s="17">
        <f>DealsRawTable[[#This Row],[Validated_Grossprofit]]/DealsRawTable[[#This Row],[Validated_Annual_Final_Price]]</f>
        <v>0.63932815716607372</v>
      </c>
      <c r="AQ164" s="17">
        <v>112080.01</v>
      </c>
      <c r="AR164" s="17">
        <v>336240.02999999997</v>
      </c>
      <c r="AS164" s="17">
        <v>71655.90624845511</v>
      </c>
      <c r="AT164" s="17">
        <v>0.63932815716607372</v>
      </c>
      <c r="AU164" s="17" t="str">
        <f t="shared" si="5"/>
        <v>5–10%</v>
      </c>
      <c r="AV164" s="17">
        <v>116</v>
      </c>
      <c r="AW164" s="17"/>
    </row>
    <row r="165" spans="1:49">
      <c r="A165" t="s">
        <v>1070</v>
      </c>
      <c r="B165" s="5">
        <v>45814</v>
      </c>
      <c r="C165" t="s">
        <v>158</v>
      </c>
      <c r="D165" t="s">
        <v>159</v>
      </c>
      <c r="E165" t="s">
        <v>554</v>
      </c>
      <c r="F165" t="s">
        <v>449</v>
      </c>
      <c r="G165" t="s">
        <v>60</v>
      </c>
      <c r="H165" t="s">
        <v>35</v>
      </c>
      <c r="I165" t="s">
        <v>36</v>
      </c>
      <c r="J165" t="s">
        <v>37</v>
      </c>
      <c r="K165" t="s">
        <v>38</v>
      </c>
      <c r="L165" s="5">
        <v>43617</v>
      </c>
      <c r="M165">
        <v>60</v>
      </c>
      <c r="N165" t="s">
        <v>427</v>
      </c>
      <c r="O165" t="s">
        <v>891</v>
      </c>
      <c r="Q165">
        <v>3</v>
      </c>
      <c r="R165">
        <v>44</v>
      </c>
      <c r="S165" t="s">
        <v>892</v>
      </c>
      <c r="T165" s="6">
        <v>50192.74996666333</v>
      </c>
      <c r="U165" s="7">
        <f>T165*DealsRawTable[[#This Row],[Contract_Years]]</f>
        <v>150578.24989998998</v>
      </c>
      <c r="V165" s="8">
        <v>0.17100000000000001</v>
      </c>
      <c r="W165" s="8">
        <v>0.16300000000000001</v>
      </c>
      <c r="X165" s="8">
        <v>0.128</v>
      </c>
      <c r="Y165" t="s">
        <v>909</v>
      </c>
      <c r="Z165" t="s">
        <v>889</v>
      </c>
      <c r="AA165" s="6">
        <v>42001.266497403536</v>
      </c>
      <c r="AB165" s="7">
        <f>DealsRawTable[[#This Row],[Final_Price_ACV]]*DealsRawTable[[#This Row],[Contract_Years]]</f>
        <v>126003.79949221062</v>
      </c>
      <c r="AC165" s="6">
        <v>17352.568073254781</v>
      </c>
      <c r="AD165" s="6">
        <v>24648.698424148755</v>
      </c>
      <c r="AE165" s="8">
        <v>0.58685607553459151</v>
      </c>
      <c r="AF165" t="s">
        <v>457</v>
      </c>
      <c r="AI165" t="s">
        <v>38</v>
      </c>
      <c r="AJ165" s="6">
        <v>0</v>
      </c>
      <c r="AK165" s="6">
        <v>0</v>
      </c>
      <c r="AL165" t="s">
        <v>894</v>
      </c>
      <c r="AM165">
        <f t="shared" si="4"/>
        <v>42011.33</v>
      </c>
      <c r="AN165">
        <f>DealsRawTable[[#This Row],[Validated_Annual_Final_Price]]*DealsRawTable[[#This Row],[Contract_Years]]</f>
        <v>126033.99</v>
      </c>
      <c r="AO165">
        <f>DealsRawTable[[#This Row],[Validated_Annual_Final_Price]]-DealsRawTable[[#This Row],[Cost_to_Serve]]</f>
        <v>24658.761926745221</v>
      </c>
      <c r="AP165" s="17">
        <f>DealsRawTable[[#This Row],[Validated_Grossprofit]]/DealsRawTable[[#This Row],[Validated_Annual_Final_Price]]</f>
        <v>0.58695504109832319</v>
      </c>
      <c r="AQ165" s="17">
        <v>0</v>
      </c>
      <c r="AR165" s="17">
        <v>0</v>
      </c>
      <c r="AS165" s="17">
        <v>0</v>
      </c>
      <c r="AT165" s="17">
        <v>0</v>
      </c>
      <c r="AU165" s="17" t="str">
        <f t="shared" si="5"/>
        <v>15–20%</v>
      </c>
      <c r="AV165" s="17">
        <v>108</v>
      </c>
      <c r="AW165" s="17"/>
    </row>
    <row r="166" spans="1:49">
      <c r="A166" t="s">
        <v>1071</v>
      </c>
      <c r="B166" s="5">
        <v>45843</v>
      </c>
      <c r="C166" t="s">
        <v>158</v>
      </c>
      <c r="D166" t="s">
        <v>159</v>
      </c>
      <c r="E166" t="s">
        <v>555</v>
      </c>
      <c r="F166" t="s">
        <v>449</v>
      </c>
      <c r="G166" t="s">
        <v>60</v>
      </c>
      <c r="H166" t="s">
        <v>35</v>
      </c>
      <c r="I166" t="s">
        <v>36</v>
      </c>
      <c r="J166" t="s">
        <v>37</v>
      </c>
      <c r="K166" t="s">
        <v>38</v>
      </c>
      <c r="L166" s="5">
        <v>43617</v>
      </c>
      <c r="M166">
        <v>60</v>
      </c>
      <c r="N166" t="s">
        <v>424</v>
      </c>
      <c r="O166" t="s">
        <v>876</v>
      </c>
      <c r="Q166">
        <v>2</v>
      </c>
      <c r="R166">
        <v>37</v>
      </c>
      <c r="S166" t="s">
        <v>888</v>
      </c>
      <c r="T166" s="6">
        <v>24830.625364557556</v>
      </c>
      <c r="U166" s="7">
        <f>T166*DealsRawTable[[#This Row],[Contract_Years]]</f>
        <v>49661.250729115112</v>
      </c>
      <c r="V166" s="8">
        <v>0.156</v>
      </c>
      <c r="W166" s="8">
        <v>0.154</v>
      </c>
      <c r="X166" s="8">
        <v>-4.4999999999999998E-2</v>
      </c>
      <c r="Y166" t="s">
        <v>878</v>
      </c>
      <c r="Z166" t="s">
        <v>889</v>
      </c>
      <c r="AA166" s="6">
        <v>21011.535292102806</v>
      </c>
      <c r="AB166" s="7">
        <f>DealsRawTable[[#This Row],[Final_Price_ACV]]*DealsRawTable[[#This Row],[Contract_Years]]</f>
        <v>42023.070584205612</v>
      </c>
      <c r="AC166" s="6">
        <v>6444.6001077292367</v>
      </c>
      <c r="AD166" s="6">
        <v>14566.935184373569</v>
      </c>
      <c r="AE166" s="8">
        <v>0.69328276024877433</v>
      </c>
      <c r="AF166" t="s">
        <v>880</v>
      </c>
      <c r="AG166" t="s">
        <v>44</v>
      </c>
      <c r="AI166" t="s">
        <v>38</v>
      </c>
      <c r="AJ166" s="6">
        <v>21011.535292102806</v>
      </c>
      <c r="AK166" s="6">
        <v>14566.935184373569</v>
      </c>
      <c r="AL166" t="s">
        <v>881</v>
      </c>
      <c r="AM166">
        <f t="shared" si="4"/>
        <v>21006.71</v>
      </c>
      <c r="AN166">
        <f>DealsRawTable[[#This Row],[Validated_Annual_Final_Price]]*DealsRawTable[[#This Row],[Contract_Years]]</f>
        <v>42013.42</v>
      </c>
      <c r="AO166">
        <f>DealsRawTable[[#This Row],[Validated_Annual_Final_Price]]-DealsRawTable[[#This Row],[Cost_to_Serve]]</f>
        <v>14562.109892270762</v>
      </c>
      <c r="AP166" s="17">
        <f>DealsRawTable[[#This Row],[Validated_Grossprofit]]/DealsRawTable[[#This Row],[Validated_Annual_Final_Price]]</f>
        <v>0.69321230655684607</v>
      </c>
      <c r="AQ166" s="17">
        <v>21006.71</v>
      </c>
      <c r="AR166" s="17">
        <v>42013.42</v>
      </c>
      <c r="AS166" s="17">
        <v>14562.109892270762</v>
      </c>
      <c r="AT166" s="17">
        <v>0.69321230655684607</v>
      </c>
      <c r="AU166" s="17" t="str">
        <f t="shared" si="5"/>
        <v>15–20%</v>
      </c>
      <c r="AV166" s="17">
        <v>108</v>
      </c>
      <c r="AW166" s="17"/>
    </row>
    <row r="167" spans="1:49">
      <c r="A167" t="s">
        <v>1072</v>
      </c>
      <c r="B167" s="5">
        <v>45642</v>
      </c>
      <c r="C167" t="s">
        <v>160</v>
      </c>
      <c r="D167" t="s">
        <v>161</v>
      </c>
      <c r="E167" t="s">
        <v>557</v>
      </c>
      <c r="F167" t="s">
        <v>466</v>
      </c>
      <c r="G167" t="s">
        <v>83</v>
      </c>
      <c r="H167" t="s">
        <v>48</v>
      </c>
      <c r="I167" t="s">
        <v>49</v>
      </c>
      <c r="J167" t="s">
        <v>37</v>
      </c>
      <c r="K167" t="s">
        <v>38</v>
      </c>
      <c r="L167" s="5">
        <v>44652</v>
      </c>
      <c r="M167">
        <v>47</v>
      </c>
      <c r="N167" t="s">
        <v>429</v>
      </c>
      <c r="O167" t="s">
        <v>891</v>
      </c>
      <c r="Q167">
        <v>3</v>
      </c>
      <c r="R167">
        <v>19</v>
      </c>
      <c r="S167" t="s">
        <v>947</v>
      </c>
      <c r="T167" s="6">
        <v>89723.612557179396</v>
      </c>
      <c r="U167" s="7">
        <f>T167*DealsRawTable[[#This Row],[Contract_Years]]</f>
        <v>269170.83767153817</v>
      </c>
      <c r="V167" s="8">
        <v>9.8000000000000004E-2</v>
      </c>
      <c r="W167" s="8">
        <v>7.6999999999999999E-2</v>
      </c>
      <c r="X167" s="8">
        <v>-0.04</v>
      </c>
      <c r="Y167" t="s">
        <v>897</v>
      </c>
      <c r="Z167" t="s">
        <v>879</v>
      </c>
      <c r="AA167" s="6">
        <v>82778.508137629877</v>
      </c>
      <c r="AB167" s="7">
        <f>DealsRawTable[[#This Row],[Final_Price_ACV]]*DealsRawTable[[#This Row],[Contract_Years]]</f>
        <v>248335.52441288962</v>
      </c>
      <c r="AC167" s="6">
        <v>29644.954300996298</v>
      </c>
      <c r="AD167" s="6">
        <v>53133.553836633582</v>
      </c>
      <c r="AE167" s="8">
        <v>0.64187619506614257</v>
      </c>
      <c r="AF167" t="s">
        <v>880</v>
      </c>
      <c r="AI167" t="s">
        <v>38</v>
      </c>
      <c r="AJ167" s="6">
        <v>82778.508137629877</v>
      </c>
      <c r="AK167" s="6">
        <v>53133.553836633582</v>
      </c>
      <c r="AL167" t="s">
        <v>894</v>
      </c>
      <c r="AM167">
        <f t="shared" si="4"/>
        <v>82814.89</v>
      </c>
      <c r="AN167">
        <f>DealsRawTable[[#This Row],[Validated_Annual_Final_Price]]*DealsRawTable[[#This Row],[Contract_Years]]</f>
        <v>248444.66999999998</v>
      </c>
      <c r="AO167">
        <f>DealsRawTable[[#This Row],[Validated_Annual_Final_Price]]-DealsRawTable[[#This Row],[Cost_to_Serve]]</f>
        <v>53169.935699003705</v>
      </c>
      <c r="AP167" s="17">
        <f>DealsRawTable[[#This Row],[Validated_Grossprofit]]/DealsRawTable[[#This Row],[Validated_Annual_Final_Price]]</f>
        <v>0.6420335243940275</v>
      </c>
      <c r="AQ167" s="17">
        <v>82814.89</v>
      </c>
      <c r="AR167" s="17">
        <v>248444.66999999998</v>
      </c>
      <c r="AS167" s="17">
        <v>53169.935699003705</v>
      </c>
      <c r="AT167" s="17">
        <v>0.6420335243940275</v>
      </c>
      <c r="AU167" s="17" t="str">
        <f t="shared" si="5"/>
        <v>5–10%</v>
      </c>
      <c r="AV167" s="17">
        <v>116</v>
      </c>
      <c r="AW167" s="17"/>
    </row>
    <row r="168" spans="1:49">
      <c r="A168" t="s">
        <v>1073</v>
      </c>
      <c r="B168" s="5">
        <v>45790</v>
      </c>
      <c r="C168" t="s">
        <v>162</v>
      </c>
      <c r="D168" t="s">
        <v>163</v>
      </c>
      <c r="E168" t="s">
        <v>558</v>
      </c>
      <c r="F168" t="s">
        <v>466</v>
      </c>
      <c r="G168" t="s">
        <v>69</v>
      </c>
      <c r="H168" t="s">
        <v>70</v>
      </c>
      <c r="I168" t="s">
        <v>76</v>
      </c>
      <c r="J168" t="s">
        <v>43</v>
      </c>
      <c r="K168" t="s">
        <v>44</v>
      </c>
      <c r="L168" s="5">
        <v>43891</v>
      </c>
      <c r="M168">
        <v>71</v>
      </c>
      <c r="N168" t="s">
        <v>427</v>
      </c>
      <c r="O168" t="s">
        <v>891</v>
      </c>
      <c r="Q168">
        <v>3</v>
      </c>
      <c r="R168">
        <v>376</v>
      </c>
      <c r="S168" t="s">
        <v>888</v>
      </c>
      <c r="T168" s="6">
        <v>276489.04389229312</v>
      </c>
      <c r="U168" s="7">
        <f>T168*DealsRawTable[[#This Row],[Contract_Years]]</f>
        <v>829467.13167687936</v>
      </c>
      <c r="V168" s="8">
        <v>0.17699999999999999</v>
      </c>
      <c r="W168" s="8">
        <v>0.13300000000000001</v>
      </c>
      <c r="X168" s="8">
        <v>-0.109</v>
      </c>
      <c r="Y168" t="s">
        <v>885</v>
      </c>
      <c r="Z168" t="s">
        <v>889</v>
      </c>
      <c r="AA168" s="6">
        <v>239746.95446042126</v>
      </c>
      <c r="AB168" s="7">
        <f>DealsRawTable[[#This Row],[Final_Price_ACV]]*DealsRawTable[[#This Row],[Contract_Years]]</f>
        <v>719240.8633812638</v>
      </c>
      <c r="AC168" s="6">
        <v>107628.86182651384</v>
      </c>
      <c r="AD168" s="6">
        <v>132118.09263390742</v>
      </c>
      <c r="AE168" s="8">
        <v>0.55107308007834654</v>
      </c>
      <c r="AF168" t="s">
        <v>457</v>
      </c>
      <c r="AI168" t="s">
        <v>38</v>
      </c>
      <c r="AJ168" s="6">
        <v>0</v>
      </c>
      <c r="AK168" s="6">
        <v>0</v>
      </c>
      <c r="AL168" t="s">
        <v>894</v>
      </c>
      <c r="AM168">
        <f t="shared" si="4"/>
        <v>239716</v>
      </c>
      <c r="AN168">
        <f>DealsRawTable[[#This Row],[Validated_Annual_Final_Price]]*DealsRawTable[[#This Row],[Contract_Years]]</f>
        <v>719148</v>
      </c>
      <c r="AO168">
        <f>DealsRawTable[[#This Row],[Validated_Annual_Final_Price]]-DealsRawTable[[#This Row],[Cost_to_Serve]]</f>
        <v>132087.13817348616</v>
      </c>
      <c r="AP168" s="17">
        <f>DealsRawTable[[#This Row],[Validated_Grossprofit]]/DealsRawTable[[#This Row],[Validated_Annual_Final_Price]]</f>
        <v>0.55101511027001182</v>
      </c>
      <c r="AQ168" s="17">
        <v>0</v>
      </c>
      <c r="AR168" s="17">
        <v>0</v>
      </c>
      <c r="AS168" s="17">
        <v>0</v>
      </c>
      <c r="AT168" s="17">
        <v>0</v>
      </c>
      <c r="AU168" s="17" t="str">
        <f t="shared" si="5"/>
        <v>10–15%</v>
      </c>
      <c r="AV168" s="17">
        <v>113</v>
      </c>
      <c r="AW168" s="17"/>
    </row>
    <row r="169" spans="1:49">
      <c r="A169" t="s">
        <v>1074</v>
      </c>
      <c r="B169" s="5">
        <v>45399</v>
      </c>
      <c r="C169" t="s">
        <v>164</v>
      </c>
      <c r="D169" t="s">
        <v>165</v>
      </c>
      <c r="E169" t="s">
        <v>560</v>
      </c>
      <c r="F169" t="s">
        <v>47</v>
      </c>
      <c r="G169" t="s">
        <v>53</v>
      </c>
      <c r="H169" t="s">
        <v>54</v>
      </c>
      <c r="I169" t="s">
        <v>55</v>
      </c>
      <c r="J169" t="s">
        <v>56</v>
      </c>
      <c r="K169" t="s">
        <v>38</v>
      </c>
      <c r="L169" s="5">
        <v>45108</v>
      </c>
      <c r="M169">
        <v>78</v>
      </c>
      <c r="N169" t="s">
        <v>424</v>
      </c>
      <c r="O169" t="s">
        <v>891</v>
      </c>
      <c r="Q169">
        <v>3</v>
      </c>
      <c r="R169">
        <v>253</v>
      </c>
      <c r="S169" t="s">
        <v>947</v>
      </c>
      <c r="T169" s="6">
        <v>59095.03090117676</v>
      </c>
      <c r="U169" s="7">
        <f>T169*DealsRawTable[[#This Row],[Contract_Years]]</f>
        <v>177285.09270353027</v>
      </c>
      <c r="V169" s="8">
        <v>0.151</v>
      </c>
      <c r="W169" s="8">
        <v>0.14699999999999999</v>
      </c>
      <c r="X169" s="8">
        <v>-6.8000000000000005E-2</v>
      </c>
      <c r="Y169" t="s">
        <v>897</v>
      </c>
      <c r="Z169" t="s">
        <v>889</v>
      </c>
      <c r="AA169" s="6">
        <v>50399.906622299583</v>
      </c>
      <c r="AB169" s="7">
        <f>DealsRawTable[[#This Row],[Final_Price_ACV]]*DealsRawTable[[#This Row],[Contract_Years]]</f>
        <v>151199.71986689875</v>
      </c>
      <c r="AC169" s="6">
        <v>19946.983461372525</v>
      </c>
      <c r="AD169" s="6">
        <v>30452.923160927057</v>
      </c>
      <c r="AE169" s="8">
        <v>0.60422578535994897</v>
      </c>
      <c r="AF169" t="s">
        <v>457</v>
      </c>
      <c r="AI169" t="s">
        <v>38</v>
      </c>
      <c r="AJ169" s="6">
        <v>0</v>
      </c>
      <c r="AK169" s="6">
        <v>0</v>
      </c>
      <c r="AL169" t="s">
        <v>894</v>
      </c>
      <c r="AM169">
        <f t="shared" si="4"/>
        <v>50408.06</v>
      </c>
      <c r="AN169">
        <f>DealsRawTable[[#This Row],[Validated_Annual_Final_Price]]*DealsRawTable[[#This Row],[Contract_Years]]</f>
        <v>151224.18</v>
      </c>
      <c r="AO169">
        <f>DealsRawTable[[#This Row],[Validated_Annual_Final_Price]]-DealsRawTable[[#This Row],[Cost_to_Serve]]</f>
        <v>30461.076538627472</v>
      </c>
      <c r="AP169" s="17">
        <f>DealsRawTable[[#This Row],[Validated_Grossprofit]]/DealsRawTable[[#This Row],[Validated_Annual_Final_Price]]</f>
        <v>0.60428980084985362</v>
      </c>
      <c r="AQ169" s="17">
        <v>0</v>
      </c>
      <c r="AR169" s="17">
        <v>0</v>
      </c>
      <c r="AS169" s="17">
        <v>0</v>
      </c>
      <c r="AT169" s="17">
        <v>0</v>
      </c>
      <c r="AU169" s="17" t="str">
        <f t="shared" si="5"/>
        <v>10–15%</v>
      </c>
      <c r="AV169" s="17">
        <v>113</v>
      </c>
      <c r="AW169" s="17"/>
    </row>
    <row r="170" spans="1:49">
      <c r="A170" t="s">
        <v>1075</v>
      </c>
      <c r="B170" s="5">
        <v>45404</v>
      </c>
      <c r="C170" t="s">
        <v>164</v>
      </c>
      <c r="D170" t="s">
        <v>165</v>
      </c>
      <c r="E170" t="s">
        <v>561</v>
      </c>
      <c r="F170" t="s">
        <v>449</v>
      </c>
      <c r="G170" t="s">
        <v>53</v>
      </c>
      <c r="H170" t="s">
        <v>54</v>
      </c>
      <c r="I170" t="s">
        <v>55</v>
      </c>
      <c r="J170" t="s">
        <v>56</v>
      </c>
      <c r="K170" t="s">
        <v>38</v>
      </c>
      <c r="L170" s="5">
        <v>45108</v>
      </c>
      <c r="M170">
        <v>78</v>
      </c>
      <c r="N170" t="s">
        <v>429</v>
      </c>
      <c r="O170" t="s">
        <v>891</v>
      </c>
      <c r="Q170">
        <v>2</v>
      </c>
      <c r="R170">
        <v>170</v>
      </c>
      <c r="S170" t="s">
        <v>892</v>
      </c>
      <c r="T170" s="6">
        <v>134352.35432218268</v>
      </c>
      <c r="U170" s="7">
        <f>T170*DealsRawTable[[#This Row],[Contract_Years]]</f>
        <v>268704.70864436537</v>
      </c>
      <c r="V170" s="8">
        <v>0.20100000000000001</v>
      </c>
      <c r="W170" s="8">
        <v>0.153</v>
      </c>
      <c r="X170" s="8">
        <v>-3.1E-2</v>
      </c>
      <c r="Y170" t="s">
        <v>902</v>
      </c>
      <c r="Z170" t="s">
        <v>889</v>
      </c>
      <c r="AA170" s="6">
        <v>113849.67685500553</v>
      </c>
      <c r="AB170" s="7">
        <f>DealsRawTable[[#This Row],[Final_Price_ACV]]*DealsRawTable[[#This Row],[Contract_Years]]</f>
        <v>227699.35371001106</v>
      </c>
      <c r="AC170" s="6">
        <v>47871.902575854059</v>
      </c>
      <c r="AD170" s="6">
        <v>65977.774279151461</v>
      </c>
      <c r="AE170" s="8">
        <v>0.57951657046140026</v>
      </c>
      <c r="AF170" t="s">
        <v>880</v>
      </c>
      <c r="AI170" t="s">
        <v>38</v>
      </c>
      <c r="AJ170" s="6">
        <v>113849.67685500553</v>
      </c>
      <c r="AK170" s="6">
        <v>65977.774279151461</v>
      </c>
      <c r="AL170" t="s">
        <v>894</v>
      </c>
      <c r="AM170">
        <f t="shared" si="4"/>
        <v>113796.44</v>
      </c>
      <c r="AN170">
        <f>DealsRawTable[[#This Row],[Validated_Annual_Final_Price]]*DealsRawTable[[#This Row],[Contract_Years]]</f>
        <v>227592.88</v>
      </c>
      <c r="AO170">
        <f>DealsRawTable[[#This Row],[Validated_Annual_Final_Price]]-DealsRawTable[[#This Row],[Cost_to_Serve]]</f>
        <v>65924.537424145936</v>
      </c>
      <c r="AP170" s="17">
        <f>DealsRawTable[[#This Row],[Validated_Grossprofit]]/DealsRawTable[[#This Row],[Validated_Annual_Final_Price]]</f>
        <v>0.57931985766994054</v>
      </c>
      <c r="AQ170" s="17">
        <v>113796.44</v>
      </c>
      <c r="AR170" s="17">
        <v>227592.88</v>
      </c>
      <c r="AS170" s="17">
        <v>65924.537424145936</v>
      </c>
      <c r="AT170" s="17">
        <v>0.57931985766994054</v>
      </c>
      <c r="AU170" s="17" t="str">
        <f t="shared" si="5"/>
        <v>15–20%</v>
      </c>
      <c r="AV170" s="17">
        <v>108</v>
      </c>
      <c r="AW170" s="17"/>
    </row>
    <row r="171" spans="1:49">
      <c r="A171" t="s">
        <v>1076</v>
      </c>
      <c r="B171" s="5">
        <v>45350</v>
      </c>
      <c r="C171" t="s">
        <v>166</v>
      </c>
      <c r="D171" t="s">
        <v>167</v>
      </c>
      <c r="E171" t="s">
        <v>562</v>
      </c>
      <c r="F171" t="s">
        <v>449</v>
      </c>
      <c r="G171" t="s">
        <v>69</v>
      </c>
      <c r="H171" t="s">
        <v>48</v>
      </c>
      <c r="I171" t="s">
        <v>49</v>
      </c>
      <c r="J171" t="s">
        <v>56</v>
      </c>
      <c r="K171" t="s">
        <v>38</v>
      </c>
      <c r="L171" s="5">
        <v>44317</v>
      </c>
      <c r="M171">
        <v>78</v>
      </c>
      <c r="N171" t="s">
        <v>431</v>
      </c>
      <c r="O171" t="s">
        <v>876</v>
      </c>
      <c r="Q171">
        <v>1</v>
      </c>
      <c r="R171">
        <v>103</v>
      </c>
      <c r="S171" t="s">
        <v>896</v>
      </c>
      <c r="T171" s="6">
        <v>108468.65746535362</v>
      </c>
      <c r="U171" s="7">
        <f>T171*DealsRawTable[[#This Row],[Contract_Years]]</f>
        <v>108468.65746535362</v>
      </c>
      <c r="V171" s="8">
        <v>0.18</v>
      </c>
      <c r="W171" s="8">
        <v>0.155</v>
      </c>
      <c r="X171" s="8">
        <v>-4.8000000000000001E-2</v>
      </c>
      <c r="Y171" t="s">
        <v>902</v>
      </c>
      <c r="Z171" t="s">
        <v>889</v>
      </c>
      <c r="AA171" s="6">
        <v>91693.576853474355</v>
      </c>
      <c r="AB171" s="7">
        <f>DealsRawTable[[#This Row],[Final_Price_ACV]]*DealsRawTable[[#This Row],[Contract_Years]]</f>
        <v>91693.576853474355</v>
      </c>
      <c r="AC171" s="6">
        <v>40479.006524496202</v>
      </c>
      <c r="AD171" s="6">
        <v>51214.570328978152</v>
      </c>
      <c r="AE171" s="8">
        <v>0.55854043528936215</v>
      </c>
      <c r="AF171" t="s">
        <v>880</v>
      </c>
      <c r="AG171" t="s">
        <v>44</v>
      </c>
      <c r="AI171" t="s">
        <v>38</v>
      </c>
      <c r="AJ171" s="6">
        <v>91693.576853474355</v>
      </c>
      <c r="AK171" s="6">
        <v>51214.570328978152</v>
      </c>
      <c r="AL171" t="s">
        <v>881</v>
      </c>
      <c r="AM171">
        <f t="shared" si="4"/>
        <v>91656.02</v>
      </c>
      <c r="AN171">
        <f>DealsRawTable[[#This Row],[Validated_Annual_Final_Price]]*DealsRawTable[[#This Row],[Contract_Years]]</f>
        <v>91656.02</v>
      </c>
      <c r="AO171">
        <f>DealsRawTable[[#This Row],[Validated_Annual_Final_Price]]-DealsRawTable[[#This Row],[Cost_to_Serve]]</f>
        <v>51177.013475503802</v>
      </c>
      <c r="AP171" s="17">
        <f>DealsRawTable[[#This Row],[Validated_Grossprofit]]/DealsRawTable[[#This Row],[Validated_Annual_Final_Price]]</f>
        <v>0.55835954338300742</v>
      </c>
      <c r="AQ171" s="17">
        <v>91656.02</v>
      </c>
      <c r="AR171" s="17">
        <v>91656.02</v>
      </c>
      <c r="AS171" s="17">
        <v>51177.013475503802</v>
      </c>
      <c r="AT171" s="17">
        <v>0.55835954338300742</v>
      </c>
      <c r="AU171" s="17" t="str">
        <f t="shared" si="5"/>
        <v>15–20%</v>
      </c>
      <c r="AV171" s="17">
        <v>108</v>
      </c>
      <c r="AW171" s="17"/>
    </row>
    <row r="172" spans="1:49">
      <c r="A172" t="s">
        <v>1077</v>
      </c>
      <c r="B172" s="5">
        <v>45715</v>
      </c>
      <c r="C172" t="s">
        <v>166</v>
      </c>
      <c r="D172" t="s">
        <v>167</v>
      </c>
      <c r="E172" t="s">
        <v>562</v>
      </c>
      <c r="F172" t="s">
        <v>449</v>
      </c>
      <c r="G172" t="s">
        <v>69</v>
      </c>
      <c r="H172" t="s">
        <v>48</v>
      </c>
      <c r="I172" t="s">
        <v>49</v>
      </c>
      <c r="J172" t="s">
        <v>56</v>
      </c>
      <c r="K172" t="s">
        <v>38</v>
      </c>
      <c r="L172" s="5">
        <v>44317</v>
      </c>
      <c r="M172">
        <v>78</v>
      </c>
      <c r="N172" t="s">
        <v>431</v>
      </c>
      <c r="O172" t="s">
        <v>876</v>
      </c>
      <c r="Q172">
        <v>1</v>
      </c>
      <c r="R172">
        <v>103</v>
      </c>
      <c r="S172" t="s">
        <v>896</v>
      </c>
      <c r="T172" s="6">
        <v>112468.79572299444</v>
      </c>
      <c r="U172" s="7">
        <f>T172*DealsRawTable[[#This Row],[Contract_Years]]</f>
        <v>112468.79572299444</v>
      </c>
      <c r="V172" s="8">
        <v>0.14000000000000001</v>
      </c>
      <c r="W172" s="8">
        <v>0.108</v>
      </c>
      <c r="X172" s="8">
        <v>-0.14899999999999999</v>
      </c>
      <c r="Y172" t="s">
        <v>897</v>
      </c>
      <c r="Z172" t="s">
        <v>889</v>
      </c>
      <c r="AA172" s="6">
        <v>100362.22887262399</v>
      </c>
      <c r="AB172" s="7">
        <f>DealsRawTable[[#This Row],[Final_Price_ACV]]*DealsRawTable[[#This Row],[Contract_Years]]</f>
        <v>100362.22887262399</v>
      </c>
      <c r="AC172" s="6">
        <v>44663.935146583099</v>
      </c>
      <c r="AD172" s="6">
        <v>55698.293726040894</v>
      </c>
      <c r="AE172" s="8">
        <v>0.55497266602888118</v>
      </c>
      <c r="AF172" t="s">
        <v>880</v>
      </c>
      <c r="AG172" t="s">
        <v>44</v>
      </c>
      <c r="AI172" t="s">
        <v>38</v>
      </c>
      <c r="AJ172" s="6">
        <v>100362.22887262399</v>
      </c>
      <c r="AK172" s="6">
        <v>55698.293726040894</v>
      </c>
      <c r="AL172" t="s">
        <v>881</v>
      </c>
      <c r="AM172">
        <f t="shared" si="4"/>
        <v>100322.17</v>
      </c>
      <c r="AN172">
        <f>DealsRawTable[[#This Row],[Validated_Annual_Final_Price]]*DealsRawTable[[#This Row],[Contract_Years]]</f>
        <v>100322.17</v>
      </c>
      <c r="AO172">
        <f>DealsRawTable[[#This Row],[Validated_Annual_Final_Price]]-DealsRawTable[[#This Row],[Cost_to_Serve]]</f>
        <v>55658.2348534169</v>
      </c>
      <c r="AP172" s="17">
        <f>DealsRawTable[[#This Row],[Validated_Grossprofit]]/DealsRawTable[[#This Row],[Validated_Annual_Final_Price]]</f>
        <v>0.55479496559351638</v>
      </c>
      <c r="AQ172" s="17">
        <v>100322.17</v>
      </c>
      <c r="AR172" s="17">
        <v>100322.17</v>
      </c>
      <c r="AS172" s="17">
        <v>55658.2348534169</v>
      </c>
      <c r="AT172" s="17">
        <v>0.55479496559351638</v>
      </c>
      <c r="AU172" s="17" t="str">
        <f t="shared" si="5"/>
        <v>10–15%</v>
      </c>
      <c r="AV172" s="17">
        <v>113</v>
      </c>
      <c r="AW172" s="17"/>
    </row>
    <row r="173" spans="1:49">
      <c r="A173" t="s">
        <v>1078</v>
      </c>
      <c r="B173" s="5">
        <v>45422</v>
      </c>
      <c r="C173" t="s">
        <v>166</v>
      </c>
      <c r="D173" t="s">
        <v>167</v>
      </c>
      <c r="E173" t="s">
        <v>563</v>
      </c>
      <c r="F173" t="s">
        <v>34</v>
      </c>
      <c r="G173" t="s">
        <v>69</v>
      </c>
      <c r="H173" t="s">
        <v>48</v>
      </c>
      <c r="I173" t="s">
        <v>49</v>
      </c>
      <c r="J173" t="s">
        <v>56</v>
      </c>
      <c r="K173" t="s">
        <v>38</v>
      </c>
      <c r="L173" s="5">
        <v>44317</v>
      </c>
      <c r="M173">
        <v>78</v>
      </c>
      <c r="N173" t="s">
        <v>424</v>
      </c>
      <c r="O173" t="s">
        <v>876</v>
      </c>
      <c r="Q173">
        <v>2</v>
      </c>
      <c r="R173">
        <v>261</v>
      </c>
      <c r="S173" t="s">
        <v>932</v>
      </c>
      <c r="T173" s="6">
        <v>68439.163702037346</v>
      </c>
      <c r="U173" s="7">
        <f>T173*DealsRawTable[[#This Row],[Contract_Years]]</f>
        <v>136878.32740407469</v>
      </c>
      <c r="V173" s="8">
        <v>8.7999999999999995E-2</v>
      </c>
      <c r="W173" s="8">
        <v>4.7E-2</v>
      </c>
      <c r="X173" s="8">
        <v>-2.5999999999999999E-2</v>
      </c>
      <c r="Y173" t="s">
        <v>885</v>
      </c>
      <c r="Z173" t="s">
        <v>879</v>
      </c>
      <c r="AA173" s="6">
        <v>65201.461661404675</v>
      </c>
      <c r="AB173" s="7">
        <f>DealsRawTable[[#This Row],[Final_Price_ACV]]*DealsRawTable[[#This Row],[Contract_Years]]</f>
        <v>130402.92332280935</v>
      </c>
      <c r="AC173" s="6">
        <v>16005.137088195455</v>
      </c>
      <c r="AD173" s="6">
        <v>49196.324573209218</v>
      </c>
      <c r="AE173" s="8">
        <v>0.75452794031963344</v>
      </c>
      <c r="AF173" t="s">
        <v>880</v>
      </c>
      <c r="AG173" t="s">
        <v>44</v>
      </c>
      <c r="AI173" t="s">
        <v>38</v>
      </c>
      <c r="AJ173" s="6">
        <v>65201.461661404675</v>
      </c>
      <c r="AK173" s="6">
        <v>49196.324573209218</v>
      </c>
      <c r="AL173" t="s">
        <v>881</v>
      </c>
      <c r="AM173">
        <f t="shared" si="4"/>
        <v>65222.52</v>
      </c>
      <c r="AN173">
        <f>DealsRawTable[[#This Row],[Validated_Annual_Final_Price]]*DealsRawTable[[#This Row],[Contract_Years]]</f>
        <v>130445.04</v>
      </c>
      <c r="AO173">
        <f>DealsRawTable[[#This Row],[Validated_Annual_Final_Price]]-DealsRawTable[[#This Row],[Cost_to_Serve]]</f>
        <v>49217.38291180454</v>
      </c>
      <c r="AP173" s="17">
        <f>DealsRawTable[[#This Row],[Validated_Grossprofit]]/DealsRawTable[[#This Row],[Validated_Annual_Final_Price]]</f>
        <v>0.75460719567113543</v>
      </c>
      <c r="AQ173" s="17">
        <v>65222.52</v>
      </c>
      <c r="AR173" s="17">
        <v>130445.04</v>
      </c>
      <c r="AS173" s="17">
        <v>49217.38291180454</v>
      </c>
      <c r="AT173" s="17">
        <v>0.75460719567113543</v>
      </c>
      <c r="AU173" s="17" t="str">
        <f t="shared" si="5"/>
        <v>0–5%</v>
      </c>
      <c r="AV173" s="17">
        <v>55</v>
      </c>
      <c r="AW173" s="17"/>
    </row>
    <row r="174" spans="1:49">
      <c r="A174" t="s">
        <v>1079</v>
      </c>
      <c r="B174" s="5">
        <v>45710</v>
      </c>
      <c r="C174" t="s">
        <v>168</v>
      </c>
      <c r="D174" t="s">
        <v>169</v>
      </c>
      <c r="E174" t="s">
        <v>564</v>
      </c>
      <c r="F174" t="s">
        <v>466</v>
      </c>
      <c r="G174" t="s">
        <v>60</v>
      </c>
      <c r="H174" t="s">
        <v>54</v>
      </c>
      <c r="I174" t="s">
        <v>55</v>
      </c>
      <c r="J174" t="s">
        <v>37</v>
      </c>
      <c r="K174" t="s">
        <v>38</v>
      </c>
      <c r="L174" s="5">
        <v>44866</v>
      </c>
      <c r="M174">
        <v>75</v>
      </c>
      <c r="N174" t="s">
        <v>429</v>
      </c>
      <c r="O174" t="s">
        <v>891</v>
      </c>
      <c r="Q174">
        <v>1</v>
      </c>
      <c r="R174">
        <v>45</v>
      </c>
      <c r="S174" t="s">
        <v>896</v>
      </c>
      <c r="T174" s="6">
        <v>69644.793760900953</v>
      </c>
      <c r="U174" s="7">
        <f>T174*DealsRawTable[[#This Row],[Contract_Years]]</f>
        <v>69644.793760900953</v>
      </c>
      <c r="V174" s="8">
        <v>0.16700000000000001</v>
      </c>
      <c r="W174" s="8">
        <v>0.128</v>
      </c>
      <c r="X174" s="8">
        <v>3.0000000000000001E-3</v>
      </c>
      <c r="Y174" t="s">
        <v>902</v>
      </c>
      <c r="Z174" t="s">
        <v>889</v>
      </c>
      <c r="AA174" s="6">
        <v>60753.737918444007</v>
      </c>
      <c r="AB174" s="7">
        <f>DealsRawTable[[#This Row],[Final_Price_ACV]]*DealsRawTable[[#This Row],[Contract_Years]]</f>
        <v>60753.737918444007</v>
      </c>
      <c r="AC174" s="6">
        <v>27074.660845982984</v>
      </c>
      <c r="AD174" s="6">
        <v>33679.077072461019</v>
      </c>
      <c r="AE174" s="8">
        <v>0.55435399082229164</v>
      </c>
      <c r="AF174" t="s">
        <v>880</v>
      </c>
      <c r="AI174" t="s">
        <v>38</v>
      </c>
      <c r="AJ174" s="6">
        <v>60753.737918444007</v>
      </c>
      <c r="AK174" s="6">
        <v>33679.077072461019</v>
      </c>
      <c r="AL174" t="s">
        <v>894</v>
      </c>
      <c r="AM174">
        <f t="shared" si="4"/>
        <v>60730.26</v>
      </c>
      <c r="AN174">
        <f>DealsRawTable[[#This Row],[Validated_Annual_Final_Price]]*DealsRawTable[[#This Row],[Contract_Years]]</f>
        <v>60730.26</v>
      </c>
      <c r="AO174">
        <f>DealsRawTable[[#This Row],[Validated_Annual_Final_Price]]-DealsRawTable[[#This Row],[Cost_to_Serve]]</f>
        <v>33655.599154017022</v>
      </c>
      <c r="AP174" s="17">
        <f>DealsRawTable[[#This Row],[Validated_Grossprofit]]/DealsRawTable[[#This Row],[Validated_Annual_Final_Price]]</f>
        <v>0.5541817070109204</v>
      </c>
      <c r="AQ174" s="17">
        <v>60730.26</v>
      </c>
      <c r="AR174" s="17">
        <v>60730.26</v>
      </c>
      <c r="AS174" s="17">
        <v>33655.599154017022</v>
      </c>
      <c r="AT174" s="17">
        <v>0.5541817070109204</v>
      </c>
      <c r="AU174" s="17" t="str">
        <f t="shared" si="5"/>
        <v>10–15%</v>
      </c>
      <c r="AV174" s="17">
        <v>113</v>
      </c>
      <c r="AW174" s="17"/>
    </row>
    <row r="175" spans="1:49">
      <c r="A175" t="s">
        <v>1080</v>
      </c>
      <c r="B175" s="5">
        <v>45780</v>
      </c>
      <c r="C175" t="s">
        <v>170</v>
      </c>
      <c r="D175" t="s">
        <v>171</v>
      </c>
      <c r="E175" t="s">
        <v>566</v>
      </c>
      <c r="F175" t="s">
        <v>445</v>
      </c>
      <c r="G175" t="s">
        <v>69</v>
      </c>
      <c r="H175" t="s">
        <v>70</v>
      </c>
      <c r="I175" t="s">
        <v>71</v>
      </c>
      <c r="J175" t="s">
        <v>56</v>
      </c>
      <c r="K175" t="s">
        <v>38</v>
      </c>
      <c r="L175" s="5">
        <v>44866</v>
      </c>
      <c r="M175">
        <v>46</v>
      </c>
      <c r="N175" t="s">
        <v>433</v>
      </c>
      <c r="O175" t="s">
        <v>891</v>
      </c>
      <c r="Q175">
        <v>3</v>
      </c>
      <c r="R175">
        <v>189</v>
      </c>
      <c r="S175" t="s">
        <v>947</v>
      </c>
      <c r="T175" s="6">
        <v>223329.23841161327</v>
      </c>
      <c r="U175" s="7">
        <f>T175*DealsRawTable[[#This Row],[Contract_Years]]</f>
        <v>669987.71523483982</v>
      </c>
      <c r="V175" s="8">
        <v>0.123</v>
      </c>
      <c r="W175" s="8">
        <v>8.7999999999999995E-2</v>
      </c>
      <c r="X175" s="8">
        <v>0.105</v>
      </c>
      <c r="Y175" t="s">
        <v>902</v>
      </c>
      <c r="Z175" t="s">
        <v>879</v>
      </c>
      <c r="AA175" s="6">
        <v>203567.5928250518</v>
      </c>
      <c r="AB175" s="7">
        <f>DealsRawTable[[#This Row],[Final_Price_ACV]]*DealsRawTable[[#This Row],[Contract_Years]]</f>
        <v>610702.77847515536</v>
      </c>
      <c r="AC175" s="6">
        <v>87124.048092336365</v>
      </c>
      <c r="AD175" s="6">
        <v>116443.54473271544</v>
      </c>
      <c r="AE175" s="8">
        <v>0.57201415567549729</v>
      </c>
      <c r="AF175" t="s">
        <v>457</v>
      </c>
      <c r="AI175" t="s">
        <v>38</v>
      </c>
      <c r="AJ175" s="6">
        <v>0</v>
      </c>
      <c r="AK175" s="6">
        <v>0</v>
      </c>
      <c r="AL175" t="s">
        <v>894</v>
      </c>
      <c r="AM175">
        <f t="shared" si="4"/>
        <v>203676.27</v>
      </c>
      <c r="AN175">
        <f>DealsRawTable[[#This Row],[Validated_Annual_Final_Price]]*DealsRawTable[[#This Row],[Contract_Years]]</f>
        <v>611028.80999999994</v>
      </c>
      <c r="AO175">
        <f>DealsRawTable[[#This Row],[Validated_Annual_Final_Price]]-DealsRawTable[[#This Row],[Cost_to_Serve]]</f>
        <v>116552.22190766362</v>
      </c>
      <c r="AP175" s="17">
        <f>DealsRawTable[[#This Row],[Validated_Grossprofit]]/DealsRawTable[[#This Row],[Validated_Annual_Final_Price]]</f>
        <v>0.57224251950246163</v>
      </c>
      <c r="AQ175" s="17">
        <v>0</v>
      </c>
      <c r="AR175" s="17">
        <v>0</v>
      </c>
      <c r="AS175" s="17">
        <v>0</v>
      </c>
      <c r="AT175" s="17">
        <v>0</v>
      </c>
      <c r="AU175" s="17" t="str">
        <f t="shared" si="5"/>
        <v>5–10%</v>
      </c>
      <c r="AV175" s="17">
        <v>116</v>
      </c>
      <c r="AW175" s="17"/>
    </row>
    <row r="176" spans="1:49">
      <c r="A176" t="s">
        <v>1081</v>
      </c>
      <c r="B176" s="5">
        <v>45331</v>
      </c>
      <c r="C176" t="s">
        <v>172</v>
      </c>
      <c r="D176" t="s">
        <v>173</v>
      </c>
      <c r="E176" t="s">
        <v>567</v>
      </c>
      <c r="F176" t="s">
        <v>34</v>
      </c>
      <c r="G176" t="s">
        <v>83</v>
      </c>
      <c r="H176" t="s">
        <v>54</v>
      </c>
      <c r="I176" t="s">
        <v>55</v>
      </c>
      <c r="J176" t="s">
        <v>37</v>
      </c>
      <c r="K176" t="s">
        <v>38</v>
      </c>
      <c r="L176" s="5">
        <v>45505</v>
      </c>
      <c r="M176">
        <v>92</v>
      </c>
      <c r="N176" t="s">
        <v>424</v>
      </c>
      <c r="O176" t="s">
        <v>891</v>
      </c>
      <c r="Q176">
        <v>1</v>
      </c>
      <c r="R176">
        <v>20</v>
      </c>
      <c r="S176" t="s">
        <v>907</v>
      </c>
      <c r="T176" s="6">
        <v>24004.417123027892</v>
      </c>
      <c r="U176" s="7">
        <f>T176*DealsRawTable[[#This Row],[Contract_Years]]</f>
        <v>24004.417123027892</v>
      </c>
      <c r="V176" s="8">
        <v>0.17899999999999999</v>
      </c>
      <c r="W176" s="8">
        <v>0.17199999999999999</v>
      </c>
      <c r="X176" s="8">
        <v>-1.4E-2</v>
      </c>
      <c r="Y176" t="s">
        <v>885</v>
      </c>
      <c r="Z176" t="s">
        <v>889</v>
      </c>
      <c r="AA176" s="6">
        <v>19879.87496705637</v>
      </c>
      <c r="AB176" s="7">
        <f>DealsRawTable[[#This Row],[Final_Price_ACV]]*DealsRawTable[[#This Row],[Contract_Years]]</f>
        <v>19879.87496705637</v>
      </c>
      <c r="AC176" s="6">
        <v>7200.6476098795738</v>
      </c>
      <c r="AD176" s="6">
        <v>12679.227357176796</v>
      </c>
      <c r="AE176" s="8">
        <v>0.63779210775661233</v>
      </c>
      <c r="AF176" t="s">
        <v>880</v>
      </c>
      <c r="AI176" t="s">
        <v>38</v>
      </c>
      <c r="AJ176" s="6">
        <v>19879.87496705637</v>
      </c>
      <c r="AK176" s="6">
        <v>12679.227357176796</v>
      </c>
      <c r="AL176" t="s">
        <v>894</v>
      </c>
      <c r="AM176">
        <f t="shared" si="4"/>
        <v>19875.66</v>
      </c>
      <c r="AN176">
        <f>DealsRawTable[[#This Row],[Validated_Annual_Final_Price]]*DealsRawTable[[#This Row],[Contract_Years]]</f>
        <v>19875.66</v>
      </c>
      <c r="AO176">
        <f>DealsRawTable[[#This Row],[Validated_Annual_Final_Price]]-DealsRawTable[[#This Row],[Cost_to_Serve]]</f>
        <v>12675.012390120426</v>
      </c>
      <c r="AP176" s="17">
        <f>DealsRawTable[[#This Row],[Validated_Grossprofit]]/DealsRawTable[[#This Row],[Validated_Annual_Final_Price]]</f>
        <v>0.63771529549813322</v>
      </c>
      <c r="AQ176" s="17">
        <v>19875.66</v>
      </c>
      <c r="AR176" s="17">
        <v>19875.66</v>
      </c>
      <c r="AS176" s="17">
        <v>12675.012390120426</v>
      </c>
      <c r="AT176" s="17">
        <v>0.63771529549813322</v>
      </c>
      <c r="AU176" s="17" t="str">
        <f t="shared" si="5"/>
        <v>15–20%</v>
      </c>
      <c r="AV176" s="17">
        <v>108</v>
      </c>
      <c r="AW176" s="17"/>
    </row>
    <row r="177" spans="1:49">
      <c r="A177" t="s">
        <v>1082</v>
      </c>
      <c r="B177" s="5">
        <v>45488</v>
      </c>
      <c r="C177" t="s">
        <v>172</v>
      </c>
      <c r="D177" t="s">
        <v>173</v>
      </c>
      <c r="E177" t="s">
        <v>567</v>
      </c>
      <c r="F177" t="s">
        <v>34</v>
      </c>
      <c r="G177" t="s">
        <v>83</v>
      </c>
      <c r="H177" t="s">
        <v>54</v>
      </c>
      <c r="I177" t="s">
        <v>55</v>
      </c>
      <c r="J177" t="s">
        <v>37</v>
      </c>
      <c r="K177" t="s">
        <v>38</v>
      </c>
      <c r="L177" s="5">
        <v>45505</v>
      </c>
      <c r="M177">
        <v>92</v>
      </c>
      <c r="N177" t="s">
        <v>424</v>
      </c>
      <c r="O177" t="s">
        <v>883</v>
      </c>
      <c r="P177" t="s">
        <v>899</v>
      </c>
      <c r="Q177">
        <v>1</v>
      </c>
      <c r="R177">
        <v>27</v>
      </c>
      <c r="S177" t="s">
        <v>888</v>
      </c>
      <c r="T177" s="6">
        <v>32308.431004231225</v>
      </c>
      <c r="U177" s="7">
        <f>T177*DealsRawTable[[#This Row],[Contract_Years]]</f>
        <v>32308.431004231225</v>
      </c>
      <c r="V177" s="8">
        <v>0.11899999999999999</v>
      </c>
      <c r="W177" s="8">
        <v>0.107</v>
      </c>
      <c r="X177" s="8">
        <v>-5.0999999999999997E-2</v>
      </c>
      <c r="Y177" t="s">
        <v>885</v>
      </c>
      <c r="Z177" t="s">
        <v>889</v>
      </c>
      <c r="AA177" s="6">
        <v>28859.790385581404</v>
      </c>
      <c r="AB177" s="7">
        <f>DealsRawTable[[#This Row],[Final_Price_ACV]]*DealsRawTable[[#This Row],[Contract_Years]]</f>
        <v>28859.790385581404</v>
      </c>
      <c r="AC177" s="6">
        <v>9183.2874411190132</v>
      </c>
      <c r="AD177" s="6">
        <v>19676.502944462391</v>
      </c>
      <c r="AE177" s="8">
        <v>0.68179646080495926</v>
      </c>
      <c r="AF177" t="s">
        <v>880</v>
      </c>
      <c r="AH177" t="s">
        <v>44</v>
      </c>
      <c r="AI177" t="s">
        <v>38</v>
      </c>
      <c r="AJ177" s="6">
        <v>28859.790385581404</v>
      </c>
      <c r="AK177" s="6">
        <v>19676.502944462391</v>
      </c>
      <c r="AL177" t="s">
        <v>886</v>
      </c>
      <c r="AM177">
        <f t="shared" si="4"/>
        <v>28851.43</v>
      </c>
      <c r="AN177">
        <f>DealsRawTable[[#This Row],[Validated_Annual_Final_Price]]*DealsRawTable[[#This Row],[Contract_Years]]</f>
        <v>28851.43</v>
      </c>
      <c r="AO177">
        <f>DealsRawTable[[#This Row],[Validated_Annual_Final_Price]]-DealsRawTable[[#This Row],[Cost_to_Serve]]</f>
        <v>19668.142558880987</v>
      </c>
      <c r="AP177" s="17">
        <f>DealsRawTable[[#This Row],[Validated_Grossprofit]]/DealsRawTable[[#This Row],[Validated_Annual_Final_Price]]</f>
        <v>0.68170425378849464</v>
      </c>
      <c r="AQ177" s="17">
        <v>28851.43</v>
      </c>
      <c r="AR177" s="17">
        <v>28851.43</v>
      </c>
      <c r="AS177" s="17">
        <v>19668.142558880987</v>
      </c>
      <c r="AT177" s="17">
        <v>0.68170425378849464</v>
      </c>
      <c r="AU177" s="17" t="str">
        <f t="shared" si="5"/>
        <v>10–15%</v>
      </c>
      <c r="AV177" s="17">
        <v>113</v>
      </c>
      <c r="AW177" s="17"/>
    </row>
    <row r="178" spans="1:49">
      <c r="A178" t="s">
        <v>1083</v>
      </c>
      <c r="B178" s="5">
        <v>45696</v>
      </c>
      <c r="C178" t="s">
        <v>172</v>
      </c>
      <c r="D178" t="s">
        <v>173</v>
      </c>
      <c r="E178" t="s">
        <v>567</v>
      </c>
      <c r="F178" t="s">
        <v>34</v>
      </c>
      <c r="G178" t="s">
        <v>83</v>
      </c>
      <c r="H178" t="s">
        <v>54</v>
      </c>
      <c r="I178" t="s">
        <v>55</v>
      </c>
      <c r="J178" t="s">
        <v>37</v>
      </c>
      <c r="K178" t="s">
        <v>38</v>
      </c>
      <c r="L178" s="5">
        <v>45505</v>
      </c>
      <c r="M178">
        <v>92</v>
      </c>
      <c r="N178" t="s">
        <v>424</v>
      </c>
      <c r="O178" t="s">
        <v>876</v>
      </c>
      <c r="Q178">
        <v>1</v>
      </c>
      <c r="R178">
        <v>27</v>
      </c>
      <c r="S178" t="s">
        <v>888</v>
      </c>
      <c r="T178" s="6">
        <v>34499.548105239628</v>
      </c>
      <c r="U178" s="7">
        <f>T178*DealsRawTable[[#This Row],[Contract_Years]]</f>
        <v>34499.548105239628</v>
      </c>
      <c r="V178" s="8">
        <v>0.113</v>
      </c>
      <c r="W178" s="8">
        <v>0.108</v>
      </c>
      <c r="X178" s="8">
        <v>-7.6999999999999999E-2</v>
      </c>
      <c r="Y178" t="s">
        <v>911</v>
      </c>
      <c r="Z178" t="s">
        <v>889</v>
      </c>
      <c r="AA178" s="6">
        <v>30764.444839968677</v>
      </c>
      <c r="AB178" s="7">
        <f>DealsRawTable[[#This Row],[Final_Price_ACV]]*DealsRawTable[[#This Row],[Contract_Years]]</f>
        <v>30764.444839968677</v>
      </c>
      <c r="AC178" s="6">
        <v>10756.818264021585</v>
      </c>
      <c r="AD178" s="6">
        <v>20007.626575947092</v>
      </c>
      <c r="AE178" s="8">
        <v>0.65034902076157419</v>
      </c>
      <c r="AF178" t="s">
        <v>880</v>
      </c>
      <c r="AG178" t="s">
        <v>44</v>
      </c>
      <c r="AI178" t="s">
        <v>38</v>
      </c>
      <c r="AJ178" s="6">
        <v>30764.444839968677</v>
      </c>
      <c r="AK178" s="6">
        <v>20007.626575947092</v>
      </c>
      <c r="AL178" t="s">
        <v>881</v>
      </c>
      <c r="AM178">
        <f t="shared" si="4"/>
        <v>30773.599999999999</v>
      </c>
      <c r="AN178">
        <f>DealsRawTable[[#This Row],[Validated_Annual_Final_Price]]*DealsRawTable[[#This Row],[Contract_Years]]</f>
        <v>30773.599999999999</v>
      </c>
      <c r="AO178">
        <f>DealsRawTable[[#This Row],[Validated_Annual_Final_Price]]-DealsRawTable[[#This Row],[Cost_to_Serve]]</f>
        <v>20016.781735978413</v>
      </c>
      <c r="AP178" s="17">
        <f>DealsRawTable[[#This Row],[Validated_Grossprofit]]/DealsRawTable[[#This Row],[Validated_Annual_Final_Price]]</f>
        <v>0.65045304208732202</v>
      </c>
      <c r="AQ178" s="17">
        <v>30773.599999999999</v>
      </c>
      <c r="AR178" s="17">
        <v>30773.599999999999</v>
      </c>
      <c r="AS178" s="17">
        <v>20016.781735978413</v>
      </c>
      <c r="AT178" s="17">
        <v>0.65045304208732202</v>
      </c>
      <c r="AU178" s="17" t="str">
        <f t="shared" si="5"/>
        <v>10–15%</v>
      </c>
      <c r="AV178" s="17">
        <v>113</v>
      </c>
      <c r="AW178" s="17"/>
    </row>
    <row r="179" spans="1:49">
      <c r="A179" t="s">
        <v>1084</v>
      </c>
      <c r="B179" s="5">
        <v>45354</v>
      </c>
      <c r="C179" t="s">
        <v>172</v>
      </c>
      <c r="D179" t="s">
        <v>173</v>
      </c>
      <c r="E179" t="s">
        <v>568</v>
      </c>
      <c r="F179" t="s">
        <v>445</v>
      </c>
      <c r="G179" t="s">
        <v>83</v>
      </c>
      <c r="H179" t="s">
        <v>54</v>
      </c>
      <c r="I179" t="s">
        <v>55</v>
      </c>
      <c r="J179" t="s">
        <v>37</v>
      </c>
      <c r="K179" t="s">
        <v>38</v>
      </c>
      <c r="L179" s="5">
        <v>45505</v>
      </c>
      <c r="M179">
        <v>92</v>
      </c>
      <c r="N179" t="s">
        <v>429</v>
      </c>
      <c r="O179" t="s">
        <v>891</v>
      </c>
      <c r="Q179">
        <v>3</v>
      </c>
      <c r="R179">
        <v>74</v>
      </c>
      <c r="S179" t="s">
        <v>900</v>
      </c>
      <c r="T179" s="6">
        <v>77417.315830969615</v>
      </c>
      <c r="U179" s="7">
        <f>T179*DealsRawTable[[#This Row],[Contract_Years]]</f>
        <v>232251.94749290886</v>
      </c>
      <c r="V179" s="8">
        <v>0.14299999999999999</v>
      </c>
      <c r="W179" s="8">
        <v>8.8999999999999996E-2</v>
      </c>
      <c r="X179" s="8">
        <v>4.4999999999999998E-2</v>
      </c>
      <c r="Y179" t="s">
        <v>897</v>
      </c>
      <c r="Z179" t="s">
        <v>879</v>
      </c>
      <c r="AA179" s="6">
        <v>70543.012759794641</v>
      </c>
      <c r="AB179" s="7">
        <f>DealsRawTable[[#This Row],[Final_Price_ACV]]*DealsRawTable[[#This Row],[Contract_Years]]</f>
        <v>211629.03827938391</v>
      </c>
      <c r="AC179" s="6">
        <v>32108.726969299383</v>
      </c>
      <c r="AD179" s="6">
        <v>38434.285790495254</v>
      </c>
      <c r="AE179" s="8">
        <v>0.54483476515764195</v>
      </c>
      <c r="AF179" t="s">
        <v>457</v>
      </c>
      <c r="AI179" t="s">
        <v>38</v>
      </c>
      <c r="AJ179" s="6">
        <v>0</v>
      </c>
      <c r="AK179" s="6">
        <v>0</v>
      </c>
      <c r="AL179" t="s">
        <v>894</v>
      </c>
      <c r="AM179">
        <f t="shared" si="4"/>
        <v>70527.17</v>
      </c>
      <c r="AN179">
        <f>DealsRawTable[[#This Row],[Validated_Annual_Final_Price]]*DealsRawTable[[#This Row],[Contract_Years]]</f>
        <v>211581.51</v>
      </c>
      <c r="AO179">
        <f>DealsRawTable[[#This Row],[Validated_Annual_Final_Price]]-DealsRawTable[[#This Row],[Cost_to_Serve]]</f>
        <v>38418.443030700611</v>
      </c>
      <c r="AP179" s="17">
        <f>DealsRawTable[[#This Row],[Validated_Grossprofit]]/DealsRawTable[[#This Row],[Validated_Annual_Final_Price]]</f>
        <v>0.54473251983172744</v>
      </c>
      <c r="AQ179" s="17">
        <v>0</v>
      </c>
      <c r="AR179" s="17">
        <v>0</v>
      </c>
      <c r="AS179" s="17">
        <v>0</v>
      </c>
      <c r="AT179" s="17">
        <v>0</v>
      </c>
      <c r="AU179" s="17" t="str">
        <f t="shared" si="5"/>
        <v>5–10%</v>
      </c>
      <c r="AV179" s="17">
        <v>116</v>
      </c>
      <c r="AW179" s="17"/>
    </row>
    <row r="180" spans="1:49">
      <c r="A180" t="s">
        <v>1085</v>
      </c>
      <c r="B180" s="5">
        <v>45796</v>
      </c>
      <c r="C180" t="s">
        <v>174</v>
      </c>
      <c r="D180" t="s">
        <v>175</v>
      </c>
      <c r="E180" t="s">
        <v>569</v>
      </c>
      <c r="F180" t="s">
        <v>47</v>
      </c>
      <c r="G180" t="s">
        <v>53</v>
      </c>
      <c r="H180" t="s">
        <v>70</v>
      </c>
      <c r="I180" t="s">
        <v>71</v>
      </c>
      <c r="J180" t="s">
        <v>37</v>
      </c>
      <c r="K180" t="s">
        <v>38</v>
      </c>
      <c r="L180" s="5">
        <v>45597</v>
      </c>
      <c r="M180">
        <v>62</v>
      </c>
      <c r="N180" t="s">
        <v>433</v>
      </c>
      <c r="O180" t="s">
        <v>891</v>
      </c>
      <c r="Q180">
        <v>1</v>
      </c>
      <c r="R180">
        <v>58</v>
      </c>
      <c r="S180" t="s">
        <v>888</v>
      </c>
      <c r="T180" s="6">
        <v>138526.92578910972</v>
      </c>
      <c r="U180" s="7">
        <f>T180*DealsRawTable[[#This Row],[Contract_Years]]</f>
        <v>138526.92578910972</v>
      </c>
      <c r="V180" s="8">
        <v>0.17</v>
      </c>
      <c r="W180" s="8">
        <v>0.14000000000000001</v>
      </c>
      <c r="X180" s="8">
        <v>5.5E-2</v>
      </c>
      <c r="Y180" t="s">
        <v>930</v>
      </c>
      <c r="Z180" t="s">
        <v>889</v>
      </c>
      <c r="AA180" s="6">
        <v>119075.5322801295</v>
      </c>
      <c r="AB180" s="7">
        <f>DealsRawTable[[#This Row],[Final_Price_ACV]]*DealsRawTable[[#This Row],[Contract_Years]]</f>
        <v>119075.5322801295</v>
      </c>
      <c r="AC180" s="6">
        <v>53163.478843493271</v>
      </c>
      <c r="AD180" s="6">
        <v>65912.053436636226</v>
      </c>
      <c r="AE180" s="8">
        <v>0.55353146170764733</v>
      </c>
      <c r="AF180" t="s">
        <v>880</v>
      </c>
      <c r="AI180" t="s">
        <v>38</v>
      </c>
      <c r="AJ180" s="6">
        <v>119075.5322801295</v>
      </c>
      <c r="AK180" s="6">
        <v>65912.053436636226</v>
      </c>
      <c r="AL180" t="s">
        <v>894</v>
      </c>
      <c r="AM180">
        <f t="shared" si="4"/>
        <v>119133.16</v>
      </c>
      <c r="AN180">
        <f>DealsRawTable[[#This Row],[Validated_Annual_Final_Price]]*DealsRawTable[[#This Row],[Contract_Years]]</f>
        <v>119133.16</v>
      </c>
      <c r="AO180">
        <f>DealsRawTable[[#This Row],[Validated_Annual_Final_Price]]-DealsRawTable[[#This Row],[Cost_to_Serve]]</f>
        <v>65969.681156506733</v>
      </c>
      <c r="AP180" s="17">
        <f>DealsRawTable[[#This Row],[Validated_Grossprofit]]/DealsRawTable[[#This Row],[Validated_Annual_Final_Price]]</f>
        <v>0.55374742982144287</v>
      </c>
      <c r="AQ180" s="17">
        <v>119133.16</v>
      </c>
      <c r="AR180" s="17">
        <v>119133.16</v>
      </c>
      <c r="AS180" s="17">
        <v>65969.681156506733</v>
      </c>
      <c r="AT180" s="17">
        <v>0.55374742982144287</v>
      </c>
      <c r="AU180" s="17" t="str">
        <f t="shared" si="5"/>
        <v>10–15%</v>
      </c>
      <c r="AV180" s="17">
        <v>113</v>
      </c>
      <c r="AW180" s="17"/>
    </row>
    <row r="181" spans="1:49">
      <c r="A181" t="s">
        <v>1086</v>
      </c>
      <c r="B181" s="5">
        <v>45339</v>
      </c>
      <c r="C181" t="s">
        <v>174</v>
      </c>
      <c r="D181" t="s">
        <v>175</v>
      </c>
      <c r="E181" t="s">
        <v>570</v>
      </c>
      <c r="F181" t="s">
        <v>475</v>
      </c>
      <c r="G181" t="s">
        <v>53</v>
      </c>
      <c r="H181" t="s">
        <v>70</v>
      </c>
      <c r="I181" t="s">
        <v>71</v>
      </c>
      <c r="J181" t="s">
        <v>37</v>
      </c>
      <c r="K181" t="s">
        <v>38</v>
      </c>
      <c r="L181" s="5">
        <v>45597</v>
      </c>
      <c r="M181">
        <v>62</v>
      </c>
      <c r="N181" t="s">
        <v>431</v>
      </c>
      <c r="O181" t="s">
        <v>891</v>
      </c>
      <c r="Q181">
        <v>1</v>
      </c>
      <c r="R181">
        <v>32</v>
      </c>
      <c r="S181" t="s">
        <v>932</v>
      </c>
      <c r="T181" s="6">
        <v>35586.86887020521</v>
      </c>
      <c r="U181" s="7">
        <f>T181*DealsRawTable[[#This Row],[Contract_Years]]</f>
        <v>35586.86887020521</v>
      </c>
      <c r="V181" s="8">
        <v>0.29499999999999998</v>
      </c>
      <c r="W181" s="8">
        <v>0.25900000000000001</v>
      </c>
      <c r="X181" s="8">
        <v>-0.111</v>
      </c>
      <c r="Y181" t="s">
        <v>930</v>
      </c>
      <c r="Z181" t="s">
        <v>893</v>
      </c>
      <c r="AA181" s="6">
        <v>26353.989251912295</v>
      </c>
      <c r="AB181" s="7">
        <f>DealsRawTable[[#This Row],[Final_Price_ACV]]*DealsRawTable[[#This Row],[Contract_Years]]</f>
        <v>26353.989251912295</v>
      </c>
      <c r="AC181" s="6">
        <v>14348.115825859541</v>
      </c>
      <c r="AD181" s="6">
        <v>12005.873426052754</v>
      </c>
      <c r="AE181" s="8">
        <v>0.45556190037459265</v>
      </c>
      <c r="AF181" t="s">
        <v>880</v>
      </c>
      <c r="AI181" t="s">
        <v>38</v>
      </c>
      <c r="AJ181" s="6">
        <v>26353.989251912295</v>
      </c>
      <c r="AK181" s="6">
        <v>12005.873426052754</v>
      </c>
      <c r="AL181" t="s">
        <v>894</v>
      </c>
      <c r="AM181">
        <f t="shared" si="4"/>
        <v>26369.87</v>
      </c>
      <c r="AN181">
        <f>DealsRawTable[[#This Row],[Validated_Annual_Final_Price]]*DealsRawTable[[#This Row],[Contract_Years]]</f>
        <v>26369.87</v>
      </c>
      <c r="AO181">
        <f>DealsRawTable[[#This Row],[Validated_Annual_Final_Price]]-DealsRawTable[[#This Row],[Cost_to_Serve]]</f>
        <v>12021.754174140458</v>
      </c>
      <c r="AP181" s="17">
        <f>DealsRawTable[[#This Row],[Validated_Grossprofit]]/DealsRawTable[[#This Row],[Validated_Annual_Final_Price]]</f>
        <v>0.45588977777063211</v>
      </c>
      <c r="AQ181" s="17">
        <v>26369.87</v>
      </c>
      <c r="AR181" s="17">
        <v>26369.87</v>
      </c>
      <c r="AS181" s="17">
        <v>12021.754174140458</v>
      </c>
      <c r="AT181" s="17">
        <v>0.45588977777063211</v>
      </c>
      <c r="AU181" s="17" t="str">
        <f t="shared" si="5"/>
        <v>25–30%</v>
      </c>
      <c r="AV181" s="17">
        <v>3</v>
      </c>
      <c r="AW181" s="17"/>
    </row>
    <row r="182" spans="1:49">
      <c r="A182" t="s">
        <v>1087</v>
      </c>
      <c r="B182" s="5">
        <v>45704</v>
      </c>
      <c r="C182" t="s">
        <v>174</v>
      </c>
      <c r="D182" t="s">
        <v>175</v>
      </c>
      <c r="E182" t="s">
        <v>570</v>
      </c>
      <c r="F182" t="s">
        <v>475</v>
      </c>
      <c r="G182" t="s">
        <v>53</v>
      </c>
      <c r="H182" t="s">
        <v>70</v>
      </c>
      <c r="I182" t="s">
        <v>71</v>
      </c>
      <c r="J182" t="s">
        <v>37</v>
      </c>
      <c r="K182" t="s">
        <v>38</v>
      </c>
      <c r="L182" s="5">
        <v>45597</v>
      </c>
      <c r="M182">
        <v>62</v>
      </c>
      <c r="N182" t="s">
        <v>431</v>
      </c>
      <c r="O182" t="s">
        <v>876</v>
      </c>
      <c r="Q182">
        <v>1</v>
      </c>
      <c r="R182">
        <v>32</v>
      </c>
      <c r="S182" t="s">
        <v>907</v>
      </c>
      <c r="T182" s="6">
        <v>37976.716434362395</v>
      </c>
      <c r="U182" s="7">
        <f>T182*DealsRawTable[[#This Row],[Contract_Years]]</f>
        <v>37976.716434362395</v>
      </c>
      <c r="V182" s="8">
        <v>0.04</v>
      </c>
      <c r="W182" s="8">
        <v>1.2999999999999999E-2</v>
      </c>
      <c r="X182" s="8">
        <v>-0.01</v>
      </c>
      <c r="Y182" t="s">
        <v>878</v>
      </c>
      <c r="Z182" t="s">
        <v>879</v>
      </c>
      <c r="AA182" s="6">
        <v>37470.586505026768</v>
      </c>
      <c r="AB182" s="7">
        <f>DealsRawTable[[#This Row],[Final_Price_ACV]]*DealsRawTable[[#This Row],[Contract_Years]]</f>
        <v>37470.586505026768</v>
      </c>
      <c r="AC182" s="6">
        <v>15023.654006161159</v>
      </c>
      <c r="AD182" s="6">
        <v>22446.932498865608</v>
      </c>
      <c r="AE182" s="8">
        <v>0.59905474113286961</v>
      </c>
      <c r="AF182" t="s">
        <v>457</v>
      </c>
      <c r="AG182" t="s">
        <v>38</v>
      </c>
      <c r="AI182" t="s">
        <v>38</v>
      </c>
      <c r="AJ182" s="6">
        <v>0</v>
      </c>
      <c r="AK182" s="6">
        <v>0</v>
      </c>
      <c r="AL182" t="s">
        <v>881</v>
      </c>
      <c r="AM182">
        <f t="shared" si="4"/>
        <v>37483.019999999997</v>
      </c>
      <c r="AN182">
        <f>DealsRawTable[[#This Row],[Validated_Annual_Final_Price]]*DealsRawTable[[#This Row],[Contract_Years]]</f>
        <v>37483.019999999997</v>
      </c>
      <c r="AO182">
        <f>DealsRawTable[[#This Row],[Validated_Annual_Final_Price]]-DealsRawTable[[#This Row],[Cost_to_Serve]]</f>
        <v>22459.365993838837</v>
      </c>
      <c r="AP182" s="17">
        <f>DealsRawTable[[#This Row],[Validated_Grossprofit]]/DealsRawTable[[#This Row],[Validated_Annual_Final_Price]]</f>
        <v>0.59918773871045716</v>
      </c>
      <c r="AQ182" s="17">
        <v>0</v>
      </c>
      <c r="AR182" s="17">
        <v>0</v>
      </c>
      <c r="AS182" s="17">
        <v>0</v>
      </c>
      <c r="AT182" s="17">
        <v>0</v>
      </c>
      <c r="AU182" s="17" t="str">
        <f t="shared" si="5"/>
        <v>0–5%</v>
      </c>
      <c r="AV182" s="17">
        <v>55</v>
      </c>
      <c r="AW182" s="17"/>
    </row>
    <row r="183" spans="1:49">
      <c r="A183" t="s">
        <v>1088</v>
      </c>
      <c r="B183" s="5">
        <v>45598</v>
      </c>
      <c r="C183" t="s">
        <v>176</v>
      </c>
      <c r="D183" t="s">
        <v>177</v>
      </c>
      <c r="E183" t="s">
        <v>571</v>
      </c>
      <c r="F183" t="s">
        <v>475</v>
      </c>
      <c r="G183" t="s">
        <v>47</v>
      </c>
      <c r="H183" t="s">
        <v>70</v>
      </c>
      <c r="I183" t="s">
        <v>71</v>
      </c>
      <c r="J183" t="s">
        <v>56</v>
      </c>
      <c r="K183" t="s">
        <v>38</v>
      </c>
      <c r="L183" s="5">
        <v>45017</v>
      </c>
      <c r="M183">
        <v>71</v>
      </c>
      <c r="N183" t="s">
        <v>431</v>
      </c>
      <c r="O183" t="s">
        <v>891</v>
      </c>
      <c r="Q183">
        <v>1</v>
      </c>
      <c r="R183">
        <v>71</v>
      </c>
      <c r="S183" t="s">
        <v>947</v>
      </c>
      <c r="T183" s="6">
        <v>58156.786335952638</v>
      </c>
      <c r="U183" s="7">
        <f>T183*DealsRawTable[[#This Row],[Contract_Years]]</f>
        <v>58156.786335952638</v>
      </c>
      <c r="V183" s="8">
        <v>0.11799999999999999</v>
      </c>
      <c r="W183" s="8">
        <v>9.4E-2</v>
      </c>
      <c r="X183" s="8">
        <v>0.12</v>
      </c>
      <c r="Y183" t="s">
        <v>930</v>
      </c>
      <c r="Z183" t="s">
        <v>879</v>
      </c>
      <c r="AA183" s="6">
        <v>52714.561768685075</v>
      </c>
      <c r="AB183" s="7">
        <f>DealsRawTable[[#This Row],[Final_Price_ACV]]*DealsRawTable[[#This Row],[Contract_Years]]</f>
        <v>52714.561768685075</v>
      </c>
      <c r="AC183" s="6">
        <v>24123.238895756091</v>
      </c>
      <c r="AD183" s="6">
        <v>28591.322872928984</v>
      </c>
      <c r="AE183" s="8">
        <v>0.54237997838983409</v>
      </c>
      <c r="AF183" t="s">
        <v>880</v>
      </c>
      <c r="AI183" t="s">
        <v>38</v>
      </c>
      <c r="AJ183" s="6">
        <v>52714.561768685075</v>
      </c>
      <c r="AK183" s="6">
        <v>28591.322872928984</v>
      </c>
      <c r="AL183" t="s">
        <v>894</v>
      </c>
      <c r="AM183">
        <f t="shared" si="4"/>
        <v>52690.05</v>
      </c>
      <c r="AN183">
        <f>DealsRawTable[[#This Row],[Validated_Annual_Final_Price]]*DealsRawTable[[#This Row],[Contract_Years]]</f>
        <v>52690.05</v>
      </c>
      <c r="AO183">
        <f>DealsRawTable[[#This Row],[Validated_Annual_Final_Price]]-DealsRawTable[[#This Row],[Cost_to_Serve]]</f>
        <v>28566.811104243912</v>
      </c>
      <c r="AP183" s="17">
        <f>DealsRawTable[[#This Row],[Validated_Grossprofit]]/DealsRawTable[[#This Row],[Validated_Annual_Final_Price]]</f>
        <v>0.54216709045149725</v>
      </c>
      <c r="AQ183" s="17">
        <v>52690.05</v>
      </c>
      <c r="AR183" s="17">
        <v>52690.05</v>
      </c>
      <c r="AS183" s="17">
        <v>28566.811104243912</v>
      </c>
      <c r="AT183" s="17">
        <v>0.54216709045149725</v>
      </c>
      <c r="AU183" s="17" t="str">
        <f t="shared" si="5"/>
        <v>5–10%</v>
      </c>
      <c r="AV183" s="17">
        <v>116</v>
      </c>
      <c r="AW183" s="17"/>
    </row>
    <row r="184" spans="1:49">
      <c r="A184" t="s">
        <v>1089</v>
      </c>
      <c r="B184" s="5">
        <v>45963</v>
      </c>
      <c r="C184" t="s">
        <v>176</v>
      </c>
      <c r="D184" t="s">
        <v>177</v>
      </c>
      <c r="E184" t="s">
        <v>571</v>
      </c>
      <c r="F184" t="s">
        <v>475</v>
      </c>
      <c r="G184" t="s">
        <v>47</v>
      </c>
      <c r="H184" t="s">
        <v>70</v>
      </c>
      <c r="I184" t="s">
        <v>71</v>
      </c>
      <c r="J184" t="s">
        <v>56</v>
      </c>
      <c r="K184" t="s">
        <v>38</v>
      </c>
      <c r="L184" s="5">
        <v>45017</v>
      </c>
      <c r="M184">
        <v>71</v>
      </c>
      <c r="N184" t="s">
        <v>431</v>
      </c>
      <c r="O184" t="s">
        <v>876</v>
      </c>
      <c r="Q184">
        <v>1</v>
      </c>
      <c r="R184">
        <v>71</v>
      </c>
      <c r="S184" t="s">
        <v>907</v>
      </c>
      <c r="T184" s="6">
        <v>60886.080186580148</v>
      </c>
      <c r="U184" s="7">
        <f>T184*DealsRawTable[[#This Row],[Contract_Years]]</f>
        <v>60886.080186580148</v>
      </c>
      <c r="V184" s="8">
        <v>0.109</v>
      </c>
      <c r="W184" s="8">
        <v>8.3000000000000004E-2</v>
      </c>
      <c r="X184" s="8">
        <v>-0.05</v>
      </c>
      <c r="Y184" t="s">
        <v>911</v>
      </c>
      <c r="Z184" t="s">
        <v>879</v>
      </c>
      <c r="AA184" s="6">
        <v>55816.30245799679</v>
      </c>
      <c r="AB184" s="7">
        <f>DealsRawTable[[#This Row],[Final_Price_ACV]]*DealsRawTable[[#This Row],[Contract_Years]]</f>
        <v>55816.30245799679</v>
      </c>
      <c r="AC184" s="6">
        <v>24164.897580146608</v>
      </c>
      <c r="AD184" s="6">
        <v>31651.404877850182</v>
      </c>
      <c r="AE184" s="8">
        <v>0.56706380544767687</v>
      </c>
      <c r="AF184" t="s">
        <v>457</v>
      </c>
      <c r="AG184" t="s">
        <v>38</v>
      </c>
      <c r="AI184" t="s">
        <v>38</v>
      </c>
      <c r="AJ184" s="6">
        <v>0</v>
      </c>
      <c r="AK184" s="6">
        <v>0</v>
      </c>
      <c r="AL184" t="s">
        <v>881</v>
      </c>
      <c r="AM184">
        <f t="shared" si="4"/>
        <v>55832.54</v>
      </c>
      <c r="AN184">
        <f>DealsRawTable[[#This Row],[Validated_Annual_Final_Price]]*DealsRawTable[[#This Row],[Contract_Years]]</f>
        <v>55832.54</v>
      </c>
      <c r="AO184">
        <f>DealsRawTable[[#This Row],[Validated_Annual_Final_Price]]-DealsRawTable[[#This Row],[Cost_to_Serve]]</f>
        <v>31667.642419853393</v>
      </c>
      <c r="AP184" s="17">
        <f>DealsRawTable[[#This Row],[Validated_Grossprofit]]/DealsRawTable[[#This Row],[Validated_Annual_Final_Price]]</f>
        <v>0.5671897144542124</v>
      </c>
      <c r="AQ184" s="17">
        <v>0</v>
      </c>
      <c r="AR184" s="17">
        <v>0</v>
      </c>
      <c r="AS184" s="17">
        <v>0</v>
      </c>
      <c r="AT184" s="17">
        <v>0</v>
      </c>
      <c r="AU184" s="17" t="str">
        <f t="shared" si="5"/>
        <v>5–10%</v>
      </c>
      <c r="AV184" s="17">
        <v>116</v>
      </c>
      <c r="AW184" s="17"/>
    </row>
    <row r="185" spans="1:49">
      <c r="A185" t="s">
        <v>1090</v>
      </c>
      <c r="B185" s="5">
        <v>45563</v>
      </c>
      <c r="C185" t="s">
        <v>176</v>
      </c>
      <c r="D185" t="s">
        <v>177</v>
      </c>
      <c r="E185" t="s">
        <v>572</v>
      </c>
      <c r="F185" t="s">
        <v>475</v>
      </c>
      <c r="G185" t="s">
        <v>47</v>
      </c>
      <c r="H185" t="s">
        <v>70</v>
      </c>
      <c r="I185" t="s">
        <v>71</v>
      </c>
      <c r="J185" t="s">
        <v>56</v>
      </c>
      <c r="K185" t="s">
        <v>38</v>
      </c>
      <c r="L185" s="5">
        <v>45017</v>
      </c>
      <c r="M185">
        <v>71</v>
      </c>
      <c r="N185" t="s">
        <v>433</v>
      </c>
      <c r="O185" t="s">
        <v>876</v>
      </c>
      <c r="Q185">
        <v>1</v>
      </c>
      <c r="R185">
        <v>193</v>
      </c>
      <c r="S185" t="s">
        <v>947</v>
      </c>
      <c r="T185" s="6">
        <v>281898.91833154851</v>
      </c>
      <c r="U185" s="7">
        <f>T185*DealsRawTable[[#This Row],[Contract_Years]]</f>
        <v>281898.91833154851</v>
      </c>
      <c r="V185" s="8">
        <v>0.13</v>
      </c>
      <c r="W185" s="8">
        <v>0.123</v>
      </c>
      <c r="X185" s="8">
        <v>-0.106</v>
      </c>
      <c r="Y185" t="s">
        <v>885</v>
      </c>
      <c r="Z185" t="s">
        <v>889</v>
      </c>
      <c r="AA185" s="6">
        <v>247324.96450244679</v>
      </c>
      <c r="AB185" s="7">
        <f>DealsRawTable[[#This Row],[Final_Price_ACV]]*DealsRawTable[[#This Row],[Contract_Years]]</f>
        <v>247324.96450244679</v>
      </c>
      <c r="AC185" s="6">
        <v>108798.62568601281</v>
      </c>
      <c r="AD185" s="6">
        <v>138526.33881643397</v>
      </c>
      <c r="AE185" s="8">
        <v>0.56009848862250022</v>
      </c>
      <c r="AF185" t="s">
        <v>880</v>
      </c>
      <c r="AG185" t="s">
        <v>44</v>
      </c>
      <c r="AI185" t="s">
        <v>38</v>
      </c>
      <c r="AJ185" s="6">
        <v>247324.96450244679</v>
      </c>
      <c r="AK185" s="6">
        <v>138526.33881643397</v>
      </c>
      <c r="AL185" t="s">
        <v>881</v>
      </c>
      <c r="AM185">
        <f t="shared" si="4"/>
        <v>247225.35</v>
      </c>
      <c r="AN185">
        <f>DealsRawTable[[#This Row],[Validated_Annual_Final_Price]]*DealsRawTable[[#This Row],[Contract_Years]]</f>
        <v>247225.35</v>
      </c>
      <c r="AO185">
        <f>DealsRawTable[[#This Row],[Validated_Annual_Final_Price]]-DealsRawTable[[#This Row],[Cost_to_Serve]]</f>
        <v>138426.72431398719</v>
      </c>
      <c r="AP185" s="17">
        <f>DealsRawTable[[#This Row],[Validated_Grossprofit]]/DealsRawTable[[#This Row],[Validated_Annual_Final_Price]]</f>
        <v>0.559921239120451</v>
      </c>
      <c r="AQ185" s="17">
        <v>247225.35</v>
      </c>
      <c r="AR185" s="17">
        <v>247225.35</v>
      </c>
      <c r="AS185" s="17">
        <v>138426.72431398719</v>
      </c>
      <c r="AT185" s="17">
        <v>0.559921239120451</v>
      </c>
      <c r="AU185" s="17" t="str">
        <f t="shared" si="5"/>
        <v>10–15%</v>
      </c>
      <c r="AV185" s="17">
        <v>113</v>
      </c>
      <c r="AW185" s="17"/>
    </row>
    <row r="186" spans="1:49">
      <c r="A186" t="s">
        <v>1091</v>
      </c>
      <c r="B186" s="5">
        <v>45928</v>
      </c>
      <c r="C186" t="s">
        <v>176</v>
      </c>
      <c r="D186" t="s">
        <v>177</v>
      </c>
      <c r="E186" t="s">
        <v>572</v>
      </c>
      <c r="F186" t="s">
        <v>475</v>
      </c>
      <c r="G186" t="s">
        <v>47</v>
      </c>
      <c r="H186" t="s">
        <v>70</v>
      </c>
      <c r="I186" t="s">
        <v>71</v>
      </c>
      <c r="J186" t="s">
        <v>56</v>
      </c>
      <c r="K186" t="s">
        <v>38</v>
      </c>
      <c r="L186" s="5">
        <v>45017</v>
      </c>
      <c r="M186">
        <v>71</v>
      </c>
      <c r="N186" t="s">
        <v>433</v>
      </c>
      <c r="O186" t="s">
        <v>876</v>
      </c>
      <c r="Q186">
        <v>1</v>
      </c>
      <c r="R186">
        <v>193</v>
      </c>
      <c r="S186" t="s">
        <v>896</v>
      </c>
      <c r="T186" s="6">
        <v>302756.5925830513</v>
      </c>
      <c r="U186" s="7">
        <f>T186*DealsRawTable[[#This Row],[Contract_Years]]</f>
        <v>302756.5925830513</v>
      </c>
      <c r="V186" s="8">
        <v>7.0000000000000007E-2</v>
      </c>
      <c r="W186" s="8">
        <v>5.6000000000000001E-2</v>
      </c>
      <c r="X186" s="8">
        <v>-8.5999999999999993E-2</v>
      </c>
      <c r="Y186" t="s">
        <v>930</v>
      </c>
      <c r="Z186" t="s">
        <v>879</v>
      </c>
      <c r="AA186" s="6">
        <v>285894.68483013532</v>
      </c>
      <c r="AB186" s="7">
        <f>DealsRawTable[[#This Row],[Final_Price_ACV]]*DealsRawTable[[#This Row],[Contract_Years]]</f>
        <v>285894.68483013532</v>
      </c>
      <c r="AC186" s="6">
        <v>120749.98824220945</v>
      </c>
      <c r="AD186" s="6">
        <v>165144.69658792586</v>
      </c>
      <c r="AE186" s="8">
        <v>0.57764171686523935</v>
      </c>
      <c r="AF186" t="s">
        <v>880</v>
      </c>
      <c r="AG186" t="s">
        <v>44</v>
      </c>
      <c r="AI186" t="s">
        <v>38</v>
      </c>
      <c r="AJ186" s="6">
        <v>285894.68483013532</v>
      </c>
      <c r="AK186" s="6">
        <v>165144.69658792586</v>
      </c>
      <c r="AL186" t="s">
        <v>881</v>
      </c>
      <c r="AM186">
        <f t="shared" si="4"/>
        <v>285802.21999999997</v>
      </c>
      <c r="AN186">
        <f>DealsRawTable[[#This Row],[Validated_Annual_Final_Price]]*DealsRawTable[[#This Row],[Contract_Years]]</f>
        <v>285802.21999999997</v>
      </c>
      <c r="AO186">
        <f>DealsRawTable[[#This Row],[Validated_Annual_Final_Price]]-DealsRawTable[[#This Row],[Cost_to_Serve]]</f>
        <v>165052.23175779052</v>
      </c>
      <c r="AP186" s="17">
        <f>DealsRawTable[[#This Row],[Validated_Grossprofit]]/DealsRawTable[[#This Row],[Validated_Annual_Final_Price]]</f>
        <v>0.57750507241612936</v>
      </c>
      <c r="AQ186" s="17">
        <v>285802.21999999997</v>
      </c>
      <c r="AR186" s="17">
        <v>285802.21999999997</v>
      </c>
      <c r="AS186" s="17">
        <v>165052.23175779052</v>
      </c>
      <c r="AT186" s="17">
        <v>0.57750507241612936</v>
      </c>
      <c r="AU186" s="17" t="str">
        <f t="shared" si="5"/>
        <v>5–10%</v>
      </c>
      <c r="AV186" s="17">
        <v>116</v>
      </c>
      <c r="AW186" s="17"/>
    </row>
    <row r="187" spans="1:49">
      <c r="A187" t="s">
        <v>1092</v>
      </c>
      <c r="B187" s="5">
        <v>45559</v>
      </c>
      <c r="C187" t="s">
        <v>176</v>
      </c>
      <c r="D187" t="s">
        <v>177</v>
      </c>
      <c r="E187" t="s">
        <v>573</v>
      </c>
      <c r="F187" t="s">
        <v>445</v>
      </c>
      <c r="G187" t="s">
        <v>47</v>
      </c>
      <c r="H187" t="s">
        <v>70</v>
      </c>
      <c r="I187" t="s">
        <v>71</v>
      </c>
      <c r="J187" t="s">
        <v>56</v>
      </c>
      <c r="K187" t="s">
        <v>38</v>
      </c>
      <c r="L187" s="5">
        <v>45017</v>
      </c>
      <c r="M187">
        <v>71</v>
      </c>
      <c r="N187" t="s">
        <v>429</v>
      </c>
      <c r="O187" t="s">
        <v>891</v>
      </c>
      <c r="Q187">
        <v>2</v>
      </c>
      <c r="R187">
        <v>278</v>
      </c>
      <c r="S187" t="s">
        <v>932</v>
      </c>
      <c r="T187" s="6">
        <v>171566.8082413041</v>
      </c>
      <c r="U187" s="7">
        <f>T187*DealsRawTable[[#This Row],[Contract_Years]]</f>
        <v>343133.61648260819</v>
      </c>
      <c r="V187" s="8">
        <v>0.17699999999999999</v>
      </c>
      <c r="W187" s="8">
        <v>0.16400000000000001</v>
      </c>
      <c r="X187" s="8">
        <v>-4.8000000000000001E-2</v>
      </c>
      <c r="Y187" t="s">
        <v>905</v>
      </c>
      <c r="Z187" t="s">
        <v>889</v>
      </c>
      <c r="AA187" s="6">
        <v>143428.60591466434</v>
      </c>
      <c r="AB187" s="7">
        <f>DealsRawTable[[#This Row],[Final_Price_ACV]]*DealsRawTable[[#This Row],[Contract_Years]]</f>
        <v>286857.21182932868</v>
      </c>
      <c r="AC187" s="6">
        <v>60304.041300654389</v>
      </c>
      <c r="AD187" s="6">
        <v>83124.564614009956</v>
      </c>
      <c r="AE187" s="8">
        <v>0.57955359800029393</v>
      </c>
      <c r="AF187" t="s">
        <v>880</v>
      </c>
      <c r="AI187" t="s">
        <v>38</v>
      </c>
      <c r="AJ187" s="6">
        <v>143428.60591466434</v>
      </c>
      <c r="AK187" s="6">
        <v>83124.564614009956</v>
      </c>
      <c r="AL187" t="s">
        <v>894</v>
      </c>
      <c r="AM187">
        <f t="shared" si="4"/>
        <v>143429.85</v>
      </c>
      <c r="AN187">
        <f>DealsRawTable[[#This Row],[Validated_Annual_Final_Price]]*DealsRawTable[[#This Row],[Contract_Years]]</f>
        <v>286859.7</v>
      </c>
      <c r="AO187">
        <f>DealsRawTable[[#This Row],[Validated_Annual_Final_Price]]-DealsRawTable[[#This Row],[Cost_to_Serve]]</f>
        <v>83125.808699345624</v>
      </c>
      <c r="AP187" s="17">
        <f>DealsRawTable[[#This Row],[Validated_Grossprofit]]/DealsRawTable[[#This Row],[Validated_Annual_Final_Price]]</f>
        <v>0.57955724487856342</v>
      </c>
      <c r="AQ187" s="17">
        <v>143429.85</v>
      </c>
      <c r="AR187" s="17">
        <v>286859.7</v>
      </c>
      <c r="AS187" s="17">
        <v>83125.808699345624</v>
      </c>
      <c r="AT187" s="17">
        <v>0.57955724487856342</v>
      </c>
      <c r="AU187" s="17" t="str">
        <f t="shared" si="5"/>
        <v>15–20%</v>
      </c>
      <c r="AV187" s="17">
        <v>108</v>
      </c>
      <c r="AW187" s="17"/>
    </row>
    <row r="188" spans="1:49">
      <c r="A188" t="s">
        <v>1093</v>
      </c>
      <c r="B188" s="5">
        <v>45387</v>
      </c>
      <c r="C188" t="s">
        <v>178</v>
      </c>
      <c r="D188" t="s">
        <v>179</v>
      </c>
      <c r="E188" t="s">
        <v>574</v>
      </c>
      <c r="F188" t="s">
        <v>445</v>
      </c>
      <c r="G188" t="s">
        <v>34</v>
      </c>
      <c r="H188" t="s">
        <v>54</v>
      </c>
      <c r="I188" t="s">
        <v>55</v>
      </c>
      <c r="J188" t="s">
        <v>56</v>
      </c>
      <c r="K188" t="s">
        <v>38</v>
      </c>
      <c r="L188" s="5">
        <v>45292</v>
      </c>
      <c r="M188">
        <v>73</v>
      </c>
      <c r="N188" t="s">
        <v>433</v>
      </c>
      <c r="O188" t="s">
        <v>891</v>
      </c>
      <c r="Q188">
        <v>1</v>
      </c>
      <c r="R188">
        <v>283</v>
      </c>
      <c r="S188" t="s">
        <v>896</v>
      </c>
      <c r="T188" s="6">
        <v>295696.58652020892</v>
      </c>
      <c r="U188" s="7">
        <f>T188*DealsRawTable[[#This Row],[Contract_Years]]</f>
        <v>295696.58652020892</v>
      </c>
      <c r="V188" s="8">
        <v>0.114</v>
      </c>
      <c r="W188" s="8">
        <v>7.4999999999999997E-2</v>
      </c>
      <c r="X188" s="8">
        <v>0.13400000000000001</v>
      </c>
      <c r="Y188" t="s">
        <v>909</v>
      </c>
      <c r="Z188" t="s">
        <v>879</v>
      </c>
      <c r="AA188" s="6">
        <v>273436.32438937883</v>
      </c>
      <c r="AB188" s="7">
        <f>DealsRawTable[[#This Row],[Final_Price_ACV]]*DealsRawTable[[#This Row],[Contract_Years]]</f>
        <v>273436.32438937883</v>
      </c>
      <c r="AC188" s="6">
        <v>117081.34074710247</v>
      </c>
      <c r="AD188" s="6">
        <v>156354.98364227638</v>
      </c>
      <c r="AE188" s="8">
        <v>0.57181497005358994</v>
      </c>
      <c r="AF188" t="s">
        <v>880</v>
      </c>
      <c r="AI188" t="s">
        <v>38</v>
      </c>
      <c r="AJ188" s="6">
        <v>273436.32438937883</v>
      </c>
      <c r="AK188" s="6">
        <v>156354.98364227638</v>
      </c>
      <c r="AL188" t="s">
        <v>894</v>
      </c>
      <c r="AM188">
        <f t="shared" si="4"/>
        <v>273519.34000000003</v>
      </c>
      <c r="AN188">
        <f>DealsRawTable[[#This Row],[Validated_Annual_Final_Price]]*DealsRawTable[[#This Row],[Contract_Years]]</f>
        <v>273519.34000000003</v>
      </c>
      <c r="AO188">
        <f>DealsRawTable[[#This Row],[Validated_Annual_Final_Price]]-DealsRawTable[[#This Row],[Cost_to_Serve]]</f>
        <v>156437.99925289757</v>
      </c>
      <c r="AP188" s="17">
        <f>DealsRawTable[[#This Row],[Validated_Grossprofit]]/DealsRawTable[[#This Row],[Validated_Annual_Final_Price]]</f>
        <v>0.57194492810964503</v>
      </c>
      <c r="AQ188" s="17">
        <v>273519.34000000003</v>
      </c>
      <c r="AR188" s="17">
        <v>273519.34000000003</v>
      </c>
      <c r="AS188" s="17">
        <v>156437.99925289757</v>
      </c>
      <c r="AT188" s="17">
        <v>0.57194492810964503</v>
      </c>
      <c r="AU188" s="17" t="str">
        <f t="shared" si="5"/>
        <v>5–10%</v>
      </c>
      <c r="AV188" s="17">
        <v>116</v>
      </c>
      <c r="AW188" s="17"/>
    </row>
    <row r="189" spans="1:49">
      <c r="A189" t="s">
        <v>1094</v>
      </c>
      <c r="B189" s="5">
        <v>45752</v>
      </c>
      <c r="C189" t="s">
        <v>178</v>
      </c>
      <c r="D189" t="s">
        <v>179</v>
      </c>
      <c r="E189" t="s">
        <v>574</v>
      </c>
      <c r="F189" t="s">
        <v>445</v>
      </c>
      <c r="G189" t="s">
        <v>34</v>
      </c>
      <c r="H189" t="s">
        <v>54</v>
      </c>
      <c r="I189" t="s">
        <v>55</v>
      </c>
      <c r="J189" t="s">
        <v>56</v>
      </c>
      <c r="K189" t="s">
        <v>38</v>
      </c>
      <c r="L189" s="5">
        <v>45292</v>
      </c>
      <c r="M189">
        <v>73</v>
      </c>
      <c r="N189" t="s">
        <v>433</v>
      </c>
      <c r="O189" t="s">
        <v>876</v>
      </c>
      <c r="Q189">
        <v>1</v>
      </c>
      <c r="R189">
        <v>283</v>
      </c>
      <c r="S189" t="s">
        <v>932</v>
      </c>
      <c r="T189" s="6">
        <v>319014.65569140745</v>
      </c>
      <c r="U189" s="7">
        <f>T189*DealsRawTable[[#This Row],[Contract_Years]]</f>
        <v>319014.65569140745</v>
      </c>
      <c r="V189" s="8">
        <v>0.157</v>
      </c>
      <c r="W189" s="8">
        <v>0.11899999999999999</v>
      </c>
      <c r="X189" s="8">
        <v>-4.4999999999999998E-2</v>
      </c>
      <c r="Y189" t="s">
        <v>911</v>
      </c>
      <c r="Z189" t="s">
        <v>889</v>
      </c>
      <c r="AA189" s="6">
        <v>281038.63786595257</v>
      </c>
      <c r="AB189" s="7">
        <f>DealsRawTable[[#This Row],[Final_Price_ACV]]*DealsRawTable[[#This Row],[Contract_Years]]</f>
        <v>281038.63786595257</v>
      </c>
      <c r="AC189" s="6">
        <v>112962.09522350185</v>
      </c>
      <c r="AD189" s="6">
        <v>168076.54264245072</v>
      </c>
      <c r="AE189" s="8">
        <v>0.59805492909703917</v>
      </c>
      <c r="AF189" t="s">
        <v>880</v>
      </c>
      <c r="AG189" t="s">
        <v>44</v>
      </c>
      <c r="AI189" t="s">
        <v>38</v>
      </c>
      <c r="AJ189" s="6">
        <v>281038.63786595257</v>
      </c>
      <c r="AK189" s="6">
        <v>168076.54264245072</v>
      </c>
      <c r="AL189" t="s">
        <v>881</v>
      </c>
      <c r="AM189">
        <f t="shared" si="4"/>
        <v>281051.90999999997</v>
      </c>
      <c r="AN189">
        <f>DealsRawTable[[#This Row],[Validated_Annual_Final_Price]]*DealsRawTable[[#This Row],[Contract_Years]]</f>
        <v>281051.90999999997</v>
      </c>
      <c r="AO189">
        <f>DealsRawTable[[#This Row],[Validated_Annual_Final_Price]]-DealsRawTable[[#This Row],[Cost_to_Serve]]</f>
        <v>168089.81477649813</v>
      </c>
      <c r="AP189" s="17">
        <f>DealsRawTable[[#This Row],[Validated_Grossprofit]]/DealsRawTable[[#This Row],[Validated_Annual_Final_Price]]</f>
        <v>0.59807391017729838</v>
      </c>
      <c r="AQ189" s="17">
        <v>281051.90999999997</v>
      </c>
      <c r="AR189" s="17">
        <v>281051.90999999997</v>
      </c>
      <c r="AS189" s="17">
        <v>168089.81477649813</v>
      </c>
      <c r="AT189" s="17">
        <v>0.59807391017729838</v>
      </c>
      <c r="AU189" s="17" t="str">
        <f t="shared" si="5"/>
        <v>10–15%</v>
      </c>
      <c r="AV189" s="17">
        <v>113</v>
      </c>
      <c r="AW189" s="17"/>
    </row>
    <row r="190" spans="1:49">
      <c r="A190" t="s">
        <v>1095</v>
      </c>
      <c r="B190" s="5">
        <v>45318</v>
      </c>
      <c r="C190" t="s">
        <v>178</v>
      </c>
      <c r="D190" t="s">
        <v>179</v>
      </c>
      <c r="E190" t="s">
        <v>575</v>
      </c>
      <c r="F190" t="s">
        <v>466</v>
      </c>
      <c r="G190" t="s">
        <v>34</v>
      </c>
      <c r="H190" t="s">
        <v>54</v>
      </c>
      <c r="I190" t="s">
        <v>55</v>
      </c>
      <c r="J190" t="s">
        <v>56</v>
      </c>
      <c r="K190" t="s">
        <v>38</v>
      </c>
      <c r="L190" s="5">
        <v>45292</v>
      </c>
      <c r="M190">
        <v>73</v>
      </c>
      <c r="N190" t="s">
        <v>433</v>
      </c>
      <c r="O190" t="s">
        <v>891</v>
      </c>
      <c r="Q190">
        <v>3</v>
      </c>
      <c r="R190">
        <v>84</v>
      </c>
      <c r="S190" t="s">
        <v>907</v>
      </c>
      <c r="T190" s="6">
        <v>225739.02358320085</v>
      </c>
      <c r="U190" s="7">
        <f>T190*DealsRawTable[[#This Row],[Contract_Years]]</f>
        <v>677217.07074960251</v>
      </c>
      <c r="V190" s="8">
        <v>0.21199999999999999</v>
      </c>
      <c r="W190" s="8">
        <v>0.17699999999999999</v>
      </c>
      <c r="X190" s="8">
        <v>-8.0000000000000002E-3</v>
      </c>
      <c r="Y190" t="s">
        <v>885</v>
      </c>
      <c r="Z190" t="s">
        <v>889</v>
      </c>
      <c r="AA190" s="6">
        <v>185832.26856372016</v>
      </c>
      <c r="AB190" s="7">
        <f>DealsRawTable[[#This Row],[Final_Price_ACV]]*DealsRawTable[[#This Row],[Contract_Years]]</f>
        <v>557496.80569116049</v>
      </c>
      <c r="AC190" s="6">
        <v>87550.462161722564</v>
      </c>
      <c r="AD190" s="6">
        <v>98281.806401997601</v>
      </c>
      <c r="AE190" s="8">
        <v>0.52887373738483789</v>
      </c>
      <c r="AF190" t="s">
        <v>880</v>
      </c>
      <c r="AI190" t="s">
        <v>38</v>
      </c>
      <c r="AJ190" s="6">
        <v>185832.26856372016</v>
      </c>
      <c r="AK190" s="6">
        <v>98281.806401997601</v>
      </c>
      <c r="AL190" t="s">
        <v>894</v>
      </c>
      <c r="AM190">
        <f t="shared" si="4"/>
        <v>185783.22</v>
      </c>
      <c r="AN190">
        <f>DealsRawTable[[#This Row],[Validated_Annual_Final_Price]]*DealsRawTable[[#This Row],[Contract_Years]]</f>
        <v>557349.66</v>
      </c>
      <c r="AO190">
        <f>DealsRawTable[[#This Row],[Validated_Annual_Final_Price]]-DealsRawTable[[#This Row],[Cost_to_Serve]]</f>
        <v>98232.757838277437</v>
      </c>
      <c r="AP190" s="17">
        <f>DealsRawTable[[#This Row],[Validated_Grossprofit]]/DealsRawTable[[#This Row],[Validated_Annual_Final_Price]]</f>
        <v>0.52874935550302893</v>
      </c>
      <c r="AQ190" s="17">
        <v>185783.22</v>
      </c>
      <c r="AR190" s="17">
        <v>557349.66</v>
      </c>
      <c r="AS190" s="17">
        <v>98232.757838277437</v>
      </c>
      <c r="AT190" s="17">
        <v>0.52874935550302893</v>
      </c>
      <c r="AU190" s="17" t="str">
        <f t="shared" si="5"/>
        <v>15–20%</v>
      </c>
      <c r="AV190" s="17">
        <v>108</v>
      </c>
      <c r="AW190" s="17"/>
    </row>
    <row r="191" spans="1:49">
      <c r="A191" t="s">
        <v>1096</v>
      </c>
      <c r="B191" s="5">
        <v>45355</v>
      </c>
      <c r="C191" t="s">
        <v>180</v>
      </c>
      <c r="D191" t="s">
        <v>181</v>
      </c>
      <c r="E191" t="s">
        <v>576</v>
      </c>
      <c r="F191" t="s">
        <v>466</v>
      </c>
      <c r="G191" t="s">
        <v>34</v>
      </c>
      <c r="H191" t="s">
        <v>48</v>
      </c>
      <c r="I191" t="s">
        <v>115</v>
      </c>
      <c r="J191" t="s">
        <v>43</v>
      </c>
      <c r="K191" t="s">
        <v>44</v>
      </c>
      <c r="L191" s="5">
        <v>45261</v>
      </c>
      <c r="M191">
        <v>55</v>
      </c>
      <c r="N191" t="s">
        <v>424</v>
      </c>
      <c r="O191" t="s">
        <v>891</v>
      </c>
      <c r="Q191">
        <v>3</v>
      </c>
      <c r="R191">
        <v>1620</v>
      </c>
      <c r="S191" t="s">
        <v>900</v>
      </c>
      <c r="T191" s="6">
        <v>169709.43712480375</v>
      </c>
      <c r="U191" s="7">
        <f>T191*DealsRawTable[[#This Row],[Contract_Years]]</f>
        <v>509128.31137441122</v>
      </c>
      <c r="V191" s="8">
        <v>0.16700000000000001</v>
      </c>
      <c r="W191" s="8">
        <v>0.158</v>
      </c>
      <c r="X191" s="8">
        <v>-5.5E-2</v>
      </c>
      <c r="Y191" t="s">
        <v>885</v>
      </c>
      <c r="Z191" t="s">
        <v>889</v>
      </c>
      <c r="AA191" s="6">
        <v>142861.59508925682</v>
      </c>
      <c r="AB191" s="7">
        <f>DealsRawTable[[#This Row],[Final_Price_ACV]]*DealsRawTable[[#This Row],[Contract_Years]]</f>
        <v>428584.78526777046</v>
      </c>
      <c r="AC191" s="6">
        <v>51343.206395256406</v>
      </c>
      <c r="AD191" s="6">
        <v>91518.388694000416</v>
      </c>
      <c r="AE191" s="8">
        <v>0.64060875588587485</v>
      </c>
      <c r="AF191" t="s">
        <v>457</v>
      </c>
      <c r="AI191" t="s">
        <v>38</v>
      </c>
      <c r="AJ191" s="6">
        <v>0</v>
      </c>
      <c r="AK191" s="6">
        <v>0</v>
      </c>
      <c r="AL191" t="s">
        <v>894</v>
      </c>
      <c r="AM191">
        <f t="shared" si="4"/>
        <v>142895.35</v>
      </c>
      <c r="AN191">
        <f>DealsRawTable[[#This Row],[Validated_Annual_Final_Price]]*DealsRawTable[[#This Row],[Contract_Years]]</f>
        <v>428686.05000000005</v>
      </c>
      <c r="AO191">
        <f>DealsRawTable[[#This Row],[Validated_Annual_Final_Price]]-DealsRawTable[[#This Row],[Cost_to_Serve]]</f>
        <v>91552.1436047436</v>
      </c>
      <c r="AP191" s="17">
        <f>DealsRawTable[[#This Row],[Validated_Grossprofit]]/DealsRawTable[[#This Row],[Validated_Annual_Final_Price]]</f>
        <v>0.64069365171605375</v>
      </c>
      <c r="AQ191" s="17">
        <v>0</v>
      </c>
      <c r="AR191" s="17">
        <v>0</v>
      </c>
      <c r="AS191" s="17">
        <v>0</v>
      </c>
      <c r="AT191" s="17">
        <v>0</v>
      </c>
      <c r="AU191" s="17" t="str">
        <f t="shared" si="5"/>
        <v>15–20%</v>
      </c>
      <c r="AV191" s="17">
        <v>108</v>
      </c>
      <c r="AW191" s="17"/>
    </row>
    <row r="192" spans="1:49">
      <c r="A192" t="s">
        <v>1097</v>
      </c>
      <c r="B192" s="5">
        <v>45534</v>
      </c>
      <c r="C192" t="s">
        <v>180</v>
      </c>
      <c r="D192" t="s">
        <v>181</v>
      </c>
      <c r="E192" t="s">
        <v>576</v>
      </c>
      <c r="F192" t="s">
        <v>466</v>
      </c>
      <c r="G192" t="s">
        <v>34</v>
      </c>
      <c r="H192" t="s">
        <v>48</v>
      </c>
      <c r="I192" t="s">
        <v>115</v>
      </c>
      <c r="J192" t="s">
        <v>43</v>
      </c>
      <c r="K192" t="s">
        <v>44</v>
      </c>
      <c r="L192" s="5">
        <v>45261</v>
      </c>
      <c r="M192">
        <v>55</v>
      </c>
      <c r="N192" t="s">
        <v>424</v>
      </c>
      <c r="O192" t="s">
        <v>915</v>
      </c>
      <c r="Q192">
        <v>3</v>
      </c>
      <c r="R192">
        <v>1620</v>
      </c>
      <c r="S192" t="s">
        <v>907</v>
      </c>
      <c r="T192" s="6">
        <v>169709.43712480375</v>
      </c>
      <c r="U192" s="7">
        <f>T192*DealsRawTable[[#This Row],[Contract_Years]]</f>
        <v>509128.31137441122</v>
      </c>
      <c r="V192" s="8">
        <v>0.27200000000000002</v>
      </c>
      <c r="W192" s="8">
        <v>0.23</v>
      </c>
      <c r="X192" s="8">
        <v>-0.106</v>
      </c>
      <c r="Y192" t="s">
        <v>878</v>
      </c>
      <c r="Z192" t="s">
        <v>893</v>
      </c>
      <c r="AA192" s="6">
        <v>130626.53231638267</v>
      </c>
      <c r="AB192" s="7">
        <f>DealsRawTable[[#This Row],[Final_Price_ACV]]*DealsRawTable[[#This Row],[Contract_Years]]</f>
        <v>391879.59694914799</v>
      </c>
      <c r="AC192" s="6">
        <v>54695.225626576866</v>
      </c>
      <c r="AD192" s="6">
        <v>75931.306689805802</v>
      </c>
      <c r="AE192" s="8">
        <v>0.58128548116011491</v>
      </c>
      <c r="AF192" t="s">
        <v>880</v>
      </c>
      <c r="AI192" t="s">
        <v>44</v>
      </c>
      <c r="AJ192" s="6">
        <v>130626.53231638267</v>
      </c>
      <c r="AK192" s="6">
        <v>75931.306689805802</v>
      </c>
      <c r="AL192" t="s">
        <v>934</v>
      </c>
      <c r="AM192">
        <f t="shared" si="4"/>
        <v>130676.27</v>
      </c>
      <c r="AN192">
        <f>DealsRawTable[[#This Row],[Validated_Annual_Final_Price]]*DealsRawTable[[#This Row],[Contract_Years]]</f>
        <v>392028.81</v>
      </c>
      <c r="AO192">
        <f>DealsRawTable[[#This Row],[Validated_Annual_Final_Price]]-DealsRawTable[[#This Row],[Cost_to_Serve]]</f>
        <v>75981.044373423138</v>
      </c>
      <c r="AP192" s="17">
        <f>DealsRawTable[[#This Row],[Validated_Grossprofit]]/DealsRawTable[[#This Row],[Validated_Annual_Final_Price]]</f>
        <v>0.58144485126047085</v>
      </c>
      <c r="AQ192" s="17">
        <v>130676.27</v>
      </c>
      <c r="AR192" s="17">
        <v>392028.81</v>
      </c>
      <c r="AS192" s="17">
        <v>75981.044373423138</v>
      </c>
      <c r="AT192" s="17">
        <v>0.58144485126047085</v>
      </c>
      <c r="AU192" s="17" t="str">
        <f t="shared" si="5"/>
        <v>20–25%</v>
      </c>
      <c r="AV192" s="17">
        <v>29</v>
      </c>
      <c r="AW192" s="17"/>
    </row>
    <row r="193" spans="1:49">
      <c r="A193" t="s">
        <v>1098</v>
      </c>
      <c r="B193" s="5">
        <v>45426</v>
      </c>
      <c r="C193" t="s">
        <v>180</v>
      </c>
      <c r="D193" t="s">
        <v>181</v>
      </c>
      <c r="E193" t="s">
        <v>577</v>
      </c>
      <c r="F193" t="s">
        <v>445</v>
      </c>
      <c r="G193" t="s">
        <v>34</v>
      </c>
      <c r="H193" t="s">
        <v>48</v>
      </c>
      <c r="I193" t="s">
        <v>115</v>
      </c>
      <c r="J193" t="s">
        <v>43</v>
      </c>
      <c r="K193" t="s">
        <v>44</v>
      </c>
      <c r="L193" s="5">
        <v>45261</v>
      </c>
      <c r="M193">
        <v>55</v>
      </c>
      <c r="N193" t="s">
        <v>433</v>
      </c>
      <c r="O193" t="s">
        <v>891</v>
      </c>
      <c r="Q193">
        <v>3</v>
      </c>
      <c r="R193">
        <v>1891</v>
      </c>
      <c r="S193" t="s">
        <v>888</v>
      </c>
      <c r="T193" s="6">
        <v>1049450.2492702347</v>
      </c>
      <c r="U193" s="7">
        <f>T193*DealsRawTable[[#This Row],[Contract_Years]]</f>
        <v>3148350.7478107042</v>
      </c>
      <c r="V193" s="8">
        <v>0.17299999999999999</v>
      </c>
      <c r="W193" s="8">
        <v>0.111</v>
      </c>
      <c r="X193" s="8">
        <v>-7.2999999999999995E-2</v>
      </c>
      <c r="Y193" t="s">
        <v>909</v>
      </c>
      <c r="Z193" t="s">
        <v>889</v>
      </c>
      <c r="AA193" s="6">
        <v>932826.21537542366</v>
      </c>
      <c r="AB193" s="7">
        <f>DealsRawTable[[#This Row],[Final_Price_ACV]]*DealsRawTable[[#This Row],[Contract_Years]]</f>
        <v>2798478.6461262712</v>
      </c>
      <c r="AC193" s="6">
        <v>432977.40544878074</v>
      </c>
      <c r="AD193" s="6">
        <v>499848.80992664292</v>
      </c>
      <c r="AE193" s="8">
        <v>0.53584344188426847</v>
      </c>
      <c r="AF193" t="s">
        <v>880</v>
      </c>
      <c r="AI193" t="s">
        <v>38</v>
      </c>
      <c r="AJ193" s="6">
        <v>932826.21537542366</v>
      </c>
      <c r="AK193" s="6">
        <v>499848.80992664292</v>
      </c>
      <c r="AL193" t="s">
        <v>894</v>
      </c>
      <c r="AM193">
        <f t="shared" si="4"/>
        <v>932961.27</v>
      </c>
      <c r="AN193">
        <f>DealsRawTable[[#This Row],[Validated_Annual_Final_Price]]*DealsRawTable[[#This Row],[Contract_Years]]</f>
        <v>2798883.81</v>
      </c>
      <c r="AO193">
        <f>DealsRawTable[[#This Row],[Validated_Annual_Final_Price]]-DealsRawTable[[#This Row],[Cost_to_Serve]]</f>
        <v>499983.86455121927</v>
      </c>
      <c r="AP193" s="17">
        <f>DealsRawTable[[#This Row],[Validated_Grossprofit]]/DealsRawTable[[#This Row],[Validated_Annual_Final_Price]]</f>
        <v>0.53591063276530149</v>
      </c>
      <c r="AQ193" s="17">
        <v>932961.27</v>
      </c>
      <c r="AR193" s="17">
        <v>2798883.81</v>
      </c>
      <c r="AS193" s="17">
        <v>499983.86455121927</v>
      </c>
      <c r="AT193" s="17">
        <v>0.53591063276530149</v>
      </c>
      <c r="AU193" s="17" t="str">
        <f t="shared" si="5"/>
        <v>10–15%</v>
      </c>
      <c r="AV193" s="17">
        <v>113</v>
      </c>
      <c r="AW193" s="17"/>
    </row>
    <row r="194" spans="1:49">
      <c r="A194" t="s">
        <v>1099</v>
      </c>
      <c r="B194" s="5">
        <v>45477</v>
      </c>
      <c r="C194" t="s">
        <v>182</v>
      </c>
      <c r="D194" t="s">
        <v>183</v>
      </c>
      <c r="E194" t="s">
        <v>578</v>
      </c>
      <c r="F194" t="s">
        <v>449</v>
      </c>
      <c r="G194" t="s">
        <v>34</v>
      </c>
      <c r="H194" t="s">
        <v>70</v>
      </c>
      <c r="I194" t="s">
        <v>76</v>
      </c>
      <c r="J194" t="s">
        <v>43</v>
      </c>
      <c r="K194" t="s">
        <v>44</v>
      </c>
      <c r="L194" s="5">
        <v>43952</v>
      </c>
      <c r="M194">
        <v>94</v>
      </c>
      <c r="N194" t="s">
        <v>431</v>
      </c>
      <c r="O194" t="s">
        <v>891</v>
      </c>
      <c r="Q194">
        <v>1</v>
      </c>
      <c r="R194">
        <v>1520</v>
      </c>
      <c r="S194" t="s">
        <v>907</v>
      </c>
      <c r="T194" s="6">
        <v>260893.44959535651</v>
      </c>
      <c r="U194" s="7">
        <f>T194*DealsRawTable[[#This Row],[Contract_Years]]</f>
        <v>260893.44959535651</v>
      </c>
      <c r="V194" s="8">
        <v>0.214</v>
      </c>
      <c r="W194" s="8">
        <v>0.18099999999999999</v>
      </c>
      <c r="X194" s="8">
        <v>4.4999999999999998E-2</v>
      </c>
      <c r="Y194" t="s">
        <v>902</v>
      </c>
      <c r="Z194" t="s">
        <v>889</v>
      </c>
      <c r="AA194" s="6">
        <v>213611.39614932158</v>
      </c>
      <c r="AB194" s="7">
        <f>DealsRawTable[[#This Row],[Final_Price_ACV]]*DealsRawTable[[#This Row],[Contract_Years]]</f>
        <v>213611.39614932158</v>
      </c>
      <c r="AC194" s="6">
        <v>105615.28149304538</v>
      </c>
      <c r="AD194" s="6">
        <v>107996.1146562762</v>
      </c>
      <c r="AE194" s="8">
        <v>0.50557281401214793</v>
      </c>
      <c r="AF194" t="s">
        <v>880</v>
      </c>
      <c r="AI194" t="s">
        <v>38</v>
      </c>
      <c r="AJ194" s="6">
        <v>213611.39614932158</v>
      </c>
      <c r="AK194" s="6">
        <v>107996.1146562762</v>
      </c>
      <c r="AL194" t="s">
        <v>894</v>
      </c>
      <c r="AM194">
        <f t="shared" si="4"/>
        <v>213671.74</v>
      </c>
      <c r="AN194">
        <f>DealsRawTable[[#This Row],[Validated_Annual_Final_Price]]*DealsRawTable[[#This Row],[Contract_Years]]</f>
        <v>213671.74</v>
      </c>
      <c r="AO194">
        <f>DealsRawTable[[#This Row],[Validated_Annual_Final_Price]]-DealsRawTable[[#This Row],[Cost_to_Serve]]</f>
        <v>108056.45850695462</v>
      </c>
      <c r="AP194" s="17">
        <f>DealsRawTable[[#This Row],[Validated_Grossprofit]]/DealsRawTable[[#This Row],[Validated_Annual_Final_Price]]</f>
        <v>0.50571244707865726</v>
      </c>
      <c r="AQ194" s="17">
        <v>213671.74</v>
      </c>
      <c r="AR194" s="17">
        <v>213671.74</v>
      </c>
      <c r="AS194" s="17">
        <v>108056.45850695462</v>
      </c>
      <c r="AT194" s="17">
        <v>0.50571244707865726</v>
      </c>
      <c r="AU194" s="17" t="str">
        <f t="shared" si="5"/>
        <v>15–20%</v>
      </c>
      <c r="AV194" s="17">
        <v>108</v>
      </c>
      <c r="AW194" s="17"/>
    </row>
    <row r="195" spans="1:49">
      <c r="A195" t="s">
        <v>1100</v>
      </c>
      <c r="B195" s="5">
        <v>45842</v>
      </c>
      <c r="C195" t="s">
        <v>182</v>
      </c>
      <c r="D195" t="s">
        <v>183</v>
      </c>
      <c r="E195" t="s">
        <v>578</v>
      </c>
      <c r="F195" t="s">
        <v>449</v>
      </c>
      <c r="G195" t="s">
        <v>34</v>
      </c>
      <c r="H195" t="s">
        <v>70</v>
      </c>
      <c r="I195" t="s">
        <v>76</v>
      </c>
      <c r="J195" t="s">
        <v>43</v>
      </c>
      <c r="K195" t="s">
        <v>44</v>
      </c>
      <c r="L195" s="5">
        <v>43952</v>
      </c>
      <c r="M195">
        <v>94</v>
      </c>
      <c r="N195" t="s">
        <v>431</v>
      </c>
      <c r="O195" t="s">
        <v>876</v>
      </c>
      <c r="Q195">
        <v>1</v>
      </c>
      <c r="R195">
        <v>1520</v>
      </c>
      <c r="S195" t="s">
        <v>888</v>
      </c>
      <c r="T195" s="6">
        <v>277812.18630499294</v>
      </c>
      <c r="U195" s="7">
        <f>T195*DealsRawTable[[#This Row],[Contract_Years]]</f>
        <v>277812.18630499294</v>
      </c>
      <c r="V195" s="8">
        <v>7.9000000000000001E-2</v>
      </c>
      <c r="W195" s="8">
        <v>5.3999999999999999E-2</v>
      </c>
      <c r="X195" s="8">
        <v>-7.6999999999999999E-2</v>
      </c>
      <c r="Y195" t="s">
        <v>878</v>
      </c>
      <c r="Z195" t="s">
        <v>879</v>
      </c>
      <c r="AA195" s="6">
        <v>262875.63167713094</v>
      </c>
      <c r="AB195" s="7">
        <f>DealsRawTable[[#This Row],[Final_Price_ACV]]*DealsRawTable[[#This Row],[Contract_Years]]</f>
        <v>262875.63167713094</v>
      </c>
      <c r="AC195" s="6">
        <v>100184.80017986604</v>
      </c>
      <c r="AD195" s="6">
        <v>162690.83149726491</v>
      </c>
      <c r="AE195" s="8">
        <v>0.61888897977841106</v>
      </c>
      <c r="AF195" t="s">
        <v>880</v>
      </c>
      <c r="AG195" t="s">
        <v>44</v>
      </c>
      <c r="AI195" t="s">
        <v>38</v>
      </c>
      <c r="AJ195" s="6">
        <v>262875.63167713094</v>
      </c>
      <c r="AK195" s="6">
        <v>162690.83149726491</v>
      </c>
      <c r="AL195" t="s">
        <v>881</v>
      </c>
      <c r="AM195">
        <f t="shared" si="4"/>
        <v>262810.33</v>
      </c>
      <c r="AN195">
        <f>DealsRawTable[[#This Row],[Validated_Annual_Final_Price]]*DealsRawTable[[#This Row],[Contract_Years]]</f>
        <v>262810.33</v>
      </c>
      <c r="AO195">
        <f>DealsRawTable[[#This Row],[Validated_Annual_Final_Price]]-DealsRawTable[[#This Row],[Cost_to_Serve]]</f>
        <v>162625.52982013399</v>
      </c>
      <c r="AP195" s="17">
        <f>DealsRawTable[[#This Row],[Validated_Grossprofit]]/DealsRawTable[[#This Row],[Validated_Annual_Final_Price]]</f>
        <v>0.61879428339112086</v>
      </c>
      <c r="AQ195" s="17">
        <v>262810.33</v>
      </c>
      <c r="AR195" s="17">
        <v>262810.33</v>
      </c>
      <c r="AS195" s="17">
        <v>162625.52982013399</v>
      </c>
      <c r="AT195" s="17">
        <v>0.61879428339112086</v>
      </c>
      <c r="AU195" s="17" t="str">
        <f t="shared" si="5"/>
        <v>5–10%</v>
      </c>
      <c r="AV195" s="17">
        <v>116</v>
      </c>
      <c r="AW195" s="17"/>
    </row>
    <row r="196" spans="1:49">
      <c r="A196" t="s">
        <v>1101</v>
      </c>
      <c r="B196" s="5">
        <v>45381</v>
      </c>
      <c r="C196" t="s">
        <v>182</v>
      </c>
      <c r="D196" t="s">
        <v>183</v>
      </c>
      <c r="E196" t="s">
        <v>579</v>
      </c>
      <c r="F196" t="s">
        <v>466</v>
      </c>
      <c r="G196" t="s">
        <v>34</v>
      </c>
      <c r="H196" t="s">
        <v>70</v>
      </c>
      <c r="I196" t="s">
        <v>76</v>
      </c>
      <c r="J196" t="s">
        <v>43</v>
      </c>
      <c r="K196" t="s">
        <v>44</v>
      </c>
      <c r="L196" s="5">
        <v>43952</v>
      </c>
      <c r="M196">
        <v>94</v>
      </c>
      <c r="N196" t="s">
        <v>429</v>
      </c>
      <c r="O196" t="s">
        <v>883</v>
      </c>
      <c r="P196" t="s">
        <v>899</v>
      </c>
      <c r="Q196">
        <v>1</v>
      </c>
      <c r="R196">
        <v>2404</v>
      </c>
      <c r="S196" t="s">
        <v>892</v>
      </c>
      <c r="T196" s="6">
        <v>513576.63271935581</v>
      </c>
      <c r="U196" s="7">
        <f>T196*DealsRawTable[[#This Row],[Contract_Years]]</f>
        <v>513576.63271935581</v>
      </c>
      <c r="V196" s="8">
        <v>0.17499999999999999</v>
      </c>
      <c r="W196" s="8">
        <v>0.15</v>
      </c>
      <c r="X196" s="8">
        <v>1.9E-2</v>
      </c>
      <c r="Y196" t="s">
        <v>885</v>
      </c>
      <c r="Z196" t="s">
        <v>889</v>
      </c>
      <c r="AA196" s="6">
        <v>436643.66028532106</v>
      </c>
      <c r="AB196" s="7">
        <f>DealsRawTable[[#This Row],[Final_Price_ACV]]*DealsRawTable[[#This Row],[Contract_Years]]</f>
        <v>436643.66028532106</v>
      </c>
      <c r="AC196" s="6">
        <v>175951.00374183586</v>
      </c>
      <c r="AD196" s="6">
        <v>260692.65654348521</v>
      </c>
      <c r="AE196" s="8">
        <v>0.5970375394277746</v>
      </c>
      <c r="AF196" t="s">
        <v>880</v>
      </c>
      <c r="AH196" t="s">
        <v>44</v>
      </c>
      <c r="AI196" t="s">
        <v>38</v>
      </c>
      <c r="AJ196" s="6">
        <v>436643.66028532106</v>
      </c>
      <c r="AK196" s="6">
        <v>260692.65654348521</v>
      </c>
      <c r="AL196" t="s">
        <v>886</v>
      </c>
      <c r="AM196">
        <f t="shared" si="4"/>
        <v>436540.14</v>
      </c>
      <c r="AN196">
        <f>DealsRawTable[[#This Row],[Validated_Annual_Final_Price]]*DealsRawTable[[#This Row],[Contract_Years]]</f>
        <v>436540.14</v>
      </c>
      <c r="AO196">
        <f>DealsRawTable[[#This Row],[Validated_Annual_Final_Price]]-DealsRawTable[[#This Row],[Cost_to_Serve]]</f>
        <v>260589.13625816416</v>
      </c>
      <c r="AP196" s="17">
        <f>DealsRawTable[[#This Row],[Validated_Grossprofit]]/DealsRawTable[[#This Row],[Validated_Annual_Final_Price]]</f>
        <v>0.59694198168847468</v>
      </c>
      <c r="AQ196" s="17">
        <v>436540.14</v>
      </c>
      <c r="AR196" s="17">
        <v>436540.14</v>
      </c>
      <c r="AS196" s="17">
        <v>260589.13625816416</v>
      </c>
      <c r="AT196" s="17">
        <v>0.59694198168847468</v>
      </c>
      <c r="AU196" s="17" t="str">
        <f t="shared" si="5"/>
        <v>10–15%</v>
      </c>
      <c r="AV196" s="17">
        <v>113</v>
      </c>
      <c r="AW196" s="17"/>
    </row>
    <row r="197" spans="1:49">
      <c r="A197" t="s">
        <v>1102</v>
      </c>
      <c r="B197" s="5">
        <v>45598</v>
      </c>
      <c r="C197" t="s">
        <v>182</v>
      </c>
      <c r="D197" t="s">
        <v>183</v>
      </c>
      <c r="E197" t="s">
        <v>579</v>
      </c>
      <c r="F197" t="s">
        <v>466</v>
      </c>
      <c r="G197" t="s">
        <v>34</v>
      </c>
      <c r="H197" t="s">
        <v>70</v>
      </c>
      <c r="I197" t="s">
        <v>76</v>
      </c>
      <c r="J197" t="s">
        <v>43</v>
      </c>
      <c r="K197" t="s">
        <v>44</v>
      </c>
      <c r="L197" s="5">
        <v>43952</v>
      </c>
      <c r="M197">
        <v>94</v>
      </c>
      <c r="N197" t="s">
        <v>429</v>
      </c>
      <c r="O197" t="s">
        <v>876</v>
      </c>
      <c r="Q197">
        <v>1</v>
      </c>
      <c r="R197">
        <v>2404</v>
      </c>
      <c r="S197" t="s">
        <v>896</v>
      </c>
      <c r="T197" s="6">
        <v>532999.95042927726</v>
      </c>
      <c r="U197" s="7">
        <f>T197*DealsRawTable[[#This Row],[Contract_Years]]</f>
        <v>532999.95042927726</v>
      </c>
      <c r="V197" s="8">
        <v>0.20100000000000001</v>
      </c>
      <c r="W197" s="8">
        <v>0.189</v>
      </c>
      <c r="X197" s="8">
        <v>0.01</v>
      </c>
      <c r="Y197" t="s">
        <v>902</v>
      </c>
      <c r="Z197" t="s">
        <v>889</v>
      </c>
      <c r="AA197" s="6">
        <v>432043.64451054437</v>
      </c>
      <c r="AB197" s="7">
        <f>DealsRawTable[[#This Row],[Final_Price_ACV]]*DealsRawTable[[#This Row],[Contract_Years]]</f>
        <v>432043.64451054437</v>
      </c>
      <c r="AC197" s="6">
        <v>202283.34192281839</v>
      </c>
      <c r="AD197" s="6">
        <v>229760.30258772598</v>
      </c>
      <c r="AE197" s="8">
        <v>0.53179882520437927</v>
      </c>
      <c r="AF197" t="s">
        <v>457</v>
      </c>
      <c r="AG197" t="s">
        <v>38</v>
      </c>
      <c r="AI197" t="s">
        <v>38</v>
      </c>
      <c r="AJ197" s="6">
        <v>0</v>
      </c>
      <c r="AK197" s="6">
        <v>0</v>
      </c>
      <c r="AL197" t="s">
        <v>881</v>
      </c>
      <c r="AM197">
        <f t="shared" ref="AM197:AM260" si="6">ROUND(T197*(1-W197),2)</f>
        <v>432262.96</v>
      </c>
      <c r="AN197">
        <f>DealsRawTable[[#This Row],[Validated_Annual_Final_Price]]*DealsRawTable[[#This Row],[Contract_Years]]</f>
        <v>432262.96</v>
      </c>
      <c r="AO197">
        <f>DealsRawTable[[#This Row],[Validated_Annual_Final_Price]]-DealsRawTable[[#This Row],[Cost_to_Serve]]</f>
        <v>229979.61807718163</v>
      </c>
      <c r="AP197" s="17">
        <f>DealsRawTable[[#This Row],[Validated_Grossprofit]]/DealsRawTable[[#This Row],[Validated_Annual_Final_Price]]</f>
        <v>0.53203637451883834</v>
      </c>
      <c r="AQ197" s="17">
        <v>0</v>
      </c>
      <c r="AR197" s="17">
        <v>0</v>
      </c>
      <c r="AS197" s="17">
        <v>0</v>
      </c>
      <c r="AT197" s="17">
        <v>0</v>
      </c>
      <c r="AU197" s="17" t="str">
        <f t="shared" ref="AU197:AU260" si="7">IF(W197&lt;=0.05,"0–5%", IF(W197&lt;=0.1,"5–10%", IF(W197&lt;=0.15,"10–15%", IF(W197&lt;=0.2,"15–20%", IF(W197&lt;=0.25,"20–25%", IF(W197&lt;=0.3,"25–30%","Above 30%"))))))</f>
        <v>15–20%</v>
      </c>
      <c r="AV197" s="17">
        <v>108</v>
      </c>
      <c r="AW197" s="17"/>
    </row>
    <row r="198" spans="1:49">
      <c r="A198" t="s">
        <v>1103</v>
      </c>
      <c r="B198" s="5">
        <v>45317</v>
      </c>
      <c r="C198" t="s">
        <v>184</v>
      </c>
      <c r="D198" t="s">
        <v>185</v>
      </c>
      <c r="E198" t="s">
        <v>580</v>
      </c>
      <c r="F198" t="s">
        <v>34</v>
      </c>
      <c r="G198" t="s">
        <v>69</v>
      </c>
      <c r="H198" t="s">
        <v>48</v>
      </c>
      <c r="I198" t="s">
        <v>49</v>
      </c>
      <c r="J198" t="s">
        <v>56</v>
      </c>
      <c r="K198" t="s">
        <v>44</v>
      </c>
      <c r="L198" s="5">
        <v>44743</v>
      </c>
      <c r="M198">
        <v>52</v>
      </c>
      <c r="N198" t="s">
        <v>433</v>
      </c>
      <c r="O198" t="s">
        <v>891</v>
      </c>
      <c r="Q198">
        <v>1</v>
      </c>
      <c r="R198">
        <v>168</v>
      </c>
      <c r="S198" t="s">
        <v>932</v>
      </c>
      <c r="T198" s="6">
        <v>295808.67810881074</v>
      </c>
      <c r="U198" s="7">
        <f>T198*DealsRawTable[[#This Row],[Contract_Years]]</f>
        <v>295808.67810881074</v>
      </c>
      <c r="V198" s="8">
        <v>0.108</v>
      </c>
      <c r="W198" s="8">
        <v>0.10299999999999999</v>
      </c>
      <c r="X198" s="8">
        <v>0.13600000000000001</v>
      </c>
      <c r="Y198" t="s">
        <v>878</v>
      </c>
      <c r="Z198" t="s">
        <v>889</v>
      </c>
      <c r="AA198" s="6">
        <v>265200.94779701688</v>
      </c>
      <c r="AB198" s="7">
        <f>DealsRawTable[[#This Row],[Final_Price_ACV]]*DealsRawTable[[#This Row],[Contract_Years]]</f>
        <v>265200.94779701688</v>
      </c>
      <c r="AC198" s="6">
        <v>108850.79728217315</v>
      </c>
      <c r="AD198" s="6">
        <v>156350.15051484373</v>
      </c>
      <c r="AE198" s="8">
        <v>0.58955351334005468</v>
      </c>
      <c r="AF198" t="s">
        <v>880</v>
      </c>
      <c r="AI198" t="s">
        <v>38</v>
      </c>
      <c r="AJ198" s="6">
        <v>265200.94779701688</v>
      </c>
      <c r="AK198" s="6">
        <v>156350.15051484373</v>
      </c>
      <c r="AL198" t="s">
        <v>894</v>
      </c>
      <c r="AM198">
        <f t="shared" si="6"/>
        <v>265340.38</v>
      </c>
      <c r="AN198">
        <f>DealsRawTable[[#This Row],[Validated_Annual_Final_Price]]*DealsRawTable[[#This Row],[Contract_Years]]</f>
        <v>265340.38</v>
      </c>
      <c r="AO198">
        <f>DealsRawTable[[#This Row],[Validated_Annual_Final_Price]]-DealsRawTable[[#This Row],[Cost_to_Serve]]</f>
        <v>156489.58271782685</v>
      </c>
      <c r="AP198" s="17">
        <f>DealsRawTable[[#This Row],[Validated_Grossprofit]]/DealsRawTable[[#This Row],[Validated_Annual_Final_Price]]</f>
        <v>0.58976919652344983</v>
      </c>
      <c r="AQ198" s="17">
        <v>265340.38</v>
      </c>
      <c r="AR198" s="17">
        <v>265340.38</v>
      </c>
      <c r="AS198" s="17">
        <v>156489.58271782685</v>
      </c>
      <c r="AT198" s="17">
        <v>0.58976919652344983</v>
      </c>
      <c r="AU198" s="17" t="str">
        <f t="shared" si="7"/>
        <v>10–15%</v>
      </c>
      <c r="AV198" s="17">
        <v>113</v>
      </c>
      <c r="AW198" s="17"/>
    </row>
    <row r="199" spans="1:49">
      <c r="A199" t="s">
        <v>1104</v>
      </c>
      <c r="B199" s="5">
        <v>45682</v>
      </c>
      <c r="C199" t="s">
        <v>184</v>
      </c>
      <c r="D199" t="s">
        <v>185</v>
      </c>
      <c r="E199" t="s">
        <v>580</v>
      </c>
      <c r="F199" t="s">
        <v>34</v>
      </c>
      <c r="G199" t="s">
        <v>69</v>
      </c>
      <c r="H199" t="s">
        <v>48</v>
      </c>
      <c r="I199" t="s">
        <v>49</v>
      </c>
      <c r="J199" t="s">
        <v>56</v>
      </c>
      <c r="K199" t="s">
        <v>44</v>
      </c>
      <c r="L199" s="5">
        <v>44743</v>
      </c>
      <c r="M199">
        <v>52</v>
      </c>
      <c r="N199" t="s">
        <v>433</v>
      </c>
      <c r="O199" t="s">
        <v>876</v>
      </c>
      <c r="Q199">
        <v>1</v>
      </c>
      <c r="R199">
        <v>168</v>
      </c>
      <c r="S199" t="s">
        <v>896</v>
      </c>
      <c r="T199" s="6">
        <v>313318.52521633607</v>
      </c>
      <c r="U199" s="7">
        <f>T199*DealsRawTable[[#This Row],[Contract_Years]]</f>
        <v>313318.52521633607</v>
      </c>
      <c r="V199" s="8">
        <v>0.28100000000000003</v>
      </c>
      <c r="W199" s="8">
        <v>0.25900000000000001</v>
      </c>
      <c r="X199" s="8">
        <v>-3.9E-2</v>
      </c>
      <c r="Y199" t="s">
        <v>878</v>
      </c>
      <c r="Z199" t="s">
        <v>893</v>
      </c>
      <c r="AA199" s="6">
        <v>232193.53187699107</v>
      </c>
      <c r="AB199" s="7">
        <f>DealsRawTable[[#This Row],[Final_Price_ACV]]*DealsRawTable[[#This Row],[Contract_Years]]</f>
        <v>232193.53187699107</v>
      </c>
      <c r="AC199" s="6">
        <v>105339.77243114181</v>
      </c>
      <c r="AD199" s="6">
        <v>126853.75944584925</v>
      </c>
      <c r="AE199" s="8">
        <v>0.54632770525689078</v>
      </c>
      <c r="AF199" t="s">
        <v>880</v>
      </c>
      <c r="AG199" t="s">
        <v>44</v>
      </c>
      <c r="AI199" t="s">
        <v>38</v>
      </c>
      <c r="AJ199" s="6">
        <v>232193.53187699107</v>
      </c>
      <c r="AK199" s="6">
        <v>126853.75944584925</v>
      </c>
      <c r="AL199" t="s">
        <v>881</v>
      </c>
      <c r="AM199">
        <f t="shared" si="6"/>
        <v>232169.03</v>
      </c>
      <c r="AN199">
        <f>DealsRawTable[[#This Row],[Validated_Annual_Final_Price]]*DealsRawTable[[#This Row],[Contract_Years]]</f>
        <v>232169.03</v>
      </c>
      <c r="AO199">
        <f>DealsRawTable[[#This Row],[Validated_Annual_Final_Price]]-DealsRawTable[[#This Row],[Cost_to_Serve]]</f>
        <v>126829.25756885819</v>
      </c>
      <c r="AP199" s="17">
        <f>DealsRawTable[[#This Row],[Validated_Grossprofit]]/DealsRawTable[[#This Row],[Validated_Annual_Final_Price]]</f>
        <v>0.54627982711069678</v>
      </c>
      <c r="AQ199" s="17">
        <v>232169.03</v>
      </c>
      <c r="AR199" s="17">
        <v>232169.03</v>
      </c>
      <c r="AS199" s="17">
        <v>126829.25756885819</v>
      </c>
      <c r="AT199" s="17">
        <v>0.54627982711069678</v>
      </c>
      <c r="AU199" s="17" t="str">
        <f t="shared" si="7"/>
        <v>25–30%</v>
      </c>
      <c r="AV199" s="17">
        <v>3</v>
      </c>
      <c r="AW199" s="17"/>
    </row>
    <row r="200" spans="1:49">
      <c r="A200" t="s">
        <v>1105</v>
      </c>
      <c r="B200" s="5">
        <v>45517</v>
      </c>
      <c r="C200" t="s">
        <v>184</v>
      </c>
      <c r="D200" t="s">
        <v>185</v>
      </c>
      <c r="E200" t="s">
        <v>581</v>
      </c>
      <c r="F200" t="s">
        <v>34</v>
      </c>
      <c r="G200" t="s">
        <v>69</v>
      </c>
      <c r="H200" t="s">
        <v>48</v>
      </c>
      <c r="I200" t="s">
        <v>49</v>
      </c>
      <c r="J200" t="s">
        <v>56</v>
      </c>
      <c r="K200" t="s">
        <v>44</v>
      </c>
      <c r="L200" s="5">
        <v>44743</v>
      </c>
      <c r="M200">
        <v>52</v>
      </c>
      <c r="N200" t="s">
        <v>427</v>
      </c>
      <c r="O200" t="s">
        <v>876</v>
      </c>
      <c r="Q200">
        <v>1</v>
      </c>
      <c r="R200">
        <v>240</v>
      </c>
      <c r="S200" t="s">
        <v>907</v>
      </c>
      <c r="T200" s="6">
        <v>81223.103547020975</v>
      </c>
      <c r="U200" s="7">
        <f>T200*DealsRawTable[[#This Row],[Contract_Years]]</f>
        <v>81223.103547020975</v>
      </c>
      <c r="V200" s="8">
        <v>0.17</v>
      </c>
      <c r="W200" s="8">
        <v>0.158</v>
      </c>
      <c r="X200" s="8">
        <v>-0.11799999999999999</v>
      </c>
      <c r="Y200" t="s">
        <v>878</v>
      </c>
      <c r="Z200" t="s">
        <v>889</v>
      </c>
      <c r="AA200" s="6">
        <v>68404.332248874431</v>
      </c>
      <c r="AB200" s="7">
        <f>DealsRawTable[[#This Row],[Final_Price_ACV]]*DealsRawTable[[#This Row],[Contract_Years]]</f>
        <v>68404.332248874431</v>
      </c>
      <c r="AC200" s="6">
        <v>25252.632968906761</v>
      </c>
      <c r="AD200" s="6">
        <v>43151.699279967666</v>
      </c>
      <c r="AE200" s="8">
        <v>0.63083284144883545</v>
      </c>
      <c r="AF200" t="s">
        <v>880</v>
      </c>
      <c r="AG200" t="s">
        <v>44</v>
      </c>
      <c r="AI200" t="s">
        <v>38</v>
      </c>
      <c r="AJ200" s="6">
        <v>68404.332248874431</v>
      </c>
      <c r="AK200" s="6">
        <v>43151.699279967666</v>
      </c>
      <c r="AL200" t="s">
        <v>881</v>
      </c>
      <c r="AM200">
        <f t="shared" si="6"/>
        <v>68389.850000000006</v>
      </c>
      <c r="AN200">
        <f>DealsRawTable[[#This Row],[Validated_Annual_Final_Price]]*DealsRawTable[[#This Row],[Contract_Years]]</f>
        <v>68389.850000000006</v>
      </c>
      <c r="AO200">
        <f>DealsRawTable[[#This Row],[Validated_Annual_Final_Price]]-DealsRawTable[[#This Row],[Cost_to_Serve]]</f>
        <v>43137.217031093242</v>
      </c>
      <c r="AP200" s="17">
        <f>DealsRawTable[[#This Row],[Validated_Grossprofit]]/DealsRawTable[[#This Row],[Validated_Annual_Final_Price]]</f>
        <v>0.63075466653448187</v>
      </c>
      <c r="AQ200" s="17">
        <v>68389.850000000006</v>
      </c>
      <c r="AR200" s="17">
        <v>68389.850000000006</v>
      </c>
      <c r="AS200" s="17">
        <v>43137.217031093242</v>
      </c>
      <c r="AT200" s="17">
        <v>0.63075466653448187</v>
      </c>
      <c r="AU200" s="17" t="str">
        <f t="shared" si="7"/>
        <v>15–20%</v>
      </c>
      <c r="AV200" s="17">
        <v>108</v>
      </c>
      <c r="AW200" s="17"/>
    </row>
    <row r="201" spans="1:49">
      <c r="A201" t="s">
        <v>1106</v>
      </c>
      <c r="B201" s="5">
        <v>45882</v>
      </c>
      <c r="C201" t="s">
        <v>184</v>
      </c>
      <c r="D201" t="s">
        <v>185</v>
      </c>
      <c r="E201" t="s">
        <v>581</v>
      </c>
      <c r="F201" t="s">
        <v>34</v>
      </c>
      <c r="G201" t="s">
        <v>69</v>
      </c>
      <c r="H201" t="s">
        <v>48</v>
      </c>
      <c r="I201" t="s">
        <v>49</v>
      </c>
      <c r="J201" t="s">
        <v>56</v>
      </c>
      <c r="K201" t="s">
        <v>44</v>
      </c>
      <c r="L201" s="5">
        <v>44743</v>
      </c>
      <c r="M201">
        <v>52</v>
      </c>
      <c r="N201" t="s">
        <v>427</v>
      </c>
      <c r="O201" t="s">
        <v>876</v>
      </c>
      <c r="Q201">
        <v>1</v>
      </c>
      <c r="R201">
        <v>240</v>
      </c>
      <c r="S201" t="s">
        <v>932</v>
      </c>
      <c r="T201" s="6">
        <v>87621.528994129549</v>
      </c>
      <c r="U201" s="7">
        <f>T201*DealsRawTable[[#This Row],[Contract_Years]]</f>
        <v>87621.528994129549</v>
      </c>
      <c r="V201" s="8">
        <v>0.20399999999999999</v>
      </c>
      <c r="W201" s="8">
        <v>0.19600000000000001</v>
      </c>
      <c r="X201" s="8">
        <v>4.0000000000000001E-3</v>
      </c>
      <c r="Y201" t="s">
        <v>878</v>
      </c>
      <c r="Z201" t="s">
        <v>889</v>
      </c>
      <c r="AA201" s="6">
        <v>70424.94355478989</v>
      </c>
      <c r="AB201" s="7">
        <f>DealsRawTable[[#This Row],[Final_Price_ACV]]*DealsRawTable[[#This Row],[Contract_Years]]</f>
        <v>70424.94355478989</v>
      </c>
      <c r="AC201" s="6">
        <v>23611.143767067377</v>
      </c>
      <c r="AD201" s="6">
        <v>46813.799787722513</v>
      </c>
      <c r="AE201" s="8">
        <v>0.6647332241211078</v>
      </c>
      <c r="AF201" t="s">
        <v>880</v>
      </c>
      <c r="AG201" t="s">
        <v>44</v>
      </c>
      <c r="AI201" t="s">
        <v>38</v>
      </c>
      <c r="AJ201" s="6">
        <v>70424.94355478989</v>
      </c>
      <c r="AK201" s="6">
        <v>46813.799787722513</v>
      </c>
      <c r="AL201" t="s">
        <v>881</v>
      </c>
      <c r="AM201">
        <f t="shared" si="6"/>
        <v>70447.710000000006</v>
      </c>
      <c r="AN201">
        <f>DealsRawTable[[#This Row],[Validated_Annual_Final_Price]]*DealsRawTable[[#This Row],[Contract_Years]]</f>
        <v>70447.710000000006</v>
      </c>
      <c r="AO201">
        <f>DealsRawTable[[#This Row],[Validated_Annual_Final_Price]]-DealsRawTable[[#This Row],[Cost_to_Serve]]</f>
        <v>46836.56623293263</v>
      </c>
      <c r="AP201" s="17">
        <f>DealsRawTable[[#This Row],[Validated_Grossprofit]]/DealsRawTable[[#This Row],[Validated_Annual_Final_Price]]</f>
        <v>0.66484157161294</v>
      </c>
      <c r="AQ201" s="17">
        <v>70447.710000000006</v>
      </c>
      <c r="AR201" s="17">
        <v>70447.710000000006</v>
      </c>
      <c r="AS201" s="17">
        <v>46836.56623293263</v>
      </c>
      <c r="AT201" s="17">
        <v>0.66484157161294</v>
      </c>
      <c r="AU201" s="17" t="str">
        <f t="shared" si="7"/>
        <v>15–20%</v>
      </c>
      <c r="AV201" s="17">
        <v>108</v>
      </c>
      <c r="AW201" s="17"/>
    </row>
    <row r="202" spans="1:49">
      <c r="A202" t="s">
        <v>1107</v>
      </c>
      <c r="B202" s="5">
        <v>45456</v>
      </c>
      <c r="C202" t="s">
        <v>186</v>
      </c>
      <c r="D202" t="s">
        <v>187</v>
      </c>
      <c r="E202" t="s">
        <v>582</v>
      </c>
      <c r="F202" t="s">
        <v>445</v>
      </c>
      <c r="G202" t="s">
        <v>83</v>
      </c>
      <c r="H202" t="s">
        <v>70</v>
      </c>
      <c r="I202" t="s">
        <v>76</v>
      </c>
      <c r="J202" t="s">
        <v>43</v>
      </c>
      <c r="K202" t="s">
        <v>38</v>
      </c>
      <c r="L202" s="5">
        <v>45047</v>
      </c>
      <c r="M202">
        <v>42</v>
      </c>
      <c r="N202" t="s">
        <v>427</v>
      </c>
      <c r="O202" t="s">
        <v>891</v>
      </c>
      <c r="Q202">
        <v>1</v>
      </c>
      <c r="R202">
        <v>434</v>
      </c>
      <c r="S202" t="s">
        <v>892</v>
      </c>
      <c r="T202" s="6">
        <v>165337.33941684355</v>
      </c>
      <c r="U202" s="7">
        <f>T202*DealsRawTable[[#This Row],[Contract_Years]]</f>
        <v>165337.33941684355</v>
      </c>
      <c r="V202" s="8">
        <v>0.16800000000000001</v>
      </c>
      <c r="W202" s="8">
        <v>0.15</v>
      </c>
      <c r="X202" s="8">
        <v>-1.6E-2</v>
      </c>
      <c r="Y202" t="s">
        <v>878</v>
      </c>
      <c r="Z202" t="s">
        <v>889</v>
      </c>
      <c r="AA202" s="6">
        <v>140551.04764513831</v>
      </c>
      <c r="AB202" s="7">
        <f>DealsRawTable[[#This Row],[Final_Price_ACV]]*DealsRawTable[[#This Row],[Contract_Years]]</f>
        <v>140551.04764513831</v>
      </c>
      <c r="AC202" s="6">
        <v>54645.254268272925</v>
      </c>
      <c r="AD202" s="6">
        <v>85905.793376865389</v>
      </c>
      <c r="AE202" s="8">
        <v>0.61120706544827297</v>
      </c>
      <c r="AF202" t="s">
        <v>457</v>
      </c>
      <c r="AI202" t="s">
        <v>38</v>
      </c>
      <c r="AJ202" s="6">
        <v>0</v>
      </c>
      <c r="AK202" s="6">
        <v>0</v>
      </c>
      <c r="AL202" t="s">
        <v>894</v>
      </c>
      <c r="AM202">
        <f t="shared" si="6"/>
        <v>140536.74</v>
      </c>
      <c r="AN202">
        <f>DealsRawTable[[#This Row],[Validated_Annual_Final_Price]]*DealsRawTable[[#This Row],[Contract_Years]]</f>
        <v>140536.74</v>
      </c>
      <c r="AO202">
        <f>DealsRawTable[[#This Row],[Validated_Annual_Final_Price]]-DealsRawTable[[#This Row],[Cost_to_Serve]]</f>
        <v>85891.485731727065</v>
      </c>
      <c r="AP202" s="17">
        <f>DealsRawTable[[#This Row],[Validated_Grossprofit]]/DealsRawTable[[#This Row],[Validated_Annual_Final_Price]]</f>
        <v>0.61116748354719963</v>
      </c>
      <c r="AQ202" s="17">
        <v>0</v>
      </c>
      <c r="AR202" s="17">
        <v>0</v>
      </c>
      <c r="AS202" s="17">
        <v>0</v>
      </c>
      <c r="AT202" s="17">
        <v>0</v>
      </c>
      <c r="AU202" s="17" t="str">
        <f t="shared" si="7"/>
        <v>10–15%</v>
      </c>
      <c r="AV202" s="17">
        <v>113</v>
      </c>
      <c r="AW202" s="17"/>
    </row>
    <row r="203" spans="1:49">
      <c r="A203" t="s">
        <v>1108</v>
      </c>
      <c r="B203" s="5">
        <v>45479</v>
      </c>
      <c r="C203" t="s">
        <v>188</v>
      </c>
      <c r="D203" t="s">
        <v>189</v>
      </c>
      <c r="E203" t="s">
        <v>583</v>
      </c>
      <c r="F203" t="s">
        <v>34</v>
      </c>
      <c r="G203" t="s">
        <v>34</v>
      </c>
      <c r="H203" t="s">
        <v>48</v>
      </c>
      <c r="I203" t="s">
        <v>115</v>
      </c>
      <c r="J203" t="s">
        <v>43</v>
      </c>
      <c r="K203" t="s">
        <v>38</v>
      </c>
      <c r="L203" s="5">
        <v>44197</v>
      </c>
      <c r="M203">
        <v>59</v>
      </c>
      <c r="N203" t="s">
        <v>431</v>
      </c>
      <c r="O203" t="s">
        <v>891</v>
      </c>
      <c r="Q203">
        <v>1</v>
      </c>
      <c r="R203">
        <v>1521</v>
      </c>
      <c r="S203" t="s">
        <v>892</v>
      </c>
      <c r="T203" s="6">
        <v>100465.15858281347</v>
      </c>
      <c r="U203" s="7">
        <f>T203*DealsRawTable[[#This Row],[Contract_Years]]</f>
        <v>100465.15858281347</v>
      </c>
      <c r="V203" s="8">
        <v>0.109</v>
      </c>
      <c r="W203" s="8">
        <v>9.5000000000000001E-2</v>
      </c>
      <c r="X203" s="8">
        <v>-8.5999999999999993E-2</v>
      </c>
      <c r="Y203" t="s">
        <v>930</v>
      </c>
      <c r="Z203" t="s">
        <v>879</v>
      </c>
      <c r="AA203" s="6">
        <v>90963.55702190494</v>
      </c>
      <c r="AB203" s="7">
        <f>DealsRawTable[[#This Row],[Final_Price_ACV]]*DealsRawTable[[#This Row],[Contract_Years]]</f>
        <v>90963.55702190494</v>
      </c>
      <c r="AC203" s="6">
        <v>45792.557012286634</v>
      </c>
      <c r="AD203" s="6">
        <v>45171.000009618307</v>
      </c>
      <c r="AE203" s="8">
        <v>0.49658348341348035</v>
      </c>
      <c r="AF203" t="s">
        <v>880</v>
      </c>
      <c r="AI203" t="s">
        <v>38</v>
      </c>
      <c r="AJ203" s="6">
        <v>90963.55702190494</v>
      </c>
      <c r="AK203" s="6">
        <v>45171.000009618307</v>
      </c>
      <c r="AL203" t="s">
        <v>894</v>
      </c>
      <c r="AM203">
        <f t="shared" si="6"/>
        <v>90920.97</v>
      </c>
      <c r="AN203">
        <f>DealsRawTable[[#This Row],[Validated_Annual_Final_Price]]*DealsRawTable[[#This Row],[Contract_Years]]</f>
        <v>90920.97</v>
      </c>
      <c r="AO203">
        <f>DealsRawTable[[#This Row],[Validated_Annual_Final_Price]]-DealsRawTable[[#This Row],[Cost_to_Serve]]</f>
        <v>45128.412987713367</v>
      </c>
      <c r="AP203" s="17">
        <f>DealsRawTable[[#This Row],[Validated_Grossprofit]]/DealsRawTable[[#This Row],[Validated_Annual_Final_Price]]</f>
        <v>0.49634768511283334</v>
      </c>
      <c r="AQ203" s="17">
        <v>90920.97</v>
      </c>
      <c r="AR203" s="17">
        <v>90920.97</v>
      </c>
      <c r="AS203" s="17">
        <v>45128.412987713367</v>
      </c>
      <c r="AT203" s="17">
        <v>0.49634768511283334</v>
      </c>
      <c r="AU203" s="17" t="str">
        <f t="shared" si="7"/>
        <v>5–10%</v>
      </c>
      <c r="AV203" s="17">
        <v>116</v>
      </c>
      <c r="AW203" s="17"/>
    </row>
    <row r="204" spans="1:49">
      <c r="A204" t="s">
        <v>1109</v>
      </c>
      <c r="B204" s="5">
        <v>45659</v>
      </c>
      <c r="C204" t="s">
        <v>188</v>
      </c>
      <c r="D204" t="s">
        <v>189</v>
      </c>
      <c r="E204" t="s">
        <v>583</v>
      </c>
      <c r="F204" t="s">
        <v>34</v>
      </c>
      <c r="G204" t="s">
        <v>34</v>
      </c>
      <c r="H204" t="s">
        <v>48</v>
      </c>
      <c r="I204" t="s">
        <v>115</v>
      </c>
      <c r="J204" t="s">
        <v>43</v>
      </c>
      <c r="K204" t="s">
        <v>38</v>
      </c>
      <c r="L204" s="5">
        <v>44197</v>
      </c>
      <c r="M204">
        <v>59</v>
      </c>
      <c r="N204" t="s">
        <v>431</v>
      </c>
      <c r="O204" t="s">
        <v>883</v>
      </c>
      <c r="P204" t="s">
        <v>985</v>
      </c>
      <c r="Q204">
        <v>1</v>
      </c>
      <c r="R204">
        <v>2075</v>
      </c>
      <c r="S204" t="s">
        <v>900</v>
      </c>
      <c r="T204" s="6">
        <v>118451.54300795803</v>
      </c>
      <c r="U204" s="7">
        <f>T204*DealsRawTable[[#This Row],[Contract_Years]]</f>
        <v>118451.54300795803</v>
      </c>
      <c r="V204" s="8">
        <v>3.2000000000000001E-2</v>
      </c>
      <c r="W204" s="8">
        <v>2.1999999999999999E-2</v>
      </c>
      <c r="X204" s="8">
        <v>-0.01</v>
      </c>
      <c r="Y204" t="s">
        <v>885</v>
      </c>
      <c r="Z204" t="s">
        <v>879</v>
      </c>
      <c r="AA204" s="6">
        <v>115863.13350939096</v>
      </c>
      <c r="AB204" s="7">
        <f>DealsRawTable[[#This Row],[Final_Price_ACV]]*DealsRawTable[[#This Row],[Contract_Years]]</f>
        <v>115863.13350939096</v>
      </c>
      <c r="AC204" s="6">
        <v>44770.283428284427</v>
      </c>
      <c r="AD204" s="6">
        <v>71092.850081106531</v>
      </c>
      <c r="AE204" s="8">
        <v>0.61359336596350811</v>
      </c>
      <c r="AF204" t="s">
        <v>880</v>
      </c>
      <c r="AH204" t="s">
        <v>44</v>
      </c>
      <c r="AI204" t="s">
        <v>38</v>
      </c>
      <c r="AJ204" s="6">
        <v>115863.13350939096</v>
      </c>
      <c r="AK204" s="6">
        <v>71092.850081106531</v>
      </c>
      <c r="AL204" t="s">
        <v>886</v>
      </c>
      <c r="AM204">
        <f t="shared" si="6"/>
        <v>115845.61</v>
      </c>
      <c r="AN204">
        <f>DealsRawTable[[#This Row],[Validated_Annual_Final_Price]]*DealsRawTable[[#This Row],[Contract_Years]]</f>
        <v>115845.61</v>
      </c>
      <c r="AO204">
        <f>DealsRawTable[[#This Row],[Validated_Annual_Final_Price]]-DealsRawTable[[#This Row],[Cost_to_Serve]]</f>
        <v>71075.326571715574</v>
      </c>
      <c r="AP204" s="17">
        <f>DealsRawTable[[#This Row],[Validated_Grossprofit]]/DealsRawTable[[#This Row],[Validated_Annual_Final_Price]]</f>
        <v>0.61353491575309216</v>
      </c>
      <c r="AQ204" s="17">
        <v>115845.61</v>
      </c>
      <c r="AR204" s="17">
        <v>115845.61</v>
      </c>
      <c r="AS204" s="17">
        <v>71075.326571715574</v>
      </c>
      <c r="AT204" s="17">
        <v>0.61353491575309216</v>
      </c>
      <c r="AU204" s="17" t="str">
        <f t="shared" si="7"/>
        <v>0–5%</v>
      </c>
      <c r="AV204" s="17">
        <v>55</v>
      </c>
      <c r="AW204" s="17"/>
    </row>
    <row r="205" spans="1:49">
      <c r="A205" t="s">
        <v>1110</v>
      </c>
      <c r="B205" s="5">
        <v>45844</v>
      </c>
      <c r="C205" t="s">
        <v>188</v>
      </c>
      <c r="D205" t="s">
        <v>189</v>
      </c>
      <c r="E205" t="s">
        <v>583</v>
      </c>
      <c r="F205" t="s">
        <v>34</v>
      </c>
      <c r="G205" t="s">
        <v>34</v>
      </c>
      <c r="H205" t="s">
        <v>48</v>
      </c>
      <c r="I205" t="s">
        <v>115</v>
      </c>
      <c r="J205" t="s">
        <v>43</v>
      </c>
      <c r="K205" t="s">
        <v>38</v>
      </c>
      <c r="L205" s="5">
        <v>44197</v>
      </c>
      <c r="M205">
        <v>59</v>
      </c>
      <c r="N205" t="s">
        <v>431</v>
      </c>
      <c r="O205" t="s">
        <v>876</v>
      </c>
      <c r="Q205">
        <v>1</v>
      </c>
      <c r="R205">
        <v>2075</v>
      </c>
      <c r="S205" t="s">
        <v>932</v>
      </c>
      <c r="T205" s="6">
        <v>121448.18593066897</v>
      </c>
      <c r="U205" s="7">
        <f>T205*DealsRawTable[[#This Row],[Contract_Years]]</f>
        <v>121448.18593066897</v>
      </c>
      <c r="V205" s="8">
        <v>9.8000000000000004E-2</v>
      </c>
      <c r="W205" s="8">
        <v>0.09</v>
      </c>
      <c r="X205" s="8">
        <v>7.5999999999999998E-2</v>
      </c>
      <c r="Y205" t="s">
        <v>878</v>
      </c>
      <c r="Z205" t="s">
        <v>879</v>
      </c>
      <c r="AA205" s="6">
        <v>110475.46848135866</v>
      </c>
      <c r="AB205" s="7">
        <f>DealsRawTable[[#This Row],[Final_Price_ACV]]*DealsRawTable[[#This Row],[Contract_Years]]</f>
        <v>110475.46848135866</v>
      </c>
      <c r="AC205" s="6">
        <v>47423.473976008114</v>
      </c>
      <c r="AD205" s="6">
        <v>63051.994505350551</v>
      </c>
      <c r="AE205" s="8">
        <v>0.57073299051897464</v>
      </c>
      <c r="AF205" t="s">
        <v>457</v>
      </c>
      <c r="AG205" t="s">
        <v>38</v>
      </c>
      <c r="AI205" t="s">
        <v>38</v>
      </c>
      <c r="AJ205" s="6">
        <v>0</v>
      </c>
      <c r="AK205" s="6">
        <v>0</v>
      </c>
      <c r="AL205" t="s">
        <v>881</v>
      </c>
      <c r="AM205">
        <f t="shared" si="6"/>
        <v>110517.85</v>
      </c>
      <c r="AN205">
        <f>DealsRawTable[[#This Row],[Validated_Annual_Final_Price]]*DealsRawTable[[#This Row],[Contract_Years]]</f>
        <v>110517.85</v>
      </c>
      <c r="AO205">
        <f>DealsRawTable[[#This Row],[Validated_Annual_Final_Price]]-DealsRawTable[[#This Row],[Cost_to_Serve]]</f>
        <v>63094.376023991892</v>
      </c>
      <c r="AP205" s="17">
        <f>DealsRawTable[[#This Row],[Validated_Grossprofit]]/DealsRawTable[[#This Row],[Validated_Annual_Final_Price]]</f>
        <v>0.57089760635039399</v>
      </c>
      <c r="AQ205" s="17">
        <v>0</v>
      </c>
      <c r="AR205" s="17">
        <v>0</v>
      </c>
      <c r="AS205" s="17">
        <v>0</v>
      </c>
      <c r="AT205" s="17">
        <v>0</v>
      </c>
      <c r="AU205" s="17" t="str">
        <f t="shared" si="7"/>
        <v>5–10%</v>
      </c>
      <c r="AV205" s="17">
        <v>116</v>
      </c>
      <c r="AW205" s="17"/>
    </row>
    <row r="206" spans="1:49">
      <c r="A206" t="s">
        <v>1111</v>
      </c>
      <c r="B206" s="5">
        <v>45977</v>
      </c>
      <c r="C206" t="s">
        <v>188</v>
      </c>
      <c r="D206" t="s">
        <v>189</v>
      </c>
      <c r="E206" t="s">
        <v>583</v>
      </c>
      <c r="F206" t="s">
        <v>34</v>
      </c>
      <c r="G206" t="s">
        <v>34</v>
      </c>
      <c r="H206" t="s">
        <v>48</v>
      </c>
      <c r="I206" t="s">
        <v>115</v>
      </c>
      <c r="J206" t="s">
        <v>43</v>
      </c>
      <c r="K206" t="s">
        <v>38</v>
      </c>
      <c r="L206" s="5">
        <v>44197</v>
      </c>
      <c r="M206">
        <v>59</v>
      </c>
      <c r="N206" t="s">
        <v>431</v>
      </c>
      <c r="O206" t="s">
        <v>915</v>
      </c>
      <c r="Q206">
        <v>1</v>
      </c>
      <c r="R206">
        <v>2075</v>
      </c>
      <c r="S206" t="s">
        <v>892</v>
      </c>
      <c r="T206" s="6">
        <v>121448.18593066897</v>
      </c>
      <c r="U206" s="7">
        <f>T206*DealsRawTable[[#This Row],[Contract_Years]]</f>
        <v>121448.18593066897</v>
      </c>
      <c r="V206" s="8">
        <v>0.16500000000000001</v>
      </c>
      <c r="W206" s="8">
        <v>0.16400000000000001</v>
      </c>
      <c r="X206" s="8">
        <v>-0.10299999999999999</v>
      </c>
      <c r="Y206" t="s">
        <v>878</v>
      </c>
      <c r="Z206" t="s">
        <v>889</v>
      </c>
      <c r="AA206" s="6">
        <v>101519.90139286032</v>
      </c>
      <c r="AB206" s="7">
        <f>DealsRawTable[[#This Row],[Final_Price_ACV]]*DealsRawTable[[#This Row],[Contract_Years]]</f>
        <v>101519.90139286032</v>
      </c>
      <c r="AC206" s="6">
        <v>49093.568113436333</v>
      </c>
      <c r="AD206" s="6">
        <v>52426.33327942399</v>
      </c>
      <c r="AE206" s="8">
        <v>0.51641434398705022</v>
      </c>
      <c r="AF206" t="s">
        <v>880</v>
      </c>
      <c r="AI206" t="s">
        <v>44</v>
      </c>
      <c r="AJ206" s="6">
        <v>101519.90139286032</v>
      </c>
      <c r="AK206" s="6">
        <v>52426.33327942399</v>
      </c>
      <c r="AL206" t="s">
        <v>916</v>
      </c>
      <c r="AM206">
        <f t="shared" si="6"/>
        <v>101530.68</v>
      </c>
      <c r="AN206">
        <f>DealsRawTable[[#This Row],[Validated_Annual_Final_Price]]*DealsRawTable[[#This Row],[Contract_Years]]</f>
        <v>101530.68</v>
      </c>
      <c r="AO206">
        <f>DealsRawTable[[#This Row],[Validated_Annual_Final_Price]]-DealsRawTable[[#This Row],[Cost_to_Serve]]</f>
        <v>52437.11188656366</v>
      </c>
      <c r="AP206" s="17">
        <f>DealsRawTable[[#This Row],[Validated_Grossprofit]]/DealsRawTable[[#This Row],[Validated_Annual_Final_Price]]</f>
        <v>0.51646568196493581</v>
      </c>
      <c r="AQ206" s="17">
        <v>101530.68</v>
      </c>
      <c r="AR206" s="17">
        <v>101530.68</v>
      </c>
      <c r="AS206" s="17">
        <v>52437.11188656366</v>
      </c>
      <c r="AT206" s="17">
        <v>0.51646568196493581</v>
      </c>
      <c r="AU206" s="17" t="str">
        <f t="shared" si="7"/>
        <v>15–20%</v>
      </c>
      <c r="AV206" s="17">
        <v>108</v>
      </c>
      <c r="AW206" s="17"/>
    </row>
    <row r="207" spans="1:49">
      <c r="A207" t="s">
        <v>1112</v>
      </c>
      <c r="B207" s="5">
        <v>45797</v>
      </c>
      <c r="C207" t="s">
        <v>188</v>
      </c>
      <c r="D207" t="s">
        <v>189</v>
      </c>
      <c r="E207" t="s">
        <v>584</v>
      </c>
      <c r="F207" t="s">
        <v>34</v>
      </c>
      <c r="G207" t="s">
        <v>34</v>
      </c>
      <c r="H207" t="s">
        <v>48</v>
      </c>
      <c r="I207" t="s">
        <v>115</v>
      </c>
      <c r="J207" t="s">
        <v>43</v>
      </c>
      <c r="K207" t="s">
        <v>38</v>
      </c>
      <c r="L207" s="5">
        <v>44197</v>
      </c>
      <c r="M207">
        <v>59</v>
      </c>
      <c r="N207" t="s">
        <v>427</v>
      </c>
      <c r="O207" t="s">
        <v>891</v>
      </c>
      <c r="Q207">
        <v>2</v>
      </c>
      <c r="R207">
        <v>394</v>
      </c>
      <c r="S207" t="s">
        <v>892</v>
      </c>
      <c r="T207" s="6">
        <v>122511.31282765683</v>
      </c>
      <c r="U207" s="7">
        <f>T207*DealsRawTable[[#This Row],[Contract_Years]]</f>
        <v>245022.62565531366</v>
      </c>
      <c r="V207" s="8">
        <v>0.14099999999999999</v>
      </c>
      <c r="W207" s="8">
        <v>0.13700000000000001</v>
      </c>
      <c r="X207" s="8">
        <v>8.7999999999999995E-2</v>
      </c>
      <c r="Y207" t="s">
        <v>902</v>
      </c>
      <c r="Z207" t="s">
        <v>889</v>
      </c>
      <c r="AA207" s="6">
        <v>105764.59847918188</v>
      </c>
      <c r="AB207" s="7">
        <f>DealsRawTable[[#This Row],[Final_Price_ACV]]*DealsRawTable[[#This Row],[Contract_Years]]</f>
        <v>211529.19695836375</v>
      </c>
      <c r="AC207" s="6">
        <v>42636.796520562893</v>
      </c>
      <c r="AD207" s="6">
        <v>63127.801958618984</v>
      </c>
      <c r="AE207" s="8">
        <v>0.59687081373494477</v>
      </c>
      <c r="AF207" t="s">
        <v>457</v>
      </c>
      <c r="AI207" t="s">
        <v>38</v>
      </c>
      <c r="AJ207" s="6">
        <v>0</v>
      </c>
      <c r="AK207" s="6">
        <v>0</v>
      </c>
      <c r="AL207" t="s">
        <v>894</v>
      </c>
      <c r="AM207">
        <f t="shared" si="6"/>
        <v>105727.26</v>
      </c>
      <c r="AN207">
        <f>DealsRawTable[[#This Row],[Validated_Annual_Final_Price]]*DealsRawTable[[#This Row],[Contract_Years]]</f>
        <v>211454.52</v>
      </c>
      <c r="AO207">
        <f>DealsRawTable[[#This Row],[Validated_Annual_Final_Price]]-DealsRawTable[[#This Row],[Cost_to_Serve]]</f>
        <v>63090.463479437101</v>
      </c>
      <c r="AP207" s="17">
        <f>DealsRawTable[[#This Row],[Validated_Grossprofit]]/DealsRawTable[[#This Row],[Validated_Annual_Final_Price]]</f>
        <v>0.59672844524143631</v>
      </c>
      <c r="AQ207" s="17">
        <v>0</v>
      </c>
      <c r="AR207" s="17">
        <v>0</v>
      </c>
      <c r="AS207" s="17">
        <v>0</v>
      </c>
      <c r="AT207" s="17">
        <v>0</v>
      </c>
      <c r="AU207" s="17" t="str">
        <f t="shared" si="7"/>
        <v>10–15%</v>
      </c>
      <c r="AV207" s="17">
        <v>113</v>
      </c>
      <c r="AW207" s="17"/>
    </row>
    <row r="208" spans="1:49">
      <c r="A208" t="s">
        <v>1113</v>
      </c>
      <c r="B208" s="5">
        <v>45512</v>
      </c>
      <c r="C208" t="s">
        <v>188</v>
      </c>
      <c r="D208" t="s">
        <v>189</v>
      </c>
      <c r="E208" t="s">
        <v>585</v>
      </c>
      <c r="F208" t="s">
        <v>47</v>
      </c>
      <c r="G208" t="s">
        <v>34</v>
      </c>
      <c r="H208" t="s">
        <v>48</v>
      </c>
      <c r="I208" t="s">
        <v>115</v>
      </c>
      <c r="J208" t="s">
        <v>43</v>
      </c>
      <c r="K208" t="s">
        <v>38</v>
      </c>
      <c r="L208" s="5">
        <v>44197</v>
      </c>
      <c r="M208">
        <v>59</v>
      </c>
      <c r="N208" t="s">
        <v>433</v>
      </c>
      <c r="O208" t="s">
        <v>876</v>
      </c>
      <c r="Q208">
        <v>1</v>
      </c>
      <c r="R208">
        <v>1122</v>
      </c>
      <c r="S208" t="s">
        <v>892</v>
      </c>
      <c r="T208" s="6">
        <v>1050799.9437925734</v>
      </c>
      <c r="U208" s="7">
        <f>T208*DealsRawTable[[#This Row],[Contract_Years]]</f>
        <v>1050799.9437925734</v>
      </c>
      <c r="V208" s="8">
        <v>0.248</v>
      </c>
      <c r="W208" s="8">
        <v>0.23899999999999999</v>
      </c>
      <c r="X208" s="8">
        <v>-0.10199999999999999</v>
      </c>
      <c r="Y208" t="s">
        <v>878</v>
      </c>
      <c r="Z208" t="s">
        <v>893</v>
      </c>
      <c r="AA208" s="6">
        <v>799283.58686107735</v>
      </c>
      <c r="AB208" s="7">
        <f>DealsRawTable[[#This Row],[Final_Price_ACV]]*DealsRawTable[[#This Row],[Contract_Years]]</f>
        <v>799283.58686107735</v>
      </c>
      <c r="AC208" s="6">
        <v>372627.93673957128</v>
      </c>
      <c r="AD208" s="6">
        <v>426655.65012150607</v>
      </c>
      <c r="AE208" s="8">
        <v>0.53379758715808912</v>
      </c>
      <c r="AF208" t="s">
        <v>880</v>
      </c>
      <c r="AG208" t="s">
        <v>44</v>
      </c>
      <c r="AI208" t="s">
        <v>38</v>
      </c>
      <c r="AJ208" s="6">
        <v>799283.58686107735</v>
      </c>
      <c r="AK208" s="6">
        <v>426655.65012150607</v>
      </c>
      <c r="AL208" t="s">
        <v>881</v>
      </c>
      <c r="AM208">
        <f t="shared" si="6"/>
        <v>799658.76</v>
      </c>
      <c r="AN208">
        <f>DealsRawTable[[#This Row],[Validated_Annual_Final_Price]]*DealsRawTable[[#This Row],[Contract_Years]]</f>
        <v>799658.76</v>
      </c>
      <c r="AO208">
        <f>DealsRawTable[[#This Row],[Validated_Annual_Final_Price]]-DealsRawTable[[#This Row],[Cost_to_Serve]]</f>
        <v>427030.82326042873</v>
      </c>
      <c r="AP208" s="17">
        <f>DealsRawTable[[#This Row],[Validated_Grossprofit]]/DealsRawTable[[#This Row],[Validated_Annual_Final_Price]]</f>
        <v>0.53401631373415925</v>
      </c>
      <c r="AQ208" s="17">
        <v>799658.76</v>
      </c>
      <c r="AR208" s="17">
        <v>799658.76</v>
      </c>
      <c r="AS208" s="17">
        <v>427030.82326042873</v>
      </c>
      <c r="AT208" s="17">
        <v>0.53401631373415925</v>
      </c>
      <c r="AU208" s="17" t="str">
        <f t="shared" si="7"/>
        <v>20–25%</v>
      </c>
      <c r="AV208" s="17">
        <v>29</v>
      </c>
      <c r="AW208" s="17"/>
    </row>
    <row r="209" spans="1:49">
      <c r="A209" t="s">
        <v>1114</v>
      </c>
      <c r="B209" s="5">
        <v>45877</v>
      </c>
      <c r="C209" t="s">
        <v>188</v>
      </c>
      <c r="D209" t="s">
        <v>189</v>
      </c>
      <c r="E209" t="s">
        <v>585</v>
      </c>
      <c r="F209" t="s">
        <v>47</v>
      </c>
      <c r="G209" t="s">
        <v>34</v>
      </c>
      <c r="H209" t="s">
        <v>48</v>
      </c>
      <c r="I209" t="s">
        <v>115</v>
      </c>
      <c r="J209" t="s">
        <v>43</v>
      </c>
      <c r="K209" t="s">
        <v>38</v>
      </c>
      <c r="L209" s="5">
        <v>44197</v>
      </c>
      <c r="M209">
        <v>59</v>
      </c>
      <c r="N209" t="s">
        <v>433</v>
      </c>
      <c r="O209" t="s">
        <v>876</v>
      </c>
      <c r="Q209">
        <v>1</v>
      </c>
      <c r="R209">
        <v>1122</v>
      </c>
      <c r="S209" t="s">
        <v>900</v>
      </c>
      <c r="T209" s="6">
        <v>1114648.2647693874</v>
      </c>
      <c r="U209" s="7">
        <f>T209*DealsRawTable[[#This Row],[Contract_Years]]</f>
        <v>1114648.2647693874</v>
      </c>
      <c r="V209" s="8">
        <v>0.17</v>
      </c>
      <c r="W209" s="8">
        <v>0.16800000000000001</v>
      </c>
      <c r="X209" s="8">
        <v>-9.8000000000000004E-2</v>
      </c>
      <c r="Y209" t="s">
        <v>878</v>
      </c>
      <c r="Z209" t="s">
        <v>889</v>
      </c>
      <c r="AA209" s="6">
        <v>927329.75498612085</v>
      </c>
      <c r="AB209" s="7">
        <f>DealsRawTable[[#This Row],[Final_Price_ACV]]*DealsRawTable[[#This Row],[Contract_Years]]</f>
        <v>927329.75498612085</v>
      </c>
      <c r="AC209" s="6">
        <v>372608.94759528281</v>
      </c>
      <c r="AD209" s="6">
        <v>554720.80739083805</v>
      </c>
      <c r="AE209" s="8">
        <v>0.59819153263246738</v>
      </c>
      <c r="AF209" t="s">
        <v>457</v>
      </c>
      <c r="AG209" t="s">
        <v>38</v>
      </c>
      <c r="AI209" t="s">
        <v>38</v>
      </c>
      <c r="AJ209" s="6">
        <v>0</v>
      </c>
      <c r="AK209" s="6">
        <v>0</v>
      </c>
      <c r="AL209" t="s">
        <v>881</v>
      </c>
      <c r="AM209">
        <f t="shared" si="6"/>
        <v>927387.36</v>
      </c>
      <c r="AN209">
        <f>DealsRawTable[[#This Row],[Validated_Annual_Final_Price]]*DealsRawTable[[#This Row],[Contract_Years]]</f>
        <v>927387.36</v>
      </c>
      <c r="AO209">
        <f>DealsRawTable[[#This Row],[Validated_Annual_Final_Price]]-DealsRawTable[[#This Row],[Cost_to_Serve]]</f>
        <v>554778.41240471718</v>
      </c>
      <c r="AP209" s="17">
        <f>DealsRawTable[[#This Row],[Validated_Grossprofit]]/DealsRawTable[[#This Row],[Validated_Annual_Final_Price]]</f>
        <v>0.59821649111620112</v>
      </c>
      <c r="AQ209" s="17">
        <v>0</v>
      </c>
      <c r="AR209" s="17">
        <v>0</v>
      </c>
      <c r="AS209" s="17">
        <v>0</v>
      </c>
      <c r="AT209" s="17">
        <v>0</v>
      </c>
      <c r="AU209" s="17" t="str">
        <f t="shared" si="7"/>
        <v>15–20%</v>
      </c>
      <c r="AV209" s="17">
        <v>108</v>
      </c>
      <c r="AW209" s="17"/>
    </row>
    <row r="210" spans="1:49">
      <c r="A210" t="s">
        <v>1115</v>
      </c>
      <c r="B210" s="5">
        <v>45467</v>
      </c>
      <c r="C210" t="s">
        <v>190</v>
      </c>
      <c r="D210" t="s">
        <v>191</v>
      </c>
      <c r="E210" t="s">
        <v>586</v>
      </c>
      <c r="F210" t="s">
        <v>47</v>
      </c>
      <c r="G210" t="s">
        <v>47</v>
      </c>
      <c r="H210" t="s">
        <v>35</v>
      </c>
      <c r="I210" t="s">
        <v>36</v>
      </c>
      <c r="J210" t="s">
        <v>56</v>
      </c>
      <c r="K210" t="s">
        <v>44</v>
      </c>
      <c r="L210" s="5">
        <v>43466</v>
      </c>
      <c r="M210">
        <v>82</v>
      </c>
      <c r="N210" t="s">
        <v>424</v>
      </c>
      <c r="O210" t="s">
        <v>883</v>
      </c>
      <c r="P210" t="s">
        <v>985</v>
      </c>
      <c r="Q210">
        <v>1</v>
      </c>
      <c r="R210">
        <v>311</v>
      </c>
      <c r="S210" t="s">
        <v>900</v>
      </c>
      <c r="T210" s="6">
        <v>48033.777212208108</v>
      </c>
      <c r="U210" s="7">
        <f>T210*DealsRawTable[[#This Row],[Contract_Years]]</f>
        <v>48033.777212208108</v>
      </c>
      <c r="V210" s="8">
        <v>0.121</v>
      </c>
      <c r="W210" s="8">
        <v>0.11799999999999999</v>
      </c>
      <c r="X210" s="8">
        <v>-6.4000000000000001E-2</v>
      </c>
      <c r="Y210" t="s">
        <v>885</v>
      </c>
      <c r="Z210" t="s">
        <v>889</v>
      </c>
      <c r="AA210" s="6">
        <v>42351.70869757115</v>
      </c>
      <c r="AB210" s="7">
        <f>DealsRawTable[[#This Row],[Final_Price_ACV]]*DealsRawTable[[#This Row],[Contract_Years]]</f>
        <v>42351.70869757115</v>
      </c>
      <c r="AC210" s="6">
        <v>15440.372151648531</v>
      </c>
      <c r="AD210" s="6">
        <v>26911.336545922619</v>
      </c>
      <c r="AE210" s="8">
        <v>0.63542504832788416</v>
      </c>
      <c r="AF210" t="s">
        <v>880</v>
      </c>
      <c r="AH210" t="s">
        <v>44</v>
      </c>
      <c r="AI210" t="s">
        <v>38</v>
      </c>
      <c r="AJ210" s="6">
        <v>42351.70869757115</v>
      </c>
      <c r="AK210" s="6">
        <v>26911.336545922619</v>
      </c>
      <c r="AL210" t="s">
        <v>886</v>
      </c>
      <c r="AM210">
        <f t="shared" si="6"/>
        <v>42365.79</v>
      </c>
      <c r="AN210">
        <f>DealsRawTable[[#This Row],[Validated_Annual_Final_Price]]*DealsRawTable[[#This Row],[Contract_Years]]</f>
        <v>42365.79</v>
      </c>
      <c r="AO210">
        <f>DealsRawTable[[#This Row],[Validated_Annual_Final_Price]]-DealsRawTable[[#This Row],[Cost_to_Serve]]</f>
        <v>26925.41784835147</v>
      </c>
      <c r="AP210" s="17">
        <f>DealsRawTable[[#This Row],[Validated_Grossprofit]]/DealsRawTable[[#This Row],[Validated_Annual_Final_Price]]</f>
        <v>0.63554622369490732</v>
      </c>
      <c r="AQ210" s="17">
        <v>42365.79</v>
      </c>
      <c r="AR210" s="17">
        <v>42365.79</v>
      </c>
      <c r="AS210" s="17">
        <v>26925.41784835147</v>
      </c>
      <c r="AT210" s="17">
        <v>0.63554622369490732</v>
      </c>
      <c r="AU210" s="17" t="str">
        <f t="shared" si="7"/>
        <v>10–15%</v>
      </c>
      <c r="AV210" s="17">
        <v>113</v>
      </c>
      <c r="AW210" s="17"/>
    </row>
    <row r="211" spans="1:49">
      <c r="A211" t="s">
        <v>1116</v>
      </c>
      <c r="B211" s="5">
        <v>45585</v>
      </c>
      <c r="C211" t="s">
        <v>190</v>
      </c>
      <c r="D211" t="s">
        <v>191</v>
      </c>
      <c r="E211" t="s">
        <v>586</v>
      </c>
      <c r="F211" t="s">
        <v>47</v>
      </c>
      <c r="G211" t="s">
        <v>47</v>
      </c>
      <c r="H211" t="s">
        <v>35</v>
      </c>
      <c r="I211" t="s">
        <v>36</v>
      </c>
      <c r="J211" t="s">
        <v>56</v>
      </c>
      <c r="K211" t="s">
        <v>44</v>
      </c>
      <c r="L211" s="5">
        <v>43466</v>
      </c>
      <c r="M211">
        <v>82</v>
      </c>
      <c r="N211" t="s">
        <v>424</v>
      </c>
      <c r="O211" t="s">
        <v>876</v>
      </c>
      <c r="Q211">
        <v>1</v>
      </c>
      <c r="R211">
        <v>311</v>
      </c>
      <c r="S211" t="s">
        <v>888</v>
      </c>
      <c r="T211" s="6">
        <v>49818.559895462509</v>
      </c>
      <c r="U211" s="7">
        <f>T211*DealsRawTable[[#This Row],[Contract_Years]]</f>
        <v>49818.559895462509</v>
      </c>
      <c r="V211" s="8">
        <v>0.186</v>
      </c>
      <c r="W211" s="8">
        <v>0.16800000000000001</v>
      </c>
      <c r="X211" s="8">
        <v>-3.6999999999999998E-2</v>
      </c>
      <c r="Y211" t="s">
        <v>905</v>
      </c>
      <c r="Z211" t="s">
        <v>889</v>
      </c>
      <c r="AA211" s="6">
        <v>41431.854120656979</v>
      </c>
      <c r="AB211" s="7">
        <f>DealsRawTable[[#This Row],[Final_Price_ACV]]*DealsRawTable[[#This Row],[Contract_Years]]</f>
        <v>41431.854120656979</v>
      </c>
      <c r="AC211" s="6">
        <v>13813.571259783615</v>
      </c>
      <c r="AD211" s="6">
        <v>27618.282860873362</v>
      </c>
      <c r="AE211" s="8">
        <v>0.66659538770444537</v>
      </c>
      <c r="AF211" t="s">
        <v>880</v>
      </c>
      <c r="AG211" t="s">
        <v>44</v>
      </c>
      <c r="AI211" t="s">
        <v>38</v>
      </c>
      <c r="AJ211" s="6">
        <v>41431.854120656979</v>
      </c>
      <c r="AK211" s="6">
        <v>27618.282860873362</v>
      </c>
      <c r="AL211" t="s">
        <v>881</v>
      </c>
      <c r="AM211">
        <f t="shared" si="6"/>
        <v>41449.040000000001</v>
      </c>
      <c r="AN211">
        <f>DealsRawTable[[#This Row],[Validated_Annual_Final_Price]]*DealsRawTable[[#This Row],[Contract_Years]]</f>
        <v>41449.040000000001</v>
      </c>
      <c r="AO211">
        <f>DealsRawTable[[#This Row],[Validated_Annual_Final_Price]]-DealsRawTable[[#This Row],[Cost_to_Serve]]</f>
        <v>27635.468740216384</v>
      </c>
      <c r="AP211" s="17">
        <f>DealsRawTable[[#This Row],[Validated_Grossprofit]]/DealsRawTable[[#This Row],[Validated_Annual_Final_Price]]</f>
        <v>0.66673362616399279</v>
      </c>
      <c r="AQ211" s="17">
        <v>41449.040000000001</v>
      </c>
      <c r="AR211" s="17">
        <v>41449.040000000001</v>
      </c>
      <c r="AS211" s="17">
        <v>27635.468740216384</v>
      </c>
      <c r="AT211" s="17">
        <v>0.66673362616399279</v>
      </c>
      <c r="AU211" s="17" t="str">
        <f t="shared" si="7"/>
        <v>15–20%</v>
      </c>
      <c r="AV211" s="17">
        <v>108</v>
      </c>
      <c r="AW211" s="17"/>
    </row>
    <row r="212" spans="1:49">
      <c r="A212" t="s">
        <v>1117</v>
      </c>
      <c r="B212" s="5">
        <v>45950</v>
      </c>
      <c r="C212" t="s">
        <v>190</v>
      </c>
      <c r="D212" t="s">
        <v>191</v>
      </c>
      <c r="E212" t="s">
        <v>586</v>
      </c>
      <c r="F212" t="s">
        <v>47</v>
      </c>
      <c r="G212" t="s">
        <v>47</v>
      </c>
      <c r="H212" t="s">
        <v>35</v>
      </c>
      <c r="I212" t="s">
        <v>36</v>
      </c>
      <c r="J212" t="s">
        <v>56</v>
      </c>
      <c r="K212" t="s">
        <v>44</v>
      </c>
      <c r="L212" s="5">
        <v>43466</v>
      </c>
      <c r="M212">
        <v>82</v>
      </c>
      <c r="N212" t="s">
        <v>424</v>
      </c>
      <c r="O212" t="s">
        <v>876</v>
      </c>
      <c r="Q212">
        <v>1</v>
      </c>
      <c r="R212">
        <v>311</v>
      </c>
      <c r="S212" t="s">
        <v>907</v>
      </c>
      <c r="T212" s="6">
        <v>51321.642030662217</v>
      </c>
      <c r="U212" s="7">
        <f>T212*DealsRawTable[[#This Row],[Contract_Years]]</f>
        <v>51321.642030662217</v>
      </c>
      <c r="V212" s="8">
        <v>0.157</v>
      </c>
      <c r="W212" s="8">
        <v>0.13200000000000001</v>
      </c>
      <c r="X212" s="8">
        <v>-4.4999999999999998E-2</v>
      </c>
      <c r="Y212" t="s">
        <v>885</v>
      </c>
      <c r="Z212" t="s">
        <v>889</v>
      </c>
      <c r="AA212" s="6">
        <v>44558.478584936012</v>
      </c>
      <c r="AB212" s="7">
        <f>DealsRawTable[[#This Row],[Final_Price_ACV]]*DealsRawTable[[#This Row],[Contract_Years]]</f>
        <v>44558.478584936012</v>
      </c>
      <c r="AC212" s="6">
        <v>14088.709187789804</v>
      </c>
      <c r="AD212" s="6">
        <v>30469.769397146207</v>
      </c>
      <c r="AE212" s="8">
        <v>0.68381529991123158</v>
      </c>
      <c r="AF212" t="s">
        <v>457</v>
      </c>
      <c r="AG212" t="s">
        <v>38</v>
      </c>
      <c r="AI212" t="s">
        <v>38</v>
      </c>
      <c r="AJ212" s="6">
        <v>0</v>
      </c>
      <c r="AK212" s="6">
        <v>0</v>
      </c>
      <c r="AL212" t="s">
        <v>881</v>
      </c>
      <c r="AM212">
        <f t="shared" si="6"/>
        <v>44547.19</v>
      </c>
      <c r="AN212">
        <f>DealsRawTable[[#This Row],[Validated_Annual_Final_Price]]*DealsRawTable[[#This Row],[Contract_Years]]</f>
        <v>44547.19</v>
      </c>
      <c r="AO212">
        <f>DealsRawTable[[#This Row],[Validated_Annual_Final_Price]]-DealsRawTable[[#This Row],[Cost_to_Serve]]</f>
        <v>30458.480812210197</v>
      </c>
      <c r="AP212" s="17">
        <f>DealsRawTable[[#This Row],[Validated_Grossprofit]]/DealsRawTable[[#This Row],[Validated_Annual_Final_Price]]</f>
        <v>0.68373517638733661</v>
      </c>
      <c r="AQ212" s="17">
        <v>0</v>
      </c>
      <c r="AR212" s="17">
        <v>0</v>
      </c>
      <c r="AS212" s="17">
        <v>0</v>
      </c>
      <c r="AT212" s="17">
        <v>0</v>
      </c>
      <c r="AU212" s="17" t="str">
        <f t="shared" si="7"/>
        <v>10–15%</v>
      </c>
      <c r="AV212" s="17">
        <v>113</v>
      </c>
      <c r="AW212" s="17"/>
    </row>
    <row r="213" spans="1:49">
      <c r="A213" t="s">
        <v>1118</v>
      </c>
      <c r="B213" s="5">
        <v>45437</v>
      </c>
      <c r="C213" t="s">
        <v>190</v>
      </c>
      <c r="D213" t="s">
        <v>191</v>
      </c>
      <c r="E213" t="s">
        <v>587</v>
      </c>
      <c r="F213" t="s">
        <v>34</v>
      </c>
      <c r="G213" t="s">
        <v>47</v>
      </c>
      <c r="H213" t="s">
        <v>35</v>
      </c>
      <c r="I213" t="s">
        <v>36</v>
      </c>
      <c r="J213" t="s">
        <v>56</v>
      </c>
      <c r="K213" t="s">
        <v>44</v>
      </c>
      <c r="L213" s="5">
        <v>43466</v>
      </c>
      <c r="M213">
        <v>82</v>
      </c>
      <c r="N213" t="s">
        <v>433</v>
      </c>
      <c r="O213" t="s">
        <v>883</v>
      </c>
      <c r="P213" t="s">
        <v>899</v>
      </c>
      <c r="Q213">
        <v>1</v>
      </c>
      <c r="R213">
        <v>241</v>
      </c>
      <c r="S213" t="s">
        <v>900</v>
      </c>
      <c r="T213" s="6">
        <v>382139.5091985013</v>
      </c>
      <c r="U213" s="7">
        <f>T213*DealsRawTable[[#This Row],[Contract_Years]]</f>
        <v>382139.5091985013</v>
      </c>
      <c r="V213" s="8">
        <v>0.12</v>
      </c>
      <c r="W213" s="8">
        <v>0.113</v>
      </c>
      <c r="X213" s="8">
        <v>-5.8000000000000003E-2</v>
      </c>
      <c r="Y213" t="s">
        <v>885</v>
      </c>
      <c r="Z213" t="s">
        <v>889</v>
      </c>
      <c r="AA213" s="6">
        <v>338789.33425424184</v>
      </c>
      <c r="AB213" s="7">
        <f>DealsRawTable[[#This Row],[Final_Price_ACV]]*DealsRawTable[[#This Row],[Contract_Years]]</f>
        <v>338789.33425424184</v>
      </c>
      <c r="AC213" s="6">
        <v>136892.79523361704</v>
      </c>
      <c r="AD213" s="6">
        <v>201896.5390206248</v>
      </c>
      <c r="AE213" s="8">
        <v>0.59593534567742057</v>
      </c>
      <c r="AF213" t="s">
        <v>457</v>
      </c>
      <c r="AH213" t="s">
        <v>38</v>
      </c>
      <c r="AI213" t="s">
        <v>38</v>
      </c>
      <c r="AJ213" s="6">
        <v>0</v>
      </c>
      <c r="AK213" s="6">
        <v>0</v>
      </c>
      <c r="AL213" t="s">
        <v>886</v>
      </c>
      <c r="AM213">
        <f t="shared" si="6"/>
        <v>338957.74</v>
      </c>
      <c r="AN213">
        <f>DealsRawTable[[#This Row],[Validated_Annual_Final_Price]]*DealsRawTable[[#This Row],[Contract_Years]]</f>
        <v>338957.74</v>
      </c>
      <c r="AO213">
        <f>DealsRawTable[[#This Row],[Validated_Annual_Final_Price]]-DealsRawTable[[#This Row],[Cost_to_Serve]]</f>
        <v>202064.94476638295</v>
      </c>
      <c r="AP213" s="17">
        <f>DealsRawTable[[#This Row],[Validated_Grossprofit]]/DealsRawTable[[#This Row],[Validated_Annual_Final_Price]]</f>
        <v>0.59613609875491547</v>
      </c>
      <c r="AQ213" s="17">
        <v>0</v>
      </c>
      <c r="AR213" s="17">
        <v>0</v>
      </c>
      <c r="AS213" s="17">
        <v>0</v>
      </c>
      <c r="AT213" s="17">
        <v>0</v>
      </c>
      <c r="AU213" s="17" t="str">
        <f t="shared" si="7"/>
        <v>10–15%</v>
      </c>
      <c r="AV213" s="17">
        <v>113</v>
      </c>
      <c r="AW213" s="17"/>
    </row>
    <row r="214" spans="1:49">
      <c r="A214" t="s">
        <v>1119</v>
      </c>
      <c r="B214" s="5">
        <v>45628</v>
      </c>
      <c r="C214" t="s">
        <v>190</v>
      </c>
      <c r="D214" t="s">
        <v>191</v>
      </c>
      <c r="E214" t="s">
        <v>587</v>
      </c>
      <c r="F214" t="s">
        <v>34</v>
      </c>
      <c r="G214" t="s">
        <v>47</v>
      </c>
      <c r="H214" t="s">
        <v>35</v>
      </c>
      <c r="I214" t="s">
        <v>36</v>
      </c>
      <c r="J214" t="s">
        <v>56</v>
      </c>
      <c r="K214" t="s">
        <v>44</v>
      </c>
      <c r="L214" s="5">
        <v>43466</v>
      </c>
      <c r="M214">
        <v>82</v>
      </c>
      <c r="N214" t="s">
        <v>433</v>
      </c>
      <c r="O214" t="s">
        <v>876</v>
      </c>
      <c r="Q214">
        <v>1</v>
      </c>
      <c r="R214">
        <v>183</v>
      </c>
      <c r="S214" t="s">
        <v>877</v>
      </c>
      <c r="T214" s="6">
        <v>307202.21541123634</v>
      </c>
      <c r="U214" s="7">
        <f>T214*DealsRawTable[[#This Row],[Contract_Years]]</f>
        <v>307202.21541123634</v>
      </c>
      <c r="V214" s="8">
        <v>7.2999999999999995E-2</v>
      </c>
      <c r="W214" s="8">
        <v>6.6000000000000003E-2</v>
      </c>
      <c r="X214" s="8">
        <v>-2.8000000000000001E-2</v>
      </c>
      <c r="Y214" t="s">
        <v>902</v>
      </c>
      <c r="Z214" t="s">
        <v>879</v>
      </c>
      <c r="AA214" s="6">
        <v>287079.84683204978</v>
      </c>
      <c r="AB214" s="7">
        <f>DealsRawTable[[#This Row],[Final_Price_ACV]]*DealsRawTable[[#This Row],[Contract_Years]]</f>
        <v>287079.84683204978</v>
      </c>
      <c r="AC214" s="6">
        <v>114504.76997377793</v>
      </c>
      <c r="AD214" s="6">
        <v>172575.07685827184</v>
      </c>
      <c r="AE214" s="8">
        <v>0.60113964377037366</v>
      </c>
      <c r="AF214" t="s">
        <v>457</v>
      </c>
      <c r="AG214" t="s">
        <v>38</v>
      </c>
      <c r="AI214" t="s">
        <v>38</v>
      </c>
      <c r="AJ214" s="6">
        <v>0</v>
      </c>
      <c r="AK214" s="6">
        <v>0</v>
      </c>
      <c r="AL214" t="s">
        <v>881</v>
      </c>
      <c r="AM214">
        <f t="shared" si="6"/>
        <v>286926.87</v>
      </c>
      <c r="AN214">
        <f>DealsRawTable[[#This Row],[Validated_Annual_Final_Price]]*DealsRawTable[[#This Row],[Contract_Years]]</f>
        <v>286926.87</v>
      </c>
      <c r="AO214">
        <f>DealsRawTable[[#This Row],[Validated_Annual_Final_Price]]-DealsRawTable[[#This Row],[Cost_to_Serve]]</f>
        <v>172422.10002622206</v>
      </c>
      <c r="AP214" s="17">
        <f>DealsRawTable[[#This Row],[Validated_Grossprofit]]/DealsRawTable[[#This Row],[Validated_Annual_Final_Price]]</f>
        <v>0.60092698890913232</v>
      </c>
      <c r="AQ214" s="17">
        <v>0</v>
      </c>
      <c r="AR214" s="17">
        <v>0</v>
      </c>
      <c r="AS214" s="17">
        <v>0</v>
      </c>
      <c r="AT214" s="17">
        <v>0</v>
      </c>
      <c r="AU214" s="17" t="str">
        <f t="shared" si="7"/>
        <v>5–10%</v>
      </c>
      <c r="AV214" s="17">
        <v>116</v>
      </c>
      <c r="AW214" s="17"/>
    </row>
    <row r="215" spans="1:49">
      <c r="A215" t="s">
        <v>1120</v>
      </c>
      <c r="B215" s="5">
        <v>45502</v>
      </c>
      <c r="C215" t="s">
        <v>192</v>
      </c>
      <c r="D215" t="s">
        <v>193</v>
      </c>
      <c r="E215" t="s">
        <v>588</v>
      </c>
      <c r="F215" t="s">
        <v>475</v>
      </c>
      <c r="G215" t="s">
        <v>34</v>
      </c>
      <c r="H215" t="s">
        <v>35</v>
      </c>
      <c r="I215" t="s">
        <v>36</v>
      </c>
      <c r="J215" t="s">
        <v>56</v>
      </c>
      <c r="K215" t="s">
        <v>38</v>
      </c>
      <c r="L215" s="5">
        <v>44470</v>
      </c>
      <c r="M215">
        <v>78</v>
      </c>
      <c r="N215" t="s">
        <v>429</v>
      </c>
      <c r="O215" t="s">
        <v>891</v>
      </c>
      <c r="Q215">
        <v>1</v>
      </c>
      <c r="R215">
        <v>244</v>
      </c>
      <c r="S215" t="s">
        <v>896</v>
      </c>
      <c r="T215" s="6">
        <v>98723.049214531595</v>
      </c>
      <c r="U215" s="7">
        <f>T215*DealsRawTable[[#This Row],[Contract_Years]]</f>
        <v>98723.049214531595</v>
      </c>
      <c r="V215" s="8">
        <v>0.14099999999999999</v>
      </c>
      <c r="W215" s="8">
        <v>9.8000000000000004E-2</v>
      </c>
      <c r="X215" s="8">
        <v>0.01</v>
      </c>
      <c r="Y215" t="s">
        <v>905</v>
      </c>
      <c r="Z215" t="s">
        <v>879</v>
      </c>
      <c r="AA215" s="6">
        <v>89092.084191075337</v>
      </c>
      <c r="AB215" s="7">
        <f>DealsRawTable[[#This Row],[Final_Price_ACV]]*DealsRawTable[[#This Row],[Contract_Years]]</f>
        <v>89092.084191075337</v>
      </c>
      <c r="AC215" s="6">
        <v>34208.772598559604</v>
      </c>
      <c r="AD215" s="6">
        <v>54883.311592515733</v>
      </c>
      <c r="AE215" s="8">
        <v>0.61602904557500049</v>
      </c>
      <c r="AF215" t="s">
        <v>457</v>
      </c>
      <c r="AI215" t="s">
        <v>38</v>
      </c>
      <c r="AJ215" s="6">
        <v>0</v>
      </c>
      <c r="AK215" s="6">
        <v>0</v>
      </c>
      <c r="AL215" t="s">
        <v>894</v>
      </c>
      <c r="AM215">
        <f t="shared" si="6"/>
        <v>89048.19</v>
      </c>
      <c r="AN215">
        <f>DealsRawTable[[#This Row],[Validated_Annual_Final_Price]]*DealsRawTable[[#This Row],[Contract_Years]]</f>
        <v>89048.19</v>
      </c>
      <c r="AO215">
        <f>DealsRawTable[[#This Row],[Validated_Annual_Final_Price]]-DealsRawTable[[#This Row],[Cost_to_Serve]]</f>
        <v>54839.417401440398</v>
      </c>
      <c r="AP215" s="17">
        <f>DealsRawTable[[#This Row],[Validated_Grossprofit]]/DealsRawTable[[#This Row],[Validated_Annual_Final_Price]]</f>
        <v>0.61583977620926822</v>
      </c>
      <c r="AQ215" s="17">
        <v>0</v>
      </c>
      <c r="AR215" s="17">
        <v>0</v>
      </c>
      <c r="AS215" s="17">
        <v>0</v>
      </c>
      <c r="AT215" s="17">
        <v>0</v>
      </c>
      <c r="AU215" s="17" t="str">
        <f t="shared" si="7"/>
        <v>5–10%</v>
      </c>
      <c r="AV215" s="17">
        <v>116</v>
      </c>
      <c r="AW215" s="17"/>
    </row>
    <row r="216" spans="1:49">
      <c r="A216" t="s">
        <v>1121</v>
      </c>
      <c r="B216" s="5">
        <v>45907</v>
      </c>
      <c r="C216" t="s">
        <v>192</v>
      </c>
      <c r="D216" t="s">
        <v>193</v>
      </c>
      <c r="E216" t="s">
        <v>588</v>
      </c>
      <c r="F216" t="s">
        <v>475</v>
      </c>
      <c r="G216" t="s">
        <v>34</v>
      </c>
      <c r="H216" t="s">
        <v>35</v>
      </c>
      <c r="I216" t="s">
        <v>36</v>
      </c>
      <c r="J216" t="s">
        <v>56</v>
      </c>
      <c r="K216" t="s">
        <v>38</v>
      </c>
      <c r="L216" s="5">
        <v>44470</v>
      </c>
      <c r="M216">
        <v>78</v>
      </c>
      <c r="N216" t="s">
        <v>429</v>
      </c>
      <c r="O216" t="s">
        <v>915</v>
      </c>
      <c r="Q216">
        <v>1</v>
      </c>
      <c r="R216">
        <v>244</v>
      </c>
      <c r="S216" t="s">
        <v>896</v>
      </c>
      <c r="T216" s="6">
        <v>98723.049214531595</v>
      </c>
      <c r="U216" s="7">
        <f>T216*DealsRawTable[[#This Row],[Contract_Years]]</f>
        <v>98723.049214531595</v>
      </c>
      <c r="V216" s="8">
        <v>0.191</v>
      </c>
      <c r="W216" s="8">
        <v>0.17899999999999999</v>
      </c>
      <c r="X216" s="8">
        <v>-7.8E-2</v>
      </c>
      <c r="Y216" t="s">
        <v>878</v>
      </c>
      <c r="Z216" t="s">
        <v>889</v>
      </c>
      <c r="AA216" s="6">
        <v>81012.28681227268</v>
      </c>
      <c r="AB216" s="7">
        <f>DealsRawTable[[#This Row],[Final_Price_ACV]]*DealsRawTable[[#This Row],[Contract_Years]]</f>
        <v>81012.28681227268</v>
      </c>
      <c r="AC216" s="6">
        <v>35742.81929245931</v>
      </c>
      <c r="AD216" s="6">
        <v>45269.46751981337</v>
      </c>
      <c r="AE216" s="8">
        <v>0.55879755159504307</v>
      </c>
      <c r="AF216" t="s">
        <v>880</v>
      </c>
      <c r="AI216" t="s">
        <v>44</v>
      </c>
      <c r="AJ216" s="6">
        <v>81012.28681227268</v>
      </c>
      <c r="AK216" s="6">
        <v>45269.46751981337</v>
      </c>
      <c r="AL216" t="s">
        <v>934</v>
      </c>
      <c r="AM216">
        <f t="shared" si="6"/>
        <v>81051.62</v>
      </c>
      <c r="AN216">
        <f>DealsRawTable[[#This Row],[Validated_Annual_Final_Price]]*DealsRawTable[[#This Row],[Contract_Years]]</f>
        <v>81051.62</v>
      </c>
      <c r="AO216">
        <f>DealsRawTable[[#This Row],[Validated_Annual_Final_Price]]-DealsRawTable[[#This Row],[Cost_to_Serve]]</f>
        <v>45308.800707540686</v>
      </c>
      <c r="AP216" s="17">
        <f>DealsRawTable[[#This Row],[Validated_Grossprofit]]/DealsRawTable[[#This Row],[Validated_Annual_Final_Price]]</f>
        <v>0.55901166080999598</v>
      </c>
      <c r="AQ216" s="17">
        <v>81051.62</v>
      </c>
      <c r="AR216" s="17">
        <v>81051.62</v>
      </c>
      <c r="AS216" s="17">
        <v>45308.800707540686</v>
      </c>
      <c r="AT216" s="17">
        <v>0.55901166080999598</v>
      </c>
      <c r="AU216" s="17" t="str">
        <f t="shared" si="7"/>
        <v>15–20%</v>
      </c>
      <c r="AV216" s="17">
        <v>108</v>
      </c>
      <c r="AW216" s="17"/>
    </row>
    <row r="217" spans="1:49">
      <c r="A217" t="s">
        <v>1122</v>
      </c>
      <c r="B217" s="5">
        <v>45561</v>
      </c>
      <c r="C217" t="s">
        <v>192</v>
      </c>
      <c r="D217" t="s">
        <v>193</v>
      </c>
      <c r="E217" t="s">
        <v>589</v>
      </c>
      <c r="F217" t="s">
        <v>466</v>
      </c>
      <c r="G217" t="s">
        <v>34</v>
      </c>
      <c r="H217" t="s">
        <v>35</v>
      </c>
      <c r="I217" t="s">
        <v>36</v>
      </c>
      <c r="J217" t="s">
        <v>56</v>
      </c>
      <c r="K217" t="s">
        <v>38</v>
      </c>
      <c r="L217" s="5">
        <v>44470</v>
      </c>
      <c r="M217">
        <v>78</v>
      </c>
      <c r="N217" t="s">
        <v>429</v>
      </c>
      <c r="O217" t="s">
        <v>891</v>
      </c>
      <c r="Q217">
        <v>3</v>
      </c>
      <c r="R217">
        <v>126</v>
      </c>
      <c r="S217" t="s">
        <v>888</v>
      </c>
      <c r="T217" s="6">
        <v>104084.5002308804</v>
      </c>
      <c r="U217" s="7">
        <f>T217*DealsRawTable[[#This Row],[Contract_Years]]</f>
        <v>312253.50069264119</v>
      </c>
      <c r="V217" s="8">
        <v>0.16400000000000001</v>
      </c>
      <c r="W217" s="8">
        <v>0.14499999999999999</v>
      </c>
      <c r="X217" s="8">
        <v>-3.3000000000000002E-2</v>
      </c>
      <c r="Y217" t="s">
        <v>909</v>
      </c>
      <c r="Z217" t="s">
        <v>889</v>
      </c>
      <c r="AA217" s="6">
        <v>88986.945934349889</v>
      </c>
      <c r="AB217" s="7">
        <f>DealsRawTable[[#This Row],[Final_Price_ACV]]*DealsRawTable[[#This Row],[Contract_Years]]</f>
        <v>266960.83780304965</v>
      </c>
      <c r="AC217" s="6">
        <v>39197.782473142448</v>
      </c>
      <c r="AD217" s="6">
        <v>49789.163461207441</v>
      </c>
      <c r="AE217" s="8">
        <v>0.55951086913286574</v>
      </c>
      <c r="AF217" t="s">
        <v>457</v>
      </c>
      <c r="AI217" t="s">
        <v>38</v>
      </c>
      <c r="AJ217" s="6">
        <v>0</v>
      </c>
      <c r="AK217" s="6">
        <v>0</v>
      </c>
      <c r="AL217" t="s">
        <v>894</v>
      </c>
      <c r="AM217">
        <f t="shared" si="6"/>
        <v>88992.25</v>
      </c>
      <c r="AN217">
        <f>DealsRawTable[[#This Row],[Validated_Annual_Final_Price]]*DealsRawTable[[#This Row],[Contract_Years]]</f>
        <v>266976.75</v>
      </c>
      <c r="AO217">
        <f>DealsRawTable[[#This Row],[Validated_Annual_Final_Price]]-DealsRawTable[[#This Row],[Cost_to_Serve]]</f>
        <v>49794.467526857552</v>
      </c>
      <c r="AP217" s="17">
        <f>DealsRawTable[[#This Row],[Validated_Grossprofit]]/DealsRawTable[[#This Row],[Validated_Annual_Final_Price]]</f>
        <v>0.55953712291640623</v>
      </c>
      <c r="AQ217" s="17">
        <v>0</v>
      </c>
      <c r="AR217" s="17">
        <v>0</v>
      </c>
      <c r="AS217" s="17">
        <v>0</v>
      </c>
      <c r="AT217" s="17">
        <v>0</v>
      </c>
      <c r="AU217" s="17" t="str">
        <f t="shared" si="7"/>
        <v>10–15%</v>
      </c>
      <c r="AV217" s="17">
        <v>113</v>
      </c>
      <c r="AW217" s="17"/>
    </row>
    <row r="218" spans="1:49">
      <c r="A218" t="s">
        <v>1123</v>
      </c>
      <c r="B218" s="5">
        <v>45794</v>
      </c>
      <c r="C218" t="s">
        <v>194</v>
      </c>
      <c r="D218" t="s">
        <v>195</v>
      </c>
      <c r="E218" t="s">
        <v>591</v>
      </c>
      <c r="F218" t="s">
        <v>47</v>
      </c>
      <c r="G218" t="s">
        <v>69</v>
      </c>
      <c r="H218" t="s">
        <v>70</v>
      </c>
      <c r="I218" t="s">
        <v>71</v>
      </c>
      <c r="J218" t="s">
        <v>37</v>
      </c>
      <c r="K218" t="s">
        <v>38</v>
      </c>
      <c r="L218" s="5">
        <v>44652</v>
      </c>
      <c r="M218">
        <v>53</v>
      </c>
      <c r="N218" t="s">
        <v>424</v>
      </c>
      <c r="O218" t="s">
        <v>876</v>
      </c>
      <c r="Q218">
        <v>3</v>
      </c>
      <c r="R218">
        <v>38</v>
      </c>
      <c r="S218" t="s">
        <v>877</v>
      </c>
      <c r="T218" s="6">
        <v>22340.015410176042</v>
      </c>
      <c r="U218" s="7">
        <f>T218*DealsRawTable[[#This Row],[Contract_Years]]</f>
        <v>67020.046230528125</v>
      </c>
      <c r="V218" s="8">
        <v>0.13</v>
      </c>
      <c r="W218" s="8">
        <v>0.11</v>
      </c>
      <c r="X218" s="8">
        <v>-3.1E-2</v>
      </c>
      <c r="Y218" t="s">
        <v>878</v>
      </c>
      <c r="Z218" t="s">
        <v>889</v>
      </c>
      <c r="AA218" s="6">
        <v>19891.930272292178</v>
      </c>
      <c r="AB218" s="7">
        <f>DealsRawTable[[#This Row],[Final_Price_ACV]]*DealsRawTable[[#This Row],[Contract_Years]]</f>
        <v>59675.790816876535</v>
      </c>
      <c r="AC218" s="6">
        <v>5337.0365126444858</v>
      </c>
      <c r="AD218" s="6">
        <v>14554.893759647694</v>
      </c>
      <c r="AE218" s="8">
        <v>0.73169841038109118</v>
      </c>
      <c r="AF218" t="s">
        <v>880</v>
      </c>
      <c r="AG218" t="s">
        <v>44</v>
      </c>
      <c r="AI218" t="s">
        <v>38</v>
      </c>
      <c r="AJ218" s="6">
        <v>19891.930272292178</v>
      </c>
      <c r="AK218" s="6">
        <v>14554.893759647694</v>
      </c>
      <c r="AL218" t="s">
        <v>881</v>
      </c>
      <c r="AM218">
        <f t="shared" si="6"/>
        <v>19882.61</v>
      </c>
      <c r="AN218">
        <f>DealsRawTable[[#This Row],[Validated_Annual_Final_Price]]*DealsRawTable[[#This Row],[Contract_Years]]</f>
        <v>59647.83</v>
      </c>
      <c r="AO218">
        <f>DealsRawTable[[#This Row],[Validated_Annual_Final_Price]]-DealsRawTable[[#This Row],[Cost_to_Serve]]</f>
        <v>14545.573487355516</v>
      </c>
      <c r="AP218" s="17">
        <f>DealsRawTable[[#This Row],[Validated_Grossprofit]]/DealsRawTable[[#This Row],[Validated_Annual_Final_Price]]</f>
        <v>0.73157263997812738</v>
      </c>
      <c r="AQ218" s="17">
        <v>19882.61</v>
      </c>
      <c r="AR218" s="17">
        <v>59647.83</v>
      </c>
      <c r="AS218" s="17">
        <v>14545.573487355516</v>
      </c>
      <c r="AT218" s="17">
        <v>0.73157263997812738</v>
      </c>
      <c r="AU218" s="17" t="str">
        <f t="shared" si="7"/>
        <v>10–15%</v>
      </c>
      <c r="AV218" s="17">
        <v>113</v>
      </c>
      <c r="AW218" s="17"/>
    </row>
    <row r="219" spans="1:49">
      <c r="A219" t="s">
        <v>1124</v>
      </c>
      <c r="B219" s="5">
        <v>45905</v>
      </c>
      <c r="C219" t="s">
        <v>196</v>
      </c>
      <c r="D219" t="s">
        <v>197</v>
      </c>
      <c r="E219" t="s">
        <v>592</v>
      </c>
      <c r="F219" t="s">
        <v>47</v>
      </c>
      <c r="G219" t="s">
        <v>47</v>
      </c>
      <c r="H219" t="s">
        <v>48</v>
      </c>
      <c r="I219" t="s">
        <v>49</v>
      </c>
      <c r="J219" t="s">
        <v>56</v>
      </c>
      <c r="K219" t="s">
        <v>38</v>
      </c>
      <c r="L219" s="5">
        <v>44805</v>
      </c>
      <c r="M219">
        <v>69</v>
      </c>
      <c r="N219" t="s">
        <v>424</v>
      </c>
      <c r="O219" t="s">
        <v>876</v>
      </c>
      <c r="Q219">
        <v>3</v>
      </c>
      <c r="R219">
        <v>322</v>
      </c>
      <c r="S219" t="s">
        <v>892</v>
      </c>
      <c r="T219" s="6">
        <v>40138.323458376166</v>
      </c>
      <c r="U219" s="7">
        <f>T219*DealsRawTable[[#This Row],[Contract_Years]]</f>
        <v>120414.9703751285</v>
      </c>
      <c r="V219" s="8">
        <v>8.4000000000000005E-2</v>
      </c>
      <c r="W219" s="8">
        <v>7.3999999999999996E-2</v>
      </c>
      <c r="X219" s="8">
        <v>2E-3</v>
      </c>
      <c r="Y219" t="s">
        <v>878</v>
      </c>
      <c r="Z219" t="s">
        <v>879</v>
      </c>
      <c r="AA219" s="6">
        <v>37168.734620594958</v>
      </c>
      <c r="AB219" s="7">
        <f>DealsRawTable[[#This Row],[Final_Price_ACV]]*DealsRawTable[[#This Row],[Contract_Years]]</f>
        <v>111506.20386178487</v>
      </c>
      <c r="AC219" s="6">
        <v>11662.282630973499</v>
      </c>
      <c r="AD219" s="6">
        <v>25506.451989621459</v>
      </c>
      <c r="AE219" s="8">
        <v>0.68623406876726167</v>
      </c>
      <c r="AF219" t="s">
        <v>880</v>
      </c>
      <c r="AG219" t="s">
        <v>44</v>
      </c>
      <c r="AI219" t="s">
        <v>38</v>
      </c>
      <c r="AJ219" s="6">
        <v>37168.734620594958</v>
      </c>
      <c r="AK219" s="6">
        <v>25506.451989621459</v>
      </c>
      <c r="AL219" t="s">
        <v>881</v>
      </c>
      <c r="AM219">
        <f t="shared" si="6"/>
        <v>37168.089999999997</v>
      </c>
      <c r="AN219">
        <f>DealsRawTable[[#This Row],[Validated_Annual_Final_Price]]*DealsRawTable[[#This Row],[Contract_Years]]</f>
        <v>111504.26999999999</v>
      </c>
      <c r="AO219">
        <f>DealsRawTable[[#This Row],[Validated_Annual_Final_Price]]-DealsRawTable[[#This Row],[Cost_to_Serve]]</f>
        <v>25505.807369026497</v>
      </c>
      <c r="AP219" s="17">
        <f>DealsRawTable[[#This Row],[Validated_Grossprofit]]/DealsRawTable[[#This Row],[Validated_Annual_Final_Price]]</f>
        <v>0.68622862700306897</v>
      </c>
      <c r="AQ219" s="17">
        <v>37168.089999999997</v>
      </c>
      <c r="AR219" s="17">
        <v>111504.26999999999</v>
      </c>
      <c r="AS219" s="17">
        <v>25505.807369026497</v>
      </c>
      <c r="AT219" s="17">
        <v>0.68622862700306897</v>
      </c>
      <c r="AU219" s="17" t="str">
        <f t="shared" si="7"/>
        <v>5–10%</v>
      </c>
      <c r="AV219" s="17">
        <v>116</v>
      </c>
      <c r="AW219" s="17"/>
    </row>
    <row r="220" spans="1:49">
      <c r="A220" t="s">
        <v>1125</v>
      </c>
      <c r="B220" s="5">
        <v>45316</v>
      </c>
      <c r="C220" t="s">
        <v>196</v>
      </c>
      <c r="D220" t="s">
        <v>197</v>
      </c>
      <c r="E220" t="s">
        <v>593</v>
      </c>
      <c r="F220" t="s">
        <v>466</v>
      </c>
      <c r="G220" t="s">
        <v>47</v>
      </c>
      <c r="H220" t="s">
        <v>48</v>
      </c>
      <c r="I220" t="s">
        <v>49</v>
      </c>
      <c r="J220" t="s">
        <v>56</v>
      </c>
      <c r="K220" t="s">
        <v>38</v>
      </c>
      <c r="L220" s="5">
        <v>44805</v>
      </c>
      <c r="M220">
        <v>69</v>
      </c>
      <c r="N220" t="s">
        <v>429</v>
      </c>
      <c r="O220" t="s">
        <v>891</v>
      </c>
      <c r="Q220">
        <v>1</v>
      </c>
      <c r="R220">
        <v>60</v>
      </c>
      <c r="S220" t="s">
        <v>907</v>
      </c>
      <c r="T220" s="6">
        <v>157010.33938845474</v>
      </c>
      <c r="U220" s="7">
        <f>T220*DealsRawTable[[#This Row],[Contract_Years]]</f>
        <v>157010.33938845474</v>
      </c>
      <c r="V220" s="8">
        <v>8.3000000000000004E-2</v>
      </c>
      <c r="W220" s="8">
        <v>6.8000000000000005E-2</v>
      </c>
      <c r="X220" s="8">
        <v>-7.1999999999999995E-2</v>
      </c>
      <c r="Y220" t="s">
        <v>885</v>
      </c>
      <c r="Z220" t="s">
        <v>879</v>
      </c>
      <c r="AA220" s="6">
        <v>146284.00001394833</v>
      </c>
      <c r="AB220" s="7">
        <f>DealsRawTable[[#This Row],[Final_Price_ACV]]*DealsRawTable[[#This Row],[Contract_Years]]</f>
        <v>146284.00001394833</v>
      </c>
      <c r="AC220" s="6">
        <v>65291.512295241868</v>
      </c>
      <c r="AD220" s="6">
        <v>80992.487718706456</v>
      </c>
      <c r="AE220" s="8">
        <v>0.55366607223608688</v>
      </c>
      <c r="AF220" t="s">
        <v>457</v>
      </c>
      <c r="AI220" t="s">
        <v>38</v>
      </c>
      <c r="AJ220" s="6">
        <v>0</v>
      </c>
      <c r="AK220" s="6">
        <v>0</v>
      </c>
      <c r="AL220" t="s">
        <v>894</v>
      </c>
      <c r="AM220">
        <f t="shared" si="6"/>
        <v>146333.64000000001</v>
      </c>
      <c r="AN220">
        <f>DealsRawTable[[#This Row],[Validated_Annual_Final_Price]]*DealsRawTable[[#This Row],[Contract_Years]]</f>
        <v>146333.64000000001</v>
      </c>
      <c r="AO220">
        <f>DealsRawTable[[#This Row],[Validated_Annual_Final_Price]]-DealsRawTable[[#This Row],[Cost_to_Serve]]</f>
        <v>81042.127704758139</v>
      </c>
      <c r="AP220" s="17">
        <f>DealsRawTable[[#This Row],[Validated_Grossprofit]]/DealsRawTable[[#This Row],[Validated_Annual_Final_Price]]</f>
        <v>0.55381747973164697</v>
      </c>
      <c r="AQ220" s="17">
        <v>0</v>
      </c>
      <c r="AR220" s="17">
        <v>0</v>
      </c>
      <c r="AS220" s="17">
        <v>0</v>
      </c>
      <c r="AT220" s="17">
        <v>0</v>
      </c>
      <c r="AU220" s="17" t="str">
        <f t="shared" si="7"/>
        <v>5–10%</v>
      </c>
      <c r="AV220" s="17">
        <v>116</v>
      </c>
      <c r="AW220" s="17"/>
    </row>
    <row r="221" spans="1:49">
      <c r="A221" t="s">
        <v>1126</v>
      </c>
      <c r="B221" s="5">
        <v>45635</v>
      </c>
      <c r="C221" t="s">
        <v>196</v>
      </c>
      <c r="D221" t="s">
        <v>197</v>
      </c>
      <c r="E221" t="s">
        <v>593</v>
      </c>
      <c r="F221" t="s">
        <v>466</v>
      </c>
      <c r="G221" t="s">
        <v>47</v>
      </c>
      <c r="H221" t="s">
        <v>48</v>
      </c>
      <c r="I221" t="s">
        <v>49</v>
      </c>
      <c r="J221" t="s">
        <v>56</v>
      </c>
      <c r="K221" t="s">
        <v>38</v>
      </c>
      <c r="L221" s="5">
        <v>44805</v>
      </c>
      <c r="M221">
        <v>69</v>
      </c>
      <c r="N221" t="s">
        <v>429</v>
      </c>
      <c r="O221" t="s">
        <v>915</v>
      </c>
      <c r="Q221">
        <v>1</v>
      </c>
      <c r="R221">
        <v>60</v>
      </c>
      <c r="S221" t="s">
        <v>877</v>
      </c>
      <c r="T221" s="6">
        <v>157010.33938845474</v>
      </c>
      <c r="U221" s="7">
        <f>T221*DealsRawTable[[#This Row],[Contract_Years]]</f>
        <v>157010.33938845474</v>
      </c>
      <c r="V221" s="8">
        <v>0.191</v>
      </c>
      <c r="W221" s="8">
        <v>0.156</v>
      </c>
      <c r="X221" s="8">
        <v>-0.16700000000000001</v>
      </c>
      <c r="Y221" t="s">
        <v>878</v>
      </c>
      <c r="Z221" t="s">
        <v>889</v>
      </c>
      <c r="AA221" s="6">
        <v>132563.57907817294</v>
      </c>
      <c r="AB221" s="7">
        <f>DealsRawTable[[#This Row],[Final_Price_ACV]]*DealsRawTable[[#This Row],[Contract_Years]]</f>
        <v>132563.57907817294</v>
      </c>
      <c r="AC221" s="6">
        <v>50966.644909617164</v>
      </c>
      <c r="AD221" s="6">
        <v>81596.934168555774</v>
      </c>
      <c r="AE221" s="8">
        <v>0.61553056077671175</v>
      </c>
      <c r="AF221" t="s">
        <v>880</v>
      </c>
      <c r="AI221" t="s">
        <v>44</v>
      </c>
      <c r="AJ221" s="6">
        <v>132563.57907817294</v>
      </c>
      <c r="AK221" s="6">
        <v>81596.934168555774</v>
      </c>
      <c r="AL221" t="s">
        <v>934</v>
      </c>
      <c r="AM221">
        <f t="shared" si="6"/>
        <v>132516.73000000001</v>
      </c>
      <c r="AN221">
        <f>DealsRawTable[[#This Row],[Validated_Annual_Final_Price]]*DealsRawTable[[#This Row],[Contract_Years]]</f>
        <v>132516.73000000001</v>
      </c>
      <c r="AO221">
        <f>DealsRawTable[[#This Row],[Validated_Annual_Final_Price]]-DealsRawTable[[#This Row],[Cost_to_Serve]]</f>
        <v>81550.08509038284</v>
      </c>
      <c r="AP221" s="17">
        <f>DealsRawTable[[#This Row],[Validated_Grossprofit]]/DealsRawTable[[#This Row],[Validated_Annual_Final_Price]]</f>
        <v>0.61539463802331096</v>
      </c>
      <c r="AQ221" s="17">
        <v>132516.73000000001</v>
      </c>
      <c r="AR221" s="17">
        <v>132516.73000000001</v>
      </c>
      <c r="AS221" s="17">
        <v>81550.08509038284</v>
      </c>
      <c r="AT221" s="17">
        <v>0.61539463802331096</v>
      </c>
      <c r="AU221" s="17" t="str">
        <f t="shared" si="7"/>
        <v>15–20%</v>
      </c>
      <c r="AV221" s="17">
        <v>108</v>
      </c>
      <c r="AW221" s="17"/>
    </row>
    <row r="222" spans="1:49">
      <c r="A222" t="s">
        <v>1127</v>
      </c>
      <c r="B222" s="5">
        <v>45806</v>
      </c>
      <c r="C222" t="s">
        <v>196</v>
      </c>
      <c r="D222" t="s">
        <v>197</v>
      </c>
      <c r="E222" t="s">
        <v>593</v>
      </c>
      <c r="F222" t="s">
        <v>466</v>
      </c>
      <c r="G222" t="s">
        <v>47</v>
      </c>
      <c r="H222" t="s">
        <v>48</v>
      </c>
      <c r="I222" t="s">
        <v>49</v>
      </c>
      <c r="J222" t="s">
        <v>56</v>
      </c>
      <c r="K222" t="s">
        <v>38</v>
      </c>
      <c r="L222" s="5">
        <v>44805</v>
      </c>
      <c r="M222">
        <v>69</v>
      </c>
      <c r="N222" t="s">
        <v>429</v>
      </c>
      <c r="O222" t="s">
        <v>883</v>
      </c>
      <c r="P222" t="s">
        <v>978</v>
      </c>
      <c r="Q222">
        <v>1</v>
      </c>
      <c r="R222">
        <v>78</v>
      </c>
      <c r="S222" t="s">
        <v>907</v>
      </c>
      <c r="T222" s="6">
        <v>170583.63021138098</v>
      </c>
      <c r="U222" s="7">
        <f>T222*DealsRawTable[[#This Row],[Contract_Years]]</f>
        <v>170583.63021138098</v>
      </c>
      <c r="V222" s="8">
        <v>0.19600000000000001</v>
      </c>
      <c r="W222" s="8">
        <v>0.186</v>
      </c>
      <c r="X222" s="8">
        <v>6.0999999999999999E-2</v>
      </c>
      <c r="Y222" t="s">
        <v>885</v>
      </c>
      <c r="Z222" t="s">
        <v>889</v>
      </c>
      <c r="AA222" s="6">
        <v>138818.14248897388</v>
      </c>
      <c r="AB222" s="7">
        <f>DealsRawTable[[#This Row],[Final_Price_ACV]]*DealsRawTable[[#This Row],[Contract_Years]]</f>
        <v>138818.14248897388</v>
      </c>
      <c r="AC222" s="6">
        <v>64121.951411486509</v>
      </c>
      <c r="AD222" s="6">
        <v>74696.191077487369</v>
      </c>
      <c r="AE222" s="8">
        <v>0.53808666315658538</v>
      </c>
      <c r="AF222" t="s">
        <v>880</v>
      </c>
      <c r="AH222" t="s">
        <v>44</v>
      </c>
      <c r="AI222" t="s">
        <v>38</v>
      </c>
      <c r="AJ222" s="6">
        <v>138818.14248897388</v>
      </c>
      <c r="AK222" s="6">
        <v>74696.191077487369</v>
      </c>
      <c r="AL222" t="s">
        <v>886</v>
      </c>
      <c r="AM222">
        <f t="shared" si="6"/>
        <v>138855.07</v>
      </c>
      <c r="AN222">
        <f>DealsRawTable[[#This Row],[Validated_Annual_Final_Price]]*DealsRawTable[[#This Row],[Contract_Years]]</f>
        <v>138855.07</v>
      </c>
      <c r="AO222">
        <f>DealsRawTable[[#This Row],[Validated_Annual_Final_Price]]-DealsRawTable[[#This Row],[Cost_to_Serve]]</f>
        <v>74733.118588513491</v>
      </c>
      <c r="AP222" s="17">
        <f>DealsRawTable[[#This Row],[Validated_Grossprofit]]/DealsRawTable[[#This Row],[Validated_Annual_Final_Price]]</f>
        <v>0.53820950569909687</v>
      </c>
      <c r="AQ222" s="17">
        <v>138855.07</v>
      </c>
      <c r="AR222" s="17">
        <v>138855.07</v>
      </c>
      <c r="AS222" s="17">
        <v>74733.118588513491</v>
      </c>
      <c r="AT222" s="17">
        <v>0.53820950569909687</v>
      </c>
      <c r="AU222" s="17" t="str">
        <f t="shared" si="7"/>
        <v>15–20%</v>
      </c>
      <c r="AV222" s="17">
        <v>108</v>
      </c>
      <c r="AW222" s="17"/>
    </row>
    <row r="223" spans="1:49">
      <c r="A223" t="s">
        <v>1128</v>
      </c>
      <c r="B223" s="5">
        <v>46000</v>
      </c>
      <c r="C223" t="s">
        <v>196</v>
      </c>
      <c r="D223" t="s">
        <v>197</v>
      </c>
      <c r="E223" t="s">
        <v>593</v>
      </c>
      <c r="F223" t="s">
        <v>466</v>
      </c>
      <c r="G223" t="s">
        <v>47</v>
      </c>
      <c r="H223" t="s">
        <v>48</v>
      </c>
      <c r="I223" t="s">
        <v>49</v>
      </c>
      <c r="J223" t="s">
        <v>56</v>
      </c>
      <c r="K223" t="s">
        <v>38</v>
      </c>
      <c r="L223" s="5">
        <v>44805</v>
      </c>
      <c r="M223">
        <v>69</v>
      </c>
      <c r="N223" t="s">
        <v>429</v>
      </c>
      <c r="O223" t="s">
        <v>876</v>
      </c>
      <c r="Q223">
        <v>1</v>
      </c>
      <c r="R223">
        <v>78</v>
      </c>
      <c r="S223" t="s">
        <v>932</v>
      </c>
      <c r="T223" s="6">
        <v>176959.79169185751</v>
      </c>
      <c r="U223" s="7">
        <f>T223*DealsRawTable[[#This Row],[Contract_Years]]</f>
        <v>176959.79169185751</v>
      </c>
      <c r="V223" s="8">
        <v>0.114</v>
      </c>
      <c r="W223" s="8">
        <v>0.10299999999999999</v>
      </c>
      <c r="X223" s="8">
        <v>5.3999999999999999E-2</v>
      </c>
      <c r="Y223" t="s">
        <v>902</v>
      </c>
      <c r="Z223" t="s">
        <v>889</v>
      </c>
      <c r="AA223" s="6">
        <v>158789.58406667152</v>
      </c>
      <c r="AB223" s="7">
        <f>DealsRawTable[[#This Row],[Final_Price_ACV]]*DealsRawTable[[#This Row],[Contract_Years]]</f>
        <v>158789.58406667152</v>
      </c>
      <c r="AC223" s="6">
        <v>54460.180652338095</v>
      </c>
      <c r="AD223" s="6">
        <v>104329.40341433343</v>
      </c>
      <c r="AE223" s="8">
        <v>0.65702926314441557</v>
      </c>
      <c r="AF223" t="s">
        <v>880</v>
      </c>
      <c r="AG223" t="s">
        <v>44</v>
      </c>
      <c r="AI223" t="s">
        <v>38</v>
      </c>
      <c r="AJ223" s="6">
        <v>158789.58406667152</v>
      </c>
      <c r="AK223" s="6">
        <v>104329.40341433343</v>
      </c>
      <c r="AL223" t="s">
        <v>881</v>
      </c>
      <c r="AM223">
        <f t="shared" si="6"/>
        <v>158732.93</v>
      </c>
      <c r="AN223">
        <f>DealsRawTable[[#This Row],[Validated_Annual_Final_Price]]*DealsRawTable[[#This Row],[Contract_Years]]</f>
        <v>158732.93</v>
      </c>
      <c r="AO223">
        <f>DealsRawTable[[#This Row],[Validated_Annual_Final_Price]]-DealsRawTable[[#This Row],[Cost_to_Serve]]</f>
        <v>104272.7493476619</v>
      </c>
      <c r="AP223" s="17">
        <f>DealsRawTable[[#This Row],[Validated_Grossprofit]]/DealsRawTable[[#This Row],[Validated_Annual_Final_Price]]</f>
        <v>0.6569068519535417</v>
      </c>
      <c r="AQ223" s="17">
        <v>158732.93</v>
      </c>
      <c r="AR223" s="17">
        <v>158732.93</v>
      </c>
      <c r="AS223" s="17">
        <v>104272.7493476619</v>
      </c>
      <c r="AT223" s="17">
        <v>0.6569068519535417</v>
      </c>
      <c r="AU223" s="17" t="str">
        <f t="shared" si="7"/>
        <v>10–15%</v>
      </c>
      <c r="AV223" s="17">
        <v>113</v>
      </c>
      <c r="AW223" s="17"/>
    </row>
    <row r="224" spans="1:49">
      <c r="A224" t="s">
        <v>1129</v>
      </c>
      <c r="B224" s="5">
        <v>45467</v>
      </c>
      <c r="C224" t="s">
        <v>198</v>
      </c>
      <c r="D224" t="s">
        <v>199</v>
      </c>
      <c r="E224" t="s">
        <v>594</v>
      </c>
      <c r="F224" t="s">
        <v>466</v>
      </c>
      <c r="G224" t="s">
        <v>83</v>
      </c>
      <c r="H224" t="s">
        <v>70</v>
      </c>
      <c r="I224" t="s">
        <v>71</v>
      </c>
      <c r="J224" t="s">
        <v>56</v>
      </c>
      <c r="K224" t="s">
        <v>44</v>
      </c>
      <c r="L224" s="5">
        <v>45078</v>
      </c>
      <c r="M224">
        <v>79</v>
      </c>
      <c r="N224" t="s">
        <v>429</v>
      </c>
      <c r="O224" t="s">
        <v>891</v>
      </c>
      <c r="Q224">
        <v>1</v>
      </c>
      <c r="R224">
        <v>113</v>
      </c>
      <c r="S224" t="s">
        <v>877</v>
      </c>
      <c r="T224" s="6">
        <v>130479.47336165821</v>
      </c>
      <c r="U224" s="7">
        <f>T224*DealsRawTable[[#This Row],[Contract_Years]]</f>
        <v>130479.47336165821</v>
      </c>
      <c r="V224" s="8">
        <v>0.14199999999999999</v>
      </c>
      <c r="W224" s="8">
        <v>0.12</v>
      </c>
      <c r="X224" s="8">
        <v>0.15</v>
      </c>
      <c r="Y224" t="s">
        <v>897</v>
      </c>
      <c r="Z224" t="s">
        <v>889</v>
      </c>
      <c r="AA224" s="6">
        <v>114775.25685658728</v>
      </c>
      <c r="AB224" s="7">
        <f>DealsRawTable[[#This Row],[Final_Price_ACV]]*DealsRawTable[[#This Row],[Contract_Years]]</f>
        <v>114775.25685658728</v>
      </c>
      <c r="AC224" s="6">
        <v>46368.743357030529</v>
      </c>
      <c r="AD224" s="6">
        <v>68406.51349955675</v>
      </c>
      <c r="AE224" s="8">
        <v>0.59600401143106396</v>
      </c>
      <c r="AF224" t="s">
        <v>880</v>
      </c>
      <c r="AI224" t="s">
        <v>38</v>
      </c>
      <c r="AJ224" s="6">
        <v>114775.25685658728</v>
      </c>
      <c r="AK224" s="6">
        <v>68406.51349955675</v>
      </c>
      <c r="AL224" t="s">
        <v>894</v>
      </c>
      <c r="AM224">
        <f t="shared" si="6"/>
        <v>114821.94</v>
      </c>
      <c r="AN224">
        <f>DealsRawTable[[#This Row],[Validated_Annual_Final_Price]]*DealsRawTable[[#This Row],[Contract_Years]]</f>
        <v>114821.94</v>
      </c>
      <c r="AO224">
        <f>DealsRawTable[[#This Row],[Validated_Annual_Final_Price]]-DealsRawTable[[#This Row],[Cost_to_Serve]]</f>
        <v>68453.196642969473</v>
      </c>
      <c r="AP224" s="17">
        <f>DealsRawTable[[#This Row],[Validated_Grossprofit]]/DealsRawTable[[#This Row],[Validated_Annual_Final_Price]]</f>
        <v>0.59616826403533574</v>
      </c>
      <c r="AQ224" s="17">
        <v>114821.94</v>
      </c>
      <c r="AR224" s="17">
        <v>114821.94</v>
      </c>
      <c r="AS224" s="17">
        <v>68453.196642969473</v>
      </c>
      <c r="AT224" s="17">
        <v>0.59616826403533574</v>
      </c>
      <c r="AU224" s="17" t="str">
        <f t="shared" si="7"/>
        <v>10–15%</v>
      </c>
      <c r="AV224" s="17">
        <v>113</v>
      </c>
      <c r="AW224" s="17"/>
    </row>
    <row r="225" spans="1:49">
      <c r="A225" t="s">
        <v>1130</v>
      </c>
      <c r="B225" s="5">
        <v>45680</v>
      </c>
      <c r="C225" t="s">
        <v>198</v>
      </c>
      <c r="D225" t="s">
        <v>199</v>
      </c>
      <c r="E225" t="s">
        <v>594</v>
      </c>
      <c r="F225" t="s">
        <v>466</v>
      </c>
      <c r="G225" t="s">
        <v>83</v>
      </c>
      <c r="H225" t="s">
        <v>70</v>
      </c>
      <c r="I225" t="s">
        <v>71</v>
      </c>
      <c r="J225" t="s">
        <v>56</v>
      </c>
      <c r="K225" t="s">
        <v>44</v>
      </c>
      <c r="L225" s="5">
        <v>45078</v>
      </c>
      <c r="M225">
        <v>79</v>
      </c>
      <c r="N225" t="s">
        <v>429</v>
      </c>
      <c r="O225" t="s">
        <v>883</v>
      </c>
      <c r="P225" t="s">
        <v>951</v>
      </c>
      <c r="Q225">
        <v>1</v>
      </c>
      <c r="R225">
        <v>152</v>
      </c>
      <c r="S225" t="s">
        <v>900</v>
      </c>
      <c r="T225" s="6">
        <v>148402.02265774627</v>
      </c>
      <c r="U225" s="7">
        <f>T225*DealsRawTable[[#This Row],[Contract_Years]]</f>
        <v>148402.02265774627</v>
      </c>
      <c r="V225" s="8">
        <v>7.1999999999999995E-2</v>
      </c>
      <c r="W225" s="8">
        <v>5.8999999999999997E-2</v>
      </c>
      <c r="X225" s="8">
        <v>-0.01</v>
      </c>
      <c r="Y225" t="s">
        <v>885</v>
      </c>
      <c r="Z225" t="s">
        <v>879</v>
      </c>
      <c r="AA225" s="6">
        <v>139700.13708891167</v>
      </c>
      <c r="AB225" s="7">
        <f>DealsRawTable[[#This Row],[Final_Price_ACV]]*DealsRawTable[[#This Row],[Contract_Years]]</f>
        <v>139700.13708891167</v>
      </c>
      <c r="AC225" s="6">
        <v>51719.595101550854</v>
      </c>
      <c r="AD225" s="6">
        <v>87980.541987360804</v>
      </c>
      <c r="AE225" s="8">
        <v>0.62978135756134512</v>
      </c>
      <c r="AF225" t="s">
        <v>880</v>
      </c>
      <c r="AH225" t="s">
        <v>44</v>
      </c>
      <c r="AI225" t="s">
        <v>38</v>
      </c>
      <c r="AJ225" s="6">
        <v>139700.13708891167</v>
      </c>
      <c r="AK225" s="6">
        <v>87980.541987360804</v>
      </c>
      <c r="AL225" t="s">
        <v>886</v>
      </c>
      <c r="AM225">
        <f t="shared" si="6"/>
        <v>139646.29999999999</v>
      </c>
      <c r="AN225">
        <f>DealsRawTable[[#This Row],[Validated_Annual_Final_Price]]*DealsRawTable[[#This Row],[Contract_Years]]</f>
        <v>139646.29999999999</v>
      </c>
      <c r="AO225">
        <f>DealsRawTable[[#This Row],[Validated_Annual_Final_Price]]-DealsRawTable[[#This Row],[Cost_to_Serve]]</f>
        <v>87926.704898449127</v>
      </c>
      <c r="AP225" s="17">
        <f>DealsRawTable[[#This Row],[Validated_Grossprofit]]/DealsRawTable[[#This Row],[Validated_Annual_Final_Price]]</f>
        <v>0.6296386291541497</v>
      </c>
      <c r="AQ225" s="17">
        <v>139646.29999999999</v>
      </c>
      <c r="AR225" s="17">
        <v>139646.29999999999</v>
      </c>
      <c r="AS225" s="17">
        <v>87926.704898449127</v>
      </c>
      <c r="AT225" s="17">
        <v>0.6296386291541497</v>
      </c>
      <c r="AU225" s="17" t="str">
        <f t="shared" si="7"/>
        <v>5–10%</v>
      </c>
      <c r="AV225" s="17">
        <v>116</v>
      </c>
      <c r="AW225" s="17"/>
    </row>
    <row r="226" spans="1:49">
      <c r="A226" t="s">
        <v>1131</v>
      </c>
      <c r="B226" s="5">
        <v>45832</v>
      </c>
      <c r="C226" t="s">
        <v>198</v>
      </c>
      <c r="D226" t="s">
        <v>199</v>
      </c>
      <c r="E226" t="s">
        <v>594</v>
      </c>
      <c r="F226" t="s">
        <v>466</v>
      </c>
      <c r="G226" t="s">
        <v>83</v>
      </c>
      <c r="H226" t="s">
        <v>70</v>
      </c>
      <c r="I226" t="s">
        <v>71</v>
      </c>
      <c r="J226" t="s">
        <v>56</v>
      </c>
      <c r="K226" t="s">
        <v>44</v>
      </c>
      <c r="L226" s="5">
        <v>45078</v>
      </c>
      <c r="M226">
        <v>79</v>
      </c>
      <c r="N226" t="s">
        <v>429</v>
      </c>
      <c r="O226" t="s">
        <v>876</v>
      </c>
      <c r="Q226">
        <v>1</v>
      </c>
      <c r="R226">
        <v>152</v>
      </c>
      <c r="S226" t="s">
        <v>896</v>
      </c>
      <c r="T226" s="6">
        <v>152882.964854027</v>
      </c>
      <c r="U226" s="7">
        <f>T226*DealsRawTable[[#This Row],[Contract_Years]]</f>
        <v>152882.964854027</v>
      </c>
      <c r="V226" s="8">
        <v>8.8999999999999996E-2</v>
      </c>
      <c r="W226" s="8">
        <v>6.5000000000000002E-2</v>
      </c>
      <c r="X226" s="8">
        <v>-4.4999999999999998E-2</v>
      </c>
      <c r="Y226" t="s">
        <v>897</v>
      </c>
      <c r="Z226" t="s">
        <v>879</v>
      </c>
      <c r="AA226" s="6">
        <v>142875.26178375937</v>
      </c>
      <c r="AB226" s="7">
        <f>DealsRawTable[[#This Row],[Final_Price_ACV]]*DealsRawTable[[#This Row],[Contract_Years]]</f>
        <v>142875.26178375937</v>
      </c>
      <c r="AC226" s="6">
        <v>51590.099287378958</v>
      </c>
      <c r="AD226" s="6">
        <v>91285.162496380421</v>
      </c>
      <c r="AE226" s="8">
        <v>0.63891510228369575</v>
      </c>
      <c r="AF226" t="s">
        <v>880</v>
      </c>
      <c r="AG226" t="s">
        <v>44</v>
      </c>
      <c r="AI226" t="s">
        <v>38</v>
      </c>
      <c r="AJ226" s="6">
        <v>142875.26178375937</v>
      </c>
      <c r="AK226" s="6">
        <v>91285.162496380421</v>
      </c>
      <c r="AL226" t="s">
        <v>881</v>
      </c>
      <c r="AM226">
        <f t="shared" si="6"/>
        <v>142945.57</v>
      </c>
      <c r="AN226">
        <f>DealsRawTable[[#This Row],[Validated_Annual_Final_Price]]*DealsRawTable[[#This Row],[Contract_Years]]</f>
        <v>142945.57</v>
      </c>
      <c r="AO226">
        <f>DealsRawTable[[#This Row],[Validated_Annual_Final_Price]]-DealsRawTable[[#This Row],[Cost_to_Serve]]</f>
        <v>91355.470712621056</v>
      </c>
      <c r="AP226" s="17">
        <f>DealsRawTable[[#This Row],[Validated_Grossprofit]]/DealsRawTable[[#This Row],[Validated_Annual_Final_Price]]</f>
        <v>0.63909270299611975</v>
      </c>
      <c r="AQ226" s="17">
        <v>142945.57</v>
      </c>
      <c r="AR226" s="17">
        <v>142945.57</v>
      </c>
      <c r="AS226" s="17">
        <v>91355.470712621056</v>
      </c>
      <c r="AT226" s="17">
        <v>0.63909270299611975</v>
      </c>
      <c r="AU226" s="17" t="str">
        <f t="shared" si="7"/>
        <v>5–10%</v>
      </c>
      <c r="AV226" s="17">
        <v>116</v>
      </c>
      <c r="AW226" s="17"/>
    </row>
    <row r="227" spans="1:49">
      <c r="A227" t="s">
        <v>1132</v>
      </c>
      <c r="B227" s="5">
        <v>45824</v>
      </c>
      <c r="C227" t="s">
        <v>198</v>
      </c>
      <c r="D227" t="s">
        <v>199</v>
      </c>
      <c r="E227" t="s">
        <v>596</v>
      </c>
      <c r="F227" t="s">
        <v>475</v>
      </c>
      <c r="G227" t="s">
        <v>83</v>
      </c>
      <c r="H227" t="s">
        <v>70</v>
      </c>
      <c r="I227" t="s">
        <v>71</v>
      </c>
      <c r="J227" t="s">
        <v>56</v>
      </c>
      <c r="K227" t="s">
        <v>44</v>
      </c>
      <c r="L227" s="5">
        <v>45078</v>
      </c>
      <c r="M227">
        <v>79</v>
      </c>
      <c r="N227" t="s">
        <v>424</v>
      </c>
      <c r="O227" t="s">
        <v>883</v>
      </c>
      <c r="P227" t="s">
        <v>951</v>
      </c>
      <c r="Q227">
        <v>2</v>
      </c>
      <c r="R227">
        <v>302</v>
      </c>
      <c r="S227" t="s">
        <v>892</v>
      </c>
      <c r="T227" s="6">
        <v>41834.530238664745</v>
      </c>
      <c r="U227" s="7">
        <f>T227*DealsRawTable[[#This Row],[Contract_Years]]</f>
        <v>83669.060477329491</v>
      </c>
      <c r="V227" s="8">
        <v>0.08</v>
      </c>
      <c r="W227" s="8">
        <v>0.06</v>
      </c>
      <c r="X227" s="8">
        <v>1.2E-2</v>
      </c>
      <c r="Y227" t="s">
        <v>885</v>
      </c>
      <c r="Z227" t="s">
        <v>879</v>
      </c>
      <c r="AA227" s="6">
        <v>39341.565756997159</v>
      </c>
      <c r="AB227" s="7">
        <f>DealsRawTable[[#This Row],[Final_Price_ACV]]*DealsRawTable[[#This Row],[Contract_Years]]</f>
        <v>78683.131513994318</v>
      </c>
      <c r="AC227" s="6">
        <v>11829.023341111633</v>
      </c>
      <c r="AD227" s="6">
        <v>27512.542415885524</v>
      </c>
      <c r="AE227" s="8">
        <v>0.69932504938475248</v>
      </c>
      <c r="AF227" t="s">
        <v>457</v>
      </c>
      <c r="AH227" t="s">
        <v>38</v>
      </c>
      <c r="AI227" t="s">
        <v>38</v>
      </c>
      <c r="AJ227" s="6">
        <v>0</v>
      </c>
      <c r="AK227" s="6">
        <v>0</v>
      </c>
      <c r="AL227" t="s">
        <v>886</v>
      </c>
      <c r="AM227">
        <f t="shared" si="6"/>
        <v>39324.46</v>
      </c>
      <c r="AN227">
        <f>DealsRawTable[[#This Row],[Validated_Annual_Final_Price]]*DealsRawTable[[#This Row],[Contract_Years]]</f>
        <v>78648.92</v>
      </c>
      <c r="AO227">
        <f>DealsRawTable[[#This Row],[Validated_Annual_Final_Price]]-DealsRawTable[[#This Row],[Cost_to_Serve]]</f>
        <v>27495.436658888364</v>
      </c>
      <c r="AP227" s="17">
        <f>DealsRawTable[[#This Row],[Validated_Grossprofit]]/DealsRawTable[[#This Row],[Validated_Annual_Final_Price]]</f>
        <v>0.69919425871044039</v>
      </c>
      <c r="AQ227" s="17">
        <v>0</v>
      </c>
      <c r="AR227" s="17">
        <v>0</v>
      </c>
      <c r="AS227" s="17">
        <v>0</v>
      </c>
      <c r="AT227" s="17">
        <v>0</v>
      </c>
      <c r="AU227" s="17" t="str">
        <f t="shared" si="7"/>
        <v>5–10%</v>
      </c>
      <c r="AV227" s="17">
        <v>116</v>
      </c>
      <c r="AW227" s="17"/>
    </row>
    <row r="228" spans="1:49">
      <c r="A228" t="s">
        <v>1133</v>
      </c>
      <c r="B228" s="5">
        <v>45993</v>
      </c>
      <c r="C228" t="s">
        <v>198</v>
      </c>
      <c r="D228" t="s">
        <v>199</v>
      </c>
      <c r="E228" t="s">
        <v>596</v>
      </c>
      <c r="F228" t="s">
        <v>475</v>
      </c>
      <c r="G228" t="s">
        <v>83</v>
      </c>
      <c r="H228" t="s">
        <v>70</v>
      </c>
      <c r="I228" t="s">
        <v>71</v>
      </c>
      <c r="J228" t="s">
        <v>56</v>
      </c>
      <c r="K228" t="s">
        <v>44</v>
      </c>
      <c r="L228" s="5">
        <v>45078</v>
      </c>
      <c r="M228">
        <v>79</v>
      </c>
      <c r="N228" t="s">
        <v>424</v>
      </c>
      <c r="O228" t="s">
        <v>876</v>
      </c>
      <c r="Q228">
        <v>2</v>
      </c>
      <c r="R228">
        <v>223</v>
      </c>
      <c r="S228" t="s">
        <v>900</v>
      </c>
      <c r="T228" s="6">
        <v>33122.594382102849</v>
      </c>
      <c r="U228" s="7">
        <f>T228*DealsRawTable[[#This Row],[Contract_Years]]</f>
        <v>66245.188764205697</v>
      </c>
      <c r="V228" s="8">
        <v>0.16200000000000001</v>
      </c>
      <c r="W228" s="8">
        <v>0.154</v>
      </c>
      <c r="X228" s="8">
        <v>0.02</v>
      </c>
      <c r="Y228" t="s">
        <v>902</v>
      </c>
      <c r="Z228" t="s">
        <v>889</v>
      </c>
      <c r="AA228" s="6">
        <v>28019.229490009842</v>
      </c>
      <c r="AB228" s="7">
        <f>DealsRawTable[[#This Row],[Final_Price_ACV]]*DealsRawTable[[#This Row],[Contract_Years]]</f>
        <v>56038.458980019685</v>
      </c>
      <c r="AC228" s="6">
        <v>9568.7620931241072</v>
      </c>
      <c r="AD228" s="6">
        <v>18450.467396885735</v>
      </c>
      <c r="AE228" s="8">
        <v>0.65849303256052005</v>
      </c>
      <c r="AF228" t="s">
        <v>880</v>
      </c>
      <c r="AG228" t="s">
        <v>44</v>
      </c>
      <c r="AI228" t="s">
        <v>38</v>
      </c>
      <c r="AJ228" s="6">
        <v>28019.229490009842</v>
      </c>
      <c r="AK228" s="6">
        <v>18450.467396885735</v>
      </c>
      <c r="AL228" t="s">
        <v>881</v>
      </c>
      <c r="AM228">
        <f t="shared" si="6"/>
        <v>28021.71</v>
      </c>
      <c r="AN228">
        <f>DealsRawTable[[#This Row],[Validated_Annual_Final_Price]]*DealsRawTable[[#This Row],[Contract_Years]]</f>
        <v>56043.42</v>
      </c>
      <c r="AO228">
        <f>DealsRawTable[[#This Row],[Validated_Annual_Final_Price]]-DealsRawTable[[#This Row],[Cost_to_Serve]]</f>
        <v>18452.947906875892</v>
      </c>
      <c r="AP228" s="17">
        <f>DealsRawTable[[#This Row],[Validated_Grossprofit]]/DealsRawTable[[#This Row],[Validated_Annual_Final_Price]]</f>
        <v>0.65852326310121301</v>
      </c>
      <c r="AQ228" s="17">
        <v>28021.71</v>
      </c>
      <c r="AR228" s="17">
        <v>56043.42</v>
      </c>
      <c r="AS228" s="17">
        <v>18452.947906875892</v>
      </c>
      <c r="AT228" s="17">
        <v>0.65852326310121301</v>
      </c>
      <c r="AU228" s="17" t="str">
        <f t="shared" si="7"/>
        <v>15–20%</v>
      </c>
      <c r="AV228" s="17">
        <v>108</v>
      </c>
      <c r="AW228" s="17"/>
    </row>
    <row r="229" spans="1:49">
      <c r="A229" t="s">
        <v>1134</v>
      </c>
      <c r="B229" s="5">
        <v>45332</v>
      </c>
      <c r="C229" t="s">
        <v>200</v>
      </c>
      <c r="D229" t="s">
        <v>201</v>
      </c>
      <c r="E229" t="s">
        <v>597</v>
      </c>
      <c r="F229" t="s">
        <v>475</v>
      </c>
      <c r="G229" t="s">
        <v>69</v>
      </c>
      <c r="H229" t="s">
        <v>35</v>
      </c>
      <c r="I229" t="s">
        <v>36</v>
      </c>
      <c r="J229" t="s">
        <v>37</v>
      </c>
      <c r="K229" t="s">
        <v>44</v>
      </c>
      <c r="L229" s="5">
        <v>44228</v>
      </c>
      <c r="M229">
        <v>64</v>
      </c>
      <c r="N229" t="s">
        <v>433</v>
      </c>
      <c r="O229" t="s">
        <v>876</v>
      </c>
      <c r="Q229">
        <v>1</v>
      </c>
      <c r="R229">
        <v>34</v>
      </c>
      <c r="S229" t="s">
        <v>888</v>
      </c>
      <c r="T229" s="6">
        <v>148819.03690173078</v>
      </c>
      <c r="U229" s="7">
        <f>T229*DealsRawTable[[#This Row],[Contract_Years]]</f>
        <v>148819.03690173078</v>
      </c>
      <c r="V229" s="8">
        <v>0.191</v>
      </c>
      <c r="W229" s="8">
        <v>0.182</v>
      </c>
      <c r="X229" s="8">
        <v>3.5000000000000003E-2</v>
      </c>
      <c r="Y229" t="s">
        <v>878</v>
      </c>
      <c r="Z229" t="s">
        <v>889</v>
      </c>
      <c r="AA229" s="6">
        <v>121737.9362589582</v>
      </c>
      <c r="AB229" s="7">
        <f>DealsRawTable[[#This Row],[Final_Price_ACV]]*DealsRawTable[[#This Row],[Contract_Years]]</f>
        <v>121737.9362589582</v>
      </c>
      <c r="AC229" s="6">
        <v>55023.883495518661</v>
      </c>
      <c r="AD229" s="6">
        <v>66714.05276343954</v>
      </c>
      <c r="AE229" s="8">
        <v>0.5480136661880558</v>
      </c>
      <c r="AF229" t="s">
        <v>880</v>
      </c>
      <c r="AG229" t="s">
        <v>44</v>
      </c>
      <c r="AI229" t="s">
        <v>38</v>
      </c>
      <c r="AJ229" s="6">
        <v>121737.9362589582</v>
      </c>
      <c r="AK229" s="6">
        <v>66714.05276343954</v>
      </c>
      <c r="AL229" t="s">
        <v>881</v>
      </c>
      <c r="AM229">
        <f t="shared" si="6"/>
        <v>121733.97</v>
      </c>
      <c r="AN229">
        <f>DealsRawTable[[#This Row],[Validated_Annual_Final_Price]]*DealsRawTable[[#This Row],[Contract_Years]]</f>
        <v>121733.97</v>
      </c>
      <c r="AO229">
        <f>DealsRawTable[[#This Row],[Validated_Annual_Final_Price]]-DealsRawTable[[#This Row],[Cost_to_Serve]]</f>
        <v>66710.08650448134</v>
      </c>
      <c r="AP229" s="17">
        <f>DealsRawTable[[#This Row],[Validated_Grossprofit]]/DealsRawTable[[#This Row],[Validated_Annual_Final_Price]]</f>
        <v>0.547998939856158</v>
      </c>
      <c r="AQ229" s="17">
        <v>121733.97</v>
      </c>
      <c r="AR229" s="17">
        <v>121733.97</v>
      </c>
      <c r="AS229" s="17">
        <v>66710.08650448134</v>
      </c>
      <c r="AT229" s="17">
        <v>0.547998939856158</v>
      </c>
      <c r="AU229" s="17" t="str">
        <f t="shared" si="7"/>
        <v>15–20%</v>
      </c>
      <c r="AV229" s="17">
        <v>108</v>
      </c>
      <c r="AW229" s="17"/>
    </row>
    <row r="230" spans="1:49">
      <c r="A230" t="s">
        <v>1135</v>
      </c>
      <c r="B230" s="5">
        <v>45566</v>
      </c>
      <c r="C230" t="s">
        <v>200</v>
      </c>
      <c r="D230" t="s">
        <v>201</v>
      </c>
      <c r="E230" t="s">
        <v>597</v>
      </c>
      <c r="F230" t="s">
        <v>475</v>
      </c>
      <c r="G230" t="s">
        <v>69</v>
      </c>
      <c r="H230" t="s">
        <v>35</v>
      </c>
      <c r="I230" t="s">
        <v>36</v>
      </c>
      <c r="J230" t="s">
        <v>37</v>
      </c>
      <c r="K230" t="s">
        <v>44</v>
      </c>
      <c r="L230" s="5">
        <v>44228</v>
      </c>
      <c r="M230">
        <v>64</v>
      </c>
      <c r="N230" t="s">
        <v>433</v>
      </c>
      <c r="O230" t="s">
        <v>883</v>
      </c>
      <c r="P230" t="s">
        <v>899</v>
      </c>
      <c r="Q230">
        <v>1</v>
      </c>
      <c r="R230">
        <v>45</v>
      </c>
      <c r="S230" t="s">
        <v>900</v>
      </c>
      <c r="T230" s="6">
        <v>199266.57007510631</v>
      </c>
      <c r="U230" s="7">
        <f>T230*DealsRawTable[[#This Row],[Contract_Years]]</f>
        <v>199266.57007510631</v>
      </c>
      <c r="V230" s="8">
        <v>7.0999999999999994E-2</v>
      </c>
      <c r="W230" s="8">
        <v>0.04</v>
      </c>
      <c r="X230" s="8">
        <v>-1.2E-2</v>
      </c>
      <c r="Y230" t="s">
        <v>885</v>
      </c>
      <c r="Z230" t="s">
        <v>879</v>
      </c>
      <c r="AA230" s="6">
        <v>191209.03779262278</v>
      </c>
      <c r="AB230" s="7">
        <f>DealsRawTable[[#This Row],[Final_Price_ACV]]*DealsRawTable[[#This Row],[Contract_Years]]</f>
        <v>191209.03779262278</v>
      </c>
      <c r="AC230" s="6">
        <v>73718.519288504714</v>
      </c>
      <c r="AD230" s="6">
        <v>117490.51850411807</v>
      </c>
      <c r="AE230" s="8">
        <v>0.61446111470705322</v>
      </c>
      <c r="AF230" t="s">
        <v>880</v>
      </c>
      <c r="AH230" t="s">
        <v>44</v>
      </c>
      <c r="AI230" t="s">
        <v>38</v>
      </c>
      <c r="AJ230" s="6">
        <v>191209.03779262278</v>
      </c>
      <c r="AK230" s="6">
        <v>117490.51850411807</v>
      </c>
      <c r="AL230" t="s">
        <v>886</v>
      </c>
      <c r="AM230">
        <f t="shared" si="6"/>
        <v>191295.91</v>
      </c>
      <c r="AN230">
        <f>DealsRawTable[[#This Row],[Validated_Annual_Final_Price]]*DealsRawTable[[#This Row],[Contract_Years]]</f>
        <v>191295.91</v>
      </c>
      <c r="AO230">
        <f>DealsRawTable[[#This Row],[Validated_Annual_Final_Price]]-DealsRawTable[[#This Row],[Cost_to_Serve]]</f>
        <v>117577.39071149529</v>
      </c>
      <c r="AP230" s="17">
        <f>DealsRawTable[[#This Row],[Validated_Grossprofit]]/DealsRawTable[[#This Row],[Validated_Annual_Final_Price]]</f>
        <v>0.61463619745709819</v>
      </c>
      <c r="AQ230" s="17">
        <v>191295.91</v>
      </c>
      <c r="AR230" s="17">
        <v>191295.91</v>
      </c>
      <c r="AS230" s="17">
        <v>117577.39071149529</v>
      </c>
      <c r="AT230" s="17">
        <v>0.61463619745709819</v>
      </c>
      <c r="AU230" s="17" t="str">
        <f t="shared" si="7"/>
        <v>0–5%</v>
      </c>
      <c r="AV230" s="17">
        <v>55</v>
      </c>
      <c r="AW230" s="17"/>
    </row>
    <row r="231" spans="1:49">
      <c r="A231" t="s">
        <v>1136</v>
      </c>
      <c r="B231" s="5">
        <v>45697</v>
      </c>
      <c r="C231" t="s">
        <v>200</v>
      </c>
      <c r="D231" t="s">
        <v>201</v>
      </c>
      <c r="E231" t="s">
        <v>597</v>
      </c>
      <c r="F231" t="s">
        <v>475</v>
      </c>
      <c r="G231" t="s">
        <v>69</v>
      </c>
      <c r="H231" t="s">
        <v>35</v>
      </c>
      <c r="I231" t="s">
        <v>36</v>
      </c>
      <c r="J231" t="s">
        <v>37</v>
      </c>
      <c r="K231" t="s">
        <v>44</v>
      </c>
      <c r="L231" s="5">
        <v>44228</v>
      </c>
      <c r="M231">
        <v>64</v>
      </c>
      <c r="N231" t="s">
        <v>433</v>
      </c>
      <c r="O231" t="s">
        <v>876</v>
      </c>
      <c r="Q231">
        <v>1</v>
      </c>
      <c r="R231">
        <v>45</v>
      </c>
      <c r="S231" t="s">
        <v>900</v>
      </c>
      <c r="T231" s="6">
        <v>211632.60185952537</v>
      </c>
      <c r="U231" s="7">
        <f>T231*DealsRawTable[[#This Row],[Contract_Years]]</f>
        <v>211632.60185952537</v>
      </c>
      <c r="V231" s="8">
        <v>0.20200000000000001</v>
      </c>
      <c r="W231" s="8">
        <v>0.16400000000000001</v>
      </c>
      <c r="X231" s="8">
        <v>1.0999999999999999E-2</v>
      </c>
      <c r="Y231" t="s">
        <v>878</v>
      </c>
      <c r="Z231" t="s">
        <v>889</v>
      </c>
      <c r="AA231" s="6">
        <v>177023.45412785039</v>
      </c>
      <c r="AB231" s="7">
        <f>DealsRawTable[[#This Row],[Final_Price_ACV]]*DealsRawTable[[#This Row],[Contract_Years]]</f>
        <v>177023.45412785039</v>
      </c>
      <c r="AC231" s="6">
        <v>66089.349346003539</v>
      </c>
      <c r="AD231" s="6">
        <v>110934.10478184685</v>
      </c>
      <c r="AE231" s="8">
        <v>0.6266633160469669</v>
      </c>
      <c r="AF231" t="s">
        <v>880</v>
      </c>
      <c r="AG231" t="s">
        <v>44</v>
      </c>
      <c r="AI231" t="s">
        <v>38</v>
      </c>
      <c r="AJ231" s="6">
        <v>177023.45412785039</v>
      </c>
      <c r="AK231" s="6">
        <v>110934.10478184685</v>
      </c>
      <c r="AL231" t="s">
        <v>881</v>
      </c>
      <c r="AM231">
        <f t="shared" si="6"/>
        <v>176924.86</v>
      </c>
      <c r="AN231">
        <f>DealsRawTable[[#This Row],[Validated_Annual_Final_Price]]*DealsRawTable[[#This Row],[Contract_Years]]</f>
        <v>176924.86</v>
      </c>
      <c r="AO231">
        <f>DealsRawTable[[#This Row],[Validated_Annual_Final_Price]]-DealsRawTable[[#This Row],[Cost_to_Serve]]</f>
        <v>110835.51065399645</v>
      </c>
      <c r="AP231" s="17">
        <f>DealsRawTable[[#This Row],[Validated_Grossprofit]]/DealsRawTable[[#This Row],[Validated_Annual_Final_Price]]</f>
        <v>0.62645526837775345</v>
      </c>
      <c r="AQ231" s="17">
        <v>176924.86</v>
      </c>
      <c r="AR231" s="17">
        <v>176924.86</v>
      </c>
      <c r="AS231" s="17">
        <v>110835.51065399645</v>
      </c>
      <c r="AT231" s="17">
        <v>0.62645526837775345</v>
      </c>
      <c r="AU231" s="17" t="str">
        <f t="shared" si="7"/>
        <v>15–20%</v>
      </c>
      <c r="AV231" s="17">
        <v>108</v>
      </c>
      <c r="AW231" s="17"/>
    </row>
    <row r="232" spans="1:49">
      <c r="A232" t="s">
        <v>1137</v>
      </c>
      <c r="B232" s="5">
        <v>45434</v>
      </c>
      <c r="C232" t="s">
        <v>200</v>
      </c>
      <c r="D232" t="s">
        <v>201</v>
      </c>
      <c r="E232" t="s">
        <v>598</v>
      </c>
      <c r="F232" t="s">
        <v>47</v>
      </c>
      <c r="G232" t="s">
        <v>69</v>
      </c>
      <c r="H232" t="s">
        <v>35</v>
      </c>
      <c r="I232" t="s">
        <v>36</v>
      </c>
      <c r="J232" t="s">
        <v>37</v>
      </c>
      <c r="K232" t="s">
        <v>44</v>
      </c>
      <c r="L232" s="5">
        <v>44228</v>
      </c>
      <c r="M232">
        <v>64</v>
      </c>
      <c r="N232" t="s">
        <v>429</v>
      </c>
      <c r="O232" t="s">
        <v>876</v>
      </c>
      <c r="Q232">
        <v>1</v>
      </c>
      <c r="R232">
        <v>32</v>
      </c>
      <c r="S232" t="s">
        <v>900</v>
      </c>
      <c r="T232" s="6">
        <v>87981.070345492626</v>
      </c>
      <c r="U232" s="7">
        <f>T232*DealsRawTable[[#This Row],[Contract_Years]]</f>
        <v>87981.070345492626</v>
      </c>
      <c r="V232" s="8">
        <v>0.186</v>
      </c>
      <c r="W232" s="8">
        <v>0.14599999999999999</v>
      </c>
      <c r="X232" s="8">
        <v>-0.13100000000000001</v>
      </c>
      <c r="Y232" t="s">
        <v>878</v>
      </c>
      <c r="Z232" t="s">
        <v>889</v>
      </c>
      <c r="AA232" s="6">
        <v>75114.486078446746</v>
      </c>
      <c r="AB232" s="7">
        <f>DealsRawTable[[#This Row],[Final_Price_ACV]]*DealsRawTable[[#This Row],[Contract_Years]]</f>
        <v>75114.486078446746</v>
      </c>
      <c r="AC232" s="6">
        <v>31428.808864924002</v>
      </c>
      <c r="AD232" s="6">
        <v>43685.677213522744</v>
      </c>
      <c r="AE232" s="8">
        <v>0.58158791325416337</v>
      </c>
      <c r="AF232" t="s">
        <v>880</v>
      </c>
      <c r="AG232" t="s">
        <v>44</v>
      </c>
      <c r="AI232" t="s">
        <v>38</v>
      </c>
      <c r="AJ232" s="6">
        <v>75114.486078446746</v>
      </c>
      <c r="AK232" s="6">
        <v>43685.677213522744</v>
      </c>
      <c r="AL232" t="s">
        <v>881</v>
      </c>
      <c r="AM232">
        <f t="shared" si="6"/>
        <v>75135.83</v>
      </c>
      <c r="AN232">
        <f>DealsRawTable[[#This Row],[Validated_Annual_Final_Price]]*DealsRawTable[[#This Row],[Contract_Years]]</f>
        <v>75135.83</v>
      </c>
      <c r="AO232">
        <f>DealsRawTable[[#This Row],[Validated_Annual_Final_Price]]-DealsRawTable[[#This Row],[Cost_to_Serve]]</f>
        <v>43707.021135076</v>
      </c>
      <c r="AP232" s="17">
        <f>DealsRawTable[[#This Row],[Validated_Grossprofit]]/DealsRawTable[[#This Row],[Validated_Annual_Final_Price]]</f>
        <v>0.58170677205636778</v>
      </c>
      <c r="AQ232" s="17">
        <v>75135.83</v>
      </c>
      <c r="AR232" s="17">
        <v>75135.83</v>
      </c>
      <c r="AS232" s="17">
        <v>43707.021135076</v>
      </c>
      <c r="AT232" s="17">
        <v>0.58170677205636778</v>
      </c>
      <c r="AU232" s="17" t="str">
        <f t="shared" si="7"/>
        <v>10–15%</v>
      </c>
      <c r="AV232" s="17">
        <v>113</v>
      </c>
      <c r="AW232" s="17"/>
    </row>
    <row r="233" spans="1:49">
      <c r="A233" t="s">
        <v>1138</v>
      </c>
      <c r="B233" s="5">
        <v>45573</v>
      </c>
      <c r="C233" t="s">
        <v>200</v>
      </c>
      <c r="D233" t="s">
        <v>201</v>
      </c>
      <c r="E233" t="s">
        <v>598</v>
      </c>
      <c r="F233" t="s">
        <v>47</v>
      </c>
      <c r="G233" t="s">
        <v>69</v>
      </c>
      <c r="H233" t="s">
        <v>35</v>
      </c>
      <c r="I233" t="s">
        <v>36</v>
      </c>
      <c r="J233" t="s">
        <v>37</v>
      </c>
      <c r="K233" t="s">
        <v>44</v>
      </c>
      <c r="L233" s="5">
        <v>44228</v>
      </c>
      <c r="M233">
        <v>64</v>
      </c>
      <c r="N233" t="s">
        <v>429</v>
      </c>
      <c r="O233" t="s">
        <v>883</v>
      </c>
      <c r="P233" t="s">
        <v>884</v>
      </c>
      <c r="Q233">
        <v>1</v>
      </c>
      <c r="R233">
        <v>43</v>
      </c>
      <c r="S233" t="s">
        <v>947</v>
      </c>
      <c r="T233" s="6">
        <v>109623.11920424932</v>
      </c>
      <c r="U233" s="7">
        <f>T233*DealsRawTable[[#This Row],[Contract_Years]]</f>
        <v>109623.11920424932</v>
      </c>
      <c r="V233" s="8">
        <v>7.5999999999999998E-2</v>
      </c>
      <c r="W233" s="8">
        <v>0.06</v>
      </c>
      <c r="X233" s="8">
        <v>-0.02</v>
      </c>
      <c r="Y233" t="s">
        <v>885</v>
      </c>
      <c r="Z233" t="s">
        <v>879</v>
      </c>
      <c r="AA233" s="6">
        <v>103039.32817748682</v>
      </c>
      <c r="AB233" s="7">
        <f>DealsRawTable[[#This Row],[Final_Price_ACV]]*DealsRawTable[[#This Row],[Contract_Years]]</f>
        <v>103039.32817748682</v>
      </c>
      <c r="AC233" s="6">
        <v>34847.856137443458</v>
      </c>
      <c r="AD233" s="6">
        <v>68191.472040043358</v>
      </c>
      <c r="AE233" s="8">
        <v>0.66180043335087069</v>
      </c>
      <c r="AF233" t="s">
        <v>457</v>
      </c>
      <c r="AH233" t="s">
        <v>38</v>
      </c>
      <c r="AI233" t="s">
        <v>38</v>
      </c>
      <c r="AJ233" s="6">
        <v>0</v>
      </c>
      <c r="AK233" s="6">
        <v>0</v>
      </c>
      <c r="AL233" t="s">
        <v>886</v>
      </c>
      <c r="AM233">
        <f t="shared" si="6"/>
        <v>103045.73</v>
      </c>
      <c r="AN233">
        <f>DealsRawTable[[#This Row],[Validated_Annual_Final_Price]]*DealsRawTable[[#This Row],[Contract_Years]]</f>
        <v>103045.73</v>
      </c>
      <c r="AO233">
        <f>DealsRawTable[[#This Row],[Validated_Annual_Final_Price]]-DealsRawTable[[#This Row],[Cost_to_Serve]]</f>
        <v>68197.873862556531</v>
      </c>
      <c r="AP233" s="17">
        <f>DealsRawTable[[#This Row],[Validated_Grossprofit]]/DealsRawTable[[#This Row],[Validated_Annual_Final_Price]]</f>
        <v>0.66182144434860657</v>
      </c>
      <c r="AQ233" s="17">
        <v>0</v>
      </c>
      <c r="AR233" s="17">
        <v>0</v>
      </c>
      <c r="AS233" s="17">
        <v>0</v>
      </c>
      <c r="AT233" s="17">
        <v>0</v>
      </c>
      <c r="AU233" s="17" t="str">
        <f t="shared" si="7"/>
        <v>5–10%</v>
      </c>
      <c r="AV233" s="17">
        <v>116</v>
      </c>
      <c r="AW233" s="17"/>
    </row>
    <row r="234" spans="1:49">
      <c r="A234" t="s">
        <v>1139</v>
      </c>
      <c r="B234" s="5">
        <v>45799</v>
      </c>
      <c r="C234" t="s">
        <v>200</v>
      </c>
      <c r="D234" t="s">
        <v>201</v>
      </c>
      <c r="E234" t="s">
        <v>598</v>
      </c>
      <c r="F234" t="s">
        <v>47</v>
      </c>
      <c r="G234" t="s">
        <v>69</v>
      </c>
      <c r="H234" t="s">
        <v>35</v>
      </c>
      <c r="I234" t="s">
        <v>36</v>
      </c>
      <c r="J234" t="s">
        <v>37</v>
      </c>
      <c r="K234" t="s">
        <v>44</v>
      </c>
      <c r="L234" s="5">
        <v>44228</v>
      </c>
      <c r="M234">
        <v>64</v>
      </c>
      <c r="N234" t="s">
        <v>429</v>
      </c>
      <c r="O234" t="s">
        <v>876</v>
      </c>
      <c r="Q234">
        <v>1</v>
      </c>
      <c r="R234">
        <v>32</v>
      </c>
      <c r="S234" t="s">
        <v>900</v>
      </c>
      <c r="T234" s="6">
        <v>94313.100996206646</v>
      </c>
      <c r="U234" s="7">
        <f>T234*DealsRawTable[[#This Row],[Contract_Years]]</f>
        <v>94313.100996206646</v>
      </c>
      <c r="V234" s="8">
        <v>6.0999999999999999E-2</v>
      </c>
      <c r="W234" s="8">
        <v>1.7000000000000001E-2</v>
      </c>
      <c r="X234" s="8">
        <v>-4.8000000000000001E-2</v>
      </c>
      <c r="Y234" t="s">
        <v>878</v>
      </c>
      <c r="Z234" t="s">
        <v>879</v>
      </c>
      <c r="AA234" s="6">
        <v>92732.946399570821</v>
      </c>
      <c r="AB234" s="7">
        <f>DealsRawTable[[#This Row],[Final_Price_ACV]]*DealsRawTable[[#This Row],[Contract_Years]]</f>
        <v>92732.946399570821</v>
      </c>
      <c r="AC234" s="6">
        <v>31388.108255033956</v>
      </c>
      <c r="AD234" s="6">
        <v>61344.838144536865</v>
      </c>
      <c r="AE234" s="8">
        <v>0.66152150369742568</v>
      </c>
      <c r="AF234" t="s">
        <v>880</v>
      </c>
      <c r="AG234" t="s">
        <v>44</v>
      </c>
      <c r="AI234" t="s">
        <v>38</v>
      </c>
      <c r="AJ234" s="6">
        <v>92732.946399570821</v>
      </c>
      <c r="AK234" s="6">
        <v>61344.838144536865</v>
      </c>
      <c r="AL234" t="s">
        <v>881</v>
      </c>
      <c r="AM234">
        <f t="shared" si="6"/>
        <v>92709.78</v>
      </c>
      <c r="AN234">
        <f>DealsRawTable[[#This Row],[Validated_Annual_Final_Price]]*DealsRawTable[[#This Row],[Contract_Years]]</f>
        <v>92709.78</v>
      </c>
      <c r="AO234">
        <f>DealsRawTable[[#This Row],[Validated_Annual_Final_Price]]-DealsRawTable[[#This Row],[Cost_to_Serve]]</f>
        <v>61321.671744966043</v>
      </c>
      <c r="AP234" s="17">
        <f>DealsRawTable[[#This Row],[Validated_Grossprofit]]/DealsRawTable[[#This Row],[Validated_Annual_Final_Price]]</f>
        <v>0.66143692439962687</v>
      </c>
      <c r="AQ234" s="17">
        <v>92709.78</v>
      </c>
      <c r="AR234" s="17">
        <v>92709.78</v>
      </c>
      <c r="AS234" s="17">
        <v>61321.671744966043</v>
      </c>
      <c r="AT234" s="17">
        <v>0.66143692439962687</v>
      </c>
      <c r="AU234" s="17" t="str">
        <f t="shared" si="7"/>
        <v>0–5%</v>
      </c>
      <c r="AV234" s="17">
        <v>55</v>
      </c>
      <c r="AW234" s="17"/>
    </row>
    <row r="235" spans="1:49">
      <c r="A235" t="s">
        <v>1140</v>
      </c>
      <c r="B235" s="5">
        <v>45616</v>
      </c>
      <c r="C235" t="s">
        <v>202</v>
      </c>
      <c r="D235" t="s">
        <v>203</v>
      </c>
      <c r="E235" t="s">
        <v>599</v>
      </c>
      <c r="F235" t="s">
        <v>449</v>
      </c>
      <c r="G235" t="s">
        <v>47</v>
      </c>
      <c r="H235" t="s">
        <v>35</v>
      </c>
      <c r="I235" t="s">
        <v>36</v>
      </c>
      <c r="J235" t="s">
        <v>56</v>
      </c>
      <c r="K235" t="s">
        <v>38</v>
      </c>
      <c r="L235" s="5">
        <v>43556</v>
      </c>
      <c r="M235">
        <v>76</v>
      </c>
      <c r="N235" t="s">
        <v>431</v>
      </c>
      <c r="O235" t="s">
        <v>891</v>
      </c>
      <c r="Q235">
        <v>3</v>
      </c>
      <c r="R235">
        <v>143</v>
      </c>
      <c r="S235" t="s">
        <v>900</v>
      </c>
      <c r="T235" s="6">
        <v>75247.96241315818</v>
      </c>
      <c r="U235" s="7">
        <f>T235*DealsRawTable[[#This Row],[Contract_Years]]</f>
        <v>225743.88723947454</v>
      </c>
      <c r="V235" s="8">
        <v>0.30299999999999999</v>
      </c>
      <c r="W235" s="8">
        <v>0.25800000000000001</v>
      </c>
      <c r="X235" s="8">
        <v>-7.9000000000000001E-2</v>
      </c>
      <c r="Y235" t="s">
        <v>878</v>
      </c>
      <c r="Z235" t="s">
        <v>893</v>
      </c>
      <c r="AA235" s="6">
        <v>55825.998104450147</v>
      </c>
      <c r="AB235" s="7">
        <f>DealsRawTable[[#This Row],[Final_Price_ACV]]*DealsRawTable[[#This Row],[Contract_Years]]</f>
        <v>167477.99431335044</v>
      </c>
      <c r="AC235" s="6">
        <v>29388.988788687439</v>
      </c>
      <c r="AD235" s="6">
        <v>26437.009315762709</v>
      </c>
      <c r="AE235" s="8">
        <v>0.47356088943182356</v>
      </c>
      <c r="AF235" t="s">
        <v>880</v>
      </c>
      <c r="AI235" t="s">
        <v>38</v>
      </c>
      <c r="AJ235" s="6">
        <v>55825.998104450147</v>
      </c>
      <c r="AK235" s="6">
        <v>26437.009315762709</v>
      </c>
      <c r="AL235" t="s">
        <v>894</v>
      </c>
      <c r="AM235">
        <f t="shared" si="6"/>
        <v>55833.99</v>
      </c>
      <c r="AN235">
        <f>DealsRawTable[[#This Row],[Validated_Annual_Final_Price]]*DealsRawTable[[#This Row],[Contract_Years]]</f>
        <v>167501.97</v>
      </c>
      <c r="AO235">
        <f>DealsRawTable[[#This Row],[Validated_Annual_Final_Price]]-DealsRawTable[[#This Row],[Cost_to_Serve]]</f>
        <v>26445.001211312559</v>
      </c>
      <c r="AP235" s="17">
        <f>DealsRawTable[[#This Row],[Validated_Grossprofit]]/DealsRawTable[[#This Row],[Validated_Annual_Final_Price]]</f>
        <v>0.4736362422121822</v>
      </c>
      <c r="AQ235" s="17">
        <v>55833.99</v>
      </c>
      <c r="AR235" s="17">
        <v>167501.97</v>
      </c>
      <c r="AS235" s="17">
        <v>26445.001211312559</v>
      </c>
      <c r="AT235" s="17">
        <v>0.4736362422121822</v>
      </c>
      <c r="AU235" s="17" t="str">
        <f t="shared" si="7"/>
        <v>25–30%</v>
      </c>
      <c r="AV235" s="17">
        <v>3</v>
      </c>
      <c r="AW235" s="17"/>
    </row>
    <row r="236" spans="1:49">
      <c r="A236" t="s">
        <v>1141</v>
      </c>
      <c r="B236" s="5">
        <v>45395</v>
      </c>
      <c r="C236" t="s">
        <v>202</v>
      </c>
      <c r="D236" t="s">
        <v>203</v>
      </c>
      <c r="E236" t="s">
        <v>600</v>
      </c>
      <c r="F236" t="s">
        <v>34</v>
      </c>
      <c r="G236" t="s">
        <v>47</v>
      </c>
      <c r="H236" t="s">
        <v>35</v>
      </c>
      <c r="I236" t="s">
        <v>36</v>
      </c>
      <c r="J236" t="s">
        <v>56</v>
      </c>
      <c r="K236" t="s">
        <v>38</v>
      </c>
      <c r="L236" s="5">
        <v>43556</v>
      </c>
      <c r="M236">
        <v>76</v>
      </c>
      <c r="N236" t="s">
        <v>424</v>
      </c>
      <c r="O236" t="s">
        <v>883</v>
      </c>
      <c r="P236" t="s">
        <v>985</v>
      </c>
      <c r="Q236">
        <v>1</v>
      </c>
      <c r="R236">
        <v>109</v>
      </c>
      <c r="S236" t="s">
        <v>892</v>
      </c>
      <c r="T236" s="6">
        <v>77006.629531664847</v>
      </c>
      <c r="U236" s="7">
        <f>T236*DealsRawTable[[#This Row],[Contract_Years]]</f>
        <v>77006.629531664847</v>
      </c>
      <c r="V236" s="8">
        <v>0.16700000000000001</v>
      </c>
      <c r="W236" s="8">
        <v>0.14699999999999999</v>
      </c>
      <c r="X236" s="8">
        <v>3.5999999999999997E-2</v>
      </c>
      <c r="Y236" t="s">
        <v>885</v>
      </c>
      <c r="Z236" t="s">
        <v>889</v>
      </c>
      <c r="AA236" s="6">
        <v>65651.771800494316</v>
      </c>
      <c r="AB236" s="7">
        <f>DealsRawTable[[#This Row],[Final_Price_ACV]]*DealsRawTable[[#This Row],[Contract_Years]]</f>
        <v>65651.771800494316</v>
      </c>
      <c r="AC236" s="6">
        <v>20744.336859194438</v>
      </c>
      <c r="AD236" s="6">
        <v>44907.434941299878</v>
      </c>
      <c r="AE236" s="8">
        <v>0.6840247217967963</v>
      </c>
      <c r="AF236" t="s">
        <v>880</v>
      </c>
      <c r="AH236" t="s">
        <v>44</v>
      </c>
      <c r="AI236" t="s">
        <v>38</v>
      </c>
      <c r="AJ236" s="6">
        <v>65651.771800494316</v>
      </c>
      <c r="AK236" s="6">
        <v>44907.434941299878</v>
      </c>
      <c r="AL236" t="s">
        <v>886</v>
      </c>
      <c r="AM236">
        <f t="shared" si="6"/>
        <v>65686.649999999994</v>
      </c>
      <c r="AN236">
        <f>DealsRawTable[[#This Row],[Validated_Annual_Final_Price]]*DealsRawTable[[#This Row],[Contract_Years]]</f>
        <v>65686.649999999994</v>
      </c>
      <c r="AO236">
        <f>DealsRawTable[[#This Row],[Validated_Annual_Final_Price]]-DealsRawTable[[#This Row],[Cost_to_Serve]]</f>
        <v>44942.313140805556</v>
      </c>
      <c r="AP236" s="17">
        <f>DealsRawTable[[#This Row],[Validated_Grossprofit]]/DealsRawTable[[#This Row],[Validated_Annual_Final_Price]]</f>
        <v>0.68419249787902958</v>
      </c>
      <c r="AQ236" s="17">
        <v>65686.649999999994</v>
      </c>
      <c r="AR236" s="17">
        <v>65686.649999999994</v>
      </c>
      <c r="AS236" s="17">
        <v>44942.313140805556</v>
      </c>
      <c r="AT236" s="17">
        <v>0.68419249787902958</v>
      </c>
      <c r="AU236" s="17" t="str">
        <f t="shared" si="7"/>
        <v>10–15%</v>
      </c>
      <c r="AV236" s="17">
        <v>113</v>
      </c>
      <c r="AW236" s="17"/>
    </row>
    <row r="237" spans="1:49">
      <c r="A237" t="s">
        <v>1142</v>
      </c>
      <c r="B237" s="5">
        <v>45508</v>
      </c>
      <c r="C237" t="s">
        <v>202</v>
      </c>
      <c r="D237" t="s">
        <v>203</v>
      </c>
      <c r="E237" t="s">
        <v>600</v>
      </c>
      <c r="F237" t="s">
        <v>34</v>
      </c>
      <c r="G237" t="s">
        <v>47</v>
      </c>
      <c r="H237" t="s">
        <v>35</v>
      </c>
      <c r="I237" t="s">
        <v>36</v>
      </c>
      <c r="J237" t="s">
        <v>56</v>
      </c>
      <c r="K237" t="s">
        <v>38</v>
      </c>
      <c r="L237" s="5">
        <v>43556</v>
      </c>
      <c r="M237">
        <v>76</v>
      </c>
      <c r="N237" t="s">
        <v>424</v>
      </c>
      <c r="O237" t="s">
        <v>876</v>
      </c>
      <c r="Q237">
        <v>1</v>
      </c>
      <c r="R237">
        <v>109</v>
      </c>
      <c r="S237" t="s">
        <v>947</v>
      </c>
      <c r="T237" s="6">
        <v>80187.024649612344</v>
      </c>
      <c r="U237" s="7">
        <f>T237*DealsRawTable[[#This Row],[Contract_Years]]</f>
        <v>80187.024649612344</v>
      </c>
      <c r="V237" s="8">
        <v>8.5999999999999993E-2</v>
      </c>
      <c r="W237" s="8">
        <v>8.2000000000000003E-2</v>
      </c>
      <c r="X237" s="8">
        <v>0.01</v>
      </c>
      <c r="Y237" t="s">
        <v>905</v>
      </c>
      <c r="Z237" t="s">
        <v>879</v>
      </c>
      <c r="AA237" s="6">
        <v>73594.986070498315</v>
      </c>
      <c r="AB237" s="7">
        <f>DealsRawTable[[#This Row],[Final_Price_ACV]]*DealsRawTable[[#This Row],[Contract_Years]]</f>
        <v>73594.986070498315</v>
      </c>
      <c r="AC237" s="6">
        <v>22508.688956705515</v>
      </c>
      <c r="AD237" s="6">
        <v>51086.297113792796</v>
      </c>
      <c r="AE237" s="8">
        <v>0.69415458635804439</v>
      </c>
      <c r="AF237" t="s">
        <v>880</v>
      </c>
      <c r="AG237" t="s">
        <v>44</v>
      </c>
      <c r="AI237" t="s">
        <v>38</v>
      </c>
      <c r="AJ237" s="6">
        <v>73594.986070498315</v>
      </c>
      <c r="AK237" s="6">
        <v>51086.297113792796</v>
      </c>
      <c r="AL237" t="s">
        <v>881</v>
      </c>
      <c r="AM237">
        <f t="shared" si="6"/>
        <v>73611.69</v>
      </c>
      <c r="AN237">
        <f>DealsRawTable[[#This Row],[Validated_Annual_Final_Price]]*DealsRawTable[[#This Row],[Contract_Years]]</f>
        <v>73611.69</v>
      </c>
      <c r="AO237">
        <f>DealsRawTable[[#This Row],[Validated_Annual_Final_Price]]-DealsRawTable[[#This Row],[Cost_to_Serve]]</f>
        <v>51103.001043294484</v>
      </c>
      <c r="AP237" s="17">
        <f>DealsRawTable[[#This Row],[Validated_Grossprofit]]/DealsRawTable[[#This Row],[Validated_Annual_Final_Price]]</f>
        <v>0.69422398865308599</v>
      </c>
      <c r="AQ237" s="17">
        <v>73611.69</v>
      </c>
      <c r="AR237" s="17">
        <v>73611.69</v>
      </c>
      <c r="AS237" s="17">
        <v>51103.001043294484</v>
      </c>
      <c r="AT237" s="17">
        <v>0.69422398865308599</v>
      </c>
      <c r="AU237" s="17" t="str">
        <f t="shared" si="7"/>
        <v>5–10%</v>
      </c>
      <c r="AV237" s="17">
        <v>116</v>
      </c>
      <c r="AW237" s="17"/>
    </row>
    <row r="238" spans="1:49">
      <c r="A238" t="s">
        <v>1143</v>
      </c>
      <c r="B238" s="5">
        <v>45873</v>
      </c>
      <c r="C238" t="s">
        <v>202</v>
      </c>
      <c r="D238" t="s">
        <v>203</v>
      </c>
      <c r="E238" t="s">
        <v>600</v>
      </c>
      <c r="F238" t="s">
        <v>34</v>
      </c>
      <c r="G238" t="s">
        <v>47</v>
      </c>
      <c r="H238" t="s">
        <v>35</v>
      </c>
      <c r="I238" t="s">
        <v>36</v>
      </c>
      <c r="J238" t="s">
        <v>56</v>
      </c>
      <c r="K238" t="s">
        <v>38</v>
      </c>
      <c r="L238" s="5">
        <v>43556</v>
      </c>
      <c r="M238">
        <v>76</v>
      </c>
      <c r="N238" t="s">
        <v>424</v>
      </c>
      <c r="O238" t="s">
        <v>876</v>
      </c>
      <c r="Q238">
        <v>1</v>
      </c>
      <c r="R238">
        <v>109</v>
      </c>
      <c r="S238" t="s">
        <v>888</v>
      </c>
      <c r="T238" s="6">
        <v>83502.420879554076</v>
      </c>
      <c r="U238" s="7">
        <f>T238*DealsRawTable[[#This Row],[Contract_Years]]</f>
        <v>83502.420879554076</v>
      </c>
      <c r="V238" s="8">
        <v>0.245</v>
      </c>
      <c r="W238" s="8">
        <v>0.189</v>
      </c>
      <c r="X238" s="8">
        <v>5.6000000000000001E-2</v>
      </c>
      <c r="Y238" t="s">
        <v>911</v>
      </c>
      <c r="Z238" t="s">
        <v>889</v>
      </c>
      <c r="AA238" s="6">
        <v>67680.320691414992</v>
      </c>
      <c r="AB238" s="7">
        <f>DealsRawTable[[#This Row],[Final_Price_ACV]]*DealsRawTable[[#This Row],[Contract_Years]]</f>
        <v>67680.320691414992</v>
      </c>
      <c r="AC238" s="6">
        <v>22509.292729644207</v>
      </c>
      <c r="AD238" s="6">
        <v>45171.027961770786</v>
      </c>
      <c r="AE238" s="8">
        <v>0.6674174634562654</v>
      </c>
      <c r="AF238" t="s">
        <v>880</v>
      </c>
      <c r="AG238" t="s">
        <v>44</v>
      </c>
      <c r="AI238" t="s">
        <v>38</v>
      </c>
      <c r="AJ238" s="6">
        <v>67680.320691414992</v>
      </c>
      <c r="AK238" s="6">
        <v>45171.027961770786</v>
      </c>
      <c r="AL238" t="s">
        <v>881</v>
      </c>
      <c r="AM238">
        <f t="shared" si="6"/>
        <v>67720.460000000006</v>
      </c>
      <c r="AN238">
        <f>DealsRawTable[[#This Row],[Validated_Annual_Final_Price]]*DealsRawTable[[#This Row],[Contract_Years]]</f>
        <v>67720.460000000006</v>
      </c>
      <c r="AO238">
        <f>DealsRawTable[[#This Row],[Validated_Annual_Final_Price]]-DealsRawTable[[#This Row],[Cost_to_Serve]]</f>
        <v>45211.1672703558</v>
      </c>
      <c r="AP238" s="17">
        <f>DealsRawTable[[#This Row],[Validated_Grossprofit]]/DealsRawTable[[#This Row],[Validated_Annual_Final_Price]]</f>
        <v>0.66761459196165818</v>
      </c>
      <c r="AQ238" s="17">
        <v>67720.460000000006</v>
      </c>
      <c r="AR238" s="17">
        <v>67720.460000000006</v>
      </c>
      <c r="AS238" s="17">
        <v>45211.1672703558</v>
      </c>
      <c r="AT238" s="17">
        <v>0.66761459196165818</v>
      </c>
      <c r="AU238" s="17" t="str">
        <f t="shared" si="7"/>
        <v>15–20%</v>
      </c>
      <c r="AV238" s="17">
        <v>108</v>
      </c>
      <c r="AW238" s="17"/>
    </row>
    <row r="239" spans="1:49">
      <c r="A239" t="s">
        <v>1144</v>
      </c>
      <c r="B239" s="5">
        <v>45395</v>
      </c>
      <c r="C239" t="s">
        <v>204</v>
      </c>
      <c r="D239" t="s">
        <v>205</v>
      </c>
      <c r="E239" t="s">
        <v>601</v>
      </c>
      <c r="F239" t="s">
        <v>47</v>
      </c>
      <c r="G239" t="s">
        <v>83</v>
      </c>
      <c r="H239" t="s">
        <v>70</v>
      </c>
      <c r="I239" t="s">
        <v>71</v>
      </c>
      <c r="J239" t="s">
        <v>56</v>
      </c>
      <c r="K239" t="s">
        <v>38</v>
      </c>
      <c r="L239" s="5">
        <v>45231</v>
      </c>
      <c r="M239">
        <v>87</v>
      </c>
      <c r="N239" t="s">
        <v>429</v>
      </c>
      <c r="O239" t="s">
        <v>891</v>
      </c>
      <c r="Q239">
        <v>2</v>
      </c>
      <c r="R239">
        <v>60</v>
      </c>
      <c r="S239" t="s">
        <v>896</v>
      </c>
      <c r="T239" s="6">
        <v>188934.95449437317</v>
      </c>
      <c r="U239" s="7">
        <f>T239*DealsRawTable[[#This Row],[Contract_Years]]</f>
        <v>377869.90898874635</v>
      </c>
      <c r="V239" s="8">
        <v>0.16500000000000001</v>
      </c>
      <c r="W239" s="8">
        <v>0.14099999999999999</v>
      </c>
      <c r="X239" s="8">
        <v>5.8999999999999997E-2</v>
      </c>
      <c r="Y239" t="s">
        <v>930</v>
      </c>
      <c r="Z239" t="s">
        <v>889</v>
      </c>
      <c r="AA239" s="6">
        <v>162225.43853180212</v>
      </c>
      <c r="AB239" s="7">
        <f>DealsRawTable[[#This Row],[Final_Price_ACV]]*DealsRawTable[[#This Row],[Contract_Years]]</f>
        <v>324450.87706360425</v>
      </c>
      <c r="AC239" s="6">
        <v>65639.452421605223</v>
      </c>
      <c r="AD239" s="6">
        <v>96585.9861101969</v>
      </c>
      <c r="AE239" s="8">
        <v>0.59538126069705466</v>
      </c>
      <c r="AF239" t="s">
        <v>880</v>
      </c>
      <c r="AI239" t="s">
        <v>38</v>
      </c>
      <c r="AJ239" s="6">
        <v>162225.43853180212</v>
      </c>
      <c r="AK239" s="6">
        <v>96585.9861101969</v>
      </c>
      <c r="AL239" t="s">
        <v>894</v>
      </c>
      <c r="AM239">
        <f t="shared" si="6"/>
        <v>162295.13</v>
      </c>
      <c r="AN239">
        <f>DealsRawTable[[#This Row],[Validated_Annual_Final_Price]]*DealsRawTable[[#This Row],[Contract_Years]]</f>
        <v>324590.26</v>
      </c>
      <c r="AO239">
        <f>DealsRawTable[[#This Row],[Validated_Annual_Final_Price]]-DealsRawTable[[#This Row],[Cost_to_Serve]]</f>
        <v>96655.677578394781</v>
      </c>
      <c r="AP239" s="17">
        <f>DealsRawTable[[#This Row],[Validated_Grossprofit]]/DealsRawTable[[#This Row],[Validated_Annual_Final_Price]]</f>
        <v>0.59555500881877832</v>
      </c>
      <c r="AQ239" s="17">
        <v>162295.13</v>
      </c>
      <c r="AR239" s="17">
        <v>324590.26</v>
      </c>
      <c r="AS239" s="17">
        <v>96655.677578394781</v>
      </c>
      <c r="AT239" s="17">
        <v>0.59555500881877832</v>
      </c>
      <c r="AU239" s="17" t="str">
        <f t="shared" si="7"/>
        <v>10–15%</v>
      </c>
      <c r="AV239" s="17">
        <v>113</v>
      </c>
      <c r="AW239" s="17"/>
    </row>
    <row r="240" spans="1:49">
      <c r="A240" t="s">
        <v>1145</v>
      </c>
      <c r="B240" s="5">
        <v>45576</v>
      </c>
      <c r="C240" t="s">
        <v>204</v>
      </c>
      <c r="D240" t="s">
        <v>205</v>
      </c>
      <c r="E240" t="s">
        <v>602</v>
      </c>
      <c r="F240" t="s">
        <v>47</v>
      </c>
      <c r="G240" t="s">
        <v>83</v>
      </c>
      <c r="H240" t="s">
        <v>70</v>
      </c>
      <c r="I240" t="s">
        <v>71</v>
      </c>
      <c r="J240" t="s">
        <v>56</v>
      </c>
      <c r="K240" t="s">
        <v>38</v>
      </c>
      <c r="L240" s="5">
        <v>45231</v>
      </c>
      <c r="M240">
        <v>87</v>
      </c>
      <c r="N240" t="s">
        <v>424</v>
      </c>
      <c r="O240" t="s">
        <v>891</v>
      </c>
      <c r="Q240">
        <v>3</v>
      </c>
      <c r="R240">
        <v>76</v>
      </c>
      <c r="S240" t="s">
        <v>932</v>
      </c>
      <c r="T240" s="6">
        <v>44571.821609145867</v>
      </c>
      <c r="U240" s="7">
        <f>T240*DealsRawTable[[#This Row],[Contract_Years]]</f>
        <v>133715.46482743759</v>
      </c>
      <c r="V240" s="8">
        <v>0.17100000000000001</v>
      </c>
      <c r="W240" s="8">
        <v>0.158</v>
      </c>
      <c r="X240" s="8">
        <v>-6.6000000000000003E-2</v>
      </c>
      <c r="Y240" t="s">
        <v>905</v>
      </c>
      <c r="Z240" t="s">
        <v>889</v>
      </c>
      <c r="AA240" s="6">
        <v>37546.171741247184</v>
      </c>
      <c r="AB240" s="7">
        <f>DealsRawTable[[#This Row],[Final_Price_ACV]]*DealsRawTable[[#This Row],[Contract_Years]]</f>
        <v>112638.51522374156</v>
      </c>
      <c r="AC240" s="6">
        <v>13373.47188573787</v>
      </c>
      <c r="AD240" s="6">
        <v>24172.699855509316</v>
      </c>
      <c r="AE240" s="8">
        <v>0.64381263746668094</v>
      </c>
      <c r="AF240" t="s">
        <v>880</v>
      </c>
      <c r="AI240" t="s">
        <v>38</v>
      </c>
      <c r="AJ240" s="6">
        <v>37546.171741247184</v>
      </c>
      <c r="AK240" s="6">
        <v>24172.699855509316</v>
      </c>
      <c r="AL240" t="s">
        <v>894</v>
      </c>
      <c r="AM240">
        <f t="shared" si="6"/>
        <v>37529.47</v>
      </c>
      <c r="AN240">
        <f>DealsRawTable[[#This Row],[Validated_Annual_Final_Price]]*DealsRawTable[[#This Row],[Contract_Years]]</f>
        <v>112588.41</v>
      </c>
      <c r="AO240">
        <f>DealsRawTable[[#This Row],[Validated_Annual_Final_Price]]-DealsRawTable[[#This Row],[Cost_to_Serve]]</f>
        <v>24155.998114262133</v>
      </c>
      <c r="AP240" s="17">
        <f>DealsRawTable[[#This Row],[Validated_Grossprofit]]/DealsRawTable[[#This Row],[Validated_Annual_Final_Price]]</f>
        <v>0.64365412339321959</v>
      </c>
      <c r="AQ240" s="17">
        <v>37529.47</v>
      </c>
      <c r="AR240" s="17">
        <v>112588.41</v>
      </c>
      <c r="AS240" s="17">
        <v>24155.998114262133</v>
      </c>
      <c r="AT240" s="17">
        <v>0.64365412339321959</v>
      </c>
      <c r="AU240" s="17" t="str">
        <f t="shared" si="7"/>
        <v>15–20%</v>
      </c>
      <c r="AV240" s="17">
        <v>108</v>
      </c>
      <c r="AW240" s="17"/>
    </row>
    <row r="241" spans="1:49">
      <c r="A241" t="s">
        <v>1146</v>
      </c>
      <c r="B241" s="5">
        <v>45759</v>
      </c>
      <c r="C241" t="s">
        <v>206</v>
      </c>
      <c r="D241" t="s">
        <v>207</v>
      </c>
      <c r="E241" t="s">
        <v>603</v>
      </c>
      <c r="F241" t="s">
        <v>34</v>
      </c>
      <c r="G241" t="s">
        <v>83</v>
      </c>
      <c r="H241" t="s">
        <v>54</v>
      </c>
      <c r="I241" t="s">
        <v>55</v>
      </c>
      <c r="J241" t="s">
        <v>37</v>
      </c>
      <c r="K241" t="s">
        <v>38</v>
      </c>
      <c r="L241" s="5">
        <v>45017</v>
      </c>
      <c r="M241">
        <v>59</v>
      </c>
      <c r="N241" t="s">
        <v>429</v>
      </c>
      <c r="O241" t="s">
        <v>891</v>
      </c>
      <c r="Q241">
        <v>1</v>
      </c>
      <c r="R241">
        <v>71</v>
      </c>
      <c r="S241" t="s">
        <v>892</v>
      </c>
      <c r="T241" s="6">
        <v>69007.137860572358</v>
      </c>
      <c r="U241" s="7">
        <f>T241*DealsRawTable[[#This Row],[Contract_Years]]</f>
        <v>69007.137860572358</v>
      </c>
      <c r="V241" s="8">
        <v>4.8000000000000001E-2</v>
      </c>
      <c r="W241" s="8">
        <v>1.9E-2</v>
      </c>
      <c r="X241" s="8">
        <v>-3.1E-2</v>
      </c>
      <c r="Y241" t="s">
        <v>878</v>
      </c>
      <c r="Z241" t="s">
        <v>879</v>
      </c>
      <c r="AA241" s="6">
        <v>67715.361543148727</v>
      </c>
      <c r="AB241" s="7">
        <f>DealsRawTable[[#This Row],[Final_Price_ACV]]*DealsRawTable[[#This Row],[Contract_Years]]</f>
        <v>67715.361543148727</v>
      </c>
      <c r="AC241" s="6">
        <v>25396.098071913024</v>
      </c>
      <c r="AD241" s="6">
        <v>42319.263471235703</v>
      </c>
      <c r="AE241" s="8">
        <v>0.62495809675725589</v>
      </c>
      <c r="AF241" t="s">
        <v>880</v>
      </c>
      <c r="AI241" t="s">
        <v>38</v>
      </c>
      <c r="AJ241" s="6">
        <v>67715.361543148727</v>
      </c>
      <c r="AK241" s="6">
        <v>42319.263471235703</v>
      </c>
      <c r="AL241" t="s">
        <v>894</v>
      </c>
      <c r="AM241">
        <f t="shared" si="6"/>
        <v>67696</v>
      </c>
      <c r="AN241">
        <f>DealsRawTable[[#This Row],[Validated_Annual_Final_Price]]*DealsRawTable[[#This Row],[Contract_Years]]</f>
        <v>67696</v>
      </c>
      <c r="AO241">
        <f>DealsRawTable[[#This Row],[Validated_Annual_Final_Price]]-DealsRawTable[[#This Row],[Cost_to_Serve]]</f>
        <v>42299.901928086976</v>
      </c>
      <c r="AP241" s="17">
        <f>DealsRawTable[[#This Row],[Validated_Grossprofit]]/DealsRawTable[[#This Row],[Validated_Annual_Final_Price]]</f>
        <v>0.62485083207408088</v>
      </c>
      <c r="AQ241" s="17">
        <v>67696</v>
      </c>
      <c r="AR241" s="17">
        <v>67696</v>
      </c>
      <c r="AS241" s="17">
        <v>42299.901928086976</v>
      </c>
      <c r="AT241" s="17">
        <v>0.62485083207408088</v>
      </c>
      <c r="AU241" s="17" t="str">
        <f t="shared" si="7"/>
        <v>0–5%</v>
      </c>
      <c r="AV241" s="17">
        <v>55</v>
      </c>
      <c r="AW241" s="17"/>
    </row>
    <row r="242" spans="1:49">
      <c r="A242" t="s">
        <v>1147</v>
      </c>
      <c r="B242" s="5">
        <v>45870</v>
      </c>
      <c r="C242" t="s">
        <v>206</v>
      </c>
      <c r="D242" t="s">
        <v>207</v>
      </c>
      <c r="E242" t="s">
        <v>604</v>
      </c>
      <c r="F242" t="s">
        <v>34</v>
      </c>
      <c r="G242" t="s">
        <v>83</v>
      </c>
      <c r="H242" t="s">
        <v>54</v>
      </c>
      <c r="I242" t="s">
        <v>55</v>
      </c>
      <c r="J242" t="s">
        <v>37</v>
      </c>
      <c r="K242" t="s">
        <v>38</v>
      </c>
      <c r="L242" s="5">
        <v>45017</v>
      </c>
      <c r="M242">
        <v>59</v>
      </c>
      <c r="N242" t="s">
        <v>431</v>
      </c>
      <c r="O242" t="s">
        <v>883</v>
      </c>
      <c r="P242" t="s">
        <v>899</v>
      </c>
      <c r="Q242">
        <v>2</v>
      </c>
      <c r="R242">
        <v>34</v>
      </c>
      <c r="S242" t="s">
        <v>892</v>
      </c>
      <c r="T242" s="6">
        <v>43812.083933674141</v>
      </c>
      <c r="U242" s="7">
        <f>T242*DealsRawTable[[#This Row],[Contract_Years]]</f>
        <v>87624.167867348282</v>
      </c>
      <c r="V242" s="8">
        <v>0.13800000000000001</v>
      </c>
      <c r="W242" s="8">
        <v>0.122</v>
      </c>
      <c r="X242" s="8">
        <v>-2.1000000000000001E-2</v>
      </c>
      <c r="Y242" t="s">
        <v>885</v>
      </c>
      <c r="Z242" t="s">
        <v>889</v>
      </c>
      <c r="AA242" s="6">
        <v>38446.847196104965</v>
      </c>
      <c r="AB242" s="7">
        <f>DealsRawTable[[#This Row],[Final_Price_ACV]]*DealsRawTable[[#This Row],[Contract_Years]]</f>
        <v>76893.694392209931</v>
      </c>
      <c r="AC242" s="6">
        <v>17214.101288235499</v>
      </c>
      <c r="AD242" s="6">
        <v>21232.745907869466</v>
      </c>
      <c r="AE242" s="8">
        <v>0.55226234285396869</v>
      </c>
      <c r="AF242" t="s">
        <v>880</v>
      </c>
      <c r="AH242" t="s">
        <v>44</v>
      </c>
      <c r="AI242" t="s">
        <v>38</v>
      </c>
      <c r="AJ242" s="6">
        <v>38446.847196104965</v>
      </c>
      <c r="AK242" s="6">
        <v>21232.745907869466</v>
      </c>
      <c r="AL242" t="s">
        <v>886</v>
      </c>
      <c r="AM242">
        <f t="shared" si="6"/>
        <v>38467.01</v>
      </c>
      <c r="AN242">
        <f>DealsRawTable[[#This Row],[Validated_Annual_Final_Price]]*DealsRawTable[[#This Row],[Contract_Years]]</f>
        <v>76934.02</v>
      </c>
      <c r="AO242">
        <f>DealsRawTable[[#This Row],[Validated_Annual_Final_Price]]-DealsRawTable[[#This Row],[Cost_to_Serve]]</f>
        <v>21252.908711764503</v>
      </c>
      <c r="AP242" s="17">
        <f>DealsRawTable[[#This Row],[Validated_Grossprofit]]/DealsRawTable[[#This Row],[Validated_Annual_Final_Price]]</f>
        <v>0.55249702827863412</v>
      </c>
      <c r="AQ242" s="17">
        <v>38467.01</v>
      </c>
      <c r="AR242" s="17">
        <v>76934.02</v>
      </c>
      <c r="AS242" s="17">
        <v>21252.908711764503</v>
      </c>
      <c r="AT242" s="17">
        <v>0.55249702827863412</v>
      </c>
      <c r="AU242" s="17" t="str">
        <f t="shared" si="7"/>
        <v>10–15%</v>
      </c>
      <c r="AV242" s="17">
        <v>113</v>
      </c>
      <c r="AW242" s="17"/>
    </row>
    <row r="243" spans="1:49">
      <c r="A243" t="s">
        <v>1148</v>
      </c>
      <c r="B243" s="5">
        <v>45969</v>
      </c>
      <c r="C243" t="s">
        <v>206</v>
      </c>
      <c r="D243" t="s">
        <v>207</v>
      </c>
      <c r="E243" t="s">
        <v>604</v>
      </c>
      <c r="F243" t="s">
        <v>34</v>
      </c>
      <c r="G243" t="s">
        <v>83</v>
      </c>
      <c r="H243" t="s">
        <v>54</v>
      </c>
      <c r="I243" t="s">
        <v>55</v>
      </c>
      <c r="J243" t="s">
        <v>37</v>
      </c>
      <c r="K243" t="s">
        <v>38</v>
      </c>
      <c r="L243" s="5">
        <v>45017</v>
      </c>
      <c r="M243">
        <v>59</v>
      </c>
      <c r="N243" t="s">
        <v>431</v>
      </c>
      <c r="O243" t="s">
        <v>876</v>
      </c>
      <c r="Q243">
        <v>2</v>
      </c>
      <c r="R243">
        <v>34</v>
      </c>
      <c r="S243" t="s">
        <v>907</v>
      </c>
      <c r="T243" s="6">
        <v>46937.184566034797</v>
      </c>
      <c r="U243" s="7">
        <f>T243*DealsRawTable[[#This Row],[Contract_Years]]</f>
        <v>93874.369132069594</v>
      </c>
      <c r="V243" s="8">
        <v>0.17599999999999999</v>
      </c>
      <c r="W243" s="8">
        <v>0.129</v>
      </c>
      <c r="X243" s="8">
        <v>-5.8000000000000003E-2</v>
      </c>
      <c r="Y243" t="s">
        <v>878</v>
      </c>
      <c r="Z243" t="s">
        <v>889</v>
      </c>
      <c r="AA243" s="6">
        <v>40875.235694458133</v>
      </c>
      <c r="AB243" s="7">
        <f>DealsRawTable[[#This Row],[Final_Price_ACV]]*DealsRawTable[[#This Row],[Contract_Years]]</f>
        <v>81750.471388916267</v>
      </c>
      <c r="AC243" s="6">
        <v>17781.84170845908</v>
      </c>
      <c r="AD243" s="6">
        <v>23093.393985999053</v>
      </c>
      <c r="AE243" s="8">
        <v>0.56497274189736491</v>
      </c>
      <c r="AF243" t="s">
        <v>880</v>
      </c>
      <c r="AG243" t="s">
        <v>44</v>
      </c>
      <c r="AI243" t="s">
        <v>38</v>
      </c>
      <c r="AJ243" s="6">
        <v>40875.235694458133</v>
      </c>
      <c r="AK243" s="6">
        <v>23093.393985999053</v>
      </c>
      <c r="AL243" t="s">
        <v>881</v>
      </c>
      <c r="AM243">
        <f t="shared" si="6"/>
        <v>40882.29</v>
      </c>
      <c r="AN243">
        <f>DealsRawTable[[#This Row],[Validated_Annual_Final_Price]]*DealsRawTable[[#This Row],[Contract_Years]]</f>
        <v>81764.58</v>
      </c>
      <c r="AO243">
        <f>DealsRawTable[[#This Row],[Validated_Annual_Final_Price]]-DealsRawTable[[#This Row],[Cost_to_Serve]]</f>
        <v>23100.448291540921</v>
      </c>
      <c r="AP243" s="17">
        <f>DealsRawTable[[#This Row],[Validated_Grossprofit]]/DealsRawTable[[#This Row],[Validated_Annual_Final_Price]]</f>
        <v>0.56504780655733622</v>
      </c>
      <c r="AQ243" s="17">
        <v>40882.29</v>
      </c>
      <c r="AR243" s="17">
        <v>81764.58</v>
      </c>
      <c r="AS243" s="17">
        <v>23100.448291540921</v>
      </c>
      <c r="AT243" s="17">
        <v>0.56504780655733622</v>
      </c>
      <c r="AU243" s="17" t="str">
        <f t="shared" si="7"/>
        <v>10–15%</v>
      </c>
      <c r="AV243" s="17">
        <v>113</v>
      </c>
      <c r="AW243" s="17"/>
    </row>
    <row r="244" spans="1:49">
      <c r="A244" t="s">
        <v>1149</v>
      </c>
      <c r="B244" s="5">
        <v>45647</v>
      </c>
      <c r="C244" t="s">
        <v>206</v>
      </c>
      <c r="D244" t="s">
        <v>207</v>
      </c>
      <c r="E244" t="s">
        <v>605</v>
      </c>
      <c r="F244" t="s">
        <v>445</v>
      </c>
      <c r="G244" t="s">
        <v>83</v>
      </c>
      <c r="H244" t="s">
        <v>54</v>
      </c>
      <c r="I244" t="s">
        <v>55</v>
      </c>
      <c r="J244" t="s">
        <v>37</v>
      </c>
      <c r="K244" t="s">
        <v>38</v>
      </c>
      <c r="L244" s="5">
        <v>45017</v>
      </c>
      <c r="M244">
        <v>59</v>
      </c>
      <c r="N244" t="s">
        <v>424</v>
      </c>
      <c r="O244" t="s">
        <v>891</v>
      </c>
      <c r="Q244">
        <v>1</v>
      </c>
      <c r="R244">
        <v>23</v>
      </c>
      <c r="S244" t="s">
        <v>907</v>
      </c>
      <c r="T244" s="6">
        <v>23493.900875546173</v>
      </c>
      <c r="U244" s="7">
        <f>T244*DealsRawTable[[#This Row],[Contract_Years]]</f>
        <v>23493.900875546173</v>
      </c>
      <c r="V244" s="8">
        <v>0.17799999999999999</v>
      </c>
      <c r="W244" s="8">
        <v>0.115</v>
      </c>
      <c r="X244" s="8">
        <v>2.7E-2</v>
      </c>
      <c r="Y244" t="s">
        <v>897</v>
      </c>
      <c r="Z244" t="s">
        <v>889</v>
      </c>
      <c r="AA244" s="6">
        <v>20800.758164150062</v>
      </c>
      <c r="AB244" s="7">
        <f>DealsRawTable[[#This Row],[Final_Price_ACV]]*DealsRawTable[[#This Row],[Contract_Years]]</f>
        <v>20800.758164150062</v>
      </c>
      <c r="AC244" s="6">
        <v>6965.8116807352662</v>
      </c>
      <c r="AD244" s="6">
        <v>13834.946483414795</v>
      </c>
      <c r="AE244" s="8">
        <v>0.66511741419402748</v>
      </c>
      <c r="AF244" t="s">
        <v>880</v>
      </c>
      <c r="AI244" t="s">
        <v>38</v>
      </c>
      <c r="AJ244" s="6">
        <v>20800.758164150062</v>
      </c>
      <c r="AK244" s="6">
        <v>13834.946483414795</v>
      </c>
      <c r="AL244" t="s">
        <v>894</v>
      </c>
      <c r="AM244">
        <f t="shared" si="6"/>
        <v>20792.099999999999</v>
      </c>
      <c r="AN244">
        <f>DealsRawTable[[#This Row],[Validated_Annual_Final_Price]]*DealsRawTable[[#This Row],[Contract_Years]]</f>
        <v>20792.099999999999</v>
      </c>
      <c r="AO244">
        <f>DealsRawTable[[#This Row],[Validated_Annual_Final_Price]]-DealsRawTable[[#This Row],[Cost_to_Serve]]</f>
        <v>13826.288319264731</v>
      </c>
      <c r="AP244" s="17">
        <f>DealsRawTable[[#This Row],[Validated_Grossprofit]]/DealsRawTable[[#This Row],[Validated_Annual_Final_Price]]</f>
        <v>0.6649779637104829</v>
      </c>
      <c r="AQ244" s="17">
        <v>20792.099999999999</v>
      </c>
      <c r="AR244" s="17">
        <v>20792.099999999999</v>
      </c>
      <c r="AS244" s="17">
        <v>13826.288319264731</v>
      </c>
      <c r="AT244" s="17">
        <v>0.6649779637104829</v>
      </c>
      <c r="AU244" s="17" t="str">
        <f t="shared" si="7"/>
        <v>10–15%</v>
      </c>
      <c r="AV244" s="17">
        <v>113</v>
      </c>
      <c r="AW244" s="17"/>
    </row>
    <row r="245" spans="1:49">
      <c r="A245" t="s">
        <v>1150</v>
      </c>
      <c r="B245" s="5">
        <v>46012</v>
      </c>
      <c r="C245" t="s">
        <v>206</v>
      </c>
      <c r="D245" t="s">
        <v>207</v>
      </c>
      <c r="E245" t="s">
        <v>605</v>
      </c>
      <c r="F245" t="s">
        <v>445</v>
      </c>
      <c r="G245" t="s">
        <v>83</v>
      </c>
      <c r="H245" t="s">
        <v>54</v>
      </c>
      <c r="I245" t="s">
        <v>55</v>
      </c>
      <c r="J245" t="s">
        <v>37</v>
      </c>
      <c r="K245" t="s">
        <v>38</v>
      </c>
      <c r="L245" s="5">
        <v>45017</v>
      </c>
      <c r="M245">
        <v>59</v>
      </c>
      <c r="N245" t="s">
        <v>424</v>
      </c>
      <c r="O245" t="s">
        <v>876</v>
      </c>
      <c r="Q245">
        <v>1</v>
      </c>
      <c r="R245">
        <v>23</v>
      </c>
      <c r="S245" t="s">
        <v>892</v>
      </c>
      <c r="T245" s="6">
        <v>25246.029618593315</v>
      </c>
      <c r="U245" s="7">
        <f>T245*DealsRawTable[[#This Row],[Contract_Years]]</f>
        <v>25246.029618593315</v>
      </c>
      <c r="V245" s="8">
        <v>0.183</v>
      </c>
      <c r="W245" s="8">
        <v>0.13300000000000001</v>
      </c>
      <c r="X245" s="8">
        <v>-3.7999999999999999E-2</v>
      </c>
      <c r="Y245" t="s">
        <v>878</v>
      </c>
      <c r="Z245" t="s">
        <v>889</v>
      </c>
      <c r="AA245" s="6">
        <v>21899.634974059882</v>
      </c>
      <c r="AB245" s="7">
        <f>DealsRawTable[[#This Row],[Final_Price_ACV]]*DealsRawTable[[#This Row],[Contract_Years]]</f>
        <v>21899.634974059882</v>
      </c>
      <c r="AC245" s="6">
        <v>6974.0368361258015</v>
      </c>
      <c r="AD245" s="6">
        <v>14925.598137934081</v>
      </c>
      <c r="AE245" s="8">
        <v>0.68154552144880276</v>
      </c>
      <c r="AF245" t="s">
        <v>880</v>
      </c>
      <c r="AG245" t="s">
        <v>44</v>
      </c>
      <c r="AI245" t="s">
        <v>38</v>
      </c>
      <c r="AJ245" s="6">
        <v>21899.634974059882</v>
      </c>
      <c r="AK245" s="6">
        <v>14925.598137934081</v>
      </c>
      <c r="AL245" t="s">
        <v>881</v>
      </c>
      <c r="AM245">
        <f t="shared" si="6"/>
        <v>21888.31</v>
      </c>
      <c r="AN245">
        <f>DealsRawTable[[#This Row],[Validated_Annual_Final_Price]]*DealsRawTable[[#This Row],[Contract_Years]]</f>
        <v>21888.31</v>
      </c>
      <c r="AO245">
        <f>DealsRawTable[[#This Row],[Validated_Annual_Final_Price]]-DealsRawTable[[#This Row],[Cost_to_Serve]]</f>
        <v>14914.273163874201</v>
      </c>
      <c r="AP245" s="17">
        <f>DealsRawTable[[#This Row],[Validated_Grossprofit]]/DealsRawTable[[#This Row],[Validated_Annual_Final_Price]]</f>
        <v>0.6813807536476868</v>
      </c>
      <c r="AQ245" s="17">
        <v>21888.31</v>
      </c>
      <c r="AR245" s="17">
        <v>21888.31</v>
      </c>
      <c r="AS245" s="17">
        <v>14914.273163874201</v>
      </c>
      <c r="AT245" s="17">
        <v>0.6813807536476868</v>
      </c>
      <c r="AU245" s="17" t="str">
        <f t="shared" si="7"/>
        <v>10–15%</v>
      </c>
      <c r="AV245" s="17">
        <v>113</v>
      </c>
      <c r="AW245" s="17"/>
    </row>
    <row r="246" spans="1:49">
      <c r="A246" t="s">
        <v>1151</v>
      </c>
      <c r="B246" s="5">
        <v>45312</v>
      </c>
      <c r="C246" t="s">
        <v>208</v>
      </c>
      <c r="D246" t="s">
        <v>209</v>
      </c>
      <c r="E246" t="s">
        <v>606</v>
      </c>
      <c r="F246" t="s">
        <v>34</v>
      </c>
      <c r="G246" t="s">
        <v>47</v>
      </c>
      <c r="H246" t="s">
        <v>48</v>
      </c>
      <c r="I246" t="s">
        <v>115</v>
      </c>
      <c r="J246" t="s">
        <v>43</v>
      </c>
      <c r="K246" t="s">
        <v>38</v>
      </c>
      <c r="L246" s="5">
        <v>44501</v>
      </c>
      <c r="M246">
        <v>62</v>
      </c>
      <c r="N246" t="s">
        <v>431</v>
      </c>
      <c r="O246" t="s">
        <v>891</v>
      </c>
      <c r="Q246">
        <v>2</v>
      </c>
      <c r="R246">
        <v>426</v>
      </c>
      <c r="S246" t="s">
        <v>907</v>
      </c>
      <c r="T246" s="6">
        <v>295903.76729166333</v>
      </c>
      <c r="U246" s="7">
        <f>T246*DealsRawTable[[#This Row],[Contract_Years]]</f>
        <v>591807.53458332666</v>
      </c>
      <c r="V246" s="8">
        <v>4.1000000000000002E-2</v>
      </c>
      <c r="W246" s="8">
        <v>3.9E-2</v>
      </c>
      <c r="X246" s="8">
        <v>2.1000000000000001E-2</v>
      </c>
      <c r="Y246" t="s">
        <v>878</v>
      </c>
      <c r="Z246" t="s">
        <v>879</v>
      </c>
      <c r="AA246" s="6">
        <v>284392.87545581465</v>
      </c>
      <c r="AB246" s="7">
        <f>DealsRawTable[[#This Row],[Final_Price_ACV]]*DealsRawTable[[#This Row],[Contract_Years]]</f>
        <v>568785.75091162929</v>
      </c>
      <c r="AC246" s="6">
        <v>125758.93259500567</v>
      </c>
      <c r="AD246" s="6">
        <v>158633.94286080898</v>
      </c>
      <c r="AE246" s="8">
        <v>0.5577985827055485</v>
      </c>
      <c r="AF246" t="s">
        <v>457</v>
      </c>
      <c r="AI246" t="s">
        <v>38</v>
      </c>
      <c r="AJ246" s="6">
        <v>0</v>
      </c>
      <c r="AK246" s="6">
        <v>0</v>
      </c>
      <c r="AL246" t="s">
        <v>894</v>
      </c>
      <c r="AM246">
        <f t="shared" si="6"/>
        <v>284363.52000000002</v>
      </c>
      <c r="AN246">
        <f>DealsRawTable[[#This Row],[Validated_Annual_Final_Price]]*DealsRawTable[[#This Row],[Contract_Years]]</f>
        <v>568727.04000000004</v>
      </c>
      <c r="AO246">
        <f>DealsRawTable[[#This Row],[Validated_Annual_Final_Price]]-DealsRawTable[[#This Row],[Cost_to_Serve]]</f>
        <v>158604.58740499435</v>
      </c>
      <c r="AP246" s="17">
        <f>DealsRawTable[[#This Row],[Validated_Grossprofit]]/DealsRawTable[[#This Row],[Validated_Annual_Final_Price]]</f>
        <v>0.55775293330520859</v>
      </c>
      <c r="AQ246" s="17">
        <v>0</v>
      </c>
      <c r="AR246" s="17">
        <v>0</v>
      </c>
      <c r="AS246" s="17">
        <v>0</v>
      </c>
      <c r="AT246" s="17">
        <v>0</v>
      </c>
      <c r="AU246" s="17" t="str">
        <f t="shared" si="7"/>
        <v>0–5%</v>
      </c>
      <c r="AV246" s="17">
        <v>55</v>
      </c>
      <c r="AW246" s="17"/>
    </row>
    <row r="247" spans="1:49">
      <c r="A247" t="s">
        <v>1152</v>
      </c>
      <c r="B247" s="5">
        <v>45551</v>
      </c>
      <c r="C247" t="s">
        <v>208</v>
      </c>
      <c r="D247" t="s">
        <v>209</v>
      </c>
      <c r="E247" t="s">
        <v>606</v>
      </c>
      <c r="F247" t="s">
        <v>34</v>
      </c>
      <c r="G247" t="s">
        <v>47</v>
      </c>
      <c r="H247" t="s">
        <v>48</v>
      </c>
      <c r="I247" t="s">
        <v>115</v>
      </c>
      <c r="J247" t="s">
        <v>43</v>
      </c>
      <c r="K247" t="s">
        <v>38</v>
      </c>
      <c r="L247" s="5">
        <v>44501</v>
      </c>
      <c r="M247">
        <v>62</v>
      </c>
      <c r="N247" t="s">
        <v>431</v>
      </c>
      <c r="O247" t="s">
        <v>915</v>
      </c>
      <c r="Q247">
        <v>2</v>
      </c>
      <c r="R247">
        <v>426</v>
      </c>
      <c r="S247" t="s">
        <v>896</v>
      </c>
      <c r="T247" s="6">
        <v>295903.76729166333</v>
      </c>
      <c r="U247" s="7">
        <f>T247*DealsRawTable[[#This Row],[Contract_Years]]</f>
        <v>591807.53458332666</v>
      </c>
      <c r="V247" s="8">
        <v>0.22800000000000001</v>
      </c>
      <c r="W247" s="8">
        <v>0.20699999999999999</v>
      </c>
      <c r="X247" s="8">
        <v>-5.0999999999999997E-2</v>
      </c>
      <c r="Y247" t="s">
        <v>878</v>
      </c>
      <c r="Z247" t="s">
        <v>893</v>
      </c>
      <c r="AA247" s="6">
        <v>234749.35132264459</v>
      </c>
      <c r="AB247" s="7">
        <f>DealsRawTable[[#This Row],[Final_Price_ACV]]*DealsRawTable[[#This Row],[Contract_Years]]</f>
        <v>469498.70264528919</v>
      </c>
      <c r="AC247" s="6">
        <v>122668.1666162972</v>
      </c>
      <c r="AD247" s="6">
        <v>112081.1847063474</v>
      </c>
      <c r="AE247" s="8">
        <v>0.47745045545323184</v>
      </c>
      <c r="AF247" t="s">
        <v>457</v>
      </c>
      <c r="AI247" t="s">
        <v>44</v>
      </c>
      <c r="AJ247" s="6">
        <v>0</v>
      </c>
      <c r="AK247" s="6">
        <v>0</v>
      </c>
      <c r="AL247" t="s">
        <v>934</v>
      </c>
      <c r="AM247">
        <f t="shared" si="6"/>
        <v>234651.69</v>
      </c>
      <c r="AN247">
        <f>DealsRawTable[[#This Row],[Validated_Annual_Final_Price]]*DealsRawTable[[#This Row],[Contract_Years]]</f>
        <v>469303.38</v>
      </c>
      <c r="AO247">
        <f>DealsRawTable[[#This Row],[Validated_Annual_Final_Price]]-DealsRawTable[[#This Row],[Cost_to_Serve]]</f>
        <v>111983.52338370281</v>
      </c>
      <c r="AP247" s="17">
        <f>DealsRawTable[[#This Row],[Validated_Grossprofit]]/DealsRawTable[[#This Row],[Validated_Annual_Final_Price]]</f>
        <v>0.47723297191553493</v>
      </c>
      <c r="AQ247" s="17">
        <v>0</v>
      </c>
      <c r="AR247" s="17">
        <v>0</v>
      </c>
      <c r="AS247" s="17">
        <v>0</v>
      </c>
      <c r="AT247" s="17">
        <v>0</v>
      </c>
      <c r="AU247" s="17" t="str">
        <f t="shared" si="7"/>
        <v>20–25%</v>
      </c>
      <c r="AV247" s="17">
        <v>29</v>
      </c>
      <c r="AW247" s="17"/>
    </row>
    <row r="248" spans="1:49">
      <c r="A248" t="s">
        <v>1153</v>
      </c>
      <c r="B248" s="5">
        <v>45602</v>
      </c>
      <c r="C248" t="s">
        <v>208</v>
      </c>
      <c r="D248" t="s">
        <v>209</v>
      </c>
      <c r="E248" t="s">
        <v>607</v>
      </c>
      <c r="F248" t="s">
        <v>47</v>
      </c>
      <c r="G248" t="s">
        <v>47</v>
      </c>
      <c r="H248" t="s">
        <v>48</v>
      </c>
      <c r="I248" t="s">
        <v>115</v>
      </c>
      <c r="J248" t="s">
        <v>43</v>
      </c>
      <c r="K248" t="s">
        <v>38</v>
      </c>
      <c r="L248" s="5">
        <v>44501</v>
      </c>
      <c r="M248">
        <v>62</v>
      </c>
      <c r="N248" t="s">
        <v>424</v>
      </c>
      <c r="O248" t="s">
        <v>876</v>
      </c>
      <c r="Q248">
        <v>3</v>
      </c>
      <c r="R248">
        <v>417</v>
      </c>
      <c r="S248" t="s">
        <v>892</v>
      </c>
      <c r="T248" s="6">
        <v>133279.11716649146</v>
      </c>
      <c r="U248" s="7">
        <f>T248*DealsRawTable[[#This Row],[Contract_Years]]</f>
        <v>399837.35149947437</v>
      </c>
      <c r="V248" s="8">
        <v>0.1</v>
      </c>
      <c r="W248" s="8">
        <v>5.7000000000000002E-2</v>
      </c>
      <c r="X248" s="8">
        <v>-5.0999999999999997E-2</v>
      </c>
      <c r="Y248" t="s">
        <v>878</v>
      </c>
      <c r="Z248" t="s">
        <v>879</v>
      </c>
      <c r="AA248" s="6">
        <v>125636.17439231835</v>
      </c>
      <c r="AB248" s="7">
        <f>DealsRawTable[[#This Row],[Final_Price_ACV]]*DealsRawTable[[#This Row],[Contract_Years]]</f>
        <v>376908.52317695506</v>
      </c>
      <c r="AC248" s="6">
        <v>40947.1633520053</v>
      </c>
      <c r="AD248" s="6">
        <v>84689.011040313053</v>
      </c>
      <c r="AE248" s="8">
        <v>0.67408142161236573</v>
      </c>
      <c r="AF248" t="s">
        <v>457</v>
      </c>
      <c r="AG248" t="s">
        <v>38</v>
      </c>
      <c r="AI248" t="s">
        <v>38</v>
      </c>
      <c r="AJ248" s="6">
        <v>0</v>
      </c>
      <c r="AK248" s="6">
        <v>0</v>
      </c>
      <c r="AL248" t="s">
        <v>881</v>
      </c>
      <c r="AM248">
        <f t="shared" si="6"/>
        <v>125682.21</v>
      </c>
      <c r="AN248">
        <f>DealsRawTable[[#This Row],[Validated_Annual_Final_Price]]*DealsRawTable[[#This Row],[Contract_Years]]</f>
        <v>377046.63</v>
      </c>
      <c r="AO248">
        <f>DealsRawTable[[#This Row],[Validated_Annual_Final_Price]]-DealsRawTable[[#This Row],[Cost_to_Serve]]</f>
        <v>84735.046647994706</v>
      </c>
      <c r="AP248" s="17">
        <f>DealsRawTable[[#This Row],[Validated_Grossprofit]]/DealsRawTable[[#This Row],[Validated_Annual_Final_Price]]</f>
        <v>0.67420080095659285</v>
      </c>
      <c r="AQ248" s="17">
        <v>0</v>
      </c>
      <c r="AR248" s="17">
        <v>0</v>
      </c>
      <c r="AS248" s="17">
        <v>0</v>
      </c>
      <c r="AT248" s="17">
        <v>0</v>
      </c>
      <c r="AU248" s="17" t="str">
        <f t="shared" si="7"/>
        <v>5–10%</v>
      </c>
      <c r="AV248" s="17">
        <v>116</v>
      </c>
      <c r="AW248" s="17"/>
    </row>
    <row r="249" spans="1:49">
      <c r="A249" t="s">
        <v>1154</v>
      </c>
      <c r="B249" s="5">
        <v>45743</v>
      </c>
      <c r="C249" t="s">
        <v>208</v>
      </c>
      <c r="D249" t="s">
        <v>209</v>
      </c>
      <c r="E249" t="s">
        <v>607</v>
      </c>
      <c r="F249" t="s">
        <v>47</v>
      </c>
      <c r="G249" t="s">
        <v>47</v>
      </c>
      <c r="H249" t="s">
        <v>48</v>
      </c>
      <c r="I249" t="s">
        <v>115</v>
      </c>
      <c r="J249" t="s">
        <v>43</v>
      </c>
      <c r="K249" t="s">
        <v>38</v>
      </c>
      <c r="L249" s="5">
        <v>44501</v>
      </c>
      <c r="M249">
        <v>62</v>
      </c>
      <c r="N249" t="s">
        <v>424</v>
      </c>
      <c r="O249" t="s">
        <v>915</v>
      </c>
      <c r="Q249">
        <v>3</v>
      </c>
      <c r="R249">
        <v>417</v>
      </c>
      <c r="S249" t="s">
        <v>877</v>
      </c>
      <c r="T249" s="6">
        <v>133279.11716649146</v>
      </c>
      <c r="U249" s="7">
        <f>T249*DealsRawTable[[#This Row],[Contract_Years]]</f>
        <v>399837.35149947437</v>
      </c>
      <c r="V249" s="8">
        <v>0.14799999999999999</v>
      </c>
      <c r="W249" s="8">
        <v>0.123</v>
      </c>
      <c r="X249" s="8">
        <v>1.6E-2</v>
      </c>
      <c r="Y249" t="s">
        <v>878</v>
      </c>
      <c r="Z249" t="s">
        <v>889</v>
      </c>
      <c r="AA249" s="6">
        <v>116865.15877809501</v>
      </c>
      <c r="AB249" s="7">
        <f>DealsRawTable[[#This Row],[Final_Price_ACV]]*DealsRawTable[[#This Row],[Contract_Years]]</f>
        <v>350595.47633428499</v>
      </c>
      <c r="AC249" s="6">
        <v>35375.133539655551</v>
      </c>
      <c r="AD249" s="6">
        <v>81490.025238439455</v>
      </c>
      <c r="AE249" s="8">
        <v>0.69729957234879314</v>
      </c>
      <c r="AF249" t="s">
        <v>457</v>
      </c>
      <c r="AI249" t="s">
        <v>44</v>
      </c>
      <c r="AJ249" s="6">
        <v>0</v>
      </c>
      <c r="AK249" s="6">
        <v>0</v>
      </c>
      <c r="AL249" t="s">
        <v>916</v>
      </c>
      <c r="AM249">
        <f t="shared" si="6"/>
        <v>116885.79</v>
      </c>
      <c r="AN249">
        <f>DealsRawTable[[#This Row],[Validated_Annual_Final_Price]]*DealsRawTable[[#This Row],[Contract_Years]]</f>
        <v>350657.37</v>
      </c>
      <c r="AO249">
        <f>DealsRawTable[[#This Row],[Validated_Annual_Final_Price]]-DealsRawTable[[#This Row],[Cost_to_Serve]]</f>
        <v>81510.656460344442</v>
      </c>
      <c r="AP249" s="17">
        <f>DealsRawTable[[#This Row],[Validated_Grossprofit]]/DealsRawTable[[#This Row],[Validated_Annual_Final_Price]]</f>
        <v>0.69735300125314159</v>
      </c>
      <c r="AQ249" s="17">
        <v>0</v>
      </c>
      <c r="AR249" s="17">
        <v>0</v>
      </c>
      <c r="AS249" s="17">
        <v>0</v>
      </c>
      <c r="AT249" s="17">
        <v>0</v>
      </c>
      <c r="AU249" s="17" t="str">
        <f t="shared" si="7"/>
        <v>10–15%</v>
      </c>
      <c r="AV249" s="17">
        <v>113</v>
      </c>
      <c r="AW249" s="17"/>
    </row>
    <row r="250" spans="1:49">
      <c r="A250" t="s">
        <v>1155</v>
      </c>
      <c r="B250" s="5">
        <v>45821</v>
      </c>
      <c r="C250" t="s">
        <v>208</v>
      </c>
      <c r="D250" t="s">
        <v>209</v>
      </c>
      <c r="E250" t="s">
        <v>608</v>
      </c>
      <c r="F250" t="s">
        <v>466</v>
      </c>
      <c r="G250" t="s">
        <v>47</v>
      </c>
      <c r="H250" t="s">
        <v>48</v>
      </c>
      <c r="I250" t="s">
        <v>115</v>
      </c>
      <c r="J250" t="s">
        <v>43</v>
      </c>
      <c r="K250" t="s">
        <v>38</v>
      </c>
      <c r="L250" s="5">
        <v>44501</v>
      </c>
      <c r="M250">
        <v>62</v>
      </c>
      <c r="N250" t="s">
        <v>431</v>
      </c>
      <c r="O250" t="s">
        <v>883</v>
      </c>
      <c r="P250" t="s">
        <v>899</v>
      </c>
      <c r="Q250">
        <v>3</v>
      </c>
      <c r="R250">
        <v>1213</v>
      </c>
      <c r="S250" t="s">
        <v>907</v>
      </c>
      <c r="T250" s="6">
        <v>249054.64520402218</v>
      </c>
      <c r="U250" s="7">
        <f>T250*DealsRawTable[[#This Row],[Contract_Years]]</f>
        <v>747163.93561206653</v>
      </c>
      <c r="V250" s="8">
        <v>9.8000000000000004E-2</v>
      </c>
      <c r="W250" s="8">
        <v>8.5000000000000006E-2</v>
      </c>
      <c r="X250" s="8">
        <v>2.8000000000000001E-2</v>
      </c>
      <c r="Y250" t="s">
        <v>885</v>
      </c>
      <c r="Z250" t="s">
        <v>879</v>
      </c>
      <c r="AA250" s="6">
        <v>227975.0824488345</v>
      </c>
      <c r="AB250" s="7">
        <f>DealsRawTable[[#This Row],[Final_Price_ACV]]*DealsRawTable[[#This Row],[Contract_Years]]</f>
        <v>683925.24734650343</v>
      </c>
      <c r="AC250" s="6">
        <v>94472.593338026229</v>
      </c>
      <c r="AD250" s="6">
        <v>133502.48911080827</v>
      </c>
      <c r="AE250" s="8">
        <v>0.58560123183975976</v>
      </c>
      <c r="AF250" t="s">
        <v>880</v>
      </c>
      <c r="AH250" t="s">
        <v>44</v>
      </c>
      <c r="AI250" t="s">
        <v>38</v>
      </c>
      <c r="AJ250" s="6">
        <v>227975.0824488345</v>
      </c>
      <c r="AK250" s="6">
        <v>133502.48911080827</v>
      </c>
      <c r="AL250" t="s">
        <v>886</v>
      </c>
      <c r="AM250">
        <f t="shared" si="6"/>
        <v>227885</v>
      </c>
      <c r="AN250">
        <f>DealsRawTable[[#This Row],[Validated_Annual_Final_Price]]*DealsRawTable[[#This Row],[Contract_Years]]</f>
        <v>683655</v>
      </c>
      <c r="AO250">
        <f>DealsRawTable[[#This Row],[Validated_Annual_Final_Price]]-DealsRawTable[[#This Row],[Cost_to_Serve]]</f>
        <v>133412.40666197377</v>
      </c>
      <c r="AP250" s="17">
        <f>DealsRawTable[[#This Row],[Validated_Grossprofit]]/DealsRawTable[[#This Row],[Validated_Annual_Final_Price]]</f>
        <v>0.58543742090077788</v>
      </c>
      <c r="AQ250" s="17">
        <v>227885</v>
      </c>
      <c r="AR250" s="17">
        <v>683655</v>
      </c>
      <c r="AS250" s="17">
        <v>133412.40666197377</v>
      </c>
      <c r="AT250" s="17">
        <v>0.58543742090077788</v>
      </c>
      <c r="AU250" s="17" t="str">
        <f t="shared" si="7"/>
        <v>5–10%</v>
      </c>
      <c r="AV250" s="17">
        <v>116</v>
      </c>
      <c r="AW250" s="17"/>
    </row>
    <row r="251" spans="1:49">
      <c r="A251" t="s">
        <v>1156</v>
      </c>
      <c r="B251" s="5">
        <v>45933</v>
      </c>
      <c r="C251" t="s">
        <v>208</v>
      </c>
      <c r="D251" t="s">
        <v>209</v>
      </c>
      <c r="E251" t="s">
        <v>608</v>
      </c>
      <c r="F251" t="s">
        <v>466</v>
      </c>
      <c r="G251" t="s">
        <v>47</v>
      </c>
      <c r="H251" t="s">
        <v>48</v>
      </c>
      <c r="I251" t="s">
        <v>115</v>
      </c>
      <c r="J251" t="s">
        <v>43</v>
      </c>
      <c r="K251" t="s">
        <v>38</v>
      </c>
      <c r="L251" s="5">
        <v>44501</v>
      </c>
      <c r="M251">
        <v>62</v>
      </c>
      <c r="N251" t="s">
        <v>431</v>
      </c>
      <c r="O251" t="s">
        <v>876</v>
      </c>
      <c r="Q251">
        <v>3</v>
      </c>
      <c r="R251">
        <v>1213</v>
      </c>
      <c r="S251" t="s">
        <v>892</v>
      </c>
      <c r="T251" s="6">
        <v>266025.63762416918</v>
      </c>
      <c r="U251" s="7">
        <f>T251*DealsRawTable[[#This Row],[Contract_Years]]</f>
        <v>798076.91287250747</v>
      </c>
      <c r="V251" s="8">
        <v>0.14399999999999999</v>
      </c>
      <c r="W251" s="8">
        <v>0.115</v>
      </c>
      <c r="X251" s="8">
        <v>5.0000000000000001E-3</v>
      </c>
      <c r="Y251" t="s">
        <v>878</v>
      </c>
      <c r="Z251" t="s">
        <v>889</v>
      </c>
      <c r="AA251" s="6">
        <v>235300.98799609713</v>
      </c>
      <c r="AB251" s="7">
        <f>DealsRawTable[[#This Row],[Final_Price_ACV]]*DealsRawTable[[#This Row],[Contract_Years]]</f>
        <v>705902.96398829133</v>
      </c>
      <c r="AC251" s="6">
        <v>104728.18911849707</v>
      </c>
      <c r="AD251" s="6">
        <v>130572.79887760006</v>
      </c>
      <c r="AE251" s="8">
        <v>0.55491819218271121</v>
      </c>
      <c r="AF251" t="s">
        <v>880</v>
      </c>
      <c r="AG251" t="s">
        <v>44</v>
      </c>
      <c r="AI251" t="s">
        <v>38</v>
      </c>
      <c r="AJ251" s="6">
        <v>235300.98799609713</v>
      </c>
      <c r="AK251" s="6">
        <v>130572.79887760006</v>
      </c>
      <c r="AL251" t="s">
        <v>881</v>
      </c>
      <c r="AM251">
        <f t="shared" si="6"/>
        <v>235432.69</v>
      </c>
      <c r="AN251">
        <f>DealsRawTable[[#This Row],[Validated_Annual_Final_Price]]*DealsRawTable[[#This Row],[Contract_Years]]</f>
        <v>706298.07000000007</v>
      </c>
      <c r="AO251">
        <f>DealsRawTable[[#This Row],[Validated_Annual_Final_Price]]-DealsRawTable[[#This Row],[Cost_to_Serve]]</f>
        <v>130704.50088150293</v>
      </c>
      <c r="AP251" s="17">
        <f>DealsRawTable[[#This Row],[Validated_Grossprofit]]/DealsRawTable[[#This Row],[Validated_Annual_Final_Price]]</f>
        <v>0.55516717275541871</v>
      </c>
      <c r="AQ251" s="17">
        <v>235432.69</v>
      </c>
      <c r="AR251" s="17">
        <v>706298.07000000007</v>
      </c>
      <c r="AS251" s="17">
        <v>130704.50088150293</v>
      </c>
      <c r="AT251" s="17">
        <v>0.55516717275541871</v>
      </c>
      <c r="AU251" s="17" t="str">
        <f t="shared" si="7"/>
        <v>10–15%</v>
      </c>
      <c r="AV251" s="17">
        <v>113</v>
      </c>
      <c r="AW251" s="17"/>
    </row>
    <row r="252" spans="1:49">
      <c r="A252" t="s">
        <v>1157</v>
      </c>
      <c r="B252" s="5">
        <v>45629</v>
      </c>
      <c r="C252" t="s">
        <v>210</v>
      </c>
      <c r="D252" t="s">
        <v>211</v>
      </c>
      <c r="E252" t="s">
        <v>609</v>
      </c>
      <c r="F252" t="s">
        <v>466</v>
      </c>
      <c r="G252" t="s">
        <v>83</v>
      </c>
      <c r="H252" t="s">
        <v>70</v>
      </c>
      <c r="I252" t="s">
        <v>71</v>
      </c>
      <c r="J252" t="s">
        <v>56</v>
      </c>
      <c r="K252" t="s">
        <v>38</v>
      </c>
      <c r="L252" s="5">
        <v>43466</v>
      </c>
      <c r="M252">
        <v>51</v>
      </c>
      <c r="N252" t="s">
        <v>431</v>
      </c>
      <c r="O252" t="s">
        <v>876</v>
      </c>
      <c r="Q252">
        <v>1</v>
      </c>
      <c r="R252">
        <v>91</v>
      </c>
      <c r="S252" t="s">
        <v>932</v>
      </c>
      <c r="T252" s="6">
        <v>84149.475828177776</v>
      </c>
      <c r="U252" s="7">
        <f>T252*DealsRawTable[[#This Row],[Contract_Years]]</f>
        <v>84149.475828177776</v>
      </c>
      <c r="V252" s="8">
        <v>0.11600000000000001</v>
      </c>
      <c r="W252" s="8">
        <v>0.10199999999999999</v>
      </c>
      <c r="X252" s="8">
        <v>-4.3999999999999997E-2</v>
      </c>
      <c r="Y252" t="s">
        <v>878</v>
      </c>
      <c r="Z252" t="s">
        <v>889</v>
      </c>
      <c r="AA252" s="6">
        <v>75586.202656634647</v>
      </c>
      <c r="AB252" s="7">
        <f>DealsRawTable[[#This Row],[Final_Price_ACV]]*DealsRawTable[[#This Row],[Contract_Years]]</f>
        <v>75586.202656634647</v>
      </c>
      <c r="AC252" s="6">
        <v>33236.480555447575</v>
      </c>
      <c r="AD252" s="6">
        <v>42349.722101187072</v>
      </c>
      <c r="AE252" s="8">
        <v>0.5602837636065553</v>
      </c>
      <c r="AF252" t="s">
        <v>457</v>
      </c>
      <c r="AG252" t="s">
        <v>38</v>
      </c>
      <c r="AI252" t="s">
        <v>38</v>
      </c>
      <c r="AJ252" s="6">
        <v>0</v>
      </c>
      <c r="AK252" s="6">
        <v>0</v>
      </c>
      <c r="AL252" t="s">
        <v>881</v>
      </c>
      <c r="AM252">
        <f t="shared" si="6"/>
        <v>75566.23</v>
      </c>
      <c r="AN252">
        <f>DealsRawTable[[#This Row],[Validated_Annual_Final_Price]]*DealsRawTable[[#This Row],[Contract_Years]]</f>
        <v>75566.23</v>
      </c>
      <c r="AO252">
        <f>DealsRawTable[[#This Row],[Validated_Annual_Final_Price]]-DealsRawTable[[#This Row],[Cost_to_Serve]]</f>
        <v>42329.749444552421</v>
      </c>
      <c r="AP252" s="17">
        <f>DealsRawTable[[#This Row],[Validated_Grossprofit]]/DealsRawTable[[#This Row],[Validated_Annual_Final_Price]]</f>
        <v>0.56016754368389721</v>
      </c>
      <c r="AQ252" s="17">
        <v>0</v>
      </c>
      <c r="AR252" s="17">
        <v>0</v>
      </c>
      <c r="AS252" s="17">
        <v>0</v>
      </c>
      <c r="AT252" s="17">
        <v>0</v>
      </c>
      <c r="AU252" s="17" t="str">
        <f t="shared" si="7"/>
        <v>10–15%</v>
      </c>
      <c r="AV252" s="17">
        <v>113</v>
      </c>
      <c r="AW252" s="17"/>
    </row>
    <row r="253" spans="1:49">
      <c r="A253" t="s">
        <v>1158</v>
      </c>
      <c r="B253" s="5">
        <v>45454</v>
      </c>
      <c r="C253" t="s">
        <v>210</v>
      </c>
      <c r="D253" t="s">
        <v>211</v>
      </c>
      <c r="E253" t="s">
        <v>610</v>
      </c>
      <c r="F253" t="s">
        <v>466</v>
      </c>
      <c r="G253" t="s">
        <v>83</v>
      </c>
      <c r="H253" t="s">
        <v>70</v>
      </c>
      <c r="I253" t="s">
        <v>71</v>
      </c>
      <c r="J253" t="s">
        <v>56</v>
      </c>
      <c r="K253" t="s">
        <v>38</v>
      </c>
      <c r="L253" s="5">
        <v>43466</v>
      </c>
      <c r="M253">
        <v>51</v>
      </c>
      <c r="N253" t="s">
        <v>433</v>
      </c>
      <c r="O253" t="s">
        <v>891</v>
      </c>
      <c r="Q253">
        <v>3</v>
      </c>
      <c r="R253">
        <v>341</v>
      </c>
      <c r="S253" t="s">
        <v>900</v>
      </c>
      <c r="T253" s="6">
        <v>227900.5306313489</v>
      </c>
      <c r="U253" s="7">
        <f>T253*DealsRawTable[[#This Row],[Contract_Years]]</f>
        <v>683701.59189404664</v>
      </c>
      <c r="V253" s="8">
        <v>0.11700000000000001</v>
      </c>
      <c r="W253" s="8">
        <v>0.106</v>
      </c>
      <c r="X253" s="8">
        <v>3.5000000000000003E-2</v>
      </c>
      <c r="Y253" t="s">
        <v>885</v>
      </c>
      <c r="Z253" t="s">
        <v>889</v>
      </c>
      <c r="AA253" s="6">
        <v>203649.9178677559</v>
      </c>
      <c r="AB253" s="7">
        <f>DealsRawTable[[#This Row],[Final_Price_ACV]]*DealsRawTable[[#This Row],[Contract_Years]]</f>
        <v>610949.75360326772</v>
      </c>
      <c r="AC253" s="6">
        <v>88252.466581846791</v>
      </c>
      <c r="AD253" s="6">
        <v>115397.4512859091</v>
      </c>
      <c r="AE253" s="8">
        <v>0.56664619605122901</v>
      </c>
      <c r="AF253" t="s">
        <v>880</v>
      </c>
      <c r="AI253" t="s">
        <v>38</v>
      </c>
      <c r="AJ253" s="6">
        <v>203649.9178677559</v>
      </c>
      <c r="AK253" s="6">
        <v>115397.4512859091</v>
      </c>
      <c r="AL253" t="s">
        <v>894</v>
      </c>
      <c r="AM253">
        <f t="shared" si="6"/>
        <v>203743.07</v>
      </c>
      <c r="AN253">
        <f>DealsRawTable[[#This Row],[Validated_Annual_Final_Price]]*DealsRawTable[[#This Row],[Contract_Years]]</f>
        <v>611229.21</v>
      </c>
      <c r="AO253">
        <f>DealsRawTable[[#This Row],[Validated_Annual_Final_Price]]-DealsRawTable[[#This Row],[Cost_to_Serve]]</f>
        <v>115490.60341815322</v>
      </c>
      <c r="AP253" s="17">
        <f>DealsRawTable[[#This Row],[Validated_Grossprofit]]/DealsRawTable[[#This Row],[Validated_Annual_Final_Price]]</f>
        <v>0.56684432711332566</v>
      </c>
      <c r="AQ253" s="17">
        <v>203743.07</v>
      </c>
      <c r="AR253" s="17">
        <v>611229.21</v>
      </c>
      <c r="AS253" s="17">
        <v>115490.60341815322</v>
      </c>
      <c r="AT253" s="17">
        <v>0.56684432711332566</v>
      </c>
      <c r="AU253" s="17" t="str">
        <f t="shared" si="7"/>
        <v>10–15%</v>
      </c>
      <c r="AV253" s="17">
        <v>113</v>
      </c>
      <c r="AW253" s="17"/>
    </row>
    <row r="254" spans="1:49">
      <c r="A254" t="s">
        <v>1159</v>
      </c>
      <c r="B254" s="5">
        <v>45507</v>
      </c>
      <c r="C254" t="s">
        <v>210</v>
      </c>
      <c r="D254" t="s">
        <v>211</v>
      </c>
      <c r="E254" t="s">
        <v>611</v>
      </c>
      <c r="F254" t="s">
        <v>34</v>
      </c>
      <c r="G254" t="s">
        <v>83</v>
      </c>
      <c r="H254" t="s">
        <v>70</v>
      </c>
      <c r="I254" t="s">
        <v>71</v>
      </c>
      <c r="J254" t="s">
        <v>56</v>
      </c>
      <c r="K254" t="s">
        <v>38</v>
      </c>
      <c r="L254" s="5">
        <v>43466</v>
      </c>
      <c r="M254">
        <v>51</v>
      </c>
      <c r="N254" t="s">
        <v>424</v>
      </c>
      <c r="O254" t="s">
        <v>876</v>
      </c>
      <c r="Q254">
        <v>3</v>
      </c>
      <c r="R254">
        <v>174</v>
      </c>
      <c r="S254" t="s">
        <v>896</v>
      </c>
      <c r="T254" s="6">
        <v>49097.164984279079</v>
      </c>
      <c r="U254" s="7">
        <f>T254*DealsRawTable[[#This Row],[Contract_Years]]</f>
        <v>147291.49495283724</v>
      </c>
      <c r="V254" s="8">
        <v>0.124</v>
      </c>
      <c r="W254" s="8">
        <v>0.111</v>
      </c>
      <c r="X254" s="8">
        <v>3.0000000000000001E-3</v>
      </c>
      <c r="Y254" t="s">
        <v>878</v>
      </c>
      <c r="Z254" t="s">
        <v>889</v>
      </c>
      <c r="AA254" s="6">
        <v>43642.425972931611</v>
      </c>
      <c r="AB254" s="7">
        <f>DealsRawTable[[#This Row],[Final_Price_ACV]]*DealsRawTable[[#This Row],[Contract_Years]]</f>
        <v>130927.27791879483</v>
      </c>
      <c r="AC254" s="6">
        <v>13680.698375210914</v>
      </c>
      <c r="AD254" s="6">
        <v>29961.727597720695</v>
      </c>
      <c r="AE254" s="8">
        <v>0.68652754584046016</v>
      </c>
      <c r="AF254" t="s">
        <v>880</v>
      </c>
      <c r="AG254" t="s">
        <v>44</v>
      </c>
      <c r="AI254" t="s">
        <v>38</v>
      </c>
      <c r="AJ254" s="6">
        <v>43642.425972931611</v>
      </c>
      <c r="AK254" s="6">
        <v>29961.727597720695</v>
      </c>
      <c r="AL254" t="s">
        <v>881</v>
      </c>
      <c r="AM254">
        <f t="shared" si="6"/>
        <v>43647.38</v>
      </c>
      <c r="AN254">
        <f>DealsRawTable[[#This Row],[Validated_Annual_Final_Price]]*DealsRawTable[[#This Row],[Contract_Years]]</f>
        <v>130942.13999999998</v>
      </c>
      <c r="AO254">
        <f>DealsRawTable[[#This Row],[Validated_Annual_Final_Price]]-DealsRawTable[[#This Row],[Cost_to_Serve]]</f>
        <v>29966.681624789082</v>
      </c>
      <c r="AP254" s="17">
        <f>DealsRawTable[[#This Row],[Validated_Grossprofit]]/DealsRawTable[[#This Row],[Validated_Annual_Final_Price]]</f>
        <v>0.68656312531907038</v>
      </c>
      <c r="AQ254" s="17">
        <v>43647.38</v>
      </c>
      <c r="AR254" s="17">
        <v>130942.13999999998</v>
      </c>
      <c r="AS254" s="17">
        <v>29966.681624789082</v>
      </c>
      <c r="AT254" s="17">
        <v>0.68656312531907038</v>
      </c>
      <c r="AU254" s="17" t="str">
        <f t="shared" si="7"/>
        <v>10–15%</v>
      </c>
      <c r="AV254" s="17">
        <v>113</v>
      </c>
      <c r="AW254" s="17"/>
    </row>
    <row r="255" spans="1:49">
      <c r="A255" t="s">
        <v>1160</v>
      </c>
      <c r="B255" s="5">
        <v>45360</v>
      </c>
      <c r="C255" t="s">
        <v>212</v>
      </c>
      <c r="D255" t="s">
        <v>213</v>
      </c>
      <c r="E255" t="s">
        <v>612</v>
      </c>
      <c r="F255" t="s">
        <v>34</v>
      </c>
      <c r="G255" t="s">
        <v>53</v>
      </c>
      <c r="H255" t="s">
        <v>54</v>
      </c>
      <c r="I255" t="s">
        <v>94</v>
      </c>
      <c r="J255" t="s">
        <v>43</v>
      </c>
      <c r="K255" t="s">
        <v>44</v>
      </c>
      <c r="L255" s="5">
        <v>43891</v>
      </c>
      <c r="M255">
        <v>60</v>
      </c>
      <c r="N255" t="s">
        <v>433</v>
      </c>
      <c r="O255" t="s">
        <v>883</v>
      </c>
      <c r="P255" t="s">
        <v>978</v>
      </c>
      <c r="Q255">
        <v>1</v>
      </c>
      <c r="R255">
        <v>832</v>
      </c>
      <c r="S255" t="s">
        <v>888</v>
      </c>
      <c r="T255" s="6">
        <v>794461.68121273117</v>
      </c>
      <c r="U255" s="7">
        <f>T255*DealsRawTable[[#This Row],[Contract_Years]]</f>
        <v>794461.68121273117</v>
      </c>
      <c r="V255" s="8">
        <v>0.14599999999999999</v>
      </c>
      <c r="W255" s="8">
        <v>0.125</v>
      </c>
      <c r="X255" s="8">
        <v>-5.8000000000000003E-2</v>
      </c>
      <c r="Y255" t="s">
        <v>885</v>
      </c>
      <c r="Z255" t="s">
        <v>889</v>
      </c>
      <c r="AA255" s="6">
        <v>695468.68231570011</v>
      </c>
      <c r="AB255" s="7">
        <f>DealsRawTable[[#This Row],[Final_Price_ACV]]*DealsRawTable[[#This Row],[Contract_Years]]</f>
        <v>695468.68231570011</v>
      </c>
      <c r="AC255" s="6">
        <v>275713.45571745175</v>
      </c>
      <c r="AD255" s="6">
        <v>419755.22659824835</v>
      </c>
      <c r="AE255" s="8">
        <v>0.60355733805380074</v>
      </c>
      <c r="AF255" t="s">
        <v>880</v>
      </c>
      <c r="AH255" t="s">
        <v>44</v>
      </c>
      <c r="AI255" t="s">
        <v>38</v>
      </c>
      <c r="AJ255" s="6">
        <v>695468.68231570011</v>
      </c>
      <c r="AK255" s="6">
        <v>419755.22659824835</v>
      </c>
      <c r="AL255" t="s">
        <v>886</v>
      </c>
      <c r="AM255">
        <f t="shared" si="6"/>
        <v>695153.97</v>
      </c>
      <c r="AN255">
        <f>DealsRawTable[[#This Row],[Validated_Annual_Final_Price]]*DealsRawTable[[#This Row],[Contract_Years]]</f>
        <v>695153.97</v>
      </c>
      <c r="AO255">
        <f>DealsRawTable[[#This Row],[Validated_Annual_Final_Price]]-DealsRawTable[[#This Row],[Cost_to_Serve]]</f>
        <v>419440.51428254822</v>
      </c>
      <c r="AP255" s="17">
        <f>DealsRawTable[[#This Row],[Validated_Grossprofit]]/DealsRawTable[[#This Row],[Validated_Annual_Final_Price]]</f>
        <v>0.60337785927130394</v>
      </c>
      <c r="AQ255" s="17">
        <v>695153.97</v>
      </c>
      <c r="AR255" s="17">
        <v>695153.97</v>
      </c>
      <c r="AS255" s="17">
        <v>419440.51428254822</v>
      </c>
      <c r="AT255" s="17">
        <v>0.60337785927130394</v>
      </c>
      <c r="AU255" s="17" t="str">
        <f t="shared" si="7"/>
        <v>10–15%</v>
      </c>
      <c r="AV255" s="17">
        <v>113</v>
      </c>
      <c r="AW255" s="17"/>
    </row>
    <row r="256" spans="1:49">
      <c r="A256" t="s">
        <v>1161</v>
      </c>
      <c r="B256" s="5">
        <v>45577</v>
      </c>
      <c r="C256" t="s">
        <v>212</v>
      </c>
      <c r="D256" t="s">
        <v>213</v>
      </c>
      <c r="E256" t="s">
        <v>612</v>
      </c>
      <c r="F256" t="s">
        <v>34</v>
      </c>
      <c r="G256" t="s">
        <v>53</v>
      </c>
      <c r="H256" t="s">
        <v>54</v>
      </c>
      <c r="I256" t="s">
        <v>94</v>
      </c>
      <c r="J256" t="s">
        <v>43</v>
      </c>
      <c r="K256" t="s">
        <v>44</v>
      </c>
      <c r="L256" s="5">
        <v>43891</v>
      </c>
      <c r="M256">
        <v>60</v>
      </c>
      <c r="N256" t="s">
        <v>433</v>
      </c>
      <c r="O256" t="s">
        <v>876</v>
      </c>
      <c r="Q256">
        <v>1</v>
      </c>
      <c r="R256">
        <v>832</v>
      </c>
      <c r="S256" t="s">
        <v>896</v>
      </c>
      <c r="T256" s="6">
        <v>812753.71336289821</v>
      </c>
      <c r="U256" s="7">
        <f>T256*DealsRawTable[[#This Row],[Contract_Years]]</f>
        <v>812753.71336289821</v>
      </c>
      <c r="V256" s="8">
        <v>0.155</v>
      </c>
      <c r="W256" s="8">
        <v>0.109</v>
      </c>
      <c r="X256" s="8">
        <v>-0.11899999999999999</v>
      </c>
      <c r="Y256" t="s">
        <v>878</v>
      </c>
      <c r="Z256" t="s">
        <v>889</v>
      </c>
      <c r="AA256" s="6">
        <v>723827.88013782632</v>
      </c>
      <c r="AB256" s="7">
        <f>DealsRawTable[[#This Row],[Final_Price_ACV]]*DealsRawTable[[#This Row],[Contract_Years]]</f>
        <v>723827.88013782632</v>
      </c>
      <c r="AC256" s="6">
        <v>289293.32324454893</v>
      </c>
      <c r="AD256" s="6">
        <v>434534.55689327739</v>
      </c>
      <c r="AE256" s="8">
        <v>0.6003285709449826</v>
      </c>
      <c r="AF256" t="s">
        <v>457</v>
      </c>
      <c r="AG256" t="s">
        <v>38</v>
      </c>
      <c r="AI256" t="s">
        <v>38</v>
      </c>
      <c r="AJ256" s="6">
        <v>0</v>
      </c>
      <c r="AK256" s="6">
        <v>0</v>
      </c>
      <c r="AL256" t="s">
        <v>881</v>
      </c>
      <c r="AM256">
        <f t="shared" si="6"/>
        <v>724163.56</v>
      </c>
      <c r="AN256">
        <f>DealsRawTable[[#This Row],[Validated_Annual_Final_Price]]*DealsRawTable[[#This Row],[Contract_Years]]</f>
        <v>724163.56</v>
      </c>
      <c r="AO256">
        <f>DealsRawTable[[#This Row],[Validated_Annual_Final_Price]]-DealsRawTable[[#This Row],[Cost_to_Serve]]</f>
        <v>434870.23675545113</v>
      </c>
      <c r="AP256" s="17">
        <f>DealsRawTable[[#This Row],[Validated_Grossprofit]]/DealsRawTable[[#This Row],[Validated_Annual_Final_Price]]</f>
        <v>0.6005138352383419</v>
      </c>
      <c r="AQ256" s="17">
        <v>0</v>
      </c>
      <c r="AR256" s="17">
        <v>0</v>
      </c>
      <c r="AS256" s="17">
        <v>0</v>
      </c>
      <c r="AT256" s="17">
        <v>0</v>
      </c>
      <c r="AU256" s="17" t="str">
        <f t="shared" si="7"/>
        <v>10–15%</v>
      </c>
      <c r="AV256" s="17">
        <v>113</v>
      </c>
      <c r="AW256" s="17"/>
    </row>
    <row r="257" spans="1:49">
      <c r="A257" t="s">
        <v>1162</v>
      </c>
      <c r="B257" s="5">
        <v>45639</v>
      </c>
      <c r="C257" t="s">
        <v>212</v>
      </c>
      <c r="D257" t="s">
        <v>213</v>
      </c>
      <c r="E257" t="s">
        <v>613</v>
      </c>
      <c r="F257" t="s">
        <v>466</v>
      </c>
      <c r="G257" t="s">
        <v>53</v>
      </c>
      <c r="H257" t="s">
        <v>54</v>
      </c>
      <c r="I257" t="s">
        <v>94</v>
      </c>
      <c r="J257" t="s">
        <v>43</v>
      </c>
      <c r="K257" t="s">
        <v>44</v>
      </c>
      <c r="L257" s="5">
        <v>43891</v>
      </c>
      <c r="M257">
        <v>60</v>
      </c>
      <c r="N257" t="s">
        <v>429</v>
      </c>
      <c r="O257" t="s">
        <v>876</v>
      </c>
      <c r="Q257">
        <v>1</v>
      </c>
      <c r="R257">
        <v>381</v>
      </c>
      <c r="S257" t="s">
        <v>947</v>
      </c>
      <c r="T257" s="6">
        <v>288013.30448871717</v>
      </c>
      <c r="U257" s="7">
        <f>T257*DealsRawTable[[#This Row],[Contract_Years]]</f>
        <v>288013.30448871717</v>
      </c>
      <c r="V257" s="8">
        <v>0.17199999999999999</v>
      </c>
      <c r="W257" s="8">
        <v>0.155</v>
      </c>
      <c r="X257" s="8">
        <v>0.08</v>
      </c>
      <c r="Y257" t="s">
        <v>878</v>
      </c>
      <c r="Z257" t="s">
        <v>889</v>
      </c>
      <c r="AA257" s="6">
        <v>243227.3859084752</v>
      </c>
      <c r="AB257" s="7">
        <f>DealsRawTable[[#This Row],[Final_Price_ACV]]*DealsRawTable[[#This Row],[Contract_Years]]</f>
        <v>243227.3859084752</v>
      </c>
      <c r="AC257" s="6">
        <v>102708.6291963824</v>
      </c>
      <c r="AD257" s="6">
        <v>140518.75671209279</v>
      </c>
      <c r="AE257" s="8">
        <v>0.57772588471994279</v>
      </c>
      <c r="AF257" t="s">
        <v>880</v>
      </c>
      <c r="AG257" t="s">
        <v>44</v>
      </c>
      <c r="AI257" t="s">
        <v>38</v>
      </c>
      <c r="AJ257" s="6">
        <v>243227.3859084752</v>
      </c>
      <c r="AK257" s="6">
        <v>140518.75671209279</v>
      </c>
      <c r="AL257" t="s">
        <v>881</v>
      </c>
      <c r="AM257">
        <f t="shared" si="6"/>
        <v>243371.24</v>
      </c>
      <c r="AN257">
        <f>DealsRawTable[[#This Row],[Validated_Annual_Final_Price]]*DealsRawTable[[#This Row],[Contract_Years]]</f>
        <v>243371.24</v>
      </c>
      <c r="AO257">
        <f>DealsRawTable[[#This Row],[Validated_Annual_Final_Price]]-DealsRawTable[[#This Row],[Cost_to_Serve]]</f>
        <v>140662.61080361757</v>
      </c>
      <c r="AP257" s="17">
        <f>DealsRawTable[[#This Row],[Validated_Grossprofit]]/DealsRawTable[[#This Row],[Validated_Annual_Final_Price]]</f>
        <v>0.57797548635417062</v>
      </c>
      <c r="AQ257" s="17">
        <v>243371.24</v>
      </c>
      <c r="AR257" s="17">
        <v>243371.24</v>
      </c>
      <c r="AS257" s="17">
        <v>140662.61080361757</v>
      </c>
      <c r="AT257" s="17">
        <v>0.57797548635417062</v>
      </c>
      <c r="AU257" s="17" t="str">
        <f t="shared" si="7"/>
        <v>15–20%</v>
      </c>
      <c r="AV257" s="17">
        <v>108</v>
      </c>
      <c r="AW257" s="17"/>
    </row>
    <row r="258" spans="1:49">
      <c r="A258" t="s">
        <v>1163</v>
      </c>
      <c r="B258" s="5">
        <v>46004</v>
      </c>
      <c r="C258" t="s">
        <v>212</v>
      </c>
      <c r="D258" t="s">
        <v>213</v>
      </c>
      <c r="E258" t="s">
        <v>613</v>
      </c>
      <c r="F258" t="s">
        <v>466</v>
      </c>
      <c r="G258" t="s">
        <v>53</v>
      </c>
      <c r="H258" t="s">
        <v>54</v>
      </c>
      <c r="I258" t="s">
        <v>94</v>
      </c>
      <c r="J258" t="s">
        <v>43</v>
      </c>
      <c r="K258" t="s">
        <v>44</v>
      </c>
      <c r="L258" s="5">
        <v>43891</v>
      </c>
      <c r="M258">
        <v>60</v>
      </c>
      <c r="N258" t="s">
        <v>429</v>
      </c>
      <c r="O258" t="s">
        <v>876</v>
      </c>
      <c r="Q258">
        <v>1</v>
      </c>
      <c r="R258">
        <v>381</v>
      </c>
      <c r="S258" t="s">
        <v>947</v>
      </c>
      <c r="T258" s="6">
        <v>297012.3845452352</v>
      </c>
      <c r="U258" s="7">
        <f>T258*DealsRawTable[[#This Row],[Contract_Years]]</f>
        <v>297012.3845452352</v>
      </c>
      <c r="V258" s="8">
        <v>2.1999999999999999E-2</v>
      </c>
      <c r="W258" s="8">
        <v>0</v>
      </c>
      <c r="X258" s="8">
        <v>-2.4E-2</v>
      </c>
      <c r="Y258" t="s">
        <v>878</v>
      </c>
      <c r="Z258" t="s">
        <v>879</v>
      </c>
      <c r="AA258" s="6">
        <v>297012.3845452352</v>
      </c>
      <c r="AB258" s="7">
        <f>DealsRawTable[[#This Row],[Final_Price_ACV]]*DealsRawTable[[#This Row],[Contract_Years]]</f>
        <v>297012.3845452352</v>
      </c>
      <c r="AC258" s="6">
        <v>105808.81683390845</v>
      </c>
      <c r="AD258" s="6">
        <v>191203.56771132676</v>
      </c>
      <c r="AE258" s="8">
        <v>0.64375621240199943</v>
      </c>
      <c r="AF258" t="s">
        <v>880</v>
      </c>
      <c r="AG258" t="s">
        <v>44</v>
      </c>
      <c r="AI258" t="s">
        <v>38</v>
      </c>
      <c r="AJ258" s="6">
        <v>297012.3845452352</v>
      </c>
      <c r="AK258" s="6">
        <v>191203.56771132676</v>
      </c>
      <c r="AL258" t="s">
        <v>881</v>
      </c>
      <c r="AM258">
        <f t="shared" si="6"/>
        <v>297012.38</v>
      </c>
      <c r="AN258">
        <f>DealsRawTable[[#This Row],[Validated_Annual_Final_Price]]*DealsRawTable[[#This Row],[Contract_Years]]</f>
        <v>297012.38</v>
      </c>
      <c r="AO258">
        <f>DealsRawTable[[#This Row],[Validated_Annual_Final_Price]]-DealsRawTable[[#This Row],[Cost_to_Serve]]</f>
        <v>191203.56316609157</v>
      </c>
      <c r="AP258" s="17">
        <f>DealsRawTable[[#This Row],[Validated_Grossprofit]]/DealsRawTable[[#This Row],[Validated_Annual_Final_Price]]</f>
        <v>0.64375620695033509</v>
      </c>
      <c r="AQ258" s="17">
        <v>297012.38</v>
      </c>
      <c r="AR258" s="17">
        <v>297012.38</v>
      </c>
      <c r="AS258" s="17">
        <v>191203.56316609157</v>
      </c>
      <c r="AT258" s="17">
        <v>0.64375620695033509</v>
      </c>
      <c r="AU258" s="17" t="str">
        <f t="shared" si="7"/>
        <v>0–5%</v>
      </c>
      <c r="AV258" s="17">
        <v>55</v>
      </c>
      <c r="AW258" s="17"/>
    </row>
    <row r="259" spans="1:49">
      <c r="A259" t="s">
        <v>1164</v>
      </c>
      <c r="B259" s="5">
        <v>45429</v>
      </c>
      <c r="C259" t="s">
        <v>214</v>
      </c>
      <c r="D259" t="s">
        <v>215</v>
      </c>
      <c r="E259" t="s">
        <v>614</v>
      </c>
      <c r="F259" t="s">
        <v>466</v>
      </c>
      <c r="G259" t="s">
        <v>47</v>
      </c>
      <c r="H259" t="s">
        <v>54</v>
      </c>
      <c r="I259" t="s">
        <v>55</v>
      </c>
      <c r="J259" t="s">
        <v>56</v>
      </c>
      <c r="K259" t="s">
        <v>44</v>
      </c>
      <c r="L259" s="5">
        <v>43101</v>
      </c>
      <c r="M259">
        <v>81</v>
      </c>
      <c r="N259" t="s">
        <v>433</v>
      </c>
      <c r="O259" t="s">
        <v>883</v>
      </c>
      <c r="P259" t="s">
        <v>899</v>
      </c>
      <c r="Q259">
        <v>1</v>
      </c>
      <c r="R259">
        <v>367</v>
      </c>
      <c r="S259" t="s">
        <v>896</v>
      </c>
      <c r="T259" s="6">
        <v>445670.95700423402</v>
      </c>
      <c r="U259" s="7">
        <f>T259*DealsRawTable[[#This Row],[Contract_Years]]</f>
        <v>445670.95700423402</v>
      </c>
      <c r="V259" s="8">
        <v>0.17199999999999999</v>
      </c>
      <c r="W259" s="8">
        <v>0.14899999999999999</v>
      </c>
      <c r="X259" s="8">
        <v>-7.2999999999999995E-2</v>
      </c>
      <c r="Y259" t="s">
        <v>885</v>
      </c>
      <c r="Z259" t="s">
        <v>889</v>
      </c>
      <c r="AA259" s="6">
        <v>379365.36189818237</v>
      </c>
      <c r="AB259" s="7">
        <f>DealsRawTable[[#This Row],[Final_Price_ACV]]*DealsRawTable[[#This Row],[Contract_Years]]</f>
        <v>379365.36189818237</v>
      </c>
      <c r="AC259" s="6">
        <v>167202.45597502749</v>
      </c>
      <c r="AD259" s="6">
        <v>212162.90592315487</v>
      </c>
      <c r="AE259" s="8">
        <v>0.55925745266141913</v>
      </c>
      <c r="AF259" t="s">
        <v>880</v>
      </c>
      <c r="AH259" t="s">
        <v>44</v>
      </c>
      <c r="AI259" t="s">
        <v>38</v>
      </c>
      <c r="AJ259" s="6">
        <v>379365.36189818237</v>
      </c>
      <c r="AK259" s="6">
        <v>212162.90592315487</v>
      </c>
      <c r="AL259" t="s">
        <v>886</v>
      </c>
      <c r="AM259">
        <f t="shared" si="6"/>
        <v>379265.98</v>
      </c>
      <c r="AN259">
        <f>DealsRawTable[[#This Row],[Validated_Annual_Final_Price]]*DealsRawTable[[#This Row],[Contract_Years]]</f>
        <v>379265.98</v>
      </c>
      <c r="AO259">
        <f>DealsRawTable[[#This Row],[Validated_Annual_Final_Price]]-DealsRawTable[[#This Row],[Cost_to_Serve]]</f>
        <v>212063.52402497249</v>
      </c>
      <c r="AP259" s="17">
        <f>DealsRawTable[[#This Row],[Validated_Grossprofit]]/DealsRawTable[[#This Row],[Validated_Annual_Final_Price]]</f>
        <v>0.55914196159901419</v>
      </c>
      <c r="AQ259" s="17">
        <v>379265.98</v>
      </c>
      <c r="AR259" s="17">
        <v>379265.98</v>
      </c>
      <c r="AS259" s="17">
        <v>212063.52402497249</v>
      </c>
      <c r="AT259" s="17">
        <v>0.55914196159901419</v>
      </c>
      <c r="AU259" s="17" t="str">
        <f t="shared" si="7"/>
        <v>10–15%</v>
      </c>
      <c r="AV259" s="17">
        <v>113</v>
      </c>
      <c r="AW259" s="17"/>
    </row>
    <row r="260" spans="1:49">
      <c r="A260" t="s">
        <v>1165</v>
      </c>
      <c r="B260" s="5">
        <v>45648</v>
      </c>
      <c r="C260" t="s">
        <v>214</v>
      </c>
      <c r="D260" t="s">
        <v>215</v>
      </c>
      <c r="E260" t="s">
        <v>614</v>
      </c>
      <c r="F260" t="s">
        <v>466</v>
      </c>
      <c r="G260" t="s">
        <v>47</v>
      </c>
      <c r="H260" t="s">
        <v>54</v>
      </c>
      <c r="I260" t="s">
        <v>55</v>
      </c>
      <c r="J260" t="s">
        <v>56</v>
      </c>
      <c r="K260" t="s">
        <v>44</v>
      </c>
      <c r="L260" s="5">
        <v>43101</v>
      </c>
      <c r="M260">
        <v>81</v>
      </c>
      <c r="N260" t="s">
        <v>433</v>
      </c>
      <c r="O260" t="s">
        <v>876</v>
      </c>
      <c r="Q260">
        <v>1</v>
      </c>
      <c r="R260">
        <v>367</v>
      </c>
      <c r="S260" t="s">
        <v>900</v>
      </c>
      <c r="T260" s="6">
        <v>479392.06473381532</v>
      </c>
      <c r="U260" s="7">
        <f>T260*DealsRawTable[[#This Row],[Contract_Years]]</f>
        <v>479392.06473381532</v>
      </c>
      <c r="V260" s="8">
        <v>0.16800000000000001</v>
      </c>
      <c r="W260" s="8">
        <v>0.14399999999999999</v>
      </c>
      <c r="X260" s="8">
        <v>-3.7999999999999999E-2</v>
      </c>
      <c r="Y260" t="s">
        <v>878</v>
      </c>
      <c r="Z260" t="s">
        <v>889</v>
      </c>
      <c r="AA260" s="6">
        <v>410416.02109236497</v>
      </c>
      <c r="AB260" s="7">
        <f>DealsRawTable[[#This Row],[Final_Price_ACV]]*DealsRawTable[[#This Row],[Contract_Years]]</f>
        <v>410416.02109236497</v>
      </c>
      <c r="AC260" s="6">
        <v>168403.53209211008</v>
      </c>
      <c r="AD260" s="6">
        <v>242012.48900025489</v>
      </c>
      <c r="AE260" s="8">
        <v>0.58967602764656568</v>
      </c>
      <c r="AF260" t="s">
        <v>880</v>
      </c>
      <c r="AG260" t="s">
        <v>44</v>
      </c>
      <c r="AI260" t="s">
        <v>38</v>
      </c>
      <c r="AJ260" s="6">
        <v>410416.02109236497</v>
      </c>
      <c r="AK260" s="6">
        <v>242012.48900025489</v>
      </c>
      <c r="AL260" t="s">
        <v>881</v>
      </c>
      <c r="AM260">
        <f t="shared" si="6"/>
        <v>410359.61</v>
      </c>
      <c r="AN260">
        <f>DealsRawTable[[#This Row],[Validated_Annual_Final_Price]]*DealsRawTable[[#This Row],[Contract_Years]]</f>
        <v>410359.61</v>
      </c>
      <c r="AO260">
        <f>DealsRawTable[[#This Row],[Validated_Annual_Final_Price]]-DealsRawTable[[#This Row],[Cost_to_Serve]]</f>
        <v>241956.07790788991</v>
      </c>
      <c r="AP260" s="17">
        <f>DealsRawTable[[#This Row],[Validated_Grossprofit]]/DealsRawTable[[#This Row],[Validated_Annual_Final_Price]]</f>
        <v>0.58961962145321734</v>
      </c>
      <c r="AQ260" s="17">
        <v>410359.61</v>
      </c>
      <c r="AR260" s="17">
        <v>410359.61</v>
      </c>
      <c r="AS260" s="17">
        <v>241956.07790788991</v>
      </c>
      <c r="AT260" s="17">
        <v>0.58961962145321734</v>
      </c>
      <c r="AU260" s="17" t="str">
        <f t="shared" si="7"/>
        <v>10–15%</v>
      </c>
      <c r="AV260" s="17">
        <v>113</v>
      </c>
      <c r="AW260" s="17"/>
    </row>
    <row r="261" spans="1:49">
      <c r="A261" t="s">
        <v>1166</v>
      </c>
      <c r="B261" s="5">
        <v>46013</v>
      </c>
      <c r="C261" t="s">
        <v>214</v>
      </c>
      <c r="D261" t="s">
        <v>215</v>
      </c>
      <c r="E261" t="s">
        <v>614</v>
      </c>
      <c r="F261" t="s">
        <v>466</v>
      </c>
      <c r="G261" t="s">
        <v>47</v>
      </c>
      <c r="H261" t="s">
        <v>54</v>
      </c>
      <c r="I261" t="s">
        <v>55</v>
      </c>
      <c r="J261" t="s">
        <v>56</v>
      </c>
      <c r="K261" t="s">
        <v>44</v>
      </c>
      <c r="L261" s="5">
        <v>43101</v>
      </c>
      <c r="M261">
        <v>81</v>
      </c>
      <c r="N261" t="s">
        <v>433</v>
      </c>
      <c r="O261" t="s">
        <v>876</v>
      </c>
      <c r="Q261">
        <v>1</v>
      </c>
      <c r="R261">
        <v>367</v>
      </c>
      <c r="S261" t="s">
        <v>896</v>
      </c>
      <c r="T261" s="6">
        <v>507657.51842319599</v>
      </c>
      <c r="U261" s="7">
        <f>T261*DealsRawTable[[#This Row],[Contract_Years]]</f>
        <v>507657.51842319599</v>
      </c>
      <c r="V261" s="8">
        <v>0.22800000000000001</v>
      </c>
      <c r="W261" s="8">
        <v>0.21199999999999999</v>
      </c>
      <c r="X261" s="8">
        <v>-5.3999999999999999E-2</v>
      </c>
      <c r="Y261" t="s">
        <v>885</v>
      </c>
      <c r="Z261" t="s">
        <v>893</v>
      </c>
      <c r="AA261" s="6">
        <v>400264.50101313216</v>
      </c>
      <c r="AB261" s="7">
        <f>DealsRawTable[[#This Row],[Final_Price_ACV]]*DealsRawTable[[#This Row],[Contract_Years]]</f>
        <v>400264.50101313216</v>
      </c>
      <c r="AC261" s="6">
        <v>181466.86671303163</v>
      </c>
      <c r="AD261" s="6">
        <v>218797.63430010053</v>
      </c>
      <c r="AE261" s="8">
        <v>0.54663262354340547</v>
      </c>
      <c r="AF261" t="s">
        <v>880</v>
      </c>
      <c r="AG261" t="s">
        <v>44</v>
      </c>
      <c r="AI261" t="s">
        <v>38</v>
      </c>
      <c r="AJ261" s="6">
        <v>400264.50101313216</v>
      </c>
      <c r="AK261" s="6">
        <v>218797.63430010053</v>
      </c>
      <c r="AL261" t="s">
        <v>881</v>
      </c>
      <c r="AM261">
        <f t="shared" ref="AM261:AM324" si="8">ROUND(T261*(1-W261),2)</f>
        <v>400034.12</v>
      </c>
      <c r="AN261">
        <f>DealsRawTable[[#This Row],[Validated_Annual_Final_Price]]*DealsRawTable[[#This Row],[Contract_Years]]</f>
        <v>400034.12</v>
      </c>
      <c r="AO261">
        <f>DealsRawTable[[#This Row],[Validated_Annual_Final_Price]]-DealsRawTable[[#This Row],[Cost_to_Serve]]</f>
        <v>218567.25328696836</v>
      </c>
      <c r="AP261" s="17">
        <f>DealsRawTable[[#This Row],[Validated_Grossprofit]]/DealsRawTable[[#This Row],[Validated_Annual_Final_Price]]</f>
        <v>0.54637152772610587</v>
      </c>
      <c r="AQ261" s="17">
        <v>400034.12</v>
      </c>
      <c r="AR261" s="17">
        <v>400034.12</v>
      </c>
      <c r="AS261" s="17">
        <v>218567.25328696836</v>
      </c>
      <c r="AT261" s="17">
        <v>0.54637152772610587</v>
      </c>
      <c r="AU261" s="17" t="str">
        <f t="shared" ref="AU261:AU324" si="9">IF(W261&lt;=0.05,"0–5%", IF(W261&lt;=0.1,"5–10%", IF(W261&lt;=0.15,"10–15%", IF(W261&lt;=0.2,"15–20%", IF(W261&lt;=0.25,"20–25%", IF(W261&lt;=0.3,"25–30%","Above 30%"))))))</f>
        <v>20–25%</v>
      </c>
      <c r="AV261" s="17">
        <v>29</v>
      </c>
      <c r="AW261" s="17"/>
    </row>
    <row r="262" spans="1:49">
      <c r="A262" t="s">
        <v>1167</v>
      </c>
      <c r="B262" s="5">
        <v>46010</v>
      </c>
      <c r="C262" t="s">
        <v>214</v>
      </c>
      <c r="D262" t="s">
        <v>215</v>
      </c>
      <c r="E262" t="s">
        <v>615</v>
      </c>
      <c r="F262" t="s">
        <v>449</v>
      </c>
      <c r="G262" t="s">
        <v>47</v>
      </c>
      <c r="H262" t="s">
        <v>54</v>
      </c>
      <c r="I262" t="s">
        <v>55</v>
      </c>
      <c r="J262" t="s">
        <v>56</v>
      </c>
      <c r="K262" t="s">
        <v>44</v>
      </c>
      <c r="L262" s="5">
        <v>43101</v>
      </c>
      <c r="M262">
        <v>81</v>
      </c>
      <c r="N262" t="s">
        <v>427</v>
      </c>
      <c r="O262" t="s">
        <v>876</v>
      </c>
      <c r="Q262">
        <v>2</v>
      </c>
      <c r="R262">
        <v>323</v>
      </c>
      <c r="S262" t="s">
        <v>947</v>
      </c>
      <c r="T262" s="6">
        <v>74185.050842057535</v>
      </c>
      <c r="U262" s="7">
        <f>T262*DealsRawTable[[#This Row],[Contract_Years]]</f>
        <v>148370.10168411507</v>
      </c>
      <c r="V262" s="8">
        <v>0.128</v>
      </c>
      <c r="W262" s="8">
        <v>0.12</v>
      </c>
      <c r="X262" s="8">
        <v>-0.05</v>
      </c>
      <c r="Y262" t="s">
        <v>897</v>
      </c>
      <c r="Z262" t="s">
        <v>889</v>
      </c>
      <c r="AA262" s="6">
        <v>65288.852613705574</v>
      </c>
      <c r="AB262" s="7">
        <f>DealsRawTable[[#This Row],[Final_Price_ACV]]*DealsRawTable[[#This Row],[Contract_Years]]</f>
        <v>130577.70522741115</v>
      </c>
      <c r="AC262" s="6">
        <v>21952.908389207321</v>
      </c>
      <c r="AD262" s="6">
        <v>43335.944224498249</v>
      </c>
      <c r="AE262" s="8">
        <v>0.66375717277348933</v>
      </c>
      <c r="AF262" t="s">
        <v>880</v>
      </c>
      <c r="AG262" t="s">
        <v>44</v>
      </c>
      <c r="AI262" t="s">
        <v>38</v>
      </c>
      <c r="AJ262" s="6">
        <v>65288.852613705574</v>
      </c>
      <c r="AK262" s="6">
        <v>43335.944224498249</v>
      </c>
      <c r="AL262" t="s">
        <v>881</v>
      </c>
      <c r="AM262">
        <f t="shared" si="8"/>
        <v>65282.84</v>
      </c>
      <c r="AN262">
        <f>DealsRawTable[[#This Row],[Validated_Annual_Final_Price]]*DealsRawTable[[#This Row],[Contract_Years]]</f>
        <v>130565.68</v>
      </c>
      <c r="AO262">
        <f>DealsRawTable[[#This Row],[Validated_Annual_Final_Price]]-DealsRawTable[[#This Row],[Cost_to_Serve]]</f>
        <v>43329.931610792672</v>
      </c>
      <c r="AP262" s="17">
        <f>DealsRawTable[[#This Row],[Validated_Grossprofit]]/DealsRawTable[[#This Row],[Validated_Annual_Final_Price]]</f>
        <v>0.66372620447873709</v>
      </c>
      <c r="AQ262" s="17">
        <v>65282.84</v>
      </c>
      <c r="AR262" s="17">
        <v>130565.68</v>
      </c>
      <c r="AS262" s="17">
        <v>43329.931610792672</v>
      </c>
      <c r="AT262" s="17">
        <v>0.66372620447873709</v>
      </c>
      <c r="AU262" s="17" t="str">
        <f t="shared" si="9"/>
        <v>10–15%</v>
      </c>
      <c r="AV262" s="17">
        <v>113</v>
      </c>
      <c r="AW262" s="17"/>
    </row>
    <row r="263" spans="1:49">
      <c r="A263" t="s">
        <v>1168</v>
      </c>
      <c r="B263" s="5">
        <v>45588</v>
      </c>
      <c r="C263" t="s">
        <v>214</v>
      </c>
      <c r="D263" t="s">
        <v>215</v>
      </c>
      <c r="E263" t="s">
        <v>616</v>
      </c>
      <c r="F263" t="s">
        <v>445</v>
      </c>
      <c r="G263" t="s">
        <v>47</v>
      </c>
      <c r="H263" t="s">
        <v>54</v>
      </c>
      <c r="I263" t="s">
        <v>55</v>
      </c>
      <c r="J263" t="s">
        <v>56</v>
      </c>
      <c r="K263" t="s">
        <v>44</v>
      </c>
      <c r="L263" s="5">
        <v>43101</v>
      </c>
      <c r="M263">
        <v>81</v>
      </c>
      <c r="N263" t="s">
        <v>433</v>
      </c>
      <c r="O263" t="s">
        <v>876</v>
      </c>
      <c r="Q263">
        <v>1</v>
      </c>
      <c r="R263">
        <v>218</v>
      </c>
      <c r="S263" t="s">
        <v>907</v>
      </c>
      <c r="T263" s="6">
        <v>400167.89055544935</v>
      </c>
      <c r="U263" s="7">
        <f>T263*DealsRawTable[[#This Row],[Contract_Years]]</f>
        <v>400167.89055544935</v>
      </c>
      <c r="V263" s="8">
        <v>6.4000000000000001E-2</v>
      </c>
      <c r="W263" s="8">
        <v>5.0999999999999997E-2</v>
      </c>
      <c r="X263" s="8">
        <v>-7.4999999999999997E-2</v>
      </c>
      <c r="Y263" t="s">
        <v>905</v>
      </c>
      <c r="Z263" t="s">
        <v>879</v>
      </c>
      <c r="AA263" s="6">
        <v>379751.64984180382</v>
      </c>
      <c r="AB263" s="7">
        <f>DealsRawTable[[#This Row],[Final_Price_ACV]]*DealsRawTable[[#This Row],[Contract_Years]]</f>
        <v>379751.64984180382</v>
      </c>
      <c r="AC263" s="6">
        <v>147956.14164227061</v>
      </c>
      <c r="AD263" s="6">
        <v>231795.50819953321</v>
      </c>
      <c r="AE263" s="8">
        <v>0.61038709982193395</v>
      </c>
      <c r="AF263" t="s">
        <v>880</v>
      </c>
      <c r="AG263" t="s">
        <v>44</v>
      </c>
      <c r="AI263" t="s">
        <v>38</v>
      </c>
      <c r="AJ263" s="6">
        <v>379751.64984180382</v>
      </c>
      <c r="AK263" s="6">
        <v>231795.50819953321</v>
      </c>
      <c r="AL263" t="s">
        <v>881</v>
      </c>
      <c r="AM263">
        <f t="shared" si="8"/>
        <v>379759.33</v>
      </c>
      <c r="AN263">
        <f>DealsRawTable[[#This Row],[Validated_Annual_Final_Price]]*DealsRawTable[[#This Row],[Contract_Years]]</f>
        <v>379759.33</v>
      </c>
      <c r="AO263">
        <f>DealsRawTable[[#This Row],[Validated_Annual_Final_Price]]-DealsRawTable[[#This Row],[Cost_to_Serve]]</f>
        <v>231803.18835772941</v>
      </c>
      <c r="AP263" s="17">
        <f>DealsRawTable[[#This Row],[Validated_Grossprofit]]/DealsRawTable[[#This Row],[Validated_Annual_Final_Price]]</f>
        <v>0.61039497925628161</v>
      </c>
      <c r="AQ263" s="17">
        <v>379759.33</v>
      </c>
      <c r="AR263" s="17">
        <v>379759.33</v>
      </c>
      <c r="AS263" s="17">
        <v>231803.18835772941</v>
      </c>
      <c r="AT263" s="17">
        <v>0.61039497925628161</v>
      </c>
      <c r="AU263" s="17" t="str">
        <f t="shared" si="9"/>
        <v>5–10%</v>
      </c>
      <c r="AV263" s="17">
        <v>116</v>
      </c>
      <c r="AW263" s="17"/>
    </row>
    <row r="264" spans="1:49">
      <c r="A264" t="s">
        <v>1169</v>
      </c>
      <c r="B264" s="5">
        <v>45953</v>
      </c>
      <c r="C264" t="s">
        <v>214</v>
      </c>
      <c r="D264" t="s">
        <v>215</v>
      </c>
      <c r="E264" t="s">
        <v>616</v>
      </c>
      <c r="F264" t="s">
        <v>445</v>
      </c>
      <c r="G264" t="s">
        <v>47</v>
      </c>
      <c r="H264" t="s">
        <v>54</v>
      </c>
      <c r="I264" t="s">
        <v>55</v>
      </c>
      <c r="J264" t="s">
        <v>56</v>
      </c>
      <c r="K264" t="s">
        <v>44</v>
      </c>
      <c r="L264" s="5">
        <v>43101</v>
      </c>
      <c r="M264">
        <v>81</v>
      </c>
      <c r="N264" t="s">
        <v>433</v>
      </c>
      <c r="O264" t="s">
        <v>876</v>
      </c>
      <c r="Q264">
        <v>1</v>
      </c>
      <c r="R264">
        <v>218</v>
      </c>
      <c r="S264" t="s">
        <v>907</v>
      </c>
      <c r="T264" s="6">
        <v>411961.53654939658</v>
      </c>
      <c r="U264" s="7">
        <f>T264*DealsRawTable[[#This Row],[Contract_Years]]</f>
        <v>411961.53654939658</v>
      </c>
      <c r="V264" s="8">
        <v>8.7999999999999995E-2</v>
      </c>
      <c r="W264" s="8">
        <v>8.5999999999999993E-2</v>
      </c>
      <c r="X264" s="8">
        <v>-5.5E-2</v>
      </c>
      <c r="Y264" t="s">
        <v>897</v>
      </c>
      <c r="Z264" t="s">
        <v>879</v>
      </c>
      <c r="AA264" s="6">
        <v>376347.51664738992</v>
      </c>
      <c r="AB264" s="7">
        <f>DealsRawTable[[#This Row],[Final_Price_ACV]]*DealsRawTable[[#This Row],[Contract_Years]]</f>
        <v>376347.51664738992</v>
      </c>
      <c r="AC264" s="6">
        <v>146042.9939444781</v>
      </c>
      <c r="AD264" s="6">
        <v>230304.52270291181</v>
      </c>
      <c r="AE264" s="8">
        <v>0.61194643917018399</v>
      </c>
      <c r="AF264" t="s">
        <v>880</v>
      </c>
      <c r="AG264" t="s">
        <v>44</v>
      </c>
      <c r="AI264" t="s">
        <v>38</v>
      </c>
      <c r="AJ264" s="6">
        <v>376347.51664738992</v>
      </c>
      <c r="AK264" s="6">
        <v>230304.52270291181</v>
      </c>
      <c r="AL264" t="s">
        <v>881</v>
      </c>
      <c r="AM264">
        <f t="shared" si="8"/>
        <v>376532.84</v>
      </c>
      <c r="AN264">
        <f>DealsRawTable[[#This Row],[Validated_Annual_Final_Price]]*DealsRawTable[[#This Row],[Contract_Years]]</f>
        <v>376532.84</v>
      </c>
      <c r="AO264">
        <f>DealsRawTable[[#This Row],[Validated_Annual_Final_Price]]-DealsRawTable[[#This Row],[Cost_to_Serve]]</f>
        <v>230489.84605552192</v>
      </c>
      <c r="AP264" s="17">
        <f>DealsRawTable[[#This Row],[Validated_Grossprofit]]/DealsRawTable[[#This Row],[Validated_Annual_Final_Price]]</f>
        <v>0.61213743283460187</v>
      </c>
      <c r="AQ264" s="17">
        <v>376532.84</v>
      </c>
      <c r="AR264" s="17">
        <v>376532.84</v>
      </c>
      <c r="AS264" s="17">
        <v>230489.84605552192</v>
      </c>
      <c r="AT264" s="17">
        <v>0.61213743283460187</v>
      </c>
      <c r="AU264" s="17" t="str">
        <f t="shared" si="9"/>
        <v>5–10%</v>
      </c>
      <c r="AV264" s="17">
        <v>116</v>
      </c>
      <c r="AW264" s="17"/>
    </row>
    <row r="265" spans="1:49">
      <c r="A265" t="s">
        <v>1170</v>
      </c>
      <c r="B265" s="5">
        <v>45412</v>
      </c>
      <c r="C265" t="s">
        <v>216</v>
      </c>
      <c r="D265" t="s">
        <v>217</v>
      </c>
      <c r="E265" t="s">
        <v>617</v>
      </c>
      <c r="F265" t="s">
        <v>445</v>
      </c>
      <c r="G265" t="s">
        <v>47</v>
      </c>
      <c r="H265" t="s">
        <v>48</v>
      </c>
      <c r="I265" t="s">
        <v>115</v>
      </c>
      <c r="J265" t="s">
        <v>43</v>
      </c>
      <c r="K265" t="s">
        <v>44</v>
      </c>
      <c r="L265" s="5">
        <v>44317</v>
      </c>
      <c r="M265">
        <v>60</v>
      </c>
      <c r="N265" t="s">
        <v>424</v>
      </c>
      <c r="O265" t="s">
        <v>876</v>
      </c>
      <c r="Q265">
        <v>1</v>
      </c>
      <c r="R265">
        <v>469</v>
      </c>
      <c r="S265" t="s">
        <v>877</v>
      </c>
      <c r="T265" s="6">
        <v>65188.106476044486</v>
      </c>
      <c r="U265" s="7">
        <f>T265*DealsRawTable[[#This Row],[Contract_Years]]</f>
        <v>65188.106476044486</v>
      </c>
      <c r="V265" s="8">
        <v>0.20799999999999999</v>
      </c>
      <c r="W265" s="8">
        <v>0.17</v>
      </c>
      <c r="X265" s="8">
        <v>7.0000000000000007E-2</v>
      </c>
      <c r="Y265" t="s">
        <v>878</v>
      </c>
      <c r="Z265" t="s">
        <v>889</v>
      </c>
      <c r="AA265" s="6">
        <v>54102.868509979133</v>
      </c>
      <c r="AB265" s="7">
        <f>DealsRawTable[[#This Row],[Final_Price_ACV]]*DealsRawTable[[#This Row],[Contract_Years]]</f>
        <v>54102.868509979133</v>
      </c>
      <c r="AC265" s="6">
        <v>17594.549330920556</v>
      </c>
      <c r="AD265" s="6">
        <v>36508.319179058577</v>
      </c>
      <c r="AE265" s="8">
        <v>0.67479451985664518</v>
      </c>
      <c r="AF265" t="s">
        <v>880</v>
      </c>
      <c r="AG265" t="s">
        <v>44</v>
      </c>
      <c r="AI265" t="s">
        <v>38</v>
      </c>
      <c r="AJ265" s="6">
        <v>54102.868509979133</v>
      </c>
      <c r="AK265" s="6">
        <v>36508.319179058577</v>
      </c>
      <c r="AL265" t="s">
        <v>881</v>
      </c>
      <c r="AM265">
        <f t="shared" si="8"/>
        <v>54106.13</v>
      </c>
      <c r="AN265">
        <f>DealsRawTable[[#This Row],[Validated_Annual_Final_Price]]*DealsRawTable[[#This Row],[Contract_Years]]</f>
        <v>54106.13</v>
      </c>
      <c r="AO265">
        <f>DealsRawTable[[#This Row],[Validated_Annual_Final_Price]]-DealsRawTable[[#This Row],[Cost_to_Serve]]</f>
        <v>36511.580669079442</v>
      </c>
      <c r="AP265" s="17">
        <f>DealsRawTable[[#This Row],[Validated_Grossprofit]]/DealsRawTable[[#This Row],[Validated_Annual_Final_Price]]</f>
        <v>0.67481412307772604</v>
      </c>
      <c r="AQ265" s="17">
        <v>54106.13</v>
      </c>
      <c r="AR265" s="17">
        <v>54106.13</v>
      </c>
      <c r="AS265" s="17">
        <v>36511.580669079442</v>
      </c>
      <c r="AT265" s="17">
        <v>0.67481412307772604</v>
      </c>
      <c r="AU265" s="17" t="str">
        <f t="shared" si="9"/>
        <v>15–20%</v>
      </c>
      <c r="AV265" s="17">
        <v>108</v>
      </c>
      <c r="AW265" s="17"/>
    </row>
    <row r="266" spans="1:49">
      <c r="A266" t="s">
        <v>1171</v>
      </c>
      <c r="B266" s="5">
        <v>45653</v>
      </c>
      <c r="C266" t="s">
        <v>216</v>
      </c>
      <c r="D266" t="s">
        <v>217</v>
      </c>
      <c r="E266" t="s">
        <v>617</v>
      </c>
      <c r="F266" t="s">
        <v>445</v>
      </c>
      <c r="G266" t="s">
        <v>47</v>
      </c>
      <c r="H266" t="s">
        <v>48</v>
      </c>
      <c r="I266" t="s">
        <v>115</v>
      </c>
      <c r="J266" t="s">
        <v>43</v>
      </c>
      <c r="K266" t="s">
        <v>44</v>
      </c>
      <c r="L266" s="5">
        <v>44317</v>
      </c>
      <c r="M266">
        <v>60</v>
      </c>
      <c r="N266" t="s">
        <v>424</v>
      </c>
      <c r="O266" t="s">
        <v>883</v>
      </c>
      <c r="P266" t="s">
        <v>899</v>
      </c>
      <c r="Q266">
        <v>1</v>
      </c>
      <c r="R266">
        <v>673</v>
      </c>
      <c r="S266" t="s">
        <v>892</v>
      </c>
      <c r="T266" s="6">
        <v>86773.056743416208</v>
      </c>
      <c r="U266" s="7">
        <f>T266*DealsRawTable[[#This Row],[Contract_Years]]</f>
        <v>86773.056743416208</v>
      </c>
      <c r="V266" s="8">
        <v>0.14099999999999999</v>
      </c>
      <c r="W266" s="8">
        <v>0.123</v>
      </c>
      <c r="X266" s="8">
        <v>-7.0999999999999994E-2</v>
      </c>
      <c r="Y266" t="s">
        <v>885</v>
      </c>
      <c r="Z266" t="s">
        <v>889</v>
      </c>
      <c r="AA266" s="6">
        <v>76121.378764055858</v>
      </c>
      <c r="AB266" s="7">
        <f>DealsRawTable[[#This Row],[Final_Price_ACV]]*DealsRawTable[[#This Row],[Contract_Years]]</f>
        <v>76121.378764055858</v>
      </c>
      <c r="AC266" s="6">
        <v>23124.593209672057</v>
      </c>
      <c r="AD266" s="6">
        <v>52996.785554383801</v>
      </c>
      <c r="AE266" s="8">
        <v>0.69621420965917424</v>
      </c>
      <c r="AF266" t="s">
        <v>880</v>
      </c>
      <c r="AH266" t="s">
        <v>44</v>
      </c>
      <c r="AI266" t="s">
        <v>38</v>
      </c>
      <c r="AJ266" s="6">
        <v>76121.378764055858</v>
      </c>
      <c r="AK266" s="6">
        <v>52996.785554383801</v>
      </c>
      <c r="AL266" t="s">
        <v>886</v>
      </c>
      <c r="AM266">
        <f t="shared" si="8"/>
        <v>76099.97</v>
      </c>
      <c r="AN266">
        <f>DealsRawTable[[#This Row],[Validated_Annual_Final_Price]]*DealsRawTable[[#This Row],[Contract_Years]]</f>
        <v>76099.97</v>
      </c>
      <c r="AO266">
        <f>DealsRawTable[[#This Row],[Validated_Annual_Final_Price]]-DealsRawTable[[#This Row],[Cost_to_Serve]]</f>
        <v>52975.376790327944</v>
      </c>
      <c r="AP266" s="17">
        <f>DealsRawTable[[#This Row],[Validated_Grossprofit]]/DealsRawTable[[#This Row],[Validated_Annual_Final_Price]]</f>
        <v>0.69612874736123997</v>
      </c>
      <c r="AQ266" s="17">
        <v>76099.97</v>
      </c>
      <c r="AR266" s="17">
        <v>76099.97</v>
      </c>
      <c r="AS266" s="17">
        <v>52975.376790327944</v>
      </c>
      <c r="AT266" s="17">
        <v>0.69612874736123997</v>
      </c>
      <c r="AU266" s="17" t="str">
        <f t="shared" si="9"/>
        <v>10–15%</v>
      </c>
      <c r="AV266" s="17">
        <v>113</v>
      </c>
      <c r="AW266" s="17"/>
    </row>
    <row r="267" spans="1:49">
      <c r="A267" t="s">
        <v>1172</v>
      </c>
      <c r="B267" s="5">
        <v>45777</v>
      </c>
      <c r="C267" t="s">
        <v>216</v>
      </c>
      <c r="D267" t="s">
        <v>217</v>
      </c>
      <c r="E267" t="s">
        <v>617</v>
      </c>
      <c r="F267" t="s">
        <v>445</v>
      </c>
      <c r="G267" t="s">
        <v>47</v>
      </c>
      <c r="H267" t="s">
        <v>48</v>
      </c>
      <c r="I267" t="s">
        <v>115</v>
      </c>
      <c r="J267" t="s">
        <v>43</v>
      </c>
      <c r="K267" t="s">
        <v>44</v>
      </c>
      <c r="L267" s="5">
        <v>44317</v>
      </c>
      <c r="M267">
        <v>60</v>
      </c>
      <c r="N267" t="s">
        <v>424</v>
      </c>
      <c r="O267" t="s">
        <v>876</v>
      </c>
      <c r="Q267">
        <v>1</v>
      </c>
      <c r="R267">
        <v>673</v>
      </c>
      <c r="S267" t="s">
        <v>900</v>
      </c>
      <c r="T267" s="6">
        <v>90279.846097289876</v>
      </c>
      <c r="U267" s="7">
        <f>T267*DealsRawTable[[#This Row],[Contract_Years]]</f>
        <v>90279.846097289876</v>
      </c>
      <c r="V267" s="8">
        <v>0.151</v>
      </c>
      <c r="W267" s="8">
        <v>0.122</v>
      </c>
      <c r="X267" s="8">
        <v>-0.08</v>
      </c>
      <c r="Y267" t="s">
        <v>878</v>
      </c>
      <c r="Z267" t="s">
        <v>889</v>
      </c>
      <c r="AA267" s="6">
        <v>79310.292648009825</v>
      </c>
      <c r="AB267" s="7">
        <f>DealsRawTable[[#This Row],[Final_Price_ACV]]*DealsRawTable[[#This Row],[Contract_Years]]</f>
        <v>79310.292648009825</v>
      </c>
      <c r="AC267" s="6">
        <v>26906.323395760872</v>
      </c>
      <c r="AD267" s="6">
        <v>52403.969252248949</v>
      </c>
      <c r="AE267" s="8">
        <v>0.66074613398320314</v>
      </c>
      <c r="AF267" t="s">
        <v>457</v>
      </c>
      <c r="AG267" t="s">
        <v>38</v>
      </c>
      <c r="AI267" t="s">
        <v>38</v>
      </c>
      <c r="AJ267" s="6">
        <v>0</v>
      </c>
      <c r="AK267" s="6">
        <v>0</v>
      </c>
      <c r="AL267" t="s">
        <v>881</v>
      </c>
      <c r="AM267">
        <f t="shared" si="8"/>
        <v>79265.7</v>
      </c>
      <c r="AN267">
        <f>DealsRawTable[[#This Row],[Validated_Annual_Final_Price]]*DealsRawTable[[#This Row],[Contract_Years]]</f>
        <v>79265.7</v>
      </c>
      <c r="AO267">
        <f>DealsRawTable[[#This Row],[Validated_Annual_Final_Price]]-DealsRawTable[[#This Row],[Cost_to_Serve]]</f>
        <v>52359.376604239122</v>
      </c>
      <c r="AP267" s="17">
        <f>DealsRawTable[[#This Row],[Validated_Grossprofit]]/DealsRawTable[[#This Row],[Validated_Annual_Final_Price]]</f>
        <v>0.66055527932307567</v>
      </c>
      <c r="AQ267" s="17">
        <v>0</v>
      </c>
      <c r="AR267" s="17">
        <v>0</v>
      </c>
      <c r="AS267" s="17">
        <v>0</v>
      </c>
      <c r="AT267" s="17">
        <v>0</v>
      </c>
      <c r="AU267" s="17" t="str">
        <f t="shared" si="9"/>
        <v>10–15%</v>
      </c>
      <c r="AV267" s="17">
        <v>113</v>
      </c>
      <c r="AW267" s="17"/>
    </row>
    <row r="268" spans="1:49">
      <c r="A268" t="s">
        <v>1173</v>
      </c>
      <c r="B268" s="5">
        <v>45526</v>
      </c>
      <c r="C268" t="s">
        <v>216</v>
      </c>
      <c r="D268" t="s">
        <v>217</v>
      </c>
      <c r="E268" t="s">
        <v>618</v>
      </c>
      <c r="F268" t="s">
        <v>449</v>
      </c>
      <c r="G268" t="s">
        <v>47</v>
      </c>
      <c r="H268" t="s">
        <v>48</v>
      </c>
      <c r="I268" t="s">
        <v>115</v>
      </c>
      <c r="J268" t="s">
        <v>43</v>
      </c>
      <c r="K268" t="s">
        <v>44</v>
      </c>
      <c r="L268" s="5">
        <v>44317</v>
      </c>
      <c r="M268">
        <v>60</v>
      </c>
      <c r="N268" t="s">
        <v>433</v>
      </c>
      <c r="O268" t="s">
        <v>876</v>
      </c>
      <c r="Q268">
        <v>1</v>
      </c>
      <c r="R268">
        <v>1706</v>
      </c>
      <c r="S268" t="s">
        <v>907</v>
      </c>
      <c r="T268" s="6">
        <v>617526.29047798202</v>
      </c>
      <c r="U268" s="7">
        <f>T268*DealsRawTable[[#This Row],[Contract_Years]]</f>
        <v>617526.29047798202</v>
      </c>
      <c r="V268" s="8">
        <v>0.157</v>
      </c>
      <c r="W268" s="8">
        <v>0.11799999999999999</v>
      </c>
      <c r="X268" s="8">
        <v>1E-3</v>
      </c>
      <c r="Y268" t="s">
        <v>878</v>
      </c>
      <c r="Z268" t="s">
        <v>889</v>
      </c>
      <c r="AA268" s="6">
        <v>544893.35169475758</v>
      </c>
      <c r="AB268" s="7">
        <f>DealsRawTable[[#This Row],[Final_Price_ACV]]*DealsRawTable[[#This Row],[Contract_Years]]</f>
        <v>544893.35169475758</v>
      </c>
      <c r="AC268" s="6">
        <v>231342.57676764255</v>
      </c>
      <c r="AD268" s="6">
        <v>313550.77492711507</v>
      </c>
      <c r="AE268" s="8">
        <v>0.57543512680397368</v>
      </c>
      <c r="AF268" t="s">
        <v>880</v>
      </c>
      <c r="AG268" t="s">
        <v>44</v>
      </c>
      <c r="AI268" t="s">
        <v>38</v>
      </c>
      <c r="AJ268" s="6">
        <v>544893.35169475758</v>
      </c>
      <c r="AK268" s="6">
        <v>313550.77492711507</v>
      </c>
      <c r="AL268" t="s">
        <v>881</v>
      </c>
      <c r="AM268">
        <f t="shared" si="8"/>
        <v>544658.18999999994</v>
      </c>
      <c r="AN268">
        <f>DealsRawTable[[#This Row],[Validated_Annual_Final_Price]]*DealsRawTable[[#This Row],[Contract_Years]]</f>
        <v>544658.18999999994</v>
      </c>
      <c r="AO268">
        <f>DealsRawTable[[#This Row],[Validated_Annual_Final_Price]]-DealsRawTable[[#This Row],[Cost_to_Serve]]</f>
        <v>313315.61323235743</v>
      </c>
      <c r="AP268" s="17">
        <f>DealsRawTable[[#This Row],[Validated_Grossprofit]]/DealsRawTable[[#This Row],[Validated_Annual_Final_Price]]</f>
        <v>0.57525181661613767</v>
      </c>
      <c r="AQ268" s="17">
        <v>544658.18999999994</v>
      </c>
      <c r="AR268" s="17">
        <v>544658.18999999994</v>
      </c>
      <c r="AS268" s="17">
        <v>313315.61323235743</v>
      </c>
      <c r="AT268" s="17">
        <v>0.57525181661613767</v>
      </c>
      <c r="AU268" s="17" t="str">
        <f t="shared" si="9"/>
        <v>10–15%</v>
      </c>
      <c r="AV268" s="17">
        <v>113</v>
      </c>
      <c r="AW268" s="17"/>
    </row>
    <row r="269" spans="1:49">
      <c r="A269" t="s">
        <v>1174</v>
      </c>
      <c r="B269" s="5">
        <v>45749</v>
      </c>
      <c r="C269" t="s">
        <v>216</v>
      </c>
      <c r="D269" t="s">
        <v>217</v>
      </c>
      <c r="E269" t="s">
        <v>618</v>
      </c>
      <c r="F269" t="s">
        <v>449</v>
      </c>
      <c r="G269" t="s">
        <v>47</v>
      </c>
      <c r="H269" t="s">
        <v>48</v>
      </c>
      <c r="I269" t="s">
        <v>115</v>
      </c>
      <c r="J269" t="s">
        <v>43</v>
      </c>
      <c r="K269" t="s">
        <v>44</v>
      </c>
      <c r="L269" s="5">
        <v>44317</v>
      </c>
      <c r="M269">
        <v>60</v>
      </c>
      <c r="N269" t="s">
        <v>433</v>
      </c>
      <c r="O269" t="s">
        <v>883</v>
      </c>
      <c r="P269" t="s">
        <v>951</v>
      </c>
      <c r="Q269">
        <v>1</v>
      </c>
      <c r="R269">
        <v>2381</v>
      </c>
      <c r="S269" t="s">
        <v>907</v>
      </c>
      <c r="T269" s="6">
        <v>780390.31657182507</v>
      </c>
      <c r="U269" s="7">
        <f>T269*DealsRawTable[[#This Row],[Contract_Years]]</f>
        <v>780390.31657182507</v>
      </c>
      <c r="V269" s="8">
        <v>0.13300000000000001</v>
      </c>
      <c r="W269" s="8">
        <v>9.7000000000000003E-2</v>
      </c>
      <c r="X269" s="8">
        <v>-1.2E-2</v>
      </c>
      <c r="Y269" t="s">
        <v>885</v>
      </c>
      <c r="Z269" t="s">
        <v>879</v>
      </c>
      <c r="AA269" s="6">
        <v>704750.59776241425</v>
      </c>
      <c r="AB269" s="7">
        <f>DealsRawTable[[#This Row],[Final_Price_ACV]]*DealsRawTable[[#This Row],[Contract_Years]]</f>
        <v>704750.59776241425</v>
      </c>
      <c r="AC269" s="6">
        <v>251852.19494189811</v>
      </c>
      <c r="AD269" s="6">
        <v>452898.40282051614</v>
      </c>
      <c r="AE269" s="8">
        <v>0.64263642238611818</v>
      </c>
      <c r="AF269" t="s">
        <v>880</v>
      </c>
      <c r="AH269" t="s">
        <v>44</v>
      </c>
      <c r="AI269" t="s">
        <v>38</v>
      </c>
      <c r="AJ269" s="6">
        <v>704750.59776241425</v>
      </c>
      <c r="AK269" s="6">
        <v>452898.40282051614</v>
      </c>
      <c r="AL269" t="s">
        <v>886</v>
      </c>
      <c r="AM269">
        <f t="shared" si="8"/>
        <v>704692.46</v>
      </c>
      <c r="AN269">
        <f>DealsRawTable[[#This Row],[Validated_Annual_Final_Price]]*DealsRawTable[[#This Row],[Contract_Years]]</f>
        <v>704692.46</v>
      </c>
      <c r="AO269">
        <f>DealsRawTable[[#This Row],[Validated_Annual_Final_Price]]-DealsRawTable[[#This Row],[Cost_to_Serve]]</f>
        <v>452840.26505810185</v>
      </c>
      <c r="AP269" s="17">
        <f>DealsRawTable[[#This Row],[Validated_Grossprofit]]/DealsRawTable[[#This Row],[Validated_Annual_Final_Price]]</f>
        <v>0.64260693956921555</v>
      </c>
      <c r="AQ269" s="17">
        <v>704692.46</v>
      </c>
      <c r="AR269" s="17">
        <v>704692.46</v>
      </c>
      <c r="AS269" s="17">
        <v>452840.26505810185</v>
      </c>
      <c r="AT269" s="17">
        <v>0.64260693956921555</v>
      </c>
      <c r="AU269" s="17" t="str">
        <f t="shared" si="9"/>
        <v>5–10%</v>
      </c>
      <c r="AV269" s="17">
        <v>116</v>
      </c>
      <c r="AW269" s="17"/>
    </row>
    <row r="270" spans="1:49">
      <c r="A270" t="s">
        <v>1175</v>
      </c>
      <c r="B270" s="5">
        <v>45891</v>
      </c>
      <c r="C270" t="s">
        <v>216</v>
      </c>
      <c r="D270" t="s">
        <v>217</v>
      </c>
      <c r="E270" t="s">
        <v>618</v>
      </c>
      <c r="F270" t="s">
        <v>449</v>
      </c>
      <c r="G270" t="s">
        <v>47</v>
      </c>
      <c r="H270" t="s">
        <v>48</v>
      </c>
      <c r="I270" t="s">
        <v>115</v>
      </c>
      <c r="J270" t="s">
        <v>43</v>
      </c>
      <c r="K270" t="s">
        <v>44</v>
      </c>
      <c r="L270" s="5">
        <v>44317</v>
      </c>
      <c r="M270">
        <v>60</v>
      </c>
      <c r="N270" t="s">
        <v>433</v>
      </c>
      <c r="O270" t="s">
        <v>876</v>
      </c>
      <c r="Q270">
        <v>1</v>
      </c>
      <c r="R270">
        <v>2381</v>
      </c>
      <c r="S270" t="s">
        <v>947</v>
      </c>
      <c r="T270" s="6">
        <v>806376.06088258128</v>
      </c>
      <c r="U270" s="7">
        <f>T270*DealsRawTable[[#This Row],[Contract_Years]]</f>
        <v>806376.06088258128</v>
      </c>
      <c r="V270" s="8">
        <v>3.2000000000000001E-2</v>
      </c>
      <c r="W270" s="8">
        <v>0</v>
      </c>
      <c r="X270" s="8">
        <v>3.6999999999999998E-2</v>
      </c>
      <c r="Y270" t="s">
        <v>878</v>
      </c>
      <c r="Z270" t="s">
        <v>879</v>
      </c>
      <c r="AA270" s="6">
        <v>806376.06088258128</v>
      </c>
      <c r="AB270" s="7">
        <f>DealsRawTable[[#This Row],[Final_Price_ACV]]*DealsRawTable[[#This Row],[Contract_Years]]</f>
        <v>806376.06088258128</v>
      </c>
      <c r="AC270" s="6">
        <v>286950.64025917073</v>
      </c>
      <c r="AD270" s="6">
        <v>519425.42062341055</v>
      </c>
      <c r="AE270" s="8">
        <v>0.64414786824759862</v>
      </c>
      <c r="AF270" t="s">
        <v>880</v>
      </c>
      <c r="AG270" t="s">
        <v>44</v>
      </c>
      <c r="AI270" t="s">
        <v>38</v>
      </c>
      <c r="AJ270" s="6">
        <v>806376.06088258128</v>
      </c>
      <c r="AK270" s="6">
        <v>519425.42062341055</v>
      </c>
      <c r="AL270" t="s">
        <v>881</v>
      </c>
      <c r="AM270">
        <f t="shared" si="8"/>
        <v>806376.06</v>
      </c>
      <c r="AN270">
        <f>DealsRawTable[[#This Row],[Validated_Annual_Final_Price]]*DealsRawTable[[#This Row],[Contract_Years]]</f>
        <v>806376.06</v>
      </c>
      <c r="AO270">
        <f>DealsRawTable[[#This Row],[Validated_Annual_Final_Price]]-DealsRawTable[[#This Row],[Cost_to_Serve]]</f>
        <v>519425.41974082933</v>
      </c>
      <c r="AP270" s="17">
        <f>DealsRawTable[[#This Row],[Validated_Grossprofit]]/DealsRawTable[[#This Row],[Validated_Annual_Final_Price]]</f>
        <v>0.64414786785811728</v>
      </c>
      <c r="AQ270" s="17">
        <v>806376.06</v>
      </c>
      <c r="AR270" s="17">
        <v>806376.06</v>
      </c>
      <c r="AS270" s="17">
        <v>519425.41974082933</v>
      </c>
      <c r="AT270" s="17">
        <v>0.64414786785811728</v>
      </c>
      <c r="AU270" s="17" t="str">
        <f t="shared" si="9"/>
        <v>0–5%</v>
      </c>
      <c r="AV270" s="17">
        <v>55</v>
      </c>
      <c r="AW270" s="17"/>
    </row>
    <row r="271" spans="1:49">
      <c r="A271" t="s">
        <v>1176</v>
      </c>
      <c r="B271" s="5">
        <v>45517</v>
      </c>
      <c r="C271" t="s">
        <v>216</v>
      </c>
      <c r="D271" t="s">
        <v>217</v>
      </c>
      <c r="E271" t="s">
        <v>619</v>
      </c>
      <c r="F271" t="s">
        <v>34</v>
      </c>
      <c r="G271" t="s">
        <v>47</v>
      </c>
      <c r="H271" t="s">
        <v>48</v>
      </c>
      <c r="I271" t="s">
        <v>115</v>
      </c>
      <c r="J271" t="s">
        <v>43</v>
      </c>
      <c r="K271" t="s">
        <v>44</v>
      </c>
      <c r="L271" s="5">
        <v>44317</v>
      </c>
      <c r="M271">
        <v>60</v>
      </c>
      <c r="N271" t="s">
        <v>429</v>
      </c>
      <c r="O271" t="s">
        <v>883</v>
      </c>
      <c r="P271" t="s">
        <v>951</v>
      </c>
      <c r="Q271">
        <v>3</v>
      </c>
      <c r="R271">
        <v>2371</v>
      </c>
      <c r="S271" t="s">
        <v>932</v>
      </c>
      <c r="T271" s="6">
        <v>498492.87444137561</v>
      </c>
      <c r="U271" s="7">
        <f>T271*DealsRawTable[[#This Row],[Contract_Years]]</f>
        <v>1495478.6233241269</v>
      </c>
      <c r="V271" s="8">
        <v>0.106</v>
      </c>
      <c r="W271" s="8">
        <v>7.2999999999999995E-2</v>
      </c>
      <c r="X271" s="8">
        <v>-2.5000000000000001E-2</v>
      </c>
      <c r="Y271" t="s">
        <v>885</v>
      </c>
      <c r="Z271" t="s">
        <v>879</v>
      </c>
      <c r="AA271" s="6">
        <v>462167.3338464023</v>
      </c>
      <c r="AB271" s="7">
        <f>DealsRawTable[[#This Row],[Final_Price_ACV]]*DealsRawTable[[#This Row],[Contract_Years]]</f>
        <v>1386502.0015392068</v>
      </c>
      <c r="AC271" s="6">
        <v>173604.74861654139</v>
      </c>
      <c r="AD271" s="6">
        <v>288562.58522986091</v>
      </c>
      <c r="AE271" s="8">
        <v>0.62436819761424855</v>
      </c>
      <c r="AF271" t="s">
        <v>880</v>
      </c>
      <c r="AH271" t="s">
        <v>44</v>
      </c>
      <c r="AI271" t="s">
        <v>38</v>
      </c>
      <c r="AJ271" s="6">
        <v>462167.3338464023</v>
      </c>
      <c r="AK271" s="6">
        <v>288562.58522986091</v>
      </c>
      <c r="AL271" t="s">
        <v>886</v>
      </c>
      <c r="AM271">
        <f t="shared" si="8"/>
        <v>462102.89</v>
      </c>
      <c r="AN271">
        <f>DealsRawTable[[#This Row],[Validated_Annual_Final_Price]]*DealsRawTable[[#This Row],[Contract_Years]]</f>
        <v>1386308.67</v>
      </c>
      <c r="AO271">
        <f>DealsRawTable[[#This Row],[Validated_Annual_Final_Price]]-DealsRawTable[[#This Row],[Cost_to_Serve]]</f>
        <v>288498.14138345863</v>
      </c>
      <c r="AP271" s="17">
        <f>DealsRawTable[[#This Row],[Validated_Grossprofit]]/DealsRawTable[[#This Row],[Validated_Annual_Final_Price]]</f>
        <v>0.62431581283436388</v>
      </c>
      <c r="AQ271" s="17">
        <v>462102.89</v>
      </c>
      <c r="AR271" s="17">
        <v>1386308.67</v>
      </c>
      <c r="AS271" s="17">
        <v>288498.14138345863</v>
      </c>
      <c r="AT271" s="17">
        <v>0.62431581283436388</v>
      </c>
      <c r="AU271" s="17" t="str">
        <f t="shared" si="9"/>
        <v>5–10%</v>
      </c>
      <c r="AV271" s="17">
        <v>116</v>
      </c>
      <c r="AW271" s="17"/>
    </row>
    <row r="272" spans="1:49">
      <c r="A272" t="s">
        <v>1177</v>
      </c>
      <c r="B272" s="5">
        <v>45608</v>
      </c>
      <c r="C272" t="s">
        <v>216</v>
      </c>
      <c r="D272" t="s">
        <v>217</v>
      </c>
      <c r="E272" t="s">
        <v>619</v>
      </c>
      <c r="F272" t="s">
        <v>34</v>
      </c>
      <c r="G272" t="s">
        <v>47</v>
      </c>
      <c r="H272" t="s">
        <v>48</v>
      </c>
      <c r="I272" t="s">
        <v>115</v>
      </c>
      <c r="J272" t="s">
        <v>43</v>
      </c>
      <c r="K272" t="s">
        <v>44</v>
      </c>
      <c r="L272" s="5">
        <v>44317</v>
      </c>
      <c r="M272">
        <v>60</v>
      </c>
      <c r="N272" t="s">
        <v>429</v>
      </c>
      <c r="O272" t="s">
        <v>876</v>
      </c>
      <c r="Q272">
        <v>3</v>
      </c>
      <c r="R272">
        <v>2371</v>
      </c>
      <c r="S272" t="s">
        <v>888</v>
      </c>
      <c r="T272" s="6">
        <v>520568.62724880956</v>
      </c>
      <c r="U272" s="7">
        <f>T272*DealsRawTable[[#This Row],[Contract_Years]]</f>
        <v>1561705.8817464286</v>
      </c>
      <c r="V272" s="8">
        <v>4.2000000000000003E-2</v>
      </c>
      <c r="W272" s="8">
        <v>3.5000000000000003E-2</v>
      </c>
      <c r="X272" s="8">
        <v>-1.7999999999999999E-2</v>
      </c>
      <c r="Y272" t="s">
        <v>878</v>
      </c>
      <c r="Z272" t="s">
        <v>879</v>
      </c>
      <c r="AA272" s="6">
        <v>502362.84877951327</v>
      </c>
      <c r="AB272" s="7">
        <f>DealsRawTable[[#This Row],[Final_Price_ACV]]*DealsRawTable[[#This Row],[Contract_Years]]</f>
        <v>1507088.5463385398</v>
      </c>
      <c r="AC272" s="6">
        <v>181563.86197625988</v>
      </c>
      <c r="AD272" s="6">
        <v>320798.98680325341</v>
      </c>
      <c r="AE272" s="8">
        <v>0.63858023654144036</v>
      </c>
      <c r="AF272" t="s">
        <v>880</v>
      </c>
      <c r="AG272" t="s">
        <v>44</v>
      </c>
      <c r="AI272" t="s">
        <v>38</v>
      </c>
      <c r="AJ272" s="6">
        <v>502362.84877951327</v>
      </c>
      <c r="AK272" s="6">
        <v>320798.98680325341</v>
      </c>
      <c r="AL272" t="s">
        <v>881</v>
      </c>
      <c r="AM272">
        <f t="shared" si="8"/>
        <v>502348.73</v>
      </c>
      <c r="AN272">
        <f>DealsRawTable[[#This Row],[Validated_Annual_Final_Price]]*DealsRawTable[[#This Row],[Contract_Years]]</f>
        <v>1507046.19</v>
      </c>
      <c r="AO272">
        <f>DealsRawTable[[#This Row],[Validated_Annual_Final_Price]]-DealsRawTable[[#This Row],[Cost_to_Serve]]</f>
        <v>320784.86802374013</v>
      </c>
      <c r="AP272" s="17">
        <f>DealsRawTable[[#This Row],[Validated_Grossprofit]]/DealsRawTable[[#This Row],[Validated_Annual_Final_Price]]</f>
        <v>0.63857007864584459</v>
      </c>
      <c r="AQ272" s="17">
        <v>502348.73</v>
      </c>
      <c r="AR272" s="17">
        <v>1507046.19</v>
      </c>
      <c r="AS272" s="17">
        <v>320784.86802374013</v>
      </c>
      <c r="AT272" s="17">
        <v>0.63857007864584459</v>
      </c>
      <c r="AU272" s="17" t="str">
        <f t="shared" si="9"/>
        <v>0–5%</v>
      </c>
      <c r="AV272" s="17">
        <v>55</v>
      </c>
      <c r="AW272" s="17"/>
    </row>
    <row r="273" spans="1:49">
      <c r="A273" t="s">
        <v>1178</v>
      </c>
      <c r="B273" s="5">
        <v>45358</v>
      </c>
      <c r="C273" t="s">
        <v>218</v>
      </c>
      <c r="D273" t="s">
        <v>219</v>
      </c>
      <c r="E273" t="s">
        <v>620</v>
      </c>
      <c r="F273" t="s">
        <v>466</v>
      </c>
      <c r="G273" t="s">
        <v>53</v>
      </c>
      <c r="H273" t="s">
        <v>70</v>
      </c>
      <c r="I273" t="s">
        <v>71</v>
      </c>
      <c r="J273" t="s">
        <v>56</v>
      </c>
      <c r="K273" t="s">
        <v>38</v>
      </c>
      <c r="L273" s="5">
        <v>43252</v>
      </c>
      <c r="M273">
        <v>67</v>
      </c>
      <c r="N273" t="s">
        <v>429</v>
      </c>
      <c r="O273" t="s">
        <v>876</v>
      </c>
      <c r="Q273">
        <v>1</v>
      </c>
      <c r="R273">
        <v>278</v>
      </c>
      <c r="S273" t="s">
        <v>877</v>
      </c>
      <c r="T273" s="6">
        <v>142828.47237968276</v>
      </c>
      <c r="U273" s="7">
        <f>T273*DealsRawTable[[#This Row],[Contract_Years]]</f>
        <v>142828.47237968276</v>
      </c>
      <c r="V273" s="8">
        <v>0.18099999999999999</v>
      </c>
      <c r="W273" s="8">
        <v>0.17</v>
      </c>
      <c r="X273" s="8">
        <v>-3.2000000000000001E-2</v>
      </c>
      <c r="Y273" t="s">
        <v>905</v>
      </c>
      <c r="Z273" t="s">
        <v>889</v>
      </c>
      <c r="AA273" s="6">
        <v>118578.24279021358</v>
      </c>
      <c r="AB273" s="7">
        <f>DealsRawTable[[#This Row],[Final_Price_ACV]]*DealsRawTable[[#This Row],[Contract_Years]]</f>
        <v>118578.24279021358</v>
      </c>
      <c r="AC273" s="6">
        <v>51155.271804586999</v>
      </c>
      <c r="AD273" s="6">
        <v>67422.970985626584</v>
      </c>
      <c r="AE273" s="8">
        <v>0.56859478939074892</v>
      </c>
      <c r="AF273" t="s">
        <v>880</v>
      </c>
      <c r="AG273" t="s">
        <v>44</v>
      </c>
      <c r="AI273" t="s">
        <v>38</v>
      </c>
      <c r="AJ273" s="6">
        <v>118578.24279021358</v>
      </c>
      <c r="AK273" s="6">
        <v>67422.970985626584</v>
      </c>
      <c r="AL273" t="s">
        <v>881</v>
      </c>
      <c r="AM273">
        <f t="shared" si="8"/>
        <v>118547.63</v>
      </c>
      <c r="AN273">
        <f>DealsRawTable[[#This Row],[Validated_Annual_Final_Price]]*DealsRawTable[[#This Row],[Contract_Years]]</f>
        <v>118547.63</v>
      </c>
      <c r="AO273">
        <f>DealsRawTable[[#This Row],[Validated_Annual_Final_Price]]-DealsRawTable[[#This Row],[Cost_to_Serve]]</f>
        <v>67392.358195413006</v>
      </c>
      <c r="AP273" s="17">
        <f>DealsRawTable[[#This Row],[Validated_Grossprofit]]/DealsRawTable[[#This Row],[Validated_Annual_Final_Price]]</f>
        <v>0.56848338676541232</v>
      </c>
      <c r="AQ273" s="17">
        <v>118547.63</v>
      </c>
      <c r="AR273" s="17">
        <v>118547.63</v>
      </c>
      <c r="AS273" s="17">
        <v>67392.358195413006</v>
      </c>
      <c r="AT273" s="17">
        <v>0.56848338676541232</v>
      </c>
      <c r="AU273" s="17" t="str">
        <f t="shared" si="9"/>
        <v>15–20%</v>
      </c>
      <c r="AV273" s="17">
        <v>108</v>
      </c>
      <c r="AW273" s="17"/>
    </row>
    <row r="274" spans="1:49">
      <c r="A274" t="s">
        <v>1179</v>
      </c>
      <c r="B274" s="5">
        <v>45723</v>
      </c>
      <c r="C274" t="s">
        <v>218</v>
      </c>
      <c r="D274" t="s">
        <v>219</v>
      </c>
      <c r="E274" t="s">
        <v>620</v>
      </c>
      <c r="F274" t="s">
        <v>466</v>
      </c>
      <c r="G274" t="s">
        <v>53</v>
      </c>
      <c r="H274" t="s">
        <v>70</v>
      </c>
      <c r="I274" t="s">
        <v>71</v>
      </c>
      <c r="J274" t="s">
        <v>56</v>
      </c>
      <c r="K274" t="s">
        <v>38</v>
      </c>
      <c r="L274" s="5">
        <v>43252</v>
      </c>
      <c r="M274">
        <v>67</v>
      </c>
      <c r="N274" t="s">
        <v>429</v>
      </c>
      <c r="O274" t="s">
        <v>876</v>
      </c>
      <c r="Q274">
        <v>1</v>
      </c>
      <c r="R274">
        <v>278</v>
      </c>
      <c r="S274" t="s">
        <v>888</v>
      </c>
      <c r="T274" s="6">
        <v>147984.76932398262</v>
      </c>
      <c r="U274" s="7">
        <f>T274*DealsRawTable[[#This Row],[Contract_Years]]</f>
        <v>147984.76932398262</v>
      </c>
      <c r="V274" s="8">
        <v>0.122</v>
      </c>
      <c r="W274" s="8">
        <v>0.108</v>
      </c>
      <c r="X274" s="8">
        <v>1.4E-2</v>
      </c>
      <c r="Y274" t="s">
        <v>885</v>
      </c>
      <c r="Z274" t="s">
        <v>889</v>
      </c>
      <c r="AA274" s="6">
        <v>132004.59589237109</v>
      </c>
      <c r="AB274" s="7">
        <f>DealsRawTable[[#This Row],[Final_Price_ACV]]*DealsRawTable[[#This Row],[Contract_Years]]</f>
        <v>132004.59589237109</v>
      </c>
      <c r="AC274" s="6">
        <v>51441.481877470018</v>
      </c>
      <c r="AD274" s="6">
        <v>80563.114014901075</v>
      </c>
      <c r="AE274" s="8">
        <v>0.61030537209922286</v>
      </c>
      <c r="AF274" t="s">
        <v>880</v>
      </c>
      <c r="AG274" t="s">
        <v>44</v>
      </c>
      <c r="AI274" t="s">
        <v>38</v>
      </c>
      <c r="AJ274" s="6">
        <v>132004.59589237109</v>
      </c>
      <c r="AK274" s="6">
        <v>80563.114014901075</v>
      </c>
      <c r="AL274" t="s">
        <v>881</v>
      </c>
      <c r="AM274">
        <f t="shared" si="8"/>
        <v>132002.41</v>
      </c>
      <c r="AN274">
        <f>DealsRawTable[[#This Row],[Validated_Annual_Final_Price]]*DealsRawTable[[#This Row],[Contract_Years]]</f>
        <v>132002.41</v>
      </c>
      <c r="AO274">
        <f>DealsRawTable[[#This Row],[Validated_Annual_Final_Price]]-DealsRawTable[[#This Row],[Cost_to_Serve]]</f>
        <v>80560.928122529993</v>
      </c>
      <c r="AP274" s="17">
        <f>DealsRawTable[[#This Row],[Validated_Grossprofit]]/DealsRawTable[[#This Row],[Validated_Annual_Final_Price]]</f>
        <v>0.61029891895557054</v>
      </c>
      <c r="AQ274" s="17">
        <v>132002.41</v>
      </c>
      <c r="AR274" s="17">
        <v>132002.41</v>
      </c>
      <c r="AS274" s="17">
        <v>80560.928122529993</v>
      </c>
      <c r="AT274" s="17">
        <v>0.61029891895557054</v>
      </c>
      <c r="AU274" s="17" t="str">
        <f t="shared" si="9"/>
        <v>10–15%</v>
      </c>
      <c r="AV274" s="17">
        <v>113</v>
      </c>
      <c r="AW274" s="17"/>
    </row>
    <row r="275" spans="1:49">
      <c r="A275" t="s">
        <v>1180</v>
      </c>
      <c r="B275" s="5">
        <v>45430</v>
      </c>
      <c r="C275" t="s">
        <v>218</v>
      </c>
      <c r="D275" t="s">
        <v>219</v>
      </c>
      <c r="E275" t="s">
        <v>621</v>
      </c>
      <c r="F275" t="s">
        <v>445</v>
      </c>
      <c r="G275" t="s">
        <v>53</v>
      </c>
      <c r="H275" t="s">
        <v>70</v>
      </c>
      <c r="I275" t="s">
        <v>71</v>
      </c>
      <c r="J275" t="s">
        <v>56</v>
      </c>
      <c r="K275" t="s">
        <v>38</v>
      </c>
      <c r="L275" s="5">
        <v>43252</v>
      </c>
      <c r="M275">
        <v>67</v>
      </c>
      <c r="N275" t="s">
        <v>431</v>
      </c>
      <c r="O275" t="s">
        <v>876</v>
      </c>
      <c r="Q275">
        <v>1</v>
      </c>
      <c r="R275">
        <v>105</v>
      </c>
      <c r="S275" t="s">
        <v>947</v>
      </c>
      <c r="T275" s="6">
        <v>62382.503230542148</v>
      </c>
      <c r="U275" s="7">
        <f>T275*DealsRawTable[[#This Row],[Contract_Years]]</f>
        <v>62382.503230542148</v>
      </c>
      <c r="V275" s="8">
        <v>4.5999999999999999E-2</v>
      </c>
      <c r="W275" s="8">
        <v>3.4000000000000002E-2</v>
      </c>
      <c r="X275" s="8">
        <v>-0.02</v>
      </c>
      <c r="Y275" t="s">
        <v>909</v>
      </c>
      <c r="Z275" t="s">
        <v>879</v>
      </c>
      <c r="AA275" s="6">
        <v>60264.171190919376</v>
      </c>
      <c r="AB275" s="7">
        <f>DealsRawTable[[#This Row],[Final_Price_ACV]]*DealsRawTable[[#This Row],[Contract_Years]]</f>
        <v>60264.171190919376</v>
      </c>
      <c r="AC275" s="6">
        <v>24749.02242158119</v>
      </c>
      <c r="AD275" s="6">
        <v>35515.148769338186</v>
      </c>
      <c r="AE275" s="8">
        <v>0.58932443718216465</v>
      </c>
      <c r="AF275" t="s">
        <v>880</v>
      </c>
      <c r="AG275" t="s">
        <v>44</v>
      </c>
      <c r="AI275" t="s">
        <v>38</v>
      </c>
      <c r="AJ275" s="6">
        <v>60264.171190919376</v>
      </c>
      <c r="AK275" s="6">
        <v>35515.148769338186</v>
      </c>
      <c r="AL275" t="s">
        <v>881</v>
      </c>
      <c r="AM275">
        <f t="shared" si="8"/>
        <v>60261.5</v>
      </c>
      <c r="AN275">
        <f>DealsRawTable[[#This Row],[Validated_Annual_Final_Price]]*DealsRawTable[[#This Row],[Contract_Years]]</f>
        <v>60261.5</v>
      </c>
      <c r="AO275">
        <f>DealsRawTable[[#This Row],[Validated_Annual_Final_Price]]-DealsRawTable[[#This Row],[Cost_to_Serve]]</f>
        <v>35512.47757841881</v>
      </c>
      <c r="AP275" s="17">
        <f>DealsRawTable[[#This Row],[Validated_Grossprofit]]/DealsRawTable[[#This Row],[Validated_Annual_Final_Price]]</f>
        <v>0.58930623330681797</v>
      </c>
      <c r="AQ275" s="17">
        <v>60261.5</v>
      </c>
      <c r="AR275" s="17">
        <v>60261.5</v>
      </c>
      <c r="AS275" s="17">
        <v>35512.47757841881</v>
      </c>
      <c r="AT275" s="17">
        <v>0.58930623330681797</v>
      </c>
      <c r="AU275" s="17" t="str">
        <f t="shared" si="9"/>
        <v>0–5%</v>
      </c>
      <c r="AV275" s="17">
        <v>55</v>
      </c>
      <c r="AW275" s="17"/>
    </row>
    <row r="276" spans="1:49">
      <c r="A276" t="s">
        <v>1181</v>
      </c>
      <c r="B276" s="5">
        <v>45795</v>
      </c>
      <c r="C276" t="s">
        <v>218</v>
      </c>
      <c r="D276" t="s">
        <v>219</v>
      </c>
      <c r="E276" t="s">
        <v>621</v>
      </c>
      <c r="F276" t="s">
        <v>445</v>
      </c>
      <c r="G276" t="s">
        <v>53</v>
      </c>
      <c r="H276" t="s">
        <v>70</v>
      </c>
      <c r="I276" t="s">
        <v>71</v>
      </c>
      <c r="J276" t="s">
        <v>56</v>
      </c>
      <c r="K276" t="s">
        <v>38</v>
      </c>
      <c r="L276" s="5">
        <v>43252</v>
      </c>
      <c r="M276">
        <v>67</v>
      </c>
      <c r="N276" t="s">
        <v>431</v>
      </c>
      <c r="O276" t="s">
        <v>876</v>
      </c>
      <c r="Q276">
        <v>1</v>
      </c>
      <c r="R276">
        <v>105</v>
      </c>
      <c r="S276" t="s">
        <v>877</v>
      </c>
      <c r="T276" s="6">
        <v>66331.663728830419</v>
      </c>
      <c r="U276" s="7">
        <f>T276*DealsRawTable[[#This Row],[Contract_Years]]</f>
        <v>66331.663728830419</v>
      </c>
      <c r="V276" s="8">
        <v>3.7999999999999999E-2</v>
      </c>
      <c r="W276" s="8">
        <v>0</v>
      </c>
      <c r="X276" s="8">
        <v>1.4E-2</v>
      </c>
      <c r="Y276" t="s">
        <v>878</v>
      </c>
      <c r="Z276" t="s">
        <v>879</v>
      </c>
      <c r="AA276" s="6">
        <v>66331.663728830419</v>
      </c>
      <c r="AB276" s="7">
        <f>DealsRawTable[[#This Row],[Final_Price_ACV]]*DealsRawTable[[#This Row],[Contract_Years]]</f>
        <v>66331.663728830419</v>
      </c>
      <c r="AC276" s="6">
        <v>27661.94707652686</v>
      </c>
      <c r="AD276" s="6">
        <v>38669.716652303556</v>
      </c>
      <c r="AE276" s="8">
        <v>0.58297522598541629</v>
      </c>
      <c r="AF276" t="s">
        <v>457</v>
      </c>
      <c r="AG276" t="s">
        <v>38</v>
      </c>
      <c r="AI276" t="s">
        <v>38</v>
      </c>
      <c r="AJ276" s="6">
        <v>0</v>
      </c>
      <c r="AK276" s="6">
        <v>0</v>
      </c>
      <c r="AL276" t="s">
        <v>881</v>
      </c>
      <c r="AM276">
        <f t="shared" si="8"/>
        <v>66331.66</v>
      </c>
      <c r="AN276">
        <f>DealsRawTable[[#This Row],[Validated_Annual_Final_Price]]*DealsRawTable[[#This Row],[Contract_Years]]</f>
        <v>66331.66</v>
      </c>
      <c r="AO276">
        <f>DealsRawTable[[#This Row],[Validated_Annual_Final_Price]]-DealsRawTable[[#This Row],[Cost_to_Serve]]</f>
        <v>38669.71292347314</v>
      </c>
      <c r="AP276" s="17">
        <f>DealsRawTable[[#This Row],[Validated_Grossprofit]]/DealsRawTable[[#This Row],[Validated_Annual_Final_Price]]</f>
        <v>0.58297520254239288</v>
      </c>
      <c r="AQ276" s="17">
        <v>0</v>
      </c>
      <c r="AR276" s="17">
        <v>0</v>
      </c>
      <c r="AS276" s="17">
        <v>0</v>
      </c>
      <c r="AT276" s="17">
        <v>0</v>
      </c>
      <c r="AU276" s="17" t="str">
        <f t="shared" si="9"/>
        <v>0–5%</v>
      </c>
      <c r="AV276" s="17">
        <v>55</v>
      </c>
      <c r="AW276" s="17"/>
    </row>
    <row r="277" spans="1:49">
      <c r="A277" t="s">
        <v>1182</v>
      </c>
      <c r="B277" s="5">
        <v>45423</v>
      </c>
      <c r="C277" t="s">
        <v>220</v>
      </c>
      <c r="D277" t="s">
        <v>221</v>
      </c>
      <c r="E277" t="s">
        <v>622</v>
      </c>
      <c r="F277" t="s">
        <v>47</v>
      </c>
      <c r="G277" t="s">
        <v>34</v>
      </c>
      <c r="H277" t="s">
        <v>70</v>
      </c>
      <c r="I277" t="s">
        <v>71</v>
      </c>
      <c r="J277" t="s">
        <v>37</v>
      </c>
      <c r="K277" t="s">
        <v>38</v>
      </c>
      <c r="L277" s="5">
        <v>43282</v>
      </c>
      <c r="M277">
        <v>70</v>
      </c>
      <c r="N277" t="s">
        <v>427</v>
      </c>
      <c r="O277" t="s">
        <v>883</v>
      </c>
      <c r="P277" t="s">
        <v>978</v>
      </c>
      <c r="Q277">
        <v>1</v>
      </c>
      <c r="R277">
        <v>91</v>
      </c>
      <c r="S277" t="s">
        <v>900</v>
      </c>
      <c r="T277" s="6">
        <v>67841.034059131125</v>
      </c>
      <c r="U277" s="7">
        <f>T277*DealsRawTable[[#This Row],[Contract_Years]]</f>
        <v>67841.034059131125</v>
      </c>
      <c r="V277" s="8">
        <v>0.13100000000000001</v>
      </c>
      <c r="W277" s="8">
        <v>0.105</v>
      </c>
      <c r="X277" s="8">
        <v>-2.1000000000000001E-2</v>
      </c>
      <c r="Y277" t="s">
        <v>885</v>
      </c>
      <c r="Z277" t="s">
        <v>889</v>
      </c>
      <c r="AA277" s="6">
        <v>60715.75223500924</v>
      </c>
      <c r="AB277" s="7">
        <f>DealsRawTable[[#This Row],[Final_Price_ACV]]*DealsRawTable[[#This Row],[Contract_Years]]</f>
        <v>60715.75223500924</v>
      </c>
      <c r="AC277" s="6">
        <v>20220.436510680847</v>
      </c>
      <c r="AD277" s="6">
        <v>40495.315724328393</v>
      </c>
      <c r="AE277" s="8">
        <v>0.66696556056137335</v>
      </c>
      <c r="AF277" t="s">
        <v>880</v>
      </c>
      <c r="AH277" t="s">
        <v>44</v>
      </c>
      <c r="AI277" t="s">
        <v>38</v>
      </c>
      <c r="AJ277" s="6">
        <v>60715.75223500924</v>
      </c>
      <c r="AK277" s="6">
        <v>40495.315724328393</v>
      </c>
      <c r="AL277" t="s">
        <v>886</v>
      </c>
      <c r="AM277">
        <f t="shared" si="8"/>
        <v>60717.73</v>
      </c>
      <c r="AN277">
        <f>DealsRawTable[[#This Row],[Validated_Annual_Final_Price]]*DealsRawTable[[#This Row],[Contract_Years]]</f>
        <v>60717.73</v>
      </c>
      <c r="AO277">
        <f>DealsRawTable[[#This Row],[Validated_Annual_Final_Price]]-DealsRawTable[[#This Row],[Cost_to_Serve]]</f>
        <v>40497.293489319156</v>
      </c>
      <c r="AP277" s="17">
        <f>DealsRawTable[[#This Row],[Validated_Grossprofit]]/DealsRawTable[[#This Row],[Validated_Annual_Final_Price]]</f>
        <v>0.66697640852711648</v>
      </c>
      <c r="AQ277" s="17">
        <v>60717.73</v>
      </c>
      <c r="AR277" s="17">
        <v>60717.73</v>
      </c>
      <c r="AS277" s="17">
        <v>40497.293489319156</v>
      </c>
      <c r="AT277" s="17">
        <v>0.66697640852711648</v>
      </c>
      <c r="AU277" s="17" t="str">
        <f t="shared" si="9"/>
        <v>10–15%</v>
      </c>
      <c r="AV277" s="17">
        <v>113</v>
      </c>
      <c r="AW277" s="17"/>
    </row>
    <row r="278" spans="1:49">
      <c r="A278" t="s">
        <v>1183</v>
      </c>
      <c r="B278" s="5">
        <v>45606</v>
      </c>
      <c r="C278" t="s">
        <v>220</v>
      </c>
      <c r="D278" t="s">
        <v>221</v>
      </c>
      <c r="E278" t="s">
        <v>622</v>
      </c>
      <c r="F278" t="s">
        <v>47</v>
      </c>
      <c r="G278" t="s">
        <v>34</v>
      </c>
      <c r="H278" t="s">
        <v>70</v>
      </c>
      <c r="I278" t="s">
        <v>71</v>
      </c>
      <c r="J278" t="s">
        <v>37</v>
      </c>
      <c r="K278" t="s">
        <v>38</v>
      </c>
      <c r="L278" s="5">
        <v>43282</v>
      </c>
      <c r="M278">
        <v>70</v>
      </c>
      <c r="N278" t="s">
        <v>427</v>
      </c>
      <c r="O278" t="s">
        <v>876</v>
      </c>
      <c r="Q278">
        <v>1</v>
      </c>
      <c r="R278">
        <v>91</v>
      </c>
      <c r="S278" t="s">
        <v>900</v>
      </c>
      <c r="T278" s="6">
        <v>70051.687131786544</v>
      </c>
      <c r="U278" s="7">
        <f>T278*DealsRawTable[[#This Row],[Contract_Years]]</f>
        <v>70051.687131786544</v>
      </c>
      <c r="V278" s="8">
        <v>0.14699999999999999</v>
      </c>
      <c r="W278" s="8">
        <v>0.115</v>
      </c>
      <c r="X278" s="8">
        <v>3.0000000000000001E-3</v>
      </c>
      <c r="Y278" t="s">
        <v>930</v>
      </c>
      <c r="Z278" t="s">
        <v>889</v>
      </c>
      <c r="AA278" s="6">
        <v>62024.566684219149</v>
      </c>
      <c r="AB278" s="7">
        <f>DealsRawTable[[#This Row],[Final_Price_ACV]]*DealsRawTable[[#This Row],[Contract_Years]]</f>
        <v>62024.566684219149</v>
      </c>
      <c r="AC278" s="6">
        <v>21672.337047373861</v>
      </c>
      <c r="AD278" s="6">
        <v>40352.229636845288</v>
      </c>
      <c r="AE278" s="8">
        <v>0.65058462789893323</v>
      </c>
      <c r="AF278" t="s">
        <v>880</v>
      </c>
      <c r="AG278" t="s">
        <v>44</v>
      </c>
      <c r="AI278" t="s">
        <v>38</v>
      </c>
      <c r="AJ278" s="6">
        <v>62024.566684219149</v>
      </c>
      <c r="AK278" s="6">
        <v>40352.229636845288</v>
      </c>
      <c r="AL278" t="s">
        <v>881</v>
      </c>
      <c r="AM278">
        <f t="shared" si="8"/>
        <v>61995.74</v>
      </c>
      <c r="AN278">
        <f>DealsRawTable[[#This Row],[Validated_Annual_Final_Price]]*DealsRawTable[[#This Row],[Contract_Years]]</f>
        <v>61995.74</v>
      </c>
      <c r="AO278">
        <f>DealsRawTable[[#This Row],[Validated_Annual_Final_Price]]-DealsRawTable[[#This Row],[Cost_to_Serve]]</f>
        <v>40323.402952626137</v>
      </c>
      <c r="AP278" s="17">
        <f>DealsRawTable[[#This Row],[Validated_Grossprofit]]/DealsRawTable[[#This Row],[Validated_Annual_Final_Price]]</f>
        <v>0.65042215727445363</v>
      </c>
      <c r="AQ278" s="17">
        <v>61995.74</v>
      </c>
      <c r="AR278" s="17">
        <v>61995.74</v>
      </c>
      <c r="AS278" s="17">
        <v>40323.402952626137</v>
      </c>
      <c r="AT278" s="17">
        <v>0.65042215727445363</v>
      </c>
      <c r="AU278" s="17" t="str">
        <f t="shared" si="9"/>
        <v>10–15%</v>
      </c>
      <c r="AV278" s="17">
        <v>113</v>
      </c>
      <c r="AW278" s="17"/>
    </row>
    <row r="279" spans="1:49">
      <c r="A279" t="s">
        <v>1184</v>
      </c>
      <c r="B279" s="5">
        <v>45971</v>
      </c>
      <c r="C279" t="s">
        <v>220</v>
      </c>
      <c r="D279" t="s">
        <v>221</v>
      </c>
      <c r="E279" t="s">
        <v>622</v>
      </c>
      <c r="F279" t="s">
        <v>47</v>
      </c>
      <c r="G279" t="s">
        <v>34</v>
      </c>
      <c r="H279" t="s">
        <v>70</v>
      </c>
      <c r="I279" t="s">
        <v>71</v>
      </c>
      <c r="J279" t="s">
        <v>37</v>
      </c>
      <c r="K279" t="s">
        <v>38</v>
      </c>
      <c r="L279" s="5">
        <v>43282</v>
      </c>
      <c r="M279">
        <v>70</v>
      </c>
      <c r="N279" t="s">
        <v>427</v>
      </c>
      <c r="O279" t="s">
        <v>876</v>
      </c>
      <c r="Q279">
        <v>1</v>
      </c>
      <c r="R279">
        <v>91</v>
      </c>
      <c r="S279" t="s">
        <v>947</v>
      </c>
      <c r="T279" s="6">
        <v>75436.055228642392</v>
      </c>
      <c r="U279" s="7">
        <f>T279*DealsRawTable[[#This Row],[Contract_Years]]</f>
        <v>75436.055228642392</v>
      </c>
      <c r="V279" s="8">
        <v>0.19500000000000001</v>
      </c>
      <c r="W279" s="8">
        <v>0.159</v>
      </c>
      <c r="X279" s="8">
        <v>-5.8000000000000003E-2</v>
      </c>
      <c r="Y279" t="s">
        <v>902</v>
      </c>
      <c r="Z279" t="s">
        <v>889</v>
      </c>
      <c r="AA279" s="6">
        <v>63422.638733634674</v>
      </c>
      <c r="AB279" s="7">
        <f>DealsRawTable[[#This Row],[Final_Price_ACV]]*DealsRawTable[[#This Row],[Contract_Years]]</f>
        <v>63422.638733634674</v>
      </c>
      <c r="AC279" s="6">
        <v>24648.3252282506</v>
      </c>
      <c r="AD279" s="6">
        <v>38774.313505384074</v>
      </c>
      <c r="AE279" s="8">
        <v>0.61136392744915935</v>
      </c>
      <c r="AF279" t="s">
        <v>880</v>
      </c>
      <c r="AG279" t="s">
        <v>44</v>
      </c>
      <c r="AI279" t="s">
        <v>38</v>
      </c>
      <c r="AJ279" s="6">
        <v>63422.638733634674</v>
      </c>
      <c r="AK279" s="6">
        <v>38774.313505384074</v>
      </c>
      <c r="AL279" t="s">
        <v>881</v>
      </c>
      <c r="AM279">
        <f t="shared" si="8"/>
        <v>63441.72</v>
      </c>
      <c r="AN279">
        <f>DealsRawTable[[#This Row],[Validated_Annual_Final_Price]]*DealsRawTable[[#This Row],[Contract_Years]]</f>
        <v>63441.72</v>
      </c>
      <c r="AO279">
        <f>DealsRawTable[[#This Row],[Validated_Annual_Final_Price]]-DealsRawTable[[#This Row],[Cost_to_Serve]]</f>
        <v>38793.394771749401</v>
      </c>
      <c r="AP279" s="17">
        <f>DealsRawTable[[#This Row],[Validated_Grossprofit]]/DealsRawTable[[#This Row],[Validated_Annual_Final_Price]]</f>
        <v>0.61148081690958889</v>
      </c>
      <c r="AQ279" s="17">
        <v>63441.72</v>
      </c>
      <c r="AR279" s="17">
        <v>63441.72</v>
      </c>
      <c r="AS279" s="17">
        <v>38793.394771749401</v>
      </c>
      <c r="AT279" s="17">
        <v>0.61148081690958889</v>
      </c>
      <c r="AU279" s="17" t="str">
        <f t="shared" si="9"/>
        <v>15–20%</v>
      </c>
      <c r="AV279" s="17">
        <v>108</v>
      </c>
      <c r="AW279" s="17"/>
    </row>
    <row r="280" spans="1:49">
      <c r="A280" t="s">
        <v>1185</v>
      </c>
      <c r="B280" s="5">
        <v>45471</v>
      </c>
      <c r="C280" t="s">
        <v>220</v>
      </c>
      <c r="D280" t="s">
        <v>221</v>
      </c>
      <c r="E280" t="s">
        <v>623</v>
      </c>
      <c r="F280" t="s">
        <v>466</v>
      </c>
      <c r="G280" t="s">
        <v>34</v>
      </c>
      <c r="H280" t="s">
        <v>70</v>
      </c>
      <c r="I280" t="s">
        <v>71</v>
      </c>
      <c r="J280" t="s">
        <v>37</v>
      </c>
      <c r="K280" t="s">
        <v>38</v>
      </c>
      <c r="L280" s="5">
        <v>43282</v>
      </c>
      <c r="M280">
        <v>70</v>
      </c>
      <c r="N280" t="s">
        <v>433</v>
      </c>
      <c r="O280" t="s">
        <v>883</v>
      </c>
      <c r="P280" t="s">
        <v>946</v>
      </c>
      <c r="Q280">
        <v>1</v>
      </c>
      <c r="R280">
        <v>57</v>
      </c>
      <c r="S280" t="s">
        <v>907</v>
      </c>
      <c r="T280" s="6">
        <v>176492.72182807172</v>
      </c>
      <c r="U280" s="7">
        <f>T280*DealsRawTable[[#This Row],[Contract_Years]]</f>
        <v>176492.72182807172</v>
      </c>
      <c r="V280" s="8">
        <v>0.13900000000000001</v>
      </c>
      <c r="W280" s="8">
        <v>0.1</v>
      </c>
      <c r="X280" s="8">
        <v>-3.7999999999999999E-2</v>
      </c>
      <c r="Y280" t="s">
        <v>885</v>
      </c>
      <c r="Z280" t="s">
        <v>879</v>
      </c>
      <c r="AA280" s="6">
        <v>158907.9246404591</v>
      </c>
      <c r="AB280" s="7">
        <f>DealsRawTable[[#This Row],[Final_Price_ACV]]*DealsRawTable[[#This Row],[Contract_Years]]</f>
        <v>158907.9246404591</v>
      </c>
      <c r="AC280" s="6">
        <v>62621.052013002809</v>
      </c>
      <c r="AD280" s="6">
        <v>96286.872627456294</v>
      </c>
      <c r="AE280" s="8">
        <v>0.60592870270826615</v>
      </c>
      <c r="AF280" t="s">
        <v>880</v>
      </c>
      <c r="AH280" t="s">
        <v>44</v>
      </c>
      <c r="AI280" t="s">
        <v>38</v>
      </c>
      <c r="AJ280" s="6">
        <v>158907.9246404591</v>
      </c>
      <c r="AK280" s="6">
        <v>96286.872627456294</v>
      </c>
      <c r="AL280" t="s">
        <v>886</v>
      </c>
      <c r="AM280">
        <f t="shared" si="8"/>
        <v>158843.45000000001</v>
      </c>
      <c r="AN280">
        <f>DealsRawTable[[#This Row],[Validated_Annual_Final_Price]]*DealsRawTable[[#This Row],[Contract_Years]]</f>
        <v>158843.45000000001</v>
      </c>
      <c r="AO280">
        <f>DealsRawTable[[#This Row],[Validated_Annual_Final_Price]]-DealsRawTable[[#This Row],[Cost_to_Serve]]</f>
        <v>96222.39798699721</v>
      </c>
      <c r="AP280" s="17">
        <f>DealsRawTable[[#This Row],[Validated_Grossprofit]]/DealsRawTable[[#This Row],[Validated_Annual_Final_Price]]</f>
        <v>0.6057687489600434</v>
      </c>
      <c r="AQ280" s="17">
        <v>158843.45000000001</v>
      </c>
      <c r="AR280" s="17">
        <v>158843.45000000001</v>
      </c>
      <c r="AS280" s="17">
        <v>96222.39798699721</v>
      </c>
      <c r="AT280" s="17">
        <v>0.6057687489600434</v>
      </c>
      <c r="AU280" s="17" t="str">
        <f t="shared" si="9"/>
        <v>5–10%</v>
      </c>
      <c r="AV280" s="17">
        <v>116</v>
      </c>
      <c r="AW280" s="17"/>
    </row>
    <row r="281" spans="1:49">
      <c r="A281" t="s">
        <v>1186</v>
      </c>
      <c r="B281" s="5">
        <v>45597</v>
      </c>
      <c r="C281" t="s">
        <v>220</v>
      </c>
      <c r="D281" t="s">
        <v>221</v>
      </c>
      <c r="E281" t="s">
        <v>623</v>
      </c>
      <c r="F281" t="s">
        <v>466</v>
      </c>
      <c r="G281" t="s">
        <v>34</v>
      </c>
      <c r="H281" t="s">
        <v>70</v>
      </c>
      <c r="I281" t="s">
        <v>71</v>
      </c>
      <c r="J281" t="s">
        <v>37</v>
      </c>
      <c r="K281" t="s">
        <v>38</v>
      </c>
      <c r="L281" s="5">
        <v>43282</v>
      </c>
      <c r="M281">
        <v>70</v>
      </c>
      <c r="N281" t="s">
        <v>433</v>
      </c>
      <c r="O281" t="s">
        <v>876</v>
      </c>
      <c r="Q281">
        <v>1</v>
      </c>
      <c r="R281">
        <v>57</v>
      </c>
      <c r="S281" t="s">
        <v>907</v>
      </c>
      <c r="T281" s="6">
        <v>189325.35644105551</v>
      </c>
      <c r="U281" s="7">
        <f>T281*DealsRawTable[[#This Row],[Contract_Years]]</f>
        <v>189325.35644105551</v>
      </c>
      <c r="V281" s="8">
        <v>0.192</v>
      </c>
      <c r="W281" s="8">
        <v>0.17599999999999999</v>
      </c>
      <c r="X281" s="8">
        <v>0.09</v>
      </c>
      <c r="Y281" t="s">
        <v>911</v>
      </c>
      <c r="Z281" t="s">
        <v>889</v>
      </c>
      <c r="AA281" s="6">
        <v>156004.96528865941</v>
      </c>
      <c r="AB281" s="7">
        <f>DealsRawTable[[#This Row],[Final_Price_ACV]]*DealsRawTable[[#This Row],[Contract_Years]]</f>
        <v>156004.96528865941</v>
      </c>
      <c r="AC281" s="6">
        <v>69812.986783802553</v>
      </c>
      <c r="AD281" s="6">
        <v>86191.978504856859</v>
      </c>
      <c r="AE281" s="8">
        <v>0.55249509748214709</v>
      </c>
      <c r="AF281" t="s">
        <v>880</v>
      </c>
      <c r="AG281" t="s">
        <v>44</v>
      </c>
      <c r="AI281" t="s">
        <v>38</v>
      </c>
      <c r="AJ281" s="6">
        <v>156004.96528865941</v>
      </c>
      <c r="AK281" s="6">
        <v>86191.978504856859</v>
      </c>
      <c r="AL281" t="s">
        <v>881</v>
      </c>
      <c r="AM281">
        <f t="shared" si="8"/>
        <v>156004.09</v>
      </c>
      <c r="AN281">
        <f>DealsRawTable[[#This Row],[Validated_Annual_Final_Price]]*DealsRawTable[[#This Row],[Contract_Years]]</f>
        <v>156004.09</v>
      </c>
      <c r="AO281">
        <f>DealsRawTable[[#This Row],[Validated_Annual_Final_Price]]-DealsRawTable[[#This Row],[Cost_to_Serve]]</f>
        <v>86191.103216197444</v>
      </c>
      <c r="AP281" s="17">
        <f>DealsRawTable[[#This Row],[Validated_Grossprofit]]/DealsRawTable[[#This Row],[Validated_Annual_Final_Price]]</f>
        <v>0.552492586676397</v>
      </c>
      <c r="AQ281" s="17">
        <v>156004.09</v>
      </c>
      <c r="AR281" s="17">
        <v>156004.09</v>
      </c>
      <c r="AS281" s="17">
        <v>86191.103216197444</v>
      </c>
      <c r="AT281" s="17">
        <v>0.552492586676397</v>
      </c>
      <c r="AU281" s="17" t="str">
        <f t="shared" si="9"/>
        <v>15–20%</v>
      </c>
      <c r="AV281" s="17">
        <v>108</v>
      </c>
      <c r="AW281" s="17"/>
    </row>
    <row r="282" spans="1:49">
      <c r="A282" t="s">
        <v>1187</v>
      </c>
      <c r="B282" s="5">
        <v>45763</v>
      </c>
      <c r="C282" t="s">
        <v>220</v>
      </c>
      <c r="D282" t="s">
        <v>221</v>
      </c>
      <c r="E282" t="s">
        <v>623</v>
      </c>
      <c r="F282" t="s">
        <v>466</v>
      </c>
      <c r="G282" t="s">
        <v>34</v>
      </c>
      <c r="H282" t="s">
        <v>70</v>
      </c>
      <c r="I282" t="s">
        <v>71</v>
      </c>
      <c r="J282" t="s">
        <v>37</v>
      </c>
      <c r="K282" t="s">
        <v>38</v>
      </c>
      <c r="L282" s="5">
        <v>43282</v>
      </c>
      <c r="M282">
        <v>70</v>
      </c>
      <c r="N282" t="s">
        <v>433</v>
      </c>
      <c r="O282" t="s">
        <v>883</v>
      </c>
      <c r="P282" t="s">
        <v>951</v>
      </c>
      <c r="Q282">
        <v>1</v>
      </c>
      <c r="R282">
        <v>78</v>
      </c>
      <c r="S282" t="s">
        <v>907</v>
      </c>
      <c r="T282" s="6">
        <v>220181.20400919134</v>
      </c>
      <c r="U282" s="7">
        <f>T282*DealsRawTable[[#This Row],[Contract_Years]]</f>
        <v>220181.20400919134</v>
      </c>
      <c r="V282" s="8">
        <v>0.14199999999999999</v>
      </c>
      <c r="W282" s="8">
        <v>0.125</v>
      </c>
      <c r="X282" s="8">
        <v>-4.1000000000000002E-2</v>
      </c>
      <c r="Y282" t="s">
        <v>885</v>
      </c>
      <c r="Z282" t="s">
        <v>889</v>
      </c>
      <c r="AA282" s="6">
        <v>192762.32391479879</v>
      </c>
      <c r="AB282" s="7">
        <f>DealsRawTable[[#This Row],[Final_Price_ACV]]*DealsRawTable[[#This Row],[Contract_Years]]</f>
        <v>192762.32391479879</v>
      </c>
      <c r="AC282" s="6">
        <v>77440.357801236692</v>
      </c>
      <c r="AD282" s="6">
        <v>115321.9661135621</v>
      </c>
      <c r="AE282" s="8">
        <v>0.59825988695039056</v>
      </c>
      <c r="AF282" t="s">
        <v>880</v>
      </c>
      <c r="AH282" t="s">
        <v>44</v>
      </c>
      <c r="AI282" t="s">
        <v>38</v>
      </c>
      <c r="AJ282" s="6">
        <v>192762.32391479879</v>
      </c>
      <c r="AK282" s="6">
        <v>115321.9661135621</v>
      </c>
      <c r="AL282" t="s">
        <v>886</v>
      </c>
      <c r="AM282">
        <f t="shared" si="8"/>
        <v>192658.55</v>
      </c>
      <c r="AN282">
        <f>DealsRawTable[[#This Row],[Validated_Annual_Final_Price]]*DealsRawTable[[#This Row],[Contract_Years]]</f>
        <v>192658.55</v>
      </c>
      <c r="AO282">
        <f>DealsRawTable[[#This Row],[Validated_Annual_Final_Price]]-DealsRawTable[[#This Row],[Cost_to_Serve]]</f>
        <v>115218.1921987633</v>
      </c>
      <c r="AP282" s="17">
        <f>DealsRawTable[[#This Row],[Validated_Grossprofit]]/DealsRawTable[[#This Row],[Validated_Annual_Final_Price]]</f>
        <v>0.59804349300232618</v>
      </c>
      <c r="AQ282" s="17">
        <v>192658.55</v>
      </c>
      <c r="AR282" s="17">
        <v>192658.55</v>
      </c>
      <c r="AS282" s="17">
        <v>115218.1921987633</v>
      </c>
      <c r="AT282" s="17">
        <v>0.59804349300232618</v>
      </c>
      <c r="AU282" s="17" t="str">
        <f t="shared" si="9"/>
        <v>10–15%</v>
      </c>
      <c r="AV282" s="17">
        <v>113</v>
      </c>
      <c r="AW282" s="17"/>
    </row>
    <row r="283" spans="1:49">
      <c r="A283" t="s">
        <v>1188</v>
      </c>
      <c r="B283" s="5">
        <v>45962</v>
      </c>
      <c r="C283" t="s">
        <v>220</v>
      </c>
      <c r="D283" t="s">
        <v>221</v>
      </c>
      <c r="E283" t="s">
        <v>623</v>
      </c>
      <c r="F283" t="s">
        <v>466</v>
      </c>
      <c r="G283" t="s">
        <v>34</v>
      </c>
      <c r="H283" t="s">
        <v>70</v>
      </c>
      <c r="I283" t="s">
        <v>71</v>
      </c>
      <c r="J283" t="s">
        <v>37</v>
      </c>
      <c r="K283" t="s">
        <v>38</v>
      </c>
      <c r="L283" s="5">
        <v>43282</v>
      </c>
      <c r="M283">
        <v>70</v>
      </c>
      <c r="N283" t="s">
        <v>433</v>
      </c>
      <c r="O283" t="s">
        <v>876</v>
      </c>
      <c r="Q283">
        <v>1</v>
      </c>
      <c r="R283">
        <v>78</v>
      </c>
      <c r="S283" t="s">
        <v>932</v>
      </c>
      <c r="T283" s="6">
        <v>228773.90325906462</v>
      </c>
      <c r="U283" s="7">
        <f>T283*DealsRawTable[[#This Row],[Contract_Years]]</f>
        <v>228773.90325906462</v>
      </c>
      <c r="V283" s="8">
        <v>0.153</v>
      </c>
      <c r="W283" s="8">
        <v>0.13400000000000001</v>
      </c>
      <c r="X283" s="8">
        <v>-3.0000000000000001E-3</v>
      </c>
      <c r="Y283" t="s">
        <v>905</v>
      </c>
      <c r="Z283" t="s">
        <v>889</v>
      </c>
      <c r="AA283" s="6">
        <v>198108.79693213769</v>
      </c>
      <c r="AB283" s="7">
        <f>DealsRawTable[[#This Row],[Final_Price_ACV]]*DealsRawTable[[#This Row],[Contract_Years]]</f>
        <v>198108.79693213769</v>
      </c>
      <c r="AC283" s="6">
        <v>76531.340651581748</v>
      </c>
      <c r="AD283" s="6">
        <v>121577.45628055594</v>
      </c>
      <c r="AE283" s="8">
        <v>0.61369034673509415</v>
      </c>
      <c r="AF283" t="s">
        <v>880</v>
      </c>
      <c r="AG283" t="s">
        <v>44</v>
      </c>
      <c r="AI283" t="s">
        <v>38</v>
      </c>
      <c r="AJ283" s="6">
        <v>198108.79693213769</v>
      </c>
      <c r="AK283" s="6">
        <v>121577.45628055594</v>
      </c>
      <c r="AL283" t="s">
        <v>881</v>
      </c>
      <c r="AM283">
        <f t="shared" si="8"/>
        <v>198118.2</v>
      </c>
      <c r="AN283">
        <f>DealsRawTable[[#This Row],[Validated_Annual_Final_Price]]*DealsRawTable[[#This Row],[Contract_Years]]</f>
        <v>198118.2</v>
      </c>
      <c r="AO283">
        <f>DealsRawTable[[#This Row],[Validated_Annual_Final_Price]]-DealsRawTable[[#This Row],[Cost_to_Serve]]</f>
        <v>121586.85934841826</v>
      </c>
      <c r="AP283" s="17">
        <f>DealsRawTable[[#This Row],[Validated_Grossprofit]]/DealsRawTable[[#This Row],[Validated_Annual_Final_Price]]</f>
        <v>0.61370868172847448</v>
      </c>
      <c r="AQ283" s="17">
        <v>198118.2</v>
      </c>
      <c r="AR283" s="17">
        <v>198118.2</v>
      </c>
      <c r="AS283" s="17">
        <v>121586.85934841826</v>
      </c>
      <c r="AT283" s="17">
        <v>0.61370868172847448</v>
      </c>
      <c r="AU283" s="17" t="str">
        <f t="shared" si="9"/>
        <v>10–15%</v>
      </c>
      <c r="AV283" s="17">
        <v>113</v>
      </c>
      <c r="AW283" s="17"/>
    </row>
    <row r="284" spans="1:49">
      <c r="A284" t="s">
        <v>1189</v>
      </c>
      <c r="B284" s="5">
        <v>45761</v>
      </c>
      <c r="C284" t="s">
        <v>222</v>
      </c>
      <c r="D284" t="s">
        <v>223</v>
      </c>
      <c r="E284" t="s">
        <v>624</v>
      </c>
      <c r="F284" t="s">
        <v>449</v>
      </c>
      <c r="G284" t="s">
        <v>83</v>
      </c>
      <c r="H284" t="s">
        <v>54</v>
      </c>
      <c r="I284" t="s">
        <v>55</v>
      </c>
      <c r="J284" t="s">
        <v>56</v>
      </c>
      <c r="K284" t="s">
        <v>38</v>
      </c>
      <c r="L284" s="5">
        <v>43862</v>
      </c>
      <c r="M284">
        <v>85</v>
      </c>
      <c r="N284" t="s">
        <v>427</v>
      </c>
      <c r="O284" t="s">
        <v>891</v>
      </c>
      <c r="Q284">
        <v>1</v>
      </c>
      <c r="R284">
        <v>155</v>
      </c>
      <c r="S284" t="s">
        <v>888</v>
      </c>
      <c r="T284" s="6">
        <v>84543.054711284771</v>
      </c>
      <c r="U284" s="7">
        <f>T284*DealsRawTable[[#This Row],[Contract_Years]]</f>
        <v>84543.054711284771</v>
      </c>
      <c r="V284" s="8">
        <v>0.17599999999999999</v>
      </c>
      <c r="W284" s="8">
        <v>0.115</v>
      </c>
      <c r="X284" s="8">
        <v>3.5000000000000003E-2</v>
      </c>
      <c r="Y284" t="s">
        <v>909</v>
      </c>
      <c r="Z284" t="s">
        <v>889</v>
      </c>
      <c r="AA284" s="6">
        <v>74831.468005609742</v>
      </c>
      <c r="AB284" s="7">
        <f>DealsRawTable[[#This Row],[Final_Price_ACV]]*DealsRawTable[[#This Row],[Contract_Years]]</f>
        <v>74831.468005609742</v>
      </c>
      <c r="AC284" s="6">
        <v>27811.184899601867</v>
      </c>
      <c r="AD284" s="6">
        <v>47020.283106007875</v>
      </c>
      <c r="AE284" s="8">
        <v>0.62834906703264193</v>
      </c>
      <c r="AF284" t="s">
        <v>457</v>
      </c>
      <c r="AI284" t="s">
        <v>38</v>
      </c>
      <c r="AJ284" s="6">
        <v>0</v>
      </c>
      <c r="AK284" s="6">
        <v>0</v>
      </c>
      <c r="AL284" t="s">
        <v>894</v>
      </c>
      <c r="AM284">
        <f t="shared" si="8"/>
        <v>74820.600000000006</v>
      </c>
      <c r="AN284">
        <f>DealsRawTable[[#This Row],[Validated_Annual_Final_Price]]*DealsRawTable[[#This Row],[Contract_Years]]</f>
        <v>74820.600000000006</v>
      </c>
      <c r="AO284">
        <f>DealsRawTable[[#This Row],[Validated_Annual_Final_Price]]-DealsRawTable[[#This Row],[Cost_to_Serve]]</f>
        <v>47009.415100398139</v>
      </c>
      <c r="AP284" s="17">
        <f>DealsRawTable[[#This Row],[Validated_Grossprofit]]/DealsRawTable[[#This Row],[Validated_Annual_Final_Price]]</f>
        <v>0.62829508317760263</v>
      </c>
      <c r="AQ284" s="17">
        <v>0</v>
      </c>
      <c r="AR284" s="17">
        <v>0</v>
      </c>
      <c r="AS284" s="17">
        <v>0</v>
      </c>
      <c r="AT284" s="17">
        <v>0</v>
      </c>
      <c r="AU284" s="17" t="str">
        <f t="shared" si="9"/>
        <v>10–15%</v>
      </c>
      <c r="AV284" s="17">
        <v>113</v>
      </c>
      <c r="AW284" s="17"/>
    </row>
    <row r="285" spans="1:49">
      <c r="A285" t="s">
        <v>1190</v>
      </c>
      <c r="B285" s="5">
        <v>45807</v>
      </c>
      <c r="C285" t="s">
        <v>222</v>
      </c>
      <c r="D285" t="s">
        <v>223</v>
      </c>
      <c r="E285" t="s">
        <v>625</v>
      </c>
      <c r="F285" t="s">
        <v>47</v>
      </c>
      <c r="G285" t="s">
        <v>83</v>
      </c>
      <c r="H285" t="s">
        <v>54</v>
      </c>
      <c r="I285" t="s">
        <v>55</v>
      </c>
      <c r="J285" t="s">
        <v>56</v>
      </c>
      <c r="K285" t="s">
        <v>38</v>
      </c>
      <c r="L285" s="5">
        <v>43862</v>
      </c>
      <c r="M285">
        <v>85</v>
      </c>
      <c r="N285" t="s">
        <v>431</v>
      </c>
      <c r="O285" t="s">
        <v>883</v>
      </c>
      <c r="P285" t="s">
        <v>884</v>
      </c>
      <c r="Q285">
        <v>3</v>
      </c>
      <c r="R285">
        <v>188</v>
      </c>
      <c r="S285" t="s">
        <v>907</v>
      </c>
      <c r="T285" s="6">
        <v>108657.64955895889</v>
      </c>
      <c r="U285" s="7">
        <f>T285*DealsRawTable[[#This Row],[Contract_Years]]</f>
        <v>325972.94867687667</v>
      </c>
      <c r="V285" s="8">
        <v>8.4000000000000005E-2</v>
      </c>
      <c r="W285" s="8">
        <v>6.2E-2</v>
      </c>
      <c r="X285" s="8">
        <v>-3.5999999999999997E-2</v>
      </c>
      <c r="Y285" t="s">
        <v>885</v>
      </c>
      <c r="Z285" t="s">
        <v>879</v>
      </c>
      <c r="AA285" s="6">
        <v>101920.39630141809</v>
      </c>
      <c r="AB285" s="7">
        <f>DealsRawTable[[#This Row],[Final_Price_ACV]]*DealsRawTable[[#This Row],[Contract_Years]]</f>
        <v>305761.18890425429</v>
      </c>
      <c r="AC285" s="6">
        <v>39161.774347402948</v>
      </c>
      <c r="AD285" s="6">
        <v>62758.621954015143</v>
      </c>
      <c r="AE285" s="8">
        <v>0.61576116490377042</v>
      </c>
      <c r="AF285" t="s">
        <v>880</v>
      </c>
      <c r="AH285" t="s">
        <v>44</v>
      </c>
      <c r="AI285" t="s">
        <v>38</v>
      </c>
      <c r="AJ285" s="6">
        <v>101920.39630141809</v>
      </c>
      <c r="AK285" s="6">
        <v>62758.621954015143</v>
      </c>
      <c r="AL285" t="s">
        <v>886</v>
      </c>
      <c r="AM285">
        <f t="shared" si="8"/>
        <v>101920.88</v>
      </c>
      <c r="AN285">
        <f>DealsRawTable[[#This Row],[Validated_Annual_Final_Price]]*DealsRawTable[[#This Row],[Contract_Years]]</f>
        <v>305762.64</v>
      </c>
      <c r="AO285">
        <f>DealsRawTable[[#This Row],[Validated_Annual_Final_Price]]-DealsRawTable[[#This Row],[Cost_to_Serve]]</f>
        <v>62759.105652597056</v>
      </c>
      <c r="AP285" s="17">
        <f>DealsRawTable[[#This Row],[Validated_Grossprofit]]/DealsRawTable[[#This Row],[Validated_Annual_Final_Price]]</f>
        <v>0.61576298843374444</v>
      </c>
      <c r="AQ285" s="17">
        <v>101920.88</v>
      </c>
      <c r="AR285" s="17">
        <v>305762.64</v>
      </c>
      <c r="AS285" s="17">
        <v>62759.105652597056</v>
      </c>
      <c r="AT285" s="17">
        <v>0.61576298843374444</v>
      </c>
      <c r="AU285" s="17" t="str">
        <f t="shared" si="9"/>
        <v>5–10%</v>
      </c>
      <c r="AV285" s="17">
        <v>116</v>
      </c>
      <c r="AW285" s="17"/>
    </row>
    <row r="286" spans="1:49">
      <c r="A286" t="s">
        <v>1191</v>
      </c>
      <c r="B286" s="5">
        <v>45993</v>
      </c>
      <c r="C286" t="s">
        <v>222</v>
      </c>
      <c r="D286" t="s">
        <v>223</v>
      </c>
      <c r="E286" t="s">
        <v>625</v>
      </c>
      <c r="F286" t="s">
        <v>47</v>
      </c>
      <c r="G286" t="s">
        <v>83</v>
      </c>
      <c r="H286" t="s">
        <v>54</v>
      </c>
      <c r="I286" t="s">
        <v>55</v>
      </c>
      <c r="J286" t="s">
        <v>56</v>
      </c>
      <c r="K286" t="s">
        <v>38</v>
      </c>
      <c r="L286" s="5">
        <v>43862</v>
      </c>
      <c r="M286">
        <v>85</v>
      </c>
      <c r="N286" t="s">
        <v>431</v>
      </c>
      <c r="O286" t="s">
        <v>876</v>
      </c>
      <c r="Q286">
        <v>3</v>
      </c>
      <c r="R286">
        <v>188</v>
      </c>
      <c r="S286" t="s">
        <v>892</v>
      </c>
      <c r="T286" s="6">
        <v>113617.43049226404</v>
      </c>
      <c r="U286" s="7">
        <f>T286*DealsRawTable[[#This Row],[Contract_Years]]</f>
        <v>340852.29147679213</v>
      </c>
      <c r="V286" s="8">
        <v>0.151</v>
      </c>
      <c r="W286" s="8">
        <v>0.113</v>
      </c>
      <c r="X286" s="8">
        <v>2.5000000000000001E-2</v>
      </c>
      <c r="Y286" t="s">
        <v>878</v>
      </c>
      <c r="Z286" t="s">
        <v>889</v>
      </c>
      <c r="AA286" s="6">
        <v>100828.50616750926</v>
      </c>
      <c r="AB286" s="7">
        <f>DealsRawTable[[#This Row],[Final_Price_ACV]]*DealsRawTable[[#This Row],[Contract_Years]]</f>
        <v>302485.51850252779</v>
      </c>
      <c r="AC286" s="6">
        <v>41888.759558341109</v>
      </c>
      <c r="AD286" s="6">
        <v>58939.746609168149</v>
      </c>
      <c r="AE286" s="8">
        <v>0.58455439686123956</v>
      </c>
      <c r="AF286" t="s">
        <v>457</v>
      </c>
      <c r="AG286" t="s">
        <v>38</v>
      </c>
      <c r="AI286" t="s">
        <v>38</v>
      </c>
      <c r="AJ286" s="6">
        <v>0</v>
      </c>
      <c r="AK286" s="6">
        <v>0</v>
      </c>
      <c r="AL286" t="s">
        <v>881</v>
      </c>
      <c r="AM286">
        <f t="shared" si="8"/>
        <v>100778.66</v>
      </c>
      <c r="AN286">
        <f>DealsRawTable[[#This Row],[Validated_Annual_Final_Price]]*DealsRawTable[[#This Row],[Contract_Years]]</f>
        <v>302335.98</v>
      </c>
      <c r="AO286">
        <f>DealsRawTable[[#This Row],[Validated_Annual_Final_Price]]-DealsRawTable[[#This Row],[Cost_to_Serve]]</f>
        <v>58889.900441658894</v>
      </c>
      <c r="AP286" s="17">
        <f>DealsRawTable[[#This Row],[Validated_Grossprofit]]/DealsRawTable[[#This Row],[Validated_Annual_Final_Price]]</f>
        <v>0.58434891316930482</v>
      </c>
      <c r="AQ286" s="17">
        <v>0</v>
      </c>
      <c r="AR286" s="17">
        <v>0</v>
      </c>
      <c r="AS286" s="17">
        <v>0</v>
      </c>
      <c r="AT286" s="17">
        <v>0</v>
      </c>
      <c r="AU286" s="17" t="str">
        <f t="shared" si="9"/>
        <v>10–15%</v>
      </c>
      <c r="AV286" s="17">
        <v>113</v>
      </c>
      <c r="AW286" s="17"/>
    </row>
    <row r="287" spans="1:49">
      <c r="A287" t="s">
        <v>1192</v>
      </c>
      <c r="B287" s="5">
        <v>45495</v>
      </c>
      <c r="C287" t="s">
        <v>224</v>
      </c>
      <c r="D287" t="s">
        <v>225</v>
      </c>
      <c r="E287" t="s">
        <v>626</v>
      </c>
      <c r="F287" t="s">
        <v>475</v>
      </c>
      <c r="G287" t="s">
        <v>60</v>
      </c>
      <c r="H287" t="s">
        <v>48</v>
      </c>
      <c r="I287" t="s">
        <v>49</v>
      </c>
      <c r="J287" t="s">
        <v>56</v>
      </c>
      <c r="K287" t="s">
        <v>38</v>
      </c>
      <c r="L287" s="5">
        <v>44409</v>
      </c>
      <c r="M287">
        <v>92</v>
      </c>
      <c r="N287" t="s">
        <v>424</v>
      </c>
      <c r="O287" t="s">
        <v>876</v>
      </c>
      <c r="Q287">
        <v>1</v>
      </c>
      <c r="R287">
        <v>79</v>
      </c>
      <c r="S287" t="s">
        <v>888</v>
      </c>
      <c r="T287" s="6">
        <v>35228.386981992277</v>
      </c>
      <c r="U287" s="7">
        <f>T287*DealsRawTable[[#This Row],[Contract_Years]]</f>
        <v>35228.386981992277</v>
      </c>
      <c r="V287" s="8">
        <v>0.191</v>
      </c>
      <c r="W287" s="8">
        <v>0.155</v>
      </c>
      <c r="X287" s="8">
        <v>-7.0000000000000007E-2</v>
      </c>
      <c r="Y287" t="s">
        <v>878</v>
      </c>
      <c r="Z287" t="s">
        <v>889</v>
      </c>
      <c r="AA287" s="6">
        <v>29779.254917722479</v>
      </c>
      <c r="AB287" s="7">
        <f>DealsRawTable[[#This Row],[Final_Price_ACV]]*DealsRawTable[[#This Row],[Contract_Years]]</f>
        <v>29779.254917722479</v>
      </c>
      <c r="AC287" s="6">
        <v>9681.5752810319991</v>
      </c>
      <c r="AD287" s="6">
        <v>20097.679636690482</v>
      </c>
      <c r="AE287" s="8">
        <v>0.67488859920164701</v>
      </c>
      <c r="AF287" t="s">
        <v>880</v>
      </c>
      <c r="AG287" t="s">
        <v>44</v>
      </c>
      <c r="AI287" t="s">
        <v>38</v>
      </c>
      <c r="AJ287" s="6">
        <v>29779.254917722479</v>
      </c>
      <c r="AK287" s="6">
        <v>20097.679636690482</v>
      </c>
      <c r="AL287" t="s">
        <v>881</v>
      </c>
      <c r="AM287">
        <f t="shared" si="8"/>
        <v>29767.99</v>
      </c>
      <c r="AN287">
        <f>DealsRawTable[[#This Row],[Validated_Annual_Final_Price]]*DealsRawTable[[#This Row],[Contract_Years]]</f>
        <v>29767.99</v>
      </c>
      <c r="AO287">
        <f>DealsRawTable[[#This Row],[Validated_Annual_Final_Price]]-DealsRawTable[[#This Row],[Cost_to_Serve]]</f>
        <v>20086.414718968001</v>
      </c>
      <c r="AP287" s="17">
        <f>DealsRawTable[[#This Row],[Validated_Grossprofit]]/DealsRawTable[[#This Row],[Validated_Annual_Final_Price]]</f>
        <v>0.67476556928996545</v>
      </c>
      <c r="AQ287" s="17">
        <v>29767.99</v>
      </c>
      <c r="AR287" s="17">
        <v>29767.99</v>
      </c>
      <c r="AS287" s="17">
        <v>20086.414718968001</v>
      </c>
      <c r="AT287" s="17">
        <v>0.67476556928996545</v>
      </c>
      <c r="AU287" s="17" t="str">
        <f t="shared" si="9"/>
        <v>15–20%</v>
      </c>
      <c r="AV287" s="17">
        <v>108</v>
      </c>
      <c r="AW287" s="17"/>
    </row>
    <row r="288" spans="1:49">
      <c r="A288" t="s">
        <v>1193</v>
      </c>
      <c r="B288" s="5">
        <v>45860</v>
      </c>
      <c r="C288" t="s">
        <v>224</v>
      </c>
      <c r="D288" t="s">
        <v>225</v>
      </c>
      <c r="E288" t="s">
        <v>626</v>
      </c>
      <c r="F288" t="s">
        <v>475</v>
      </c>
      <c r="G288" t="s">
        <v>60</v>
      </c>
      <c r="H288" t="s">
        <v>48</v>
      </c>
      <c r="I288" t="s">
        <v>49</v>
      </c>
      <c r="J288" t="s">
        <v>56</v>
      </c>
      <c r="K288" t="s">
        <v>38</v>
      </c>
      <c r="L288" s="5">
        <v>44409</v>
      </c>
      <c r="M288">
        <v>92</v>
      </c>
      <c r="N288" t="s">
        <v>424</v>
      </c>
      <c r="O288" t="s">
        <v>876</v>
      </c>
      <c r="Q288">
        <v>1</v>
      </c>
      <c r="R288">
        <v>79</v>
      </c>
      <c r="S288" t="s">
        <v>892</v>
      </c>
      <c r="T288" s="6">
        <v>37749.160070989114</v>
      </c>
      <c r="U288" s="7">
        <f>T288*DealsRawTable[[#This Row],[Contract_Years]]</f>
        <v>37749.160070989114</v>
      </c>
      <c r="V288" s="8">
        <v>0.19600000000000001</v>
      </c>
      <c r="W288" s="8">
        <v>0.183</v>
      </c>
      <c r="X288" s="8">
        <v>-8.9999999999999993E-3</v>
      </c>
      <c r="Y288" t="s">
        <v>905</v>
      </c>
      <c r="Z288" t="s">
        <v>889</v>
      </c>
      <c r="AA288" s="6">
        <v>30822.443765892232</v>
      </c>
      <c r="AB288" s="7">
        <f>DealsRawTable[[#This Row],[Final_Price_ACV]]*DealsRawTable[[#This Row],[Contract_Years]]</f>
        <v>30822.443765892232</v>
      </c>
      <c r="AC288" s="6">
        <v>9219.8809108917503</v>
      </c>
      <c r="AD288" s="6">
        <v>21602.562855000484</v>
      </c>
      <c r="AE288" s="8">
        <v>0.70087119045718349</v>
      </c>
      <c r="AF288" t="s">
        <v>880</v>
      </c>
      <c r="AG288" t="s">
        <v>44</v>
      </c>
      <c r="AI288" t="s">
        <v>38</v>
      </c>
      <c r="AJ288" s="6">
        <v>30822.443765892232</v>
      </c>
      <c r="AK288" s="6">
        <v>21602.562855000484</v>
      </c>
      <c r="AL288" t="s">
        <v>881</v>
      </c>
      <c r="AM288">
        <f t="shared" si="8"/>
        <v>30841.06</v>
      </c>
      <c r="AN288">
        <f>DealsRawTable[[#This Row],[Validated_Annual_Final_Price]]*DealsRawTable[[#This Row],[Contract_Years]]</f>
        <v>30841.06</v>
      </c>
      <c r="AO288">
        <f>DealsRawTable[[#This Row],[Validated_Annual_Final_Price]]-DealsRawTable[[#This Row],[Cost_to_Serve]]</f>
        <v>21621.179089108249</v>
      </c>
      <c r="AP288" s="17">
        <f>DealsRawTable[[#This Row],[Validated_Grossprofit]]/DealsRawTable[[#This Row],[Validated_Annual_Final_Price]]</f>
        <v>0.70105175013790866</v>
      </c>
      <c r="AQ288" s="17">
        <v>30841.06</v>
      </c>
      <c r="AR288" s="17">
        <v>30841.06</v>
      </c>
      <c r="AS288" s="17">
        <v>21621.179089108249</v>
      </c>
      <c r="AT288" s="17">
        <v>0.70105175013790866</v>
      </c>
      <c r="AU288" s="17" t="str">
        <f t="shared" si="9"/>
        <v>15–20%</v>
      </c>
      <c r="AV288" s="17">
        <v>108</v>
      </c>
      <c r="AW288" s="17"/>
    </row>
    <row r="289" spans="1:49">
      <c r="A289" t="s">
        <v>1194</v>
      </c>
      <c r="B289" s="5">
        <v>45435</v>
      </c>
      <c r="C289" t="s">
        <v>226</v>
      </c>
      <c r="D289" t="s">
        <v>227</v>
      </c>
      <c r="E289" t="s">
        <v>627</v>
      </c>
      <c r="F289" t="s">
        <v>47</v>
      </c>
      <c r="G289" t="s">
        <v>60</v>
      </c>
      <c r="H289" t="s">
        <v>48</v>
      </c>
      <c r="I289" t="s">
        <v>49</v>
      </c>
      <c r="J289" t="s">
        <v>37</v>
      </c>
      <c r="K289" t="s">
        <v>38</v>
      </c>
      <c r="L289" s="5">
        <v>44621</v>
      </c>
      <c r="M289">
        <v>57</v>
      </c>
      <c r="N289" t="s">
        <v>424</v>
      </c>
      <c r="O289" t="s">
        <v>883</v>
      </c>
      <c r="P289" t="s">
        <v>978</v>
      </c>
      <c r="Q289">
        <v>1</v>
      </c>
      <c r="R289">
        <v>35</v>
      </c>
      <c r="S289" t="s">
        <v>892</v>
      </c>
      <c r="T289" s="6">
        <v>35348.502606950715</v>
      </c>
      <c r="U289" s="7">
        <f>T289*DealsRawTable[[#This Row],[Contract_Years]]</f>
        <v>35348.502606950715</v>
      </c>
      <c r="V289" s="8">
        <v>7.0999999999999994E-2</v>
      </c>
      <c r="W289" s="8">
        <v>4.9000000000000002E-2</v>
      </c>
      <c r="X289" s="8">
        <v>-2.5000000000000001E-2</v>
      </c>
      <c r="Y289" t="s">
        <v>885</v>
      </c>
      <c r="Z289" t="s">
        <v>879</v>
      </c>
      <c r="AA289" s="6">
        <v>33605.263579008657</v>
      </c>
      <c r="AB289" s="7">
        <f>DealsRawTable[[#This Row],[Final_Price_ACV]]*DealsRawTable[[#This Row],[Contract_Years]]</f>
        <v>33605.263579008657</v>
      </c>
      <c r="AC289" s="6">
        <v>11283.206642708119</v>
      </c>
      <c r="AD289" s="6">
        <v>22322.056936300538</v>
      </c>
      <c r="AE289" s="8">
        <v>0.66424287623334954</v>
      </c>
      <c r="AF289" t="s">
        <v>880</v>
      </c>
      <c r="AH289" t="s">
        <v>44</v>
      </c>
      <c r="AI289" t="s">
        <v>38</v>
      </c>
      <c r="AJ289" s="6">
        <v>33605.263579008657</v>
      </c>
      <c r="AK289" s="6">
        <v>22322.056936300538</v>
      </c>
      <c r="AL289" t="s">
        <v>886</v>
      </c>
      <c r="AM289">
        <f t="shared" si="8"/>
        <v>33616.43</v>
      </c>
      <c r="AN289">
        <f>DealsRawTable[[#This Row],[Validated_Annual_Final_Price]]*DealsRawTable[[#This Row],[Contract_Years]]</f>
        <v>33616.43</v>
      </c>
      <c r="AO289">
        <f>DealsRawTable[[#This Row],[Validated_Annual_Final_Price]]-DealsRawTable[[#This Row],[Cost_to_Serve]]</f>
        <v>22333.223357291881</v>
      </c>
      <c r="AP289" s="17">
        <f>DealsRawTable[[#This Row],[Validated_Grossprofit]]/DealsRawTable[[#This Row],[Validated_Annual_Final_Price]]</f>
        <v>0.6643544051909106</v>
      </c>
      <c r="AQ289" s="17">
        <v>33616.43</v>
      </c>
      <c r="AR289" s="17">
        <v>33616.43</v>
      </c>
      <c r="AS289" s="17">
        <v>22333.223357291881</v>
      </c>
      <c r="AT289" s="17">
        <v>0.6643544051909106</v>
      </c>
      <c r="AU289" s="17" t="str">
        <f t="shared" si="9"/>
        <v>0–5%</v>
      </c>
      <c r="AV289" s="17">
        <v>55</v>
      </c>
      <c r="AW289" s="17"/>
    </row>
    <row r="290" spans="1:49">
      <c r="A290" t="s">
        <v>1195</v>
      </c>
      <c r="B290" s="5">
        <v>45542</v>
      </c>
      <c r="C290" t="s">
        <v>226</v>
      </c>
      <c r="D290" t="s">
        <v>227</v>
      </c>
      <c r="E290" t="s">
        <v>627</v>
      </c>
      <c r="F290" t="s">
        <v>47</v>
      </c>
      <c r="G290" t="s">
        <v>60</v>
      </c>
      <c r="H290" t="s">
        <v>48</v>
      </c>
      <c r="I290" t="s">
        <v>49</v>
      </c>
      <c r="J290" t="s">
        <v>37</v>
      </c>
      <c r="K290" t="s">
        <v>38</v>
      </c>
      <c r="L290" s="5">
        <v>44621</v>
      </c>
      <c r="M290">
        <v>57</v>
      </c>
      <c r="N290" t="s">
        <v>424</v>
      </c>
      <c r="O290" t="s">
        <v>876</v>
      </c>
      <c r="Q290">
        <v>1</v>
      </c>
      <c r="R290">
        <v>35</v>
      </c>
      <c r="S290" t="s">
        <v>900</v>
      </c>
      <c r="T290" s="6">
        <v>37346.701451814108</v>
      </c>
      <c r="U290" s="7">
        <f>T290*DealsRawTable[[#This Row],[Contract_Years]]</f>
        <v>37346.701451814108</v>
      </c>
      <c r="V290" s="8">
        <v>9.7000000000000003E-2</v>
      </c>
      <c r="W290" s="8">
        <v>0.05</v>
      </c>
      <c r="X290" s="8">
        <v>-3.5999999999999997E-2</v>
      </c>
      <c r="Y290" t="s">
        <v>878</v>
      </c>
      <c r="Z290" t="s">
        <v>879</v>
      </c>
      <c r="AA290" s="6">
        <v>35483.731664350147</v>
      </c>
      <c r="AB290" s="7">
        <f>DealsRawTable[[#This Row],[Final_Price_ACV]]*DealsRawTable[[#This Row],[Contract_Years]]</f>
        <v>35483.731664350147</v>
      </c>
      <c r="AC290" s="6">
        <v>10346.197390829631</v>
      </c>
      <c r="AD290" s="6">
        <v>25137.534273520516</v>
      </c>
      <c r="AE290" s="8">
        <v>0.70842420158350294</v>
      </c>
      <c r="AF290" t="s">
        <v>880</v>
      </c>
      <c r="AG290" t="s">
        <v>44</v>
      </c>
      <c r="AI290" t="s">
        <v>38</v>
      </c>
      <c r="AJ290" s="6">
        <v>35483.731664350147</v>
      </c>
      <c r="AK290" s="6">
        <v>25137.534273520516</v>
      </c>
      <c r="AL290" t="s">
        <v>881</v>
      </c>
      <c r="AM290">
        <f t="shared" si="8"/>
        <v>35479.370000000003</v>
      </c>
      <c r="AN290">
        <f>DealsRawTable[[#This Row],[Validated_Annual_Final_Price]]*DealsRawTable[[#This Row],[Contract_Years]]</f>
        <v>35479.370000000003</v>
      </c>
      <c r="AO290">
        <f>DealsRawTable[[#This Row],[Validated_Annual_Final_Price]]-DealsRawTable[[#This Row],[Cost_to_Serve]]</f>
        <v>25133.172609170371</v>
      </c>
      <c r="AP290" s="17">
        <f>DealsRawTable[[#This Row],[Validated_Grossprofit]]/DealsRawTable[[#This Row],[Validated_Annual_Final_Price]]</f>
        <v>0.70838835664698585</v>
      </c>
      <c r="AQ290" s="17">
        <v>35479.370000000003</v>
      </c>
      <c r="AR290" s="17">
        <v>35479.370000000003</v>
      </c>
      <c r="AS290" s="17">
        <v>25133.172609170371</v>
      </c>
      <c r="AT290" s="17">
        <v>0.70838835664698585</v>
      </c>
      <c r="AU290" s="17" t="str">
        <f t="shared" si="9"/>
        <v>0–5%</v>
      </c>
      <c r="AV290" s="17">
        <v>55</v>
      </c>
      <c r="AW290" s="17"/>
    </row>
    <row r="291" spans="1:49">
      <c r="A291" t="s">
        <v>1196</v>
      </c>
      <c r="B291" s="5">
        <v>45907</v>
      </c>
      <c r="C291" t="s">
        <v>226</v>
      </c>
      <c r="D291" t="s">
        <v>227</v>
      </c>
      <c r="E291" t="s">
        <v>627</v>
      </c>
      <c r="F291" t="s">
        <v>47</v>
      </c>
      <c r="G291" t="s">
        <v>60</v>
      </c>
      <c r="H291" t="s">
        <v>48</v>
      </c>
      <c r="I291" t="s">
        <v>49</v>
      </c>
      <c r="J291" t="s">
        <v>37</v>
      </c>
      <c r="K291" t="s">
        <v>38</v>
      </c>
      <c r="L291" s="5">
        <v>44621</v>
      </c>
      <c r="M291">
        <v>57</v>
      </c>
      <c r="N291" t="s">
        <v>424</v>
      </c>
      <c r="O291" t="s">
        <v>876</v>
      </c>
      <c r="Q291">
        <v>1</v>
      </c>
      <c r="R291">
        <v>35</v>
      </c>
      <c r="S291" t="s">
        <v>907</v>
      </c>
      <c r="T291" s="6">
        <v>39684.973724556563</v>
      </c>
      <c r="U291" s="7">
        <f>T291*DealsRawTable[[#This Row],[Contract_Years]]</f>
        <v>39684.973724556563</v>
      </c>
      <c r="V291" s="8">
        <v>0.13100000000000001</v>
      </c>
      <c r="W291" s="8">
        <v>0.10299999999999999</v>
      </c>
      <c r="X291" s="8">
        <v>8.9999999999999993E-3</v>
      </c>
      <c r="Y291" t="s">
        <v>878</v>
      </c>
      <c r="Z291" t="s">
        <v>889</v>
      </c>
      <c r="AA291" s="6">
        <v>35582.131564648625</v>
      </c>
      <c r="AB291" s="7">
        <f>DealsRawTable[[#This Row],[Final_Price_ACV]]*DealsRawTable[[#This Row],[Contract_Years]]</f>
        <v>35582.131564648625</v>
      </c>
      <c r="AC291" s="6">
        <v>10688.659876210693</v>
      </c>
      <c r="AD291" s="6">
        <v>24893.47168843793</v>
      </c>
      <c r="AE291" s="8">
        <v>0.69960597057569096</v>
      </c>
      <c r="AF291" t="s">
        <v>880</v>
      </c>
      <c r="AG291" t="s">
        <v>44</v>
      </c>
      <c r="AI291" t="s">
        <v>38</v>
      </c>
      <c r="AJ291" s="6">
        <v>35582.131564648625</v>
      </c>
      <c r="AK291" s="6">
        <v>24893.47168843793</v>
      </c>
      <c r="AL291" t="s">
        <v>881</v>
      </c>
      <c r="AM291">
        <f t="shared" si="8"/>
        <v>35597.42</v>
      </c>
      <c r="AN291">
        <f>DealsRawTable[[#This Row],[Validated_Annual_Final_Price]]*DealsRawTable[[#This Row],[Contract_Years]]</f>
        <v>35597.42</v>
      </c>
      <c r="AO291">
        <f>DealsRawTable[[#This Row],[Validated_Annual_Final_Price]]-DealsRawTable[[#This Row],[Cost_to_Serve]]</f>
        <v>24908.760123789303</v>
      </c>
      <c r="AP291" s="17">
        <f>DealsRawTable[[#This Row],[Validated_Grossprofit]]/DealsRawTable[[#This Row],[Validated_Annual_Final_Price]]</f>
        <v>0.69973498427103153</v>
      </c>
      <c r="AQ291" s="17">
        <v>35597.42</v>
      </c>
      <c r="AR291" s="17">
        <v>35597.42</v>
      </c>
      <c r="AS291" s="17">
        <v>24908.760123789303</v>
      </c>
      <c r="AT291" s="17">
        <v>0.69973498427103153</v>
      </c>
      <c r="AU291" s="17" t="str">
        <f t="shared" si="9"/>
        <v>10–15%</v>
      </c>
      <c r="AV291" s="17">
        <v>113</v>
      </c>
      <c r="AW291" s="17"/>
    </row>
    <row r="292" spans="1:49">
      <c r="A292" t="s">
        <v>1197</v>
      </c>
      <c r="B292" s="5">
        <v>45601</v>
      </c>
      <c r="C292" t="s">
        <v>226</v>
      </c>
      <c r="D292" t="s">
        <v>227</v>
      </c>
      <c r="E292" t="s">
        <v>628</v>
      </c>
      <c r="F292" t="s">
        <v>449</v>
      </c>
      <c r="G292" t="s">
        <v>60</v>
      </c>
      <c r="H292" t="s">
        <v>48</v>
      </c>
      <c r="I292" t="s">
        <v>49</v>
      </c>
      <c r="J292" t="s">
        <v>37</v>
      </c>
      <c r="K292" t="s">
        <v>38</v>
      </c>
      <c r="L292" s="5">
        <v>44621</v>
      </c>
      <c r="M292">
        <v>57</v>
      </c>
      <c r="N292" t="s">
        <v>429</v>
      </c>
      <c r="O292" t="s">
        <v>876</v>
      </c>
      <c r="Q292">
        <v>1</v>
      </c>
      <c r="R292">
        <v>61</v>
      </c>
      <c r="S292" t="s">
        <v>907</v>
      </c>
      <c r="T292" s="6">
        <v>90099.589711914916</v>
      </c>
      <c r="U292" s="7">
        <f>T292*DealsRawTable[[#This Row],[Contract_Years]]</f>
        <v>90099.589711914916</v>
      </c>
      <c r="V292" s="8">
        <v>0.219</v>
      </c>
      <c r="W292" s="8">
        <v>0.20499999999999999</v>
      </c>
      <c r="X292" s="8">
        <v>-0.10100000000000001</v>
      </c>
      <c r="Y292" t="s">
        <v>878</v>
      </c>
      <c r="Z292" t="s">
        <v>893</v>
      </c>
      <c r="AA292" s="6">
        <v>71612.49262020117</v>
      </c>
      <c r="AB292" s="7">
        <f>DealsRawTable[[#This Row],[Final_Price_ACV]]*DealsRawTable[[#This Row],[Contract_Years]]</f>
        <v>71612.49262020117</v>
      </c>
      <c r="AC292" s="6">
        <v>30726.374938830213</v>
      </c>
      <c r="AD292" s="6">
        <v>40886.117681370961</v>
      </c>
      <c r="AE292" s="8">
        <v>0.57093554749185471</v>
      </c>
      <c r="AF292" t="s">
        <v>880</v>
      </c>
      <c r="AG292" t="s">
        <v>44</v>
      </c>
      <c r="AI292" t="s">
        <v>38</v>
      </c>
      <c r="AJ292" s="6">
        <v>71612.49262020117</v>
      </c>
      <c r="AK292" s="6">
        <v>40886.117681370961</v>
      </c>
      <c r="AL292" t="s">
        <v>881</v>
      </c>
      <c r="AM292">
        <f t="shared" si="8"/>
        <v>71629.17</v>
      </c>
      <c r="AN292">
        <f>DealsRawTable[[#This Row],[Validated_Annual_Final_Price]]*DealsRawTable[[#This Row],[Contract_Years]]</f>
        <v>71629.17</v>
      </c>
      <c r="AO292">
        <f>DealsRawTable[[#This Row],[Validated_Annual_Final_Price]]-DealsRawTable[[#This Row],[Cost_to_Serve]]</f>
        <v>40902.795061169789</v>
      </c>
      <c r="AP292" s="17">
        <f>DealsRawTable[[#This Row],[Validated_Grossprofit]]/DealsRawTable[[#This Row],[Validated_Annual_Final_Price]]</f>
        <v>0.57103544632961389</v>
      </c>
      <c r="AQ292" s="17">
        <v>71629.17</v>
      </c>
      <c r="AR292" s="17">
        <v>71629.17</v>
      </c>
      <c r="AS292" s="17">
        <v>40902.795061169789</v>
      </c>
      <c r="AT292" s="17">
        <v>0.57103544632961389</v>
      </c>
      <c r="AU292" s="17" t="str">
        <f t="shared" si="9"/>
        <v>20–25%</v>
      </c>
      <c r="AV292" s="17">
        <v>29</v>
      </c>
      <c r="AW292" s="17"/>
    </row>
    <row r="293" spans="1:49">
      <c r="A293" t="s">
        <v>1198</v>
      </c>
      <c r="B293" s="5">
        <v>45868</v>
      </c>
      <c r="C293" t="s">
        <v>226</v>
      </c>
      <c r="D293" t="s">
        <v>227</v>
      </c>
      <c r="E293" t="s">
        <v>628</v>
      </c>
      <c r="F293" t="s">
        <v>449</v>
      </c>
      <c r="G293" t="s">
        <v>60</v>
      </c>
      <c r="H293" t="s">
        <v>48</v>
      </c>
      <c r="I293" t="s">
        <v>49</v>
      </c>
      <c r="J293" t="s">
        <v>37</v>
      </c>
      <c r="K293" t="s">
        <v>38</v>
      </c>
      <c r="L293" s="5">
        <v>44621</v>
      </c>
      <c r="M293">
        <v>57</v>
      </c>
      <c r="N293" t="s">
        <v>429</v>
      </c>
      <c r="O293" t="s">
        <v>883</v>
      </c>
      <c r="P293" t="s">
        <v>899</v>
      </c>
      <c r="Q293">
        <v>1</v>
      </c>
      <c r="R293">
        <v>84</v>
      </c>
      <c r="S293" t="s">
        <v>888</v>
      </c>
      <c r="T293" s="6">
        <v>101001.18439139094</v>
      </c>
      <c r="U293" s="7">
        <f>T293*DealsRawTable[[#This Row],[Contract_Years]]</f>
        <v>101001.18439139094</v>
      </c>
      <c r="V293" s="8">
        <v>9.4E-2</v>
      </c>
      <c r="W293" s="8">
        <v>7.1999999999999995E-2</v>
      </c>
      <c r="X293" s="8">
        <v>-6.0000000000000001E-3</v>
      </c>
      <c r="Y293" t="s">
        <v>885</v>
      </c>
      <c r="Z293" t="s">
        <v>879</v>
      </c>
      <c r="AA293" s="6">
        <v>93735.656116481696</v>
      </c>
      <c r="AB293" s="7">
        <f>DealsRawTable[[#This Row],[Final_Price_ACV]]*DealsRawTable[[#This Row],[Contract_Years]]</f>
        <v>93735.656116481696</v>
      </c>
      <c r="AC293" s="6">
        <v>35177.092891490815</v>
      </c>
      <c r="AD293" s="6">
        <v>58558.563224990881</v>
      </c>
      <c r="AE293" s="8">
        <v>0.62472025748902216</v>
      </c>
      <c r="AF293" t="s">
        <v>880</v>
      </c>
      <c r="AH293" t="s">
        <v>44</v>
      </c>
      <c r="AI293" t="s">
        <v>38</v>
      </c>
      <c r="AJ293" s="6">
        <v>93735.656116481696</v>
      </c>
      <c r="AK293" s="6">
        <v>58558.563224990881</v>
      </c>
      <c r="AL293" t="s">
        <v>886</v>
      </c>
      <c r="AM293">
        <f t="shared" si="8"/>
        <v>93729.1</v>
      </c>
      <c r="AN293">
        <f>DealsRawTable[[#This Row],[Validated_Annual_Final_Price]]*DealsRawTable[[#This Row],[Contract_Years]]</f>
        <v>93729.1</v>
      </c>
      <c r="AO293">
        <f>DealsRawTable[[#This Row],[Validated_Annual_Final_Price]]-DealsRawTable[[#This Row],[Cost_to_Serve]]</f>
        <v>58552.007108509191</v>
      </c>
      <c r="AP293" s="17">
        <f>DealsRawTable[[#This Row],[Validated_Grossprofit]]/DealsRawTable[[#This Row],[Validated_Annual_Final_Price]]</f>
        <v>0.62469400760819416</v>
      </c>
      <c r="AQ293" s="17">
        <v>93729.1</v>
      </c>
      <c r="AR293" s="17">
        <v>93729.1</v>
      </c>
      <c r="AS293" s="17">
        <v>58552.007108509191</v>
      </c>
      <c r="AT293" s="17">
        <v>0.62469400760819416</v>
      </c>
      <c r="AU293" s="17" t="str">
        <f t="shared" si="9"/>
        <v>5–10%</v>
      </c>
      <c r="AV293" s="17">
        <v>116</v>
      </c>
      <c r="AW293" s="17"/>
    </row>
    <row r="294" spans="1:49">
      <c r="A294" t="s">
        <v>1199</v>
      </c>
      <c r="B294" s="5">
        <v>45966</v>
      </c>
      <c r="C294" t="s">
        <v>226</v>
      </c>
      <c r="D294" t="s">
        <v>227</v>
      </c>
      <c r="E294" t="s">
        <v>628</v>
      </c>
      <c r="F294" t="s">
        <v>449</v>
      </c>
      <c r="G294" t="s">
        <v>60</v>
      </c>
      <c r="H294" t="s">
        <v>48</v>
      </c>
      <c r="I294" t="s">
        <v>49</v>
      </c>
      <c r="J294" t="s">
        <v>37</v>
      </c>
      <c r="K294" t="s">
        <v>38</v>
      </c>
      <c r="L294" s="5">
        <v>44621</v>
      </c>
      <c r="M294">
        <v>57</v>
      </c>
      <c r="N294" t="s">
        <v>429</v>
      </c>
      <c r="O294" t="s">
        <v>876</v>
      </c>
      <c r="Q294">
        <v>1</v>
      </c>
      <c r="R294">
        <v>84</v>
      </c>
      <c r="S294" t="s">
        <v>877</v>
      </c>
      <c r="T294" s="6">
        <v>106255.10286446335</v>
      </c>
      <c r="U294" s="7">
        <f>T294*DealsRawTable[[#This Row],[Contract_Years]]</f>
        <v>106255.10286446335</v>
      </c>
      <c r="V294" s="8">
        <v>0.17699999999999999</v>
      </c>
      <c r="W294" s="8">
        <v>0.17100000000000001</v>
      </c>
      <c r="X294" s="8">
        <v>-0.125</v>
      </c>
      <c r="Y294" t="s">
        <v>878</v>
      </c>
      <c r="Z294" t="s">
        <v>889</v>
      </c>
      <c r="AA294" s="6">
        <v>88092.765772363142</v>
      </c>
      <c r="AB294" s="7">
        <f>DealsRawTable[[#This Row],[Final_Price_ACV]]*DealsRawTable[[#This Row],[Contract_Years]]</f>
        <v>88092.765772363142</v>
      </c>
      <c r="AC294" s="6">
        <v>38022.301289887277</v>
      </c>
      <c r="AD294" s="6">
        <v>50070.464482475865</v>
      </c>
      <c r="AE294" s="8">
        <v>0.56838338589414794</v>
      </c>
      <c r="AF294" t="s">
        <v>880</v>
      </c>
      <c r="AG294" t="s">
        <v>44</v>
      </c>
      <c r="AI294" t="s">
        <v>38</v>
      </c>
      <c r="AJ294" s="6">
        <v>88092.765772363142</v>
      </c>
      <c r="AK294" s="6">
        <v>50070.464482475865</v>
      </c>
      <c r="AL294" t="s">
        <v>881</v>
      </c>
      <c r="AM294">
        <f t="shared" si="8"/>
        <v>88085.48</v>
      </c>
      <c r="AN294">
        <f>DealsRawTable[[#This Row],[Validated_Annual_Final_Price]]*DealsRawTable[[#This Row],[Contract_Years]]</f>
        <v>88085.48</v>
      </c>
      <c r="AO294">
        <f>DealsRawTable[[#This Row],[Validated_Annual_Final_Price]]-DealsRawTable[[#This Row],[Cost_to_Serve]]</f>
        <v>50063.178710112719</v>
      </c>
      <c r="AP294" s="17">
        <f>DealsRawTable[[#This Row],[Validated_Grossprofit]]/DealsRawTable[[#This Row],[Validated_Annual_Final_Price]]</f>
        <v>0.56834768579467043</v>
      </c>
      <c r="AQ294" s="17">
        <v>88085.48</v>
      </c>
      <c r="AR294" s="17">
        <v>88085.48</v>
      </c>
      <c r="AS294" s="17">
        <v>50063.178710112719</v>
      </c>
      <c r="AT294" s="17">
        <v>0.56834768579467043</v>
      </c>
      <c r="AU294" s="17" t="str">
        <f t="shared" si="9"/>
        <v>15–20%</v>
      </c>
      <c r="AV294" s="17">
        <v>108</v>
      </c>
      <c r="AW294" s="17"/>
    </row>
    <row r="295" spans="1:49">
      <c r="A295" t="s">
        <v>1200</v>
      </c>
      <c r="B295" s="5">
        <v>45878</v>
      </c>
      <c r="C295" t="s">
        <v>226</v>
      </c>
      <c r="D295" t="s">
        <v>227</v>
      </c>
      <c r="E295" t="s">
        <v>629</v>
      </c>
      <c r="F295" t="s">
        <v>445</v>
      </c>
      <c r="G295" t="s">
        <v>60</v>
      </c>
      <c r="H295" t="s">
        <v>48</v>
      </c>
      <c r="I295" t="s">
        <v>49</v>
      </c>
      <c r="J295" t="s">
        <v>37</v>
      </c>
      <c r="K295" t="s">
        <v>38</v>
      </c>
      <c r="L295" s="5">
        <v>44621</v>
      </c>
      <c r="M295">
        <v>57</v>
      </c>
      <c r="N295" t="s">
        <v>433</v>
      </c>
      <c r="O295" t="s">
        <v>883</v>
      </c>
      <c r="P295" t="s">
        <v>951</v>
      </c>
      <c r="Q295">
        <v>3</v>
      </c>
      <c r="R295">
        <v>90</v>
      </c>
      <c r="S295" t="s">
        <v>900</v>
      </c>
      <c r="T295" s="6">
        <v>178552.30357761096</v>
      </c>
      <c r="U295" s="7">
        <f>T295*DealsRawTable[[#This Row],[Contract_Years]]</f>
        <v>535656.91073283285</v>
      </c>
      <c r="V295" s="8">
        <v>8.8999999999999996E-2</v>
      </c>
      <c r="W295" s="8">
        <v>5.3999999999999999E-2</v>
      </c>
      <c r="X295" s="8">
        <v>5.3999999999999999E-2</v>
      </c>
      <c r="Y295" t="s">
        <v>885</v>
      </c>
      <c r="Z295" t="s">
        <v>879</v>
      </c>
      <c r="AA295" s="6">
        <v>168880.6256312698</v>
      </c>
      <c r="AB295" s="7">
        <f>DealsRawTable[[#This Row],[Final_Price_ACV]]*DealsRawTable[[#This Row],[Contract_Years]]</f>
        <v>506641.87689380941</v>
      </c>
      <c r="AC295" s="6">
        <v>63676.613208808922</v>
      </c>
      <c r="AD295" s="6">
        <v>105204.01242246087</v>
      </c>
      <c r="AE295" s="8">
        <v>0.62294897374528313</v>
      </c>
      <c r="AF295" t="s">
        <v>880</v>
      </c>
      <c r="AH295" t="s">
        <v>44</v>
      </c>
      <c r="AI295" t="s">
        <v>38</v>
      </c>
      <c r="AJ295" s="6">
        <v>168880.6256312698</v>
      </c>
      <c r="AK295" s="6">
        <v>105204.01242246087</v>
      </c>
      <c r="AL295" t="s">
        <v>886</v>
      </c>
      <c r="AM295">
        <f t="shared" si="8"/>
        <v>168910.48</v>
      </c>
      <c r="AN295">
        <f>DealsRawTable[[#This Row],[Validated_Annual_Final_Price]]*DealsRawTable[[#This Row],[Contract_Years]]</f>
        <v>506731.44000000006</v>
      </c>
      <c r="AO295">
        <f>DealsRawTable[[#This Row],[Validated_Annual_Final_Price]]-DealsRawTable[[#This Row],[Cost_to_Serve]]</f>
        <v>105233.86679119109</v>
      </c>
      <c r="AP295" s="17">
        <f>DealsRawTable[[#This Row],[Validated_Grossprofit]]/DealsRawTable[[#This Row],[Validated_Annual_Final_Price]]</f>
        <v>0.62301561626721491</v>
      </c>
      <c r="AQ295" s="17">
        <v>168910.48</v>
      </c>
      <c r="AR295" s="17">
        <v>506731.44000000006</v>
      </c>
      <c r="AS295" s="17">
        <v>105233.86679119109</v>
      </c>
      <c r="AT295" s="17">
        <v>0.62301561626721491</v>
      </c>
      <c r="AU295" s="17" t="str">
        <f t="shared" si="9"/>
        <v>5–10%</v>
      </c>
      <c r="AV295" s="17">
        <v>116</v>
      </c>
      <c r="AW295" s="17"/>
    </row>
    <row r="296" spans="1:49">
      <c r="A296" t="s">
        <v>1201</v>
      </c>
      <c r="B296" s="5">
        <v>45992</v>
      </c>
      <c r="C296" t="s">
        <v>226</v>
      </c>
      <c r="D296" t="s">
        <v>227</v>
      </c>
      <c r="E296" t="s">
        <v>629</v>
      </c>
      <c r="F296" t="s">
        <v>445</v>
      </c>
      <c r="G296" t="s">
        <v>60</v>
      </c>
      <c r="H296" t="s">
        <v>48</v>
      </c>
      <c r="I296" t="s">
        <v>49</v>
      </c>
      <c r="J296" t="s">
        <v>37</v>
      </c>
      <c r="K296" t="s">
        <v>38</v>
      </c>
      <c r="L296" s="5">
        <v>44621</v>
      </c>
      <c r="M296">
        <v>57</v>
      </c>
      <c r="N296" t="s">
        <v>433</v>
      </c>
      <c r="O296" t="s">
        <v>876</v>
      </c>
      <c r="Q296">
        <v>3</v>
      </c>
      <c r="R296">
        <v>90</v>
      </c>
      <c r="S296" t="s">
        <v>900</v>
      </c>
      <c r="T296" s="6">
        <v>188504.35182427595</v>
      </c>
      <c r="U296" s="7">
        <f>T296*DealsRawTable[[#This Row],[Contract_Years]]</f>
        <v>565513.05547282787</v>
      </c>
      <c r="V296" s="8">
        <v>0.156</v>
      </c>
      <c r="W296" s="8">
        <v>8.8999999999999996E-2</v>
      </c>
      <c r="X296" s="8">
        <v>-0.127</v>
      </c>
      <c r="Y296" t="s">
        <v>878</v>
      </c>
      <c r="Z296" t="s">
        <v>879</v>
      </c>
      <c r="AA296" s="6">
        <v>171748.59284087023</v>
      </c>
      <c r="AB296" s="7">
        <f>DealsRawTable[[#This Row],[Final_Price_ACV]]*DealsRawTable[[#This Row],[Contract_Years]]</f>
        <v>515245.77852261066</v>
      </c>
      <c r="AC296" s="6">
        <v>72683.3451480074</v>
      </c>
      <c r="AD296" s="6">
        <v>99065.247692862831</v>
      </c>
      <c r="AE296" s="8">
        <v>0.57680383899651211</v>
      </c>
      <c r="AF296" t="s">
        <v>880</v>
      </c>
      <c r="AG296" t="s">
        <v>44</v>
      </c>
      <c r="AI296" t="s">
        <v>38</v>
      </c>
      <c r="AJ296" s="6">
        <v>171748.59284087023</v>
      </c>
      <c r="AK296" s="6">
        <v>99065.247692862831</v>
      </c>
      <c r="AL296" t="s">
        <v>881</v>
      </c>
      <c r="AM296">
        <f t="shared" si="8"/>
        <v>171727.46</v>
      </c>
      <c r="AN296">
        <f>DealsRawTable[[#This Row],[Validated_Annual_Final_Price]]*DealsRawTable[[#This Row],[Contract_Years]]</f>
        <v>515182.38</v>
      </c>
      <c r="AO296">
        <f>DealsRawTable[[#This Row],[Validated_Annual_Final_Price]]-DealsRawTable[[#This Row],[Cost_to_Serve]]</f>
        <v>99044.114851992592</v>
      </c>
      <c r="AP296" s="17">
        <f>DealsRawTable[[#This Row],[Validated_Grossprofit]]/DealsRawTable[[#This Row],[Validated_Annual_Final_Price]]</f>
        <v>0.5767517603299589</v>
      </c>
      <c r="AQ296" s="17">
        <v>171727.46</v>
      </c>
      <c r="AR296" s="17">
        <v>515182.38</v>
      </c>
      <c r="AS296" s="17">
        <v>99044.114851992592</v>
      </c>
      <c r="AT296" s="17">
        <v>0.5767517603299589</v>
      </c>
      <c r="AU296" s="17" t="str">
        <f t="shared" si="9"/>
        <v>5–10%</v>
      </c>
      <c r="AV296" s="17">
        <v>116</v>
      </c>
      <c r="AW296" s="17"/>
    </row>
    <row r="297" spans="1:49">
      <c r="A297" t="s">
        <v>1202</v>
      </c>
      <c r="B297" s="5">
        <v>45644</v>
      </c>
      <c r="C297" t="s">
        <v>228</v>
      </c>
      <c r="D297" t="s">
        <v>229</v>
      </c>
      <c r="E297" t="s">
        <v>630</v>
      </c>
      <c r="F297" t="s">
        <v>449</v>
      </c>
      <c r="G297" t="s">
        <v>53</v>
      </c>
      <c r="H297" t="s">
        <v>48</v>
      </c>
      <c r="I297" t="s">
        <v>115</v>
      </c>
      <c r="J297" t="s">
        <v>43</v>
      </c>
      <c r="K297" t="s">
        <v>44</v>
      </c>
      <c r="L297" s="5">
        <v>45108</v>
      </c>
      <c r="M297">
        <v>68</v>
      </c>
      <c r="N297" t="s">
        <v>427</v>
      </c>
      <c r="O297" t="s">
        <v>891</v>
      </c>
      <c r="Q297">
        <v>1</v>
      </c>
      <c r="R297">
        <v>1802</v>
      </c>
      <c r="S297" t="s">
        <v>888</v>
      </c>
      <c r="T297" s="6">
        <v>371005.256078707</v>
      </c>
      <c r="U297" s="7">
        <f>T297*DealsRawTable[[#This Row],[Contract_Years]]</f>
        <v>371005.256078707</v>
      </c>
      <c r="V297" s="8">
        <v>0.17899999999999999</v>
      </c>
      <c r="W297" s="8">
        <v>0.14599999999999999</v>
      </c>
      <c r="X297" s="8">
        <v>0</v>
      </c>
      <c r="Y297" t="s">
        <v>902</v>
      </c>
      <c r="Z297" t="s">
        <v>889</v>
      </c>
      <c r="AA297" s="6">
        <v>316862.28714785591</v>
      </c>
      <c r="AB297" s="7">
        <f>DealsRawTable[[#This Row],[Final_Price_ACV]]*DealsRawTable[[#This Row],[Contract_Years]]</f>
        <v>316862.28714785591</v>
      </c>
      <c r="AC297" s="6">
        <v>133995.1408225123</v>
      </c>
      <c r="AD297" s="6">
        <v>182867.14632534361</v>
      </c>
      <c r="AE297" s="8">
        <v>0.57711868449656556</v>
      </c>
      <c r="AF297" t="s">
        <v>880</v>
      </c>
      <c r="AI297" t="s">
        <v>38</v>
      </c>
      <c r="AJ297" s="6">
        <v>316862.28714785591</v>
      </c>
      <c r="AK297" s="6">
        <v>182867.14632534361</v>
      </c>
      <c r="AL297" t="s">
        <v>894</v>
      </c>
      <c r="AM297">
        <f t="shared" si="8"/>
        <v>316838.49</v>
      </c>
      <c r="AN297">
        <f>DealsRawTable[[#This Row],[Validated_Annual_Final_Price]]*DealsRawTable[[#This Row],[Contract_Years]]</f>
        <v>316838.49</v>
      </c>
      <c r="AO297">
        <f>DealsRawTable[[#This Row],[Validated_Annual_Final_Price]]-DealsRawTable[[#This Row],[Cost_to_Serve]]</f>
        <v>182843.34917748769</v>
      </c>
      <c r="AP297" s="17">
        <f>DealsRawTable[[#This Row],[Validated_Grossprofit]]/DealsRawTable[[#This Row],[Validated_Annual_Final_Price]]</f>
        <v>0.577086922669931</v>
      </c>
      <c r="AQ297" s="17">
        <v>316838.49</v>
      </c>
      <c r="AR297" s="17">
        <v>316838.49</v>
      </c>
      <c r="AS297" s="17">
        <v>182843.34917748769</v>
      </c>
      <c r="AT297" s="17">
        <v>0.577086922669931</v>
      </c>
      <c r="AU297" s="17" t="str">
        <f t="shared" si="9"/>
        <v>10–15%</v>
      </c>
      <c r="AV297" s="17">
        <v>113</v>
      </c>
      <c r="AW297" s="17"/>
    </row>
    <row r="298" spans="1:49">
      <c r="A298" t="s">
        <v>1203</v>
      </c>
      <c r="B298" s="5">
        <v>46009</v>
      </c>
      <c r="C298" t="s">
        <v>228</v>
      </c>
      <c r="D298" t="s">
        <v>229</v>
      </c>
      <c r="E298" t="s">
        <v>630</v>
      </c>
      <c r="F298" t="s">
        <v>449</v>
      </c>
      <c r="G298" t="s">
        <v>53</v>
      </c>
      <c r="H298" t="s">
        <v>48</v>
      </c>
      <c r="I298" t="s">
        <v>115</v>
      </c>
      <c r="J298" t="s">
        <v>43</v>
      </c>
      <c r="K298" t="s">
        <v>44</v>
      </c>
      <c r="L298" s="5">
        <v>45108</v>
      </c>
      <c r="M298">
        <v>68</v>
      </c>
      <c r="N298" t="s">
        <v>427</v>
      </c>
      <c r="O298" t="s">
        <v>876</v>
      </c>
      <c r="Q298">
        <v>1</v>
      </c>
      <c r="R298">
        <v>1802</v>
      </c>
      <c r="S298" t="s">
        <v>932</v>
      </c>
      <c r="T298" s="6">
        <v>388983.75602785434</v>
      </c>
      <c r="U298" s="7">
        <f>T298*DealsRawTable[[#This Row],[Contract_Years]]</f>
        <v>388983.75602785434</v>
      </c>
      <c r="V298" s="8">
        <v>0.21099999999999999</v>
      </c>
      <c r="W298" s="8">
        <v>0.20499999999999999</v>
      </c>
      <c r="X298" s="8">
        <v>0.111</v>
      </c>
      <c r="Y298" t="s">
        <v>878</v>
      </c>
      <c r="Z298" t="s">
        <v>893</v>
      </c>
      <c r="AA298" s="6">
        <v>309079.34148105374</v>
      </c>
      <c r="AB298" s="7">
        <f>DealsRawTable[[#This Row],[Final_Price_ACV]]*DealsRawTable[[#This Row],[Contract_Years]]</f>
        <v>309079.34148105374</v>
      </c>
      <c r="AC298" s="6">
        <v>112794.03269557589</v>
      </c>
      <c r="AD298" s="6">
        <v>196285.30878547783</v>
      </c>
      <c r="AE298" s="8">
        <v>0.63506447194080728</v>
      </c>
      <c r="AF298" t="s">
        <v>880</v>
      </c>
      <c r="AG298" t="s">
        <v>44</v>
      </c>
      <c r="AI298" t="s">
        <v>38</v>
      </c>
      <c r="AJ298" s="6">
        <v>309079.34148105374</v>
      </c>
      <c r="AK298" s="6">
        <v>196285.30878547783</v>
      </c>
      <c r="AL298" t="s">
        <v>881</v>
      </c>
      <c r="AM298">
        <f t="shared" si="8"/>
        <v>309242.09000000003</v>
      </c>
      <c r="AN298">
        <f>DealsRawTable[[#This Row],[Validated_Annual_Final_Price]]*DealsRawTable[[#This Row],[Contract_Years]]</f>
        <v>309242.09000000003</v>
      </c>
      <c r="AO298">
        <f>DealsRawTable[[#This Row],[Validated_Annual_Final_Price]]-DealsRawTable[[#This Row],[Cost_to_Serve]]</f>
        <v>196448.05730442412</v>
      </c>
      <c r="AP298" s="17">
        <f>DealsRawTable[[#This Row],[Validated_Grossprofit]]/DealsRawTable[[#This Row],[Validated_Annual_Final_Price]]</f>
        <v>0.63525653090892031</v>
      </c>
      <c r="AQ298" s="17">
        <v>309242.09000000003</v>
      </c>
      <c r="AR298" s="17">
        <v>309242.09000000003</v>
      </c>
      <c r="AS298" s="17">
        <v>196448.05730442412</v>
      </c>
      <c r="AT298" s="17">
        <v>0.63525653090892031</v>
      </c>
      <c r="AU298" s="17" t="str">
        <f t="shared" si="9"/>
        <v>20–25%</v>
      </c>
      <c r="AV298" s="17">
        <v>29</v>
      </c>
      <c r="AW298" s="17"/>
    </row>
    <row r="299" spans="1:49">
      <c r="A299" t="s">
        <v>1204</v>
      </c>
      <c r="B299" s="5">
        <v>45426</v>
      </c>
      <c r="C299" t="s">
        <v>228</v>
      </c>
      <c r="D299" t="s">
        <v>229</v>
      </c>
      <c r="E299" t="s">
        <v>631</v>
      </c>
      <c r="F299" t="s">
        <v>34</v>
      </c>
      <c r="G299" t="s">
        <v>53</v>
      </c>
      <c r="H299" t="s">
        <v>48</v>
      </c>
      <c r="I299" t="s">
        <v>115</v>
      </c>
      <c r="J299" t="s">
        <v>43</v>
      </c>
      <c r="K299" t="s">
        <v>44</v>
      </c>
      <c r="L299" s="5">
        <v>45108</v>
      </c>
      <c r="M299">
        <v>68</v>
      </c>
      <c r="N299" t="s">
        <v>427</v>
      </c>
      <c r="O299" t="s">
        <v>891</v>
      </c>
      <c r="Q299">
        <v>1</v>
      </c>
      <c r="R299">
        <v>1149</v>
      </c>
      <c r="S299" t="s">
        <v>896</v>
      </c>
      <c r="T299" s="6">
        <v>319436.01345536055</v>
      </c>
      <c r="U299" s="7">
        <f>T299*DealsRawTable[[#This Row],[Contract_Years]]</f>
        <v>319436.01345536055</v>
      </c>
      <c r="V299" s="8">
        <v>0.126</v>
      </c>
      <c r="W299" s="8">
        <v>0.125</v>
      </c>
      <c r="X299" s="8">
        <v>8.5999999999999993E-2</v>
      </c>
      <c r="Y299" t="s">
        <v>905</v>
      </c>
      <c r="Z299" t="s">
        <v>889</v>
      </c>
      <c r="AA299" s="6">
        <v>279397.01711428573</v>
      </c>
      <c r="AB299" s="7">
        <f>DealsRawTable[[#This Row],[Final_Price_ACV]]*DealsRawTable[[#This Row],[Contract_Years]]</f>
        <v>279397.01711428573</v>
      </c>
      <c r="AC299" s="6">
        <v>108418.31564877141</v>
      </c>
      <c r="AD299" s="6">
        <v>170978.70146551431</v>
      </c>
      <c r="AE299" s="8">
        <v>0.61195607323028955</v>
      </c>
      <c r="AF299" t="s">
        <v>880</v>
      </c>
      <c r="AI299" t="s">
        <v>38</v>
      </c>
      <c r="AJ299" s="6">
        <v>279397.01711428573</v>
      </c>
      <c r="AK299" s="6">
        <v>170978.70146551431</v>
      </c>
      <c r="AL299" t="s">
        <v>894</v>
      </c>
      <c r="AM299">
        <f t="shared" si="8"/>
        <v>279506.51</v>
      </c>
      <c r="AN299">
        <f>DealsRawTable[[#This Row],[Validated_Annual_Final_Price]]*DealsRawTable[[#This Row],[Contract_Years]]</f>
        <v>279506.51</v>
      </c>
      <c r="AO299">
        <f>DealsRawTable[[#This Row],[Validated_Annual_Final_Price]]-DealsRawTable[[#This Row],[Cost_to_Serve]]</f>
        <v>171088.19435122859</v>
      </c>
      <c r="AP299" s="17">
        <f>DealsRawTable[[#This Row],[Validated_Grossprofit]]/DealsRawTable[[#This Row],[Validated_Annual_Final_Price]]</f>
        <v>0.61210808417746188</v>
      </c>
      <c r="AQ299" s="17">
        <v>279506.51</v>
      </c>
      <c r="AR299" s="17">
        <v>279506.51</v>
      </c>
      <c r="AS299" s="17">
        <v>171088.19435122859</v>
      </c>
      <c r="AT299" s="17">
        <v>0.61210808417746188</v>
      </c>
      <c r="AU299" s="17" t="str">
        <f t="shared" si="9"/>
        <v>10–15%</v>
      </c>
      <c r="AV299" s="17">
        <v>113</v>
      </c>
      <c r="AW299" s="17"/>
    </row>
    <row r="300" spans="1:49">
      <c r="A300" t="s">
        <v>1205</v>
      </c>
      <c r="B300" s="5">
        <v>45600</v>
      </c>
      <c r="C300" t="s">
        <v>228</v>
      </c>
      <c r="D300" t="s">
        <v>229</v>
      </c>
      <c r="E300" t="s">
        <v>631</v>
      </c>
      <c r="F300" t="s">
        <v>34</v>
      </c>
      <c r="G300" t="s">
        <v>53</v>
      </c>
      <c r="H300" t="s">
        <v>48</v>
      </c>
      <c r="I300" t="s">
        <v>115</v>
      </c>
      <c r="J300" t="s">
        <v>43</v>
      </c>
      <c r="K300" t="s">
        <v>44</v>
      </c>
      <c r="L300" s="5">
        <v>45108</v>
      </c>
      <c r="M300">
        <v>68</v>
      </c>
      <c r="N300" t="s">
        <v>427</v>
      </c>
      <c r="O300" t="s">
        <v>883</v>
      </c>
      <c r="P300" t="s">
        <v>899</v>
      </c>
      <c r="Q300">
        <v>1</v>
      </c>
      <c r="R300">
        <v>1302</v>
      </c>
      <c r="S300" t="s">
        <v>896</v>
      </c>
      <c r="T300" s="6">
        <v>366816.45503893762</v>
      </c>
      <c r="U300" s="7">
        <f>T300*DealsRawTable[[#This Row],[Contract_Years]]</f>
        <v>366816.45503893762</v>
      </c>
      <c r="V300" s="8">
        <v>6.6000000000000003E-2</v>
      </c>
      <c r="W300" s="8">
        <v>4.1000000000000002E-2</v>
      </c>
      <c r="X300" s="8">
        <v>-7.9000000000000001E-2</v>
      </c>
      <c r="Y300" t="s">
        <v>885</v>
      </c>
      <c r="Z300" t="s">
        <v>879</v>
      </c>
      <c r="AA300" s="6">
        <v>351846.17766702862</v>
      </c>
      <c r="AB300" s="7">
        <f>DealsRawTable[[#This Row],[Final_Price_ACV]]*DealsRawTable[[#This Row],[Contract_Years]]</f>
        <v>351846.17766702862</v>
      </c>
      <c r="AC300" s="6">
        <v>110499.76062444114</v>
      </c>
      <c r="AD300" s="6">
        <v>241346.41704258748</v>
      </c>
      <c r="AE300" s="8">
        <v>0.68594298407012066</v>
      </c>
      <c r="AF300" t="s">
        <v>880</v>
      </c>
      <c r="AH300" t="s">
        <v>44</v>
      </c>
      <c r="AI300" t="s">
        <v>38</v>
      </c>
      <c r="AJ300" s="6">
        <v>351846.17766702862</v>
      </c>
      <c r="AK300" s="6">
        <v>241346.41704258748</v>
      </c>
      <c r="AL300" t="s">
        <v>886</v>
      </c>
      <c r="AM300">
        <f t="shared" si="8"/>
        <v>351776.98</v>
      </c>
      <c r="AN300">
        <f>DealsRawTable[[#This Row],[Validated_Annual_Final_Price]]*DealsRawTable[[#This Row],[Contract_Years]]</f>
        <v>351776.98</v>
      </c>
      <c r="AO300">
        <f>DealsRawTable[[#This Row],[Validated_Annual_Final_Price]]-DealsRawTable[[#This Row],[Cost_to_Serve]]</f>
        <v>241277.21937555884</v>
      </c>
      <c r="AP300" s="17">
        <f>DealsRawTable[[#This Row],[Validated_Grossprofit]]/DealsRawTable[[#This Row],[Validated_Annual_Final_Price]]</f>
        <v>0.68588120625618776</v>
      </c>
      <c r="AQ300" s="17">
        <v>351776.98</v>
      </c>
      <c r="AR300" s="17">
        <v>351776.98</v>
      </c>
      <c r="AS300" s="17">
        <v>241277.21937555884</v>
      </c>
      <c r="AT300" s="17">
        <v>0.68588120625618776</v>
      </c>
      <c r="AU300" s="17" t="str">
        <f t="shared" si="9"/>
        <v>0–5%</v>
      </c>
      <c r="AV300" s="17">
        <v>55</v>
      </c>
      <c r="AW300" s="17"/>
    </row>
    <row r="301" spans="1:49">
      <c r="A301" t="s">
        <v>1206</v>
      </c>
      <c r="B301" s="5">
        <v>45791</v>
      </c>
      <c r="C301" t="s">
        <v>228</v>
      </c>
      <c r="D301" t="s">
        <v>229</v>
      </c>
      <c r="E301" t="s">
        <v>631</v>
      </c>
      <c r="F301" t="s">
        <v>34</v>
      </c>
      <c r="G301" t="s">
        <v>53</v>
      </c>
      <c r="H301" t="s">
        <v>48</v>
      </c>
      <c r="I301" t="s">
        <v>115</v>
      </c>
      <c r="J301" t="s">
        <v>43</v>
      </c>
      <c r="K301" t="s">
        <v>44</v>
      </c>
      <c r="L301" s="5">
        <v>45108</v>
      </c>
      <c r="M301">
        <v>68</v>
      </c>
      <c r="N301" t="s">
        <v>427</v>
      </c>
      <c r="O301" t="s">
        <v>876</v>
      </c>
      <c r="Q301">
        <v>1</v>
      </c>
      <c r="R301">
        <v>1302</v>
      </c>
      <c r="S301" t="s">
        <v>907</v>
      </c>
      <c r="T301" s="6">
        <v>393815.98532036995</v>
      </c>
      <c r="U301" s="7">
        <f>T301*DealsRawTable[[#This Row],[Contract_Years]]</f>
        <v>393815.98532036995</v>
      </c>
      <c r="V301" s="8">
        <v>3.6999999999999998E-2</v>
      </c>
      <c r="W301" s="8">
        <v>2.8000000000000001E-2</v>
      </c>
      <c r="X301" s="8">
        <v>-5.7000000000000002E-2</v>
      </c>
      <c r="Y301" t="s">
        <v>885</v>
      </c>
      <c r="Z301" t="s">
        <v>879</v>
      </c>
      <c r="AA301" s="6">
        <v>382706.8638417442</v>
      </c>
      <c r="AB301" s="7">
        <f>DealsRawTable[[#This Row],[Final_Price_ACV]]*DealsRawTable[[#This Row],[Contract_Years]]</f>
        <v>382706.8638417442</v>
      </c>
      <c r="AC301" s="6">
        <v>119696.93812004816</v>
      </c>
      <c r="AD301" s="6">
        <v>263009.92572169605</v>
      </c>
      <c r="AE301" s="8">
        <v>0.68723597763967759</v>
      </c>
      <c r="AF301" t="s">
        <v>880</v>
      </c>
      <c r="AG301" t="s">
        <v>44</v>
      </c>
      <c r="AI301" t="s">
        <v>38</v>
      </c>
      <c r="AJ301" s="6">
        <v>382706.8638417442</v>
      </c>
      <c r="AK301" s="6">
        <v>263009.92572169605</v>
      </c>
      <c r="AL301" t="s">
        <v>881</v>
      </c>
      <c r="AM301">
        <f t="shared" si="8"/>
        <v>382789.14</v>
      </c>
      <c r="AN301">
        <f>DealsRawTable[[#This Row],[Validated_Annual_Final_Price]]*DealsRawTable[[#This Row],[Contract_Years]]</f>
        <v>382789.14</v>
      </c>
      <c r="AO301">
        <f>DealsRawTable[[#This Row],[Validated_Annual_Final_Price]]-DealsRawTable[[#This Row],[Cost_to_Serve]]</f>
        <v>263092.20187995187</v>
      </c>
      <c r="AP301" s="17">
        <f>DealsRawTable[[#This Row],[Validated_Grossprofit]]/DealsRawTable[[#This Row],[Validated_Annual_Final_Price]]</f>
        <v>0.68730320269784007</v>
      </c>
      <c r="AQ301" s="17">
        <v>382789.14</v>
      </c>
      <c r="AR301" s="17">
        <v>382789.14</v>
      </c>
      <c r="AS301" s="17">
        <v>263092.20187995187</v>
      </c>
      <c r="AT301" s="17">
        <v>0.68730320269784007</v>
      </c>
      <c r="AU301" s="17" t="str">
        <f t="shared" si="9"/>
        <v>0–5%</v>
      </c>
      <c r="AV301" s="17">
        <v>55</v>
      </c>
      <c r="AW301" s="17"/>
    </row>
    <row r="302" spans="1:49">
      <c r="A302" t="s">
        <v>1207</v>
      </c>
      <c r="B302" s="5">
        <v>45619</v>
      </c>
      <c r="C302" t="s">
        <v>230</v>
      </c>
      <c r="D302" t="s">
        <v>231</v>
      </c>
      <c r="E302" t="s">
        <v>632</v>
      </c>
      <c r="F302" t="s">
        <v>449</v>
      </c>
      <c r="G302" t="s">
        <v>47</v>
      </c>
      <c r="H302" t="s">
        <v>54</v>
      </c>
      <c r="I302" t="s">
        <v>94</v>
      </c>
      <c r="J302" t="s">
        <v>43</v>
      </c>
      <c r="K302" t="s">
        <v>44</v>
      </c>
      <c r="L302" s="5">
        <v>43313</v>
      </c>
      <c r="M302">
        <v>80</v>
      </c>
      <c r="N302" t="s">
        <v>429</v>
      </c>
      <c r="O302" t="s">
        <v>891</v>
      </c>
      <c r="Q302">
        <v>1</v>
      </c>
      <c r="R302">
        <v>612</v>
      </c>
      <c r="S302" t="s">
        <v>900</v>
      </c>
      <c r="T302" s="6">
        <v>396321.95592893352</v>
      </c>
      <c r="U302" s="7">
        <f>T302*DealsRawTable[[#This Row],[Contract_Years]]</f>
        <v>396321.95592893352</v>
      </c>
      <c r="V302" s="8">
        <v>0.11899999999999999</v>
      </c>
      <c r="W302" s="8">
        <v>0.11799999999999999</v>
      </c>
      <c r="X302" s="8">
        <v>0.10299999999999999</v>
      </c>
      <c r="Y302" t="s">
        <v>878</v>
      </c>
      <c r="Z302" t="s">
        <v>889</v>
      </c>
      <c r="AA302" s="6">
        <v>349577.02930749865</v>
      </c>
      <c r="AB302" s="7">
        <f>DealsRawTable[[#This Row],[Final_Price_ACV]]*DealsRawTable[[#This Row],[Contract_Years]]</f>
        <v>349577.02930749865</v>
      </c>
      <c r="AC302" s="6">
        <v>157241.53324918111</v>
      </c>
      <c r="AD302" s="6">
        <v>192335.49605831754</v>
      </c>
      <c r="AE302" s="8">
        <v>0.55019489249430442</v>
      </c>
      <c r="AF302" t="s">
        <v>880</v>
      </c>
      <c r="AI302" t="s">
        <v>38</v>
      </c>
      <c r="AJ302" s="6">
        <v>349577.02930749865</v>
      </c>
      <c r="AK302" s="6">
        <v>192335.49605831754</v>
      </c>
      <c r="AL302" t="s">
        <v>894</v>
      </c>
      <c r="AM302">
        <f t="shared" si="8"/>
        <v>349555.97</v>
      </c>
      <c r="AN302">
        <f>DealsRawTable[[#This Row],[Validated_Annual_Final_Price]]*DealsRawTable[[#This Row],[Contract_Years]]</f>
        <v>349555.97</v>
      </c>
      <c r="AO302">
        <f>DealsRawTable[[#This Row],[Validated_Annual_Final_Price]]-DealsRawTable[[#This Row],[Cost_to_Serve]]</f>
        <v>192314.43675081886</v>
      </c>
      <c r="AP302" s="17">
        <f>DealsRawTable[[#This Row],[Validated_Grossprofit]]/DealsRawTable[[#This Row],[Validated_Annual_Final_Price]]</f>
        <v>0.55016779358916079</v>
      </c>
      <c r="AQ302" s="17">
        <v>349555.97</v>
      </c>
      <c r="AR302" s="17">
        <v>349555.97</v>
      </c>
      <c r="AS302" s="17">
        <v>192314.43675081886</v>
      </c>
      <c r="AT302" s="17">
        <v>0.55016779358916079</v>
      </c>
      <c r="AU302" s="17" t="str">
        <f t="shared" si="9"/>
        <v>10–15%</v>
      </c>
      <c r="AV302" s="17">
        <v>113</v>
      </c>
      <c r="AW302" s="17"/>
    </row>
    <row r="303" spans="1:49">
      <c r="A303" t="s">
        <v>1208</v>
      </c>
      <c r="B303" s="5">
        <v>45984</v>
      </c>
      <c r="C303" t="s">
        <v>230</v>
      </c>
      <c r="D303" t="s">
        <v>231</v>
      </c>
      <c r="E303" t="s">
        <v>632</v>
      </c>
      <c r="F303" t="s">
        <v>449</v>
      </c>
      <c r="G303" t="s">
        <v>47</v>
      </c>
      <c r="H303" t="s">
        <v>54</v>
      </c>
      <c r="I303" t="s">
        <v>94</v>
      </c>
      <c r="J303" t="s">
        <v>43</v>
      </c>
      <c r="K303" t="s">
        <v>44</v>
      </c>
      <c r="L303" s="5">
        <v>43313</v>
      </c>
      <c r="M303">
        <v>80</v>
      </c>
      <c r="N303" t="s">
        <v>429</v>
      </c>
      <c r="O303" t="s">
        <v>876</v>
      </c>
      <c r="Q303">
        <v>1</v>
      </c>
      <c r="R303">
        <v>612</v>
      </c>
      <c r="S303" t="s">
        <v>900</v>
      </c>
      <c r="T303" s="6">
        <v>422695.96339347382</v>
      </c>
      <c r="U303" s="7">
        <f>T303*DealsRawTable[[#This Row],[Contract_Years]]</f>
        <v>422695.96339347382</v>
      </c>
      <c r="V303" s="8">
        <v>0.14199999999999999</v>
      </c>
      <c r="W303" s="8">
        <v>0.14199999999999999</v>
      </c>
      <c r="X303" s="8">
        <v>-0.17599999999999999</v>
      </c>
      <c r="Y303" t="s">
        <v>911</v>
      </c>
      <c r="Z303" t="s">
        <v>889</v>
      </c>
      <c r="AA303" s="6">
        <v>362819.94503048342</v>
      </c>
      <c r="AB303" s="7">
        <f>DealsRawTable[[#This Row],[Final_Price_ACV]]*DealsRawTable[[#This Row],[Contract_Years]]</f>
        <v>362819.94503048342</v>
      </c>
      <c r="AC303" s="6">
        <v>155993.85012984124</v>
      </c>
      <c r="AD303" s="6">
        <v>206826.09490064217</v>
      </c>
      <c r="AE303" s="8">
        <v>0.57005161302051643</v>
      </c>
      <c r="AF303" t="s">
        <v>880</v>
      </c>
      <c r="AG303" t="s">
        <v>44</v>
      </c>
      <c r="AI303" t="s">
        <v>38</v>
      </c>
      <c r="AJ303" s="6">
        <v>362819.94503048342</v>
      </c>
      <c r="AK303" s="6">
        <v>206826.09490064217</v>
      </c>
      <c r="AL303" t="s">
        <v>881</v>
      </c>
      <c r="AM303">
        <f t="shared" si="8"/>
        <v>362673.14</v>
      </c>
      <c r="AN303">
        <f>DealsRawTable[[#This Row],[Validated_Annual_Final_Price]]*DealsRawTable[[#This Row],[Contract_Years]]</f>
        <v>362673.14</v>
      </c>
      <c r="AO303">
        <f>DealsRawTable[[#This Row],[Validated_Annual_Final_Price]]-DealsRawTable[[#This Row],[Cost_to_Serve]]</f>
        <v>206679.28987015877</v>
      </c>
      <c r="AP303" s="17">
        <f>DealsRawTable[[#This Row],[Validated_Grossprofit]]/DealsRawTable[[#This Row],[Validated_Annual_Final_Price]]</f>
        <v>0.56987757590804422</v>
      </c>
      <c r="AQ303" s="17">
        <v>362673.14</v>
      </c>
      <c r="AR303" s="17">
        <v>362673.14</v>
      </c>
      <c r="AS303" s="17">
        <v>206679.28987015877</v>
      </c>
      <c r="AT303" s="17">
        <v>0.56987757590804422</v>
      </c>
      <c r="AU303" s="17" t="str">
        <f t="shared" si="9"/>
        <v>10–15%</v>
      </c>
      <c r="AV303" s="17">
        <v>113</v>
      </c>
      <c r="AW303" s="17"/>
    </row>
    <row r="304" spans="1:49">
      <c r="A304" t="s">
        <v>1209</v>
      </c>
      <c r="B304" s="5">
        <v>45740</v>
      </c>
      <c r="C304" t="s">
        <v>230</v>
      </c>
      <c r="D304" t="s">
        <v>231</v>
      </c>
      <c r="E304" t="s">
        <v>633</v>
      </c>
      <c r="F304" t="s">
        <v>449</v>
      </c>
      <c r="G304" t="s">
        <v>47</v>
      </c>
      <c r="H304" t="s">
        <v>54</v>
      </c>
      <c r="I304" t="s">
        <v>94</v>
      </c>
      <c r="J304" t="s">
        <v>43</v>
      </c>
      <c r="K304" t="s">
        <v>44</v>
      </c>
      <c r="L304" s="5">
        <v>43313</v>
      </c>
      <c r="M304">
        <v>80</v>
      </c>
      <c r="N304" t="s">
        <v>424</v>
      </c>
      <c r="O304" t="s">
        <v>891</v>
      </c>
      <c r="Q304">
        <v>3</v>
      </c>
      <c r="R304">
        <v>302</v>
      </c>
      <c r="S304" t="s">
        <v>947</v>
      </c>
      <c r="T304" s="6">
        <v>198248.36265673506</v>
      </c>
      <c r="U304" s="7">
        <f>T304*DealsRawTable[[#This Row],[Contract_Years]]</f>
        <v>594745.08797020512</v>
      </c>
      <c r="V304" s="8">
        <v>0.127</v>
      </c>
      <c r="W304" s="8">
        <v>6.7000000000000004E-2</v>
      </c>
      <c r="X304" s="8">
        <v>2.5999999999999999E-2</v>
      </c>
      <c r="Y304" t="s">
        <v>902</v>
      </c>
      <c r="Z304" t="s">
        <v>879</v>
      </c>
      <c r="AA304" s="6">
        <v>184998.21850863067</v>
      </c>
      <c r="AB304" s="7">
        <f>DealsRawTable[[#This Row],[Final_Price_ACV]]*DealsRawTable[[#This Row],[Contract_Years]]</f>
        <v>554994.65552589204</v>
      </c>
      <c r="AC304" s="6">
        <v>63268.443895859506</v>
      </c>
      <c r="AD304" s="6">
        <v>121729.77461277117</v>
      </c>
      <c r="AE304" s="8">
        <v>0.65800511807140538</v>
      </c>
      <c r="AF304" t="s">
        <v>880</v>
      </c>
      <c r="AI304" t="s">
        <v>38</v>
      </c>
      <c r="AJ304" s="6">
        <v>184998.21850863067</v>
      </c>
      <c r="AK304" s="6">
        <v>121729.77461277117</v>
      </c>
      <c r="AL304" t="s">
        <v>894</v>
      </c>
      <c r="AM304">
        <f t="shared" si="8"/>
        <v>184965.72</v>
      </c>
      <c r="AN304">
        <f>DealsRawTable[[#This Row],[Validated_Annual_Final_Price]]*DealsRawTable[[#This Row],[Contract_Years]]</f>
        <v>554897.16</v>
      </c>
      <c r="AO304">
        <f>DealsRawTable[[#This Row],[Validated_Annual_Final_Price]]-DealsRawTable[[#This Row],[Cost_to_Serve]]</f>
        <v>121697.2761041405</v>
      </c>
      <c r="AP304" s="17">
        <f>DealsRawTable[[#This Row],[Validated_Grossprofit]]/DealsRawTable[[#This Row],[Validated_Annual_Final_Price]]</f>
        <v>0.65794502951217393</v>
      </c>
      <c r="AQ304" s="17">
        <v>184965.72</v>
      </c>
      <c r="AR304" s="17">
        <v>554897.16</v>
      </c>
      <c r="AS304" s="17">
        <v>121697.2761041405</v>
      </c>
      <c r="AT304" s="17">
        <v>0.65794502951217393</v>
      </c>
      <c r="AU304" s="17" t="str">
        <f t="shared" si="9"/>
        <v>5–10%</v>
      </c>
      <c r="AV304" s="17">
        <v>116</v>
      </c>
      <c r="AW304" s="17"/>
    </row>
    <row r="305" spans="1:49">
      <c r="A305" t="s">
        <v>1210</v>
      </c>
      <c r="B305" s="5">
        <v>45551</v>
      </c>
      <c r="C305" t="s">
        <v>232</v>
      </c>
      <c r="D305" t="s">
        <v>233</v>
      </c>
      <c r="E305" t="s">
        <v>634</v>
      </c>
      <c r="F305" t="s">
        <v>449</v>
      </c>
      <c r="G305" t="s">
        <v>53</v>
      </c>
      <c r="H305" t="s">
        <v>48</v>
      </c>
      <c r="I305" t="s">
        <v>115</v>
      </c>
      <c r="J305" t="s">
        <v>43</v>
      </c>
      <c r="K305" t="s">
        <v>44</v>
      </c>
      <c r="L305" s="5">
        <v>44562</v>
      </c>
      <c r="M305">
        <v>77</v>
      </c>
      <c r="N305" t="s">
        <v>429</v>
      </c>
      <c r="O305" t="s">
        <v>876</v>
      </c>
      <c r="Q305">
        <v>1</v>
      </c>
      <c r="R305">
        <v>1106</v>
      </c>
      <c r="S305" t="s">
        <v>896</v>
      </c>
      <c r="T305" s="6">
        <v>516221.24923804338</v>
      </c>
      <c r="U305" s="7">
        <f>T305*DealsRawTable[[#This Row],[Contract_Years]]</f>
        <v>516221.24923804338</v>
      </c>
      <c r="V305" s="8">
        <v>0.23599999999999999</v>
      </c>
      <c r="W305" s="8">
        <v>0.214</v>
      </c>
      <c r="X305" s="8">
        <v>-3.4000000000000002E-2</v>
      </c>
      <c r="Y305" t="s">
        <v>885</v>
      </c>
      <c r="Z305" t="s">
        <v>893</v>
      </c>
      <c r="AA305" s="6">
        <v>405599.85096418508</v>
      </c>
      <c r="AB305" s="7">
        <f>DealsRawTable[[#This Row],[Final_Price_ACV]]*DealsRawTable[[#This Row],[Contract_Years]]</f>
        <v>405599.85096418508</v>
      </c>
      <c r="AC305" s="6">
        <v>179579.50551064685</v>
      </c>
      <c r="AD305" s="6">
        <v>226020.34545353823</v>
      </c>
      <c r="AE305" s="8">
        <v>0.55724957717870582</v>
      </c>
      <c r="AF305" t="s">
        <v>457</v>
      </c>
      <c r="AG305" t="s">
        <v>38</v>
      </c>
      <c r="AI305" t="s">
        <v>38</v>
      </c>
      <c r="AJ305" s="6">
        <v>0</v>
      </c>
      <c r="AK305" s="6">
        <v>0</v>
      </c>
      <c r="AL305" t="s">
        <v>881</v>
      </c>
      <c r="AM305">
        <f t="shared" si="8"/>
        <v>405749.9</v>
      </c>
      <c r="AN305">
        <f>DealsRawTable[[#This Row],[Validated_Annual_Final_Price]]*DealsRawTable[[#This Row],[Contract_Years]]</f>
        <v>405749.9</v>
      </c>
      <c r="AO305">
        <f>DealsRawTable[[#This Row],[Validated_Annual_Final_Price]]-DealsRawTable[[#This Row],[Cost_to_Serve]]</f>
        <v>226170.39448935317</v>
      </c>
      <c r="AP305" s="17">
        <f>DealsRawTable[[#This Row],[Validated_Grossprofit]]/DealsRawTable[[#This Row],[Validated_Annual_Final_Price]]</f>
        <v>0.55741330925615307</v>
      </c>
      <c r="AQ305" s="17">
        <v>0</v>
      </c>
      <c r="AR305" s="17">
        <v>0</v>
      </c>
      <c r="AS305" s="17">
        <v>0</v>
      </c>
      <c r="AT305" s="17">
        <v>0</v>
      </c>
      <c r="AU305" s="17" t="str">
        <f t="shared" si="9"/>
        <v>20–25%</v>
      </c>
      <c r="AV305" s="17">
        <v>29</v>
      </c>
      <c r="AW305" s="17"/>
    </row>
    <row r="306" spans="1:49">
      <c r="A306" t="s">
        <v>1211</v>
      </c>
      <c r="B306" s="5">
        <v>45785</v>
      </c>
      <c r="C306" t="s">
        <v>232</v>
      </c>
      <c r="D306" t="s">
        <v>233</v>
      </c>
      <c r="E306" t="s">
        <v>634</v>
      </c>
      <c r="F306" t="s">
        <v>449</v>
      </c>
      <c r="G306" t="s">
        <v>53</v>
      </c>
      <c r="H306" t="s">
        <v>48</v>
      </c>
      <c r="I306" t="s">
        <v>115</v>
      </c>
      <c r="J306" t="s">
        <v>43</v>
      </c>
      <c r="K306" t="s">
        <v>44</v>
      </c>
      <c r="L306" s="5">
        <v>44562</v>
      </c>
      <c r="M306">
        <v>77</v>
      </c>
      <c r="N306" t="s">
        <v>429</v>
      </c>
      <c r="O306" t="s">
        <v>915</v>
      </c>
      <c r="Q306">
        <v>1</v>
      </c>
      <c r="R306">
        <v>1106</v>
      </c>
      <c r="S306" t="s">
        <v>888</v>
      </c>
      <c r="T306" s="6">
        <v>516221.24923804338</v>
      </c>
      <c r="U306" s="7">
        <f>T306*DealsRawTable[[#This Row],[Contract_Years]]</f>
        <v>516221.24923804338</v>
      </c>
      <c r="V306" s="8">
        <v>0.20300000000000001</v>
      </c>
      <c r="W306" s="8">
        <v>0.184</v>
      </c>
      <c r="X306" s="8">
        <v>-8.7999999999999995E-2</v>
      </c>
      <c r="Y306" t="s">
        <v>878</v>
      </c>
      <c r="Z306" t="s">
        <v>889</v>
      </c>
      <c r="AA306" s="6">
        <v>421001.26333770953</v>
      </c>
      <c r="AB306" s="7">
        <f>DealsRawTable[[#This Row],[Final_Price_ACV]]*DealsRawTable[[#This Row],[Contract_Years]]</f>
        <v>421001.26333770953</v>
      </c>
      <c r="AC306" s="6">
        <v>172014.60387831461</v>
      </c>
      <c r="AD306" s="6">
        <v>248986.65945939493</v>
      </c>
      <c r="AE306" s="8">
        <v>0.59141546865066841</v>
      </c>
      <c r="AF306" t="s">
        <v>457</v>
      </c>
      <c r="AI306" t="s">
        <v>44</v>
      </c>
      <c r="AJ306" s="6">
        <v>0</v>
      </c>
      <c r="AK306" s="6">
        <v>0</v>
      </c>
      <c r="AL306" t="s">
        <v>916</v>
      </c>
      <c r="AM306">
        <f t="shared" si="8"/>
        <v>421236.54</v>
      </c>
      <c r="AN306">
        <f>DealsRawTable[[#This Row],[Validated_Annual_Final_Price]]*DealsRawTable[[#This Row],[Contract_Years]]</f>
        <v>421236.54</v>
      </c>
      <c r="AO306">
        <f>DealsRawTable[[#This Row],[Validated_Annual_Final_Price]]-DealsRawTable[[#This Row],[Cost_to_Serve]]</f>
        <v>249221.93612168537</v>
      </c>
      <c r="AP306" s="17">
        <f>DealsRawTable[[#This Row],[Validated_Grossprofit]]/DealsRawTable[[#This Row],[Validated_Annual_Final_Price]]</f>
        <v>0.59164367868391798</v>
      </c>
      <c r="AQ306" s="17">
        <v>0</v>
      </c>
      <c r="AR306" s="17">
        <v>0</v>
      </c>
      <c r="AS306" s="17">
        <v>0</v>
      </c>
      <c r="AT306" s="17">
        <v>0</v>
      </c>
      <c r="AU306" s="17" t="str">
        <f t="shared" si="9"/>
        <v>15–20%</v>
      </c>
      <c r="AV306" s="17">
        <v>108</v>
      </c>
      <c r="AW306" s="17"/>
    </row>
    <row r="307" spans="1:49">
      <c r="A307" t="s">
        <v>1212</v>
      </c>
      <c r="B307" s="5">
        <v>45470</v>
      </c>
      <c r="C307" t="s">
        <v>234</v>
      </c>
      <c r="D307" t="s">
        <v>235</v>
      </c>
      <c r="E307" t="s">
        <v>636</v>
      </c>
      <c r="F307" t="s">
        <v>47</v>
      </c>
      <c r="G307" t="s">
        <v>34</v>
      </c>
      <c r="H307" t="s">
        <v>70</v>
      </c>
      <c r="I307" t="s">
        <v>71</v>
      </c>
      <c r="J307" t="s">
        <v>56</v>
      </c>
      <c r="K307" t="s">
        <v>38</v>
      </c>
      <c r="L307" s="5">
        <v>44256</v>
      </c>
      <c r="M307">
        <v>66</v>
      </c>
      <c r="N307" t="s">
        <v>433</v>
      </c>
      <c r="O307" t="s">
        <v>891</v>
      </c>
      <c r="Q307">
        <v>1</v>
      </c>
      <c r="R307">
        <v>68</v>
      </c>
      <c r="S307" t="s">
        <v>907</v>
      </c>
      <c r="T307" s="6">
        <v>254306.98126319313</v>
      </c>
      <c r="U307" s="7">
        <f>T307*DealsRawTable[[#This Row],[Contract_Years]]</f>
        <v>254306.98126319313</v>
      </c>
      <c r="V307" s="8">
        <v>0.20399999999999999</v>
      </c>
      <c r="W307" s="8">
        <v>0.19400000000000001</v>
      </c>
      <c r="X307" s="8">
        <v>4.1000000000000002E-2</v>
      </c>
      <c r="Y307" t="s">
        <v>902</v>
      </c>
      <c r="Z307" t="s">
        <v>889</v>
      </c>
      <c r="AA307" s="6">
        <v>204909.21740838143</v>
      </c>
      <c r="AB307" s="7">
        <f>DealsRawTable[[#This Row],[Final_Price_ACV]]*DealsRawTable[[#This Row],[Contract_Years]]</f>
        <v>204909.21740838143</v>
      </c>
      <c r="AC307" s="6">
        <v>98465.487728452514</v>
      </c>
      <c r="AD307" s="6">
        <v>106443.72967992892</v>
      </c>
      <c r="AE307" s="8">
        <v>0.51946774784556393</v>
      </c>
      <c r="AF307" t="s">
        <v>880</v>
      </c>
      <c r="AI307" t="s">
        <v>38</v>
      </c>
      <c r="AJ307" s="6">
        <v>204909.21740838143</v>
      </c>
      <c r="AK307" s="6">
        <v>106443.72967992892</v>
      </c>
      <c r="AL307" t="s">
        <v>894</v>
      </c>
      <c r="AM307">
        <f t="shared" si="8"/>
        <v>204971.43</v>
      </c>
      <c r="AN307">
        <f>DealsRawTable[[#This Row],[Validated_Annual_Final_Price]]*DealsRawTable[[#This Row],[Contract_Years]]</f>
        <v>204971.43</v>
      </c>
      <c r="AO307">
        <f>DealsRawTable[[#This Row],[Validated_Annual_Final_Price]]-DealsRawTable[[#This Row],[Cost_to_Serve]]</f>
        <v>106505.94227154748</v>
      </c>
      <c r="AP307" s="17">
        <f>DealsRawTable[[#This Row],[Validated_Grossprofit]]/DealsRawTable[[#This Row],[Validated_Annual_Final_Price]]</f>
        <v>0.51961359820511321</v>
      </c>
      <c r="AQ307" s="17">
        <v>204971.43</v>
      </c>
      <c r="AR307" s="17">
        <v>204971.43</v>
      </c>
      <c r="AS307" s="17">
        <v>106505.94227154748</v>
      </c>
      <c r="AT307" s="17">
        <v>0.51961359820511321</v>
      </c>
      <c r="AU307" s="17" t="str">
        <f t="shared" si="9"/>
        <v>15–20%</v>
      </c>
      <c r="AV307" s="17">
        <v>108</v>
      </c>
      <c r="AW307" s="17"/>
    </row>
    <row r="308" spans="1:49">
      <c r="A308" t="s">
        <v>1213</v>
      </c>
      <c r="B308" s="5">
        <v>45835</v>
      </c>
      <c r="C308" t="s">
        <v>234</v>
      </c>
      <c r="D308" t="s">
        <v>235</v>
      </c>
      <c r="E308" t="s">
        <v>636</v>
      </c>
      <c r="F308" t="s">
        <v>47</v>
      </c>
      <c r="G308" t="s">
        <v>34</v>
      </c>
      <c r="H308" t="s">
        <v>70</v>
      </c>
      <c r="I308" t="s">
        <v>71</v>
      </c>
      <c r="J308" t="s">
        <v>56</v>
      </c>
      <c r="K308" t="s">
        <v>38</v>
      </c>
      <c r="L308" s="5">
        <v>44256</v>
      </c>
      <c r="M308">
        <v>66</v>
      </c>
      <c r="N308" t="s">
        <v>433</v>
      </c>
      <c r="O308" t="s">
        <v>876</v>
      </c>
      <c r="Q308">
        <v>1</v>
      </c>
      <c r="R308">
        <v>68</v>
      </c>
      <c r="S308" t="s">
        <v>900</v>
      </c>
      <c r="T308" s="6">
        <v>271454.68894143734</v>
      </c>
      <c r="U308" s="7">
        <f>T308*DealsRawTable[[#This Row],[Contract_Years]]</f>
        <v>271454.68894143734</v>
      </c>
      <c r="V308" s="8">
        <v>8.3000000000000004E-2</v>
      </c>
      <c r="W308" s="8">
        <v>7.9000000000000001E-2</v>
      </c>
      <c r="X308" s="8">
        <v>4.7E-2</v>
      </c>
      <c r="Y308" t="s">
        <v>905</v>
      </c>
      <c r="Z308" t="s">
        <v>879</v>
      </c>
      <c r="AA308" s="6">
        <v>250058.43261183472</v>
      </c>
      <c r="AB308" s="7">
        <f>DealsRawTable[[#This Row],[Final_Price_ACV]]*DealsRawTable[[#This Row],[Contract_Years]]</f>
        <v>250058.43261183472</v>
      </c>
      <c r="AC308" s="6">
        <v>100761.30074308231</v>
      </c>
      <c r="AD308" s="6">
        <v>149297.13186875242</v>
      </c>
      <c r="AE308" s="8">
        <v>0.59704897895007647</v>
      </c>
      <c r="AF308" t="s">
        <v>457</v>
      </c>
      <c r="AG308" t="s">
        <v>38</v>
      </c>
      <c r="AI308" t="s">
        <v>38</v>
      </c>
      <c r="AJ308" s="6">
        <v>0</v>
      </c>
      <c r="AK308" s="6">
        <v>0</v>
      </c>
      <c r="AL308" t="s">
        <v>881</v>
      </c>
      <c r="AM308">
        <f t="shared" si="8"/>
        <v>250009.77</v>
      </c>
      <c r="AN308">
        <f>DealsRawTable[[#This Row],[Validated_Annual_Final_Price]]*DealsRawTable[[#This Row],[Contract_Years]]</f>
        <v>250009.77</v>
      </c>
      <c r="AO308">
        <f>DealsRawTable[[#This Row],[Validated_Annual_Final_Price]]-DealsRawTable[[#This Row],[Cost_to_Serve]]</f>
        <v>149248.46925691768</v>
      </c>
      <c r="AP308" s="17">
        <f>DealsRawTable[[#This Row],[Validated_Grossprofit]]/DealsRawTable[[#This Row],[Validated_Annual_Final_Price]]</f>
        <v>0.59697054741867761</v>
      </c>
      <c r="AQ308" s="17">
        <v>0</v>
      </c>
      <c r="AR308" s="17">
        <v>0</v>
      </c>
      <c r="AS308" s="17">
        <v>0</v>
      </c>
      <c r="AT308" s="17">
        <v>0</v>
      </c>
      <c r="AU308" s="17" t="str">
        <f t="shared" si="9"/>
        <v>5–10%</v>
      </c>
      <c r="AV308" s="17">
        <v>116</v>
      </c>
      <c r="AW308" s="17"/>
    </row>
    <row r="309" spans="1:49">
      <c r="A309" t="s">
        <v>1214</v>
      </c>
      <c r="B309" s="5">
        <v>45923</v>
      </c>
      <c r="C309" t="s">
        <v>234</v>
      </c>
      <c r="D309" t="s">
        <v>235</v>
      </c>
      <c r="E309" t="s">
        <v>637</v>
      </c>
      <c r="F309" t="s">
        <v>47</v>
      </c>
      <c r="G309" t="s">
        <v>34</v>
      </c>
      <c r="H309" t="s">
        <v>70</v>
      </c>
      <c r="I309" t="s">
        <v>71</v>
      </c>
      <c r="J309" t="s">
        <v>56</v>
      </c>
      <c r="K309" t="s">
        <v>38</v>
      </c>
      <c r="L309" s="5">
        <v>44256</v>
      </c>
      <c r="M309">
        <v>66</v>
      </c>
      <c r="N309" t="s">
        <v>427</v>
      </c>
      <c r="O309" t="s">
        <v>876</v>
      </c>
      <c r="Q309">
        <v>2</v>
      </c>
      <c r="R309">
        <v>216</v>
      </c>
      <c r="S309" t="s">
        <v>892</v>
      </c>
      <c r="T309" s="6">
        <v>103975.08923241214</v>
      </c>
      <c r="U309" s="7">
        <f>T309*DealsRawTable[[#This Row],[Contract_Years]]</f>
        <v>207950.17846482428</v>
      </c>
      <c r="V309" s="8">
        <v>0.158</v>
      </c>
      <c r="W309" s="8">
        <v>0.128</v>
      </c>
      <c r="X309" s="8">
        <v>-5.3999999999999999E-2</v>
      </c>
      <c r="Y309" t="s">
        <v>885</v>
      </c>
      <c r="Z309" t="s">
        <v>889</v>
      </c>
      <c r="AA309" s="6">
        <v>90711.180627595488</v>
      </c>
      <c r="AB309" s="7">
        <f>DealsRawTable[[#This Row],[Final_Price_ACV]]*DealsRawTable[[#This Row],[Contract_Years]]</f>
        <v>181422.36125519098</v>
      </c>
      <c r="AC309" s="6">
        <v>32214.140110320193</v>
      </c>
      <c r="AD309" s="6">
        <v>58497.040517275294</v>
      </c>
      <c r="AE309" s="8">
        <v>0.64487133904064475</v>
      </c>
      <c r="AF309" t="s">
        <v>880</v>
      </c>
      <c r="AG309" t="s">
        <v>44</v>
      </c>
      <c r="AI309" t="s">
        <v>38</v>
      </c>
      <c r="AJ309" s="6">
        <v>90711.180627595488</v>
      </c>
      <c r="AK309" s="6">
        <v>58497.040517275294</v>
      </c>
      <c r="AL309" t="s">
        <v>881</v>
      </c>
      <c r="AM309">
        <f t="shared" si="8"/>
        <v>90666.28</v>
      </c>
      <c r="AN309">
        <f>DealsRawTable[[#This Row],[Validated_Annual_Final_Price]]*DealsRawTable[[#This Row],[Contract_Years]]</f>
        <v>181332.56</v>
      </c>
      <c r="AO309">
        <f>DealsRawTable[[#This Row],[Validated_Annual_Final_Price]]-DealsRawTable[[#This Row],[Cost_to_Serve]]</f>
        <v>58452.139889679805</v>
      </c>
      <c r="AP309" s="17">
        <f>DealsRawTable[[#This Row],[Validated_Grossprofit]]/DealsRawTable[[#This Row],[Validated_Annual_Final_Price]]</f>
        <v>0.64469546880802664</v>
      </c>
      <c r="AQ309" s="17">
        <v>90666.28</v>
      </c>
      <c r="AR309" s="17">
        <v>181332.56</v>
      </c>
      <c r="AS309" s="17">
        <v>58452.139889679805</v>
      </c>
      <c r="AT309" s="17">
        <v>0.64469546880802664</v>
      </c>
      <c r="AU309" s="17" t="str">
        <f t="shared" si="9"/>
        <v>10–15%</v>
      </c>
      <c r="AV309" s="17">
        <v>113</v>
      </c>
      <c r="AW309" s="17"/>
    </row>
    <row r="310" spans="1:49">
      <c r="A310" t="s">
        <v>1215</v>
      </c>
      <c r="B310" s="5">
        <v>45357</v>
      </c>
      <c r="C310" t="s">
        <v>236</v>
      </c>
      <c r="D310" t="s">
        <v>237</v>
      </c>
      <c r="E310" t="s">
        <v>638</v>
      </c>
      <c r="F310" t="s">
        <v>34</v>
      </c>
      <c r="G310" t="s">
        <v>83</v>
      </c>
      <c r="H310" t="s">
        <v>48</v>
      </c>
      <c r="I310" t="s">
        <v>49</v>
      </c>
      <c r="J310" t="s">
        <v>37</v>
      </c>
      <c r="K310" t="s">
        <v>38</v>
      </c>
      <c r="L310" s="5">
        <v>44986</v>
      </c>
      <c r="M310">
        <v>59</v>
      </c>
      <c r="N310" t="s">
        <v>424</v>
      </c>
      <c r="O310" t="s">
        <v>876</v>
      </c>
      <c r="Q310">
        <v>1</v>
      </c>
      <c r="R310">
        <v>54</v>
      </c>
      <c r="S310" t="s">
        <v>932</v>
      </c>
      <c r="T310" s="6">
        <v>29885.597978210953</v>
      </c>
      <c r="U310" s="7">
        <f>T310*DealsRawTable[[#This Row],[Contract_Years]]</f>
        <v>29885.597978210953</v>
      </c>
      <c r="V310" s="8">
        <v>0.17199999999999999</v>
      </c>
      <c r="W310" s="8">
        <v>0.16800000000000001</v>
      </c>
      <c r="X310" s="8">
        <v>-2.3E-2</v>
      </c>
      <c r="Y310" t="s">
        <v>878</v>
      </c>
      <c r="Z310" t="s">
        <v>889</v>
      </c>
      <c r="AA310" s="6">
        <v>24855.929909837127</v>
      </c>
      <c r="AB310" s="7">
        <f>DealsRawTable[[#This Row],[Final_Price_ACV]]*DealsRawTable[[#This Row],[Contract_Years]]</f>
        <v>24855.929909837127</v>
      </c>
      <c r="AC310" s="6">
        <v>8493.5725355213526</v>
      </c>
      <c r="AD310" s="6">
        <v>16362.357374315774</v>
      </c>
      <c r="AE310" s="8">
        <v>0.65828787873432615</v>
      </c>
      <c r="AF310" t="s">
        <v>457</v>
      </c>
      <c r="AG310" t="s">
        <v>38</v>
      </c>
      <c r="AI310" t="s">
        <v>38</v>
      </c>
      <c r="AJ310" s="6">
        <v>0</v>
      </c>
      <c r="AK310" s="6">
        <v>0</v>
      </c>
      <c r="AL310" t="s">
        <v>881</v>
      </c>
      <c r="AM310">
        <f t="shared" si="8"/>
        <v>24864.82</v>
      </c>
      <c r="AN310">
        <f>DealsRawTable[[#This Row],[Validated_Annual_Final_Price]]*DealsRawTable[[#This Row],[Contract_Years]]</f>
        <v>24864.82</v>
      </c>
      <c r="AO310">
        <f>DealsRawTable[[#This Row],[Validated_Annual_Final_Price]]-DealsRawTable[[#This Row],[Cost_to_Serve]]</f>
        <v>16371.247464478647</v>
      </c>
      <c r="AP310" s="17">
        <f>DealsRawTable[[#This Row],[Validated_Grossprofit]]/DealsRawTable[[#This Row],[Validated_Annual_Final_Price]]</f>
        <v>0.65841005341999848</v>
      </c>
      <c r="AQ310" s="17">
        <v>0</v>
      </c>
      <c r="AR310" s="17">
        <v>0</v>
      </c>
      <c r="AS310" s="17">
        <v>0</v>
      </c>
      <c r="AT310" s="17">
        <v>0</v>
      </c>
      <c r="AU310" s="17" t="str">
        <f t="shared" si="9"/>
        <v>15–20%</v>
      </c>
      <c r="AV310" s="17">
        <v>108</v>
      </c>
      <c r="AW310" s="17"/>
    </row>
    <row r="311" spans="1:49">
      <c r="A311" t="s">
        <v>1216</v>
      </c>
      <c r="B311" s="5">
        <v>45454</v>
      </c>
      <c r="C311" t="s">
        <v>236</v>
      </c>
      <c r="D311" t="s">
        <v>237</v>
      </c>
      <c r="E311" t="s">
        <v>639</v>
      </c>
      <c r="F311" t="s">
        <v>445</v>
      </c>
      <c r="G311" t="s">
        <v>83</v>
      </c>
      <c r="H311" t="s">
        <v>48</v>
      </c>
      <c r="I311" t="s">
        <v>49</v>
      </c>
      <c r="J311" t="s">
        <v>37</v>
      </c>
      <c r="K311" t="s">
        <v>38</v>
      </c>
      <c r="L311" s="5">
        <v>44986</v>
      </c>
      <c r="M311">
        <v>59</v>
      </c>
      <c r="N311" t="s">
        <v>424</v>
      </c>
      <c r="O311" t="s">
        <v>876</v>
      </c>
      <c r="Q311">
        <v>1</v>
      </c>
      <c r="R311">
        <v>56</v>
      </c>
      <c r="S311" t="s">
        <v>947</v>
      </c>
      <c r="T311" s="6">
        <v>26012.396162641402</v>
      </c>
      <c r="U311" s="7">
        <f>T311*DealsRawTable[[#This Row],[Contract_Years]]</f>
        <v>26012.396162641402</v>
      </c>
      <c r="V311" s="8">
        <v>0.16800000000000001</v>
      </c>
      <c r="W311" s="8">
        <v>0.14099999999999999</v>
      </c>
      <c r="X311" s="8">
        <v>-7.5999999999999998E-2</v>
      </c>
      <c r="Y311" t="s">
        <v>878</v>
      </c>
      <c r="Z311" t="s">
        <v>889</v>
      </c>
      <c r="AA311" s="6">
        <v>22355.162768383059</v>
      </c>
      <c r="AB311" s="7">
        <f>DealsRawTable[[#This Row],[Final_Price_ACV]]*DealsRawTable[[#This Row],[Contract_Years]]</f>
        <v>22355.162768383059</v>
      </c>
      <c r="AC311" s="6">
        <v>7317.077748232472</v>
      </c>
      <c r="AD311" s="6">
        <v>15038.085020150587</v>
      </c>
      <c r="AE311" s="8">
        <v>0.67268957850841393</v>
      </c>
      <c r="AF311" t="s">
        <v>880</v>
      </c>
      <c r="AG311" t="s">
        <v>44</v>
      </c>
      <c r="AI311" t="s">
        <v>38</v>
      </c>
      <c r="AJ311" s="6">
        <v>22355.162768383059</v>
      </c>
      <c r="AK311" s="6">
        <v>15038.085020150587</v>
      </c>
      <c r="AL311" t="s">
        <v>881</v>
      </c>
      <c r="AM311">
        <f t="shared" si="8"/>
        <v>22344.65</v>
      </c>
      <c r="AN311">
        <f>DealsRawTable[[#This Row],[Validated_Annual_Final_Price]]*DealsRawTable[[#This Row],[Contract_Years]]</f>
        <v>22344.65</v>
      </c>
      <c r="AO311">
        <f>DealsRawTable[[#This Row],[Validated_Annual_Final_Price]]-DealsRawTable[[#This Row],[Cost_to_Serve]]</f>
        <v>15027.572251767529</v>
      </c>
      <c r="AP311" s="17">
        <f>DealsRawTable[[#This Row],[Validated_Grossprofit]]/DealsRawTable[[#This Row],[Validated_Annual_Final_Price]]</f>
        <v>0.67253558465975205</v>
      </c>
      <c r="AQ311" s="17">
        <v>22344.65</v>
      </c>
      <c r="AR311" s="17">
        <v>22344.65</v>
      </c>
      <c r="AS311" s="17">
        <v>15027.572251767529</v>
      </c>
      <c r="AT311" s="17">
        <v>0.67253558465975205</v>
      </c>
      <c r="AU311" s="17" t="str">
        <f t="shared" si="9"/>
        <v>10–15%</v>
      </c>
      <c r="AV311" s="17">
        <v>113</v>
      </c>
      <c r="AW311" s="17"/>
    </row>
    <row r="312" spans="1:49">
      <c r="A312" t="s">
        <v>1217</v>
      </c>
      <c r="B312" s="5">
        <v>45819</v>
      </c>
      <c r="C312" t="s">
        <v>236</v>
      </c>
      <c r="D312" t="s">
        <v>237</v>
      </c>
      <c r="E312" t="s">
        <v>639</v>
      </c>
      <c r="F312" t="s">
        <v>445</v>
      </c>
      <c r="G312" t="s">
        <v>83</v>
      </c>
      <c r="H312" t="s">
        <v>48</v>
      </c>
      <c r="I312" t="s">
        <v>49</v>
      </c>
      <c r="J312" t="s">
        <v>37</v>
      </c>
      <c r="K312" t="s">
        <v>38</v>
      </c>
      <c r="L312" s="5">
        <v>44986</v>
      </c>
      <c r="M312">
        <v>59</v>
      </c>
      <c r="N312" t="s">
        <v>424</v>
      </c>
      <c r="O312" t="s">
        <v>876</v>
      </c>
      <c r="Q312">
        <v>1</v>
      </c>
      <c r="R312">
        <v>56</v>
      </c>
      <c r="S312" t="s">
        <v>892</v>
      </c>
      <c r="T312" s="6">
        <v>27499.89091284692</v>
      </c>
      <c r="U312" s="7">
        <f>T312*DealsRawTable[[#This Row],[Contract_Years]]</f>
        <v>27499.89091284692</v>
      </c>
      <c r="V312" s="8">
        <v>0.18</v>
      </c>
      <c r="W312" s="8">
        <v>0.17499999999999999</v>
      </c>
      <c r="X312" s="8">
        <v>3.5000000000000003E-2</v>
      </c>
      <c r="Y312" t="s">
        <v>878</v>
      </c>
      <c r="Z312" t="s">
        <v>889</v>
      </c>
      <c r="AA312" s="6">
        <v>22697.117193867001</v>
      </c>
      <c r="AB312" s="7">
        <f>DealsRawTable[[#This Row],[Final_Price_ACV]]*DealsRawTable[[#This Row],[Contract_Years]]</f>
        <v>22697.117193867001</v>
      </c>
      <c r="AC312" s="6">
        <v>8184.7699637447504</v>
      </c>
      <c r="AD312" s="6">
        <v>14512.34723012225</v>
      </c>
      <c r="AE312" s="8">
        <v>0.63939165076187021</v>
      </c>
      <c r="AF312" t="s">
        <v>880</v>
      </c>
      <c r="AG312" t="s">
        <v>44</v>
      </c>
      <c r="AI312" t="s">
        <v>38</v>
      </c>
      <c r="AJ312" s="6">
        <v>22697.117193867001</v>
      </c>
      <c r="AK312" s="6">
        <v>14512.34723012225</v>
      </c>
      <c r="AL312" t="s">
        <v>881</v>
      </c>
      <c r="AM312">
        <f t="shared" si="8"/>
        <v>22687.41</v>
      </c>
      <c r="AN312">
        <f>DealsRawTable[[#This Row],[Validated_Annual_Final_Price]]*DealsRawTable[[#This Row],[Contract_Years]]</f>
        <v>22687.41</v>
      </c>
      <c r="AO312">
        <f>DealsRawTable[[#This Row],[Validated_Annual_Final_Price]]-DealsRawTable[[#This Row],[Cost_to_Serve]]</f>
        <v>14502.640036255249</v>
      </c>
      <c r="AP312" s="17">
        <f>DealsRawTable[[#This Row],[Validated_Grossprofit]]/DealsRawTable[[#This Row],[Validated_Annual_Final_Price]]</f>
        <v>0.63923735835228657</v>
      </c>
      <c r="AQ312" s="17">
        <v>22687.41</v>
      </c>
      <c r="AR312" s="17">
        <v>22687.41</v>
      </c>
      <c r="AS312" s="17">
        <v>14502.640036255249</v>
      </c>
      <c r="AT312" s="17">
        <v>0.63923735835228657</v>
      </c>
      <c r="AU312" s="17" t="str">
        <f t="shared" si="9"/>
        <v>15–20%</v>
      </c>
      <c r="AV312" s="17">
        <v>108</v>
      </c>
      <c r="AW312" s="17"/>
    </row>
    <row r="313" spans="1:49">
      <c r="A313" t="s">
        <v>1218</v>
      </c>
      <c r="B313" s="5">
        <v>45436</v>
      </c>
      <c r="C313" t="s">
        <v>236</v>
      </c>
      <c r="D313" t="s">
        <v>237</v>
      </c>
      <c r="E313" t="s">
        <v>640</v>
      </c>
      <c r="F313" t="s">
        <v>466</v>
      </c>
      <c r="G313" t="s">
        <v>83</v>
      </c>
      <c r="H313" t="s">
        <v>48</v>
      </c>
      <c r="I313" t="s">
        <v>49</v>
      </c>
      <c r="J313" t="s">
        <v>37</v>
      </c>
      <c r="K313" t="s">
        <v>38</v>
      </c>
      <c r="L313" s="5">
        <v>44986</v>
      </c>
      <c r="M313">
        <v>59</v>
      </c>
      <c r="N313" t="s">
        <v>424</v>
      </c>
      <c r="O313" t="s">
        <v>883</v>
      </c>
      <c r="P313" t="s">
        <v>946</v>
      </c>
      <c r="Q313">
        <v>1</v>
      </c>
      <c r="R313">
        <v>25</v>
      </c>
      <c r="S313" t="s">
        <v>907</v>
      </c>
      <c r="T313" s="6">
        <v>35014.162494953816</v>
      </c>
      <c r="U313" s="7">
        <f>T313*DealsRawTable[[#This Row],[Contract_Years]]</f>
        <v>35014.162494953816</v>
      </c>
      <c r="V313" s="8">
        <v>0.17399999999999999</v>
      </c>
      <c r="W313" s="8">
        <v>0.157</v>
      </c>
      <c r="X313" s="8">
        <v>-6.3E-2</v>
      </c>
      <c r="Y313" t="s">
        <v>885</v>
      </c>
      <c r="Z313" t="s">
        <v>889</v>
      </c>
      <c r="AA313" s="6">
        <v>29524.794277753408</v>
      </c>
      <c r="AB313" s="7">
        <f>DealsRawTable[[#This Row],[Final_Price_ACV]]*DealsRawTable[[#This Row],[Contract_Years]]</f>
        <v>29524.794277753408</v>
      </c>
      <c r="AC313" s="6">
        <v>10479.692612072318</v>
      </c>
      <c r="AD313" s="6">
        <v>19045.10166568109</v>
      </c>
      <c r="AE313" s="8">
        <v>0.64505450864500535</v>
      </c>
      <c r="AF313" t="s">
        <v>880</v>
      </c>
      <c r="AH313" t="s">
        <v>44</v>
      </c>
      <c r="AI313" t="s">
        <v>38</v>
      </c>
      <c r="AJ313" s="6">
        <v>29524.794277753408</v>
      </c>
      <c r="AK313" s="6">
        <v>19045.10166568109</v>
      </c>
      <c r="AL313" t="s">
        <v>886</v>
      </c>
      <c r="AM313">
        <f t="shared" si="8"/>
        <v>29516.94</v>
      </c>
      <c r="AN313">
        <f>DealsRawTable[[#This Row],[Validated_Annual_Final_Price]]*DealsRawTable[[#This Row],[Contract_Years]]</f>
        <v>29516.94</v>
      </c>
      <c r="AO313">
        <f>DealsRawTable[[#This Row],[Validated_Annual_Final_Price]]-DealsRawTable[[#This Row],[Cost_to_Serve]]</f>
        <v>19037.24738792768</v>
      </c>
      <c r="AP313" s="17">
        <f>DealsRawTable[[#This Row],[Validated_Grossprofit]]/DealsRawTable[[#This Row],[Validated_Annual_Final_Price]]</f>
        <v>0.64496005981404847</v>
      </c>
      <c r="AQ313" s="17">
        <v>29516.94</v>
      </c>
      <c r="AR313" s="17">
        <v>29516.94</v>
      </c>
      <c r="AS313" s="17">
        <v>19037.24738792768</v>
      </c>
      <c r="AT313" s="17">
        <v>0.64496005981404847</v>
      </c>
      <c r="AU313" s="17" t="str">
        <f t="shared" si="9"/>
        <v>15–20%</v>
      </c>
      <c r="AV313" s="17">
        <v>108</v>
      </c>
      <c r="AW313" s="17"/>
    </row>
    <row r="314" spans="1:49">
      <c r="A314" t="s">
        <v>1219</v>
      </c>
      <c r="B314" s="5">
        <v>45531</v>
      </c>
      <c r="C314" t="s">
        <v>236</v>
      </c>
      <c r="D314" t="s">
        <v>237</v>
      </c>
      <c r="E314" t="s">
        <v>640</v>
      </c>
      <c r="F314" t="s">
        <v>466</v>
      </c>
      <c r="G314" t="s">
        <v>83</v>
      </c>
      <c r="H314" t="s">
        <v>48</v>
      </c>
      <c r="I314" t="s">
        <v>49</v>
      </c>
      <c r="J314" t="s">
        <v>37</v>
      </c>
      <c r="K314" t="s">
        <v>38</v>
      </c>
      <c r="L314" s="5">
        <v>44986</v>
      </c>
      <c r="M314">
        <v>59</v>
      </c>
      <c r="N314" t="s">
        <v>424</v>
      </c>
      <c r="O314" t="s">
        <v>876</v>
      </c>
      <c r="Q314">
        <v>1</v>
      </c>
      <c r="R314">
        <v>25</v>
      </c>
      <c r="S314" t="s">
        <v>888</v>
      </c>
      <c r="T314" s="6">
        <v>37569.747055831074</v>
      </c>
      <c r="U314" s="7">
        <f>T314*DealsRawTable[[#This Row],[Contract_Years]]</f>
        <v>37569.747055831074</v>
      </c>
      <c r="V314" s="8">
        <v>0.216</v>
      </c>
      <c r="W314" s="8">
        <v>0.215</v>
      </c>
      <c r="X314" s="8">
        <v>3.1E-2</v>
      </c>
      <c r="Y314" t="s">
        <v>878</v>
      </c>
      <c r="Z314" t="s">
        <v>893</v>
      </c>
      <c r="AA314" s="6">
        <v>29509.268838742231</v>
      </c>
      <c r="AB314" s="7">
        <f>DealsRawTable[[#This Row],[Final_Price_ACV]]*DealsRawTable[[#This Row],[Contract_Years]]</f>
        <v>29509.268838742231</v>
      </c>
      <c r="AC314" s="6">
        <v>9276.4018092135302</v>
      </c>
      <c r="AD314" s="6">
        <v>20232.867029528701</v>
      </c>
      <c r="AE314" s="8">
        <v>0.68564447123695949</v>
      </c>
      <c r="AF314" t="s">
        <v>880</v>
      </c>
      <c r="AG314" t="s">
        <v>44</v>
      </c>
      <c r="AI314" t="s">
        <v>38</v>
      </c>
      <c r="AJ314" s="6">
        <v>29509.268838742231</v>
      </c>
      <c r="AK314" s="6">
        <v>20232.867029528701</v>
      </c>
      <c r="AL314" t="s">
        <v>881</v>
      </c>
      <c r="AM314">
        <f t="shared" si="8"/>
        <v>29492.25</v>
      </c>
      <c r="AN314">
        <f>DealsRawTable[[#This Row],[Validated_Annual_Final_Price]]*DealsRawTable[[#This Row],[Contract_Years]]</f>
        <v>29492.25</v>
      </c>
      <c r="AO314">
        <f>DealsRawTable[[#This Row],[Validated_Annual_Final_Price]]-DealsRawTable[[#This Row],[Cost_to_Serve]]</f>
        <v>20215.84819078647</v>
      </c>
      <c r="AP314" s="17">
        <f>DealsRawTable[[#This Row],[Validated_Grossprofit]]/DealsRawTable[[#This Row],[Validated_Annual_Final_Price]]</f>
        <v>0.68546306879897156</v>
      </c>
      <c r="AQ314" s="17">
        <v>29492.25</v>
      </c>
      <c r="AR314" s="17">
        <v>29492.25</v>
      </c>
      <c r="AS314" s="17">
        <v>20215.84819078647</v>
      </c>
      <c r="AT314" s="17">
        <v>0.68546306879897156</v>
      </c>
      <c r="AU314" s="17" t="str">
        <f t="shared" si="9"/>
        <v>20–25%</v>
      </c>
      <c r="AV314" s="17">
        <v>29</v>
      </c>
      <c r="AW314" s="17"/>
    </row>
    <row r="315" spans="1:49">
      <c r="A315" t="s">
        <v>1220</v>
      </c>
      <c r="B315" s="5">
        <v>45726</v>
      </c>
      <c r="C315" t="s">
        <v>236</v>
      </c>
      <c r="D315" t="s">
        <v>237</v>
      </c>
      <c r="E315" t="s">
        <v>640</v>
      </c>
      <c r="F315" t="s">
        <v>466</v>
      </c>
      <c r="G315" t="s">
        <v>83</v>
      </c>
      <c r="H315" t="s">
        <v>48</v>
      </c>
      <c r="I315" t="s">
        <v>49</v>
      </c>
      <c r="J315" t="s">
        <v>37</v>
      </c>
      <c r="K315" t="s">
        <v>38</v>
      </c>
      <c r="L315" s="5">
        <v>44986</v>
      </c>
      <c r="M315">
        <v>59</v>
      </c>
      <c r="N315" t="s">
        <v>424</v>
      </c>
      <c r="O315" t="s">
        <v>883</v>
      </c>
      <c r="P315" t="s">
        <v>978</v>
      </c>
      <c r="Q315">
        <v>1</v>
      </c>
      <c r="R315">
        <v>34</v>
      </c>
      <c r="S315" t="s">
        <v>907</v>
      </c>
      <c r="T315" s="6">
        <v>46656.291120742935</v>
      </c>
      <c r="U315" s="7">
        <f>T315*DealsRawTable[[#This Row],[Contract_Years]]</f>
        <v>46656.291120742935</v>
      </c>
      <c r="V315" s="8">
        <v>0.13900000000000001</v>
      </c>
      <c r="W315" s="8">
        <v>9.1999999999999998E-2</v>
      </c>
      <c r="X315" s="8">
        <v>3.5000000000000003E-2</v>
      </c>
      <c r="Y315" t="s">
        <v>885</v>
      </c>
      <c r="Z315" t="s">
        <v>879</v>
      </c>
      <c r="AA315" s="6">
        <v>42356.184325461058</v>
      </c>
      <c r="AB315" s="7">
        <f>DealsRawTable[[#This Row],[Final_Price_ACV]]*DealsRawTable[[#This Row],[Contract_Years]]</f>
        <v>42356.184325461058</v>
      </c>
      <c r="AC315" s="6">
        <v>11232.315408387734</v>
      </c>
      <c r="AD315" s="6">
        <v>31123.868917073323</v>
      </c>
      <c r="AE315" s="8">
        <v>0.73481285939074104</v>
      </c>
      <c r="AF315" t="s">
        <v>457</v>
      </c>
      <c r="AH315" t="s">
        <v>38</v>
      </c>
      <c r="AI315" t="s">
        <v>38</v>
      </c>
      <c r="AJ315" s="6">
        <v>0</v>
      </c>
      <c r="AK315" s="6">
        <v>0</v>
      </c>
      <c r="AL315" t="s">
        <v>886</v>
      </c>
      <c r="AM315">
        <f t="shared" si="8"/>
        <v>42363.91</v>
      </c>
      <c r="AN315">
        <f>DealsRawTable[[#This Row],[Validated_Annual_Final_Price]]*DealsRawTable[[#This Row],[Contract_Years]]</f>
        <v>42363.91</v>
      </c>
      <c r="AO315">
        <f>DealsRawTable[[#This Row],[Validated_Annual_Final_Price]]-DealsRawTable[[#This Row],[Cost_to_Serve]]</f>
        <v>31131.594591612269</v>
      </c>
      <c r="AP315" s="17">
        <f>DealsRawTable[[#This Row],[Validated_Grossprofit]]/DealsRawTable[[#This Row],[Validated_Annual_Final_Price]]</f>
        <v>0.734861220119018</v>
      </c>
      <c r="AQ315" s="17">
        <v>0</v>
      </c>
      <c r="AR315" s="17">
        <v>0</v>
      </c>
      <c r="AS315" s="17">
        <v>0</v>
      </c>
      <c r="AT315" s="17">
        <v>0</v>
      </c>
      <c r="AU315" s="17" t="str">
        <f t="shared" si="9"/>
        <v>5–10%</v>
      </c>
      <c r="AV315" s="17">
        <v>116</v>
      </c>
      <c r="AW315" s="17"/>
    </row>
    <row r="316" spans="1:49">
      <c r="A316" t="s">
        <v>1221</v>
      </c>
      <c r="B316" s="5">
        <v>45896</v>
      </c>
      <c r="C316" t="s">
        <v>236</v>
      </c>
      <c r="D316" t="s">
        <v>237</v>
      </c>
      <c r="E316" t="s">
        <v>640</v>
      </c>
      <c r="F316" t="s">
        <v>466</v>
      </c>
      <c r="G316" t="s">
        <v>83</v>
      </c>
      <c r="H316" t="s">
        <v>48</v>
      </c>
      <c r="I316" t="s">
        <v>49</v>
      </c>
      <c r="J316" t="s">
        <v>37</v>
      </c>
      <c r="K316" t="s">
        <v>38</v>
      </c>
      <c r="L316" s="5">
        <v>44986</v>
      </c>
      <c r="M316">
        <v>59</v>
      </c>
      <c r="N316" t="s">
        <v>424</v>
      </c>
      <c r="O316" t="s">
        <v>876</v>
      </c>
      <c r="Q316">
        <v>1</v>
      </c>
      <c r="R316">
        <v>25</v>
      </c>
      <c r="S316" t="s">
        <v>947</v>
      </c>
      <c r="T316" s="6">
        <v>39458.703713348703</v>
      </c>
      <c r="U316" s="7">
        <f>T316*DealsRawTable[[#This Row],[Contract_Years]]</f>
        <v>39458.703713348703</v>
      </c>
      <c r="V316" s="8">
        <v>0.17</v>
      </c>
      <c r="W316" s="8">
        <v>0.127</v>
      </c>
      <c r="X316" s="8">
        <v>5.8999999999999997E-2</v>
      </c>
      <c r="Y316" t="s">
        <v>878</v>
      </c>
      <c r="Z316" t="s">
        <v>889</v>
      </c>
      <c r="AA316" s="6">
        <v>34442.990554326971</v>
      </c>
      <c r="AB316" s="7">
        <f>DealsRawTable[[#This Row],[Final_Price_ACV]]*DealsRawTable[[#This Row],[Contract_Years]]</f>
        <v>34442.990554326971</v>
      </c>
      <c r="AC316" s="6">
        <v>12089.584675512615</v>
      </c>
      <c r="AD316" s="6">
        <v>22353.405878814356</v>
      </c>
      <c r="AE316" s="8">
        <v>0.6489972420819935</v>
      </c>
      <c r="AF316" t="s">
        <v>880</v>
      </c>
      <c r="AG316" t="s">
        <v>44</v>
      </c>
      <c r="AI316" t="s">
        <v>38</v>
      </c>
      <c r="AJ316" s="6">
        <v>34442.990554326971</v>
      </c>
      <c r="AK316" s="6">
        <v>22353.405878814356</v>
      </c>
      <c r="AL316" t="s">
        <v>881</v>
      </c>
      <c r="AM316">
        <f t="shared" si="8"/>
        <v>34447.449999999997</v>
      </c>
      <c r="AN316">
        <f>DealsRawTable[[#This Row],[Validated_Annual_Final_Price]]*DealsRawTable[[#This Row],[Contract_Years]]</f>
        <v>34447.449999999997</v>
      </c>
      <c r="AO316">
        <f>DealsRawTable[[#This Row],[Validated_Annual_Final_Price]]-DealsRawTable[[#This Row],[Cost_to_Serve]]</f>
        <v>22357.865324487382</v>
      </c>
      <c r="AP316" s="17">
        <f>DealsRawTable[[#This Row],[Validated_Grossprofit]]/DealsRawTable[[#This Row],[Validated_Annual_Final_Price]]</f>
        <v>0.64904268166402401</v>
      </c>
      <c r="AQ316" s="17">
        <v>34447.449999999997</v>
      </c>
      <c r="AR316" s="17">
        <v>34447.449999999997</v>
      </c>
      <c r="AS316" s="17">
        <v>22357.865324487382</v>
      </c>
      <c r="AT316" s="17">
        <v>0.64904268166402401</v>
      </c>
      <c r="AU316" s="17" t="str">
        <f t="shared" si="9"/>
        <v>10–15%</v>
      </c>
      <c r="AV316" s="17">
        <v>113</v>
      </c>
      <c r="AW316" s="17"/>
    </row>
    <row r="317" spans="1:49">
      <c r="A317" t="s">
        <v>1222</v>
      </c>
      <c r="B317" s="5">
        <v>45578</v>
      </c>
      <c r="C317" t="s">
        <v>238</v>
      </c>
      <c r="D317" t="s">
        <v>239</v>
      </c>
      <c r="E317" t="s">
        <v>641</v>
      </c>
      <c r="F317" t="s">
        <v>466</v>
      </c>
      <c r="G317" t="s">
        <v>47</v>
      </c>
      <c r="H317" t="s">
        <v>48</v>
      </c>
      <c r="I317" t="s">
        <v>49</v>
      </c>
      <c r="J317" t="s">
        <v>56</v>
      </c>
      <c r="K317" t="s">
        <v>38</v>
      </c>
      <c r="L317" s="5">
        <v>44105</v>
      </c>
      <c r="M317">
        <v>66</v>
      </c>
      <c r="N317" t="s">
        <v>427</v>
      </c>
      <c r="O317" t="s">
        <v>876</v>
      </c>
      <c r="Q317">
        <v>1</v>
      </c>
      <c r="R317">
        <v>91</v>
      </c>
      <c r="S317" t="s">
        <v>877</v>
      </c>
      <c r="T317" s="6">
        <v>107802.65323316993</v>
      </c>
      <c r="U317" s="7">
        <f>T317*DealsRawTable[[#This Row],[Contract_Years]]</f>
        <v>107802.65323316993</v>
      </c>
      <c r="V317" s="8">
        <v>5.3999999999999999E-2</v>
      </c>
      <c r="W317" s="8">
        <v>4.2000000000000003E-2</v>
      </c>
      <c r="X317" s="8">
        <v>-0.10299999999999999</v>
      </c>
      <c r="Y317" t="s">
        <v>905</v>
      </c>
      <c r="Z317" t="s">
        <v>879</v>
      </c>
      <c r="AA317" s="6">
        <v>103223.4958111466</v>
      </c>
      <c r="AB317" s="7">
        <f>DealsRawTable[[#This Row],[Final_Price_ACV]]*DealsRawTable[[#This Row],[Contract_Years]]</f>
        <v>103223.4958111466</v>
      </c>
      <c r="AC317" s="6">
        <v>35987.484261167847</v>
      </c>
      <c r="AD317" s="6">
        <v>67236.01154997875</v>
      </c>
      <c r="AE317" s="8">
        <v>0.65136344222434539</v>
      </c>
      <c r="AF317" t="s">
        <v>880</v>
      </c>
      <c r="AG317" t="s">
        <v>44</v>
      </c>
      <c r="AI317" t="s">
        <v>38</v>
      </c>
      <c r="AJ317" s="6">
        <v>103223.4958111466</v>
      </c>
      <c r="AK317" s="6">
        <v>67236.01154997875</v>
      </c>
      <c r="AL317" t="s">
        <v>881</v>
      </c>
      <c r="AM317">
        <f t="shared" si="8"/>
        <v>103274.94</v>
      </c>
      <c r="AN317">
        <f>DealsRawTable[[#This Row],[Validated_Annual_Final_Price]]*DealsRawTable[[#This Row],[Contract_Years]]</f>
        <v>103274.94</v>
      </c>
      <c r="AO317">
        <f>DealsRawTable[[#This Row],[Validated_Annual_Final_Price]]-DealsRawTable[[#This Row],[Cost_to_Serve]]</f>
        <v>67287.455738832155</v>
      </c>
      <c r="AP317" s="17">
        <f>DealsRawTable[[#This Row],[Validated_Grossprofit]]/DealsRawTable[[#This Row],[Validated_Annual_Final_Price]]</f>
        <v>0.65153710802283837</v>
      </c>
      <c r="AQ317" s="17">
        <v>103274.94</v>
      </c>
      <c r="AR317" s="17">
        <v>103274.94</v>
      </c>
      <c r="AS317" s="17">
        <v>67287.455738832155</v>
      </c>
      <c r="AT317" s="17">
        <v>0.65153710802283837</v>
      </c>
      <c r="AU317" s="17" t="str">
        <f t="shared" si="9"/>
        <v>0–5%</v>
      </c>
      <c r="AV317" s="17">
        <v>55</v>
      </c>
      <c r="AW317" s="17"/>
    </row>
    <row r="318" spans="1:49">
      <c r="A318" t="s">
        <v>1223</v>
      </c>
      <c r="B318" s="5">
        <v>45721</v>
      </c>
      <c r="C318" t="s">
        <v>238</v>
      </c>
      <c r="D318" t="s">
        <v>239</v>
      </c>
      <c r="E318" t="s">
        <v>641</v>
      </c>
      <c r="F318" t="s">
        <v>466</v>
      </c>
      <c r="G318" t="s">
        <v>47</v>
      </c>
      <c r="H318" t="s">
        <v>48</v>
      </c>
      <c r="I318" t="s">
        <v>49</v>
      </c>
      <c r="J318" t="s">
        <v>56</v>
      </c>
      <c r="K318" t="s">
        <v>38</v>
      </c>
      <c r="L318" s="5">
        <v>44105</v>
      </c>
      <c r="M318">
        <v>66</v>
      </c>
      <c r="N318" t="s">
        <v>427</v>
      </c>
      <c r="O318" t="s">
        <v>883</v>
      </c>
      <c r="P318" t="s">
        <v>884</v>
      </c>
      <c r="Q318">
        <v>1</v>
      </c>
      <c r="R318">
        <v>106</v>
      </c>
      <c r="S318" t="s">
        <v>947</v>
      </c>
      <c r="T318" s="6">
        <v>136061.41602171454</v>
      </c>
      <c r="U318" s="7">
        <f>T318*DealsRawTable[[#This Row],[Contract_Years]]</f>
        <v>136061.41602171454</v>
      </c>
      <c r="V318" s="8">
        <v>0.122</v>
      </c>
      <c r="W318" s="8">
        <v>0.121</v>
      </c>
      <c r="X318" s="8">
        <v>-7.0000000000000001E-3</v>
      </c>
      <c r="Y318" t="s">
        <v>885</v>
      </c>
      <c r="Z318" t="s">
        <v>889</v>
      </c>
      <c r="AA318" s="6">
        <v>119607.03325946984</v>
      </c>
      <c r="AB318" s="7">
        <f>DealsRawTable[[#This Row],[Final_Price_ACV]]*DealsRawTable[[#This Row],[Contract_Years]]</f>
        <v>119607.03325946984</v>
      </c>
      <c r="AC318" s="6">
        <v>41186.286115430717</v>
      </c>
      <c r="AD318" s="6">
        <v>78420.747144039124</v>
      </c>
      <c r="AE318" s="8">
        <v>0.65565330906516894</v>
      </c>
      <c r="AF318" t="s">
        <v>880</v>
      </c>
      <c r="AH318" t="s">
        <v>44</v>
      </c>
      <c r="AI318" t="s">
        <v>38</v>
      </c>
      <c r="AJ318" s="6">
        <v>119607.03325946984</v>
      </c>
      <c r="AK318" s="6">
        <v>78420.747144039124</v>
      </c>
      <c r="AL318" t="s">
        <v>886</v>
      </c>
      <c r="AM318">
        <f t="shared" si="8"/>
        <v>119597.98</v>
      </c>
      <c r="AN318">
        <f>DealsRawTable[[#This Row],[Validated_Annual_Final_Price]]*DealsRawTable[[#This Row],[Contract_Years]]</f>
        <v>119597.98</v>
      </c>
      <c r="AO318">
        <f>DealsRawTable[[#This Row],[Validated_Annual_Final_Price]]-DealsRawTable[[#This Row],[Cost_to_Serve]]</f>
        <v>78411.693884569278</v>
      </c>
      <c r="AP318" s="17">
        <f>DealsRawTable[[#This Row],[Validated_Grossprofit]]/DealsRawTable[[#This Row],[Validated_Annual_Final_Price]]</f>
        <v>0.6556272429063541</v>
      </c>
      <c r="AQ318" s="17">
        <v>119597.98</v>
      </c>
      <c r="AR318" s="17">
        <v>119597.98</v>
      </c>
      <c r="AS318" s="17">
        <v>78411.693884569278</v>
      </c>
      <c r="AT318" s="17">
        <v>0.6556272429063541</v>
      </c>
      <c r="AU318" s="17" t="str">
        <f t="shared" si="9"/>
        <v>10–15%</v>
      </c>
      <c r="AV318" s="17">
        <v>113</v>
      </c>
      <c r="AW318" s="17"/>
    </row>
    <row r="319" spans="1:49">
      <c r="A319" t="s">
        <v>1224</v>
      </c>
      <c r="B319" s="5">
        <v>45943</v>
      </c>
      <c r="C319" t="s">
        <v>238</v>
      </c>
      <c r="D319" t="s">
        <v>239</v>
      </c>
      <c r="E319" t="s">
        <v>641</v>
      </c>
      <c r="F319" t="s">
        <v>466</v>
      </c>
      <c r="G319" t="s">
        <v>47</v>
      </c>
      <c r="H319" t="s">
        <v>48</v>
      </c>
      <c r="I319" t="s">
        <v>49</v>
      </c>
      <c r="J319" t="s">
        <v>56</v>
      </c>
      <c r="K319" t="s">
        <v>38</v>
      </c>
      <c r="L319" s="5">
        <v>44105</v>
      </c>
      <c r="M319">
        <v>66</v>
      </c>
      <c r="N319" t="s">
        <v>427</v>
      </c>
      <c r="O319" t="s">
        <v>876</v>
      </c>
      <c r="Q319">
        <v>1</v>
      </c>
      <c r="R319">
        <v>106</v>
      </c>
      <c r="S319" t="s">
        <v>947</v>
      </c>
      <c r="T319" s="6">
        <v>144664.6819289097</v>
      </c>
      <c r="U319" s="7">
        <f>T319*DealsRawTable[[#This Row],[Contract_Years]]</f>
        <v>144664.6819289097</v>
      </c>
      <c r="V319" s="8">
        <v>0.251</v>
      </c>
      <c r="W319" s="8">
        <v>0.23</v>
      </c>
      <c r="X319" s="8">
        <v>-5.8999999999999997E-2</v>
      </c>
      <c r="Y319" t="s">
        <v>885</v>
      </c>
      <c r="Z319" t="s">
        <v>893</v>
      </c>
      <c r="AA319" s="6">
        <v>111410.99231825341</v>
      </c>
      <c r="AB319" s="7">
        <f>DealsRawTable[[#This Row],[Final_Price_ACV]]*DealsRawTable[[#This Row],[Contract_Years]]</f>
        <v>111410.99231825341</v>
      </c>
      <c r="AC319" s="6">
        <v>43330.905645587736</v>
      </c>
      <c r="AD319" s="6">
        <v>68080.086672665668</v>
      </c>
      <c r="AE319" s="8">
        <v>0.61107154021382437</v>
      </c>
      <c r="AF319" t="s">
        <v>880</v>
      </c>
      <c r="AG319" t="s">
        <v>44</v>
      </c>
      <c r="AI319" t="s">
        <v>38</v>
      </c>
      <c r="AJ319" s="6">
        <v>111410.99231825341</v>
      </c>
      <c r="AK319" s="6">
        <v>68080.086672665668</v>
      </c>
      <c r="AL319" t="s">
        <v>881</v>
      </c>
      <c r="AM319">
        <f t="shared" si="8"/>
        <v>111391.81</v>
      </c>
      <c r="AN319">
        <f>DealsRawTable[[#This Row],[Validated_Annual_Final_Price]]*DealsRawTable[[#This Row],[Contract_Years]]</f>
        <v>111391.81</v>
      </c>
      <c r="AO319">
        <f>DealsRawTable[[#This Row],[Validated_Annual_Final_Price]]-DealsRawTable[[#This Row],[Cost_to_Serve]]</f>
        <v>68060.904354412254</v>
      </c>
      <c r="AP319" s="17">
        <f>DealsRawTable[[#This Row],[Validated_Grossprofit]]/DealsRawTable[[#This Row],[Validated_Annual_Final_Price]]</f>
        <v>0.61100456446853912</v>
      </c>
      <c r="AQ319" s="17">
        <v>111391.81</v>
      </c>
      <c r="AR319" s="17">
        <v>111391.81</v>
      </c>
      <c r="AS319" s="17">
        <v>68060.904354412254</v>
      </c>
      <c r="AT319" s="17">
        <v>0.61100456446853912</v>
      </c>
      <c r="AU319" s="17" t="str">
        <f t="shared" si="9"/>
        <v>20–25%</v>
      </c>
      <c r="AV319" s="17">
        <v>29</v>
      </c>
      <c r="AW319" s="17"/>
    </row>
    <row r="320" spans="1:49">
      <c r="A320" t="s">
        <v>1225</v>
      </c>
      <c r="B320" s="5">
        <v>45345</v>
      </c>
      <c r="C320" t="s">
        <v>238</v>
      </c>
      <c r="D320" t="s">
        <v>239</v>
      </c>
      <c r="E320" t="s">
        <v>642</v>
      </c>
      <c r="F320" t="s">
        <v>445</v>
      </c>
      <c r="G320" t="s">
        <v>47</v>
      </c>
      <c r="H320" t="s">
        <v>48</v>
      </c>
      <c r="I320" t="s">
        <v>49</v>
      </c>
      <c r="J320" t="s">
        <v>56</v>
      </c>
      <c r="K320" t="s">
        <v>38</v>
      </c>
      <c r="L320" s="5">
        <v>44105</v>
      </c>
      <c r="M320">
        <v>66</v>
      </c>
      <c r="N320" t="s">
        <v>424</v>
      </c>
      <c r="O320" t="s">
        <v>876</v>
      </c>
      <c r="Q320">
        <v>1</v>
      </c>
      <c r="R320">
        <v>277</v>
      </c>
      <c r="S320" t="s">
        <v>932</v>
      </c>
      <c r="T320" s="6">
        <v>32148.270891922912</v>
      </c>
      <c r="U320" s="7">
        <f>T320*DealsRawTable[[#This Row],[Contract_Years]]</f>
        <v>32148.270891922912</v>
      </c>
      <c r="V320" s="8">
        <v>0.13</v>
      </c>
      <c r="W320" s="8">
        <v>8.8999999999999996E-2</v>
      </c>
      <c r="X320" s="8">
        <v>2.8000000000000001E-2</v>
      </c>
      <c r="Y320" t="s">
        <v>911</v>
      </c>
      <c r="Z320" t="s">
        <v>879</v>
      </c>
      <c r="AA320" s="6">
        <v>29285.04668902557</v>
      </c>
      <c r="AB320" s="7">
        <f>DealsRawTable[[#This Row],[Final_Price_ACV]]*DealsRawTable[[#This Row],[Contract_Years]]</f>
        <v>29285.04668902557</v>
      </c>
      <c r="AC320" s="6">
        <v>8724.0402287810466</v>
      </c>
      <c r="AD320" s="6">
        <v>20561.006460244524</v>
      </c>
      <c r="AE320" s="8">
        <v>0.70209915246437571</v>
      </c>
      <c r="AF320" t="s">
        <v>880</v>
      </c>
      <c r="AG320" t="s">
        <v>44</v>
      </c>
      <c r="AI320" t="s">
        <v>38</v>
      </c>
      <c r="AJ320" s="6">
        <v>29285.04668902557</v>
      </c>
      <c r="AK320" s="6">
        <v>20561.006460244524</v>
      </c>
      <c r="AL320" t="s">
        <v>881</v>
      </c>
      <c r="AM320">
        <f t="shared" si="8"/>
        <v>29287.07</v>
      </c>
      <c r="AN320">
        <f>DealsRawTable[[#This Row],[Validated_Annual_Final_Price]]*DealsRawTable[[#This Row],[Contract_Years]]</f>
        <v>29287.07</v>
      </c>
      <c r="AO320">
        <f>DealsRawTable[[#This Row],[Validated_Annual_Final_Price]]-DealsRawTable[[#This Row],[Cost_to_Serve]]</f>
        <v>20563.029771218953</v>
      </c>
      <c r="AP320" s="17">
        <f>DealsRawTable[[#This Row],[Validated_Grossprofit]]/DealsRawTable[[#This Row],[Validated_Annual_Final_Price]]</f>
        <v>0.70211973308422293</v>
      </c>
      <c r="AQ320" s="17">
        <v>29287.07</v>
      </c>
      <c r="AR320" s="17">
        <v>29287.07</v>
      </c>
      <c r="AS320" s="17">
        <v>20563.029771218953</v>
      </c>
      <c r="AT320" s="17">
        <v>0.70211973308422293</v>
      </c>
      <c r="AU320" s="17" t="str">
        <f t="shared" si="9"/>
        <v>5–10%</v>
      </c>
      <c r="AV320" s="17">
        <v>116</v>
      </c>
      <c r="AW320" s="17"/>
    </row>
    <row r="321" spans="1:49">
      <c r="A321" t="s">
        <v>1226</v>
      </c>
      <c r="B321" s="5">
        <v>45710</v>
      </c>
      <c r="C321" t="s">
        <v>238</v>
      </c>
      <c r="D321" t="s">
        <v>239</v>
      </c>
      <c r="E321" t="s">
        <v>642</v>
      </c>
      <c r="F321" t="s">
        <v>445</v>
      </c>
      <c r="G321" t="s">
        <v>47</v>
      </c>
      <c r="H321" t="s">
        <v>48</v>
      </c>
      <c r="I321" t="s">
        <v>49</v>
      </c>
      <c r="J321" t="s">
        <v>56</v>
      </c>
      <c r="K321" t="s">
        <v>38</v>
      </c>
      <c r="L321" s="5">
        <v>44105</v>
      </c>
      <c r="M321">
        <v>66</v>
      </c>
      <c r="N321" t="s">
        <v>424</v>
      </c>
      <c r="O321" t="s">
        <v>876</v>
      </c>
      <c r="Q321">
        <v>1</v>
      </c>
      <c r="R321">
        <v>277</v>
      </c>
      <c r="S321" t="s">
        <v>907</v>
      </c>
      <c r="T321" s="6">
        <v>33521.210828297844</v>
      </c>
      <c r="U321" s="7">
        <f>T321*DealsRawTable[[#This Row],[Contract_Years]]</f>
        <v>33521.210828297844</v>
      </c>
      <c r="V321" s="8">
        <v>0.184</v>
      </c>
      <c r="W321" s="8">
        <v>0.156</v>
      </c>
      <c r="X321" s="8">
        <v>-8.1000000000000003E-2</v>
      </c>
      <c r="Y321" t="s">
        <v>885</v>
      </c>
      <c r="Z321" t="s">
        <v>889</v>
      </c>
      <c r="AA321" s="6">
        <v>28294.651660210311</v>
      </c>
      <c r="AB321" s="7">
        <f>DealsRawTable[[#This Row],[Final_Price_ACV]]*DealsRawTable[[#This Row],[Contract_Years]]</f>
        <v>28294.651660210311</v>
      </c>
      <c r="AC321" s="6">
        <v>9124.9276594391795</v>
      </c>
      <c r="AD321" s="6">
        <v>19169.72400077113</v>
      </c>
      <c r="AE321" s="8">
        <v>0.67750344591549716</v>
      </c>
      <c r="AF321" t="s">
        <v>457</v>
      </c>
      <c r="AG321" t="s">
        <v>38</v>
      </c>
      <c r="AI321" t="s">
        <v>38</v>
      </c>
      <c r="AJ321" s="6">
        <v>0</v>
      </c>
      <c r="AK321" s="6">
        <v>0</v>
      </c>
      <c r="AL321" t="s">
        <v>881</v>
      </c>
      <c r="AM321">
        <f t="shared" si="8"/>
        <v>28291.9</v>
      </c>
      <c r="AN321">
        <f>DealsRawTable[[#This Row],[Validated_Annual_Final_Price]]*DealsRawTable[[#This Row],[Contract_Years]]</f>
        <v>28291.9</v>
      </c>
      <c r="AO321">
        <f>DealsRawTable[[#This Row],[Validated_Annual_Final_Price]]-DealsRawTable[[#This Row],[Cost_to_Serve]]</f>
        <v>19166.972340560824</v>
      </c>
      <c r="AP321" s="17">
        <f>DealsRawTable[[#This Row],[Validated_Grossprofit]]/DealsRawTable[[#This Row],[Validated_Annual_Final_Price]]</f>
        <v>0.67747208001445014</v>
      </c>
      <c r="AQ321" s="17">
        <v>0</v>
      </c>
      <c r="AR321" s="17">
        <v>0</v>
      </c>
      <c r="AS321" s="17">
        <v>0</v>
      </c>
      <c r="AT321" s="17">
        <v>0</v>
      </c>
      <c r="AU321" s="17" t="str">
        <f t="shared" si="9"/>
        <v>15–20%</v>
      </c>
      <c r="AV321" s="17">
        <v>108</v>
      </c>
      <c r="AW321" s="17"/>
    </row>
    <row r="322" spans="1:49">
      <c r="A322" t="s">
        <v>1227</v>
      </c>
      <c r="B322" s="5">
        <v>45675</v>
      </c>
      <c r="C322" t="s">
        <v>238</v>
      </c>
      <c r="D322" t="s">
        <v>239</v>
      </c>
      <c r="E322" t="s">
        <v>643</v>
      </c>
      <c r="F322" t="s">
        <v>47</v>
      </c>
      <c r="G322" t="s">
        <v>47</v>
      </c>
      <c r="H322" t="s">
        <v>48</v>
      </c>
      <c r="I322" t="s">
        <v>49</v>
      </c>
      <c r="J322" t="s">
        <v>56</v>
      </c>
      <c r="K322" t="s">
        <v>38</v>
      </c>
      <c r="L322" s="5">
        <v>44105</v>
      </c>
      <c r="M322">
        <v>66</v>
      </c>
      <c r="N322" t="s">
        <v>424</v>
      </c>
      <c r="O322" t="s">
        <v>891</v>
      </c>
      <c r="Q322">
        <v>1</v>
      </c>
      <c r="R322">
        <v>64</v>
      </c>
      <c r="S322" t="s">
        <v>947</v>
      </c>
      <c r="T322" s="6">
        <v>59121.599398780039</v>
      </c>
      <c r="U322" s="7">
        <f>T322*DealsRawTable[[#This Row],[Contract_Years]]</f>
        <v>59121.599398780039</v>
      </c>
      <c r="V322" s="8">
        <v>0.182</v>
      </c>
      <c r="W322" s="8">
        <v>0.16900000000000001</v>
      </c>
      <c r="X322" s="8">
        <v>-0.109</v>
      </c>
      <c r="Y322" t="s">
        <v>911</v>
      </c>
      <c r="Z322" t="s">
        <v>889</v>
      </c>
      <c r="AA322" s="6">
        <v>49116.84240237403</v>
      </c>
      <c r="AB322" s="7">
        <f>DealsRawTable[[#This Row],[Final_Price_ACV]]*DealsRawTable[[#This Row],[Contract_Years]]</f>
        <v>49116.84240237403</v>
      </c>
      <c r="AC322" s="6">
        <v>18174.926553288919</v>
      </c>
      <c r="AD322" s="6">
        <v>30941.915849085111</v>
      </c>
      <c r="AE322" s="8">
        <v>0.6299654932131703</v>
      </c>
      <c r="AF322" t="s">
        <v>880</v>
      </c>
      <c r="AI322" t="s">
        <v>38</v>
      </c>
      <c r="AJ322" s="6">
        <v>49116.84240237403</v>
      </c>
      <c r="AK322" s="6">
        <v>30941.915849085111</v>
      </c>
      <c r="AL322" t="s">
        <v>894</v>
      </c>
      <c r="AM322">
        <f t="shared" si="8"/>
        <v>49130.05</v>
      </c>
      <c r="AN322">
        <f>DealsRawTable[[#This Row],[Validated_Annual_Final_Price]]*DealsRawTable[[#This Row],[Contract_Years]]</f>
        <v>49130.05</v>
      </c>
      <c r="AO322">
        <f>DealsRawTable[[#This Row],[Validated_Annual_Final_Price]]-DealsRawTable[[#This Row],[Cost_to_Serve]]</f>
        <v>30955.123446711084</v>
      </c>
      <c r="AP322" s="17">
        <f>DealsRawTable[[#This Row],[Validated_Grossprofit]]/DealsRawTable[[#This Row],[Validated_Annual_Final_Price]]</f>
        <v>0.63006496933569334</v>
      </c>
      <c r="AQ322" s="17">
        <v>49130.05</v>
      </c>
      <c r="AR322" s="17">
        <v>49130.05</v>
      </c>
      <c r="AS322" s="17">
        <v>30955.123446711084</v>
      </c>
      <c r="AT322" s="17">
        <v>0.63006496933569334</v>
      </c>
      <c r="AU322" s="17" t="str">
        <f t="shared" si="9"/>
        <v>15–20%</v>
      </c>
      <c r="AV322" s="17">
        <v>108</v>
      </c>
      <c r="AW322" s="17"/>
    </row>
    <row r="323" spans="1:49">
      <c r="A323" t="s">
        <v>1228</v>
      </c>
      <c r="B323" s="5">
        <v>45510</v>
      </c>
      <c r="C323" t="s">
        <v>240</v>
      </c>
      <c r="D323" t="s">
        <v>241</v>
      </c>
      <c r="E323" t="s">
        <v>645</v>
      </c>
      <c r="F323" t="s">
        <v>47</v>
      </c>
      <c r="G323" t="s">
        <v>69</v>
      </c>
      <c r="H323" t="s">
        <v>70</v>
      </c>
      <c r="I323" t="s">
        <v>71</v>
      </c>
      <c r="J323" t="s">
        <v>56</v>
      </c>
      <c r="K323" t="s">
        <v>38</v>
      </c>
      <c r="L323" s="5">
        <v>43191</v>
      </c>
      <c r="M323">
        <v>88</v>
      </c>
      <c r="N323" t="s">
        <v>431</v>
      </c>
      <c r="O323" t="s">
        <v>883</v>
      </c>
      <c r="P323" t="s">
        <v>985</v>
      </c>
      <c r="Q323">
        <v>1</v>
      </c>
      <c r="R323">
        <v>464</v>
      </c>
      <c r="S323" t="s">
        <v>888</v>
      </c>
      <c r="T323" s="6">
        <v>63410.976521918601</v>
      </c>
      <c r="U323" s="7">
        <f>T323*DealsRawTable[[#This Row],[Contract_Years]]</f>
        <v>63410.976521918601</v>
      </c>
      <c r="V323" s="8">
        <v>9.8000000000000004E-2</v>
      </c>
      <c r="W323" s="8">
        <v>7.5999999999999998E-2</v>
      </c>
      <c r="X323" s="8">
        <v>-7.1999999999999995E-2</v>
      </c>
      <c r="Y323" t="s">
        <v>885</v>
      </c>
      <c r="Z323" t="s">
        <v>879</v>
      </c>
      <c r="AA323" s="6">
        <v>58607.533131336517</v>
      </c>
      <c r="AB323" s="7">
        <f>DealsRawTable[[#This Row],[Final_Price_ACV]]*DealsRawTable[[#This Row],[Contract_Years]]</f>
        <v>58607.533131336517</v>
      </c>
      <c r="AC323" s="6">
        <v>22639.869433239299</v>
      </c>
      <c r="AD323" s="6">
        <v>35967.663698097218</v>
      </c>
      <c r="AE323" s="8">
        <v>0.61370376428394458</v>
      </c>
      <c r="AF323" t="s">
        <v>880</v>
      </c>
      <c r="AH323" t="s">
        <v>44</v>
      </c>
      <c r="AI323" t="s">
        <v>38</v>
      </c>
      <c r="AJ323" s="6">
        <v>58607.533131336517</v>
      </c>
      <c r="AK323" s="6">
        <v>35967.663698097218</v>
      </c>
      <c r="AL323" t="s">
        <v>886</v>
      </c>
      <c r="AM323">
        <f t="shared" si="8"/>
        <v>58591.74</v>
      </c>
      <c r="AN323">
        <f>DealsRawTable[[#This Row],[Validated_Annual_Final_Price]]*DealsRawTable[[#This Row],[Contract_Years]]</f>
        <v>58591.74</v>
      </c>
      <c r="AO323">
        <f>DealsRawTable[[#This Row],[Validated_Annual_Final_Price]]-DealsRawTable[[#This Row],[Cost_to_Serve]]</f>
        <v>35951.870566760699</v>
      </c>
      <c r="AP323" s="17">
        <f>DealsRawTable[[#This Row],[Validated_Grossprofit]]/DealsRawTable[[#This Row],[Validated_Annual_Final_Price]]</f>
        <v>0.61359963992809741</v>
      </c>
      <c r="AQ323" s="17">
        <v>58591.74</v>
      </c>
      <c r="AR323" s="17">
        <v>58591.74</v>
      </c>
      <c r="AS323" s="17">
        <v>35951.870566760699</v>
      </c>
      <c r="AT323" s="17">
        <v>0.61359963992809741</v>
      </c>
      <c r="AU323" s="17" t="str">
        <f t="shared" si="9"/>
        <v>5–10%</v>
      </c>
      <c r="AV323" s="17">
        <v>116</v>
      </c>
      <c r="AW323" s="17"/>
    </row>
    <row r="324" spans="1:49">
      <c r="A324" t="s">
        <v>1229</v>
      </c>
      <c r="B324" s="5">
        <v>45603</v>
      </c>
      <c r="C324" t="s">
        <v>240</v>
      </c>
      <c r="D324" t="s">
        <v>241</v>
      </c>
      <c r="E324" t="s">
        <v>645</v>
      </c>
      <c r="F324" t="s">
        <v>47</v>
      </c>
      <c r="G324" t="s">
        <v>69</v>
      </c>
      <c r="H324" t="s">
        <v>70</v>
      </c>
      <c r="I324" t="s">
        <v>71</v>
      </c>
      <c r="J324" t="s">
        <v>56</v>
      </c>
      <c r="K324" t="s">
        <v>38</v>
      </c>
      <c r="L324" s="5">
        <v>43191</v>
      </c>
      <c r="M324">
        <v>88</v>
      </c>
      <c r="N324" t="s">
        <v>431</v>
      </c>
      <c r="O324" t="s">
        <v>876</v>
      </c>
      <c r="Q324">
        <v>1</v>
      </c>
      <c r="R324">
        <v>464</v>
      </c>
      <c r="S324" t="s">
        <v>888</v>
      </c>
      <c r="T324" s="6">
        <v>65634.004763632271</v>
      </c>
      <c r="U324" s="7">
        <f>T324*DealsRawTable[[#This Row],[Contract_Years]]</f>
        <v>65634.004763632271</v>
      </c>
      <c r="V324" s="8">
        <v>0.22700000000000001</v>
      </c>
      <c r="W324" s="8">
        <v>0.22700000000000001</v>
      </c>
      <c r="X324" s="8">
        <v>-1.0999999999999999E-2</v>
      </c>
      <c r="Y324" t="s">
        <v>911</v>
      </c>
      <c r="Z324" t="s">
        <v>893</v>
      </c>
      <c r="AA324" s="6">
        <v>50760.426232984151</v>
      </c>
      <c r="AB324" s="7">
        <f>DealsRawTable[[#This Row],[Final_Price_ACV]]*DealsRawTable[[#This Row],[Contract_Years]]</f>
        <v>50760.426232984151</v>
      </c>
      <c r="AC324" s="6">
        <v>25158.456063677208</v>
      </c>
      <c r="AD324" s="6">
        <v>25601.970169306944</v>
      </c>
      <c r="AE324" s="8">
        <v>0.50436869958098918</v>
      </c>
      <c r="AF324" t="s">
        <v>880</v>
      </c>
      <c r="AG324" t="s">
        <v>44</v>
      </c>
      <c r="AI324" t="s">
        <v>38</v>
      </c>
      <c r="AJ324" s="6">
        <v>50760.426232984151</v>
      </c>
      <c r="AK324" s="6">
        <v>25601.970169306944</v>
      </c>
      <c r="AL324" t="s">
        <v>881</v>
      </c>
      <c r="AM324">
        <f t="shared" si="8"/>
        <v>50735.09</v>
      </c>
      <c r="AN324">
        <f>DealsRawTable[[#This Row],[Validated_Annual_Final_Price]]*DealsRawTable[[#This Row],[Contract_Years]]</f>
        <v>50735.09</v>
      </c>
      <c r="AO324">
        <f>DealsRawTable[[#This Row],[Validated_Annual_Final_Price]]-DealsRawTable[[#This Row],[Cost_to_Serve]]</f>
        <v>25576.633936322789</v>
      </c>
      <c r="AP324" s="17">
        <f>DealsRawTable[[#This Row],[Validated_Grossprofit]]/DealsRawTable[[#This Row],[Validated_Annual_Final_Price]]</f>
        <v>0.5041211898179897</v>
      </c>
      <c r="AQ324" s="17">
        <v>50735.09</v>
      </c>
      <c r="AR324" s="17">
        <v>50735.09</v>
      </c>
      <c r="AS324" s="17">
        <v>25576.633936322789</v>
      </c>
      <c r="AT324" s="17">
        <v>0.5041211898179897</v>
      </c>
      <c r="AU324" s="17" t="str">
        <f t="shared" si="9"/>
        <v>20–25%</v>
      </c>
      <c r="AV324" s="17">
        <v>29</v>
      </c>
      <c r="AW324" s="17"/>
    </row>
    <row r="325" spans="1:49">
      <c r="A325" t="s">
        <v>1230</v>
      </c>
      <c r="B325" s="5">
        <v>45968</v>
      </c>
      <c r="C325" t="s">
        <v>240</v>
      </c>
      <c r="D325" t="s">
        <v>241</v>
      </c>
      <c r="E325" t="s">
        <v>645</v>
      </c>
      <c r="F325" t="s">
        <v>47</v>
      </c>
      <c r="G325" t="s">
        <v>69</v>
      </c>
      <c r="H325" t="s">
        <v>70</v>
      </c>
      <c r="I325" t="s">
        <v>71</v>
      </c>
      <c r="J325" t="s">
        <v>56</v>
      </c>
      <c r="K325" t="s">
        <v>38</v>
      </c>
      <c r="L325" s="5">
        <v>43191</v>
      </c>
      <c r="M325">
        <v>88</v>
      </c>
      <c r="N325" t="s">
        <v>431</v>
      </c>
      <c r="O325" t="s">
        <v>876</v>
      </c>
      <c r="Q325">
        <v>1</v>
      </c>
      <c r="R325">
        <v>464</v>
      </c>
      <c r="S325" t="s">
        <v>877</v>
      </c>
      <c r="T325" s="6">
        <v>67911.926107047431</v>
      </c>
      <c r="U325" s="7">
        <f>T325*DealsRawTable[[#This Row],[Contract_Years]]</f>
        <v>67911.926107047431</v>
      </c>
      <c r="V325" s="8">
        <v>8.2000000000000003E-2</v>
      </c>
      <c r="W325" s="8">
        <v>7.2999999999999995E-2</v>
      </c>
      <c r="X325" s="8">
        <v>-4.2000000000000003E-2</v>
      </c>
      <c r="Y325" t="s">
        <v>909</v>
      </c>
      <c r="Z325" t="s">
        <v>879</v>
      </c>
      <c r="AA325" s="6">
        <v>62980.286846445539</v>
      </c>
      <c r="AB325" s="7">
        <f>DealsRawTable[[#This Row],[Final_Price_ACV]]*DealsRawTable[[#This Row],[Contract_Years]]</f>
        <v>62980.286846445539</v>
      </c>
      <c r="AC325" s="6">
        <v>25421.263943920967</v>
      </c>
      <c r="AD325" s="6">
        <v>37559.022902524572</v>
      </c>
      <c r="AE325" s="8">
        <v>0.59636157253615807</v>
      </c>
      <c r="AF325" t="s">
        <v>880</v>
      </c>
      <c r="AG325" t="s">
        <v>44</v>
      </c>
      <c r="AI325" t="s">
        <v>38</v>
      </c>
      <c r="AJ325" s="6">
        <v>62980.286846445539</v>
      </c>
      <c r="AK325" s="6">
        <v>37559.022902524572</v>
      </c>
      <c r="AL325" t="s">
        <v>881</v>
      </c>
      <c r="AM325">
        <f t="shared" ref="AM325:AM388" si="10">ROUND(T325*(1-W325),2)</f>
        <v>62954.36</v>
      </c>
      <c r="AN325">
        <f>DealsRawTable[[#This Row],[Validated_Annual_Final_Price]]*DealsRawTable[[#This Row],[Contract_Years]]</f>
        <v>62954.36</v>
      </c>
      <c r="AO325">
        <f>DealsRawTable[[#This Row],[Validated_Annual_Final_Price]]-DealsRawTable[[#This Row],[Cost_to_Serve]]</f>
        <v>37533.096056079034</v>
      </c>
      <c r="AP325" s="17">
        <f>DealsRawTable[[#This Row],[Validated_Grossprofit]]/DealsRawTable[[#This Row],[Validated_Annual_Final_Price]]</f>
        <v>0.59619533986333961</v>
      </c>
      <c r="AQ325" s="17">
        <v>62954.36</v>
      </c>
      <c r="AR325" s="17">
        <v>62954.36</v>
      </c>
      <c r="AS325" s="17">
        <v>37533.096056079034</v>
      </c>
      <c r="AT325" s="17">
        <v>0.59619533986333961</v>
      </c>
      <c r="AU325" s="17" t="str">
        <f t="shared" ref="AU325:AU388" si="11">IF(W325&lt;=0.05,"0–5%", IF(W325&lt;=0.1,"5–10%", IF(W325&lt;=0.15,"10–15%", IF(W325&lt;=0.2,"15–20%", IF(W325&lt;=0.25,"20–25%", IF(W325&lt;=0.3,"25–30%","Above 30%"))))))</f>
        <v>5–10%</v>
      </c>
      <c r="AV325" s="17">
        <v>116</v>
      </c>
      <c r="AW325" s="17"/>
    </row>
    <row r="326" spans="1:49">
      <c r="A326" t="s">
        <v>1231</v>
      </c>
      <c r="B326" s="5">
        <v>46013</v>
      </c>
      <c r="C326" t="s">
        <v>240</v>
      </c>
      <c r="D326" t="s">
        <v>241</v>
      </c>
      <c r="E326" t="s">
        <v>646</v>
      </c>
      <c r="F326" t="s">
        <v>445</v>
      </c>
      <c r="G326" t="s">
        <v>69</v>
      </c>
      <c r="H326" t="s">
        <v>70</v>
      </c>
      <c r="I326" t="s">
        <v>71</v>
      </c>
      <c r="J326" t="s">
        <v>56</v>
      </c>
      <c r="K326" t="s">
        <v>38</v>
      </c>
      <c r="L326" s="5">
        <v>43191</v>
      </c>
      <c r="M326">
        <v>88</v>
      </c>
      <c r="N326" t="s">
        <v>427</v>
      </c>
      <c r="O326" t="s">
        <v>876</v>
      </c>
      <c r="Q326">
        <v>2</v>
      </c>
      <c r="R326">
        <v>155</v>
      </c>
      <c r="S326" t="s">
        <v>888</v>
      </c>
      <c r="T326" s="6">
        <v>99813.572036701793</v>
      </c>
      <c r="U326" s="7">
        <f>T326*DealsRawTable[[#This Row],[Contract_Years]]</f>
        <v>199627.14407340359</v>
      </c>
      <c r="V326" s="8">
        <v>0.1</v>
      </c>
      <c r="W326" s="8">
        <v>8.2000000000000003E-2</v>
      </c>
      <c r="X326" s="8">
        <v>1.7999999999999999E-2</v>
      </c>
      <c r="Y326" t="s">
        <v>885</v>
      </c>
      <c r="Z326" t="s">
        <v>879</v>
      </c>
      <c r="AA326" s="6">
        <v>91654.13070180513</v>
      </c>
      <c r="AB326" s="7">
        <f>DealsRawTable[[#This Row],[Final_Price_ACV]]*DealsRawTable[[#This Row],[Contract_Years]]</f>
        <v>183308.26140361026</v>
      </c>
      <c r="AC326" s="6">
        <v>30446.923750553768</v>
      </c>
      <c r="AD326" s="6">
        <v>61207.206951251363</v>
      </c>
      <c r="AE326" s="8">
        <v>0.6678063114295173</v>
      </c>
      <c r="AF326" t="s">
        <v>880</v>
      </c>
      <c r="AG326" t="s">
        <v>44</v>
      </c>
      <c r="AI326" t="s">
        <v>38</v>
      </c>
      <c r="AJ326" s="6">
        <v>91654.13070180513</v>
      </c>
      <c r="AK326" s="6">
        <v>61207.206951251363</v>
      </c>
      <c r="AL326" t="s">
        <v>881</v>
      </c>
      <c r="AM326">
        <f t="shared" si="10"/>
        <v>91628.86</v>
      </c>
      <c r="AN326">
        <f>DealsRawTable[[#This Row],[Validated_Annual_Final_Price]]*DealsRawTable[[#This Row],[Contract_Years]]</f>
        <v>183257.72</v>
      </c>
      <c r="AO326">
        <f>DealsRawTable[[#This Row],[Validated_Annual_Final_Price]]-DealsRawTable[[#This Row],[Cost_to_Serve]]</f>
        <v>61181.936249446233</v>
      </c>
      <c r="AP326" s="17">
        <f>DealsRawTable[[#This Row],[Validated_Grossprofit]]/DealsRawTable[[#This Row],[Validated_Annual_Final_Price]]</f>
        <v>0.66771469435990183</v>
      </c>
      <c r="AQ326" s="17">
        <v>91628.86</v>
      </c>
      <c r="AR326" s="17">
        <v>183257.72</v>
      </c>
      <c r="AS326" s="17">
        <v>61181.936249446233</v>
      </c>
      <c r="AT326" s="17">
        <v>0.66771469435990183</v>
      </c>
      <c r="AU326" s="17" t="str">
        <f t="shared" si="11"/>
        <v>5–10%</v>
      </c>
      <c r="AV326" s="17">
        <v>116</v>
      </c>
      <c r="AW326" s="17"/>
    </row>
    <row r="327" spans="1:49">
      <c r="A327" t="s">
        <v>1232</v>
      </c>
      <c r="B327" s="5">
        <v>45320</v>
      </c>
      <c r="C327" t="s">
        <v>242</v>
      </c>
      <c r="D327" t="s">
        <v>243</v>
      </c>
      <c r="E327" t="s">
        <v>647</v>
      </c>
      <c r="F327" t="s">
        <v>445</v>
      </c>
      <c r="G327" t="s">
        <v>53</v>
      </c>
      <c r="H327" t="s">
        <v>48</v>
      </c>
      <c r="I327" t="s">
        <v>49</v>
      </c>
      <c r="J327" t="s">
        <v>56</v>
      </c>
      <c r="K327" t="s">
        <v>38</v>
      </c>
      <c r="L327" s="5">
        <v>43252</v>
      </c>
      <c r="M327">
        <v>83</v>
      </c>
      <c r="N327" t="s">
        <v>427</v>
      </c>
      <c r="O327" t="s">
        <v>883</v>
      </c>
      <c r="P327" t="s">
        <v>946</v>
      </c>
      <c r="Q327">
        <v>1</v>
      </c>
      <c r="R327">
        <v>337</v>
      </c>
      <c r="S327" t="s">
        <v>932</v>
      </c>
      <c r="T327" s="6">
        <v>136663.05858790112</v>
      </c>
      <c r="U327" s="7">
        <f>T327*DealsRawTable[[#This Row],[Contract_Years]]</f>
        <v>136663.05858790112</v>
      </c>
      <c r="V327" s="8">
        <v>8.3000000000000004E-2</v>
      </c>
      <c r="W327" s="8">
        <v>6.6000000000000003E-2</v>
      </c>
      <c r="X327" s="8">
        <v>-6.3E-2</v>
      </c>
      <c r="Y327" t="s">
        <v>885</v>
      </c>
      <c r="Z327" t="s">
        <v>879</v>
      </c>
      <c r="AA327" s="6">
        <v>127705.30928937663</v>
      </c>
      <c r="AB327" s="7">
        <f>DealsRawTable[[#This Row],[Final_Price_ACV]]*DealsRawTable[[#This Row],[Contract_Years]]</f>
        <v>127705.30928937663</v>
      </c>
      <c r="AC327" s="6">
        <v>41762.496720537936</v>
      </c>
      <c r="AD327" s="6">
        <v>85942.812568838694</v>
      </c>
      <c r="AE327" s="8">
        <v>0.67297760012541608</v>
      </c>
      <c r="AF327" t="s">
        <v>880</v>
      </c>
      <c r="AH327" t="s">
        <v>44</v>
      </c>
      <c r="AI327" t="s">
        <v>38</v>
      </c>
      <c r="AJ327" s="6">
        <v>127705.30928937663</v>
      </c>
      <c r="AK327" s="6">
        <v>85942.812568838694</v>
      </c>
      <c r="AL327" t="s">
        <v>886</v>
      </c>
      <c r="AM327">
        <f t="shared" si="10"/>
        <v>127643.3</v>
      </c>
      <c r="AN327">
        <f>DealsRawTable[[#This Row],[Validated_Annual_Final_Price]]*DealsRawTable[[#This Row],[Contract_Years]]</f>
        <v>127643.3</v>
      </c>
      <c r="AO327">
        <f>DealsRawTable[[#This Row],[Validated_Annual_Final_Price]]-DealsRawTable[[#This Row],[Cost_to_Serve]]</f>
        <v>85880.803279462067</v>
      </c>
      <c r="AP327" s="17">
        <f>DealsRawTable[[#This Row],[Validated_Grossprofit]]/DealsRawTable[[#This Row],[Validated_Annual_Final_Price]]</f>
        <v>0.67281873219716248</v>
      </c>
      <c r="AQ327" s="17">
        <v>127643.3</v>
      </c>
      <c r="AR327" s="17">
        <v>127643.3</v>
      </c>
      <c r="AS327" s="17">
        <v>85880.803279462067</v>
      </c>
      <c r="AT327" s="17">
        <v>0.67281873219716248</v>
      </c>
      <c r="AU327" s="17" t="str">
        <f t="shared" si="11"/>
        <v>5–10%</v>
      </c>
      <c r="AV327" s="17">
        <v>116</v>
      </c>
      <c r="AW327" s="17"/>
    </row>
    <row r="328" spans="1:49">
      <c r="A328" t="s">
        <v>1233</v>
      </c>
      <c r="B328" s="5">
        <v>45549</v>
      </c>
      <c r="C328" t="s">
        <v>242</v>
      </c>
      <c r="D328" t="s">
        <v>243</v>
      </c>
      <c r="E328" t="s">
        <v>647</v>
      </c>
      <c r="F328" t="s">
        <v>445</v>
      </c>
      <c r="G328" t="s">
        <v>53</v>
      </c>
      <c r="H328" t="s">
        <v>48</v>
      </c>
      <c r="I328" t="s">
        <v>49</v>
      </c>
      <c r="J328" t="s">
        <v>56</v>
      </c>
      <c r="K328" t="s">
        <v>38</v>
      </c>
      <c r="L328" s="5">
        <v>43252</v>
      </c>
      <c r="M328">
        <v>83</v>
      </c>
      <c r="N328" t="s">
        <v>427</v>
      </c>
      <c r="O328" t="s">
        <v>876</v>
      </c>
      <c r="Q328">
        <v>1</v>
      </c>
      <c r="R328">
        <v>337</v>
      </c>
      <c r="S328" t="s">
        <v>932</v>
      </c>
      <c r="T328" s="6">
        <v>141991.06488096196</v>
      </c>
      <c r="U328" s="7">
        <f>T328*DealsRawTable[[#This Row],[Contract_Years]]</f>
        <v>141991.06488096196</v>
      </c>
      <c r="V328" s="8">
        <v>0.14599999999999999</v>
      </c>
      <c r="W328" s="8">
        <v>0.115</v>
      </c>
      <c r="X328" s="8">
        <v>-6.3E-2</v>
      </c>
      <c r="Y328" t="s">
        <v>930</v>
      </c>
      <c r="Z328" t="s">
        <v>889</v>
      </c>
      <c r="AA328" s="6">
        <v>125690.35439912163</v>
      </c>
      <c r="AB328" s="7">
        <f>DealsRawTable[[#This Row],[Final_Price_ACV]]*DealsRawTable[[#This Row],[Contract_Years]]</f>
        <v>125690.35439912163</v>
      </c>
      <c r="AC328" s="6">
        <v>44132.581238738734</v>
      </c>
      <c r="AD328" s="6">
        <v>81557.773160382902</v>
      </c>
      <c r="AE328" s="8">
        <v>0.64887853606810153</v>
      </c>
      <c r="AF328" t="s">
        <v>880</v>
      </c>
      <c r="AG328" t="s">
        <v>44</v>
      </c>
      <c r="AI328" t="s">
        <v>38</v>
      </c>
      <c r="AJ328" s="6">
        <v>125690.35439912163</v>
      </c>
      <c r="AK328" s="6">
        <v>81557.773160382902</v>
      </c>
      <c r="AL328" t="s">
        <v>881</v>
      </c>
      <c r="AM328">
        <f t="shared" si="10"/>
        <v>125662.09</v>
      </c>
      <c r="AN328">
        <f>DealsRawTable[[#This Row],[Validated_Annual_Final_Price]]*DealsRawTable[[#This Row],[Contract_Years]]</f>
        <v>125662.09</v>
      </c>
      <c r="AO328">
        <f>DealsRawTable[[#This Row],[Validated_Annual_Final_Price]]-DealsRawTable[[#This Row],[Cost_to_Serve]]</f>
        <v>81529.50876126127</v>
      </c>
      <c r="AP328" s="17">
        <f>DealsRawTable[[#This Row],[Validated_Grossprofit]]/DealsRawTable[[#This Row],[Validated_Annual_Final_Price]]</f>
        <v>0.64879956048209342</v>
      </c>
      <c r="AQ328" s="17">
        <v>125662.09</v>
      </c>
      <c r="AR328" s="17">
        <v>125662.09</v>
      </c>
      <c r="AS328" s="17">
        <v>81529.50876126127</v>
      </c>
      <c r="AT328" s="17">
        <v>0.64879956048209342</v>
      </c>
      <c r="AU328" s="17" t="str">
        <f t="shared" si="11"/>
        <v>10–15%</v>
      </c>
      <c r="AV328" s="17">
        <v>113</v>
      </c>
      <c r="AW328" s="17"/>
    </row>
    <row r="329" spans="1:49">
      <c r="A329" t="s">
        <v>1234</v>
      </c>
      <c r="B329" s="5">
        <v>45914</v>
      </c>
      <c r="C329" t="s">
        <v>242</v>
      </c>
      <c r="D329" t="s">
        <v>243</v>
      </c>
      <c r="E329" t="s">
        <v>647</v>
      </c>
      <c r="F329" t="s">
        <v>445</v>
      </c>
      <c r="G329" t="s">
        <v>53</v>
      </c>
      <c r="H329" t="s">
        <v>48</v>
      </c>
      <c r="I329" t="s">
        <v>49</v>
      </c>
      <c r="J329" t="s">
        <v>56</v>
      </c>
      <c r="K329" t="s">
        <v>38</v>
      </c>
      <c r="L329" s="5">
        <v>43252</v>
      </c>
      <c r="M329">
        <v>83</v>
      </c>
      <c r="N329" t="s">
        <v>427</v>
      </c>
      <c r="O329" t="s">
        <v>876</v>
      </c>
      <c r="Q329">
        <v>1</v>
      </c>
      <c r="R329">
        <v>337</v>
      </c>
      <c r="S329" t="s">
        <v>877</v>
      </c>
      <c r="T329" s="6">
        <v>151788.82655482154</v>
      </c>
      <c r="U329" s="7">
        <f>T329*DealsRawTable[[#This Row],[Contract_Years]]</f>
        <v>151788.82655482154</v>
      </c>
      <c r="V329" s="8">
        <v>0.13</v>
      </c>
      <c r="W329" s="8">
        <v>0.1</v>
      </c>
      <c r="X329" s="8">
        <v>1E-3</v>
      </c>
      <c r="Y329" t="s">
        <v>885</v>
      </c>
      <c r="Z329" t="s">
        <v>879</v>
      </c>
      <c r="AA329" s="6">
        <v>136626.57297209534</v>
      </c>
      <c r="AB329" s="7">
        <f>DealsRawTable[[#This Row],[Final_Price_ACV]]*DealsRawTable[[#This Row],[Contract_Years]]</f>
        <v>136626.57297209534</v>
      </c>
      <c r="AC329" s="6">
        <v>46493.021476065682</v>
      </c>
      <c r="AD329" s="6">
        <v>90133.551496029657</v>
      </c>
      <c r="AE329" s="8">
        <v>0.65970732878177785</v>
      </c>
      <c r="AF329" t="s">
        <v>880</v>
      </c>
      <c r="AG329" t="s">
        <v>44</v>
      </c>
      <c r="AI329" t="s">
        <v>38</v>
      </c>
      <c r="AJ329" s="6">
        <v>136626.57297209534</v>
      </c>
      <c r="AK329" s="6">
        <v>90133.551496029657</v>
      </c>
      <c r="AL329" t="s">
        <v>881</v>
      </c>
      <c r="AM329">
        <f t="shared" si="10"/>
        <v>136609.94</v>
      </c>
      <c r="AN329">
        <f>DealsRawTable[[#This Row],[Validated_Annual_Final_Price]]*DealsRawTable[[#This Row],[Contract_Years]]</f>
        <v>136609.94</v>
      </c>
      <c r="AO329">
        <f>DealsRawTable[[#This Row],[Validated_Annual_Final_Price]]-DealsRawTable[[#This Row],[Cost_to_Serve]]</f>
        <v>90116.918523934321</v>
      </c>
      <c r="AP329" s="17">
        <f>DealsRawTable[[#This Row],[Validated_Grossprofit]]/DealsRawTable[[#This Row],[Validated_Annual_Final_Price]]</f>
        <v>0.65966589637572726</v>
      </c>
      <c r="AQ329" s="17">
        <v>136609.94</v>
      </c>
      <c r="AR329" s="17">
        <v>136609.94</v>
      </c>
      <c r="AS329" s="17">
        <v>90116.918523934321</v>
      </c>
      <c r="AT329" s="17">
        <v>0.65966589637572726</v>
      </c>
      <c r="AU329" s="17" t="str">
        <f t="shared" si="11"/>
        <v>5–10%</v>
      </c>
      <c r="AV329" s="17">
        <v>116</v>
      </c>
      <c r="AW329" s="17"/>
    </row>
    <row r="330" spans="1:49">
      <c r="A330" t="s">
        <v>1235</v>
      </c>
      <c r="B330" s="5">
        <v>45388</v>
      </c>
      <c r="C330" t="s">
        <v>242</v>
      </c>
      <c r="D330" t="s">
        <v>243</v>
      </c>
      <c r="E330" t="s">
        <v>648</v>
      </c>
      <c r="F330" t="s">
        <v>475</v>
      </c>
      <c r="G330" t="s">
        <v>53</v>
      </c>
      <c r="H330" t="s">
        <v>48</v>
      </c>
      <c r="I330" t="s">
        <v>49</v>
      </c>
      <c r="J330" t="s">
        <v>56</v>
      </c>
      <c r="K330" t="s">
        <v>38</v>
      </c>
      <c r="L330" s="5">
        <v>43252</v>
      </c>
      <c r="M330">
        <v>83</v>
      </c>
      <c r="N330" t="s">
        <v>433</v>
      </c>
      <c r="O330" t="s">
        <v>883</v>
      </c>
      <c r="P330" t="s">
        <v>985</v>
      </c>
      <c r="Q330">
        <v>1</v>
      </c>
      <c r="R330">
        <v>386</v>
      </c>
      <c r="S330" t="s">
        <v>947</v>
      </c>
      <c r="T330" s="6">
        <v>293213.03415861679</v>
      </c>
      <c r="U330" s="7">
        <f>T330*DealsRawTable[[#This Row],[Contract_Years]]</f>
        <v>293213.03415861679</v>
      </c>
      <c r="V330" s="8">
        <v>0.16900000000000001</v>
      </c>
      <c r="W330" s="8">
        <v>0.14000000000000001</v>
      </c>
      <c r="X330" s="8">
        <v>-4.1000000000000002E-2</v>
      </c>
      <c r="Y330" t="s">
        <v>885</v>
      </c>
      <c r="Z330" t="s">
        <v>889</v>
      </c>
      <c r="AA330" s="6">
        <v>252185.586490246</v>
      </c>
      <c r="AB330" s="7">
        <f>DealsRawTable[[#This Row],[Final_Price_ACV]]*DealsRawTable[[#This Row],[Contract_Years]]</f>
        <v>252185.586490246</v>
      </c>
      <c r="AC330" s="6">
        <v>108637.26437035015</v>
      </c>
      <c r="AD330" s="6">
        <v>143548.32211989583</v>
      </c>
      <c r="AE330" s="8">
        <v>0.5692169965687075</v>
      </c>
      <c r="AF330" t="s">
        <v>880</v>
      </c>
      <c r="AH330" t="s">
        <v>44</v>
      </c>
      <c r="AI330" t="s">
        <v>38</v>
      </c>
      <c r="AJ330" s="6">
        <v>252185.586490246</v>
      </c>
      <c r="AK330" s="6">
        <v>143548.32211989583</v>
      </c>
      <c r="AL330" t="s">
        <v>886</v>
      </c>
      <c r="AM330">
        <f t="shared" si="10"/>
        <v>252163.21</v>
      </c>
      <c r="AN330">
        <f>DealsRawTable[[#This Row],[Validated_Annual_Final_Price]]*DealsRawTable[[#This Row],[Contract_Years]]</f>
        <v>252163.21</v>
      </c>
      <c r="AO330">
        <f>DealsRawTable[[#This Row],[Validated_Annual_Final_Price]]-DealsRawTable[[#This Row],[Cost_to_Serve]]</f>
        <v>143525.94562964985</v>
      </c>
      <c r="AP330" s="17">
        <f>DealsRawTable[[#This Row],[Validated_Grossprofit]]/DealsRawTable[[#This Row],[Validated_Annual_Final_Price]]</f>
        <v>0.56917876969304859</v>
      </c>
      <c r="AQ330" s="17">
        <v>252163.21</v>
      </c>
      <c r="AR330" s="17">
        <v>252163.21</v>
      </c>
      <c r="AS330" s="17">
        <v>143525.94562964985</v>
      </c>
      <c r="AT330" s="17">
        <v>0.56917876969304859</v>
      </c>
      <c r="AU330" s="17" t="str">
        <f t="shared" si="11"/>
        <v>10–15%</v>
      </c>
      <c r="AV330" s="17">
        <v>113</v>
      </c>
      <c r="AW330" s="17"/>
    </row>
    <row r="331" spans="1:49">
      <c r="A331" t="s">
        <v>1236</v>
      </c>
      <c r="B331" s="5">
        <v>45614</v>
      </c>
      <c r="C331" t="s">
        <v>242</v>
      </c>
      <c r="D331" t="s">
        <v>243</v>
      </c>
      <c r="E331" t="s">
        <v>648</v>
      </c>
      <c r="F331" t="s">
        <v>475</v>
      </c>
      <c r="G331" t="s">
        <v>53</v>
      </c>
      <c r="H331" t="s">
        <v>48</v>
      </c>
      <c r="I331" t="s">
        <v>49</v>
      </c>
      <c r="J331" t="s">
        <v>56</v>
      </c>
      <c r="K331" t="s">
        <v>38</v>
      </c>
      <c r="L331" s="5">
        <v>43252</v>
      </c>
      <c r="M331">
        <v>83</v>
      </c>
      <c r="N331" t="s">
        <v>433</v>
      </c>
      <c r="O331" t="s">
        <v>876</v>
      </c>
      <c r="Q331">
        <v>1</v>
      </c>
      <c r="R331">
        <v>386</v>
      </c>
      <c r="S331" t="s">
        <v>892</v>
      </c>
      <c r="T331" s="6">
        <v>314262.15684870153</v>
      </c>
      <c r="U331" s="7">
        <f>T331*DealsRawTable[[#This Row],[Contract_Years]]</f>
        <v>314262.15684870153</v>
      </c>
      <c r="V331" s="8">
        <v>0.184</v>
      </c>
      <c r="W331" s="8">
        <v>0.16200000000000001</v>
      </c>
      <c r="X331" s="8">
        <v>-0.105</v>
      </c>
      <c r="Y331" t="s">
        <v>885</v>
      </c>
      <c r="Z331" t="s">
        <v>889</v>
      </c>
      <c r="AA331" s="6">
        <v>263422.09663734323</v>
      </c>
      <c r="AB331" s="7">
        <f>DealsRawTable[[#This Row],[Final_Price_ACV]]*DealsRawTable[[#This Row],[Contract_Years]]</f>
        <v>263422.09663734323</v>
      </c>
      <c r="AC331" s="6">
        <v>117146.42016351991</v>
      </c>
      <c r="AD331" s="6">
        <v>146275.67647382332</v>
      </c>
      <c r="AE331" s="8">
        <v>0.55529007756400561</v>
      </c>
      <c r="AF331" t="s">
        <v>880</v>
      </c>
      <c r="AG331" t="s">
        <v>44</v>
      </c>
      <c r="AI331" t="s">
        <v>38</v>
      </c>
      <c r="AJ331" s="6">
        <v>263422.09663734323</v>
      </c>
      <c r="AK331" s="6">
        <v>146275.67647382332</v>
      </c>
      <c r="AL331" t="s">
        <v>881</v>
      </c>
      <c r="AM331">
        <f t="shared" si="10"/>
        <v>263351.69</v>
      </c>
      <c r="AN331">
        <f>DealsRawTable[[#This Row],[Validated_Annual_Final_Price]]*DealsRawTable[[#This Row],[Contract_Years]]</f>
        <v>263351.69</v>
      </c>
      <c r="AO331">
        <f>DealsRawTable[[#This Row],[Validated_Annual_Final_Price]]-DealsRawTable[[#This Row],[Cost_to_Serve]]</f>
        <v>146205.26983648009</v>
      </c>
      <c r="AP331" s="17">
        <f>DealsRawTable[[#This Row],[Validated_Grossprofit]]/DealsRawTable[[#This Row],[Validated_Annual_Final_Price]]</f>
        <v>0.55517118510414754</v>
      </c>
      <c r="AQ331" s="17">
        <v>263351.69</v>
      </c>
      <c r="AR331" s="17">
        <v>263351.69</v>
      </c>
      <c r="AS331" s="17">
        <v>146205.26983648009</v>
      </c>
      <c r="AT331" s="17">
        <v>0.55517118510414754</v>
      </c>
      <c r="AU331" s="17" t="str">
        <f t="shared" si="11"/>
        <v>15–20%</v>
      </c>
      <c r="AV331" s="17">
        <v>108</v>
      </c>
      <c r="AW331" s="17"/>
    </row>
    <row r="332" spans="1:49">
      <c r="A332" t="s">
        <v>1237</v>
      </c>
      <c r="B332" s="5">
        <v>45979</v>
      </c>
      <c r="C332" t="s">
        <v>242</v>
      </c>
      <c r="D332" t="s">
        <v>243</v>
      </c>
      <c r="E332" t="s">
        <v>648</v>
      </c>
      <c r="F332" t="s">
        <v>475</v>
      </c>
      <c r="G332" t="s">
        <v>53</v>
      </c>
      <c r="H332" t="s">
        <v>48</v>
      </c>
      <c r="I332" t="s">
        <v>49</v>
      </c>
      <c r="J332" t="s">
        <v>56</v>
      </c>
      <c r="K332" t="s">
        <v>38</v>
      </c>
      <c r="L332" s="5">
        <v>43252</v>
      </c>
      <c r="M332">
        <v>83</v>
      </c>
      <c r="N332" t="s">
        <v>433</v>
      </c>
      <c r="O332" t="s">
        <v>876</v>
      </c>
      <c r="Q332">
        <v>1</v>
      </c>
      <c r="R332">
        <v>386</v>
      </c>
      <c r="S332" t="s">
        <v>892</v>
      </c>
      <c r="T332" s="6">
        <v>337915.22664480138</v>
      </c>
      <c r="U332" s="7">
        <f>T332*DealsRawTable[[#This Row],[Contract_Years]]</f>
        <v>337915.22664480138</v>
      </c>
      <c r="V332" s="8">
        <v>0.14499999999999999</v>
      </c>
      <c r="W332" s="8">
        <v>9.4E-2</v>
      </c>
      <c r="X332" s="8">
        <v>1.4E-2</v>
      </c>
      <c r="Y332" t="s">
        <v>909</v>
      </c>
      <c r="Z332" t="s">
        <v>879</v>
      </c>
      <c r="AA332" s="6">
        <v>306209.35830869171</v>
      </c>
      <c r="AB332" s="7">
        <f>DealsRawTable[[#This Row],[Final_Price_ACV]]*DealsRawTable[[#This Row],[Contract_Years]]</f>
        <v>306209.35830869171</v>
      </c>
      <c r="AC332" s="6">
        <v>106571.87649193796</v>
      </c>
      <c r="AD332" s="6">
        <v>199637.48181675375</v>
      </c>
      <c r="AE332" s="8">
        <v>0.6519640122020629</v>
      </c>
      <c r="AF332" t="s">
        <v>880</v>
      </c>
      <c r="AG332" t="s">
        <v>44</v>
      </c>
      <c r="AI332" t="s">
        <v>38</v>
      </c>
      <c r="AJ332" s="6">
        <v>306209.35830869171</v>
      </c>
      <c r="AK332" s="6">
        <v>199637.48181675375</v>
      </c>
      <c r="AL332" t="s">
        <v>881</v>
      </c>
      <c r="AM332">
        <f t="shared" si="10"/>
        <v>306151.2</v>
      </c>
      <c r="AN332">
        <f>DealsRawTable[[#This Row],[Validated_Annual_Final_Price]]*DealsRawTable[[#This Row],[Contract_Years]]</f>
        <v>306151.2</v>
      </c>
      <c r="AO332">
        <f>DealsRawTable[[#This Row],[Validated_Annual_Final_Price]]-DealsRawTable[[#This Row],[Cost_to_Serve]]</f>
        <v>199579.32350806205</v>
      </c>
      <c r="AP332" s="17">
        <f>DealsRawTable[[#This Row],[Validated_Grossprofit]]/DealsRawTable[[#This Row],[Validated_Annual_Final_Price]]</f>
        <v>0.65189789720916347</v>
      </c>
      <c r="AQ332" s="17">
        <v>306151.2</v>
      </c>
      <c r="AR332" s="17">
        <v>306151.2</v>
      </c>
      <c r="AS332" s="17">
        <v>199579.32350806205</v>
      </c>
      <c r="AT332" s="17">
        <v>0.65189789720916347</v>
      </c>
      <c r="AU332" s="17" t="str">
        <f t="shared" si="11"/>
        <v>5–10%</v>
      </c>
      <c r="AV332" s="17">
        <v>116</v>
      </c>
      <c r="AW332" s="17"/>
    </row>
    <row r="333" spans="1:49">
      <c r="A333" t="s">
        <v>1238</v>
      </c>
      <c r="B333" s="5">
        <v>45351</v>
      </c>
      <c r="C333" t="s">
        <v>244</v>
      </c>
      <c r="D333" t="s">
        <v>245</v>
      </c>
      <c r="E333" t="s">
        <v>649</v>
      </c>
      <c r="F333" t="s">
        <v>34</v>
      </c>
      <c r="G333" t="s">
        <v>83</v>
      </c>
      <c r="H333" t="s">
        <v>54</v>
      </c>
      <c r="I333" t="s">
        <v>94</v>
      </c>
      <c r="J333" t="s">
        <v>43</v>
      </c>
      <c r="K333" t="s">
        <v>38</v>
      </c>
      <c r="L333" s="5">
        <v>43770</v>
      </c>
      <c r="M333">
        <v>83</v>
      </c>
      <c r="N333" t="s">
        <v>433</v>
      </c>
      <c r="O333" t="s">
        <v>876</v>
      </c>
      <c r="Q333">
        <v>1</v>
      </c>
      <c r="R333">
        <v>1921</v>
      </c>
      <c r="S333" t="s">
        <v>888</v>
      </c>
      <c r="T333" s="6">
        <v>967989.4774763115</v>
      </c>
      <c r="U333" s="7">
        <f>T333*DealsRawTable[[#This Row],[Contract_Years]]</f>
        <v>967989.4774763115</v>
      </c>
      <c r="V333" s="8">
        <v>8.1000000000000003E-2</v>
      </c>
      <c r="W333" s="8">
        <v>5.1999999999999998E-2</v>
      </c>
      <c r="X333" s="8">
        <v>-0.154</v>
      </c>
      <c r="Y333" t="s">
        <v>905</v>
      </c>
      <c r="Z333" t="s">
        <v>879</v>
      </c>
      <c r="AA333" s="6">
        <v>917918.35162756324</v>
      </c>
      <c r="AB333" s="7">
        <f>DealsRawTable[[#This Row],[Final_Price_ACV]]*DealsRawTable[[#This Row],[Contract_Years]]</f>
        <v>917918.35162756324</v>
      </c>
      <c r="AC333" s="6">
        <v>342389.34499518416</v>
      </c>
      <c r="AD333" s="6">
        <v>575529.00663237902</v>
      </c>
      <c r="AE333" s="8">
        <v>0.62699368153159496</v>
      </c>
      <c r="AF333" t="s">
        <v>457</v>
      </c>
      <c r="AG333" t="s">
        <v>38</v>
      </c>
      <c r="AI333" t="s">
        <v>38</v>
      </c>
      <c r="AJ333" s="6">
        <v>0</v>
      </c>
      <c r="AK333" s="6">
        <v>0</v>
      </c>
      <c r="AL333" t="s">
        <v>881</v>
      </c>
      <c r="AM333">
        <f t="shared" si="10"/>
        <v>917654.02</v>
      </c>
      <c r="AN333">
        <f>DealsRawTable[[#This Row],[Validated_Annual_Final_Price]]*DealsRawTable[[#This Row],[Contract_Years]]</f>
        <v>917654.02</v>
      </c>
      <c r="AO333">
        <f>DealsRawTable[[#This Row],[Validated_Annual_Final_Price]]-DealsRawTable[[#This Row],[Cost_to_Serve]]</f>
        <v>575264.67500481592</v>
      </c>
      <c r="AP333" s="17">
        <f>DealsRawTable[[#This Row],[Validated_Grossprofit]]/DealsRawTable[[#This Row],[Validated_Annual_Final_Price]]</f>
        <v>0.62688623649773356</v>
      </c>
      <c r="AQ333" s="17">
        <v>0</v>
      </c>
      <c r="AR333" s="17">
        <v>0</v>
      </c>
      <c r="AS333" s="17">
        <v>0</v>
      </c>
      <c r="AT333" s="17">
        <v>0</v>
      </c>
      <c r="AU333" s="17" t="str">
        <f t="shared" si="11"/>
        <v>5–10%</v>
      </c>
      <c r="AV333" s="17">
        <v>116</v>
      </c>
      <c r="AW333" s="17"/>
    </row>
    <row r="334" spans="1:49">
      <c r="A334" t="s">
        <v>1239</v>
      </c>
      <c r="B334" s="5">
        <v>45669</v>
      </c>
      <c r="C334" t="s">
        <v>244</v>
      </c>
      <c r="D334" t="s">
        <v>245</v>
      </c>
      <c r="E334" t="s">
        <v>649</v>
      </c>
      <c r="F334" t="s">
        <v>34</v>
      </c>
      <c r="G334" t="s">
        <v>83</v>
      </c>
      <c r="H334" t="s">
        <v>54</v>
      </c>
      <c r="I334" t="s">
        <v>94</v>
      </c>
      <c r="J334" t="s">
        <v>43</v>
      </c>
      <c r="K334" t="s">
        <v>38</v>
      </c>
      <c r="L334" s="5">
        <v>43770</v>
      </c>
      <c r="M334">
        <v>83</v>
      </c>
      <c r="N334" t="s">
        <v>433</v>
      </c>
      <c r="O334" t="s">
        <v>915</v>
      </c>
      <c r="Q334">
        <v>1</v>
      </c>
      <c r="R334">
        <v>1921</v>
      </c>
      <c r="S334" t="s">
        <v>932</v>
      </c>
      <c r="T334" s="6">
        <v>967989.4774763115</v>
      </c>
      <c r="U334" s="7">
        <f>T334*DealsRawTable[[#This Row],[Contract_Years]]</f>
        <v>967989.4774763115</v>
      </c>
      <c r="V334" s="8">
        <v>0.22600000000000001</v>
      </c>
      <c r="W334" s="8">
        <v>0.215</v>
      </c>
      <c r="X334" s="8">
        <v>-5.0000000000000001E-3</v>
      </c>
      <c r="Y334" t="s">
        <v>878</v>
      </c>
      <c r="Z334" t="s">
        <v>893</v>
      </c>
      <c r="AA334" s="6">
        <v>759506.89635424747</v>
      </c>
      <c r="AB334" s="7">
        <f>DealsRawTable[[#This Row],[Final_Price_ACV]]*DealsRawTable[[#This Row],[Contract_Years]]</f>
        <v>759506.89635424747</v>
      </c>
      <c r="AC334" s="6">
        <v>325296.95235952124</v>
      </c>
      <c r="AD334" s="6">
        <v>434209.94399472623</v>
      </c>
      <c r="AE334" s="8">
        <v>0.57169980427959544</v>
      </c>
      <c r="AF334" t="s">
        <v>880</v>
      </c>
      <c r="AI334" t="s">
        <v>44</v>
      </c>
      <c r="AJ334" s="6">
        <v>759506.89635424747</v>
      </c>
      <c r="AK334" s="6">
        <v>434209.94399472623</v>
      </c>
      <c r="AL334" t="s">
        <v>916</v>
      </c>
      <c r="AM334">
        <f t="shared" si="10"/>
        <v>759871.74</v>
      </c>
      <c r="AN334">
        <f>DealsRawTable[[#This Row],[Validated_Annual_Final_Price]]*DealsRawTable[[#This Row],[Contract_Years]]</f>
        <v>759871.74</v>
      </c>
      <c r="AO334">
        <f>DealsRawTable[[#This Row],[Validated_Annual_Final_Price]]-DealsRawTable[[#This Row],[Cost_to_Serve]]</f>
        <v>434574.78764047875</v>
      </c>
      <c r="AP334" s="17">
        <f>DealsRawTable[[#This Row],[Validated_Grossprofit]]/DealsRawTable[[#This Row],[Validated_Annual_Final_Price]]</f>
        <v>0.57190544767525997</v>
      </c>
      <c r="AQ334" s="17">
        <v>759871.74</v>
      </c>
      <c r="AR334" s="17">
        <v>759871.74</v>
      </c>
      <c r="AS334" s="17">
        <v>434574.78764047875</v>
      </c>
      <c r="AT334" s="17">
        <v>0.57190544767525997</v>
      </c>
      <c r="AU334" s="17" t="str">
        <f t="shared" si="11"/>
        <v>20–25%</v>
      </c>
      <c r="AV334" s="17">
        <v>29</v>
      </c>
      <c r="AW334" s="17"/>
    </row>
    <row r="335" spans="1:49">
      <c r="A335" t="s">
        <v>1240</v>
      </c>
      <c r="B335" s="5">
        <v>45368</v>
      </c>
      <c r="C335" t="s">
        <v>244</v>
      </c>
      <c r="D335" t="s">
        <v>245</v>
      </c>
      <c r="E335" t="s">
        <v>650</v>
      </c>
      <c r="F335" t="s">
        <v>445</v>
      </c>
      <c r="G335" t="s">
        <v>83</v>
      </c>
      <c r="H335" t="s">
        <v>54</v>
      </c>
      <c r="I335" t="s">
        <v>94</v>
      </c>
      <c r="J335" t="s">
        <v>43</v>
      </c>
      <c r="K335" t="s">
        <v>38</v>
      </c>
      <c r="L335" s="5">
        <v>43770</v>
      </c>
      <c r="M335">
        <v>83</v>
      </c>
      <c r="N335" t="s">
        <v>424</v>
      </c>
      <c r="O335" t="s">
        <v>876</v>
      </c>
      <c r="Q335">
        <v>1</v>
      </c>
      <c r="R335">
        <v>262</v>
      </c>
      <c r="S335" t="s">
        <v>932</v>
      </c>
      <c r="T335" s="6">
        <v>132455.58011710402</v>
      </c>
      <c r="U335" s="7">
        <f>T335*DealsRawTable[[#This Row],[Contract_Years]]</f>
        <v>132455.58011710402</v>
      </c>
      <c r="V335" s="8">
        <v>0.106</v>
      </c>
      <c r="W335" s="8">
        <v>9.7000000000000003E-2</v>
      </c>
      <c r="X335" s="8">
        <v>0.02</v>
      </c>
      <c r="Y335" t="s">
        <v>909</v>
      </c>
      <c r="Z335" t="s">
        <v>879</v>
      </c>
      <c r="AA335" s="6">
        <v>119595.15307153121</v>
      </c>
      <c r="AB335" s="7">
        <f>DealsRawTable[[#This Row],[Final_Price_ACV]]*DealsRawTable[[#This Row],[Contract_Years]]</f>
        <v>119595.15307153121</v>
      </c>
      <c r="AC335" s="6">
        <v>41475.207469397712</v>
      </c>
      <c r="AD335" s="6">
        <v>78119.945602133492</v>
      </c>
      <c r="AE335" s="8">
        <v>0.65320327451237992</v>
      </c>
      <c r="AF335" t="s">
        <v>880</v>
      </c>
      <c r="AG335" t="s">
        <v>44</v>
      </c>
      <c r="AI335" t="s">
        <v>38</v>
      </c>
      <c r="AJ335" s="6">
        <v>119595.15307153121</v>
      </c>
      <c r="AK335" s="6">
        <v>78119.945602133492</v>
      </c>
      <c r="AL335" t="s">
        <v>881</v>
      </c>
      <c r="AM335">
        <f t="shared" si="10"/>
        <v>119607.39</v>
      </c>
      <c r="AN335">
        <f>DealsRawTable[[#This Row],[Validated_Annual_Final_Price]]*DealsRawTable[[#This Row],[Contract_Years]]</f>
        <v>119607.39</v>
      </c>
      <c r="AO335">
        <f>DealsRawTable[[#This Row],[Validated_Annual_Final_Price]]-DealsRawTable[[#This Row],[Cost_to_Serve]]</f>
        <v>78132.182530602295</v>
      </c>
      <c r="AP335" s="17">
        <f>DealsRawTable[[#This Row],[Validated_Grossprofit]]/DealsRawTable[[#This Row],[Validated_Annual_Final_Price]]</f>
        <v>0.65323875498497452</v>
      </c>
      <c r="AQ335" s="17">
        <v>119607.39</v>
      </c>
      <c r="AR335" s="17">
        <v>119607.39</v>
      </c>
      <c r="AS335" s="17">
        <v>78132.182530602295</v>
      </c>
      <c r="AT335" s="17">
        <v>0.65323875498497452</v>
      </c>
      <c r="AU335" s="17" t="str">
        <f t="shared" si="11"/>
        <v>5–10%</v>
      </c>
      <c r="AV335" s="17">
        <v>116</v>
      </c>
      <c r="AW335" s="17"/>
    </row>
    <row r="336" spans="1:49">
      <c r="A336" t="s">
        <v>1241</v>
      </c>
      <c r="B336" s="5">
        <v>45552</v>
      </c>
      <c r="C336" t="s">
        <v>244</v>
      </c>
      <c r="D336" t="s">
        <v>245</v>
      </c>
      <c r="E336" t="s">
        <v>650</v>
      </c>
      <c r="F336" t="s">
        <v>445</v>
      </c>
      <c r="G336" t="s">
        <v>83</v>
      </c>
      <c r="H336" t="s">
        <v>54</v>
      </c>
      <c r="I336" t="s">
        <v>94</v>
      </c>
      <c r="J336" t="s">
        <v>43</v>
      </c>
      <c r="K336" t="s">
        <v>38</v>
      </c>
      <c r="L336" s="5">
        <v>43770</v>
      </c>
      <c r="M336">
        <v>83</v>
      </c>
      <c r="N336" t="s">
        <v>424</v>
      </c>
      <c r="O336" t="s">
        <v>883</v>
      </c>
      <c r="P336" t="s">
        <v>978</v>
      </c>
      <c r="Q336">
        <v>1</v>
      </c>
      <c r="R336">
        <v>354</v>
      </c>
      <c r="S336" t="s">
        <v>900</v>
      </c>
      <c r="T336" s="6">
        <v>163602.3625652726</v>
      </c>
      <c r="U336" s="7">
        <f>T336*DealsRawTable[[#This Row],[Contract_Years]]</f>
        <v>163602.3625652726</v>
      </c>
      <c r="V336" s="8">
        <v>0.126</v>
      </c>
      <c r="W336" s="8">
        <v>0.11899999999999999</v>
      </c>
      <c r="X336" s="8">
        <v>-6.8000000000000005E-2</v>
      </c>
      <c r="Y336" t="s">
        <v>885</v>
      </c>
      <c r="Z336" t="s">
        <v>889</v>
      </c>
      <c r="AA336" s="6">
        <v>144084.39005356372</v>
      </c>
      <c r="AB336" s="7">
        <f>DealsRawTable[[#This Row],[Final_Price_ACV]]*DealsRawTable[[#This Row],[Contract_Years]]</f>
        <v>144084.39005356372</v>
      </c>
      <c r="AC336" s="6">
        <v>46498.84593809113</v>
      </c>
      <c r="AD336" s="6">
        <v>97585.544115472585</v>
      </c>
      <c r="AE336" s="8">
        <v>0.67728047486056553</v>
      </c>
      <c r="AF336" t="s">
        <v>880</v>
      </c>
      <c r="AH336" t="s">
        <v>44</v>
      </c>
      <c r="AI336" t="s">
        <v>38</v>
      </c>
      <c r="AJ336" s="6">
        <v>144084.39005356372</v>
      </c>
      <c r="AK336" s="6">
        <v>97585.544115472585</v>
      </c>
      <c r="AL336" t="s">
        <v>886</v>
      </c>
      <c r="AM336">
        <f t="shared" si="10"/>
        <v>144133.68</v>
      </c>
      <c r="AN336">
        <f>DealsRawTable[[#This Row],[Validated_Annual_Final_Price]]*DealsRawTable[[#This Row],[Contract_Years]]</f>
        <v>144133.68</v>
      </c>
      <c r="AO336">
        <f>DealsRawTable[[#This Row],[Validated_Annual_Final_Price]]-DealsRawTable[[#This Row],[Cost_to_Serve]]</f>
        <v>97634.834061908856</v>
      </c>
      <c r="AP336" s="17">
        <f>DealsRawTable[[#This Row],[Validated_Grossprofit]]/DealsRawTable[[#This Row],[Validated_Annual_Final_Price]]</f>
        <v>0.67739083649226783</v>
      </c>
      <c r="AQ336" s="17">
        <v>144133.68</v>
      </c>
      <c r="AR336" s="17">
        <v>144133.68</v>
      </c>
      <c r="AS336" s="17">
        <v>97634.834061908856</v>
      </c>
      <c r="AT336" s="17">
        <v>0.67739083649226783</v>
      </c>
      <c r="AU336" s="17" t="str">
        <f t="shared" si="11"/>
        <v>10–15%</v>
      </c>
      <c r="AV336" s="17">
        <v>113</v>
      </c>
      <c r="AW336" s="17"/>
    </row>
    <row r="337" spans="1:49">
      <c r="A337" t="s">
        <v>1242</v>
      </c>
      <c r="B337" s="5">
        <v>45733</v>
      </c>
      <c r="C337" t="s">
        <v>244</v>
      </c>
      <c r="D337" t="s">
        <v>245</v>
      </c>
      <c r="E337" t="s">
        <v>650</v>
      </c>
      <c r="F337" t="s">
        <v>445</v>
      </c>
      <c r="G337" t="s">
        <v>83</v>
      </c>
      <c r="H337" t="s">
        <v>54</v>
      </c>
      <c r="I337" t="s">
        <v>94</v>
      </c>
      <c r="J337" t="s">
        <v>43</v>
      </c>
      <c r="K337" t="s">
        <v>38</v>
      </c>
      <c r="L337" s="5">
        <v>43770</v>
      </c>
      <c r="M337">
        <v>83</v>
      </c>
      <c r="N337" t="s">
        <v>424</v>
      </c>
      <c r="O337" t="s">
        <v>876</v>
      </c>
      <c r="Q337">
        <v>1</v>
      </c>
      <c r="R337">
        <v>354</v>
      </c>
      <c r="S337" t="s">
        <v>932</v>
      </c>
      <c r="T337" s="6">
        <v>170221.75474577385</v>
      </c>
      <c r="U337" s="7">
        <f>T337*DealsRawTable[[#This Row],[Contract_Years]]</f>
        <v>170221.75474577385</v>
      </c>
      <c r="V337" s="8">
        <v>0.16800000000000001</v>
      </c>
      <c r="W337" s="8">
        <v>0.15</v>
      </c>
      <c r="X337" s="8">
        <v>1.4E-2</v>
      </c>
      <c r="Y337" t="s">
        <v>902</v>
      </c>
      <c r="Z337" t="s">
        <v>889</v>
      </c>
      <c r="AA337" s="6">
        <v>144729.78791277105</v>
      </c>
      <c r="AB337" s="7">
        <f>DealsRawTable[[#This Row],[Final_Price_ACV]]*DealsRawTable[[#This Row],[Contract_Years]]</f>
        <v>144729.78791277105</v>
      </c>
      <c r="AC337" s="6">
        <v>49643.463826976047</v>
      </c>
      <c r="AD337" s="6">
        <v>95086.324085795</v>
      </c>
      <c r="AE337" s="8">
        <v>0.65699207783751978</v>
      </c>
      <c r="AF337" t="s">
        <v>880</v>
      </c>
      <c r="AG337" t="s">
        <v>44</v>
      </c>
      <c r="AI337" t="s">
        <v>38</v>
      </c>
      <c r="AJ337" s="6">
        <v>144729.78791277105</v>
      </c>
      <c r="AK337" s="6">
        <v>95086.324085795</v>
      </c>
      <c r="AL337" t="s">
        <v>881</v>
      </c>
      <c r="AM337">
        <f t="shared" si="10"/>
        <v>144688.49</v>
      </c>
      <c r="AN337">
        <f>DealsRawTable[[#This Row],[Validated_Annual_Final_Price]]*DealsRawTable[[#This Row],[Contract_Years]]</f>
        <v>144688.49</v>
      </c>
      <c r="AO337">
        <f>DealsRawTable[[#This Row],[Validated_Annual_Final_Price]]-DealsRawTable[[#This Row],[Cost_to_Serve]]</f>
        <v>95045.026173023944</v>
      </c>
      <c r="AP337" s="17">
        <f>DealsRawTable[[#This Row],[Validated_Grossprofit]]/DealsRawTable[[#This Row],[Validated_Annual_Final_Price]]</f>
        <v>0.65689417432598785</v>
      </c>
      <c r="AQ337" s="17">
        <v>144688.49</v>
      </c>
      <c r="AR337" s="17">
        <v>144688.49</v>
      </c>
      <c r="AS337" s="17">
        <v>95045.026173023944</v>
      </c>
      <c r="AT337" s="17">
        <v>0.65689417432598785</v>
      </c>
      <c r="AU337" s="17" t="str">
        <f t="shared" si="11"/>
        <v>10–15%</v>
      </c>
      <c r="AV337" s="17">
        <v>113</v>
      </c>
      <c r="AW337" s="17"/>
    </row>
    <row r="338" spans="1:49">
      <c r="A338" t="s">
        <v>1243</v>
      </c>
      <c r="B338" s="5">
        <v>45509</v>
      </c>
      <c r="C338" t="s">
        <v>244</v>
      </c>
      <c r="D338" t="s">
        <v>245</v>
      </c>
      <c r="E338" t="s">
        <v>651</v>
      </c>
      <c r="F338" t="s">
        <v>47</v>
      </c>
      <c r="G338" t="s">
        <v>83</v>
      </c>
      <c r="H338" t="s">
        <v>54</v>
      </c>
      <c r="I338" t="s">
        <v>94</v>
      </c>
      <c r="J338" t="s">
        <v>43</v>
      </c>
      <c r="K338" t="s">
        <v>38</v>
      </c>
      <c r="L338" s="5">
        <v>43770</v>
      </c>
      <c r="M338">
        <v>83</v>
      </c>
      <c r="N338" t="s">
        <v>429</v>
      </c>
      <c r="O338" t="s">
        <v>883</v>
      </c>
      <c r="P338" t="s">
        <v>946</v>
      </c>
      <c r="Q338">
        <v>3</v>
      </c>
      <c r="R338">
        <v>601</v>
      </c>
      <c r="S338" t="s">
        <v>888</v>
      </c>
      <c r="T338" s="6">
        <v>311803.55432341638</v>
      </c>
      <c r="U338" s="7">
        <f>T338*DealsRawTable[[#This Row],[Contract_Years]]</f>
        <v>935410.66297024908</v>
      </c>
      <c r="V338" s="8">
        <v>0.09</v>
      </c>
      <c r="W338" s="8">
        <v>0.06</v>
      </c>
      <c r="X338" s="8">
        <v>0.01</v>
      </c>
      <c r="Y338" t="s">
        <v>885</v>
      </c>
      <c r="Z338" t="s">
        <v>879</v>
      </c>
      <c r="AA338" s="6">
        <v>293043.55072094279</v>
      </c>
      <c r="AB338" s="7">
        <f>DealsRawTable[[#This Row],[Final_Price_ACV]]*DealsRawTable[[#This Row],[Contract_Years]]</f>
        <v>879130.65216282837</v>
      </c>
      <c r="AC338" s="6">
        <v>103091.11023981313</v>
      </c>
      <c r="AD338" s="6">
        <v>189952.44048112966</v>
      </c>
      <c r="AE338" s="8">
        <v>0.64820549714815623</v>
      </c>
      <c r="AF338" t="s">
        <v>880</v>
      </c>
      <c r="AH338" t="s">
        <v>44</v>
      </c>
      <c r="AI338" t="s">
        <v>38</v>
      </c>
      <c r="AJ338" s="6">
        <v>293043.55072094279</v>
      </c>
      <c r="AK338" s="6">
        <v>189952.44048112966</v>
      </c>
      <c r="AL338" t="s">
        <v>886</v>
      </c>
      <c r="AM338">
        <f t="shared" si="10"/>
        <v>293095.34000000003</v>
      </c>
      <c r="AN338">
        <f>DealsRawTable[[#This Row],[Validated_Annual_Final_Price]]*DealsRawTable[[#This Row],[Contract_Years]]</f>
        <v>879286.02</v>
      </c>
      <c r="AO338">
        <f>DealsRawTable[[#This Row],[Validated_Annual_Final_Price]]-DealsRawTable[[#This Row],[Cost_to_Serve]]</f>
        <v>190004.22976018689</v>
      </c>
      <c r="AP338" s="17">
        <f>DealsRawTable[[#This Row],[Validated_Grossprofit]]/DealsRawTable[[#This Row],[Validated_Annual_Final_Price]]</f>
        <v>0.64826765843560286</v>
      </c>
      <c r="AQ338" s="17">
        <v>293095.34000000003</v>
      </c>
      <c r="AR338" s="17">
        <v>879286.02</v>
      </c>
      <c r="AS338" s="17">
        <v>190004.22976018689</v>
      </c>
      <c r="AT338" s="17">
        <v>0.64826765843560286</v>
      </c>
      <c r="AU338" s="17" t="str">
        <f t="shared" si="11"/>
        <v>5–10%</v>
      </c>
      <c r="AV338" s="17">
        <v>116</v>
      </c>
      <c r="AW338" s="17"/>
    </row>
    <row r="339" spans="1:49">
      <c r="A339" t="s">
        <v>1244</v>
      </c>
      <c r="B339" s="5">
        <v>45639</v>
      </c>
      <c r="C339" t="s">
        <v>244</v>
      </c>
      <c r="D339" t="s">
        <v>245</v>
      </c>
      <c r="E339" t="s">
        <v>651</v>
      </c>
      <c r="F339" t="s">
        <v>47</v>
      </c>
      <c r="G339" t="s">
        <v>83</v>
      </c>
      <c r="H339" t="s">
        <v>54</v>
      </c>
      <c r="I339" t="s">
        <v>94</v>
      </c>
      <c r="J339" t="s">
        <v>43</v>
      </c>
      <c r="K339" t="s">
        <v>38</v>
      </c>
      <c r="L339" s="5">
        <v>43770</v>
      </c>
      <c r="M339">
        <v>83</v>
      </c>
      <c r="N339" t="s">
        <v>429</v>
      </c>
      <c r="O339" t="s">
        <v>876</v>
      </c>
      <c r="Q339">
        <v>3</v>
      </c>
      <c r="R339">
        <v>601</v>
      </c>
      <c r="S339" t="s">
        <v>900</v>
      </c>
      <c r="T339" s="6">
        <v>330990.55426398426</v>
      </c>
      <c r="U339" s="7">
        <f>T339*DealsRawTable[[#This Row],[Contract_Years]]</f>
        <v>992971.66279195272</v>
      </c>
      <c r="V339" s="8">
        <v>0.124</v>
      </c>
      <c r="W339" s="8">
        <v>5.7000000000000002E-2</v>
      </c>
      <c r="X339" s="8">
        <v>-6.2E-2</v>
      </c>
      <c r="Y339" t="s">
        <v>905</v>
      </c>
      <c r="Z339" t="s">
        <v>879</v>
      </c>
      <c r="AA339" s="6">
        <v>312020.80747197871</v>
      </c>
      <c r="AB339" s="7">
        <f>DealsRawTable[[#This Row],[Final_Price_ACV]]*DealsRawTable[[#This Row],[Contract_Years]]</f>
        <v>936062.42241593613</v>
      </c>
      <c r="AC339" s="6">
        <v>114709.78923548386</v>
      </c>
      <c r="AD339" s="6">
        <v>197311.01823649486</v>
      </c>
      <c r="AE339" s="8">
        <v>0.63236493692560725</v>
      </c>
      <c r="AF339" t="s">
        <v>880</v>
      </c>
      <c r="AG339" t="s">
        <v>44</v>
      </c>
      <c r="AI339" t="s">
        <v>38</v>
      </c>
      <c r="AJ339" s="6">
        <v>312020.80747197871</v>
      </c>
      <c r="AK339" s="6">
        <v>197311.01823649486</v>
      </c>
      <c r="AL339" t="s">
        <v>881</v>
      </c>
      <c r="AM339">
        <f t="shared" si="10"/>
        <v>312124.09000000003</v>
      </c>
      <c r="AN339">
        <f>DealsRawTable[[#This Row],[Validated_Annual_Final_Price]]*DealsRawTable[[#This Row],[Contract_Years]]</f>
        <v>936372.27</v>
      </c>
      <c r="AO339">
        <f>DealsRawTable[[#This Row],[Validated_Annual_Final_Price]]-DealsRawTable[[#This Row],[Cost_to_Serve]]</f>
        <v>197414.30076451617</v>
      </c>
      <c r="AP339" s="17">
        <f>DealsRawTable[[#This Row],[Validated_Grossprofit]]/DealsRawTable[[#This Row],[Validated_Annual_Final_Price]]</f>
        <v>0.63248658815318026</v>
      </c>
      <c r="AQ339" s="17">
        <v>312124.09000000003</v>
      </c>
      <c r="AR339" s="17">
        <v>936372.27</v>
      </c>
      <c r="AS339" s="17">
        <v>197414.30076451617</v>
      </c>
      <c r="AT339" s="17">
        <v>0.63248658815318026</v>
      </c>
      <c r="AU339" s="17" t="str">
        <f t="shared" si="11"/>
        <v>5–10%</v>
      </c>
      <c r="AV339" s="17">
        <v>116</v>
      </c>
      <c r="AW339" s="17"/>
    </row>
    <row r="340" spans="1:49">
      <c r="A340" t="s">
        <v>1245</v>
      </c>
      <c r="B340" s="5">
        <v>45373</v>
      </c>
      <c r="C340" t="s">
        <v>246</v>
      </c>
      <c r="D340" t="s">
        <v>247</v>
      </c>
      <c r="E340" t="s">
        <v>652</v>
      </c>
      <c r="F340" t="s">
        <v>449</v>
      </c>
      <c r="G340" t="s">
        <v>60</v>
      </c>
      <c r="H340" t="s">
        <v>35</v>
      </c>
      <c r="I340" t="s">
        <v>36</v>
      </c>
      <c r="J340" t="s">
        <v>56</v>
      </c>
      <c r="K340" t="s">
        <v>38</v>
      </c>
      <c r="L340" s="5">
        <v>44713</v>
      </c>
      <c r="M340">
        <v>79</v>
      </c>
      <c r="N340" t="s">
        <v>424</v>
      </c>
      <c r="O340" t="s">
        <v>891</v>
      </c>
      <c r="Q340">
        <v>2</v>
      </c>
      <c r="R340">
        <v>118</v>
      </c>
      <c r="S340" t="s">
        <v>907</v>
      </c>
      <c r="T340" s="6">
        <v>45663.478997109662</v>
      </c>
      <c r="U340" s="7">
        <f>T340*DealsRawTable[[#This Row],[Contract_Years]]</f>
        <v>91326.957994219323</v>
      </c>
      <c r="V340" s="8">
        <v>0.129</v>
      </c>
      <c r="W340" s="8">
        <v>0.104</v>
      </c>
      <c r="X340" s="8">
        <v>-1E-3</v>
      </c>
      <c r="Y340" t="s">
        <v>878</v>
      </c>
      <c r="Z340" t="s">
        <v>889</v>
      </c>
      <c r="AA340" s="6">
        <v>40925.211018535832</v>
      </c>
      <c r="AB340" s="7">
        <f>DealsRawTable[[#This Row],[Final_Price_ACV]]*DealsRawTable[[#This Row],[Contract_Years]]</f>
        <v>81850.422037071665</v>
      </c>
      <c r="AC340" s="6">
        <v>14690.463299015009</v>
      </c>
      <c r="AD340" s="6">
        <v>26234.747719520823</v>
      </c>
      <c r="AE340" s="8">
        <v>0.64104123269244939</v>
      </c>
      <c r="AF340" t="s">
        <v>880</v>
      </c>
      <c r="AI340" t="s">
        <v>38</v>
      </c>
      <c r="AJ340" s="6">
        <v>40925.211018535832</v>
      </c>
      <c r="AK340" s="6">
        <v>26234.747719520823</v>
      </c>
      <c r="AL340" t="s">
        <v>894</v>
      </c>
      <c r="AM340">
        <f t="shared" si="10"/>
        <v>40914.480000000003</v>
      </c>
      <c r="AN340">
        <f>DealsRawTable[[#This Row],[Validated_Annual_Final_Price]]*DealsRawTable[[#This Row],[Contract_Years]]</f>
        <v>81828.960000000006</v>
      </c>
      <c r="AO340">
        <f>DealsRawTable[[#This Row],[Validated_Annual_Final_Price]]-DealsRawTable[[#This Row],[Cost_to_Serve]]</f>
        <v>26224.016700984994</v>
      </c>
      <c r="AP340" s="17">
        <f>DealsRawTable[[#This Row],[Validated_Grossprofit]]/DealsRawTable[[#This Row],[Validated_Annual_Final_Price]]</f>
        <v>0.64094708526137911</v>
      </c>
      <c r="AQ340" s="17">
        <v>40914.480000000003</v>
      </c>
      <c r="AR340" s="17">
        <v>81828.960000000006</v>
      </c>
      <c r="AS340" s="17">
        <v>26224.016700984994</v>
      </c>
      <c r="AT340" s="17">
        <v>0.64094708526137911</v>
      </c>
      <c r="AU340" s="17" t="str">
        <f t="shared" si="11"/>
        <v>10–15%</v>
      </c>
      <c r="AV340" s="17">
        <v>113</v>
      </c>
      <c r="AW340" s="17"/>
    </row>
    <row r="341" spans="1:49">
      <c r="A341" t="s">
        <v>1246</v>
      </c>
      <c r="B341" s="5">
        <v>45645</v>
      </c>
      <c r="C341" t="s">
        <v>248</v>
      </c>
      <c r="D341" t="s">
        <v>249</v>
      </c>
      <c r="E341" t="s">
        <v>653</v>
      </c>
      <c r="F341" t="s">
        <v>466</v>
      </c>
      <c r="G341" t="s">
        <v>69</v>
      </c>
      <c r="H341" t="s">
        <v>54</v>
      </c>
      <c r="I341" t="s">
        <v>55</v>
      </c>
      <c r="J341" t="s">
        <v>37</v>
      </c>
      <c r="K341" t="s">
        <v>38</v>
      </c>
      <c r="L341" s="5">
        <v>43586</v>
      </c>
      <c r="M341">
        <v>76</v>
      </c>
      <c r="N341" t="s">
        <v>429</v>
      </c>
      <c r="O341" t="s">
        <v>891</v>
      </c>
      <c r="Q341">
        <v>1</v>
      </c>
      <c r="R341">
        <v>59</v>
      </c>
      <c r="S341" t="s">
        <v>907</v>
      </c>
      <c r="T341" s="6">
        <v>65967.270539206947</v>
      </c>
      <c r="U341" s="7">
        <f>T341*DealsRawTable[[#This Row],[Contract_Years]]</f>
        <v>65967.270539206947</v>
      </c>
      <c r="V341" s="8">
        <v>0.16300000000000001</v>
      </c>
      <c r="W341" s="8">
        <v>0.129</v>
      </c>
      <c r="X341" s="8">
        <v>-1.4999999999999999E-2</v>
      </c>
      <c r="Y341" t="s">
        <v>878</v>
      </c>
      <c r="Z341" t="s">
        <v>889</v>
      </c>
      <c r="AA341" s="6">
        <v>57456.41759924472</v>
      </c>
      <c r="AB341" s="7">
        <f>DealsRawTable[[#This Row],[Final_Price_ACV]]*DealsRawTable[[#This Row],[Contract_Years]]</f>
        <v>57456.41759924472</v>
      </c>
      <c r="AC341" s="6">
        <v>24401.482711533459</v>
      </c>
      <c r="AD341" s="6">
        <v>33054.934887711264</v>
      </c>
      <c r="AE341" s="8">
        <v>0.57530448762516961</v>
      </c>
      <c r="AF341" t="s">
        <v>880</v>
      </c>
      <c r="AI341" t="s">
        <v>38</v>
      </c>
      <c r="AJ341" s="6">
        <v>57456.41759924472</v>
      </c>
      <c r="AK341" s="6">
        <v>33054.934887711264</v>
      </c>
      <c r="AL341" t="s">
        <v>894</v>
      </c>
      <c r="AM341">
        <f t="shared" si="10"/>
        <v>57457.49</v>
      </c>
      <c r="AN341">
        <f>DealsRawTable[[#This Row],[Validated_Annual_Final_Price]]*DealsRawTable[[#This Row],[Contract_Years]]</f>
        <v>57457.49</v>
      </c>
      <c r="AO341">
        <f>DealsRawTable[[#This Row],[Validated_Annual_Final_Price]]-DealsRawTable[[#This Row],[Cost_to_Serve]]</f>
        <v>33056.007288466542</v>
      </c>
      <c r="AP341" s="17">
        <f>DealsRawTable[[#This Row],[Validated_Grossprofit]]/DealsRawTable[[#This Row],[Validated_Annual_Final_Price]]</f>
        <v>0.57531241424689006</v>
      </c>
      <c r="AQ341" s="17">
        <v>57457.49</v>
      </c>
      <c r="AR341" s="17">
        <v>57457.49</v>
      </c>
      <c r="AS341" s="17">
        <v>33056.007288466542</v>
      </c>
      <c r="AT341" s="17">
        <v>0.57531241424689006</v>
      </c>
      <c r="AU341" s="17" t="str">
        <f t="shared" si="11"/>
        <v>10–15%</v>
      </c>
      <c r="AV341" s="17">
        <v>113</v>
      </c>
      <c r="AW341" s="17"/>
    </row>
    <row r="342" spans="1:49">
      <c r="A342" t="s">
        <v>1247</v>
      </c>
      <c r="B342" s="5">
        <v>46010</v>
      </c>
      <c r="C342" t="s">
        <v>248</v>
      </c>
      <c r="D342" t="s">
        <v>249</v>
      </c>
      <c r="E342" t="s">
        <v>653</v>
      </c>
      <c r="F342" t="s">
        <v>466</v>
      </c>
      <c r="G342" t="s">
        <v>69</v>
      </c>
      <c r="H342" t="s">
        <v>54</v>
      </c>
      <c r="I342" t="s">
        <v>55</v>
      </c>
      <c r="J342" t="s">
        <v>37</v>
      </c>
      <c r="K342" t="s">
        <v>38</v>
      </c>
      <c r="L342" s="5">
        <v>43586</v>
      </c>
      <c r="M342">
        <v>76</v>
      </c>
      <c r="N342" t="s">
        <v>429</v>
      </c>
      <c r="O342" t="s">
        <v>876</v>
      </c>
      <c r="Q342">
        <v>1</v>
      </c>
      <c r="R342">
        <v>59</v>
      </c>
      <c r="S342" t="s">
        <v>896</v>
      </c>
      <c r="T342" s="6">
        <v>68770.087744488454</v>
      </c>
      <c r="U342" s="7">
        <f>T342*DealsRawTable[[#This Row],[Contract_Years]]</f>
        <v>68770.087744488454</v>
      </c>
      <c r="V342" s="8">
        <v>0.115</v>
      </c>
      <c r="W342" s="8">
        <v>8.5999999999999993E-2</v>
      </c>
      <c r="X342" s="8">
        <v>-0.05</v>
      </c>
      <c r="Y342" t="s">
        <v>902</v>
      </c>
      <c r="Z342" t="s">
        <v>879</v>
      </c>
      <c r="AA342" s="6">
        <v>62841.323087994533</v>
      </c>
      <c r="AB342" s="7">
        <f>DealsRawTable[[#This Row],[Final_Price_ACV]]*DealsRawTable[[#This Row],[Contract_Years]]</f>
        <v>62841.323087994533</v>
      </c>
      <c r="AC342" s="6">
        <v>23461.336927404504</v>
      </c>
      <c r="AD342" s="6">
        <v>39379.98616059003</v>
      </c>
      <c r="AE342" s="8">
        <v>0.62665749582400732</v>
      </c>
      <c r="AF342" t="s">
        <v>880</v>
      </c>
      <c r="AG342" t="s">
        <v>44</v>
      </c>
      <c r="AI342" t="s">
        <v>38</v>
      </c>
      <c r="AJ342" s="6">
        <v>62841.323087994533</v>
      </c>
      <c r="AK342" s="6">
        <v>39379.98616059003</v>
      </c>
      <c r="AL342" t="s">
        <v>881</v>
      </c>
      <c r="AM342">
        <f t="shared" si="10"/>
        <v>62855.86</v>
      </c>
      <c r="AN342">
        <f>DealsRawTable[[#This Row],[Validated_Annual_Final_Price]]*DealsRawTable[[#This Row],[Contract_Years]]</f>
        <v>62855.86</v>
      </c>
      <c r="AO342">
        <f>DealsRawTable[[#This Row],[Validated_Annual_Final_Price]]-DealsRawTable[[#This Row],[Cost_to_Serve]]</f>
        <v>39394.523072595497</v>
      </c>
      <c r="AP342" s="17">
        <f>DealsRawTable[[#This Row],[Validated_Grossprofit]]/DealsRawTable[[#This Row],[Validated_Annual_Final_Price]]</f>
        <v>0.62674384015421147</v>
      </c>
      <c r="AQ342" s="17">
        <v>62855.86</v>
      </c>
      <c r="AR342" s="17">
        <v>62855.86</v>
      </c>
      <c r="AS342" s="17">
        <v>39394.523072595497</v>
      </c>
      <c r="AT342" s="17">
        <v>0.62674384015421147</v>
      </c>
      <c r="AU342" s="17" t="str">
        <f t="shared" si="11"/>
        <v>5–10%</v>
      </c>
      <c r="AV342" s="17">
        <v>116</v>
      </c>
      <c r="AW342" s="17"/>
    </row>
    <row r="343" spans="1:49">
      <c r="A343" t="s">
        <v>1248</v>
      </c>
      <c r="B343" s="5">
        <v>45378</v>
      </c>
      <c r="C343" t="s">
        <v>248</v>
      </c>
      <c r="D343" t="s">
        <v>249</v>
      </c>
      <c r="E343" t="s">
        <v>654</v>
      </c>
      <c r="F343" t="s">
        <v>466</v>
      </c>
      <c r="G343" t="s">
        <v>69</v>
      </c>
      <c r="H343" t="s">
        <v>54</v>
      </c>
      <c r="I343" t="s">
        <v>55</v>
      </c>
      <c r="J343" t="s">
        <v>37</v>
      </c>
      <c r="K343" t="s">
        <v>38</v>
      </c>
      <c r="L343" s="5">
        <v>43586</v>
      </c>
      <c r="M343">
        <v>76</v>
      </c>
      <c r="N343" t="s">
        <v>431</v>
      </c>
      <c r="O343" t="s">
        <v>883</v>
      </c>
      <c r="P343" t="s">
        <v>946</v>
      </c>
      <c r="Q343">
        <v>1</v>
      </c>
      <c r="R343">
        <v>29</v>
      </c>
      <c r="S343" t="s">
        <v>892</v>
      </c>
      <c r="T343" s="6">
        <v>59371.801322314597</v>
      </c>
      <c r="U343" s="7">
        <f>T343*DealsRawTable[[#This Row],[Contract_Years]]</f>
        <v>59371.801322314597</v>
      </c>
      <c r="V343" s="8">
        <v>3.4000000000000002E-2</v>
      </c>
      <c r="W343" s="8">
        <v>1E-3</v>
      </c>
      <c r="X343" s="8">
        <v>-4.3999999999999997E-2</v>
      </c>
      <c r="Y343" t="s">
        <v>885</v>
      </c>
      <c r="Z343" t="s">
        <v>879</v>
      </c>
      <c r="AA343" s="6">
        <v>59303.008617851832</v>
      </c>
      <c r="AB343" s="7">
        <f>DealsRawTable[[#This Row],[Final_Price_ACV]]*DealsRawTable[[#This Row],[Contract_Years]]</f>
        <v>59303.008617851832</v>
      </c>
      <c r="AC343" s="6">
        <v>20364.518038476381</v>
      </c>
      <c r="AD343" s="6">
        <v>38938.490579375451</v>
      </c>
      <c r="AE343" s="8">
        <v>0.65660227848294861</v>
      </c>
      <c r="AF343" t="s">
        <v>880</v>
      </c>
      <c r="AH343" t="s">
        <v>44</v>
      </c>
      <c r="AI343" t="s">
        <v>38</v>
      </c>
      <c r="AJ343" s="6">
        <v>59303.008617851832</v>
      </c>
      <c r="AK343" s="6">
        <v>38938.490579375451</v>
      </c>
      <c r="AL343" t="s">
        <v>886</v>
      </c>
      <c r="AM343">
        <f t="shared" si="10"/>
        <v>59312.43</v>
      </c>
      <c r="AN343">
        <f>DealsRawTable[[#This Row],[Validated_Annual_Final_Price]]*DealsRawTable[[#This Row],[Contract_Years]]</f>
        <v>59312.43</v>
      </c>
      <c r="AO343">
        <f>DealsRawTable[[#This Row],[Validated_Annual_Final_Price]]-DealsRawTable[[#This Row],[Cost_to_Serve]]</f>
        <v>38947.91196152362</v>
      </c>
      <c r="AP343" s="17">
        <f>DealsRawTable[[#This Row],[Validated_Grossprofit]]/DealsRawTable[[#This Row],[Validated_Annual_Final_Price]]</f>
        <v>0.65665682491045496</v>
      </c>
      <c r="AQ343" s="17">
        <v>59312.43</v>
      </c>
      <c r="AR343" s="17">
        <v>59312.43</v>
      </c>
      <c r="AS343" s="17">
        <v>38947.91196152362</v>
      </c>
      <c r="AT343" s="17">
        <v>0.65665682491045496</v>
      </c>
      <c r="AU343" s="17" t="str">
        <f t="shared" si="11"/>
        <v>0–5%</v>
      </c>
      <c r="AV343" s="17">
        <v>55</v>
      </c>
      <c r="AW343" s="17"/>
    </row>
    <row r="344" spans="1:49">
      <c r="A344" t="s">
        <v>1249</v>
      </c>
      <c r="B344" s="5">
        <v>45612</v>
      </c>
      <c r="C344" t="s">
        <v>248</v>
      </c>
      <c r="D344" t="s">
        <v>249</v>
      </c>
      <c r="E344" t="s">
        <v>654</v>
      </c>
      <c r="F344" t="s">
        <v>466</v>
      </c>
      <c r="G344" t="s">
        <v>69</v>
      </c>
      <c r="H344" t="s">
        <v>54</v>
      </c>
      <c r="I344" t="s">
        <v>55</v>
      </c>
      <c r="J344" t="s">
        <v>37</v>
      </c>
      <c r="K344" t="s">
        <v>38</v>
      </c>
      <c r="L344" s="5">
        <v>43586</v>
      </c>
      <c r="M344">
        <v>76</v>
      </c>
      <c r="N344" t="s">
        <v>431</v>
      </c>
      <c r="O344" t="s">
        <v>876</v>
      </c>
      <c r="Q344">
        <v>1</v>
      </c>
      <c r="R344">
        <v>29</v>
      </c>
      <c r="S344" t="s">
        <v>932</v>
      </c>
      <c r="T344" s="6">
        <v>62949.315576403176</v>
      </c>
      <c r="U344" s="7">
        <f>T344*DealsRawTable[[#This Row],[Contract_Years]]</f>
        <v>62949.315576403176</v>
      </c>
      <c r="V344" s="8">
        <v>7.0000000000000001E-3</v>
      </c>
      <c r="W344" s="8">
        <v>0</v>
      </c>
      <c r="X344" s="8">
        <v>-2.1999999999999999E-2</v>
      </c>
      <c r="Y344" t="s">
        <v>878</v>
      </c>
      <c r="Z344" t="s">
        <v>879</v>
      </c>
      <c r="AA344" s="6">
        <v>62949.315576403176</v>
      </c>
      <c r="AB344" s="7">
        <f>DealsRawTable[[#This Row],[Final_Price_ACV]]*DealsRawTable[[#This Row],[Contract_Years]]</f>
        <v>62949.315576403176</v>
      </c>
      <c r="AC344" s="6">
        <v>23872.789998999622</v>
      </c>
      <c r="AD344" s="6">
        <v>39076.525577403554</v>
      </c>
      <c r="AE344" s="8">
        <v>0.62076172265884899</v>
      </c>
      <c r="AF344" t="s">
        <v>880</v>
      </c>
      <c r="AG344" t="s">
        <v>44</v>
      </c>
      <c r="AI344" t="s">
        <v>38</v>
      </c>
      <c r="AJ344" s="6">
        <v>62949.315576403176</v>
      </c>
      <c r="AK344" s="6">
        <v>39076.525577403554</v>
      </c>
      <c r="AL344" t="s">
        <v>881</v>
      </c>
      <c r="AM344">
        <f t="shared" si="10"/>
        <v>62949.32</v>
      </c>
      <c r="AN344">
        <f>DealsRawTable[[#This Row],[Validated_Annual_Final_Price]]*DealsRawTable[[#This Row],[Contract_Years]]</f>
        <v>62949.32</v>
      </c>
      <c r="AO344">
        <f>DealsRawTable[[#This Row],[Validated_Annual_Final_Price]]-DealsRawTable[[#This Row],[Cost_to_Serve]]</f>
        <v>39076.530001000378</v>
      </c>
      <c r="AP344" s="17">
        <f>DealsRawTable[[#This Row],[Validated_Grossprofit]]/DealsRawTable[[#This Row],[Validated_Annual_Final_Price]]</f>
        <v>0.620761749308815</v>
      </c>
      <c r="AQ344" s="17">
        <v>62949.32</v>
      </c>
      <c r="AR344" s="17">
        <v>62949.32</v>
      </c>
      <c r="AS344" s="17">
        <v>39076.530001000378</v>
      </c>
      <c r="AT344" s="17">
        <v>0.620761749308815</v>
      </c>
      <c r="AU344" s="17" t="str">
        <f t="shared" si="11"/>
        <v>0–5%</v>
      </c>
      <c r="AV344" s="17">
        <v>55</v>
      </c>
      <c r="AW344" s="17"/>
    </row>
    <row r="345" spans="1:49">
      <c r="A345" t="s">
        <v>1250</v>
      </c>
      <c r="B345" s="5">
        <v>45977</v>
      </c>
      <c r="C345" t="s">
        <v>248</v>
      </c>
      <c r="D345" t="s">
        <v>249</v>
      </c>
      <c r="E345" t="s">
        <v>654</v>
      </c>
      <c r="F345" t="s">
        <v>466</v>
      </c>
      <c r="G345" t="s">
        <v>69</v>
      </c>
      <c r="H345" t="s">
        <v>54</v>
      </c>
      <c r="I345" t="s">
        <v>55</v>
      </c>
      <c r="J345" t="s">
        <v>37</v>
      </c>
      <c r="K345" t="s">
        <v>38</v>
      </c>
      <c r="L345" s="5">
        <v>43586</v>
      </c>
      <c r="M345">
        <v>76</v>
      </c>
      <c r="N345" t="s">
        <v>431</v>
      </c>
      <c r="O345" t="s">
        <v>876</v>
      </c>
      <c r="Q345">
        <v>1</v>
      </c>
      <c r="R345">
        <v>29</v>
      </c>
      <c r="S345" t="s">
        <v>892</v>
      </c>
      <c r="T345" s="6">
        <v>64748.035356390363</v>
      </c>
      <c r="U345" s="7">
        <f>T345*DealsRawTable[[#This Row],[Contract_Years]]</f>
        <v>64748.035356390363</v>
      </c>
      <c r="V345" s="8">
        <v>7.4999999999999997E-2</v>
      </c>
      <c r="W345" s="8">
        <v>2.3E-2</v>
      </c>
      <c r="X345" s="8">
        <v>-9.8000000000000004E-2</v>
      </c>
      <c r="Y345" t="s">
        <v>897</v>
      </c>
      <c r="Z345" t="s">
        <v>879</v>
      </c>
      <c r="AA345" s="6">
        <v>63229.505089096718</v>
      </c>
      <c r="AB345" s="7">
        <f>DealsRawTable[[#This Row],[Final_Price_ACV]]*DealsRawTable[[#This Row],[Contract_Years]]</f>
        <v>63229.505089096718</v>
      </c>
      <c r="AC345" s="6">
        <v>23957.90818310477</v>
      </c>
      <c r="AD345" s="6">
        <v>39271.596905991944</v>
      </c>
      <c r="AE345" s="8">
        <v>0.62109606663304295</v>
      </c>
      <c r="AF345" t="s">
        <v>457</v>
      </c>
      <c r="AG345" t="s">
        <v>38</v>
      </c>
      <c r="AI345" t="s">
        <v>38</v>
      </c>
      <c r="AJ345" s="6">
        <v>0</v>
      </c>
      <c r="AK345" s="6">
        <v>0</v>
      </c>
      <c r="AL345" t="s">
        <v>881</v>
      </c>
      <c r="AM345">
        <f t="shared" si="10"/>
        <v>63258.83</v>
      </c>
      <c r="AN345">
        <f>DealsRawTable[[#This Row],[Validated_Annual_Final_Price]]*DealsRawTable[[#This Row],[Contract_Years]]</f>
        <v>63258.83</v>
      </c>
      <c r="AO345">
        <f>DealsRawTable[[#This Row],[Validated_Annual_Final_Price]]-DealsRawTable[[#This Row],[Cost_to_Serve]]</f>
        <v>39300.921816895236</v>
      </c>
      <c r="AP345" s="17">
        <f>DealsRawTable[[#This Row],[Validated_Grossprofit]]/DealsRawTable[[#This Row],[Validated_Annual_Final_Price]]</f>
        <v>0.62127171521976043</v>
      </c>
      <c r="AQ345" s="17">
        <v>0</v>
      </c>
      <c r="AR345" s="17">
        <v>0</v>
      </c>
      <c r="AS345" s="17">
        <v>0</v>
      </c>
      <c r="AT345" s="17">
        <v>0</v>
      </c>
      <c r="AU345" s="17" t="str">
        <f t="shared" si="11"/>
        <v>0–5%</v>
      </c>
      <c r="AV345" s="17">
        <v>55</v>
      </c>
      <c r="AW345" s="17"/>
    </row>
    <row r="346" spans="1:49">
      <c r="A346" t="s">
        <v>1251</v>
      </c>
      <c r="B346" s="5">
        <v>45766</v>
      </c>
      <c r="C346" t="s">
        <v>248</v>
      </c>
      <c r="D346" t="s">
        <v>249</v>
      </c>
      <c r="E346" t="s">
        <v>655</v>
      </c>
      <c r="F346" t="s">
        <v>34</v>
      </c>
      <c r="G346" t="s">
        <v>69</v>
      </c>
      <c r="H346" t="s">
        <v>54</v>
      </c>
      <c r="I346" t="s">
        <v>55</v>
      </c>
      <c r="J346" t="s">
        <v>37</v>
      </c>
      <c r="K346" t="s">
        <v>38</v>
      </c>
      <c r="L346" s="5">
        <v>43586</v>
      </c>
      <c r="M346">
        <v>76</v>
      </c>
      <c r="N346" t="s">
        <v>429</v>
      </c>
      <c r="O346" t="s">
        <v>891</v>
      </c>
      <c r="Q346">
        <v>3</v>
      </c>
      <c r="R346">
        <v>62</v>
      </c>
      <c r="S346" t="s">
        <v>900</v>
      </c>
      <c r="T346" s="6">
        <v>91002.983640087332</v>
      </c>
      <c r="U346" s="7">
        <f>T346*DealsRawTable[[#This Row],[Contract_Years]]</f>
        <v>273008.95092026202</v>
      </c>
      <c r="V346" s="8">
        <v>0</v>
      </c>
      <c r="W346" s="8">
        <v>0</v>
      </c>
      <c r="X346" s="8">
        <v>0.03</v>
      </c>
      <c r="Y346" t="s">
        <v>885</v>
      </c>
      <c r="Z346" t="s">
        <v>879</v>
      </c>
      <c r="AA346" s="6">
        <v>91002.983640087332</v>
      </c>
      <c r="AB346" s="7">
        <f>DealsRawTable[[#This Row],[Final_Price_ACV]]*DealsRawTable[[#This Row],[Contract_Years]]</f>
        <v>273008.95092026202</v>
      </c>
      <c r="AC346" s="6">
        <v>34031.022430882178</v>
      </c>
      <c r="AD346" s="6">
        <v>56971.961209205154</v>
      </c>
      <c r="AE346" s="8">
        <v>0.62604498149782295</v>
      </c>
      <c r="AF346" t="s">
        <v>457</v>
      </c>
      <c r="AI346" t="s">
        <v>38</v>
      </c>
      <c r="AJ346" s="6">
        <v>0</v>
      </c>
      <c r="AK346" s="6">
        <v>0</v>
      </c>
      <c r="AL346" t="s">
        <v>894</v>
      </c>
      <c r="AM346">
        <f t="shared" si="10"/>
        <v>91002.98</v>
      </c>
      <c r="AN346">
        <f>DealsRawTable[[#This Row],[Validated_Annual_Final_Price]]*DealsRawTable[[#This Row],[Contract_Years]]</f>
        <v>273008.94</v>
      </c>
      <c r="AO346">
        <f>DealsRawTable[[#This Row],[Validated_Annual_Final_Price]]-DealsRawTable[[#This Row],[Cost_to_Serve]]</f>
        <v>56971.957569117818</v>
      </c>
      <c r="AP346" s="17">
        <f>DealsRawTable[[#This Row],[Validated_Grossprofit]]/DealsRawTable[[#This Row],[Validated_Annual_Final_Price]]</f>
        <v>0.62604496653975306</v>
      </c>
      <c r="AQ346" s="17">
        <v>0</v>
      </c>
      <c r="AR346" s="17">
        <v>0</v>
      </c>
      <c r="AS346" s="17">
        <v>0</v>
      </c>
      <c r="AT346" s="17">
        <v>0</v>
      </c>
      <c r="AU346" s="17" t="str">
        <f t="shared" si="11"/>
        <v>0–5%</v>
      </c>
      <c r="AV346" s="17">
        <v>55</v>
      </c>
      <c r="AW346" s="17"/>
    </row>
    <row r="347" spans="1:49">
      <c r="A347" t="s">
        <v>1252</v>
      </c>
      <c r="B347" s="5">
        <v>45772</v>
      </c>
      <c r="C347" t="s">
        <v>248</v>
      </c>
      <c r="D347" t="s">
        <v>249</v>
      </c>
      <c r="E347" t="s">
        <v>656</v>
      </c>
      <c r="F347" t="s">
        <v>449</v>
      </c>
      <c r="G347" t="s">
        <v>69</v>
      </c>
      <c r="H347" t="s">
        <v>54</v>
      </c>
      <c r="I347" t="s">
        <v>55</v>
      </c>
      <c r="J347" t="s">
        <v>37</v>
      </c>
      <c r="K347" t="s">
        <v>38</v>
      </c>
      <c r="L347" s="5">
        <v>43586</v>
      </c>
      <c r="M347">
        <v>76</v>
      </c>
      <c r="N347" t="s">
        <v>433</v>
      </c>
      <c r="O347" t="s">
        <v>891</v>
      </c>
      <c r="Q347">
        <v>2</v>
      </c>
      <c r="R347">
        <v>40</v>
      </c>
      <c r="S347" t="s">
        <v>900</v>
      </c>
      <c r="T347" s="6">
        <v>189015.76498668265</v>
      </c>
      <c r="U347" s="7">
        <f>T347*DealsRawTable[[#This Row],[Contract_Years]]</f>
        <v>378031.52997336531</v>
      </c>
      <c r="V347" s="8">
        <v>8.4000000000000005E-2</v>
      </c>
      <c r="W347" s="8">
        <v>8.2000000000000003E-2</v>
      </c>
      <c r="X347" s="8">
        <v>7.0000000000000001E-3</v>
      </c>
      <c r="Y347" t="s">
        <v>930</v>
      </c>
      <c r="Z347" t="s">
        <v>879</v>
      </c>
      <c r="AA347" s="6">
        <v>173574.78612751904</v>
      </c>
      <c r="AB347" s="7">
        <f>DealsRawTable[[#This Row],[Final_Price_ACV]]*DealsRawTable[[#This Row],[Contract_Years]]</f>
        <v>347149.57225503807</v>
      </c>
      <c r="AC347" s="6">
        <v>72148.273687020992</v>
      </c>
      <c r="AD347" s="6">
        <v>101426.51244049805</v>
      </c>
      <c r="AE347" s="8">
        <v>0.58433897401425405</v>
      </c>
      <c r="AF347" t="s">
        <v>880</v>
      </c>
      <c r="AI347" t="s">
        <v>38</v>
      </c>
      <c r="AJ347" s="6">
        <v>173574.78612751904</v>
      </c>
      <c r="AK347" s="6">
        <v>101426.51244049805</v>
      </c>
      <c r="AL347" t="s">
        <v>894</v>
      </c>
      <c r="AM347">
        <f t="shared" si="10"/>
        <v>173516.47</v>
      </c>
      <c r="AN347">
        <f>DealsRawTable[[#This Row],[Validated_Annual_Final_Price]]*DealsRawTable[[#This Row],[Contract_Years]]</f>
        <v>347032.94</v>
      </c>
      <c r="AO347">
        <f>DealsRawTable[[#This Row],[Validated_Annual_Final_Price]]-DealsRawTable[[#This Row],[Cost_to_Serve]]</f>
        <v>101368.19631297901</v>
      </c>
      <c r="AP347" s="17">
        <f>DealsRawTable[[#This Row],[Validated_Grossprofit]]/DealsRawTable[[#This Row],[Validated_Annual_Final_Price]]</f>
        <v>0.584199276950361</v>
      </c>
      <c r="AQ347" s="17">
        <v>173516.47</v>
      </c>
      <c r="AR347" s="17">
        <v>347032.94</v>
      </c>
      <c r="AS347" s="17">
        <v>101368.19631297901</v>
      </c>
      <c r="AT347" s="17">
        <v>0.584199276950361</v>
      </c>
      <c r="AU347" s="17" t="str">
        <f t="shared" si="11"/>
        <v>5–10%</v>
      </c>
      <c r="AV347" s="17">
        <v>116</v>
      </c>
      <c r="AW347" s="17"/>
    </row>
    <row r="348" spans="1:49">
      <c r="A348" t="s">
        <v>1253</v>
      </c>
      <c r="B348" s="5">
        <v>45758</v>
      </c>
      <c r="C348" t="s">
        <v>250</v>
      </c>
      <c r="D348" t="s">
        <v>251</v>
      </c>
      <c r="E348" t="s">
        <v>657</v>
      </c>
      <c r="F348" t="s">
        <v>47</v>
      </c>
      <c r="G348" t="s">
        <v>47</v>
      </c>
      <c r="H348" t="s">
        <v>70</v>
      </c>
      <c r="I348" t="s">
        <v>71</v>
      </c>
      <c r="J348" t="s">
        <v>56</v>
      </c>
      <c r="K348" t="s">
        <v>38</v>
      </c>
      <c r="L348" s="5">
        <v>45261</v>
      </c>
      <c r="M348">
        <v>77</v>
      </c>
      <c r="N348" t="s">
        <v>431</v>
      </c>
      <c r="O348" t="s">
        <v>891</v>
      </c>
      <c r="Q348">
        <v>1</v>
      </c>
      <c r="R348">
        <v>256</v>
      </c>
      <c r="S348" t="s">
        <v>907</v>
      </c>
      <c r="T348" s="6">
        <v>94337.22766542506</v>
      </c>
      <c r="U348" s="7">
        <f>T348*DealsRawTable[[#This Row],[Contract_Years]]</f>
        <v>94337.22766542506</v>
      </c>
      <c r="V348" s="8">
        <v>0.21099999999999999</v>
      </c>
      <c r="W348" s="8">
        <v>0.123</v>
      </c>
      <c r="X348" s="8">
        <v>5.1999999999999998E-2</v>
      </c>
      <c r="Y348" t="s">
        <v>897</v>
      </c>
      <c r="Z348" t="s">
        <v>889</v>
      </c>
      <c r="AA348" s="6">
        <v>82766.640300499537</v>
      </c>
      <c r="AB348" s="7">
        <f>DealsRawTable[[#This Row],[Final_Price_ACV]]*DealsRawTable[[#This Row],[Contract_Years]]</f>
        <v>82766.640300499537</v>
      </c>
      <c r="AC348" s="6">
        <v>37786.284307866757</v>
      </c>
      <c r="AD348" s="6">
        <v>44980.35599263278</v>
      </c>
      <c r="AE348" s="8">
        <v>0.54345997166640214</v>
      </c>
      <c r="AF348" t="s">
        <v>880</v>
      </c>
      <c r="AI348" t="s">
        <v>38</v>
      </c>
      <c r="AJ348" s="6">
        <v>82766.640300499537</v>
      </c>
      <c r="AK348" s="6">
        <v>44980.35599263278</v>
      </c>
      <c r="AL348" t="s">
        <v>894</v>
      </c>
      <c r="AM348">
        <f t="shared" si="10"/>
        <v>82733.75</v>
      </c>
      <c r="AN348">
        <f>DealsRawTable[[#This Row],[Validated_Annual_Final_Price]]*DealsRawTable[[#This Row],[Contract_Years]]</f>
        <v>82733.75</v>
      </c>
      <c r="AO348">
        <f>DealsRawTable[[#This Row],[Validated_Annual_Final_Price]]-DealsRawTable[[#This Row],[Cost_to_Serve]]</f>
        <v>44947.465692133243</v>
      </c>
      <c r="AP348" s="17">
        <f>DealsRawTable[[#This Row],[Validated_Grossprofit]]/DealsRawTable[[#This Row],[Validated_Annual_Final_Price]]</f>
        <v>0.5432784769472343</v>
      </c>
      <c r="AQ348" s="17">
        <v>82733.75</v>
      </c>
      <c r="AR348" s="17">
        <v>82733.75</v>
      </c>
      <c r="AS348" s="17">
        <v>44947.465692133243</v>
      </c>
      <c r="AT348" s="17">
        <v>0.5432784769472343</v>
      </c>
      <c r="AU348" s="17" t="str">
        <f t="shared" si="11"/>
        <v>10–15%</v>
      </c>
      <c r="AV348" s="17">
        <v>113</v>
      </c>
      <c r="AW348" s="17"/>
    </row>
    <row r="349" spans="1:49">
      <c r="A349" t="s">
        <v>1254</v>
      </c>
      <c r="B349" s="5">
        <v>45699</v>
      </c>
      <c r="C349" t="s">
        <v>252</v>
      </c>
      <c r="D349" t="s">
        <v>253</v>
      </c>
      <c r="E349" t="s">
        <v>658</v>
      </c>
      <c r="F349" t="s">
        <v>445</v>
      </c>
      <c r="G349" t="s">
        <v>47</v>
      </c>
      <c r="H349" t="s">
        <v>35</v>
      </c>
      <c r="I349" t="s">
        <v>36</v>
      </c>
      <c r="J349" t="s">
        <v>56</v>
      </c>
      <c r="K349" t="s">
        <v>38</v>
      </c>
      <c r="L349" s="5">
        <v>43556</v>
      </c>
      <c r="M349">
        <v>74</v>
      </c>
      <c r="N349" t="s">
        <v>433</v>
      </c>
      <c r="O349" t="s">
        <v>883</v>
      </c>
      <c r="P349" t="s">
        <v>884</v>
      </c>
      <c r="Q349">
        <v>2</v>
      </c>
      <c r="R349">
        <v>223</v>
      </c>
      <c r="S349" t="s">
        <v>947</v>
      </c>
      <c r="T349" s="6">
        <v>428799.21555204852</v>
      </c>
      <c r="U349" s="7">
        <f>T349*DealsRawTable[[#This Row],[Contract_Years]]</f>
        <v>857598.43110409705</v>
      </c>
      <c r="V349" s="8">
        <v>9.7000000000000003E-2</v>
      </c>
      <c r="W349" s="8">
        <v>7.8E-2</v>
      </c>
      <c r="X349" s="8">
        <v>-6.5000000000000002E-2</v>
      </c>
      <c r="Y349" t="s">
        <v>885</v>
      </c>
      <c r="Z349" t="s">
        <v>879</v>
      </c>
      <c r="AA349" s="6">
        <v>395314.0905353686</v>
      </c>
      <c r="AB349" s="7">
        <f>DealsRawTable[[#This Row],[Final_Price_ACV]]*DealsRawTable[[#This Row],[Contract_Years]]</f>
        <v>790628.18107073719</v>
      </c>
      <c r="AC349" s="6">
        <v>157270.08308382562</v>
      </c>
      <c r="AD349" s="6">
        <v>238044.00745154297</v>
      </c>
      <c r="AE349" s="8">
        <v>0.6021642363649703</v>
      </c>
      <c r="AF349" t="s">
        <v>880</v>
      </c>
      <c r="AH349" t="s">
        <v>44</v>
      </c>
      <c r="AI349" t="s">
        <v>38</v>
      </c>
      <c r="AJ349" s="6">
        <v>395314.0905353686</v>
      </c>
      <c r="AK349" s="6">
        <v>238044.00745154297</v>
      </c>
      <c r="AL349" t="s">
        <v>886</v>
      </c>
      <c r="AM349">
        <f t="shared" si="10"/>
        <v>395352.88</v>
      </c>
      <c r="AN349">
        <f>DealsRawTable[[#This Row],[Validated_Annual_Final_Price]]*DealsRawTable[[#This Row],[Contract_Years]]</f>
        <v>790705.76</v>
      </c>
      <c r="AO349">
        <f>DealsRawTable[[#This Row],[Validated_Annual_Final_Price]]-DealsRawTable[[#This Row],[Cost_to_Serve]]</f>
        <v>238082.79691617438</v>
      </c>
      <c r="AP349" s="17">
        <f>DealsRawTable[[#This Row],[Validated_Grossprofit]]/DealsRawTable[[#This Row],[Validated_Annual_Final_Price]]</f>
        <v>0.6022032694340671</v>
      </c>
      <c r="AQ349" s="17">
        <v>395352.88</v>
      </c>
      <c r="AR349" s="17">
        <v>790705.76</v>
      </c>
      <c r="AS349" s="17">
        <v>238082.79691617438</v>
      </c>
      <c r="AT349" s="17">
        <v>0.6022032694340671</v>
      </c>
      <c r="AU349" s="17" t="str">
        <f t="shared" si="11"/>
        <v>5–10%</v>
      </c>
      <c r="AV349" s="17">
        <v>116</v>
      </c>
      <c r="AW349" s="17"/>
    </row>
    <row r="350" spans="1:49">
      <c r="A350" t="s">
        <v>1255</v>
      </c>
      <c r="B350" s="5">
        <v>45844</v>
      </c>
      <c r="C350" t="s">
        <v>252</v>
      </c>
      <c r="D350" t="s">
        <v>253</v>
      </c>
      <c r="E350" t="s">
        <v>658</v>
      </c>
      <c r="F350" t="s">
        <v>445</v>
      </c>
      <c r="G350" t="s">
        <v>47</v>
      </c>
      <c r="H350" t="s">
        <v>35</v>
      </c>
      <c r="I350" t="s">
        <v>36</v>
      </c>
      <c r="J350" t="s">
        <v>56</v>
      </c>
      <c r="K350" t="s">
        <v>38</v>
      </c>
      <c r="L350" s="5">
        <v>43556</v>
      </c>
      <c r="M350">
        <v>74</v>
      </c>
      <c r="N350" t="s">
        <v>433</v>
      </c>
      <c r="O350" t="s">
        <v>876</v>
      </c>
      <c r="Q350">
        <v>2</v>
      </c>
      <c r="R350">
        <v>223</v>
      </c>
      <c r="S350" t="s">
        <v>888</v>
      </c>
      <c r="T350" s="6">
        <v>440430.01947216777</v>
      </c>
      <c r="U350" s="7">
        <f>T350*DealsRawTable[[#This Row],[Contract_Years]]</f>
        <v>880860.03894433554</v>
      </c>
      <c r="V350" s="8">
        <v>0.111</v>
      </c>
      <c r="W350" s="8">
        <v>0.1</v>
      </c>
      <c r="X350" s="8">
        <v>-8.5999999999999993E-2</v>
      </c>
      <c r="Y350" t="s">
        <v>905</v>
      </c>
      <c r="Z350" t="s">
        <v>889</v>
      </c>
      <c r="AA350" s="6">
        <v>396354.4688548813</v>
      </c>
      <c r="AB350" s="7">
        <f>DealsRawTable[[#This Row],[Final_Price_ACV]]*DealsRawTable[[#This Row],[Contract_Years]]</f>
        <v>792708.9377097626</v>
      </c>
      <c r="AC350" s="6">
        <v>161475.03105350366</v>
      </c>
      <c r="AD350" s="6">
        <v>234879.43780137764</v>
      </c>
      <c r="AE350" s="8">
        <v>0.592599443826064</v>
      </c>
      <c r="AF350" t="s">
        <v>457</v>
      </c>
      <c r="AG350" t="s">
        <v>38</v>
      </c>
      <c r="AI350" t="s">
        <v>38</v>
      </c>
      <c r="AJ350" s="6">
        <v>0</v>
      </c>
      <c r="AK350" s="6">
        <v>0</v>
      </c>
      <c r="AL350" t="s">
        <v>881</v>
      </c>
      <c r="AM350">
        <f t="shared" si="10"/>
        <v>396387.02</v>
      </c>
      <c r="AN350">
        <f>DealsRawTable[[#This Row],[Validated_Annual_Final_Price]]*DealsRawTable[[#This Row],[Contract_Years]]</f>
        <v>792774.04</v>
      </c>
      <c r="AO350">
        <f>DealsRawTable[[#This Row],[Validated_Annual_Final_Price]]-DealsRawTable[[#This Row],[Cost_to_Serve]]</f>
        <v>234911.98894649636</v>
      </c>
      <c r="AP350" s="17">
        <f>DealsRawTable[[#This Row],[Validated_Grossprofit]]/DealsRawTable[[#This Row],[Validated_Annual_Final_Price]]</f>
        <v>0.59263289939841202</v>
      </c>
      <c r="AQ350" s="17">
        <v>0</v>
      </c>
      <c r="AR350" s="17">
        <v>0</v>
      </c>
      <c r="AS350" s="17">
        <v>0</v>
      </c>
      <c r="AT350" s="17">
        <v>0</v>
      </c>
      <c r="AU350" s="17" t="str">
        <f t="shared" si="11"/>
        <v>5–10%</v>
      </c>
      <c r="AV350" s="17">
        <v>116</v>
      </c>
      <c r="AW350" s="17"/>
    </row>
    <row r="351" spans="1:49">
      <c r="A351" t="s">
        <v>1256</v>
      </c>
      <c r="B351" s="5">
        <v>45964</v>
      </c>
      <c r="C351" t="s">
        <v>252</v>
      </c>
      <c r="D351" t="s">
        <v>253</v>
      </c>
      <c r="E351" t="s">
        <v>658</v>
      </c>
      <c r="F351" t="s">
        <v>445</v>
      </c>
      <c r="G351" t="s">
        <v>47</v>
      </c>
      <c r="H351" t="s">
        <v>35</v>
      </c>
      <c r="I351" t="s">
        <v>36</v>
      </c>
      <c r="J351" t="s">
        <v>56</v>
      </c>
      <c r="K351" t="s">
        <v>38</v>
      </c>
      <c r="L351" s="5">
        <v>43556</v>
      </c>
      <c r="M351">
        <v>74</v>
      </c>
      <c r="N351" t="s">
        <v>433</v>
      </c>
      <c r="O351" t="s">
        <v>915</v>
      </c>
      <c r="Q351">
        <v>2</v>
      </c>
      <c r="R351">
        <v>223</v>
      </c>
      <c r="S351" t="s">
        <v>877</v>
      </c>
      <c r="T351" s="6">
        <v>440430.01947216777</v>
      </c>
      <c r="U351" s="7">
        <f>T351*DealsRawTable[[#This Row],[Contract_Years]]</f>
        <v>880860.03894433554</v>
      </c>
      <c r="V351" s="8">
        <v>0.185</v>
      </c>
      <c r="W351" s="8">
        <v>0.16</v>
      </c>
      <c r="X351" s="8">
        <v>-3.1E-2</v>
      </c>
      <c r="Y351" t="s">
        <v>878</v>
      </c>
      <c r="Z351" t="s">
        <v>889</v>
      </c>
      <c r="AA351" s="6">
        <v>370147.78219251666</v>
      </c>
      <c r="AB351" s="7">
        <f>DealsRawTable[[#This Row],[Final_Price_ACV]]*DealsRawTable[[#This Row],[Contract_Years]]</f>
        <v>740295.56438503333</v>
      </c>
      <c r="AC351" s="6">
        <v>154665.56117420914</v>
      </c>
      <c r="AD351" s="6">
        <v>215482.22101830752</v>
      </c>
      <c r="AE351" s="8">
        <v>0.58215186308001055</v>
      </c>
      <c r="AF351" t="s">
        <v>457</v>
      </c>
      <c r="AI351" t="s">
        <v>44</v>
      </c>
      <c r="AJ351" s="6">
        <v>0</v>
      </c>
      <c r="AK351" s="6">
        <v>0</v>
      </c>
      <c r="AL351" t="s">
        <v>916</v>
      </c>
      <c r="AM351">
        <f t="shared" si="10"/>
        <v>369961.22</v>
      </c>
      <c r="AN351">
        <f>DealsRawTable[[#This Row],[Validated_Annual_Final_Price]]*DealsRawTable[[#This Row],[Contract_Years]]</f>
        <v>739922.44</v>
      </c>
      <c r="AO351">
        <f>DealsRawTable[[#This Row],[Validated_Annual_Final_Price]]-DealsRawTable[[#This Row],[Cost_to_Serve]]</f>
        <v>215295.65882579083</v>
      </c>
      <c r="AP351" s="17">
        <f>DealsRawTable[[#This Row],[Validated_Grossprofit]]/DealsRawTable[[#This Row],[Validated_Annual_Final_Price]]</f>
        <v>0.58194115271268387</v>
      </c>
      <c r="AQ351" s="17">
        <v>0</v>
      </c>
      <c r="AR351" s="17">
        <v>0</v>
      </c>
      <c r="AS351" s="17">
        <v>0</v>
      </c>
      <c r="AT351" s="17">
        <v>0</v>
      </c>
      <c r="AU351" s="17" t="str">
        <f t="shared" si="11"/>
        <v>15–20%</v>
      </c>
      <c r="AV351" s="17">
        <v>108</v>
      </c>
      <c r="AW351" s="17"/>
    </row>
    <row r="352" spans="1:49">
      <c r="A352" t="s">
        <v>1257</v>
      </c>
      <c r="B352" s="5">
        <v>45405</v>
      </c>
      <c r="C352" t="s">
        <v>252</v>
      </c>
      <c r="D352" t="s">
        <v>253</v>
      </c>
      <c r="E352" t="s">
        <v>659</v>
      </c>
      <c r="F352" t="s">
        <v>475</v>
      </c>
      <c r="G352" t="s">
        <v>47</v>
      </c>
      <c r="H352" t="s">
        <v>35</v>
      </c>
      <c r="I352" t="s">
        <v>36</v>
      </c>
      <c r="J352" t="s">
        <v>56</v>
      </c>
      <c r="K352" t="s">
        <v>38</v>
      </c>
      <c r="L352" s="5">
        <v>43556</v>
      </c>
      <c r="M352">
        <v>74</v>
      </c>
      <c r="N352" t="s">
        <v>427</v>
      </c>
      <c r="O352" t="s">
        <v>891</v>
      </c>
      <c r="Q352">
        <v>1</v>
      </c>
      <c r="R352">
        <v>152</v>
      </c>
      <c r="S352" t="s">
        <v>896</v>
      </c>
      <c r="T352" s="6">
        <v>82228.814617660479</v>
      </c>
      <c r="U352" s="7">
        <f>T352*DealsRawTable[[#This Row],[Contract_Years]]</f>
        <v>82228.814617660479</v>
      </c>
      <c r="V352" s="8">
        <v>5.7000000000000002E-2</v>
      </c>
      <c r="W352" s="8">
        <v>5.3999999999999999E-2</v>
      </c>
      <c r="X352" s="8">
        <v>4.1000000000000002E-2</v>
      </c>
      <c r="Y352" t="s">
        <v>930</v>
      </c>
      <c r="Z352" t="s">
        <v>879</v>
      </c>
      <c r="AA352" s="6">
        <v>77798.647999073262</v>
      </c>
      <c r="AB352" s="7">
        <f>DealsRawTable[[#This Row],[Final_Price_ACV]]*DealsRawTable[[#This Row],[Contract_Years]]</f>
        <v>77798.647999073262</v>
      </c>
      <c r="AC352" s="6">
        <v>24851.7875988655</v>
      </c>
      <c r="AD352" s="6">
        <v>52946.860400207763</v>
      </c>
      <c r="AE352" s="8">
        <v>0.68056273164076664</v>
      </c>
      <c r="AF352" t="s">
        <v>457</v>
      </c>
      <c r="AI352" t="s">
        <v>38</v>
      </c>
      <c r="AJ352" s="6">
        <v>0</v>
      </c>
      <c r="AK352" s="6">
        <v>0</v>
      </c>
      <c r="AL352" t="s">
        <v>894</v>
      </c>
      <c r="AM352">
        <f t="shared" si="10"/>
        <v>77788.460000000006</v>
      </c>
      <c r="AN352">
        <f>DealsRawTable[[#This Row],[Validated_Annual_Final_Price]]*DealsRawTable[[#This Row],[Contract_Years]]</f>
        <v>77788.460000000006</v>
      </c>
      <c r="AO352">
        <f>DealsRawTable[[#This Row],[Validated_Annual_Final_Price]]-DealsRawTable[[#This Row],[Cost_to_Serve]]</f>
        <v>52936.672401134507</v>
      </c>
      <c r="AP352" s="17">
        <f>DealsRawTable[[#This Row],[Validated_Grossprofit]]/DealsRawTable[[#This Row],[Validated_Annual_Final_Price]]</f>
        <v>0.68052089475912625</v>
      </c>
      <c r="AQ352" s="17">
        <v>0</v>
      </c>
      <c r="AR352" s="17">
        <v>0</v>
      </c>
      <c r="AS352" s="17">
        <v>0</v>
      </c>
      <c r="AT352" s="17">
        <v>0</v>
      </c>
      <c r="AU352" s="17" t="str">
        <f t="shared" si="11"/>
        <v>5–10%</v>
      </c>
      <c r="AV352" s="17">
        <v>116</v>
      </c>
      <c r="AW352" s="17"/>
    </row>
    <row r="353" spans="1:49">
      <c r="A353" t="s">
        <v>1258</v>
      </c>
      <c r="B353" s="5">
        <v>45549</v>
      </c>
      <c r="C353" t="s">
        <v>254</v>
      </c>
      <c r="D353" t="s">
        <v>255</v>
      </c>
      <c r="E353" t="s">
        <v>660</v>
      </c>
      <c r="F353" t="s">
        <v>34</v>
      </c>
      <c r="G353" t="s">
        <v>47</v>
      </c>
      <c r="H353" t="s">
        <v>48</v>
      </c>
      <c r="I353" t="s">
        <v>49</v>
      </c>
      <c r="J353" t="s">
        <v>56</v>
      </c>
      <c r="K353" t="s">
        <v>38</v>
      </c>
      <c r="L353" s="5">
        <v>44652</v>
      </c>
      <c r="M353">
        <v>71</v>
      </c>
      <c r="N353" t="s">
        <v>431</v>
      </c>
      <c r="O353" t="s">
        <v>891</v>
      </c>
      <c r="Q353">
        <v>1</v>
      </c>
      <c r="R353">
        <v>100</v>
      </c>
      <c r="S353" t="s">
        <v>877</v>
      </c>
      <c r="T353" s="6">
        <v>75992.826251292194</v>
      </c>
      <c r="U353" s="7">
        <f>T353*DealsRawTable[[#This Row],[Contract_Years]]</f>
        <v>75992.826251292194</v>
      </c>
      <c r="V353" s="8">
        <v>7.4999999999999997E-2</v>
      </c>
      <c r="W353" s="8">
        <v>5.5E-2</v>
      </c>
      <c r="X353" s="8">
        <v>9.2999999999999999E-2</v>
      </c>
      <c r="Y353" t="s">
        <v>897</v>
      </c>
      <c r="Z353" t="s">
        <v>879</v>
      </c>
      <c r="AA353" s="6">
        <v>71811.67170985791</v>
      </c>
      <c r="AB353" s="7">
        <f>DealsRawTable[[#This Row],[Final_Price_ACV]]*DealsRawTable[[#This Row],[Contract_Years]]</f>
        <v>71811.67170985791</v>
      </c>
      <c r="AC353" s="6">
        <v>31981.058983877258</v>
      </c>
      <c r="AD353" s="6">
        <v>39830.612725980653</v>
      </c>
      <c r="AE353" s="8">
        <v>0.55465374607778317</v>
      </c>
      <c r="AF353" t="s">
        <v>457</v>
      </c>
      <c r="AI353" t="s">
        <v>38</v>
      </c>
      <c r="AJ353" s="6">
        <v>0</v>
      </c>
      <c r="AK353" s="6">
        <v>0</v>
      </c>
      <c r="AL353" t="s">
        <v>894</v>
      </c>
      <c r="AM353">
        <f t="shared" si="10"/>
        <v>71813.22</v>
      </c>
      <c r="AN353">
        <f>DealsRawTable[[#This Row],[Validated_Annual_Final_Price]]*DealsRawTable[[#This Row],[Contract_Years]]</f>
        <v>71813.22</v>
      </c>
      <c r="AO353">
        <f>DealsRawTable[[#This Row],[Validated_Annual_Final_Price]]-DealsRawTable[[#This Row],[Cost_to_Serve]]</f>
        <v>39832.161016122744</v>
      </c>
      <c r="AP353" s="17">
        <f>DealsRawTable[[#This Row],[Validated_Grossprofit]]/DealsRawTable[[#This Row],[Validated_Annual_Final_Price]]</f>
        <v>0.55466334772515069</v>
      </c>
      <c r="AQ353" s="17">
        <v>0</v>
      </c>
      <c r="AR353" s="17">
        <v>0</v>
      </c>
      <c r="AS353" s="17">
        <v>0</v>
      </c>
      <c r="AT353" s="17">
        <v>0</v>
      </c>
      <c r="AU353" s="17" t="str">
        <f t="shared" si="11"/>
        <v>5–10%</v>
      </c>
      <c r="AV353" s="17">
        <v>116</v>
      </c>
      <c r="AW353" s="17"/>
    </row>
    <row r="354" spans="1:49">
      <c r="A354" t="s">
        <v>1259</v>
      </c>
      <c r="B354" s="5">
        <v>45425</v>
      </c>
      <c r="C354" t="s">
        <v>254</v>
      </c>
      <c r="D354" t="s">
        <v>255</v>
      </c>
      <c r="E354" t="s">
        <v>661</v>
      </c>
      <c r="F354" t="s">
        <v>449</v>
      </c>
      <c r="G354" t="s">
        <v>47</v>
      </c>
      <c r="H354" t="s">
        <v>48</v>
      </c>
      <c r="I354" t="s">
        <v>49</v>
      </c>
      <c r="J354" t="s">
        <v>56</v>
      </c>
      <c r="K354" t="s">
        <v>38</v>
      </c>
      <c r="L354" s="5">
        <v>44652</v>
      </c>
      <c r="M354">
        <v>71</v>
      </c>
      <c r="N354" t="s">
        <v>431</v>
      </c>
      <c r="O354" t="s">
        <v>891</v>
      </c>
      <c r="Q354">
        <v>1</v>
      </c>
      <c r="R354">
        <v>74</v>
      </c>
      <c r="S354" t="s">
        <v>877</v>
      </c>
      <c r="T354" s="6">
        <v>71065.963479105194</v>
      </c>
      <c r="U354" s="7">
        <f>T354*DealsRawTable[[#This Row],[Contract_Years]]</f>
        <v>71065.963479105194</v>
      </c>
      <c r="V354" s="8">
        <v>0.106</v>
      </c>
      <c r="W354" s="8">
        <v>6.8000000000000005E-2</v>
      </c>
      <c r="X354" s="8">
        <v>8.8999999999999996E-2</v>
      </c>
      <c r="Y354" t="s">
        <v>905</v>
      </c>
      <c r="Z354" t="s">
        <v>879</v>
      </c>
      <c r="AA354" s="6">
        <v>66201.107096412627</v>
      </c>
      <c r="AB354" s="7">
        <f>DealsRawTable[[#This Row],[Final_Price_ACV]]*DealsRawTable[[#This Row],[Contract_Years]]</f>
        <v>66201.107096412627</v>
      </c>
      <c r="AC354" s="6">
        <v>27098.499605496345</v>
      </c>
      <c r="AD354" s="6">
        <v>39102.607490916285</v>
      </c>
      <c r="AE354" s="8">
        <v>0.59066395119297355</v>
      </c>
      <c r="AF354" t="s">
        <v>457</v>
      </c>
      <c r="AI354" t="s">
        <v>38</v>
      </c>
      <c r="AJ354" s="6">
        <v>0</v>
      </c>
      <c r="AK354" s="6">
        <v>0</v>
      </c>
      <c r="AL354" t="s">
        <v>894</v>
      </c>
      <c r="AM354">
        <f t="shared" si="10"/>
        <v>66233.48</v>
      </c>
      <c r="AN354">
        <f>DealsRawTable[[#This Row],[Validated_Annual_Final_Price]]*DealsRawTable[[#This Row],[Contract_Years]]</f>
        <v>66233.48</v>
      </c>
      <c r="AO354">
        <f>DealsRawTable[[#This Row],[Validated_Annual_Final_Price]]-DealsRawTable[[#This Row],[Cost_to_Serve]]</f>
        <v>39134.980394503655</v>
      </c>
      <c r="AP354" s="17">
        <f>DealsRawTable[[#This Row],[Validated_Grossprofit]]/DealsRawTable[[#This Row],[Validated_Annual_Final_Price]]</f>
        <v>0.59086402216075096</v>
      </c>
      <c r="AQ354" s="17">
        <v>0</v>
      </c>
      <c r="AR354" s="17">
        <v>0</v>
      </c>
      <c r="AS354" s="17">
        <v>0</v>
      </c>
      <c r="AT354" s="17">
        <v>0</v>
      </c>
      <c r="AU354" s="17" t="str">
        <f t="shared" si="11"/>
        <v>5–10%</v>
      </c>
      <c r="AV354" s="17">
        <v>116</v>
      </c>
      <c r="AW354" s="17"/>
    </row>
    <row r="355" spans="1:49">
      <c r="A355" t="s">
        <v>1260</v>
      </c>
      <c r="B355" s="5">
        <v>45577</v>
      </c>
      <c r="C355" t="s">
        <v>256</v>
      </c>
      <c r="D355" t="s">
        <v>257</v>
      </c>
      <c r="E355" t="s">
        <v>662</v>
      </c>
      <c r="F355" t="s">
        <v>47</v>
      </c>
      <c r="G355" t="s">
        <v>60</v>
      </c>
      <c r="H355" t="s">
        <v>48</v>
      </c>
      <c r="I355" t="s">
        <v>115</v>
      </c>
      <c r="J355" t="s">
        <v>43</v>
      </c>
      <c r="K355" t="s">
        <v>44</v>
      </c>
      <c r="L355" s="5">
        <v>43586</v>
      </c>
      <c r="M355">
        <v>98</v>
      </c>
      <c r="N355" t="s">
        <v>424</v>
      </c>
      <c r="O355" t="s">
        <v>891</v>
      </c>
      <c r="Q355">
        <v>1</v>
      </c>
      <c r="R355">
        <v>1143</v>
      </c>
      <c r="S355" t="s">
        <v>932</v>
      </c>
      <c r="T355" s="6">
        <v>128174.74942213876</v>
      </c>
      <c r="U355" s="7">
        <f>T355*DealsRawTable[[#This Row],[Contract_Years]]</f>
        <v>128174.74942213876</v>
      </c>
      <c r="V355" s="8">
        <v>0.26</v>
      </c>
      <c r="W355" s="8">
        <v>0.22800000000000001</v>
      </c>
      <c r="X355" s="8">
        <v>-6.7000000000000004E-2</v>
      </c>
      <c r="Y355" t="s">
        <v>909</v>
      </c>
      <c r="Z355" t="s">
        <v>893</v>
      </c>
      <c r="AA355" s="6">
        <v>99012.23689814558</v>
      </c>
      <c r="AB355" s="7">
        <f>DealsRawTable[[#This Row],[Final_Price_ACV]]*DealsRawTable[[#This Row],[Contract_Years]]</f>
        <v>99012.23689814558</v>
      </c>
      <c r="AC355" s="6">
        <v>40523.889500491568</v>
      </c>
      <c r="AD355" s="6">
        <v>58488.347397654012</v>
      </c>
      <c r="AE355" s="8">
        <v>0.59071837209193934</v>
      </c>
      <c r="AF355" t="s">
        <v>880</v>
      </c>
      <c r="AI355" t="s">
        <v>38</v>
      </c>
      <c r="AJ355" s="6">
        <v>99012.23689814558</v>
      </c>
      <c r="AK355" s="6">
        <v>58488.347397654012</v>
      </c>
      <c r="AL355" t="s">
        <v>894</v>
      </c>
      <c r="AM355">
        <f t="shared" si="10"/>
        <v>98950.91</v>
      </c>
      <c r="AN355">
        <f>DealsRawTable[[#This Row],[Validated_Annual_Final_Price]]*DealsRawTable[[#This Row],[Contract_Years]]</f>
        <v>98950.91</v>
      </c>
      <c r="AO355">
        <f>DealsRawTable[[#This Row],[Validated_Annual_Final_Price]]-DealsRawTable[[#This Row],[Cost_to_Serve]]</f>
        <v>58427.020499508435</v>
      </c>
      <c r="AP355" s="17">
        <f>DealsRawTable[[#This Row],[Validated_Grossprofit]]/DealsRawTable[[#This Row],[Validated_Annual_Final_Price]]</f>
        <v>0.59046471123417088</v>
      </c>
      <c r="AQ355" s="17">
        <v>98950.91</v>
      </c>
      <c r="AR355" s="17">
        <v>98950.91</v>
      </c>
      <c r="AS355" s="17">
        <v>58427.020499508435</v>
      </c>
      <c r="AT355" s="17">
        <v>0.59046471123417088</v>
      </c>
      <c r="AU355" s="17" t="str">
        <f t="shared" si="11"/>
        <v>20–25%</v>
      </c>
      <c r="AV355" s="17">
        <v>29</v>
      </c>
      <c r="AW355" s="17"/>
    </row>
    <row r="356" spans="1:49">
      <c r="A356" t="s">
        <v>1261</v>
      </c>
      <c r="B356" s="5">
        <v>45942</v>
      </c>
      <c r="C356" t="s">
        <v>256</v>
      </c>
      <c r="D356" t="s">
        <v>257</v>
      </c>
      <c r="E356" t="s">
        <v>662</v>
      </c>
      <c r="F356" t="s">
        <v>47</v>
      </c>
      <c r="G356" t="s">
        <v>60</v>
      </c>
      <c r="H356" t="s">
        <v>48</v>
      </c>
      <c r="I356" t="s">
        <v>115</v>
      </c>
      <c r="J356" t="s">
        <v>43</v>
      </c>
      <c r="K356" t="s">
        <v>44</v>
      </c>
      <c r="L356" s="5">
        <v>43586</v>
      </c>
      <c r="M356">
        <v>98</v>
      </c>
      <c r="N356" t="s">
        <v>424</v>
      </c>
      <c r="O356" t="s">
        <v>876</v>
      </c>
      <c r="Q356">
        <v>1</v>
      </c>
      <c r="R356">
        <v>1143</v>
      </c>
      <c r="S356" t="s">
        <v>896</v>
      </c>
      <c r="T356" s="6">
        <v>134531.46353018345</v>
      </c>
      <c r="U356" s="7">
        <f>T356*DealsRawTable[[#This Row],[Contract_Years]]</f>
        <v>134531.46353018345</v>
      </c>
      <c r="V356" s="8">
        <v>0.14000000000000001</v>
      </c>
      <c r="W356" s="8">
        <v>0.13900000000000001</v>
      </c>
      <c r="X356" s="8">
        <v>-6.3E-2</v>
      </c>
      <c r="Y356" t="s">
        <v>885</v>
      </c>
      <c r="Z356" t="s">
        <v>889</v>
      </c>
      <c r="AA356" s="6">
        <v>115860.19492138471</v>
      </c>
      <c r="AB356" s="7">
        <f>DealsRawTable[[#This Row],[Final_Price_ACV]]*DealsRawTable[[#This Row],[Contract_Years]]</f>
        <v>115860.19492138471</v>
      </c>
      <c r="AC356" s="6">
        <v>36439.082161925326</v>
      </c>
      <c r="AD356" s="6">
        <v>79421.112759459385</v>
      </c>
      <c r="AE356" s="8">
        <v>0.68549092993801242</v>
      </c>
      <c r="AF356" t="s">
        <v>880</v>
      </c>
      <c r="AG356" t="s">
        <v>44</v>
      </c>
      <c r="AI356" t="s">
        <v>38</v>
      </c>
      <c r="AJ356" s="6">
        <v>115860.19492138471</v>
      </c>
      <c r="AK356" s="6">
        <v>79421.112759459385</v>
      </c>
      <c r="AL356" t="s">
        <v>881</v>
      </c>
      <c r="AM356">
        <f t="shared" si="10"/>
        <v>115831.59</v>
      </c>
      <c r="AN356">
        <f>DealsRawTable[[#This Row],[Validated_Annual_Final_Price]]*DealsRawTable[[#This Row],[Contract_Years]]</f>
        <v>115831.59</v>
      </c>
      <c r="AO356">
        <f>DealsRawTable[[#This Row],[Validated_Annual_Final_Price]]-DealsRawTable[[#This Row],[Cost_to_Serve]]</f>
        <v>79392.507838074671</v>
      </c>
      <c r="AP356" s="17">
        <f>DealsRawTable[[#This Row],[Validated_Grossprofit]]/DealsRawTable[[#This Row],[Validated_Annual_Final_Price]]</f>
        <v>0.68541326108080425</v>
      </c>
      <c r="AQ356" s="17">
        <v>115831.59</v>
      </c>
      <c r="AR356" s="17">
        <v>115831.59</v>
      </c>
      <c r="AS356" s="17">
        <v>79392.507838074671</v>
      </c>
      <c r="AT356" s="17">
        <v>0.68541326108080425</v>
      </c>
      <c r="AU356" s="17" t="str">
        <f t="shared" si="11"/>
        <v>10–15%</v>
      </c>
      <c r="AV356" s="17">
        <v>113</v>
      </c>
      <c r="AW356" s="17"/>
    </row>
    <row r="357" spans="1:49">
      <c r="A357" t="s">
        <v>1262</v>
      </c>
      <c r="B357" s="5">
        <v>45605</v>
      </c>
      <c r="C357" t="s">
        <v>256</v>
      </c>
      <c r="D357" t="s">
        <v>257</v>
      </c>
      <c r="E357" t="s">
        <v>663</v>
      </c>
      <c r="F357" t="s">
        <v>466</v>
      </c>
      <c r="G357" t="s">
        <v>60</v>
      </c>
      <c r="H357" t="s">
        <v>48</v>
      </c>
      <c r="I357" t="s">
        <v>115</v>
      </c>
      <c r="J357" t="s">
        <v>43</v>
      </c>
      <c r="K357" t="s">
        <v>44</v>
      </c>
      <c r="L357" s="5">
        <v>43586</v>
      </c>
      <c r="M357">
        <v>98</v>
      </c>
      <c r="N357" t="s">
        <v>424</v>
      </c>
      <c r="O357" t="s">
        <v>891</v>
      </c>
      <c r="Q357">
        <v>3</v>
      </c>
      <c r="R357">
        <v>1361</v>
      </c>
      <c r="S357" t="s">
        <v>947</v>
      </c>
      <c r="T357" s="6">
        <v>88694.248607587331</v>
      </c>
      <c r="U357" s="7">
        <f>T357*DealsRawTable[[#This Row],[Contract_Years]]</f>
        <v>266082.74582276202</v>
      </c>
      <c r="V357" s="8">
        <v>0.113</v>
      </c>
      <c r="W357" s="8">
        <v>6.4000000000000001E-2</v>
      </c>
      <c r="X357" s="8">
        <v>-4.7E-2</v>
      </c>
      <c r="Y357" t="s">
        <v>897</v>
      </c>
      <c r="Z357" t="s">
        <v>879</v>
      </c>
      <c r="AA357" s="6">
        <v>83040.956986810139</v>
      </c>
      <c r="AB357" s="7">
        <f>DealsRawTable[[#This Row],[Final_Price_ACV]]*DealsRawTable[[#This Row],[Contract_Years]]</f>
        <v>249122.87096043042</v>
      </c>
      <c r="AC357" s="6">
        <v>29620.102532822519</v>
      </c>
      <c r="AD357" s="6">
        <v>53420.854453987617</v>
      </c>
      <c r="AE357" s="8">
        <v>0.64330730753106269</v>
      </c>
      <c r="AF357" t="s">
        <v>457</v>
      </c>
      <c r="AI357" t="s">
        <v>38</v>
      </c>
      <c r="AJ357" s="6">
        <v>0</v>
      </c>
      <c r="AK357" s="6">
        <v>0</v>
      </c>
      <c r="AL357" t="s">
        <v>894</v>
      </c>
      <c r="AM357">
        <f t="shared" si="10"/>
        <v>83017.820000000007</v>
      </c>
      <c r="AN357">
        <f>DealsRawTable[[#This Row],[Validated_Annual_Final_Price]]*DealsRawTable[[#This Row],[Contract_Years]]</f>
        <v>249053.46000000002</v>
      </c>
      <c r="AO357">
        <f>DealsRawTable[[#This Row],[Validated_Annual_Final_Price]]-DealsRawTable[[#This Row],[Cost_to_Serve]]</f>
        <v>53397.717467177485</v>
      </c>
      <c r="AP357" s="17">
        <f>DealsRawTable[[#This Row],[Validated_Grossprofit]]/DealsRawTable[[#This Row],[Validated_Annual_Final_Price]]</f>
        <v>0.64320789761978192</v>
      </c>
      <c r="AQ357" s="17">
        <v>0</v>
      </c>
      <c r="AR357" s="17">
        <v>0</v>
      </c>
      <c r="AS357" s="17">
        <v>0</v>
      </c>
      <c r="AT357" s="17">
        <v>0</v>
      </c>
      <c r="AU357" s="17" t="str">
        <f t="shared" si="11"/>
        <v>5–10%</v>
      </c>
      <c r="AV357" s="17">
        <v>116</v>
      </c>
      <c r="AW357" s="17"/>
    </row>
    <row r="358" spans="1:49">
      <c r="A358" t="s">
        <v>1263</v>
      </c>
      <c r="B358" s="5">
        <v>45880</v>
      </c>
      <c r="C358" t="s">
        <v>256</v>
      </c>
      <c r="D358" t="s">
        <v>257</v>
      </c>
      <c r="E358" t="s">
        <v>663</v>
      </c>
      <c r="F358" t="s">
        <v>466</v>
      </c>
      <c r="G358" t="s">
        <v>60</v>
      </c>
      <c r="H358" t="s">
        <v>48</v>
      </c>
      <c r="I358" t="s">
        <v>115</v>
      </c>
      <c r="J358" t="s">
        <v>43</v>
      </c>
      <c r="K358" t="s">
        <v>44</v>
      </c>
      <c r="L358" s="5">
        <v>43586</v>
      </c>
      <c r="M358">
        <v>98</v>
      </c>
      <c r="N358" t="s">
        <v>424</v>
      </c>
      <c r="O358" t="s">
        <v>915</v>
      </c>
      <c r="Q358">
        <v>3</v>
      </c>
      <c r="R358">
        <v>1361</v>
      </c>
      <c r="S358" t="s">
        <v>896</v>
      </c>
      <c r="T358" s="6">
        <v>88694.248607587331</v>
      </c>
      <c r="U358" s="7">
        <f>T358*DealsRawTable[[#This Row],[Contract_Years]]</f>
        <v>266082.74582276202</v>
      </c>
      <c r="V358" s="8">
        <v>0.20599999999999999</v>
      </c>
      <c r="W358" s="8">
        <v>0.16500000000000001</v>
      </c>
      <c r="X358" s="8">
        <v>-0.13</v>
      </c>
      <c r="Y358" t="s">
        <v>878</v>
      </c>
      <c r="Z358" t="s">
        <v>889</v>
      </c>
      <c r="AA358" s="6">
        <v>74088.647675302636</v>
      </c>
      <c r="AB358" s="7">
        <f>DealsRawTable[[#This Row],[Final_Price_ACV]]*DealsRawTable[[#This Row],[Contract_Years]]</f>
        <v>222265.94302590791</v>
      </c>
      <c r="AC358" s="6">
        <v>26896.578690332572</v>
      </c>
      <c r="AD358" s="6">
        <v>47192.068984970065</v>
      </c>
      <c r="AE358" s="8">
        <v>0.63696761198546592</v>
      </c>
      <c r="AF358" t="s">
        <v>880</v>
      </c>
      <c r="AI358" t="s">
        <v>44</v>
      </c>
      <c r="AJ358" s="6">
        <v>74088.647675302636</v>
      </c>
      <c r="AK358" s="6">
        <v>47192.068984970065</v>
      </c>
      <c r="AL358" t="s">
        <v>934</v>
      </c>
      <c r="AM358">
        <f t="shared" si="10"/>
        <v>74059.7</v>
      </c>
      <c r="AN358">
        <f>DealsRawTable[[#This Row],[Validated_Annual_Final_Price]]*DealsRawTable[[#This Row],[Contract_Years]]</f>
        <v>222179.09999999998</v>
      </c>
      <c r="AO358">
        <f>DealsRawTable[[#This Row],[Validated_Annual_Final_Price]]-DealsRawTable[[#This Row],[Cost_to_Serve]]</f>
        <v>47163.121309667426</v>
      </c>
      <c r="AP358" s="17">
        <f>DealsRawTable[[#This Row],[Validated_Grossprofit]]/DealsRawTable[[#This Row],[Validated_Annual_Final_Price]]</f>
        <v>0.63682571371025576</v>
      </c>
      <c r="AQ358" s="17">
        <v>74059.7</v>
      </c>
      <c r="AR358" s="17">
        <v>222179.09999999998</v>
      </c>
      <c r="AS358" s="17">
        <v>47163.121309667426</v>
      </c>
      <c r="AT358" s="17">
        <v>0.63682571371025576</v>
      </c>
      <c r="AU358" s="17" t="str">
        <f t="shared" si="11"/>
        <v>15–20%</v>
      </c>
      <c r="AV358" s="17">
        <v>108</v>
      </c>
      <c r="AW358" s="17"/>
    </row>
    <row r="359" spans="1:49">
      <c r="A359" t="s">
        <v>1264</v>
      </c>
      <c r="B359" s="5">
        <v>45314</v>
      </c>
      <c r="C359" t="s">
        <v>258</v>
      </c>
      <c r="D359" t="s">
        <v>259</v>
      </c>
      <c r="E359" t="s">
        <v>664</v>
      </c>
      <c r="F359" t="s">
        <v>445</v>
      </c>
      <c r="G359" t="s">
        <v>47</v>
      </c>
      <c r="H359" t="s">
        <v>35</v>
      </c>
      <c r="I359" t="s">
        <v>36</v>
      </c>
      <c r="J359" t="s">
        <v>56</v>
      </c>
      <c r="K359" t="s">
        <v>38</v>
      </c>
      <c r="L359" s="5">
        <v>45078</v>
      </c>
      <c r="M359">
        <v>70</v>
      </c>
      <c r="N359" t="s">
        <v>424</v>
      </c>
      <c r="O359" t="s">
        <v>891</v>
      </c>
      <c r="Q359">
        <v>1</v>
      </c>
      <c r="R359">
        <v>331</v>
      </c>
      <c r="S359" t="s">
        <v>947</v>
      </c>
      <c r="T359" s="6">
        <v>60427.120885556324</v>
      </c>
      <c r="U359" s="7">
        <f>T359*DealsRawTable[[#This Row],[Contract_Years]]</f>
        <v>60427.120885556324</v>
      </c>
      <c r="V359" s="8">
        <v>0.17100000000000001</v>
      </c>
      <c r="W359" s="8">
        <v>0.14699999999999999</v>
      </c>
      <c r="X359" s="8">
        <v>-1.4E-2</v>
      </c>
      <c r="Y359" t="s">
        <v>878</v>
      </c>
      <c r="Z359" t="s">
        <v>889</v>
      </c>
      <c r="AA359" s="6">
        <v>51533.740999280017</v>
      </c>
      <c r="AB359" s="7">
        <f>DealsRawTable[[#This Row],[Final_Price_ACV]]*DealsRawTable[[#This Row],[Contract_Years]]</f>
        <v>51533.740999280017</v>
      </c>
      <c r="AC359" s="6">
        <v>18888.052697341172</v>
      </c>
      <c r="AD359" s="6">
        <v>32645.688301938844</v>
      </c>
      <c r="AE359" s="8">
        <v>0.63348182508999185</v>
      </c>
      <c r="AF359" t="s">
        <v>457</v>
      </c>
      <c r="AI359" t="s">
        <v>38</v>
      </c>
      <c r="AJ359" s="6">
        <v>0</v>
      </c>
      <c r="AK359" s="6">
        <v>0</v>
      </c>
      <c r="AL359" t="s">
        <v>894</v>
      </c>
      <c r="AM359">
        <f t="shared" si="10"/>
        <v>51544.33</v>
      </c>
      <c r="AN359">
        <f>DealsRawTable[[#This Row],[Validated_Annual_Final_Price]]*DealsRawTable[[#This Row],[Contract_Years]]</f>
        <v>51544.33</v>
      </c>
      <c r="AO359">
        <f>DealsRawTable[[#This Row],[Validated_Annual_Final_Price]]-DealsRawTable[[#This Row],[Cost_to_Serve]]</f>
        <v>32656.277302658829</v>
      </c>
      <c r="AP359" s="17">
        <f>DealsRawTable[[#This Row],[Validated_Grossprofit]]/DealsRawTable[[#This Row],[Validated_Annual_Final_Price]]</f>
        <v>0.6335571206892946</v>
      </c>
      <c r="AQ359" s="17">
        <v>0</v>
      </c>
      <c r="AR359" s="17">
        <v>0</v>
      </c>
      <c r="AS359" s="17">
        <v>0</v>
      </c>
      <c r="AT359" s="17">
        <v>0</v>
      </c>
      <c r="AU359" s="17" t="str">
        <f t="shared" si="11"/>
        <v>10–15%</v>
      </c>
      <c r="AV359" s="17">
        <v>113</v>
      </c>
      <c r="AW359" s="17"/>
    </row>
    <row r="360" spans="1:49">
      <c r="A360" t="s">
        <v>1265</v>
      </c>
      <c r="B360" s="5">
        <v>45335</v>
      </c>
      <c r="C360" t="s">
        <v>258</v>
      </c>
      <c r="D360" t="s">
        <v>259</v>
      </c>
      <c r="E360" t="s">
        <v>665</v>
      </c>
      <c r="F360" t="s">
        <v>466</v>
      </c>
      <c r="G360" t="s">
        <v>47</v>
      </c>
      <c r="H360" t="s">
        <v>35</v>
      </c>
      <c r="I360" t="s">
        <v>36</v>
      </c>
      <c r="J360" t="s">
        <v>56</v>
      </c>
      <c r="K360" t="s">
        <v>38</v>
      </c>
      <c r="L360" s="5">
        <v>45078</v>
      </c>
      <c r="M360">
        <v>70</v>
      </c>
      <c r="N360" t="s">
        <v>431</v>
      </c>
      <c r="O360" t="s">
        <v>891</v>
      </c>
      <c r="Q360">
        <v>2</v>
      </c>
      <c r="R360">
        <v>140</v>
      </c>
      <c r="S360" t="s">
        <v>892</v>
      </c>
      <c r="T360" s="6">
        <v>101531.47482576194</v>
      </c>
      <c r="U360" s="7">
        <f>T360*DealsRawTable[[#This Row],[Contract_Years]]</f>
        <v>203062.94965152387</v>
      </c>
      <c r="V360" s="8">
        <v>7.3999999999999996E-2</v>
      </c>
      <c r="W360" s="8">
        <v>4.8000000000000001E-2</v>
      </c>
      <c r="X360" s="8">
        <v>-0.108</v>
      </c>
      <c r="Y360" t="s">
        <v>909</v>
      </c>
      <c r="Z360" t="s">
        <v>879</v>
      </c>
      <c r="AA360" s="6">
        <v>96657.454191458004</v>
      </c>
      <c r="AB360" s="7">
        <f>DealsRawTable[[#This Row],[Final_Price_ACV]]*DealsRawTable[[#This Row],[Contract_Years]]</f>
        <v>193314.90838291601</v>
      </c>
      <c r="AC360" s="6">
        <v>40939.924942157333</v>
      </c>
      <c r="AD360" s="6">
        <v>55717.529249300671</v>
      </c>
      <c r="AE360" s="8">
        <v>0.57644316949353969</v>
      </c>
      <c r="AF360" t="s">
        <v>880</v>
      </c>
      <c r="AI360" t="s">
        <v>38</v>
      </c>
      <c r="AJ360" s="6">
        <v>96657.454191458004</v>
      </c>
      <c r="AK360" s="6">
        <v>55717.529249300671</v>
      </c>
      <c r="AL360" t="s">
        <v>894</v>
      </c>
      <c r="AM360">
        <f t="shared" si="10"/>
        <v>96657.96</v>
      </c>
      <c r="AN360">
        <f>DealsRawTable[[#This Row],[Validated_Annual_Final_Price]]*DealsRawTable[[#This Row],[Contract_Years]]</f>
        <v>193315.92</v>
      </c>
      <c r="AO360">
        <f>DealsRawTable[[#This Row],[Validated_Annual_Final_Price]]-DealsRawTable[[#This Row],[Cost_to_Serve]]</f>
        <v>55718.035057842673</v>
      </c>
      <c r="AP360" s="17">
        <f>DealsRawTable[[#This Row],[Validated_Grossprofit]]/DealsRawTable[[#This Row],[Validated_Annual_Final_Price]]</f>
        <v>0.576445385955204</v>
      </c>
      <c r="AQ360" s="17">
        <v>96657.96</v>
      </c>
      <c r="AR360" s="17">
        <v>193315.92</v>
      </c>
      <c r="AS360" s="17">
        <v>55718.035057842673</v>
      </c>
      <c r="AT360" s="17">
        <v>0.576445385955204</v>
      </c>
      <c r="AU360" s="17" t="str">
        <f t="shared" si="11"/>
        <v>0–5%</v>
      </c>
      <c r="AV360" s="17">
        <v>55</v>
      </c>
      <c r="AW360" s="17"/>
    </row>
    <row r="361" spans="1:49">
      <c r="A361" t="s">
        <v>1266</v>
      </c>
      <c r="B361" s="5">
        <v>45538</v>
      </c>
      <c r="C361" t="s">
        <v>258</v>
      </c>
      <c r="D361" t="s">
        <v>259</v>
      </c>
      <c r="E361" t="s">
        <v>666</v>
      </c>
      <c r="F361" t="s">
        <v>47</v>
      </c>
      <c r="G361" t="s">
        <v>47</v>
      </c>
      <c r="H361" t="s">
        <v>35</v>
      </c>
      <c r="I361" t="s">
        <v>36</v>
      </c>
      <c r="J361" t="s">
        <v>56</v>
      </c>
      <c r="K361" t="s">
        <v>38</v>
      </c>
      <c r="L361" s="5">
        <v>45078</v>
      </c>
      <c r="M361">
        <v>70</v>
      </c>
      <c r="N361" t="s">
        <v>427</v>
      </c>
      <c r="O361" t="s">
        <v>876</v>
      </c>
      <c r="Q361">
        <v>1</v>
      </c>
      <c r="R361">
        <v>83</v>
      </c>
      <c r="S361" t="s">
        <v>877</v>
      </c>
      <c r="T361" s="6">
        <v>100632.64963180841</v>
      </c>
      <c r="U361" s="7">
        <f>T361*DealsRawTable[[#This Row],[Contract_Years]]</f>
        <v>100632.64963180841</v>
      </c>
      <c r="V361" s="8">
        <v>0.185</v>
      </c>
      <c r="W361" s="8">
        <v>0.16700000000000001</v>
      </c>
      <c r="X361" s="8">
        <v>-1.2E-2</v>
      </c>
      <c r="Y361" t="s">
        <v>885</v>
      </c>
      <c r="Z361" t="s">
        <v>889</v>
      </c>
      <c r="AA361" s="6">
        <v>83840.908039310132</v>
      </c>
      <c r="AB361" s="7">
        <f>DealsRawTable[[#This Row],[Final_Price_ACV]]*DealsRawTable[[#This Row],[Contract_Years]]</f>
        <v>83840.908039310132</v>
      </c>
      <c r="AC361" s="6">
        <v>25979.239206679747</v>
      </c>
      <c r="AD361" s="6">
        <v>57861.668832630385</v>
      </c>
      <c r="AE361" s="8">
        <v>0.69013647616389162</v>
      </c>
      <c r="AF361" t="s">
        <v>880</v>
      </c>
      <c r="AG361" t="s">
        <v>44</v>
      </c>
      <c r="AI361" t="s">
        <v>38</v>
      </c>
      <c r="AJ361" s="6">
        <v>83840.908039310132</v>
      </c>
      <c r="AK361" s="6">
        <v>57861.668832630385</v>
      </c>
      <c r="AL361" t="s">
        <v>881</v>
      </c>
      <c r="AM361">
        <f t="shared" si="10"/>
        <v>83827</v>
      </c>
      <c r="AN361">
        <f>DealsRawTable[[#This Row],[Validated_Annual_Final_Price]]*DealsRawTable[[#This Row],[Contract_Years]]</f>
        <v>83827</v>
      </c>
      <c r="AO361">
        <f>DealsRawTable[[#This Row],[Validated_Annual_Final_Price]]-DealsRawTable[[#This Row],[Cost_to_Serve]]</f>
        <v>57847.760793320253</v>
      </c>
      <c r="AP361" s="17">
        <f>DealsRawTable[[#This Row],[Validated_Grossprofit]]/DealsRawTable[[#This Row],[Validated_Annual_Final_Price]]</f>
        <v>0.69008506559128024</v>
      </c>
      <c r="AQ361" s="17">
        <v>83827</v>
      </c>
      <c r="AR361" s="17">
        <v>83827</v>
      </c>
      <c r="AS361" s="17">
        <v>57847.760793320253</v>
      </c>
      <c r="AT361" s="17">
        <v>0.69008506559128024</v>
      </c>
      <c r="AU361" s="17" t="str">
        <f t="shared" si="11"/>
        <v>15–20%</v>
      </c>
      <c r="AV361" s="17">
        <v>108</v>
      </c>
      <c r="AW361" s="17"/>
    </row>
    <row r="362" spans="1:49">
      <c r="A362" t="s">
        <v>1267</v>
      </c>
      <c r="B362" s="5">
        <v>45903</v>
      </c>
      <c r="C362" t="s">
        <v>258</v>
      </c>
      <c r="D362" t="s">
        <v>259</v>
      </c>
      <c r="E362" t="s">
        <v>666</v>
      </c>
      <c r="F362" t="s">
        <v>47</v>
      </c>
      <c r="G362" t="s">
        <v>47</v>
      </c>
      <c r="H362" t="s">
        <v>35</v>
      </c>
      <c r="I362" t="s">
        <v>36</v>
      </c>
      <c r="J362" t="s">
        <v>56</v>
      </c>
      <c r="K362" t="s">
        <v>38</v>
      </c>
      <c r="L362" s="5">
        <v>45078</v>
      </c>
      <c r="M362">
        <v>70</v>
      </c>
      <c r="N362" t="s">
        <v>427</v>
      </c>
      <c r="O362" t="s">
        <v>876</v>
      </c>
      <c r="Q362">
        <v>1</v>
      </c>
      <c r="R362">
        <v>83</v>
      </c>
      <c r="S362" t="s">
        <v>877</v>
      </c>
      <c r="T362" s="6">
        <v>103691.82883206823</v>
      </c>
      <c r="U362" s="7">
        <f>T362*DealsRawTable[[#This Row],[Contract_Years]]</f>
        <v>103691.82883206823</v>
      </c>
      <c r="V362" s="8">
        <v>0.107</v>
      </c>
      <c r="W362" s="8">
        <v>9.8000000000000004E-2</v>
      </c>
      <c r="X362" s="8">
        <v>-0.161</v>
      </c>
      <c r="Y362" t="s">
        <v>909</v>
      </c>
      <c r="Z362" t="s">
        <v>879</v>
      </c>
      <c r="AA362" s="6">
        <v>93560.583449685568</v>
      </c>
      <c r="AB362" s="7">
        <f>DealsRawTable[[#This Row],[Final_Price_ACV]]*DealsRawTable[[#This Row],[Contract_Years]]</f>
        <v>93560.583449685568</v>
      </c>
      <c r="AC362" s="6">
        <v>33253.409018984144</v>
      </c>
      <c r="AD362" s="6">
        <v>60307.174430701423</v>
      </c>
      <c r="AE362" s="8">
        <v>0.64457886224205774</v>
      </c>
      <c r="AF362" t="s">
        <v>457</v>
      </c>
      <c r="AG362" t="s">
        <v>38</v>
      </c>
      <c r="AI362" t="s">
        <v>38</v>
      </c>
      <c r="AJ362" s="6">
        <v>0</v>
      </c>
      <c r="AK362" s="6">
        <v>0</v>
      </c>
      <c r="AL362" t="s">
        <v>881</v>
      </c>
      <c r="AM362">
        <f t="shared" si="10"/>
        <v>93530.03</v>
      </c>
      <c r="AN362">
        <f>DealsRawTable[[#This Row],[Validated_Annual_Final_Price]]*DealsRawTable[[#This Row],[Contract_Years]]</f>
        <v>93530.03</v>
      </c>
      <c r="AO362">
        <f>DealsRawTable[[#This Row],[Validated_Annual_Final_Price]]-DealsRawTable[[#This Row],[Cost_to_Serve]]</f>
        <v>60276.620981015854</v>
      </c>
      <c r="AP362" s="17">
        <f>DealsRawTable[[#This Row],[Validated_Grossprofit]]/DealsRawTable[[#This Row],[Validated_Annual_Final_Price]]</f>
        <v>0.64446275683880194</v>
      </c>
      <c r="AQ362" s="17">
        <v>0</v>
      </c>
      <c r="AR362" s="17">
        <v>0</v>
      </c>
      <c r="AS362" s="17">
        <v>0</v>
      </c>
      <c r="AT362" s="17">
        <v>0</v>
      </c>
      <c r="AU362" s="17" t="str">
        <f t="shared" si="11"/>
        <v>5–10%</v>
      </c>
      <c r="AV362" s="17">
        <v>116</v>
      </c>
      <c r="AW362" s="17"/>
    </row>
    <row r="363" spans="1:49">
      <c r="A363" t="s">
        <v>1268</v>
      </c>
      <c r="B363" s="5">
        <v>45389</v>
      </c>
      <c r="C363" t="s">
        <v>260</v>
      </c>
      <c r="D363" t="s">
        <v>261</v>
      </c>
      <c r="E363" t="s">
        <v>667</v>
      </c>
      <c r="F363" t="s">
        <v>466</v>
      </c>
      <c r="G363" t="s">
        <v>47</v>
      </c>
      <c r="H363" t="s">
        <v>54</v>
      </c>
      <c r="I363" t="s">
        <v>55</v>
      </c>
      <c r="J363" t="s">
        <v>37</v>
      </c>
      <c r="K363" t="s">
        <v>38</v>
      </c>
      <c r="L363" s="5">
        <v>45352</v>
      </c>
      <c r="M363">
        <v>53</v>
      </c>
      <c r="N363" t="s">
        <v>431</v>
      </c>
      <c r="O363" t="s">
        <v>891</v>
      </c>
      <c r="Q363">
        <v>1</v>
      </c>
      <c r="R363">
        <v>26</v>
      </c>
      <c r="S363" t="s">
        <v>896</v>
      </c>
      <c r="T363" s="6">
        <v>44680.137854142777</v>
      </c>
      <c r="U363" s="7">
        <f>T363*DealsRawTable[[#This Row],[Contract_Years]]</f>
        <v>44680.137854142777</v>
      </c>
      <c r="V363" s="8">
        <v>7.5999999999999998E-2</v>
      </c>
      <c r="W363" s="8">
        <v>4.4999999999999998E-2</v>
      </c>
      <c r="X363" s="8">
        <v>-8.8999999999999996E-2</v>
      </c>
      <c r="Y363" t="s">
        <v>911</v>
      </c>
      <c r="Z363" t="s">
        <v>879</v>
      </c>
      <c r="AA363" s="6">
        <v>42662.219552622169</v>
      </c>
      <c r="AB363" s="7">
        <f>DealsRawTable[[#This Row],[Final_Price_ACV]]*DealsRawTable[[#This Row],[Contract_Years]]</f>
        <v>42662.219552622169</v>
      </c>
      <c r="AC363" s="6">
        <v>19208.016246028819</v>
      </c>
      <c r="AD363" s="6">
        <v>23454.20330659335</v>
      </c>
      <c r="AE363" s="8">
        <v>0.54976519160386195</v>
      </c>
      <c r="AF363" t="s">
        <v>457</v>
      </c>
      <c r="AI363" t="s">
        <v>38</v>
      </c>
      <c r="AJ363" s="6">
        <v>0</v>
      </c>
      <c r="AK363" s="6">
        <v>0</v>
      </c>
      <c r="AL363" t="s">
        <v>894</v>
      </c>
      <c r="AM363">
        <f t="shared" si="10"/>
        <v>42669.53</v>
      </c>
      <c r="AN363">
        <f>DealsRawTable[[#This Row],[Validated_Annual_Final_Price]]*DealsRawTable[[#This Row],[Contract_Years]]</f>
        <v>42669.53</v>
      </c>
      <c r="AO363">
        <f>DealsRawTable[[#This Row],[Validated_Annual_Final_Price]]-DealsRawTable[[#This Row],[Cost_to_Serve]]</f>
        <v>23461.51375397118</v>
      </c>
      <c r="AP363" s="17">
        <f>DealsRawTable[[#This Row],[Validated_Grossprofit]]/DealsRawTable[[#This Row],[Validated_Annual_Final_Price]]</f>
        <v>0.54984232903364949</v>
      </c>
      <c r="AQ363" s="17">
        <v>0</v>
      </c>
      <c r="AR363" s="17">
        <v>0</v>
      </c>
      <c r="AS363" s="17">
        <v>0</v>
      </c>
      <c r="AT363" s="17">
        <v>0</v>
      </c>
      <c r="AU363" s="17" t="str">
        <f t="shared" si="11"/>
        <v>0–5%</v>
      </c>
      <c r="AV363" s="17">
        <v>55</v>
      </c>
      <c r="AW363" s="17"/>
    </row>
    <row r="364" spans="1:49">
      <c r="A364" t="s">
        <v>1269</v>
      </c>
      <c r="B364" s="5">
        <v>45569</v>
      </c>
      <c r="C364" t="s">
        <v>260</v>
      </c>
      <c r="D364" t="s">
        <v>261</v>
      </c>
      <c r="E364" t="s">
        <v>668</v>
      </c>
      <c r="F364" t="s">
        <v>475</v>
      </c>
      <c r="G364" t="s">
        <v>47</v>
      </c>
      <c r="H364" t="s">
        <v>54</v>
      </c>
      <c r="I364" t="s">
        <v>55</v>
      </c>
      <c r="J364" t="s">
        <v>37</v>
      </c>
      <c r="K364" t="s">
        <v>38</v>
      </c>
      <c r="L364" s="5">
        <v>45352</v>
      </c>
      <c r="M364">
        <v>53</v>
      </c>
      <c r="N364" t="s">
        <v>427</v>
      </c>
      <c r="O364" t="s">
        <v>891</v>
      </c>
      <c r="Q364">
        <v>1</v>
      </c>
      <c r="R364">
        <v>52</v>
      </c>
      <c r="S364" t="s">
        <v>947</v>
      </c>
      <c r="T364" s="6">
        <v>47019.6555024521</v>
      </c>
      <c r="U364" s="7">
        <f>T364*DealsRawTable[[#This Row],[Contract_Years]]</f>
        <v>47019.6555024521</v>
      </c>
      <c r="V364" s="8">
        <v>0.27200000000000002</v>
      </c>
      <c r="W364" s="8">
        <v>0.22600000000000001</v>
      </c>
      <c r="X364" s="8">
        <v>-0.03</v>
      </c>
      <c r="Y364" t="s">
        <v>902</v>
      </c>
      <c r="Z364" t="s">
        <v>893</v>
      </c>
      <c r="AA364" s="6">
        <v>36405.055331606556</v>
      </c>
      <c r="AB364" s="7">
        <f>DealsRawTable[[#This Row],[Final_Price_ACV]]*DealsRawTable[[#This Row],[Contract_Years]]</f>
        <v>36405.055331606556</v>
      </c>
      <c r="AC364" s="6">
        <v>14269.539844443789</v>
      </c>
      <c r="AD364" s="6">
        <v>22135.515487162767</v>
      </c>
      <c r="AE364" s="8">
        <v>0.60803411189832479</v>
      </c>
      <c r="AF364" t="s">
        <v>457</v>
      </c>
      <c r="AI364" t="s">
        <v>38</v>
      </c>
      <c r="AJ364" s="6">
        <v>0</v>
      </c>
      <c r="AK364" s="6">
        <v>0</v>
      </c>
      <c r="AL364" t="s">
        <v>894</v>
      </c>
      <c r="AM364">
        <f t="shared" si="10"/>
        <v>36393.21</v>
      </c>
      <c r="AN364">
        <f>DealsRawTable[[#This Row],[Validated_Annual_Final_Price]]*DealsRawTable[[#This Row],[Contract_Years]]</f>
        <v>36393.21</v>
      </c>
      <c r="AO364">
        <f>DealsRawTable[[#This Row],[Validated_Annual_Final_Price]]-DealsRawTable[[#This Row],[Cost_to_Serve]]</f>
        <v>22123.67015555621</v>
      </c>
      <c r="AP364" s="17">
        <f>DealsRawTable[[#This Row],[Validated_Grossprofit]]/DealsRawTable[[#This Row],[Validated_Annual_Final_Price]]</f>
        <v>0.6079065340912827</v>
      </c>
      <c r="AQ364" s="17">
        <v>0</v>
      </c>
      <c r="AR364" s="17">
        <v>0</v>
      </c>
      <c r="AS364" s="17">
        <v>0</v>
      </c>
      <c r="AT364" s="17">
        <v>0</v>
      </c>
      <c r="AU364" s="17" t="str">
        <f t="shared" si="11"/>
        <v>20–25%</v>
      </c>
      <c r="AV364" s="17">
        <v>29</v>
      </c>
      <c r="AW364" s="17"/>
    </row>
    <row r="365" spans="1:49">
      <c r="A365" t="s">
        <v>1270</v>
      </c>
      <c r="B365" s="5">
        <v>45297</v>
      </c>
      <c r="C365" t="s">
        <v>262</v>
      </c>
      <c r="D365" t="s">
        <v>263</v>
      </c>
      <c r="E365" t="s">
        <v>669</v>
      </c>
      <c r="F365" t="s">
        <v>466</v>
      </c>
      <c r="G365" t="s">
        <v>60</v>
      </c>
      <c r="H365" t="s">
        <v>48</v>
      </c>
      <c r="I365" t="s">
        <v>49</v>
      </c>
      <c r="J365" t="s">
        <v>56</v>
      </c>
      <c r="K365" t="s">
        <v>38</v>
      </c>
      <c r="L365" s="5">
        <v>44531</v>
      </c>
      <c r="M365">
        <v>80</v>
      </c>
      <c r="N365" t="s">
        <v>431</v>
      </c>
      <c r="O365" t="s">
        <v>876</v>
      </c>
      <c r="Q365">
        <v>1</v>
      </c>
      <c r="R365">
        <v>342</v>
      </c>
      <c r="S365" t="s">
        <v>896</v>
      </c>
      <c r="T365" s="6">
        <v>89142.939252009921</v>
      </c>
      <c r="U365" s="7">
        <f>T365*DealsRawTable[[#This Row],[Contract_Years]]</f>
        <v>89142.939252009921</v>
      </c>
      <c r="V365" s="8">
        <v>9.0999999999999998E-2</v>
      </c>
      <c r="W365" s="8">
        <v>5.5E-2</v>
      </c>
      <c r="X365" s="8">
        <v>-5.8999999999999997E-2</v>
      </c>
      <c r="Y365" t="s">
        <v>930</v>
      </c>
      <c r="Z365" t="s">
        <v>879</v>
      </c>
      <c r="AA365" s="6">
        <v>84268.773472046159</v>
      </c>
      <c r="AB365" s="7">
        <f>DealsRawTable[[#This Row],[Final_Price_ACV]]*DealsRawTable[[#This Row],[Contract_Years]]</f>
        <v>84268.773472046159</v>
      </c>
      <c r="AC365" s="6">
        <v>31137.280436179364</v>
      </c>
      <c r="AD365" s="6">
        <v>53131.493035866792</v>
      </c>
      <c r="AE365" s="8">
        <v>0.63050037216326282</v>
      </c>
      <c r="AF365" t="s">
        <v>457</v>
      </c>
      <c r="AG365" t="s">
        <v>38</v>
      </c>
      <c r="AI365" t="s">
        <v>38</v>
      </c>
      <c r="AJ365" s="6">
        <v>0</v>
      </c>
      <c r="AK365" s="6">
        <v>0</v>
      </c>
      <c r="AL365" t="s">
        <v>881</v>
      </c>
      <c r="AM365">
        <f t="shared" si="10"/>
        <v>84240.08</v>
      </c>
      <c r="AN365">
        <f>DealsRawTable[[#This Row],[Validated_Annual_Final_Price]]*DealsRawTable[[#This Row],[Contract_Years]]</f>
        <v>84240.08</v>
      </c>
      <c r="AO365">
        <f>DealsRawTable[[#This Row],[Validated_Annual_Final_Price]]-DealsRawTable[[#This Row],[Cost_to_Serve]]</f>
        <v>53102.799563820634</v>
      </c>
      <c r="AP365" s="17">
        <f>DealsRawTable[[#This Row],[Validated_Grossprofit]]/DealsRawTable[[#This Row],[Validated_Annual_Final_Price]]</f>
        <v>0.63037451488437135</v>
      </c>
      <c r="AQ365" s="17">
        <v>0</v>
      </c>
      <c r="AR365" s="17">
        <v>0</v>
      </c>
      <c r="AS365" s="17">
        <v>0</v>
      </c>
      <c r="AT365" s="17">
        <v>0</v>
      </c>
      <c r="AU365" s="17" t="str">
        <f t="shared" si="11"/>
        <v>5–10%</v>
      </c>
      <c r="AV365" s="17">
        <v>116</v>
      </c>
      <c r="AW365" s="17"/>
    </row>
    <row r="366" spans="1:49">
      <c r="A366" t="s">
        <v>1271</v>
      </c>
      <c r="B366" s="5">
        <v>45339</v>
      </c>
      <c r="C366" t="s">
        <v>262</v>
      </c>
      <c r="D366" t="s">
        <v>263</v>
      </c>
      <c r="E366" t="s">
        <v>670</v>
      </c>
      <c r="F366" t="s">
        <v>47</v>
      </c>
      <c r="G366" t="s">
        <v>60</v>
      </c>
      <c r="H366" t="s">
        <v>48</v>
      </c>
      <c r="I366" t="s">
        <v>49</v>
      </c>
      <c r="J366" t="s">
        <v>56</v>
      </c>
      <c r="K366" t="s">
        <v>38</v>
      </c>
      <c r="L366" s="5">
        <v>44531</v>
      </c>
      <c r="M366">
        <v>80</v>
      </c>
      <c r="N366" t="s">
        <v>424</v>
      </c>
      <c r="O366" t="s">
        <v>883</v>
      </c>
      <c r="P366" t="s">
        <v>884</v>
      </c>
      <c r="Q366">
        <v>1</v>
      </c>
      <c r="R366">
        <v>163</v>
      </c>
      <c r="S366" t="s">
        <v>888</v>
      </c>
      <c r="T366" s="6">
        <v>49436.557920720188</v>
      </c>
      <c r="U366" s="7">
        <f>T366*DealsRawTable[[#This Row],[Contract_Years]]</f>
        <v>49436.557920720188</v>
      </c>
      <c r="V366" s="8">
        <v>7.9000000000000001E-2</v>
      </c>
      <c r="W366" s="8">
        <v>3.5999999999999997E-2</v>
      </c>
      <c r="X366" s="8">
        <v>-4.5999999999999999E-2</v>
      </c>
      <c r="Y366" t="s">
        <v>885</v>
      </c>
      <c r="Z366" t="s">
        <v>879</v>
      </c>
      <c r="AA366" s="6">
        <v>47661.024347113038</v>
      </c>
      <c r="AB366" s="7">
        <f>DealsRawTable[[#This Row],[Final_Price_ACV]]*DealsRawTable[[#This Row],[Contract_Years]]</f>
        <v>47661.024347113038</v>
      </c>
      <c r="AC366" s="6">
        <v>12837.859420487202</v>
      </c>
      <c r="AD366" s="6">
        <v>34823.164926625832</v>
      </c>
      <c r="AE366" s="8">
        <v>0.73064239394038888</v>
      </c>
      <c r="AF366" t="s">
        <v>457</v>
      </c>
      <c r="AH366" t="s">
        <v>38</v>
      </c>
      <c r="AI366" t="s">
        <v>38</v>
      </c>
      <c r="AJ366" s="6">
        <v>0</v>
      </c>
      <c r="AK366" s="6">
        <v>0</v>
      </c>
      <c r="AL366" t="s">
        <v>886</v>
      </c>
      <c r="AM366">
        <f t="shared" si="10"/>
        <v>47656.84</v>
      </c>
      <c r="AN366">
        <f>DealsRawTable[[#This Row],[Validated_Annual_Final_Price]]*DealsRawTable[[#This Row],[Contract_Years]]</f>
        <v>47656.84</v>
      </c>
      <c r="AO366">
        <f>DealsRawTable[[#This Row],[Validated_Annual_Final_Price]]-DealsRawTable[[#This Row],[Cost_to_Serve]]</f>
        <v>34818.98057951279</v>
      </c>
      <c r="AP366" s="17">
        <f>DealsRawTable[[#This Row],[Validated_Grossprofit]]/DealsRawTable[[#This Row],[Validated_Annual_Final_Price]]</f>
        <v>0.73061874390985204</v>
      </c>
      <c r="AQ366" s="17">
        <v>0</v>
      </c>
      <c r="AR366" s="17">
        <v>0</v>
      </c>
      <c r="AS366" s="17">
        <v>0</v>
      </c>
      <c r="AT366" s="17">
        <v>0</v>
      </c>
      <c r="AU366" s="17" t="str">
        <f t="shared" si="11"/>
        <v>0–5%</v>
      </c>
      <c r="AV366" s="17">
        <v>55</v>
      </c>
      <c r="AW366" s="17"/>
    </row>
    <row r="367" spans="1:49">
      <c r="A367" t="s">
        <v>1272</v>
      </c>
      <c r="B367" s="5">
        <v>45449</v>
      </c>
      <c r="C367" t="s">
        <v>262</v>
      </c>
      <c r="D367" t="s">
        <v>263</v>
      </c>
      <c r="E367" t="s">
        <v>670</v>
      </c>
      <c r="F367" t="s">
        <v>47</v>
      </c>
      <c r="G367" t="s">
        <v>60</v>
      </c>
      <c r="H367" t="s">
        <v>48</v>
      </c>
      <c r="I367" t="s">
        <v>49</v>
      </c>
      <c r="J367" t="s">
        <v>56</v>
      </c>
      <c r="K367" t="s">
        <v>38</v>
      </c>
      <c r="L367" s="5">
        <v>44531</v>
      </c>
      <c r="M367">
        <v>80</v>
      </c>
      <c r="N367" t="s">
        <v>424</v>
      </c>
      <c r="O367" t="s">
        <v>876</v>
      </c>
      <c r="Q367">
        <v>1</v>
      </c>
      <c r="R367">
        <v>134</v>
      </c>
      <c r="S367" t="s">
        <v>900</v>
      </c>
      <c r="T367" s="6">
        <v>40220.942243920828</v>
      </c>
      <c r="U367" s="7">
        <f>T367*DealsRawTable[[#This Row],[Contract_Years]]</f>
        <v>40220.942243920828</v>
      </c>
      <c r="V367" s="8">
        <v>0.121</v>
      </c>
      <c r="W367" s="8">
        <v>0.11700000000000001</v>
      </c>
      <c r="X367" s="8">
        <v>-5.0999999999999997E-2</v>
      </c>
      <c r="Y367" t="s">
        <v>897</v>
      </c>
      <c r="Z367" t="s">
        <v>889</v>
      </c>
      <c r="AA367" s="6">
        <v>35531.534155215078</v>
      </c>
      <c r="AB367" s="7">
        <f>DealsRawTable[[#This Row],[Final_Price_ACV]]*DealsRawTable[[#This Row],[Contract_Years]]</f>
        <v>35531.534155215078</v>
      </c>
      <c r="AC367" s="6">
        <v>11281.272154784379</v>
      </c>
      <c r="AD367" s="6">
        <v>24250.262000430699</v>
      </c>
      <c r="AE367" s="8">
        <v>0.68249971685704458</v>
      </c>
      <c r="AF367" t="s">
        <v>880</v>
      </c>
      <c r="AG367" t="s">
        <v>44</v>
      </c>
      <c r="AI367" t="s">
        <v>38</v>
      </c>
      <c r="AJ367" s="6">
        <v>35531.534155215078</v>
      </c>
      <c r="AK367" s="6">
        <v>24250.262000430699</v>
      </c>
      <c r="AL367" t="s">
        <v>881</v>
      </c>
      <c r="AM367">
        <f t="shared" si="10"/>
        <v>35515.089999999997</v>
      </c>
      <c r="AN367">
        <f>DealsRawTable[[#This Row],[Validated_Annual_Final_Price]]*DealsRawTable[[#This Row],[Contract_Years]]</f>
        <v>35515.089999999997</v>
      </c>
      <c r="AO367">
        <f>DealsRawTable[[#This Row],[Validated_Annual_Final_Price]]-DealsRawTable[[#This Row],[Cost_to_Serve]]</f>
        <v>24233.817845215617</v>
      </c>
      <c r="AP367" s="17">
        <f>DealsRawTable[[#This Row],[Validated_Grossprofit]]/DealsRawTable[[#This Row],[Validated_Annual_Final_Price]]</f>
        <v>0.68235270824924332</v>
      </c>
      <c r="AQ367" s="17">
        <v>35515.089999999997</v>
      </c>
      <c r="AR367" s="17">
        <v>35515.089999999997</v>
      </c>
      <c r="AS367" s="17">
        <v>24233.817845215617</v>
      </c>
      <c r="AT367" s="17">
        <v>0.68235270824924332</v>
      </c>
      <c r="AU367" s="17" t="str">
        <f t="shared" si="11"/>
        <v>10–15%</v>
      </c>
      <c r="AV367" s="17">
        <v>113</v>
      </c>
      <c r="AW367" s="17"/>
    </row>
    <row r="368" spans="1:49">
      <c r="A368" t="s">
        <v>1273</v>
      </c>
      <c r="B368" s="5">
        <v>45665</v>
      </c>
      <c r="C368" t="s">
        <v>262</v>
      </c>
      <c r="D368" t="s">
        <v>263</v>
      </c>
      <c r="E368" t="s">
        <v>670</v>
      </c>
      <c r="F368" t="s">
        <v>47</v>
      </c>
      <c r="G368" t="s">
        <v>60</v>
      </c>
      <c r="H368" t="s">
        <v>48</v>
      </c>
      <c r="I368" t="s">
        <v>49</v>
      </c>
      <c r="J368" t="s">
        <v>56</v>
      </c>
      <c r="K368" t="s">
        <v>38</v>
      </c>
      <c r="L368" s="5">
        <v>44531</v>
      </c>
      <c r="M368">
        <v>80</v>
      </c>
      <c r="N368" t="s">
        <v>424</v>
      </c>
      <c r="O368" t="s">
        <v>883</v>
      </c>
      <c r="P368" t="s">
        <v>946</v>
      </c>
      <c r="Q368">
        <v>1</v>
      </c>
      <c r="R368">
        <v>160</v>
      </c>
      <c r="S368" t="s">
        <v>877</v>
      </c>
      <c r="T368" s="6">
        <v>47561.174009713774</v>
      </c>
      <c r="U368" s="7">
        <f>T368*DealsRawTable[[#This Row],[Contract_Years]]</f>
        <v>47561.174009713774</v>
      </c>
      <c r="V368" s="8">
        <v>0.107</v>
      </c>
      <c r="W368" s="8">
        <v>9.2999999999999999E-2</v>
      </c>
      <c r="X368" s="8">
        <v>-2.9000000000000001E-2</v>
      </c>
      <c r="Y368" t="s">
        <v>885</v>
      </c>
      <c r="Z368" t="s">
        <v>879</v>
      </c>
      <c r="AA368" s="6">
        <v>43121.418382921453</v>
      </c>
      <c r="AB368" s="7">
        <f>DealsRawTable[[#This Row],[Final_Price_ACV]]*DealsRawTable[[#This Row],[Contract_Years]]</f>
        <v>43121.418382921453</v>
      </c>
      <c r="AC368" s="6">
        <v>13953.709011500794</v>
      </c>
      <c r="AD368" s="6">
        <v>29167.709371420657</v>
      </c>
      <c r="AE368" s="8">
        <v>0.67640885817829999</v>
      </c>
      <c r="AF368" t="s">
        <v>880</v>
      </c>
      <c r="AH368" t="s">
        <v>44</v>
      </c>
      <c r="AI368" t="s">
        <v>38</v>
      </c>
      <c r="AJ368" s="6">
        <v>43121.418382921453</v>
      </c>
      <c r="AK368" s="6">
        <v>29167.709371420657</v>
      </c>
      <c r="AL368" t="s">
        <v>886</v>
      </c>
      <c r="AM368">
        <f t="shared" si="10"/>
        <v>43137.98</v>
      </c>
      <c r="AN368">
        <f>DealsRawTable[[#This Row],[Validated_Annual_Final_Price]]*DealsRawTable[[#This Row],[Contract_Years]]</f>
        <v>43137.98</v>
      </c>
      <c r="AO368">
        <f>DealsRawTable[[#This Row],[Validated_Annual_Final_Price]]-DealsRawTable[[#This Row],[Cost_to_Serve]]</f>
        <v>29184.270988499207</v>
      </c>
      <c r="AP368" s="17">
        <f>DealsRawTable[[#This Row],[Validated_Grossprofit]]/DealsRawTable[[#This Row],[Validated_Annual_Final_Price]]</f>
        <v>0.67653309191805466</v>
      </c>
      <c r="AQ368" s="17">
        <v>43137.98</v>
      </c>
      <c r="AR368" s="17">
        <v>43137.98</v>
      </c>
      <c r="AS368" s="17">
        <v>29184.270988499207</v>
      </c>
      <c r="AT368" s="17">
        <v>0.67653309191805466</v>
      </c>
      <c r="AU368" s="17" t="str">
        <f t="shared" si="11"/>
        <v>5–10%</v>
      </c>
      <c r="AV368" s="17">
        <v>116</v>
      </c>
      <c r="AW368" s="17"/>
    </row>
    <row r="369" spans="1:49">
      <c r="A369" t="s">
        <v>1274</v>
      </c>
      <c r="B369" s="5">
        <v>45814</v>
      </c>
      <c r="C369" t="s">
        <v>262</v>
      </c>
      <c r="D369" t="s">
        <v>263</v>
      </c>
      <c r="E369" t="s">
        <v>670</v>
      </c>
      <c r="F369" t="s">
        <v>47</v>
      </c>
      <c r="G369" t="s">
        <v>60</v>
      </c>
      <c r="H369" t="s">
        <v>48</v>
      </c>
      <c r="I369" t="s">
        <v>49</v>
      </c>
      <c r="J369" t="s">
        <v>56</v>
      </c>
      <c r="K369" t="s">
        <v>38</v>
      </c>
      <c r="L369" s="5">
        <v>44531</v>
      </c>
      <c r="M369">
        <v>80</v>
      </c>
      <c r="N369" t="s">
        <v>424</v>
      </c>
      <c r="O369" t="s">
        <v>876</v>
      </c>
      <c r="Q369">
        <v>1</v>
      </c>
      <c r="R369">
        <v>160</v>
      </c>
      <c r="S369" t="s">
        <v>896</v>
      </c>
      <c r="T369" s="6">
        <v>50967.904340482513</v>
      </c>
      <c r="U369" s="7">
        <f>T369*DealsRawTable[[#This Row],[Contract_Years]]</f>
        <v>50967.904340482513</v>
      </c>
      <c r="V369" s="8">
        <v>0.21199999999999999</v>
      </c>
      <c r="W369" s="8">
        <v>0.17299999999999999</v>
      </c>
      <c r="X369" s="8">
        <v>-4.1000000000000002E-2</v>
      </c>
      <c r="Y369" t="s">
        <v>909</v>
      </c>
      <c r="Z369" t="s">
        <v>889</v>
      </c>
      <c r="AA369" s="6">
        <v>42125.536890554758</v>
      </c>
      <c r="AB369" s="7">
        <f>DealsRawTable[[#This Row],[Final_Price_ACV]]*DealsRawTable[[#This Row],[Contract_Years]]</f>
        <v>42125.536890554758</v>
      </c>
      <c r="AC369" s="6">
        <v>13668.172465676431</v>
      </c>
      <c r="AD369" s="6">
        <v>28457.364424878328</v>
      </c>
      <c r="AE369" s="8">
        <v>0.67553713318390818</v>
      </c>
      <c r="AF369" t="s">
        <v>880</v>
      </c>
      <c r="AG369" t="s">
        <v>44</v>
      </c>
      <c r="AI369" t="s">
        <v>38</v>
      </c>
      <c r="AJ369" s="6">
        <v>42125.536890554758</v>
      </c>
      <c r="AK369" s="6">
        <v>28457.364424878328</v>
      </c>
      <c r="AL369" t="s">
        <v>881</v>
      </c>
      <c r="AM369">
        <f t="shared" si="10"/>
        <v>42150.46</v>
      </c>
      <c r="AN369">
        <f>DealsRawTable[[#This Row],[Validated_Annual_Final_Price]]*DealsRawTable[[#This Row],[Contract_Years]]</f>
        <v>42150.46</v>
      </c>
      <c r="AO369">
        <f>DealsRawTable[[#This Row],[Validated_Annual_Final_Price]]-DealsRawTable[[#This Row],[Cost_to_Serve]]</f>
        <v>28482.287534323568</v>
      </c>
      <c r="AP369" s="17">
        <f>DealsRawTable[[#This Row],[Validated_Grossprofit]]/DealsRawTable[[#This Row],[Validated_Annual_Final_Price]]</f>
        <v>0.67572898455493891</v>
      </c>
      <c r="AQ369" s="17">
        <v>42150.46</v>
      </c>
      <c r="AR369" s="17">
        <v>42150.46</v>
      </c>
      <c r="AS369" s="17">
        <v>28482.287534323568</v>
      </c>
      <c r="AT369" s="17">
        <v>0.67572898455493891</v>
      </c>
      <c r="AU369" s="17" t="str">
        <f t="shared" si="11"/>
        <v>15–20%</v>
      </c>
      <c r="AV369" s="17">
        <v>108</v>
      </c>
      <c r="AW369" s="17"/>
    </row>
    <row r="370" spans="1:49">
      <c r="A370" t="s">
        <v>1275</v>
      </c>
      <c r="B370" s="5">
        <v>45558</v>
      </c>
      <c r="C370" t="s">
        <v>264</v>
      </c>
      <c r="D370" t="s">
        <v>265</v>
      </c>
      <c r="E370" t="s">
        <v>671</v>
      </c>
      <c r="F370" t="s">
        <v>466</v>
      </c>
      <c r="G370" t="s">
        <v>69</v>
      </c>
      <c r="H370" t="s">
        <v>70</v>
      </c>
      <c r="I370" t="s">
        <v>71</v>
      </c>
      <c r="J370" t="s">
        <v>56</v>
      </c>
      <c r="K370" t="s">
        <v>38</v>
      </c>
      <c r="L370" s="5">
        <v>44044</v>
      </c>
      <c r="M370">
        <v>87</v>
      </c>
      <c r="N370" t="s">
        <v>433</v>
      </c>
      <c r="O370" t="s">
        <v>876</v>
      </c>
      <c r="Q370">
        <v>1</v>
      </c>
      <c r="R370">
        <v>207</v>
      </c>
      <c r="S370" t="s">
        <v>877</v>
      </c>
      <c r="T370" s="6">
        <v>207890.51389582004</v>
      </c>
      <c r="U370" s="7">
        <f>T370*DealsRawTable[[#This Row],[Contract_Years]]</f>
        <v>207890.51389582004</v>
      </c>
      <c r="V370" s="8">
        <v>0.19800000000000001</v>
      </c>
      <c r="W370" s="8">
        <v>0.19700000000000001</v>
      </c>
      <c r="X370" s="8">
        <v>9.6000000000000002E-2</v>
      </c>
      <c r="Y370" t="s">
        <v>909</v>
      </c>
      <c r="Z370" t="s">
        <v>889</v>
      </c>
      <c r="AA370" s="6">
        <v>166902.24703369016</v>
      </c>
      <c r="AB370" s="7">
        <f>DealsRawTable[[#This Row],[Final_Price_ACV]]*DealsRawTable[[#This Row],[Contract_Years]]</f>
        <v>166902.24703369016</v>
      </c>
      <c r="AC370" s="6">
        <v>76505.749182515676</v>
      </c>
      <c r="AD370" s="6">
        <v>90396.497851174485</v>
      </c>
      <c r="AE370" s="8">
        <v>0.54161342616871688</v>
      </c>
      <c r="AF370" t="s">
        <v>457</v>
      </c>
      <c r="AG370" t="s">
        <v>38</v>
      </c>
      <c r="AI370" t="s">
        <v>38</v>
      </c>
      <c r="AJ370" s="6">
        <v>0</v>
      </c>
      <c r="AK370" s="6">
        <v>0</v>
      </c>
      <c r="AL370" t="s">
        <v>881</v>
      </c>
      <c r="AM370">
        <f t="shared" si="10"/>
        <v>166936.07999999999</v>
      </c>
      <c r="AN370">
        <f>DealsRawTable[[#This Row],[Validated_Annual_Final_Price]]*DealsRawTable[[#This Row],[Contract_Years]]</f>
        <v>166936.07999999999</v>
      </c>
      <c r="AO370">
        <f>DealsRawTable[[#This Row],[Validated_Annual_Final_Price]]-DealsRawTable[[#This Row],[Cost_to_Serve]]</f>
        <v>90430.330817484311</v>
      </c>
      <c r="AP370" s="17">
        <f>DealsRawTable[[#This Row],[Validated_Grossprofit]]/DealsRawTable[[#This Row],[Validated_Annual_Final_Price]]</f>
        <v>0.54170632746069225</v>
      </c>
      <c r="AQ370" s="17">
        <v>0</v>
      </c>
      <c r="AR370" s="17">
        <v>0</v>
      </c>
      <c r="AS370" s="17">
        <v>0</v>
      </c>
      <c r="AT370" s="17">
        <v>0</v>
      </c>
      <c r="AU370" s="17" t="str">
        <f t="shared" si="11"/>
        <v>15–20%</v>
      </c>
      <c r="AV370" s="17">
        <v>108</v>
      </c>
      <c r="AW370" s="17"/>
    </row>
    <row r="371" spans="1:49">
      <c r="A371" t="s">
        <v>1276</v>
      </c>
      <c r="B371" s="5">
        <v>45502</v>
      </c>
      <c r="C371" t="s">
        <v>264</v>
      </c>
      <c r="D371" t="s">
        <v>265</v>
      </c>
      <c r="E371" t="s">
        <v>672</v>
      </c>
      <c r="F371" t="s">
        <v>47</v>
      </c>
      <c r="G371" t="s">
        <v>69</v>
      </c>
      <c r="H371" t="s">
        <v>70</v>
      </c>
      <c r="I371" t="s">
        <v>71</v>
      </c>
      <c r="J371" t="s">
        <v>56</v>
      </c>
      <c r="K371" t="s">
        <v>38</v>
      </c>
      <c r="L371" s="5">
        <v>44044</v>
      </c>
      <c r="M371">
        <v>87</v>
      </c>
      <c r="N371" t="s">
        <v>424</v>
      </c>
      <c r="O371" t="s">
        <v>891</v>
      </c>
      <c r="Q371">
        <v>1</v>
      </c>
      <c r="R371">
        <v>290</v>
      </c>
      <c r="S371" t="s">
        <v>900</v>
      </c>
      <c r="T371" s="6">
        <v>35420.390201693721</v>
      </c>
      <c r="U371" s="7">
        <f>T371*DealsRawTable[[#This Row],[Contract_Years]]</f>
        <v>35420.390201693721</v>
      </c>
      <c r="V371" s="8">
        <v>0.182</v>
      </c>
      <c r="W371" s="8">
        <v>0.17100000000000001</v>
      </c>
      <c r="X371" s="8">
        <v>-0.127</v>
      </c>
      <c r="Y371" t="s">
        <v>878</v>
      </c>
      <c r="Z371" t="s">
        <v>889</v>
      </c>
      <c r="AA371" s="6">
        <v>29377.226397600996</v>
      </c>
      <c r="AB371" s="7">
        <f>DealsRawTable[[#This Row],[Final_Price_ACV]]*DealsRawTable[[#This Row],[Contract_Years]]</f>
        <v>29377.226397600996</v>
      </c>
      <c r="AC371" s="6">
        <v>10359.501226832328</v>
      </c>
      <c r="AD371" s="6">
        <v>19017.725170768666</v>
      </c>
      <c r="AE371" s="8">
        <v>0.6473628556139559</v>
      </c>
      <c r="AF371" t="s">
        <v>880</v>
      </c>
      <c r="AI371" t="s">
        <v>38</v>
      </c>
      <c r="AJ371" s="6">
        <v>29377.226397600996</v>
      </c>
      <c r="AK371" s="6">
        <v>19017.725170768666</v>
      </c>
      <c r="AL371" t="s">
        <v>894</v>
      </c>
      <c r="AM371">
        <f t="shared" si="10"/>
        <v>29363.5</v>
      </c>
      <c r="AN371">
        <f>DealsRawTable[[#This Row],[Validated_Annual_Final_Price]]*DealsRawTable[[#This Row],[Contract_Years]]</f>
        <v>29363.5</v>
      </c>
      <c r="AO371">
        <f>DealsRawTable[[#This Row],[Validated_Annual_Final_Price]]-DealsRawTable[[#This Row],[Cost_to_Serve]]</f>
        <v>19003.998773167674</v>
      </c>
      <c r="AP371" s="17">
        <f>DealsRawTable[[#This Row],[Validated_Grossprofit]]/DealsRawTable[[#This Row],[Validated_Annual_Final_Price]]</f>
        <v>0.64719801022247603</v>
      </c>
      <c r="AQ371" s="17">
        <v>29363.5</v>
      </c>
      <c r="AR371" s="17">
        <v>29363.5</v>
      </c>
      <c r="AS371" s="17">
        <v>19003.998773167674</v>
      </c>
      <c r="AT371" s="17">
        <v>0.64719801022247603</v>
      </c>
      <c r="AU371" s="17" t="str">
        <f t="shared" si="11"/>
        <v>15–20%</v>
      </c>
      <c r="AV371" s="17">
        <v>108</v>
      </c>
      <c r="AW371" s="17"/>
    </row>
    <row r="372" spans="1:49">
      <c r="A372" t="s">
        <v>1277</v>
      </c>
      <c r="B372" s="5">
        <v>45771</v>
      </c>
      <c r="C372" t="s">
        <v>264</v>
      </c>
      <c r="D372" t="s">
        <v>265</v>
      </c>
      <c r="E372" t="s">
        <v>672</v>
      </c>
      <c r="F372" t="s">
        <v>47</v>
      </c>
      <c r="G372" t="s">
        <v>69</v>
      </c>
      <c r="H372" t="s">
        <v>70</v>
      </c>
      <c r="I372" t="s">
        <v>71</v>
      </c>
      <c r="J372" t="s">
        <v>56</v>
      </c>
      <c r="K372" t="s">
        <v>38</v>
      </c>
      <c r="L372" s="5">
        <v>44044</v>
      </c>
      <c r="M372">
        <v>87</v>
      </c>
      <c r="N372" t="s">
        <v>424</v>
      </c>
      <c r="O372" t="s">
        <v>883</v>
      </c>
      <c r="P372" t="s">
        <v>985</v>
      </c>
      <c r="Q372">
        <v>1</v>
      </c>
      <c r="R372">
        <v>329</v>
      </c>
      <c r="S372" t="s">
        <v>907</v>
      </c>
      <c r="T372" s="6">
        <v>41890.144955629883</v>
      </c>
      <c r="U372" s="7">
        <f>T372*DealsRawTable[[#This Row],[Contract_Years]]</f>
        <v>41890.144955629883</v>
      </c>
      <c r="V372" s="8">
        <v>9.4E-2</v>
      </c>
      <c r="W372" s="8">
        <v>7.9000000000000001E-2</v>
      </c>
      <c r="X372" s="8">
        <v>5.8999999999999997E-2</v>
      </c>
      <c r="Y372" t="s">
        <v>885</v>
      </c>
      <c r="Z372" t="s">
        <v>879</v>
      </c>
      <c r="AA372" s="6">
        <v>38598.269584139438</v>
      </c>
      <c r="AB372" s="7">
        <f>DealsRawTable[[#This Row],[Final_Price_ACV]]*DealsRawTable[[#This Row],[Contract_Years]]</f>
        <v>38598.269584139438</v>
      </c>
      <c r="AC372" s="6">
        <v>11486.274646357333</v>
      </c>
      <c r="AD372" s="6">
        <v>27111.994937782103</v>
      </c>
      <c r="AE372" s="8">
        <v>0.702414777395171</v>
      </c>
      <c r="AF372" t="s">
        <v>880</v>
      </c>
      <c r="AH372" t="s">
        <v>44</v>
      </c>
      <c r="AI372" t="s">
        <v>38</v>
      </c>
      <c r="AJ372" s="6">
        <v>38598.269584139438</v>
      </c>
      <c r="AK372" s="6">
        <v>27111.994937782103</v>
      </c>
      <c r="AL372" t="s">
        <v>886</v>
      </c>
      <c r="AM372">
        <f t="shared" si="10"/>
        <v>38580.82</v>
      </c>
      <c r="AN372">
        <f>DealsRawTable[[#This Row],[Validated_Annual_Final_Price]]*DealsRawTable[[#This Row],[Contract_Years]]</f>
        <v>38580.82</v>
      </c>
      <c r="AO372">
        <f>DealsRawTable[[#This Row],[Validated_Annual_Final_Price]]-DealsRawTable[[#This Row],[Cost_to_Serve]]</f>
        <v>27094.545353642665</v>
      </c>
      <c r="AP372" s="17">
        <f>DealsRawTable[[#This Row],[Validated_Grossprofit]]/DealsRawTable[[#This Row],[Validated_Annual_Final_Price]]</f>
        <v>0.70228018361565836</v>
      </c>
      <c r="AQ372" s="17">
        <v>38580.82</v>
      </c>
      <c r="AR372" s="17">
        <v>38580.82</v>
      </c>
      <c r="AS372" s="17">
        <v>27094.545353642665</v>
      </c>
      <c r="AT372" s="17">
        <v>0.70228018361565836</v>
      </c>
      <c r="AU372" s="17" t="str">
        <f t="shared" si="11"/>
        <v>5–10%</v>
      </c>
      <c r="AV372" s="17">
        <v>116</v>
      </c>
      <c r="AW372" s="17"/>
    </row>
    <row r="373" spans="1:49">
      <c r="A373" t="s">
        <v>1278</v>
      </c>
      <c r="B373" s="5">
        <v>45867</v>
      </c>
      <c r="C373" t="s">
        <v>264</v>
      </c>
      <c r="D373" t="s">
        <v>265</v>
      </c>
      <c r="E373" t="s">
        <v>672</v>
      </c>
      <c r="F373" t="s">
        <v>47</v>
      </c>
      <c r="G373" t="s">
        <v>69</v>
      </c>
      <c r="H373" t="s">
        <v>70</v>
      </c>
      <c r="I373" t="s">
        <v>71</v>
      </c>
      <c r="J373" t="s">
        <v>56</v>
      </c>
      <c r="K373" t="s">
        <v>38</v>
      </c>
      <c r="L373" s="5">
        <v>44044</v>
      </c>
      <c r="M373">
        <v>87</v>
      </c>
      <c r="N373" t="s">
        <v>424</v>
      </c>
      <c r="O373" t="s">
        <v>876</v>
      </c>
      <c r="Q373">
        <v>1</v>
      </c>
      <c r="R373">
        <v>329</v>
      </c>
      <c r="S373" t="s">
        <v>888</v>
      </c>
      <c r="T373" s="6">
        <v>43758.989652347176</v>
      </c>
      <c r="U373" s="7">
        <f>T373*DealsRawTable[[#This Row],[Contract_Years]]</f>
        <v>43758.989652347176</v>
      </c>
      <c r="V373" s="8">
        <v>0.19400000000000001</v>
      </c>
      <c r="W373" s="8">
        <v>0.185</v>
      </c>
      <c r="X373" s="8">
        <v>-3.7999999999999999E-2</v>
      </c>
      <c r="Y373" t="s">
        <v>897</v>
      </c>
      <c r="Z373" t="s">
        <v>889</v>
      </c>
      <c r="AA373" s="6">
        <v>35644.738404286203</v>
      </c>
      <c r="AB373" s="7">
        <f>DealsRawTable[[#This Row],[Final_Price_ACV]]*DealsRawTable[[#This Row],[Contract_Years]]</f>
        <v>35644.738404286203</v>
      </c>
      <c r="AC373" s="6">
        <v>12507.943755688952</v>
      </c>
      <c r="AD373" s="6">
        <v>23136.79464859725</v>
      </c>
      <c r="AE373" s="8">
        <v>0.64909424740833843</v>
      </c>
      <c r="AF373" t="s">
        <v>457</v>
      </c>
      <c r="AG373" t="s">
        <v>38</v>
      </c>
      <c r="AI373" t="s">
        <v>38</v>
      </c>
      <c r="AJ373" s="6">
        <v>0</v>
      </c>
      <c r="AK373" s="6">
        <v>0</v>
      </c>
      <c r="AL373" t="s">
        <v>881</v>
      </c>
      <c r="AM373">
        <f t="shared" si="10"/>
        <v>35663.58</v>
      </c>
      <c r="AN373">
        <f>DealsRawTable[[#This Row],[Validated_Annual_Final_Price]]*DealsRawTable[[#This Row],[Contract_Years]]</f>
        <v>35663.58</v>
      </c>
      <c r="AO373">
        <f>DealsRawTable[[#This Row],[Validated_Annual_Final_Price]]-DealsRawTable[[#This Row],[Cost_to_Serve]]</f>
        <v>23155.636244311048</v>
      </c>
      <c r="AP373" s="17">
        <f>DealsRawTable[[#This Row],[Validated_Grossprofit]]/DealsRawTable[[#This Row],[Validated_Annual_Final_Price]]</f>
        <v>0.64927963609685424</v>
      </c>
      <c r="AQ373" s="17">
        <v>0</v>
      </c>
      <c r="AR373" s="17">
        <v>0</v>
      </c>
      <c r="AS373" s="17">
        <v>0</v>
      </c>
      <c r="AT373" s="17">
        <v>0</v>
      </c>
      <c r="AU373" s="17" t="str">
        <f t="shared" si="11"/>
        <v>15–20%</v>
      </c>
      <c r="AV373" s="17">
        <v>108</v>
      </c>
      <c r="AW373" s="17"/>
    </row>
    <row r="374" spans="1:49">
      <c r="A374" t="s">
        <v>1279</v>
      </c>
      <c r="B374" s="5">
        <v>45752</v>
      </c>
      <c r="C374" t="s">
        <v>264</v>
      </c>
      <c r="D374" t="s">
        <v>265</v>
      </c>
      <c r="E374" t="s">
        <v>673</v>
      </c>
      <c r="F374" t="s">
        <v>47</v>
      </c>
      <c r="G374" t="s">
        <v>69</v>
      </c>
      <c r="H374" t="s">
        <v>70</v>
      </c>
      <c r="I374" t="s">
        <v>71</v>
      </c>
      <c r="J374" t="s">
        <v>56</v>
      </c>
      <c r="K374" t="s">
        <v>38</v>
      </c>
      <c r="L374" s="5">
        <v>44044</v>
      </c>
      <c r="M374">
        <v>87</v>
      </c>
      <c r="N374" t="s">
        <v>427</v>
      </c>
      <c r="O374" t="s">
        <v>876</v>
      </c>
      <c r="Q374">
        <v>2</v>
      </c>
      <c r="R374">
        <v>213</v>
      </c>
      <c r="S374" t="s">
        <v>932</v>
      </c>
      <c r="T374" s="6">
        <v>84724.099979020015</v>
      </c>
      <c r="U374" s="7">
        <f>T374*DealsRawTable[[#This Row],[Contract_Years]]</f>
        <v>169448.19995804003</v>
      </c>
      <c r="V374" s="8">
        <v>8.5999999999999993E-2</v>
      </c>
      <c r="W374" s="8">
        <v>2.9000000000000001E-2</v>
      </c>
      <c r="X374" s="8">
        <v>-4.3999999999999997E-2</v>
      </c>
      <c r="Y374" t="s">
        <v>909</v>
      </c>
      <c r="Z374" t="s">
        <v>879</v>
      </c>
      <c r="AA374" s="6">
        <v>82237.484562597107</v>
      </c>
      <c r="AB374" s="7">
        <f>DealsRawTable[[#This Row],[Final_Price_ACV]]*DealsRawTable[[#This Row],[Contract_Years]]</f>
        <v>164474.96912519421</v>
      </c>
      <c r="AC374" s="6">
        <v>26849.160447841117</v>
      </c>
      <c r="AD374" s="6">
        <v>55388.324114755989</v>
      </c>
      <c r="AE374" s="8">
        <v>0.6735167595331274</v>
      </c>
      <c r="AF374" t="s">
        <v>880</v>
      </c>
      <c r="AG374" t="s">
        <v>44</v>
      </c>
      <c r="AI374" t="s">
        <v>38</v>
      </c>
      <c r="AJ374" s="6">
        <v>82237.484562597107</v>
      </c>
      <c r="AK374" s="6">
        <v>55388.324114755989</v>
      </c>
      <c r="AL374" t="s">
        <v>881</v>
      </c>
      <c r="AM374">
        <f t="shared" si="10"/>
        <v>82267.100000000006</v>
      </c>
      <c r="AN374">
        <f>DealsRawTable[[#This Row],[Validated_Annual_Final_Price]]*DealsRawTable[[#This Row],[Contract_Years]]</f>
        <v>164534.20000000001</v>
      </c>
      <c r="AO374">
        <f>DealsRawTable[[#This Row],[Validated_Annual_Final_Price]]-DealsRawTable[[#This Row],[Cost_to_Serve]]</f>
        <v>55417.939552158889</v>
      </c>
      <c r="AP374" s="17">
        <f>DealsRawTable[[#This Row],[Validated_Grossprofit]]/DealsRawTable[[#This Row],[Validated_Annual_Final_Price]]</f>
        <v>0.67363429064788827</v>
      </c>
      <c r="AQ374" s="17">
        <v>82267.100000000006</v>
      </c>
      <c r="AR374" s="17">
        <v>164534.20000000001</v>
      </c>
      <c r="AS374" s="17">
        <v>55417.939552158889</v>
      </c>
      <c r="AT374" s="17">
        <v>0.67363429064788827</v>
      </c>
      <c r="AU374" s="17" t="str">
        <f t="shared" si="11"/>
        <v>0–5%</v>
      </c>
      <c r="AV374" s="17">
        <v>55</v>
      </c>
      <c r="AW374" s="17"/>
    </row>
    <row r="375" spans="1:49">
      <c r="A375" t="s">
        <v>1280</v>
      </c>
      <c r="B375" s="5">
        <v>45572</v>
      </c>
      <c r="C375" t="s">
        <v>266</v>
      </c>
      <c r="D375" t="s">
        <v>267</v>
      </c>
      <c r="E375" t="s">
        <v>674</v>
      </c>
      <c r="F375" t="s">
        <v>475</v>
      </c>
      <c r="G375" t="s">
        <v>83</v>
      </c>
      <c r="H375" t="s">
        <v>70</v>
      </c>
      <c r="I375" t="s">
        <v>71</v>
      </c>
      <c r="J375" t="s">
        <v>56</v>
      </c>
      <c r="K375" t="s">
        <v>38</v>
      </c>
      <c r="L375" s="5">
        <v>45200</v>
      </c>
      <c r="M375">
        <v>79</v>
      </c>
      <c r="N375" t="s">
        <v>429</v>
      </c>
      <c r="O375" t="s">
        <v>891</v>
      </c>
      <c r="Q375">
        <v>3</v>
      </c>
      <c r="R375">
        <v>165</v>
      </c>
      <c r="S375" t="s">
        <v>896</v>
      </c>
      <c r="T375" s="6">
        <v>100240.90247002219</v>
      </c>
      <c r="U375" s="7">
        <f>T375*DealsRawTable[[#This Row],[Contract_Years]]</f>
        <v>300722.70741006656</v>
      </c>
      <c r="V375" s="8">
        <v>0.11600000000000001</v>
      </c>
      <c r="W375" s="8">
        <v>7.8E-2</v>
      </c>
      <c r="X375" s="8">
        <v>5.8999999999999997E-2</v>
      </c>
      <c r="Y375" t="s">
        <v>902</v>
      </c>
      <c r="Z375" t="s">
        <v>879</v>
      </c>
      <c r="AA375" s="6">
        <v>92439.681344045268</v>
      </c>
      <c r="AB375" s="7">
        <f>DealsRawTable[[#This Row],[Final_Price_ACV]]*DealsRawTable[[#This Row],[Contract_Years]]</f>
        <v>277319.0440321358</v>
      </c>
      <c r="AC375" s="6">
        <v>34879.941827750241</v>
      </c>
      <c r="AD375" s="6">
        <v>57559.739516295027</v>
      </c>
      <c r="AE375" s="8">
        <v>0.62267349561783059</v>
      </c>
      <c r="AF375" t="s">
        <v>880</v>
      </c>
      <c r="AI375" t="s">
        <v>38</v>
      </c>
      <c r="AJ375" s="6">
        <v>92439.681344045268</v>
      </c>
      <c r="AK375" s="6">
        <v>57559.739516295027</v>
      </c>
      <c r="AL375" t="s">
        <v>894</v>
      </c>
      <c r="AM375">
        <f t="shared" si="10"/>
        <v>92422.11</v>
      </c>
      <c r="AN375">
        <f>DealsRawTable[[#This Row],[Validated_Annual_Final_Price]]*DealsRawTable[[#This Row],[Contract_Years]]</f>
        <v>277266.33</v>
      </c>
      <c r="AO375">
        <f>DealsRawTable[[#This Row],[Validated_Annual_Final_Price]]-DealsRawTable[[#This Row],[Cost_to_Serve]]</f>
        <v>57542.16817224976</v>
      </c>
      <c r="AP375" s="17">
        <f>DealsRawTable[[#This Row],[Validated_Grossprofit]]/DealsRawTable[[#This Row],[Validated_Annual_Final_Price]]</f>
        <v>0.62260175808851104</v>
      </c>
      <c r="AQ375" s="17">
        <v>92422.11</v>
      </c>
      <c r="AR375" s="17">
        <v>277266.33</v>
      </c>
      <c r="AS375" s="17">
        <v>57542.16817224976</v>
      </c>
      <c r="AT375" s="17">
        <v>0.62260175808851104</v>
      </c>
      <c r="AU375" s="17" t="str">
        <f t="shared" si="11"/>
        <v>5–10%</v>
      </c>
      <c r="AV375" s="17">
        <v>116</v>
      </c>
      <c r="AW375" s="17"/>
    </row>
    <row r="376" spans="1:49">
      <c r="A376" t="s">
        <v>1281</v>
      </c>
      <c r="B376" s="5">
        <v>45794</v>
      </c>
      <c r="C376" t="s">
        <v>266</v>
      </c>
      <c r="D376" t="s">
        <v>267</v>
      </c>
      <c r="E376" t="s">
        <v>675</v>
      </c>
      <c r="F376" t="s">
        <v>466</v>
      </c>
      <c r="G376" t="s">
        <v>83</v>
      </c>
      <c r="H376" t="s">
        <v>70</v>
      </c>
      <c r="I376" t="s">
        <v>71</v>
      </c>
      <c r="J376" t="s">
        <v>56</v>
      </c>
      <c r="K376" t="s">
        <v>38</v>
      </c>
      <c r="L376" s="5">
        <v>45200</v>
      </c>
      <c r="M376">
        <v>79</v>
      </c>
      <c r="N376" t="s">
        <v>433</v>
      </c>
      <c r="O376" t="s">
        <v>891</v>
      </c>
      <c r="Q376">
        <v>1</v>
      </c>
      <c r="R376">
        <v>98</v>
      </c>
      <c r="S376" t="s">
        <v>932</v>
      </c>
      <c r="T376" s="6">
        <v>345448.11211503431</v>
      </c>
      <c r="U376" s="7">
        <f>T376*DealsRawTable[[#This Row],[Contract_Years]]</f>
        <v>345448.11211503431</v>
      </c>
      <c r="V376" s="8">
        <v>0.22600000000000001</v>
      </c>
      <c r="W376" s="8">
        <v>0.19700000000000001</v>
      </c>
      <c r="X376" s="8">
        <v>-7.6999999999999999E-2</v>
      </c>
      <c r="Y376" t="s">
        <v>930</v>
      </c>
      <c r="Z376" t="s">
        <v>889</v>
      </c>
      <c r="AA376" s="6">
        <v>277274.57957356208</v>
      </c>
      <c r="AB376" s="7">
        <f>DealsRawTable[[#This Row],[Final_Price_ACV]]*DealsRawTable[[#This Row],[Contract_Years]]</f>
        <v>277274.57957356208</v>
      </c>
      <c r="AC376" s="6">
        <v>131767.98011485612</v>
      </c>
      <c r="AD376" s="6">
        <v>145506.59945870595</v>
      </c>
      <c r="AE376" s="8">
        <v>0.52477439396893022</v>
      </c>
      <c r="AF376" t="s">
        <v>457</v>
      </c>
      <c r="AI376" t="s">
        <v>38</v>
      </c>
      <c r="AJ376" s="6">
        <v>0</v>
      </c>
      <c r="AK376" s="6">
        <v>0</v>
      </c>
      <c r="AL376" t="s">
        <v>894</v>
      </c>
      <c r="AM376">
        <f t="shared" si="10"/>
        <v>277394.83</v>
      </c>
      <c r="AN376">
        <f>DealsRawTable[[#This Row],[Validated_Annual_Final_Price]]*DealsRawTable[[#This Row],[Contract_Years]]</f>
        <v>277394.83</v>
      </c>
      <c r="AO376">
        <f>DealsRawTable[[#This Row],[Validated_Annual_Final_Price]]-DealsRawTable[[#This Row],[Cost_to_Serve]]</f>
        <v>145626.84988514389</v>
      </c>
      <c r="AP376" s="17">
        <f>DealsRawTable[[#This Row],[Validated_Grossprofit]]/DealsRawTable[[#This Row],[Validated_Annual_Final_Price]]</f>
        <v>0.52498040387105949</v>
      </c>
      <c r="AQ376" s="17">
        <v>0</v>
      </c>
      <c r="AR376" s="17">
        <v>0</v>
      </c>
      <c r="AS376" s="17">
        <v>0</v>
      </c>
      <c r="AT376" s="17">
        <v>0</v>
      </c>
      <c r="AU376" s="17" t="str">
        <f t="shared" si="11"/>
        <v>15–20%</v>
      </c>
      <c r="AV376" s="17">
        <v>108</v>
      </c>
      <c r="AW376" s="17"/>
    </row>
    <row r="377" spans="1:49">
      <c r="A377" t="s">
        <v>1282</v>
      </c>
      <c r="B377" s="5">
        <v>45314</v>
      </c>
      <c r="C377" t="s">
        <v>266</v>
      </c>
      <c r="D377" t="s">
        <v>267</v>
      </c>
      <c r="E377" t="s">
        <v>676</v>
      </c>
      <c r="F377" t="s">
        <v>475</v>
      </c>
      <c r="G377" t="s">
        <v>83</v>
      </c>
      <c r="H377" t="s">
        <v>70</v>
      </c>
      <c r="I377" t="s">
        <v>71</v>
      </c>
      <c r="J377" t="s">
        <v>56</v>
      </c>
      <c r="K377" t="s">
        <v>38</v>
      </c>
      <c r="L377" s="5">
        <v>45200</v>
      </c>
      <c r="M377">
        <v>79</v>
      </c>
      <c r="N377" t="s">
        <v>427</v>
      </c>
      <c r="O377" t="s">
        <v>891</v>
      </c>
      <c r="Q377">
        <v>1</v>
      </c>
      <c r="R377">
        <v>71</v>
      </c>
      <c r="S377" t="s">
        <v>900</v>
      </c>
      <c r="T377" s="6">
        <v>130698.65710916805</v>
      </c>
      <c r="U377" s="7">
        <f>T377*DealsRawTable[[#This Row],[Contract_Years]]</f>
        <v>130698.65710916805</v>
      </c>
      <c r="V377" s="8">
        <v>0.14000000000000001</v>
      </c>
      <c r="W377" s="8">
        <v>0.124</v>
      </c>
      <c r="X377" s="8">
        <v>7.0000000000000001E-3</v>
      </c>
      <c r="Y377" t="s">
        <v>885</v>
      </c>
      <c r="Z377" t="s">
        <v>889</v>
      </c>
      <c r="AA377" s="6">
        <v>114534.4997453237</v>
      </c>
      <c r="AB377" s="7">
        <f>DealsRawTable[[#This Row],[Final_Price_ACV]]*DealsRawTable[[#This Row],[Contract_Years]]</f>
        <v>114534.4997453237</v>
      </c>
      <c r="AC377" s="6">
        <v>43355.141490430411</v>
      </c>
      <c r="AD377" s="6">
        <v>71179.35825489329</v>
      </c>
      <c r="AE377" s="8">
        <v>0.62146653116018391</v>
      </c>
      <c r="AF377" t="s">
        <v>457</v>
      </c>
      <c r="AI377" t="s">
        <v>38</v>
      </c>
      <c r="AJ377" s="6">
        <v>0</v>
      </c>
      <c r="AK377" s="6">
        <v>0</v>
      </c>
      <c r="AL377" t="s">
        <v>894</v>
      </c>
      <c r="AM377">
        <f t="shared" si="10"/>
        <v>114492.02</v>
      </c>
      <c r="AN377">
        <f>DealsRawTable[[#This Row],[Validated_Annual_Final_Price]]*DealsRawTable[[#This Row],[Contract_Years]]</f>
        <v>114492.02</v>
      </c>
      <c r="AO377">
        <f>DealsRawTable[[#This Row],[Validated_Annual_Final_Price]]-DealsRawTable[[#This Row],[Cost_to_Serve]]</f>
        <v>71136.878509569593</v>
      </c>
      <c r="AP377" s="17">
        <f>DealsRawTable[[#This Row],[Validated_Grossprofit]]/DealsRawTable[[#This Row],[Validated_Annual_Final_Price]]</f>
        <v>0.62132608464388683</v>
      </c>
      <c r="AQ377" s="17">
        <v>0</v>
      </c>
      <c r="AR377" s="17">
        <v>0</v>
      </c>
      <c r="AS377" s="17">
        <v>0</v>
      </c>
      <c r="AT377" s="17">
        <v>0</v>
      </c>
      <c r="AU377" s="17" t="str">
        <f t="shared" si="11"/>
        <v>10–15%</v>
      </c>
      <c r="AV377" s="17">
        <v>113</v>
      </c>
      <c r="AW377" s="17"/>
    </row>
    <row r="378" spans="1:49">
      <c r="A378" t="s">
        <v>1283</v>
      </c>
      <c r="B378" s="5">
        <v>45452</v>
      </c>
      <c r="C378" t="s">
        <v>268</v>
      </c>
      <c r="D378" t="s">
        <v>269</v>
      </c>
      <c r="E378" t="s">
        <v>678</v>
      </c>
      <c r="F378" t="s">
        <v>466</v>
      </c>
      <c r="G378" t="s">
        <v>47</v>
      </c>
      <c r="H378" t="s">
        <v>48</v>
      </c>
      <c r="I378" t="s">
        <v>49</v>
      </c>
      <c r="J378" t="s">
        <v>37</v>
      </c>
      <c r="K378" t="s">
        <v>38</v>
      </c>
      <c r="L378" s="5">
        <v>43862</v>
      </c>
      <c r="M378">
        <v>65</v>
      </c>
      <c r="N378" t="s">
        <v>431</v>
      </c>
      <c r="O378" t="s">
        <v>876</v>
      </c>
      <c r="Q378">
        <v>2</v>
      </c>
      <c r="R378">
        <v>43</v>
      </c>
      <c r="S378" t="s">
        <v>907</v>
      </c>
      <c r="T378" s="6">
        <v>50252.061619396089</v>
      </c>
      <c r="U378" s="7">
        <f>T378*DealsRawTable[[#This Row],[Contract_Years]]</f>
        <v>100504.12323879218</v>
      </c>
      <c r="V378" s="8">
        <v>7.4999999999999997E-2</v>
      </c>
      <c r="W378" s="8">
        <v>5.1999999999999998E-2</v>
      </c>
      <c r="X378" s="8">
        <v>-0.04</v>
      </c>
      <c r="Y378" t="s">
        <v>878</v>
      </c>
      <c r="Z378" t="s">
        <v>879</v>
      </c>
      <c r="AA378" s="6">
        <v>47614.992502063651</v>
      </c>
      <c r="AB378" s="7">
        <f>DealsRawTable[[#This Row],[Final_Price_ACV]]*DealsRawTable[[#This Row],[Contract_Years]]</f>
        <v>95229.985004127302</v>
      </c>
      <c r="AC378" s="6">
        <v>18116.087182640982</v>
      </c>
      <c r="AD378" s="6">
        <v>29498.905319422669</v>
      </c>
      <c r="AE378" s="8">
        <v>0.61952976928735581</v>
      </c>
      <c r="AF378" t="s">
        <v>880</v>
      </c>
      <c r="AG378" t="s">
        <v>44</v>
      </c>
      <c r="AI378" t="s">
        <v>38</v>
      </c>
      <c r="AJ378" s="6">
        <v>47614.992502063651</v>
      </c>
      <c r="AK378" s="6">
        <v>29498.905319422669</v>
      </c>
      <c r="AL378" t="s">
        <v>881</v>
      </c>
      <c r="AM378">
        <f t="shared" si="10"/>
        <v>47638.95</v>
      </c>
      <c r="AN378">
        <f>DealsRawTable[[#This Row],[Validated_Annual_Final_Price]]*DealsRawTable[[#This Row],[Contract_Years]]</f>
        <v>95277.9</v>
      </c>
      <c r="AO378">
        <f>DealsRawTable[[#This Row],[Validated_Annual_Final_Price]]-DealsRawTable[[#This Row],[Cost_to_Serve]]</f>
        <v>29522.862817359015</v>
      </c>
      <c r="AP378" s="17">
        <f>DealsRawTable[[#This Row],[Validated_Grossprofit]]/DealsRawTable[[#This Row],[Validated_Annual_Final_Price]]</f>
        <v>0.61972110672798242</v>
      </c>
      <c r="AQ378" s="17">
        <v>47638.95</v>
      </c>
      <c r="AR378" s="17">
        <v>95277.9</v>
      </c>
      <c r="AS378" s="17">
        <v>29522.862817359015</v>
      </c>
      <c r="AT378" s="17">
        <v>0.61972110672798242</v>
      </c>
      <c r="AU378" s="17" t="str">
        <f t="shared" si="11"/>
        <v>5–10%</v>
      </c>
      <c r="AV378" s="17">
        <v>116</v>
      </c>
      <c r="AW378" s="17"/>
    </row>
    <row r="379" spans="1:49">
      <c r="A379" t="s">
        <v>1284</v>
      </c>
      <c r="B379" s="5">
        <v>45474</v>
      </c>
      <c r="C379" t="s">
        <v>270</v>
      </c>
      <c r="D379" t="s">
        <v>271</v>
      </c>
      <c r="E379" t="s">
        <v>679</v>
      </c>
      <c r="F379" t="s">
        <v>449</v>
      </c>
      <c r="G379" t="s">
        <v>60</v>
      </c>
      <c r="H379" t="s">
        <v>48</v>
      </c>
      <c r="I379" t="s">
        <v>49</v>
      </c>
      <c r="J379" t="s">
        <v>56</v>
      </c>
      <c r="K379" t="s">
        <v>38</v>
      </c>
      <c r="L379" s="5">
        <v>44013</v>
      </c>
      <c r="M379">
        <v>76</v>
      </c>
      <c r="N379" t="s">
        <v>431</v>
      </c>
      <c r="O379" t="s">
        <v>876</v>
      </c>
      <c r="Q379">
        <v>2</v>
      </c>
      <c r="R379">
        <v>90</v>
      </c>
      <c r="S379" t="s">
        <v>877</v>
      </c>
      <c r="T379" s="6">
        <v>105024.72301753776</v>
      </c>
      <c r="U379" s="7">
        <f>T379*DealsRawTable[[#This Row],[Contract_Years]]</f>
        <v>210049.44603507553</v>
      </c>
      <c r="V379" s="8">
        <v>0.24299999999999999</v>
      </c>
      <c r="W379" s="8">
        <v>0.24</v>
      </c>
      <c r="X379" s="8">
        <v>-1.7999999999999999E-2</v>
      </c>
      <c r="Y379" t="s">
        <v>878</v>
      </c>
      <c r="Z379" t="s">
        <v>893</v>
      </c>
      <c r="AA379" s="6">
        <v>79787.444375253894</v>
      </c>
      <c r="AB379" s="7">
        <f>DealsRawTable[[#This Row],[Final_Price_ACV]]*DealsRawTable[[#This Row],[Contract_Years]]</f>
        <v>159574.88875050779</v>
      </c>
      <c r="AC379" s="6">
        <v>37848.344554604533</v>
      </c>
      <c r="AD379" s="6">
        <v>41939.09982064936</v>
      </c>
      <c r="AE379" s="8">
        <v>0.52563533208812474</v>
      </c>
      <c r="AF379" t="s">
        <v>880</v>
      </c>
      <c r="AG379" t="s">
        <v>44</v>
      </c>
      <c r="AI379" t="s">
        <v>38</v>
      </c>
      <c r="AJ379" s="6">
        <v>79787.444375253894</v>
      </c>
      <c r="AK379" s="6">
        <v>41939.09982064936</v>
      </c>
      <c r="AL379" t="s">
        <v>881</v>
      </c>
      <c r="AM379">
        <f t="shared" si="10"/>
        <v>79818.789999999994</v>
      </c>
      <c r="AN379">
        <f>DealsRawTable[[#This Row],[Validated_Annual_Final_Price]]*DealsRawTable[[#This Row],[Contract_Years]]</f>
        <v>159637.57999999999</v>
      </c>
      <c r="AO379">
        <f>DealsRawTable[[#This Row],[Validated_Annual_Final_Price]]-DealsRawTable[[#This Row],[Cost_to_Serve]]</f>
        <v>41970.44544539546</v>
      </c>
      <c r="AP379" s="17">
        <f>DealsRawTable[[#This Row],[Validated_Grossprofit]]/DealsRawTable[[#This Row],[Validated_Annual_Final_Price]]</f>
        <v>0.52582161976391106</v>
      </c>
      <c r="AQ379" s="17">
        <v>79818.789999999994</v>
      </c>
      <c r="AR379" s="17">
        <v>159637.57999999999</v>
      </c>
      <c r="AS379" s="17">
        <v>41970.44544539546</v>
      </c>
      <c r="AT379" s="17">
        <v>0.52582161976391106</v>
      </c>
      <c r="AU379" s="17" t="str">
        <f t="shared" si="11"/>
        <v>20–25%</v>
      </c>
      <c r="AV379" s="17">
        <v>29</v>
      </c>
      <c r="AW379" s="17"/>
    </row>
    <row r="380" spans="1:49">
      <c r="A380" t="s">
        <v>1285</v>
      </c>
      <c r="B380" s="5">
        <v>45476</v>
      </c>
      <c r="C380" t="s">
        <v>272</v>
      </c>
      <c r="D380" t="s">
        <v>273</v>
      </c>
      <c r="E380" t="s">
        <v>680</v>
      </c>
      <c r="F380" t="s">
        <v>475</v>
      </c>
      <c r="G380" t="s">
        <v>53</v>
      </c>
      <c r="H380" t="s">
        <v>54</v>
      </c>
      <c r="I380" t="s">
        <v>94</v>
      </c>
      <c r="J380" t="s">
        <v>43</v>
      </c>
      <c r="K380" t="s">
        <v>38</v>
      </c>
      <c r="L380" s="5">
        <v>44593</v>
      </c>
      <c r="M380">
        <v>37</v>
      </c>
      <c r="N380" t="s">
        <v>427</v>
      </c>
      <c r="O380" t="s">
        <v>876</v>
      </c>
      <c r="Q380">
        <v>1</v>
      </c>
      <c r="R380">
        <v>349</v>
      </c>
      <c r="S380" t="s">
        <v>888</v>
      </c>
      <c r="T380" s="6">
        <v>244875.48423202647</v>
      </c>
      <c r="U380" s="7">
        <f>T380*DealsRawTable[[#This Row],[Contract_Years]]</f>
        <v>244875.48423202647</v>
      </c>
      <c r="V380" s="8">
        <v>0.106</v>
      </c>
      <c r="W380" s="8">
        <v>0.10100000000000001</v>
      </c>
      <c r="X380" s="8">
        <v>-0.06</v>
      </c>
      <c r="Y380" t="s">
        <v>878</v>
      </c>
      <c r="Z380" t="s">
        <v>889</v>
      </c>
      <c r="AA380" s="6">
        <v>220192.56125603881</v>
      </c>
      <c r="AB380" s="7">
        <f>DealsRawTable[[#This Row],[Final_Price_ACV]]*DealsRawTable[[#This Row],[Contract_Years]]</f>
        <v>220192.56125603881</v>
      </c>
      <c r="AC380" s="6">
        <v>75387.959811609428</v>
      </c>
      <c r="AD380" s="6">
        <v>144804.60144442937</v>
      </c>
      <c r="AE380" s="8">
        <v>0.65762712699477299</v>
      </c>
      <c r="AF380" t="s">
        <v>880</v>
      </c>
      <c r="AG380" t="s">
        <v>44</v>
      </c>
      <c r="AI380" t="s">
        <v>38</v>
      </c>
      <c r="AJ380" s="6">
        <v>220192.56125603881</v>
      </c>
      <c r="AK380" s="6">
        <v>144804.60144442937</v>
      </c>
      <c r="AL380" t="s">
        <v>881</v>
      </c>
      <c r="AM380">
        <f t="shared" si="10"/>
        <v>220143.06</v>
      </c>
      <c r="AN380">
        <f>DealsRawTable[[#This Row],[Validated_Annual_Final_Price]]*DealsRawTable[[#This Row],[Contract_Years]]</f>
        <v>220143.06</v>
      </c>
      <c r="AO380">
        <f>DealsRawTable[[#This Row],[Validated_Annual_Final_Price]]-DealsRawTable[[#This Row],[Cost_to_Serve]]</f>
        <v>144755.10018839058</v>
      </c>
      <c r="AP380" s="17">
        <f>DealsRawTable[[#This Row],[Validated_Grossprofit]]/DealsRawTable[[#This Row],[Validated_Annual_Final_Price]]</f>
        <v>0.65755014120540789</v>
      </c>
      <c r="AQ380" s="17">
        <v>220143.06</v>
      </c>
      <c r="AR380" s="17">
        <v>220143.06</v>
      </c>
      <c r="AS380" s="17">
        <v>144755.10018839058</v>
      </c>
      <c r="AT380" s="17">
        <v>0.65755014120540789</v>
      </c>
      <c r="AU380" s="17" t="str">
        <f t="shared" si="11"/>
        <v>10–15%</v>
      </c>
      <c r="AV380" s="17">
        <v>113</v>
      </c>
      <c r="AW380" s="17"/>
    </row>
    <row r="381" spans="1:49">
      <c r="A381" t="s">
        <v>1286</v>
      </c>
      <c r="B381" s="5">
        <v>45841</v>
      </c>
      <c r="C381" t="s">
        <v>272</v>
      </c>
      <c r="D381" t="s">
        <v>273</v>
      </c>
      <c r="E381" t="s">
        <v>680</v>
      </c>
      <c r="F381" t="s">
        <v>475</v>
      </c>
      <c r="G381" t="s">
        <v>53</v>
      </c>
      <c r="H381" t="s">
        <v>54</v>
      </c>
      <c r="I381" t="s">
        <v>94</v>
      </c>
      <c r="J381" t="s">
        <v>43</v>
      </c>
      <c r="K381" t="s">
        <v>38</v>
      </c>
      <c r="L381" s="5">
        <v>44593</v>
      </c>
      <c r="M381">
        <v>37</v>
      </c>
      <c r="N381" t="s">
        <v>427</v>
      </c>
      <c r="O381" t="s">
        <v>876</v>
      </c>
      <c r="Q381">
        <v>1</v>
      </c>
      <c r="R381">
        <v>349</v>
      </c>
      <c r="S381" t="s">
        <v>907</v>
      </c>
      <c r="T381" s="6">
        <v>256729.14748422545</v>
      </c>
      <c r="U381" s="7">
        <f>T381*DealsRawTable[[#This Row],[Contract_Years]]</f>
        <v>256729.14748422545</v>
      </c>
      <c r="V381" s="8">
        <v>0.11799999999999999</v>
      </c>
      <c r="W381" s="8">
        <v>9.5000000000000001E-2</v>
      </c>
      <c r="X381" s="8">
        <v>-0.124</v>
      </c>
      <c r="Y381" t="s">
        <v>878</v>
      </c>
      <c r="Z381" t="s">
        <v>879</v>
      </c>
      <c r="AA381" s="6">
        <v>232284.15238575632</v>
      </c>
      <c r="AB381" s="7">
        <f>DealsRawTable[[#This Row],[Final_Price_ACV]]*DealsRawTable[[#This Row],[Contract_Years]]</f>
        <v>232284.15238575632</v>
      </c>
      <c r="AC381" s="6">
        <v>85048.720292931437</v>
      </c>
      <c r="AD381" s="6">
        <v>147235.43209282489</v>
      </c>
      <c r="AE381" s="8">
        <v>0.63385913580668962</v>
      </c>
      <c r="AF381" t="s">
        <v>880</v>
      </c>
      <c r="AG381" t="s">
        <v>44</v>
      </c>
      <c r="AI381" t="s">
        <v>38</v>
      </c>
      <c r="AJ381" s="6">
        <v>232284.15238575632</v>
      </c>
      <c r="AK381" s="6">
        <v>147235.43209282489</v>
      </c>
      <c r="AL381" t="s">
        <v>881</v>
      </c>
      <c r="AM381">
        <f t="shared" si="10"/>
        <v>232339.88</v>
      </c>
      <c r="AN381">
        <f>DealsRawTable[[#This Row],[Validated_Annual_Final_Price]]*DealsRawTable[[#This Row],[Contract_Years]]</f>
        <v>232339.88</v>
      </c>
      <c r="AO381">
        <f>DealsRawTable[[#This Row],[Validated_Annual_Final_Price]]-DealsRawTable[[#This Row],[Cost_to_Serve]]</f>
        <v>147291.15970706858</v>
      </c>
      <c r="AP381" s="17">
        <f>DealsRawTable[[#This Row],[Validated_Grossprofit]]/DealsRawTable[[#This Row],[Validated_Annual_Final_Price]]</f>
        <v>0.63394695610184781</v>
      </c>
      <c r="AQ381" s="17">
        <v>232339.88</v>
      </c>
      <c r="AR381" s="17">
        <v>232339.88</v>
      </c>
      <c r="AS381" s="17">
        <v>147291.15970706858</v>
      </c>
      <c r="AT381" s="17">
        <v>0.63394695610184781</v>
      </c>
      <c r="AU381" s="17" t="str">
        <f t="shared" si="11"/>
        <v>5–10%</v>
      </c>
      <c r="AV381" s="17">
        <v>116</v>
      </c>
      <c r="AW381" s="17"/>
    </row>
    <row r="382" spans="1:49">
      <c r="A382" t="s">
        <v>1287</v>
      </c>
      <c r="B382" s="5">
        <v>45658</v>
      </c>
      <c r="C382" t="s">
        <v>272</v>
      </c>
      <c r="D382" t="s">
        <v>273</v>
      </c>
      <c r="E382" t="s">
        <v>681</v>
      </c>
      <c r="F382" t="s">
        <v>475</v>
      </c>
      <c r="G382" t="s">
        <v>53</v>
      </c>
      <c r="H382" t="s">
        <v>54</v>
      </c>
      <c r="I382" t="s">
        <v>94</v>
      </c>
      <c r="J382" t="s">
        <v>43</v>
      </c>
      <c r="K382" t="s">
        <v>38</v>
      </c>
      <c r="L382" s="5">
        <v>44593</v>
      </c>
      <c r="M382">
        <v>37</v>
      </c>
      <c r="N382" t="s">
        <v>433</v>
      </c>
      <c r="O382" t="s">
        <v>876</v>
      </c>
      <c r="Q382">
        <v>2</v>
      </c>
      <c r="R382">
        <v>1000</v>
      </c>
      <c r="S382" t="s">
        <v>947</v>
      </c>
      <c r="T382" s="6">
        <v>1203311.3511712702</v>
      </c>
      <c r="U382" s="7">
        <f>T382*DealsRawTable[[#This Row],[Contract_Years]]</f>
        <v>2406622.7023425405</v>
      </c>
      <c r="V382" s="8">
        <v>0.14000000000000001</v>
      </c>
      <c r="W382" s="8">
        <v>0.105</v>
      </c>
      <c r="X382" s="8">
        <v>3.4000000000000002E-2</v>
      </c>
      <c r="Y382" t="s">
        <v>878</v>
      </c>
      <c r="Z382" t="s">
        <v>889</v>
      </c>
      <c r="AA382" s="6">
        <v>1077183.697232598</v>
      </c>
      <c r="AB382" s="7">
        <f>DealsRawTable[[#This Row],[Final_Price_ACV]]*DealsRawTable[[#This Row],[Contract_Years]]</f>
        <v>2154367.3944651959</v>
      </c>
      <c r="AC382" s="6">
        <v>424535.44344049267</v>
      </c>
      <c r="AD382" s="6">
        <v>652648.25379210524</v>
      </c>
      <c r="AE382" s="8">
        <v>0.60588389470508097</v>
      </c>
      <c r="AF382" t="s">
        <v>457</v>
      </c>
      <c r="AG382" t="s">
        <v>38</v>
      </c>
      <c r="AI382" t="s">
        <v>38</v>
      </c>
      <c r="AJ382" s="6">
        <v>0</v>
      </c>
      <c r="AK382" s="6">
        <v>0</v>
      </c>
      <c r="AL382" t="s">
        <v>881</v>
      </c>
      <c r="AM382">
        <f t="shared" si="10"/>
        <v>1076963.6599999999</v>
      </c>
      <c r="AN382">
        <f>DealsRawTable[[#This Row],[Validated_Annual_Final_Price]]*DealsRawTable[[#This Row],[Contract_Years]]</f>
        <v>2153927.3199999998</v>
      </c>
      <c r="AO382">
        <f>DealsRawTable[[#This Row],[Validated_Annual_Final_Price]]-DealsRawTable[[#This Row],[Cost_to_Serve]]</f>
        <v>652428.21655950719</v>
      </c>
      <c r="AP382" s="17">
        <f>DealsRawTable[[#This Row],[Validated_Grossprofit]]/DealsRawTable[[#This Row],[Validated_Annual_Final_Price]]</f>
        <v>0.60580337182362054</v>
      </c>
      <c r="AQ382" s="17">
        <v>0</v>
      </c>
      <c r="AR382" s="17">
        <v>0</v>
      </c>
      <c r="AS382" s="17">
        <v>0</v>
      </c>
      <c r="AT382" s="17">
        <v>0</v>
      </c>
      <c r="AU382" s="17" t="str">
        <f t="shared" si="11"/>
        <v>10–15%</v>
      </c>
      <c r="AV382" s="17">
        <v>113</v>
      </c>
      <c r="AW382" s="17"/>
    </row>
    <row r="383" spans="1:49">
      <c r="A383" t="s">
        <v>1288</v>
      </c>
      <c r="B383" s="5">
        <v>45371</v>
      </c>
      <c r="C383" t="s">
        <v>272</v>
      </c>
      <c r="D383" t="s">
        <v>273</v>
      </c>
      <c r="E383" t="s">
        <v>682</v>
      </c>
      <c r="F383" t="s">
        <v>445</v>
      </c>
      <c r="G383" t="s">
        <v>53</v>
      </c>
      <c r="H383" t="s">
        <v>54</v>
      </c>
      <c r="I383" t="s">
        <v>94</v>
      </c>
      <c r="J383" t="s">
        <v>43</v>
      </c>
      <c r="K383" t="s">
        <v>38</v>
      </c>
      <c r="L383" s="5">
        <v>44593</v>
      </c>
      <c r="M383">
        <v>37</v>
      </c>
      <c r="N383" t="s">
        <v>433</v>
      </c>
      <c r="O383" t="s">
        <v>891</v>
      </c>
      <c r="Q383">
        <v>2</v>
      </c>
      <c r="R383">
        <v>722</v>
      </c>
      <c r="S383" t="s">
        <v>896</v>
      </c>
      <c r="T383" s="6">
        <v>415318.99520504411</v>
      </c>
      <c r="U383" s="7">
        <f>T383*DealsRawTable[[#This Row],[Contract_Years]]</f>
        <v>830637.99041008821</v>
      </c>
      <c r="V383" s="8">
        <v>0.151</v>
      </c>
      <c r="W383" s="8">
        <v>0.13200000000000001</v>
      </c>
      <c r="X383" s="8">
        <v>-1.9E-2</v>
      </c>
      <c r="Y383" t="s">
        <v>911</v>
      </c>
      <c r="Z383" t="s">
        <v>889</v>
      </c>
      <c r="AA383" s="6">
        <v>360696.30385009566</v>
      </c>
      <c r="AB383" s="7">
        <f>DealsRawTable[[#This Row],[Final_Price_ACV]]*DealsRawTable[[#This Row],[Contract_Years]]</f>
        <v>721392.60770019132</v>
      </c>
      <c r="AC383" s="6">
        <v>175146.90843540477</v>
      </c>
      <c r="AD383" s="6">
        <v>185549.39541469089</v>
      </c>
      <c r="AE383" s="8">
        <v>0.51442000772983987</v>
      </c>
      <c r="AF383" t="s">
        <v>880</v>
      </c>
      <c r="AI383" t="s">
        <v>38</v>
      </c>
      <c r="AJ383" s="6">
        <v>360696.30385009566</v>
      </c>
      <c r="AK383" s="6">
        <v>185549.39541469089</v>
      </c>
      <c r="AL383" t="s">
        <v>894</v>
      </c>
      <c r="AM383">
        <f t="shared" si="10"/>
        <v>360496.89</v>
      </c>
      <c r="AN383">
        <f>DealsRawTable[[#This Row],[Validated_Annual_Final_Price]]*DealsRawTable[[#This Row],[Contract_Years]]</f>
        <v>720993.78</v>
      </c>
      <c r="AO383">
        <f>DealsRawTable[[#This Row],[Validated_Annual_Final_Price]]-DealsRawTable[[#This Row],[Cost_to_Serve]]</f>
        <v>185349.98156459525</v>
      </c>
      <c r="AP383" s="17">
        <f>DealsRawTable[[#This Row],[Validated_Grossprofit]]/DealsRawTable[[#This Row],[Validated_Annual_Final_Price]]</f>
        <v>0.51415140242845159</v>
      </c>
      <c r="AQ383" s="17">
        <v>360496.89</v>
      </c>
      <c r="AR383" s="17">
        <v>720993.78</v>
      </c>
      <c r="AS383" s="17">
        <v>185349.98156459525</v>
      </c>
      <c r="AT383" s="17">
        <v>0.51415140242845159</v>
      </c>
      <c r="AU383" s="17" t="str">
        <f t="shared" si="11"/>
        <v>10–15%</v>
      </c>
      <c r="AV383" s="17">
        <v>113</v>
      </c>
      <c r="AW383" s="17"/>
    </row>
    <row r="384" spans="1:49">
      <c r="A384" t="s">
        <v>1289</v>
      </c>
      <c r="B384" s="5">
        <v>45636</v>
      </c>
      <c r="C384" t="s">
        <v>274</v>
      </c>
      <c r="D384" t="s">
        <v>275</v>
      </c>
      <c r="E384" t="s">
        <v>683</v>
      </c>
      <c r="F384" t="s">
        <v>47</v>
      </c>
      <c r="G384" t="s">
        <v>83</v>
      </c>
      <c r="H384" t="s">
        <v>48</v>
      </c>
      <c r="I384" t="s">
        <v>49</v>
      </c>
      <c r="J384" t="s">
        <v>37</v>
      </c>
      <c r="K384" t="s">
        <v>38</v>
      </c>
      <c r="L384" s="5">
        <v>44774</v>
      </c>
      <c r="M384">
        <v>60</v>
      </c>
      <c r="N384" t="s">
        <v>429</v>
      </c>
      <c r="O384" t="s">
        <v>883</v>
      </c>
      <c r="P384" t="s">
        <v>978</v>
      </c>
      <c r="Q384">
        <v>2</v>
      </c>
      <c r="R384">
        <v>23</v>
      </c>
      <c r="S384" t="s">
        <v>892</v>
      </c>
      <c r="T384" s="6">
        <v>107697.10375908256</v>
      </c>
      <c r="U384" s="7">
        <f>T384*DealsRawTable[[#This Row],[Contract_Years]]</f>
        <v>215394.20751816512</v>
      </c>
      <c r="V384" s="8">
        <v>0.216</v>
      </c>
      <c r="W384" s="8">
        <v>0.17100000000000001</v>
      </c>
      <c r="X384" s="8">
        <v>-2.5999999999999999E-2</v>
      </c>
      <c r="Y384" t="s">
        <v>885</v>
      </c>
      <c r="Z384" t="s">
        <v>889</v>
      </c>
      <c r="AA384" s="6">
        <v>89279.834510126995</v>
      </c>
      <c r="AB384" s="7">
        <f>DealsRawTable[[#This Row],[Final_Price_ACV]]*DealsRawTable[[#This Row],[Contract_Years]]</f>
        <v>178559.66902025399</v>
      </c>
      <c r="AC384" s="6">
        <v>35628.157853950754</v>
      </c>
      <c r="AD384" s="6">
        <v>53651.676656176242</v>
      </c>
      <c r="AE384" s="8">
        <v>0.60093835243490001</v>
      </c>
      <c r="AF384" t="s">
        <v>880</v>
      </c>
      <c r="AH384" t="s">
        <v>44</v>
      </c>
      <c r="AI384" t="s">
        <v>38</v>
      </c>
      <c r="AJ384" s="6">
        <v>89279.834510126995</v>
      </c>
      <c r="AK384" s="6">
        <v>53651.676656176242</v>
      </c>
      <c r="AL384" t="s">
        <v>886</v>
      </c>
      <c r="AM384">
        <f t="shared" si="10"/>
        <v>89280.9</v>
      </c>
      <c r="AN384">
        <f>DealsRawTable[[#This Row],[Validated_Annual_Final_Price]]*DealsRawTable[[#This Row],[Contract_Years]]</f>
        <v>178561.8</v>
      </c>
      <c r="AO384">
        <f>DealsRawTable[[#This Row],[Validated_Annual_Final_Price]]-DealsRawTable[[#This Row],[Cost_to_Serve]]</f>
        <v>53652.742146049241</v>
      </c>
      <c r="AP384" s="17">
        <f>DealsRawTable[[#This Row],[Validated_Grossprofit]]/DealsRawTable[[#This Row],[Validated_Annual_Final_Price]]</f>
        <v>0.60094311488850627</v>
      </c>
      <c r="AQ384" s="17">
        <v>89280.9</v>
      </c>
      <c r="AR384" s="17">
        <v>178561.8</v>
      </c>
      <c r="AS384" s="17">
        <v>53652.742146049241</v>
      </c>
      <c r="AT384" s="17">
        <v>0.60094311488850627</v>
      </c>
      <c r="AU384" s="17" t="str">
        <f t="shared" si="11"/>
        <v>15–20%</v>
      </c>
      <c r="AV384" s="17">
        <v>108</v>
      </c>
      <c r="AW384" s="17"/>
    </row>
    <row r="385" spans="1:49">
      <c r="A385" t="s">
        <v>1290</v>
      </c>
      <c r="B385" s="5">
        <v>45786</v>
      </c>
      <c r="C385" t="s">
        <v>274</v>
      </c>
      <c r="D385" t="s">
        <v>275</v>
      </c>
      <c r="E385" t="s">
        <v>683</v>
      </c>
      <c r="F385" t="s">
        <v>47</v>
      </c>
      <c r="G385" t="s">
        <v>83</v>
      </c>
      <c r="H385" t="s">
        <v>48</v>
      </c>
      <c r="I385" t="s">
        <v>49</v>
      </c>
      <c r="J385" t="s">
        <v>37</v>
      </c>
      <c r="K385" t="s">
        <v>38</v>
      </c>
      <c r="L385" s="5">
        <v>44774</v>
      </c>
      <c r="M385">
        <v>60</v>
      </c>
      <c r="N385" t="s">
        <v>429</v>
      </c>
      <c r="O385" t="s">
        <v>876</v>
      </c>
      <c r="Q385">
        <v>2</v>
      </c>
      <c r="R385">
        <v>23</v>
      </c>
      <c r="S385" t="s">
        <v>892</v>
      </c>
      <c r="T385" s="6">
        <v>110732.10160891898</v>
      </c>
      <c r="U385" s="7">
        <f>T385*DealsRawTable[[#This Row],[Contract_Years]]</f>
        <v>221464.20321783796</v>
      </c>
      <c r="V385" s="8">
        <v>0.13500000000000001</v>
      </c>
      <c r="W385" s="8">
        <v>0.13</v>
      </c>
      <c r="X385" s="8">
        <v>-0.14099999999999999</v>
      </c>
      <c r="Y385" t="s">
        <v>878</v>
      </c>
      <c r="Z385" t="s">
        <v>889</v>
      </c>
      <c r="AA385" s="6">
        <v>96390.802948182536</v>
      </c>
      <c r="AB385" s="7">
        <f>DealsRawTable[[#This Row],[Final_Price_ACV]]*DealsRawTable[[#This Row],[Contract_Years]]</f>
        <v>192781.60589636507</v>
      </c>
      <c r="AC385" s="6">
        <v>39699.354875423553</v>
      </c>
      <c r="AD385" s="6">
        <v>56691.448072758983</v>
      </c>
      <c r="AE385" s="8">
        <v>0.58814167263691119</v>
      </c>
      <c r="AF385" t="s">
        <v>457</v>
      </c>
      <c r="AG385" t="s">
        <v>38</v>
      </c>
      <c r="AI385" t="s">
        <v>38</v>
      </c>
      <c r="AJ385" s="6">
        <v>0</v>
      </c>
      <c r="AK385" s="6">
        <v>0</v>
      </c>
      <c r="AL385" t="s">
        <v>881</v>
      </c>
      <c r="AM385">
        <f t="shared" si="10"/>
        <v>96336.93</v>
      </c>
      <c r="AN385">
        <f>DealsRawTable[[#This Row],[Validated_Annual_Final_Price]]*DealsRawTable[[#This Row],[Contract_Years]]</f>
        <v>192673.86</v>
      </c>
      <c r="AO385">
        <f>DealsRawTable[[#This Row],[Validated_Annual_Final_Price]]-DealsRawTable[[#This Row],[Cost_to_Serve]]</f>
        <v>56637.57512457644</v>
      </c>
      <c r="AP385" s="17">
        <f>DealsRawTable[[#This Row],[Validated_Grossprofit]]/DealsRawTable[[#This Row],[Validated_Annual_Final_Price]]</f>
        <v>0.5879113557446396</v>
      </c>
      <c r="AQ385" s="17">
        <v>0</v>
      </c>
      <c r="AR385" s="17">
        <v>0</v>
      </c>
      <c r="AS385" s="17">
        <v>0</v>
      </c>
      <c r="AT385" s="17">
        <v>0</v>
      </c>
      <c r="AU385" s="17" t="str">
        <f t="shared" si="11"/>
        <v>10–15%</v>
      </c>
      <c r="AV385" s="17">
        <v>113</v>
      </c>
      <c r="AW385" s="17"/>
    </row>
    <row r="386" spans="1:49">
      <c r="A386" t="s">
        <v>1291</v>
      </c>
      <c r="B386" s="5">
        <v>45646</v>
      </c>
      <c r="C386" t="s">
        <v>274</v>
      </c>
      <c r="D386" t="s">
        <v>275</v>
      </c>
      <c r="E386" t="s">
        <v>684</v>
      </c>
      <c r="F386" t="s">
        <v>449</v>
      </c>
      <c r="G386" t="s">
        <v>83</v>
      </c>
      <c r="H386" t="s">
        <v>48</v>
      </c>
      <c r="I386" t="s">
        <v>49</v>
      </c>
      <c r="J386" t="s">
        <v>37</v>
      </c>
      <c r="K386" t="s">
        <v>38</v>
      </c>
      <c r="L386" s="5">
        <v>44774</v>
      </c>
      <c r="M386">
        <v>60</v>
      </c>
      <c r="N386" t="s">
        <v>429</v>
      </c>
      <c r="O386" t="s">
        <v>891</v>
      </c>
      <c r="Q386">
        <v>1</v>
      </c>
      <c r="R386">
        <v>23</v>
      </c>
      <c r="S386" t="s">
        <v>892</v>
      </c>
      <c r="T386" s="6">
        <v>74952.512903635987</v>
      </c>
      <c r="U386" s="7">
        <f>T386*DealsRawTable[[#This Row],[Contract_Years]]</f>
        <v>74952.512903635987</v>
      </c>
      <c r="V386" s="8">
        <v>0</v>
      </c>
      <c r="W386" s="8">
        <v>0</v>
      </c>
      <c r="X386" s="8">
        <v>-2.3E-2</v>
      </c>
      <c r="Y386" t="s">
        <v>905</v>
      </c>
      <c r="Z386" t="s">
        <v>879</v>
      </c>
      <c r="AA386" s="6">
        <v>74952.512903635987</v>
      </c>
      <c r="AB386" s="7">
        <f>DealsRawTable[[#This Row],[Final_Price_ACV]]*DealsRawTable[[#This Row],[Contract_Years]]</f>
        <v>74952.512903635987</v>
      </c>
      <c r="AC386" s="6">
        <v>28272.633101747226</v>
      </c>
      <c r="AD386" s="6">
        <v>46679.879801888761</v>
      </c>
      <c r="AE386" s="8">
        <v>0.62279272560085563</v>
      </c>
      <c r="AF386" t="s">
        <v>880</v>
      </c>
      <c r="AI386" t="s">
        <v>38</v>
      </c>
      <c r="AJ386" s="6">
        <v>74952.512903635987</v>
      </c>
      <c r="AK386" s="6">
        <v>46679.879801888761</v>
      </c>
      <c r="AL386" t="s">
        <v>894</v>
      </c>
      <c r="AM386">
        <f t="shared" si="10"/>
        <v>74952.509999999995</v>
      </c>
      <c r="AN386">
        <f>DealsRawTable[[#This Row],[Validated_Annual_Final_Price]]*DealsRawTable[[#This Row],[Contract_Years]]</f>
        <v>74952.509999999995</v>
      </c>
      <c r="AO386">
        <f>DealsRawTable[[#This Row],[Validated_Annual_Final_Price]]-DealsRawTable[[#This Row],[Cost_to_Serve]]</f>
        <v>46679.876898252769</v>
      </c>
      <c r="AP386" s="17">
        <f>DealsRawTable[[#This Row],[Validated_Grossprofit]]/DealsRawTable[[#This Row],[Validated_Annual_Final_Price]]</f>
        <v>0.62279271098796785</v>
      </c>
      <c r="AQ386" s="17">
        <v>74952.509999999995</v>
      </c>
      <c r="AR386" s="17">
        <v>74952.509999999995</v>
      </c>
      <c r="AS386" s="17">
        <v>46679.876898252769</v>
      </c>
      <c r="AT386" s="17">
        <v>0.62279271098796785</v>
      </c>
      <c r="AU386" s="17" t="str">
        <f t="shared" si="11"/>
        <v>0–5%</v>
      </c>
      <c r="AV386" s="17">
        <v>55</v>
      </c>
      <c r="AW386" s="17"/>
    </row>
    <row r="387" spans="1:49">
      <c r="A387" t="s">
        <v>1292</v>
      </c>
      <c r="B387" s="5">
        <v>46011</v>
      </c>
      <c r="C387" t="s">
        <v>274</v>
      </c>
      <c r="D387" t="s">
        <v>275</v>
      </c>
      <c r="E387" t="s">
        <v>684</v>
      </c>
      <c r="F387" t="s">
        <v>449</v>
      </c>
      <c r="G387" t="s">
        <v>83</v>
      </c>
      <c r="H387" t="s">
        <v>48</v>
      </c>
      <c r="I387" t="s">
        <v>49</v>
      </c>
      <c r="J387" t="s">
        <v>37</v>
      </c>
      <c r="K387" t="s">
        <v>38</v>
      </c>
      <c r="L387" s="5">
        <v>44774</v>
      </c>
      <c r="M387">
        <v>60</v>
      </c>
      <c r="N387" t="s">
        <v>429</v>
      </c>
      <c r="O387" t="s">
        <v>876</v>
      </c>
      <c r="Q387">
        <v>1</v>
      </c>
      <c r="R387">
        <v>23</v>
      </c>
      <c r="S387" t="s">
        <v>900</v>
      </c>
      <c r="T387" s="6">
        <v>77230.309455693146</v>
      </c>
      <c r="U387" s="7">
        <f>T387*DealsRawTable[[#This Row],[Contract_Years]]</f>
        <v>77230.309455693146</v>
      </c>
      <c r="V387" s="8">
        <v>0.192</v>
      </c>
      <c r="W387" s="8">
        <v>0.13700000000000001</v>
      </c>
      <c r="X387" s="8">
        <v>4.0000000000000001E-3</v>
      </c>
      <c r="Y387" t="s">
        <v>878</v>
      </c>
      <c r="Z387" t="s">
        <v>889</v>
      </c>
      <c r="AA387" s="6">
        <v>66633.499675955725</v>
      </c>
      <c r="AB387" s="7">
        <f>DealsRawTable[[#This Row],[Final_Price_ACV]]*DealsRawTable[[#This Row],[Contract_Years]]</f>
        <v>66633.499675955725</v>
      </c>
      <c r="AC387" s="6">
        <v>26450.977831204924</v>
      </c>
      <c r="AD387" s="6">
        <v>40182.521844750801</v>
      </c>
      <c r="AE387" s="8">
        <v>0.60303784192878596</v>
      </c>
      <c r="AF387" t="s">
        <v>880</v>
      </c>
      <c r="AG387" t="s">
        <v>44</v>
      </c>
      <c r="AI387" t="s">
        <v>38</v>
      </c>
      <c r="AJ387" s="6">
        <v>66633.499675955725</v>
      </c>
      <c r="AK387" s="6">
        <v>40182.521844750801</v>
      </c>
      <c r="AL387" t="s">
        <v>881</v>
      </c>
      <c r="AM387">
        <f t="shared" si="10"/>
        <v>66649.759999999995</v>
      </c>
      <c r="AN387">
        <f>DealsRawTable[[#This Row],[Validated_Annual_Final_Price]]*DealsRawTable[[#This Row],[Contract_Years]]</f>
        <v>66649.759999999995</v>
      </c>
      <c r="AO387">
        <f>DealsRawTable[[#This Row],[Validated_Annual_Final_Price]]-DealsRawTable[[#This Row],[Cost_to_Serve]]</f>
        <v>40198.782168795071</v>
      </c>
      <c r="AP387" s="17">
        <f>DealsRawTable[[#This Row],[Validated_Grossprofit]]/DealsRawTable[[#This Row],[Validated_Annual_Final_Price]]</f>
        <v>0.60313468748867327</v>
      </c>
      <c r="AQ387" s="17">
        <v>66649.759999999995</v>
      </c>
      <c r="AR387" s="17">
        <v>66649.759999999995</v>
      </c>
      <c r="AS387" s="17">
        <v>40198.782168795071</v>
      </c>
      <c r="AT387" s="17">
        <v>0.60313468748867327</v>
      </c>
      <c r="AU387" s="17" t="str">
        <f t="shared" si="11"/>
        <v>10–15%</v>
      </c>
      <c r="AV387" s="17">
        <v>113</v>
      </c>
      <c r="AW387" s="17"/>
    </row>
    <row r="388" spans="1:49">
      <c r="A388" t="s">
        <v>1293</v>
      </c>
      <c r="B388" s="5">
        <v>45616</v>
      </c>
      <c r="C388" t="s">
        <v>274</v>
      </c>
      <c r="D388" t="s">
        <v>275</v>
      </c>
      <c r="E388" t="s">
        <v>685</v>
      </c>
      <c r="F388" t="s">
        <v>475</v>
      </c>
      <c r="G388" t="s">
        <v>83</v>
      </c>
      <c r="H388" t="s">
        <v>48</v>
      </c>
      <c r="I388" t="s">
        <v>49</v>
      </c>
      <c r="J388" t="s">
        <v>37</v>
      </c>
      <c r="K388" t="s">
        <v>38</v>
      </c>
      <c r="L388" s="5">
        <v>44774</v>
      </c>
      <c r="M388">
        <v>60</v>
      </c>
      <c r="N388" t="s">
        <v>424</v>
      </c>
      <c r="O388" t="s">
        <v>891</v>
      </c>
      <c r="Q388">
        <v>1</v>
      </c>
      <c r="R388">
        <v>10</v>
      </c>
      <c r="S388" t="s">
        <v>892</v>
      </c>
      <c r="T388" s="6">
        <v>30023.356852976252</v>
      </c>
      <c r="U388" s="7">
        <f>T388*DealsRawTable[[#This Row],[Contract_Years]]</f>
        <v>30023.356852976252</v>
      </c>
      <c r="V388" s="8">
        <v>0.223</v>
      </c>
      <c r="W388" s="8">
        <v>0.221</v>
      </c>
      <c r="X388" s="8">
        <v>-6.2E-2</v>
      </c>
      <c r="Y388" t="s">
        <v>930</v>
      </c>
      <c r="Z388" t="s">
        <v>893</v>
      </c>
      <c r="AA388" s="6">
        <v>23379.820731937361</v>
      </c>
      <c r="AB388" s="7">
        <f>DealsRawTable[[#This Row],[Final_Price_ACV]]*DealsRawTable[[#This Row],[Contract_Years]]</f>
        <v>23379.820731937361</v>
      </c>
      <c r="AC388" s="6">
        <v>10055.102345442001</v>
      </c>
      <c r="AD388" s="6">
        <v>13324.71838649536</v>
      </c>
      <c r="AE388" s="8">
        <v>0.56992389031852131</v>
      </c>
      <c r="AF388" t="s">
        <v>880</v>
      </c>
      <c r="AI388" t="s">
        <v>38</v>
      </c>
      <c r="AJ388" s="6">
        <v>23379.820731937361</v>
      </c>
      <c r="AK388" s="6">
        <v>13324.71838649536</v>
      </c>
      <c r="AL388" t="s">
        <v>894</v>
      </c>
      <c r="AM388">
        <f t="shared" si="10"/>
        <v>23388.19</v>
      </c>
      <c r="AN388">
        <f>DealsRawTable[[#This Row],[Validated_Annual_Final_Price]]*DealsRawTable[[#This Row],[Contract_Years]]</f>
        <v>23388.19</v>
      </c>
      <c r="AO388">
        <f>DealsRawTable[[#This Row],[Validated_Annual_Final_Price]]-DealsRawTable[[#This Row],[Cost_to_Serve]]</f>
        <v>13333.087654557998</v>
      </c>
      <c r="AP388" s="17">
        <f>DealsRawTable[[#This Row],[Validated_Grossprofit]]/DealsRawTable[[#This Row],[Validated_Annual_Final_Price]]</f>
        <v>0.57007778945519083</v>
      </c>
      <c r="AQ388" s="17">
        <v>23388.19</v>
      </c>
      <c r="AR388" s="17">
        <v>23388.19</v>
      </c>
      <c r="AS388" s="17">
        <v>13333.087654557998</v>
      </c>
      <c r="AT388" s="17">
        <v>0.57007778945519083</v>
      </c>
      <c r="AU388" s="17" t="str">
        <f t="shared" si="11"/>
        <v>20–25%</v>
      </c>
      <c r="AV388" s="17">
        <v>29</v>
      </c>
      <c r="AW388" s="17"/>
    </row>
    <row r="389" spans="1:49">
      <c r="A389" t="s">
        <v>1294</v>
      </c>
      <c r="B389" s="5">
        <v>45981</v>
      </c>
      <c r="C389" t="s">
        <v>274</v>
      </c>
      <c r="D389" t="s">
        <v>275</v>
      </c>
      <c r="E389" t="s">
        <v>685</v>
      </c>
      <c r="F389" t="s">
        <v>475</v>
      </c>
      <c r="G389" t="s">
        <v>83</v>
      </c>
      <c r="H389" t="s">
        <v>48</v>
      </c>
      <c r="I389" t="s">
        <v>49</v>
      </c>
      <c r="J389" t="s">
        <v>37</v>
      </c>
      <c r="K389" t="s">
        <v>38</v>
      </c>
      <c r="L389" s="5">
        <v>44774</v>
      </c>
      <c r="M389">
        <v>60</v>
      </c>
      <c r="N389" t="s">
        <v>424</v>
      </c>
      <c r="O389" t="s">
        <v>876</v>
      </c>
      <c r="Q389">
        <v>1</v>
      </c>
      <c r="R389">
        <v>10</v>
      </c>
      <c r="S389" t="s">
        <v>877</v>
      </c>
      <c r="T389" s="6">
        <v>32244.280062466205</v>
      </c>
      <c r="U389" s="7">
        <f>T389*DealsRawTable[[#This Row],[Contract_Years]]</f>
        <v>32244.280062466205</v>
      </c>
      <c r="V389" s="8">
        <v>0.219</v>
      </c>
      <c r="W389" s="8">
        <v>0.188</v>
      </c>
      <c r="X389" s="8">
        <v>-0.115</v>
      </c>
      <c r="Y389" t="s">
        <v>878</v>
      </c>
      <c r="Z389" t="s">
        <v>889</v>
      </c>
      <c r="AA389" s="6">
        <v>26166.656809871612</v>
      </c>
      <c r="AB389" s="7">
        <f>DealsRawTable[[#This Row],[Final_Price_ACV]]*DealsRawTable[[#This Row],[Contract_Years]]</f>
        <v>26166.656809871612</v>
      </c>
      <c r="AC389" s="6">
        <v>9303.3970094502547</v>
      </c>
      <c r="AD389" s="6">
        <v>16863.259800421358</v>
      </c>
      <c r="AE389" s="8">
        <v>0.6444560313130846</v>
      </c>
      <c r="AF389" t="s">
        <v>880</v>
      </c>
      <c r="AG389" t="s">
        <v>44</v>
      </c>
      <c r="AI389" t="s">
        <v>38</v>
      </c>
      <c r="AJ389" s="6">
        <v>26166.656809871612</v>
      </c>
      <c r="AK389" s="6">
        <v>16863.259800421358</v>
      </c>
      <c r="AL389" t="s">
        <v>881</v>
      </c>
      <c r="AM389">
        <f t="shared" ref="AM389:AM452" si="12">ROUND(T389*(1-W389),2)</f>
        <v>26182.36</v>
      </c>
      <c r="AN389">
        <f>DealsRawTable[[#This Row],[Validated_Annual_Final_Price]]*DealsRawTable[[#This Row],[Contract_Years]]</f>
        <v>26182.36</v>
      </c>
      <c r="AO389">
        <f>DealsRawTable[[#This Row],[Validated_Annual_Final_Price]]-DealsRawTable[[#This Row],[Cost_to_Serve]]</f>
        <v>16878.962990549746</v>
      </c>
      <c r="AP389" s="17">
        <f>DealsRawTable[[#This Row],[Validated_Grossprofit]]/DealsRawTable[[#This Row],[Validated_Annual_Final_Price]]</f>
        <v>0.64466927314992784</v>
      </c>
      <c r="AQ389" s="17">
        <v>26182.36</v>
      </c>
      <c r="AR389" s="17">
        <v>26182.36</v>
      </c>
      <c r="AS389" s="17">
        <v>16878.962990549746</v>
      </c>
      <c r="AT389" s="17">
        <v>0.64466927314992784</v>
      </c>
      <c r="AU389" s="17" t="str">
        <f t="shared" ref="AU389:AU452" si="13">IF(W389&lt;=0.05,"0–5%", IF(W389&lt;=0.1,"5–10%", IF(W389&lt;=0.15,"10–15%", IF(W389&lt;=0.2,"15–20%", IF(W389&lt;=0.25,"20–25%", IF(W389&lt;=0.3,"25–30%","Above 30%"))))))</f>
        <v>15–20%</v>
      </c>
      <c r="AV389" s="17">
        <v>108</v>
      </c>
      <c r="AW389" s="17"/>
    </row>
    <row r="390" spans="1:49">
      <c r="A390" t="s">
        <v>1295</v>
      </c>
      <c r="B390" s="5">
        <v>45426</v>
      </c>
      <c r="C390" t="s">
        <v>276</v>
      </c>
      <c r="D390" t="s">
        <v>277</v>
      </c>
      <c r="E390" t="s">
        <v>686</v>
      </c>
      <c r="F390" t="s">
        <v>466</v>
      </c>
      <c r="G390" t="s">
        <v>60</v>
      </c>
      <c r="H390" t="s">
        <v>35</v>
      </c>
      <c r="I390" t="s">
        <v>42</v>
      </c>
      <c r="J390" t="s">
        <v>43</v>
      </c>
      <c r="K390" t="s">
        <v>44</v>
      </c>
      <c r="L390" s="5">
        <v>43160</v>
      </c>
      <c r="M390">
        <v>62</v>
      </c>
      <c r="N390" t="s">
        <v>431</v>
      </c>
      <c r="O390" t="s">
        <v>876</v>
      </c>
      <c r="Q390">
        <v>3</v>
      </c>
      <c r="R390">
        <v>821</v>
      </c>
      <c r="S390" t="s">
        <v>932</v>
      </c>
      <c r="T390" s="6">
        <v>295696.0830188198</v>
      </c>
      <c r="U390" s="7">
        <f>T390*DealsRawTable[[#This Row],[Contract_Years]]</f>
        <v>887088.2490564594</v>
      </c>
      <c r="V390" s="8">
        <v>0.11</v>
      </c>
      <c r="W390" s="8">
        <v>6.2E-2</v>
      </c>
      <c r="X390" s="8">
        <v>-1.7999999999999999E-2</v>
      </c>
      <c r="Y390" t="s">
        <v>878</v>
      </c>
      <c r="Z390" t="s">
        <v>879</v>
      </c>
      <c r="AA390" s="6">
        <v>277472.42689774238</v>
      </c>
      <c r="AB390" s="7">
        <f>DealsRawTable[[#This Row],[Final_Price_ACV]]*DealsRawTable[[#This Row],[Contract_Years]]</f>
        <v>832417.28069322719</v>
      </c>
      <c r="AC390" s="6">
        <v>115061.84068073331</v>
      </c>
      <c r="AD390" s="6">
        <v>162410.58621700905</v>
      </c>
      <c r="AE390" s="8">
        <v>0.58532153278373367</v>
      </c>
      <c r="AF390" t="s">
        <v>457</v>
      </c>
      <c r="AG390" t="s">
        <v>38</v>
      </c>
      <c r="AI390" t="s">
        <v>38</v>
      </c>
      <c r="AJ390" s="6">
        <v>0</v>
      </c>
      <c r="AK390" s="6">
        <v>0</v>
      </c>
      <c r="AL390" t="s">
        <v>881</v>
      </c>
      <c r="AM390">
        <f t="shared" si="12"/>
        <v>277362.93</v>
      </c>
      <c r="AN390">
        <f>DealsRawTable[[#This Row],[Validated_Annual_Final_Price]]*DealsRawTable[[#This Row],[Contract_Years]]</f>
        <v>832088.79</v>
      </c>
      <c r="AO390">
        <f>DealsRawTable[[#This Row],[Validated_Annual_Final_Price]]-DealsRawTable[[#This Row],[Cost_to_Serve]]</f>
        <v>162301.08931926667</v>
      </c>
      <c r="AP390" s="17">
        <f>DealsRawTable[[#This Row],[Validated_Grossprofit]]/DealsRawTable[[#This Row],[Validated_Annual_Final_Price]]</f>
        <v>0.58515782667592486</v>
      </c>
      <c r="AQ390" s="17">
        <v>0</v>
      </c>
      <c r="AR390" s="17">
        <v>0</v>
      </c>
      <c r="AS390" s="17">
        <v>0</v>
      </c>
      <c r="AT390" s="17">
        <v>0</v>
      </c>
      <c r="AU390" s="17" t="str">
        <f t="shared" si="13"/>
        <v>5–10%</v>
      </c>
      <c r="AV390" s="17">
        <v>116</v>
      </c>
      <c r="AW390" s="17"/>
    </row>
    <row r="391" spans="1:49">
      <c r="A391" t="s">
        <v>1296</v>
      </c>
      <c r="B391" s="5">
        <v>45589</v>
      </c>
      <c r="C391" t="s">
        <v>276</v>
      </c>
      <c r="D391" t="s">
        <v>277</v>
      </c>
      <c r="E391" t="s">
        <v>686</v>
      </c>
      <c r="F391" t="s">
        <v>466</v>
      </c>
      <c r="G391" t="s">
        <v>60</v>
      </c>
      <c r="H391" t="s">
        <v>35</v>
      </c>
      <c r="I391" t="s">
        <v>42</v>
      </c>
      <c r="J391" t="s">
        <v>43</v>
      </c>
      <c r="K391" t="s">
        <v>44</v>
      </c>
      <c r="L391" s="5">
        <v>43160</v>
      </c>
      <c r="M391">
        <v>62</v>
      </c>
      <c r="N391" t="s">
        <v>431</v>
      </c>
      <c r="O391" t="s">
        <v>915</v>
      </c>
      <c r="Q391">
        <v>3</v>
      </c>
      <c r="R391">
        <v>821</v>
      </c>
      <c r="S391" t="s">
        <v>888</v>
      </c>
      <c r="T391" s="6">
        <v>295696.0830188198</v>
      </c>
      <c r="U391" s="7">
        <f>T391*DealsRawTable[[#This Row],[Contract_Years]]</f>
        <v>887088.2490564594</v>
      </c>
      <c r="V391" s="8">
        <v>0.248</v>
      </c>
      <c r="W391" s="8">
        <v>0.187</v>
      </c>
      <c r="X391" s="8">
        <v>-9.2999999999999999E-2</v>
      </c>
      <c r="Y391" t="s">
        <v>878</v>
      </c>
      <c r="Z391" t="s">
        <v>889</v>
      </c>
      <c r="AA391" s="6">
        <v>240429.20870650423</v>
      </c>
      <c r="AB391" s="7">
        <f>DealsRawTable[[#This Row],[Final_Price_ACV]]*DealsRawTable[[#This Row],[Contract_Years]]</f>
        <v>721287.62611951272</v>
      </c>
      <c r="AC391" s="6">
        <v>110905.77396588652</v>
      </c>
      <c r="AD391" s="6">
        <v>129523.43474061771</v>
      </c>
      <c r="AE391" s="8">
        <v>0.5387175519873254</v>
      </c>
      <c r="AF391" t="s">
        <v>457</v>
      </c>
      <c r="AI391" t="s">
        <v>44</v>
      </c>
      <c r="AJ391" s="6">
        <v>0</v>
      </c>
      <c r="AK391" s="6">
        <v>0</v>
      </c>
      <c r="AL391" t="s">
        <v>916</v>
      </c>
      <c r="AM391">
        <f t="shared" si="12"/>
        <v>240400.92</v>
      </c>
      <c r="AN391">
        <f>DealsRawTable[[#This Row],[Validated_Annual_Final_Price]]*DealsRawTable[[#This Row],[Contract_Years]]</f>
        <v>721202.76</v>
      </c>
      <c r="AO391">
        <f>DealsRawTable[[#This Row],[Validated_Annual_Final_Price]]-DealsRawTable[[#This Row],[Cost_to_Serve]]</f>
        <v>129495.1460341135</v>
      </c>
      <c r="AP391" s="17">
        <f>DealsRawTable[[#This Row],[Validated_Grossprofit]]/DealsRawTable[[#This Row],[Validated_Annual_Final_Price]]</f>
        <v>0.53866327148046478</v>
      </c>
      <c r="AQ391" s="17">
        <v>0</v>
      </c>
      <c r="AR391" s="17">
        <v>0</v>
      </c>
      <c r="AS391" s="17">
        <v>0</v>
      </c>
      <c r="AT391" s="17">
        <v>0</v>
      </c>
      <c r="AU391" s="17" t="str">
        <f t="shared" si="13"/>
        <v>15–20%</v>
      </c>
      <c r="AV391" s="17">
        <v>108</v>
      </c>
      <c r="AW391" s="17"/>
    </row>
    <row r="392" spans="1:49">
      <c r="A392" t="s">
        <v>1297</v>
      </c>
      <c r="B392" s="5">
        <v>45450</v>
      </c>
      <c r="C392" t="s">
        <v>276</v>
      </c>
      <c r="D392" t="s">
        <v>277</v>
      </c>
      <c r="E392" t="s">
        <v>687</v>
      </c>
      <c r="F392" t="s">
        <v>34</v>
      </c>
      <c r="G392" t="s">
        <v>60</v>
      </c>
      <c r="H392" t="s">
        <v>35</v>
      </c>
      <c r="I392" t="s">
        <v>42</v>
      </c>
      <c r="J392" t="s">
        <v>43</v>
      </c>
      <c r="K392" t="s">
        <v>44</v>
      </c>
      <c r="L392" s="5">
        <v>43160</v>
      </c>
      <c r="M392">
        <v>62</v>
      </c>
      <c r="N392" t="s">
        <v>427</v>
      </c>
      <c r="O392" t="s">
        <v>883</v>
      </c>
      <c r="P392" t="s">
        <v>946</v>
      </c>
      <c r="Q392">
        <v>1</v>
      </c>
      <c r="R392">
        <v>1780</v>
      </c>
      <c r="S392" t="s">
        <v>892</v>
      </c>
      <c r="T392" s="6">
        <v>269103.7786352103</v>
      </c>
      <c r="U392" s="7">
        <f>T392*DealsRawTable[[#This Row],[Contract_Years]]</f>
        <v>269103.7786352103</v>
      </c>
      <c r="V392" s="8">
        <v>9.1999999999999998E-2</v>
      </c>
      <c r="W392" s="8">
        <v>6.7000000000000004E-2</v>
      </c>
      <c r="X392" s="8">
        <v>-3.1E-2</v>
      </c>
      <c r="Y392" t="s">
        <v>885</v>
      </c>
      <c r="Z392" t="s">
        <v>879</v>
      </c>
      <c r="AA392" s="6">
        <v>250986.11049734137</v>
      </c>
      <c r="AB392" s="7">
        <f>DealsRawTable[[#This Row],[Final_Price_ACV]]*DealsRawTable[[#This Row],[Contract_Years]]</f>
        <v>250986.11049734137</v>
      </c>
      <c r="AC392" s="6">
        <v>93110.534852301338</v>
      </c>
      <c r="AD392" s="6">
        <v>157875.57564504002</v>
      </c>
      <c r="AE392" s="8">
        <v>0.62902116508440153</v>
      </c>
      <c r="AF392" t="s">
        <v>880</v>
      </c>
      <c r="AH392" t="s">
        <v>44</v>
      </c>
      <c r="AI392" t="s">
        <v>38</v>
      </c>
      <c r="AJ392" s="6">
        <v>250986.11049734137</v>
      </c>
      <c r="AK392" s="6">
        <v>157875.57564504002</v>
      </c>
      <c r="AL392" t="s">
        <v>886</v>
      </c>
      <c r="AM392">
        <f t="shared" si="12"/>
        <v>251073.83</v>
      </c>
      <c r="AN392">
        <f>DealsRawTable[[#This Row],[Validated_Annual_Final_Price]]*DealsRawTable[[#This Row],[Contract_Years]]</f>
        <v>251073.83</v>
      </c>
      <c r="AO392">
        <f>DealsRawTable[[#This Row],[Validated_Annual_Final_Price]]-DealsRawTable[[#This Row],[Cost_to_Serve]]</f>
        <v>157963.29514769866</v>
      </c>
      <c r="AP392" s="17">
        <f>DealsRawTable[[#This Row],[Validated_Grossprofit]]/DealsRawTable[[#This Row],[Validated_Annual_Final_Price]]</f>
        <v>0.62915077667671959</v>
      </c>
      <c r="AQ392" s="17">
        <v>251073.83</v>
      </c>
      <c r="AR392" s="17">
        <v>251073.83</v>
      </c>
      <c r="AS392" s="17">
        <v>157963.29514769866</v>
      </c>
      <c r="AT392" s="17">
        <v>0.62915077667671959</v>
      </c>
      <c r="AU392" s="17" t="str">
        <f t="shared" si="13"/>
        <v>5–10%</v>
      </c>
      <c r="AV392" s="17">
        <v>116</v>
      </c>
      <c r="AW392" s="17"/>
    </row>
    <row r="393" spans="1:49">
      <c r="A393" t="s">
        <v>1298</v>
      </c>
      <c r="B393" s="5">
        <v>45600</v>
      </c>
      <c r="C393" t="s">
        <v>276</v>
      </c>
      <c r="D393" t="s">
        <v>277</v>
      </c>
      <c r="E393" t="s">
        <v>687</v>
      </c>
      <c r="F393" t="s">
        <v>34</v>
      </c>
      <c r="G393" t="s">
        <v>60</v>
      </c>
      <c r="H393" t="s">
        <v>35</v>
      </c>
      <c r="I393" t="s">
        <v>42</v>
      </c>
      <c r="J393" t="s">
        <v>43</v>
      </c>
      <c r="K393" t="s">
        <v>44</v>
      </c>
      <c r="L393" s="5">
        <v>43160</v>
      </c>
      <c r="M393">
        <v>62</v>
      </c>
      <c r="N393" t="s">
        <v>427</v>
      </c>
      <c r="O393" t="s">
        <v>876</v>
      </c>
      <c r="Q393">
        <v>1</v>
      </c>
      <c r="R393">
        <v>1780</v>
      </c>
      <c r="S393" t="s">
        <v>932</v>
      </c>
      <c r="T393" s="6">
        <v>279789.98479644634</v>
      </c>
      <c r="U393" s="7">
        <f>T393*DealsRawTable[[#This Row],[Contract_Years]]</f>
        <v>279789.98479644634</v>
      </c>
      <c r="V393" s="8">
        <v>8.4000000000000005E-2</v>
      </c>
      <c r="W393" s="8">
        <v>7.1999999999999995E-2</v>
      </c>
      <c r="X393" s="8">
        <v>5.3999999999999999E-2</v>
      </c>
      <c r="Y393" t="s">
        <v>878</v>
      </c>
      <c r="Z393" t="s">
        <v>879</v>
      </c>
      <c r="AA393" s="6">
        <v>259780.61245475066</v>
      </c>
      <c r="AB393" s="7">
        <f>DealsRawTable[[#This Row],[Final_Price_ACV]]*DealsRawTable[[#This Row],[Contract_Years]]</f>
        <v>259780.61245475066</v>
      </c>
      <c r="AC393" s="6">
        <v>89070.539409886638</v>
      </c>
      <c r="AD393" s="6">
        <v>170710.07304486402</v>
      </c>
      <c r="AE393" s="8">
        <v>0.65713169058987719</v>
      </c>
      <c r="AF393" t="s">
        <v>457</v>
      </c>
      <c r="AG393" t="s">
        <v>38</v>
      </c>
      <c r="AI393" t="s">
        <v>38</v>
      </c>
      <c r="AJ393" s="6">
        <v>0</v>
      </c>
      <c r="AK393" s="6">
        <v>0</v>
      </c>
      <c r="AL393" t="s">
        <v>881</v>
      </c>
      <c r="AM393">
        <f t="shared" si="12"/>
        <v>259645.11</v>
      </c>
      <c r="AN393">
        <f>DealsRawTable[[#This Row],[Validated_Annual_Final_Price]]*DealsRawTable[[#This Row],[Contract_Years]]</f>
        <v>259645.11</v>
      </c>
      <c r="AO393">
        <f>DealsRawTable[[#This Row],[Validated_Annual_Final_Price]]-DealsRawTable[[#This Row],[Cost_to_Serve]]</f>
        <v>170574.57059011335</v>
      </c>
      <c r="AP393" s="17">
        <f>DealsRawTable[[#This Row],[Validated_Grossprofit]]/DealsRawTable[[#This Row],[Validated_Annual_Final_Price]]</f>
        <v>0.65695275597569835</v>
      </c>
      <c r="AQ393" s="17">
        <v>0</v>
      </c>
      <c r="AR393" s="17">
        <v>0</v>
      </c>
      <c r="AS393" s="17">
        <v>0</v>
      </c>
      <c r="AT393" s="17">
        <v>0</v>
      </c>
      <c r="AU393" s="17" t="str">
        <f t="shared" si="13"/>
        <v>5–10%</v>
      </c>
      <c r="AV393" s="17">
        <v>116</v>
      </c>
      <c r="AW393" s="17"/>
    </row>
    <row r="394" spans="1:49">
      <c r="A394" t="s">
        <v>1299</v>
      </c>
      <c r="B394" s="5">
        <v>45723</v>
      </c>
      <c r="C394" t="s">
        <v>276</v>
      </c>
      <c r="D394" t="s">
        <v>277</v>
      </c>
      <c r="E394" t="s">
        <v>687</v>
      </c>
      <c r="F394" t="s">
        <v>34</v>
      </c>
      <c r="G394" t="s">
        <v>60</v>
      </c>
      <c r="H394" t="s">
        <v>35</v>
      </c>
      <c r="I394" t="s">
        <v>42</v>
      </c>
      <c r="J394" t="s">
        <v>43</v>
      </c>
      <c r="K394" t="s">
        <v>44</v>
      </c>
      <c r="L394" s="5">
        <v>43160</v>
      </c>
      <c r="M394">
        <v>62</v>
      </c>
      <c r="N394" t="s">
        <v>427</v>
      </c>
      <c r="O394" t="s">
        <v>915</v>
      </c>
      <c r="Q394">
        <v>1</v>
      </c>
      <c r="R394">
        <v>1780</v>
      </c>
      <c r="S394" t="s">
        <v>932</v>
      </c>
      <c r="T394" s="6">
        <v>279789.98479644634</v>
      </c>
      <c r="U394" s="7">
        <f>T394*DealsRawTable[[#This Row],[Contract_Years]]</f>
        <v>279789.98479644634</v>
      </c>
      <c r="V394" s="8">
        <v>0.26300000000000001</v>
      </c>
      <c r="W394" s="8">
        <v>0.254</v>
      </c>
      <c r="X394" s="8">
        <v>-4.7E-2</v>
      </c>
      <c r="Y394" t="s">
        <v>878</v>
      </c>
      <c r="Z394" t="s">
        <v>893</v>
      </c>
      <c r="AA394" s="6">
        <v>208718.2982985026</v>
      </c>
      <c r="AB394" s="7">
        <f>DealsRawTable[[#This Row],[Final_Price_ACV]]*DealsRawTable[[#This Row],[Contract_Years]]</f>
        <v>208718.2982985026</v>
      </c>
      <c r="AC394" s="6">
        <v>88147.958159858696</v>
      </c>
      <c r="AD394" s="6">
        <v>120570.34013864391</v>
      </c>
      <c r="AE394" s="8">
        <v>0.57767019528976726</v>
      </c>
      <c r="AF394" t="s">
        <v>880</v>
      </c>
      <c r="AI394" t="s">
        <v>44</v>
      </c>
      <c r="AJ394" s="6">
        <v>208718.2982985026</v>
      </c>
      <c r="AK394" s="6">
        <v>120570.34013864391</v>
      </c>
      <c r="AL394" t="s">
        <v>916</v>
      </c>
      <c r="AM394">
        <f t="shared" si="12"/>
        <v>208723.33</v>
      </c>
      <c r="AN394">
        <f>DealsRawTable[[#This Row],[Validated_Annual_Final_Price]]*DealsRawTable[[#This Row],[Contract_Years]]</f>
        <v>208723.33</v>
      </c>
      <c r="AO394">
        <f>DealsRawTable[[#This Row],[Validated_Annual_Final_Price]]-DealsRawTable[[#This Row],[Cost_to_Serve]]</f>
        <v>120575.37184014129</v>
      </c>
      <c r="AP394" s="17">
        <f>DealsRawTable[[#This Row],[Validated_Grossprofit]]/DealsRawTable[[#This Row],[Validated_Annual_Final_Price]]</f>
        <v>0.57768037641092296</v>
      </c>
      <c r="AQ394" s="17">
        <v>208723.33</v>
      </c>
      <c r="AR394" s="17">
        <v>208723.33</v>
      </c>
      <c r="AS394" s="17">
        <v>120575.37184014129</v>
      </c>
      <c r="AT394" s="17">
        <v>0.57768037641092296</v>
      </c>
      <c r="AU394" s="17" t="str">
        <f t="shared" si="13"/>
        <v>25–30%</v>
      </c>
      <c r="AV394" s="17">
        <v>3</v>
      </c>
      <c r="AW394" s="17"/>
    </row>
    <row r="395" spans="1:49">
      <c r="A395" t="s">
        <v>1300</v>
      </c>
      <c r="B395" s="5">
        <v>45418</v>
      </c>
      <c r="C395" t="s">
        <v>278</v>
      </c>
      <c r="D395" t="s">
        <v>279</v>
      </c>
      <c r="E395" t="s">
        <v>688</v>
      </c>
      <c r="F395" t="s">
        <v>475</v>
      </c>
      <c r="G395" t="s">
        <v>83</v>
      </c>
      <c r="H395" t="s">
        <v>48</v>
      </c>
      <c r="I395" t="s">
        <v>49</v>
      </c>
      <c r="J395" t="s">
        <v>56</v>
      </c>
      <c r="K395" t="s">
        <v>38</v>
      </c>
      <c r="L395" s="5">
        <v>45352</v>
      </c>
      <c r="M395">
        <v>70</v>
      </c>
      <c r="N395" t="s">
        <v>427</v>
      </c>
      <c r="O395" t="s">
        <v>891</v>
      </c>
      <c r="Q395">
        <v>1</v>
      </c>
      <c r="R395">
        <v>331</v>
      </c>
      <c r="S395" t="s">
        <v>932</v>
      </c>
      <c r="T395" s="6">
        <v>64246.361560743208</v>
      </c>
      <c r="U395" s="7">
        <f>T395*DealsRawTable[[#This Row],[Contract_Years]]</f>
        <v>64246.361560743208</v>
      </c>
      <c r="V395" s="8">
        <v>0.17899999999999999</v>
      </c>
      <c r="W395" s="8">
        <v>0.17799999999999999</v>
      </c>
      <c r="X395" s="8">
        <v>-0.115</v>
      </c>
      <c r="Y395" t="s">
        <v>911</v>
      </c>
      <c r="Z395" t="s">
        <v>889</v>
      </c>
      <c r="AA395" s="6">
        <v>52838.460342554397</v>
      </c>
      <c r="AB395" s="7">
        <f>DealsRawTable[[#This Row],[Final_Price_ACV]]*DealsRawTable[[#This Row],[Contract_Years]]</f>
        <v>52838.460342554397</v>
      </c>
      <c r="AC395" s="6">
        <v>20346.074392471808</v>
      </c>
      <c r="AD395" s="6">
        <v>32492.385950082589</v>
      </c>
      <c r="AE395" s="8">
        <v>0.6149381669986751</v>
      </c>
      <c r="AF395" t="s">
        <v>880</v>
      </c>
      <c r="AI395" t="s">
        <v>38</v>
      </c>
      <c r="AJ395" s="6">
        <v>52838.460342554397</v>
      </c>
      <c r="AK395" s="6">
        <v>32492.385950082589</v>
      </c>
      <c r="AL395" t="s">
        <v>894</v>
      </c>
      <c r="AM395">
        <f t="shared" si="12"/>
        <v>52810.51</v>
      </c>
      <c r="AN395">
        <f>DealsRawTable[[#This Row],[Validated_Annual_Final_Price]]*DealsRawTable[[#This Row],[Contract_Years]]</f>
        <v>52810.51</v>
      </c>
      <c r="AO395">
        <f>DealsRawTable[[#This Row],[Validated_Annual_Final_Price]]-DealsRawTable[[#This Row],[Cost_to_Serve]]</f>
        <v>32464.435607528194</v>
      </c>
      <c r="AP395" s="17">
        <f>DealsRawTable[[#This Row],[Validated_Grossprofit]]/DealsRawTable[[#This Row],[Validated_Annual_Final_Price]]</f>
        <v>0.61473437025183419</v>
      </c>
      <c r="AQ395" s="17">
        <v>52810.51</v>
      </c>
      <c r="AR395" s="17">
        <v>52810.51</v>
      </c>
      <c r="AS395" s="17">
        <v>32464.435607528194</v>
      </c>
      <c r="AT395" s="17">
        <v>0.61473437025183419</v>
      </c>
      <c r="AU395" s="17" t="str">
        <f t="shared" si="13"/>
        <v>15–20%</v>
      </c>
      <c r="AV395" s="17">
        <v>108</v>
      </c>
      <c r="AW395" s="17"/>
    </row>
    <row r="396" spans="1:49">
      <c r="A396" t="s">
        <v>1301</v>
      </c>
      <c r="B396" s="5">
        <v>45783</v>
      </c>
      <c r="C396" t="s">
        <v>278</v>
      </c>
      <c r="D396" t="s">
        <v>279</v>
      </c>
      <c r="E396" t="s">
        <v>688</v>
      </c>
      <c r="F396" t="s">
        <v>475</v>
      </c>
      <c r="G396" t="s">
        <v>83</v>
      </c>
      <c r="H396" t="s">
        <v>48</v>
      </c>
      <c r="I396" t="s">
        <v>49</v>
      </c>
      <c r="J396" t="s">
        <v>56</v>
      </c>
      <c r="K396" t="s">
        <v>38</v>
      </c>
      <c r="L396" s="5">
        <v>45352</v>
      </c>
      <c r="M396">
        <v>70</v>
      </c>
      <c r="N396" t="s">
        <v>427</v>
      </c>
      <c r="O396" t="s">
        <v>876</v>
      </c>
      <c r="Q396">
        <v>1</v>
      </c>
      <c r="R396">
        <v>331</v>
      </c>
      <c r="S396" t="s">
        <v>900</v>
      </c>
      <c r="T396" s="6">
        <v>66688.708603137682</v>
      </c>
      <c r="U396" s="7">
        <f>T396*DealsRawTable[[#This Row],[Contract_Years]]</f>
        <v>66688.708603137682</v>
      </c>
      <c r="V396" s="8">
        <v>0.16800000000000001</v>
      </c>
      <c r="W396" s="8">
        <v>0.13500000000000001</v>
      </c>
      <c r="X396" s="8">
        <v>4.0000000000000001E-3</v>
      </c>
      <c r="Y396" t="s">
        <v>911</v>
      </c>
      <c r="Z396" t="s">
        <v>889</v>
      </c>
      <c r="AA396" s="6">
        <v>57688.618446629167</v>
      </c>
      <c r="AB396" s="7">
        <f>DealsRawTable[[#This Row],[Final_Price_ACV]]*DealsRawTable[[#This Row],[Contract_Years]]</f>
        <v>57688.618446629167</v>
      </c>
      <c r="AC396" s="6">
        <v>20021.070728233641</v>
      </c>
      <c r="AD396" s="6">
        <v>37667.547718395523</v>
      </c>
      <c r="AE396" s="8">
        <v>0.65294591433566385</v>
      </c>
      <c r="AF396" t="s">
        <v>880</v>
      </c>
      <c r="AG396" t="s">
        <v>44</v>
      </c>
      <c r="AI396" t="s">
        <v>38</v>
      </c>
      <c r="AJ396" s="6">
        <v>57688.618446629167</v>
      </c>
      <c r="AK396" s="6">
        <v>37667.547718395523</v>
      </c>
      <c r="AL396" t="s">
        <v>881</v>
      </c>
      <c r="AM396">
        <f t="shared" si="12"/>
        <v>57685.73</v>
      </c>
      <c r="AN396">
        <f>DealsRawTable[[#This Row],[Validated_Annual_Final_Price]]*DealsRawTable[[#This Row],[Contract_Years]]</f>
        <v>57685.73</v>
      </c>
      <c r="AO396">
        <f>DealsRawTable[[#This Row],[Validated_Annual_Final_Price]]-DealsRawTable[[#This Row],[Cost_to_Serve]]</f>
        <v>37664.659271766359</v>
      </c>
      <c r="AP396" s="17">
        <f>DealsRawTable[[#This Row],[Validated_Grossprofit]]/DealsRawTable[[#This Row],[Validated_Annual_Final_Price]]</f>
        <v>0.65292853660283678</v>
      </c>
      <c r="AQ396" s="17">
        <v>57685.73</v>
      </c>
      <c r="AR396" s="17">
        <v>57685.73</v>
      </c>
      <c r="AS396" s="17">
        <v>37664.659271766359</v>
      </c>
      <c r="AT396" s="17">
        <v>0.65292853660283678</v>
      </c>
      <c r="AU396" s="17" t="str">
        <f t="shared" si="13"/>
        <v>10–15%</v>
      </c>
      <c r="AV396" s="17">
        <v>113</v>
      </c>
      <c r="AW396" s="17"/>
    </row>
    <row r="397" spans="1:49">
      <c r="A397" t="s">
        <v>1302</v>
      </c>
      <c r="B397" s="5">
        <v>45440</v>
      </c>
      <c r="C397" t="s">
        <v>278</v>
      </c>
      <c r="D397" t="s">
        <v>279</v>
      </c>
      <c r="E397" t="s">
        <v>689</v>
      </c>
      <c r="F397" t="s">
        <v>445</v>
      </c>
      <c r="G397" t="s">
        <v>83</v>
      </c>
      <c r="H397" t="s">
        <v>48</v>
      </c>
      <c r="I397" t="s">
        <v>49</v>
      </c>
      <c r="J397" t="s">
        <v>56</v>
      </c>
      <c r="K397" t="s">
        <v>38</v>
      </c>
      <c r="L397" s="5">
        <v>45352</v>
      </c>
      <c r="M397">
        <v>70</v>
      </c>
      <c r="N397" t="s">
        <v>424</v>
      </c>
      <c r="O397" t="s">
        <v>891</v>
      </c>
      <c r="Q397">
        <v>1</v>
      </c>
      <c r="R397">
        <v>82</v>
      </c>
      <c r="S397" t="s">
        <v>947</v>
      </c>
      <c r="T397" s="6">
        <v>43599.877048612543</v>
      </c>
      <c r="U397" s="7">
        <f>T397*DealsRawTable[[#This Row],[Contract_Years]]</f>
        <v>43599.877048612543</v>
      </c>
      <c r="V397" s="8">
        <v>2.3E-2</v>
      </c>
      <c r="W397" s="8">
        <v>0.02</v>
      </c>
      <c r="X397" s="8">
        <v>-0.08</v>
      </c>
      <c r="Y397" t="s">
        <v>909</v>
      </c>
      <c r="Z397" t="s">
        <v>879</v>
      </c>
      <c r="AA397" s="6">
        <v>42731.581721114781</v>
      </c>
      <c r="AB397" s="7">
        <f>DealsRawTable[[#This Row],[Final_Price_ACV]]*DealsRawTable[[#This Row],[Contract_Years]]</f>
        <v>42731.581721114781</v>
      </c>
      <c r="AC397" s="6">
        <v>12988.82647829951</v>
      </c>
      <c r="AD397" s="6">
        <v>29742.75524281527</v>
      </c>
      <c r="AE397" s="8">
        <v>0.69603684312295433</v>
      </c>
      <c r="AF397" t="s">
        <v>457</v>
      </c>
      <c r="AI397" t="s">
        <v>38</v>
      </c>
      <c r="AJ397" s="6">
        <v>0</v>
      </c>
      <c r="AK397" s="6">
        <v>0</v>
      </c>
      <c r="AL397" t="s">
        <v>894</v>
      </c>
      <c r="AM397">
        <f t="shared" si="12"/>
        <v>42727.88</v>
      </c>
      <c r="AN397">
        <f>DealsRawTable[[#This Row],[Validated_Annual_Final_Price]]*DealsRawTable[[#This Row],[Contract_Years]]</f>
        <v>42727.88</v>
      </c>
      <c r="AO397">
        <f>DealsRawTable[[#This Row],[Validated_Annual_Final_Price]]-DealsRawTable[[#This Row],[Cost_to_Serve]]</f>
        <v>29739.053521700487</v>
      </c>
      <c r="AP397" s="17">
        <f>DealsRawTable[[#This Row],[Validated_Grossprofit]]/DealsRawTable[[#This Row],[Validated_Annual_Final_Price]]</f>
        <v>0.6960105093372404</v>
      </c>
      <c r="AQ397" s="17">
        <v>0</v>
      </c>
      <c r="AR397" s="17">
        <v>0</v>
      </c>
      <c r="AS397" s="17">
        <v>0</v>
      </c>
      <c r="AT397" s="17">
        <v>0</v>
      </c>
      <c r="AU397" s="17" t="str">
        <f t="shared" si="13"/>
        <v>0–5%</v>
      </c>
      <c r="AV397" s="17">
        <v>55</v>
      </c>
      <c r="AW397" s="17"/>
    </row>
    <row r="398" spans="1:49">
      <c r="A398" t="s">
        <v>1303</v>
      </c>
      <c r="B398" s="5">
        <v>45671</v>
      </c>
      <c r="C398" t="s">
        <v>278</v>
      </c>
      <c r="D398" t="s">
        <v>279</v>
      </c>
      <c r="E398" t="s">
        <v>689</v>
      </c>
      <c r="F398" t="s">
        <v>445</v>
      </c>
      <c r="G398" t="s">
        <v>83</v>
      </c>
      <c r="H398" t="s">
        <v>48</v>
      </c>
      <c r="I398" t="s">
        <v>49</v>
      </c>
      <c r="J398" t="s">
        <v>56</v>
      </c>
      <c r="K398" t="s">
        <v>38</v>
      </c>
      <c r="L398" s="5">
        <v>45352</v>
      </c>
      <c r="M398">
        <v>70</v>
      </c>
      <c r="N398" t="s">
        <v>424</v>
      </c>
      <c r="O398" t="s">
        <v>915</v>
      </c>
      <c r="Q398">
        <v>1</v>
      </c>
      <c r="R398">
        <v>82</v>
      </c>
      <c r="S398" t="s">
        <v>888</v>
      </c>
      <c r="T398" s="6">
        <v>43599.877048612543</v>
      </c>
      <c r="U398" s="7">
        <f>T398*DealsRawTable[[#This Row],[Contract_Years]]</f>
        <v>43599.877048612543</v>
      </c>
      <c r="V398" s="8">
        <v>0.255</v>
      </c>
      <c r="W398" s="8">
        <v>0.25</v>
      </c>
      <c r="X398" s="8">
        <v>-4.0000000000000001E-3</v>
      </c>
      <c r="Y398" t="s">
        <v>878</v>
      </c>
      <c r="Z398" t="s">
        <v>893</v>
      </c>
      <c r="AA398" s="6">
        <v>32694.895915911664</v>
      </c>
      <c r="AB398" s="7">
        <f>DealsRawTable[[#This Row],[Final_Price_ACV]]*DealsRawTable[[#This Row],[Contract_Years]]</f>
        <v>32694.895915911664</v>
      </c>
      <c r="AC398" s="6">
        <v>13102.07750696935</v>
      </c>
      <c r="AD398" s="6">
        <v>19592.818408942316</v>
      </c>
      <c r="AE398" s="8">
        <v>0.59926229645548601</v>
      </c>
      <c r="AF398" t="s">
        <v>880</v>
      </c>
      <c r="AI398" t="s">
        <v>44</v>
      </c>
      <c r="AJ398" s="6">
        <v>32694.895915911664</v>
      </c>
      <c r="AK398" s="6">
        <v>19592.818408942316</v>
      </c>
      <c r="AL398" t="s">
        <v>934</v>
      </c>
      <c r="AM398">
        <f t="shared" si="12"/>
        <v>32699.91</v>
      </c>
      <c r="AN398">
        <f>DealsRawTable[[#This Row],[Validated_Annual_Final_Price]]*DealsRawTable[[#This Row],[Contract_Years]]</f>
        <v>32699.91</v>
      </c>
      <c r="AO398">
        <f>DealsRawTable[[#This Row],[Validated_Annual_Final_Price]]-DealsRawTable[[#This Row],[Cost_to_Serve]]</f>
        <v>19597.832493030648</v>
      </c>
      <c r="AP398" s="17">
        <f>DealsRawTable[[#This Row],[Validated_Grossprofit]]/DealsRawTable[[#This Row],[Validated_Annual_Final_Price]]</f>
        <v>0.59932374410298528</v>
      </c>
      <c r="AQ398" s="17">
        <v>32699.91</v>
      </c>
      <c r="AR398" s="17">
        <v>32699.91</v>
      </c>
      <c r="AS398" s="17">
        <v>19597.832493030648</v>
      </c>
      <c r="AT398" s="17">
        <v>0.59932374410298528</v>
      </c>
      <c r="AU398" s="17" t="str">
        <f t="shared" si="13"/>
        <v>20–25%</v>
      </c>
      <c r="AV398" s="17">
        <v>29</v>
      </c>
      <c r="AW398" s="17"/>
    </row>
    <row r="399" spans="1:49">
      <c r="A399" t="s">
        <v>1304</v>
      </c>
      <c r="B399" s="5">
        <v>45588</v>
      </c>
      <c r="C399" t="s">
        <v>278</v>
      </c>
      <c r="D399" t="s">
        <v>279</v>
      </c>
      <c r="E399" t="s">
        <v>690</v>
      </c>
      <c r="F399" t="s">
        <v>445</v>
      </c>
      <c r="G399" t="s">
        <v>83</v>
      </c>
      <c r="H399" t="s">
        <v>48</v>
      </c>
      <c r="I399" t="s">
        <v>49</v>
      </c>
      <c r="J399" t="s">
        <v>56</v>
      </c>
      <c r="K399" t="s">
        <v>38</v>
      </c>
      <c r="L399" s="5">
        <v>45352</v>
      </c>
      <c r="M399">
        <v>70</v>
      </c>
      <c r="N399" t="s">
        <v>431</v>
      </c>
      <c r="O399" t="s">
        <v>891</v>
      </c>
      <c r="Q399">
        <v>1</v>
      </c>
      <c r="R399">
        <v>266</v>
      </c>
      <c r="S399" t="s">
        <v>877</v>
      </c>
      <c r="T399" s="6">
        <v>67728.103770597198</v>
      </c>
      <c r="U399" s="7">
        <f>T399*DealsRawTable[[#This Row],[Contract_Years]]</f>
        <v>67728.103770597198</v>
      </c>
      <c r="V399" s="8">
        <v>0.13900000000000001</v>
      </c>
      <c r="W399" s="8">
        <v>0.10199999999999999</v>
      </c>
      <c r="X399" s="8">
        <v>5.6000000000000001E-2</v>
      </c>
      <c r="Y399" t="s">
        <v>930</v>
      </c>
      <c r="Z399" t="s">
        <v>889</v>
      </c>
      <c r="AA399" s="6">
        <v>60796.523313887701</v>
      </c>
      <c r="AB399" s="7">
        <f>DealsRawTable[[#This Row],[Final_Price_ACV]]*DealsRawTable[[#This Row],[Contract_Years]]</f>
        <v>60796.523313887701</v>
      </c>
      <c r="AC399" s="6">
        <v>29249.271803336953</v>
      </c>
      <c r="AD399" s="6">
        <v>31547.251510550748</v>
      </c>
      <c r="AE399" s="8">
        <v>0.5188989401198939</v>
      </c>
      <c r="AF399" t="s">
        <v>880</v>
      </c>
      <c r="AI399" t="s">
        <v>38</v>
      </c>
      <c r="AJ399" s="6">
        <v>60796.523313887701</v>
      </c>
      <c r="AK399" s="6">
        <v>31547.251510550748</v>
      </c>
      <c r="AL399" t="s">
        <v>894</v>
      </c>
      <c r="AM399">
        <f t="shared" si="12"/>
        <v>60819.839999999997</v>
      </c>
      <c r="AN399">
        <f>DealsRawTable[[#This Row],[Validated_Annual_Final_Price]]*DealsRawTable[[#This Row],[Contract_Years]]</f>
        <v>60819.839999999997</v>
      </c>
      <c r="AO399">
        <f>DealsRawTable[[#This Row],[Validated_Annual_Final_Price]]-DealsRawTable[[#This Row],[Cost_to_Serve]]</f>
        <v>31570.568196663044</v>
      </c>
      <c r="AP399" s="17">
        <f>DealsRawTable[[#This Row],[Validated_Grossprofit]]/DealsRawTable[[#This Row],[Validated_Annual_Final_Price]]</f>
        <v>0.51908338128911624</v>
      </c>
      <c r="AQ399" s="17">
        <v>60819.839999999997</v>
      </c>
      <c r="AR399" s="17">
        <v>60819.839999999997</v>
      </c>
      <c r="AS399" s="17">
        <v>31570.568196663044</v>
      </c>
      <c r="AT399" s="17">
        <v>0.51908338128911624</v>
      </c>
      <c r="AU399" s="17" t="str">
        <f t="shared" si="13"/>
        <v>10–15%</v>
      </c>
      <c r="AV399" s="17">
        <v>113</v>
      </c>
      <c r="AW399" s="17"/>
    </row>
    <row r="400" spans="1:49">
      <c r="A400" t="s">
        <v>1305</v>
      </c>
      <c r="B400" s="5">
        <v>45953</v>
      </c>
      <c r="C400" t="s">
        <v>278</v>
      </c>
      <c r="D400" t="s">
        <v>279</v>
      </c>
      <c r="E400" t="s">
        <v>690</v>
      </c>
      <c r="F400" t="s">
        <v>445</v>
      </c>
      <c r="G400" t="s">
        <v>83</v>
      </c>
      <c r="H400" t="s">
        <v>48</v>
      </c>
      <c r="I400" t="s">
        <v>49</v>
      </c>
      <c r="J400" t="s">
        <v>56</v>
      </c>
      <c r="K400" t="s">
        <v>38</v>
      </c>
      <c r="L400" s="5">
        <v>45352</v>
      </c>
      <c r="M400">
        <v>70</v>
      </c>
      <c r="N400" t="s">
        <v>431</v>
      </c>
      <c r="O400" t="s">
        <v>876</v>
      </c>
      <c r="Q400">
        <v>1</v>
      </c>
      <c r="R400">
        <v>266</v>
      </c>
      <c r="S400" t="s">
        <v>877</v>
      </c>
      <c r="T400" s="6">
        <v>71910.325531872513</v>
      </c>
      <c r="U400" s="7">
        <f>T400*DealsRawTable[[#This Row],[Contract_Years]]</f>
        <v>71910.325531872513</v>
      </c>
      <c r="V400" s="8">
        <v>0.115</v>
      </c>
      <c r="W400" s="8">
        <v>0.115</v>
      </c>
      <c r="X400" s="8">
        <v>-6.8000000000000005E-2</v>
      </c>
      <c r="Y400" t="s">
        <v>905</v>
      </c>
      <c r="Z400" t="s">
        <v>889</v>
      </c>
      <c r="AA400" s="6">
        <v>63643.009449214303</v>
      </c>
      <c r="AB400" s="7">
        <f>DealsRawTable[[#This Row],[Final_Price_ACV]]*DealsRawTable[[#This Row],[Contract_Years]]</f>
        <v>63643.009449214303</v>
      </c>
      <c r="AC400" s="6">
        <v>23738.256173613874</v>
      </c>
      <c r="AD400" s="6">
        <v>39904.753275600429</v>
      </c>
      <c r="AE400" s="8">
        <v>0.62700921312408286</v>
      </c>
      <c r="AF400" t="s">
        <v>880</v>
      </c>
      <c r="AG400" t="s">
        <v>44</v>
      </c>
      <c r="AI400" t="s">
        <v>38</v>
      </c>
      <c r="AJ400" s="6">
        <v>63643.009449214303</v>
      </c>
      <c r="AK400" s="6">
        <v>39904.753275600429</v>
      </c>
      <c r="AL400" t="s">
        <v>881</v>
      </c>
      <c r="AM400">
        <f t="shared" si="12"/>
        <v>63640.639999999999</v>
      </c>
      <c r="AN400">
        <f>DealsRawTable[[#This Row],[Validated_Annual_Final_Price]]*DealsRawTable[[#This Row],[Contract_Years]]</f>
        <v>63640.639999999999</v>
      </c>
      <c r="AO400">
        <f>DealsRawTable[[#This Row],[Validated_Annual_Final_Price]]-DealsRawTable[[#This Row],[Cost_to_Serve]]</f>
        <v>39902.383826386125</v>
      </c>
      <c r="AP400" s="17">
        <f>DealsRawTable[[#This Row],[Validated_Grossprofit]]/DealsRawTable[[#This Row],[Validated_Annual_Final_Price]]</f>
        <v>0.62699532604301478</v>
      </c>
      <c r="AQ400" s="17">
        <v>63640.639999999999</v>
      </c>
      <c r="AR400" s="17">
        <v>63640.639999999999</v>
      </c>
      <c r="AS400" s="17">
        <v>39902.383826386125</v>
      </c>
      <c r="AT400" s="17">
        <v>0.62699532604301478</v>
      </c>
      <c r="AU400" s="17" t="str">
        <f t="shared" si="13"/>
        <v>10–15%</v>
      </c>
      <c r="AV400" s="17">
        <v>113</v>
      </c>
      <c r="AW400" s="17"/>
    </row>
    <row r="401" spans="1:49">
      <c r="A401" t="s">
        <v>1306</v>
      </c>
      <c r="B401" s="5">
        <v>45795</v>
      </c>
      <c r="C401" t="s">
        <v>280</v>
      </c>
      <c r="D401" t="s">
        <v>281</v>
      </c>
      <c r="E401" t="s">
        <v>691</v>
      </c>
      <c r="F401" t="s">
        <v>47</v>
      </c>
      <c r="G401" t="s">
        <v>69</v>
      </c>
      <c r="H401" t="s">
        <v>54</v>
      </c>
      <c r="I401" t="s">
        <v>94</v>
      </c>
      <c r="J401" t="s">
        <v>43</v>
      </c>
      <c r="K401" t="s">
        <v>44</v>
      </c>
      <c r="L401" s="5">
        <v>43132</v>
      </c>
      <c r="M401">
        <v>56</v>
      </c>
      <c r="N401" t="s">
        <v>431</v>
      </c>
      <c r="O401" t="s">
        <v>876</v>
      </c>
      <c r="Q401">
        <v>2</v>
      </c>
      <c r="R401">
        <v>1803</v>
      </c>
      <c r="S401" t="s">
        <v>892</v>
      </c>
      <c r="T401" s="6">
        <v>184742.09742789759</v>
      </c>
      <c r="U401" s="7">
        <f>T401*DealsRawTable[[#This Row],[Contract_Years]]</f>
        <v>369484.19485579518</v>
      </c>
      <c r="V401" s="8">
        <v>0.20100000000000001</v>
      </c>
      <c r="W401" s="8">
        <v>0.16800000000000001</v>
      </c>
      <c r="X401" s="8">
        <v>-6.0000000000000001E-3</v>
      </c>
      <c r="Y401" t="s">
        <v>878</v>
      </c>
      <c r="Z401" t="s">
        <v>889</v>
      </c>
      <c r="AA401" s="6">
        <v>153740.0174539609</v>
      </c>
      <c r="AB401" s="7">
        <f>DealsRawTable[[#This Row],[Final_Price_ACV]]*DealsRawTable[[#This Row],[Contract_Years]]</f>
        <v>307480.0349079218</v>
      </c>
      <c r="AC401" s="6">
        <v>74742.122571648622</v>
      </c>
      <c r="AD401" s="6">
        <v>78997.894882312277</v>
      </c>
      <c r="AE401" s="8">
        <v>0.51384080859733894</v>
      </c>
      <c r="AF401" t="s">
        <v>880</v>
      </c>
      <c r="AG401" t="s">
        <v>44</v>
      </c>
      <c r="AI401" t="s">
        <v>38</v>
      </c>
      <c r="AJ401" s="6">
        <v>153740.0174539609</v>
      </c>
      <c r="AK401" s="6">
        <v>78997.894882312277</v>
      </c>
      <c r="AL401" t="s">
        <v>881</v>
      </c>
      <c r="AM401">
        <f t="shared" si="12"/>
        <v>153705.43</v>
      </c>
      <c r="AN401">
        <f>DealsRawTable[[#This Row],[Validated_Annual_Final_Price]]*DealsRawTable[[#This Row],[Contract_Years]]</f>
        <v>307410.86</v>
      </c>
      <c r="AO401">
        <f>DealsRawTable[[#This Row],[Validated_Annual_Final_Price]]-DealsRawTable[[#This Row],[Cost_to_Serve]]</f>
        <v>78963.307428351371</v>
      </c>
      <c r="AP401" s="17">
        <f>DealsRawTable[[#This Row],[Validated_Grossprofit]]/DealsRawTable[[#This Row],[Validated_Annual_Final_Price]]</f>
        <v>0.51373141097455943</v>
      </c>
      <c r="AQ401" s="17">
        <v>153705.43</v>
      </c>
      <c r="AR401" s="17">
        <v>307410.86</v>
      </c>
      <c r="AS401" s="17">
        <v>78963.307428351371</v>
      </c>
      <c r="AT401" s="17">
        <v>0.51373141097455943</v>
      </c>
      <c r="AU401" s="17" t="str">
        <f t="shared" si="13"/>
        <v>15–20%</v>
      </c>
      <c r="AV401" s="17">
        <v>108</v>
      </c>
      <c r="AW401" s="17"/>
    </row>
    <row r="402" spans="1:49">
      <c r="A402" t="s">
        <v>1307</v>
      </c>
      <c r="B402" s="5">
        <v>45809</v>
      </c>
      <c r="C402" t="s">
        <v>282</v>
      </c>
      <c r="D402" t="s">
        <v>283</v>
      </c>
      <c r="E402" t="s">
        <v>692</v>
      </c>
      <c r="F402" t="s">
        <v>475</v>
      </c>
      <c r="G402" t="s">
        <v>60</v>
      </c>
      <c r="H402" t="s">
        <v>48</v>
      </c>
      <c r="I402" t="s">
        <v>49</v>
      </c>
      <c r="J402" t="s">
        <v>56</v>
      </c>
      <c r="K402" t="s">
        <v>38</v>
      </c>
      <c r="L402" s="5">
        <v>45597</v>
      </c>
      <c r="M402">
        <v>50</v>
      </c>
      <c r="N402" t="s">
        <v>431</v>
      </c>
      <c r="O402" t="s">
        <v>891</v>
      </c>
      <c r="Q402">
        <v>2</v>
      </c>
      <c r="R402">
        <v>313</v>
      </c>
      <c r="S402" t="s">
        <v>896</v>
      </c>
      <c r="T402" s="6">
        <v>98567.547459638401</v>
      </c>
      <c r="U402" s="7">
        <f>T402*DealsRawTable[[#This Row],[Contract_Years]]</f>
        <v>197135.0949192768</v>
      </c>
      <c r="V402" s="8">
        <v>0.2</v>
      </c>
      <c r="W402" s="8">
        <v>0.14099999999999999</v>
      </c>
      <c r="X402" s="8">
        <v>-4.4999999999999998E-2</v>
      </c>
      <c r="Y402" t="s">
        <v>905</v>
      </c>
      <c r="Z402" t="s">
        <v>889</v>
      </c>
      <c r="AA402" s="6">
        <v>84713.765878251143</v>
      </c>
      <c r="AB402" s="7">
        <f>DealsRawTable[[#This Row],[Final_Price_ACV]]*DealsRawTable[[#This Row],[Contract_Years]]</f>
        <v>169427.53175650229</v>
      </c>
      <c r="AC402" s="6">
        <v>41504.832015612148</v>
      </c>
      <c r="AD402" s="6">
        <v>43208.933862638994</v>
      </c>
      <c r="AE402" s="8">
        <v>0.51005799842186184</v>
      </c>
      <c r="AF402" t="s">
        <v>880</v>
      </c>
      <c r="AI402" t="s">
        <v>38</v>
      </c>
      <c r="AJ402" s="6">
        <v>84713.765878251143</v>
      </c>
      <c r="AK402" s="6">
        <v>43208.933862638994</v>
      </c>
      <c r="AL402" t="s">
        <v>894</v>
      </c>
      <c r="AM402">
        <f t="shared" si="12"/>
        <v>84669.52</v>
      </c>
      <c r="AN402">
        <f>DealsRawTable[[#This Row],[Validated_Annual_Final_Price]]*DealsRawTable[[#This Row],[Contract_Years]]</f>
        <v>169339.04</v>
      </c>
      <c r="AO402">
        <f>DealsRawTable[[#This Row],[Validated_Annual_Final_Price]]-DealsRawTable[[#This Row],[Cost_to_Serve]]</f>
        <v>43164.687984387856</v>
      </c>
      <c r="AP402" s="17">
        <f>DealsRawTable[[#This Row],[Validated_Grossprofit]]/DealsRawTable[[#This Row],[Validated_Annual_Final_Price]]</f>
        <v>0.50980196869413996</v>
      </c>
      <c r="AQ402" s="17">
        <v>84669.52</v>
      </c>
      <c r="AR402" s="17">
        <v>169339.04</v>
      </c>
      <c r="AS402" s="17">
        <v>43164.687984387856</v>
      </c>
      <c r="AT402" s="17">
        <v>0.50980196869413996</v>
      </c>
      <c r="AU402" s="17" t="str">
        <f t="shared" si="13"/>
        <v>10–15%</v>
      </c>
      <c r="AV402" s="17">
        <v>113</v>
      </c>
      <c r="AW402" s="17"/>
    </row>
    <row r="403" spans="1:49">
      <c r="A403" t="s">
        <v>1308</v>
      </c>
      <c r="B403" s="5">
        <v>45521</v>
      </c>
      <c r="C403" t="s">
        <v>282</v>
      </c>
      <c r="D403" t="s">
        <v>283</v>
      </c>
      <c r="E403" t="s">
        <v>693</v>
      </c>
      <c r="F403" t="s">
        <v>47</v>
      </c>
      <c r="G403" t="s">
        <v>60</v>
      </c>
      <c r="H403" t="s">
        <v>48</v>
      </c>
      <c r="I403" t="s">
        <v>49</v>
      </c>
      <c r="J403" t="s">
        <v>56</v>
      </c>
      <c r="K403" t="s">
        <v>38</v>
      </c>
      <c r="L403" s="5">
        <v>45597</v>
      </c>
      <c r="M403">
        <v>50</v>
      </c>
      <c r="N403" t="s">
        <v>427</v>
      </c>
      <c r="O403" t="s">
        <v>891</v>
      </c>
      <c r="Q403">
        <v>2</v>
      </c>
      <c r="R403">
        <v>183</v>
      </c>
      <c r="S403" t="s">
        <v>900</v>
      </c>
      <c r="T403" s="6">
        <v>73433.301661622652</v>
      </c>
      <c r="U403" s="7">
        <f>T403*DealsRawTable[[#This Row],[Contract_Years]]</f>
        <v>146866.6033232453</v>
      </c>
      <c r="V403" s="8">
        <v>0.14799999999999999</v>
      </c>
      <c r="W403" s="8">
        <v>0.13900000000000001</v>
      </c>
      <c r="X403" s="8">
        <v>-9.0999999999999998E-2</v>
      </c>
      <c r="Y403" t="s">
        <v>930</v>
      </c>
      <c r="Z403" t="s">
        <v>889</v>
      </c>
      <c r="AA403" s="6">
        <v>63252.990610500165</v>
      </c>
      <c r="AB403" s="7">
        <f>DealsRawTable[[#This Row],[Final_Price_ACV]]*DealsRawTable[[#This Row],[Contract_Years]]</f>
        <v>126505.98122100033</v>
      </c>
      <c r="AC403" s="6">
        <v>23582.435246890502</v>
      </c>
      <c r="AD403" s="6">
        <v>39670.555363609659</v>
      </c>
      <c r="AE403" s="8">
        <v>0.62717280211924464</v>
      </c>
      <c r="AF403" t="s">
        <v>880</v>
      </c>
      <c r="AI403" t="s">
        <v>38</v>
      </c>
      <c r="AJ403" s="6">
        <v>63252.990610500165</v>
      </c>
      <c r="AK403" s="6">
        <v>39670.555363609659</v>
      </c>
      <c r="AL403" t="s">
        <v>894</v>
      </c>
      <c r="AM403">
        <f t="shared" si="12"/>
        <v>63226.07</v>
      </c>
      <c r="AN403">
        <f>DealsRawTable[[#This Row],[Validated_Annual_Final_Price]]*DealsRawTable[[#This Row],[Contract_Years]]</f>
        <v>126452.14</v>
      </c>
      <c r="AO403">
        <f>DealsRawTable[[#This Row],[Validated_Annual_Final_Price]]-DealsRawTable[[#This Row],[Cost_to_Serve]]</f>
        <v>39643.634753109494</v>
      </c>
      <c r="AP403" s="17">
        <f>DealsRawTable[[#This Row],[Validated_Grossprofit]]/DealsRawTable[[#This Row],[Validated_Annual_Final_Price]]</f>
        <v>0.62701405849057978</v>
      </c>
      <c r="AQ403" s="17">
        <v>63226.07</v>
      </c>
      <c r="AR403" s="17">
        <v>126452.14</v>
      </c>
      <c r="AS403" s="17">
        <v>39643.634753109494</v>
      </c>
      <c r="AT403" s="17">
        <v>0.62701405849057978</v>
      </c>
      <c r="AU403" s="17" t="str">
        <f t="shared" si="13"/>
        <v>10–15%</v>
      </c>
      <c r="AV403" s="17">
        <v>113</v>
      </c>
      <c r="AW403" s="17"/>
    </row>
    <row r="404" spans="1:49">
      <c r="A404" t="s">
        <v>1309</v>
      </c>
      <c r="B404" s="5">
        <v>45762</v>
      </c>
      <c r="C404" t="s">
        <v>282</v>
      </c>
      <c r="D404" t="s">
        <v>283</v>
      </c>
      <c r="E404" t="s">
        <v>694</v>
      </c>
      <c r="F404" t="s">
        <v>475</v>
      </c>
      <c r="G404" t="s">
        <v>60</v>
      </c>
      <c r="H404" t="s">
        <v>48</v>
      </c>
      <c r="I404" t="s">
        <v>49</v>
      </c>
      <c r="J404" t="s">
        <v>56</v>
      </c>
      <c r="K404" t="s">
        <v>38</v>
      </c>
      <c r="L404" s="5">
        <v>45597</v>
      </c>
      <c r="M404">
        <v>50</v>
      </c>
      <c r="N404" t="s">
        <v>427</v>
      </c>
      <c r="O404" t="s">
        <v>891</v>
      </c>
      <c r="Q404">
        <v>1</v>
      </c>
      <c r="R404">
        <v>228</v>
      </c>
      <c r="S404" t="s">
        <v>900</v>
      </c>
      <c r="T404" s="6">
        <v>78299.517106819825</v>
      </c>
      <c r="U404" s="7">
        <f>T404*DealsRawTable[[#This Row],[Contract_Years]]</f>
        <v>78299.517106819825</v>
      </c>
      <c r="V404" s="8">
        <v>0.13400000000000001</v>
      </c>
      <c r="W404" s="8">
        <v>8.5999999999999993E-2</v>
      </c>
      <c r="X404" s="8">
        <v>3.5999999999999997E-2</v>
      </c>
      <c r="Y404" t="s">
        <v>902</v>
      </c>
      <c r="Z404" t="s">
        <v>879</v>
      </c>
      <c r="AA404" s="6">
        <v>71547.212779922949</v>
      </c>
      <c r="AB404" s="7">
        <f>DealsRawTable[[#This Row],[Final_Price_ACV]]*DealsRawTable[[#This Row],[Contract_Years]]</f>
        <v>71547.212779922949</v>
      </c>
      <c r="AC404" s="6">
        <v>26963.226484156436</v>
      </c>
      <c r="AD404" s="6">
        <v>44583.986295766517</v>
      </c>
      <c r="AE404" s="8">
        <v>0.6231407844342659</v>
      </c>
      <c r="AF404" t="s">
        <v>880</v>
      </c>
      <c r="AI404" t="s">
        <v>38</v>
      </c>
      <c r="AJ404" s="6">
        <v>71547.212779922949</v>
      </c>
      <c r="AK404" s="6">
        <v>44583.986295766517</v>
      </c>
      <c r="AL404" t="s">
        <v>894</v>
      </c>
      <c r="AM404">
        <f t="shared" si="12"/>
        <v>71565.759999999995</v>
      </c>
      <c r="AN404">
        <f>DealsRawTable[[#This Row],[Validated_Annual_Final_Price]]*DealsRawTable[[#This Row],[Contract_Years]]</f>
        <v>71565.759999999995</v>
      </c>
      <c r="AO404">
        <f>DealsRawTable[[#This Row],[Validated_Annual_Final_Price]]-DealsRawTable[[#This Row],[Cost_to_Serve]]</f>
        <v>44602.533515843563</v>
      </c>
      <c r="AP404" s="17">
        <f>DealsRawTable[[#This Row],[Validated_Grossprofit]]/DealsRawTable[[#This Row],[Validated_Annual_Final_Price]]</f>
        <v>0.62323845252036125</v>
      </c>
      <c r="AQ404" s="17">
        <v>71565.759999999995</v>
      </c>
      <c r="AR404" s="17">
        <v>71565.759999999995</v>
      </c>
      <c r="AS404" s="17">
        <v>44602.533515843563</v>
      </c>
      <c r="AT404" s="17">
        <v>0.62323845252036125</v>
      </c>
      <c r="AU404" s="17" t="str">
        <f t="shared" si="13"/>
        <v>5–10%</v>
      </c>
      <c r="AV404" s="17">
        <v>116</v>
      </c>
      <c r="AW404" s="17"/>
    </row>
    <row r="405" spans="1:49">
      <c r="A405" t="s">
        <v>1310</v>
      </c>
      <c r="B405" s="5">
        <v>45658</v>
      </c>
      <c r="C405" t="s">
        <v>284</v>
      </c>
      <c r="D405" t="s">
        <v>285</v>
      </c>
      <c r="E405" t="s">
        <v>695</v>
      </c>
      <c r="F405" t="s">
        <v>445</v>
      </c>
      <c r="G405" t="s">
        <v>47</v>
      </c>
      <c r="H405" t="s">
        <v>54</v>
      </c>
      <c r="I405" t="s">
        <v>55</v>
      </c>
      <c r="J405" t="s">
        <v>56</v>
      </c>
      <c r="K405" t="s">
        <v>38</v>
      </c>
      <c r="L405" s="5">
        <v>43891</v>
      </c>
      <c r="M405">
        <v>75</v>
      </c>
      <c r="N405" t="s">
        <v>424</v>
      </c>
      <c r="O405" t="s">
        <v>876</v>
      </c>
      <c r="Q405">
        <v>3</v>
      </c>
      <c r="R405">
        <v>203</v>
      </c>
      <c r="S405" t="s">
        <v>907</v>
      </c>
      <c r="T405" s="6">
        <v>62347.656380579429</v>
      </c>
      <c r="U405" s="7">
        <f>T405*DealsRawTable[[#This Row],[Contract_Years]]</f>
        <v>187042.96914173829</v>
      </c>
      <c r="V405" s="8">
        <v>9.4E-2</v>
      </c>
      <c r="W405" s="8">
        <v>7.0999999999999994E-2</v>
      </c>
      <c r="X405" s="8">
        <v>-5.0999999999999997E-2</v>
      </c>
      <c r="Y405" t="s">
        <v>905</v>
      </c>
      <c r="Z405" t="s">
        <v>879</v>
      </c>
      <c r="AA405" s="6">
        <v>57941.922356095325</v>
      </c>
      <c r="AB405" s="7">
        <f>DealsRawTable[[#This Row],[Final_Price_ACV]]*DealsRawTable[[#This Row],[Contract_Years]]</f>
        <v>173825.76706828596</v>
      </c>
      <c r="AC405" s="6">
        <v>15151.995207902366</v>
      </c>
      <c r="AD405" s="6">
        <v>42789.927148192961</v>
      </c>
      <c r="AE405" s="8">
        <v>0.73849685009098742</v>
      </c>
      <c r="AF405" t="s">
        <v>880</v>
      </c>
      <c r="AG405" t="s">
        <v>44</v>
      </c>
      <c r="AI405" t="s">
        <v>38</v>
      </c>
      <c r="AJ405" s="6">
        <v>57941.922356095325</v>
      </c>
      <c r="AK405" s="6">
        <v>42789.927148192961</v>
      </c>
      <c r="AL405" t="s">
        <v>881</v>
      </c>
      <c r="AM405">
        <f t="shared" si="12"/>
        <v>57920.97</v>
      </c>
      <c r="AN405">
        <f>DealsRawTable[[#This Row],[Validated_Annual_Final_Price]]*DealsRawTable[[#This Row],[Contract_Years]]</f>
        <v>173762.91</v>
      </c>
      <c r="AO405">
        <f>DealsRawTable[[#This Row],[Validated_Annual_Final_Price]]-DealsRawTable[[#This Row],[Cost_to_Serve]]</f>
        <v>42768.974792097637</v>
      </c>
      <c r="AP405" s="17">
        <f>DealsRawTable[[#This Row],[Validated_Grossprofit]]/DealsRawTable[[#This Row],[Validated_Annual_Final_Price]]</f>
        <v>0.73840225383134361</v>
      </c>
      <c r="AQ405" s="17">
        <v>57920.97</v>
      </c>
      <c r="AR405" s="17">
        <v>173762.91</v>
      </c>
      <c r="AS405" s="17">
        <v>42768.974792097637</v>
      </c>
      <c r="AT405" s="17">
        <v>0.73840225383134361</v>
      </c>
      <c r="AU405" s="17" t="str">
        <f t="shared" si="13"/>
        <v>5–10%</v>
      </c>
      <c r="AV405" s="17">
        <v>116</v>
      </c>
      <c r="AW405" s="17"/>
    </row>
    <row r="406" spans="1:49">
      <c r="A406" t="s">
        <v>1311</v>
      </c>
      <c r="B406" s="5">
        <v>45642</v>
      </c>
      <c r="C406" t="s">
        <v>284</v>
      </c>
      <c r="D406" t="s">
        <v>285</v>
      </c>
      <c r="E406" t="s">
        <v>696</v>
      </c>
      <c r="F406" t="s">
        <v>475</v>
      </c>
      <c r="G406" t="s">
        <v>47</v>
      </c>
      <c r="H406" t="s">
        <v>54</v>
      </c>
      <c r="I406" t="s">
        <v>55</v>
      </c>
      <c r="J406" t="s">
        <v>56</v>
      </c>
      <c r="K406" t="s">
        <v>38</v>
      </c>
      <c r="L406" s="5">
        <v>43891</v>
      </c>
      <c r="M406">
        <v>75</v>
      </c>
      <c r="N406" t="s">
        <v>424</v>
      </c>
      <c r="O406" t="s">
        <v>876</v>
      </c>
      <c r="Q406">
        <v>1</v>
      </c>
      <c r="R406">
        <v>122</v>
      </c>
      <c r="S406" t="s">
        <v>907</v>
      </c>
      <c r="T406" s="6">
        <v>42839.38035287353</v>
      </c>
      <c r="U406" s="7">
        <f>T406*DealsRawTable[[#This Row],[Contract_Years]]</f>
        <v>42839.38035287353</v>
      </c>
      <c r="V406" s="8">
        <v>0.11799999999999999</v>
      </c>
      <c r="W406" s="8">
        <v>0.108</v>
      </c>
      <c r="X406" s="8">
        <v>-9.1999999999999998E-2</v>
      </c>
      <c r="Y406" t="s">
        <v>911</v>
      </c>
      <c r="Z406" t="s">
        <v>889</v>
      </c>
      <c r="AA406" s="6">
        <v>38202.203405482593</v>
      </c>
      <c r="AB406" s="7">
        <f>DealsRawTable[[#This Row],[Final_Price_ACV]]*DealsRawTable[[#This Row],[Contract_Years]]</f>
        <v>38202.203405482593</v>
      </c>
      <c r="AC406" s="6">
        <v>11467.306082070731</v>
      </c>
      <c r="AD406" s="6">
        <v>26734.89732341186</v>
      </c>
      <c r="AE406" s="8">
        <v>0.69982605557183641</v>
      </c>
      <c r="AF406" t="s">
        <v>880</v>
      </c>
      <c r="AG406" t="s">
        <v>44</v>
      </c>
      <c r="AI406" t="s">
        <v>38</v>
      </c>
      <c r="AJ406" s="6">
        <v>38202.203405482593</v>
      </c>
      <c r="AK406" s="6">
        <v>26734.89732341186</v>
      </c>
      <c r="AL406" t="s">
        <v>881</v>
      </c>
      <c r="AM406">
        <f t="shared" si="12"/>
        <v>38212.730000000003</v>
      </c>
      <c r="AN406">
        <f>DealsRawTable[[#This Row],[Validated_Annual_Final_Price]]*DealsRawTable[[#This Row],[Contract_Years]]</f>
        <v>38212.730000000003</v>
      </c>
      <c r="AO406">
        <f>DealsRawTable[[#This Row],[Validated_Annual_Final_Price]]-DealsRawTable[[#This Row],[Cost_to_Serve]]</f>
        <v>26745.423917929271</v>
      </c>
      <c r="AP406" s="17">
        <f>DealsRawTable[[#This Row],[Validated_Grossprofit]]/DealsRawTable[[#This Row],[Validated_Annual_Final_Price]]</f>
        <v>0.69990874553922922</v>
      </c>
      <c r="AQ406" s="17">
        <v>38212.730000000003</v>
      </c>
      <c r="AR406" s="17">
        <v>38212.730000000003</v>
      </c>
      <c r="AS406" s="17">
        <v>26745.423917929271</v>
      </c>
      <c r="AT406" s="17">
        <v>0.69990874553922922</v>
      </c>
      <c r="AU406" s="17" t="str">
        <f t="shared" si="13"/>
        <v>10–15%</v>
      </c>
      <c r="AV406" s="17">
        <v>113</v>
      </c>
      <c r="AW406" s="17"/>
    </row>
    <row r="407" spans="1:49">
      <c r="A407" t="s">
        <v>1312</v>
      </c>
      <c r="B407" s="5">
        <v>46007</v>
      </c>
      <c r="C407" t="s">
        <v>284</v>
      </c>
      <c r="D407" t="s">
        <v>285</v>
      </c>
      <c r="E407" t="s">
        <v>696</v>
      </c>
      <c r="F407" t="s">
        <v>475</v>
      </c>
      <c r="G407" t="s">
        <v>47</v>
      </c>
      <c r="H407" t="s">
        <v>54</v>
      </c>
      <c r="I407" t="s">
        <v>55</v>
      </c>
      <c r="J407" t="s">
        <v>56</v>
      </c>
      <c r="K407" t="s">
        <v>38</v>
      </c>
      <c r="L407" s="5">
        <v>43891</v>
      </c>
      <c r="M407">
        <v>75</v>
      </c>
      <c r="N407" t="s">
        <v>424</v>
      </c>
      <c r="O407" t="s">
        <v>876</v>
      </c>
      <c r="Q407">
        <v>1</v>
      </c>
      <c r="R407">
        <v>122</v>
      </c>
      <c r="S407" t="s">
        <v>932</v>
      </c>
      <c r="T407" s="6">
        <v>45785.665500021627</v>
      </c>
      <c r="U407" s="7">
        <f>T407*DealsRawTable[[#This Row],[Contract_Years]]</f>
        <v>45785.665500021627</v>
      </c>
      <c r="V407" s="8">
        <v>0.124</v>
      </c>
      <c r="W407" s="8">
        <v>0.113</v>
      </c>
      <c r="X407" s="8">
        <v>0.09</v>
      </c>
      <c r="Y407" t="s">
        <v>909</v>
      </c>
      <c r="Z407" t="s">
        <v>889</v>
      </c>
      <c r="AA407" s="6">
        <v>40610.665471120526</v>
      </c>
      <c r="AB407" s="7">
        <f>DealsRawTable[[#This Row],[Final_Price_ACV]]*DealsRawTable[[#This Row],[Contract_Years]]</f>
        <v>40610.665471120526</v>
      </c>
      <c r="AC407" s="6">
        <v>14676.51048115718</v>
      </c>
      <c r="AD407" s="6">
        <v>25934.154989963346</v>
      </c>
      <c r="AE407" s="8">
        <v>0.6386045313245583</v>
      </c>
      <c r="AF407" t="s">
        <v>880</v>
      </c>
      <c r="AG407" t="s">
        <v>44</v>
      </c>
      <c r="AI407" t="s">
        <v>38</v>
      </c>
      <c r="AJ407" s="6">
        <v>40610.665471120526</v>
      </c>
      <c r="AK407" s="6">
        <v>25934.154989963346</v>
      </c>
      <c r="AL407" t="s">
        <v>881</v>
      </c>
      <c r="AM407">
        <f t="shared" si="12"/>
        <v>40611.89</v>
      </c>
      <c r="AN407">
        <f>DealsRawTable[[#This Row],[Validated_Annual_Final_Price]]*DealsRawTable[[#This Row],[Contract_Years]]</f>
        <v>40611.89</v>
      </c>
      <c r="AO407">
        <f>DealsRawTable[[#This Row],[Validated_Annual_Final_Price]]-DealsRawTable[[#This Row],[Cost_to_Serve]]</f>
        <v>25935.379518842819</v>
      </c>
      <c r="AP407" s="17">
        <f>DealsRawTable[[#This Row],[Validated_Grossprofit]]/DealsRawTable[[#This Row],[Validated_Annual_Final_Price]]</f>
        <v>0.63861542811336336</v>
      </c>
      <c r="AQ407" s="17">
        <v>40611.89</v>
      </c>
      <c r="AR407" s="17">
        <v>40611.89</v>
      </c>
      <c r="AS407" s="17">
        <v>25935.379518842819</v>
      </c>
      <c r="AT407" s="17">
        <v>0.63861542811336336</v>
      </c>
      <c r="AU407" s="17" t="str">
        <f t="shared" si="13"/>
        <v>10–15%</v>
      </c>
      <c r="AV407" s="17">
        <v>113</v>
      </c>
      <c r="AW407" s="17"/>
    </row>
    <row r="408" spans="1:49">
      <c r="A408" t="s">
        <v>1313</v>
      </c>
      <c r="B408" s="5">
        <v>45579</v>
      </c>
      <c r="C408" t="s">
        <v>286</v>
      </c>
      <c r="D408" t="s">
        <v>287</v>
      </c>
      <c r="E408" t="s">
        <v>697</v>
      </c>
      <c r="F408" t="s">
        <v>445</v>
      </c>
      <c r="G408" t="s">
        <v>34</v>
      </c>
      <c r="H408" t="s">
        <v>54</v>
      </c>
      <c r="I408" t="s">
        <v>55</v>
      </c>
      <c r="J408" t="s">
        <v>56</v>
      </c>
      <c r="K408" t="s">
        <v>38</v>
      </c>
      <c r="L408" s="5">
        <v>44927</v>
      </c>
      <c r="M408">
        <v>62</v>
      </c>
      <c r="N408" t="s">
        <v>431</v>
      </c>
      <c r="O408" t="s">
        <v>876</v>
      </c>
      <c r="Q408">
        <v>1</v>
      </c>
      <c r="R408">
        <v>278</v>
      </c>
      <c r="S408" t="s">
        <v>892</v>
      </c>
      <c r="T408" s="6">
        <v>90221.807704716935</v>
      </c>
      <c r="U408" s="7">
        <f>T408*DealsRawTable[[#This Row],[Contract_Years]]</f>
        <v>90221.807704716935</v>
      </c>
      <c r="V408" s="8">
        <v>7.3999999999999996E-2</v>
      </c>
      <c r="W408" s="8">
        <v>0.04</v>
      </c>
      <c r="X408" s="8">
        <v>-2.8000000000000001E-2</v>
      </c>
      <c r="Y408" t="s">
        <v>878</v>
      </c>
      <c r="Z408" t="s">
        <v>879</v>
      </c>
      <c r="AA408" s="6">
        <v>86636.454080786367</v>
      </c>
      <c r="AB408" s="7">
        <f>DealsRawTable[[#This Row],[Final_Price_ACV]]*DealsRawTable[[#This Row],[Contract_Years]]</f>
        <v>86636.454080786367</v>
      </c>
      <c r="AC408" s="6">
        <v>31752.721987908393</v>
      </c>
      <c r="AD408" s="6">
        <v>54883.732092877974</v>
      </c>
      <c r="AE408" s="8">
        <v>0.63349467236621015</v>
      </c>
      <c r="AF408" t="s">
        <v>457</v>
      </c>
      <c r="AG408" t="s">
        <v>38</v>
      </c>
      <c r="AI408" t="s">
        <v>38</v>
      </c>
      <c r="AJ408" s="6">
        <v>0</v>
      </c>
      <c r="AK408" s="6">
        <v>0</v>
      </c>
      <c r="AL408" t="s">
        <v>881</v>
      </c>
      <c r="AM408">
        <f t="shared" si="12"/>
        <v>86612.94</v>
      </c>
      <c r="AN408">
        <f>DealsRawTable[[#This Row],[Validated_Annual_Final_Price]]*DealsRawTable[[#This Row],[Contract_Years]]</f>
        <v>86612.94</v>
      </c>
      <c r="AO408">
        <f>DealsRawTable[[#This Row],[Validated_Annual_Final_Price]]-DealsRawTable[[#This Row],[Cost_to_Serve]]</f>
        <v>54860.218012091609</v>
      </c>
      <c r="AP408" s="17">
        <f>DealsRawTable[[#This Row],[Validated_Grossprofit]]/DealsRawTable[[#This Row],[Validated_Annual_Final_Price]]</f>
        <v>0.63339517180794935</v>
      </c>
      <c r="AQ408" s="17">
        <v>0</v>
      </c>
      <c r="AR408" s="17">
        <v>0</v>
      </c>
      <c r="AS408" s="17">
        <v>0</v>
      </c>
      <c r="AT408" s="17">
        <v>0</v>
      </c>
      <c r="AU408" s="17" t="str">
        <f t="shared" si="13"/>
        <v>0–5%</v>
      </c>
      <c r="AV408" s="17">
        <v>55</v>
      </c>
      <c r="AW408" s="17"/>
    </row>
    <row r="409" spans="1:49">
      <c r="A409" t="s">
        <v>1314</v>
      </c>
      <c r="B409" s="5">
        <v>45996</v>
      </c>
      <c r="C409" t="s">
        <v>286</v>
      </c>
      <c r="D409" t="s">
        <v>287</v>
      </c>
      <c r="E409" t="s">
        <v>697</v>
      </c>
      <c r="F409" t="s">
        <v>445</v>
      </c>
      <c r="G409" t="s">
        <v>34</v>
      </c>
      <c r="H409" t="s">
        <v>54</v>
      </c>
      <c r="I409" t="s">
        <v>55</v>
      </c>
      <c r="J409" t="s">
        <v>56</v>
      </c>
      <c r="K409" t="s">
        <v>38</v>
      </c>
      <c r="L409" s="5">
        <v>44927</v>
      </c>
      <c r="M409">
        <v>62</v>
      </c>
      <c r="N409" t="s">
        <v>431</v>
      </c>
      <c r="O409" t="s">
        <v>915</v>
      </c>
      <c r="Q409">
        <v>1</v>
      </c>
      <c r="R409">
        <v>278</v>
      </c>
      <c r="S409" t="s">
        <v>877</v>
      </c>
      <c r="T409" s="6">
        <v>90221.807704716935</v>
      </c>
      <c r="U409" s="7">
        <f>T409*DealsRawTable[[#This Row],[Contract_Years]]</f>
        <v>90221.807704716935</v>
      </c>
      <c r="V409" s="8">
        <v>0.23400000000000001</v>
      </c>
      <c r="W409" s="8">
        <v>0.192</v>
      </c>
      <c r="X409" s="8">
        <v>-5.5E-2</v>
      </c>
      <c r="Y409" t="s">
        <v>878</v>
      </c>
      <c r="Z409" t="s">
        <v>889</v>
      </c>
      <c r="AA409" s="6">
        <v>72889.183931593143</v>
      </c>
      <c r="AB409" s="7">
        <f>DealsRawTable[[#This Row],[Final_Price_ACV]]*DealsRawTable[[#This Row],[Contract_Years]]</f>
        <v>72889.183931593143</v>
      </c>
      <c r="AC409" s="6">
        <v>34150.039239386992</v>
      </c>
      <c r="AD409" s="6">
        <v>38739.144692206151</v>
      </c>
      <c r="AE409" s="8">
        <v>0.53148001668619349</v>
      </c>
      <c r="AF409" t="s">
        <v>880</v>
      </c>
      <c r="AI409" t="s">
        <v>44</v>
      </c>
      <c r="AJ409" s="6">
        <v>72889.183931593143</v>
      </c>
      <c r="AK409" s="6">
        <v>38739.144692206151</v>
      </c>
      <c r="AL409" t="s">
        <v>916</v>
      </c>
      <c r="AM409">
        <f t="shared" si="12"/>
        <v>72899.22</v>
      </c>
      <c r="AN409">
        <f>DealsRawTable[[#This Row],[Validated_Annual_Final_Price]]*DealsRawTable[[#This Row],[Contract_Years]]</f>
        <v>72899.22</v>
      </c>
      <c r="AO409">
        <f>DealsRawTable[[#This Row],[Validated_Annual_Final_Price]]-DealsRawTable[[#This Row],[Cost_to_Serve]]</f>
        <v>38749.18076061301</v>
      </c>
      <c r="AP409" s="17">
        <f>DealsRawTable[[#This Row],[Validated_Grossprofit]]/DealsRawTable[[#This Row],[Validated_Annual_Final_Price]]</f>
        <v>0.53154451804303271</v>
      </c>
      <c r="AQ409" s="17">
        <v>72899.22</v>
      </c>
      <c r="AR409" s="17">
        <v>72899.22</v>
      </c>
      <c r="AS409" s="17">
        <v>38749.18076061301</v>
      </c>
      <c r="AT409" s="17">
        <v>0.53154451804303271</v>
      </c>
      <c r="AU409" s="17" t="str">
        <f t="shared" si="13"/>
        <v>15–20%</v>
      </c>
      <c r="AV409" s="17">
        <v>108</v>
      </c>
      <c r="AW409" s="17"/>
    </row>
    <row r="410" spans="1:49">
      <c r="A410" t="s">
        <v>1315</v>
      </c>
      <c r="B410" s="5">
        <v>45758</v>
      </c>
      <c r="C410" t="s">
        <v>286</v>
      </c>
      <c r="D410" t="s">
        <v>287</v>
      </c>
      <c r="E410" t="s">
        <v>698</v>
      </c>
      <c r="F410" t="s">
        <v>466</v>
      </c>
      <c r="G410" t="s">
        <v>34</v>
      </c>
      <c r="H410" t="s">
        <v>54</v>
      </c>
      <c r="I410" t="s">
        <v>55</v>
      </c>
      <c r="J410" t="s">
        <v>56</v>
      </c>
      <c r="K410" t="s">
        <v>38</v>
      </c>
      <c r="L410" s="5">
        <v>44927</v>
      </c>
      <c r="M410">
        <v>62</v>
      </c>
      <c r="N410" t="s">
        <v>431</v>
      </c>
      <c r="O410" t="s">
        <v>876</v>
      </c>
      <c r="Q410">
        <v>2</v>
      </c>
      <c r="R410">
        <v>218</v>
      </c>
      <c r="S410" t="s">
        <v>907</v>
      </c>
      <c r="T410" s="6">
        <v>68969.936389096227</v>
      </c>
      <c r="U410" s="7">
        <f>T410*DealsRawTable[[#This Row],[Contract_Years]]</f>
        <v>137939.87277819245</v>
      </c>
      <c r="V410" s="8">
        <v>0.14599999999999999</v>
      </c>
      <c r="W410" s="8">
        <v>0.14299999999999999</v>
      </c>
      <c r="X410" s="8">
        <v>-0.17899999999999999</v>
      </c>
      <c r="Y410" t="s">
        <v>878</v>
      </c>
      <c r="Z410" t="s">
        <v>889</v>
      </c>
      <c r="AA410" s="6">
        <v>59090.8642123873</v>
      </c>
      <c r="AB410" s="7">
        <f>DealsRawTable[[#This Row],[Final_Price_ACV]]*DealsRawTable[[#This Row],[Contract_Years]]</f>
        <v>118181.7284247746</v>
      </c>
      <c r="AC410" s="6">
        <v>26548.163933663571</v>
      </c>
      <c r="AD410" s="6">
        <v>32542.700278723729</v>
      </c>
      <c r="AE410" s="8">
        <v>0.5507230383660856</v>
      </c>
      <c r="AF410" t="s">
        <v>880</v>
      </c>
      <c r="AG410" t="s">
        <v>44</v>
      </c>
      <c r="AI410" t="s">
        <v>38</v>
      </c>
      <c r="AJ410" s="6">
        <v>59090.8642123873</v>
      </c>
      <c r="AK410" s="6">
        <v>32542.700278723729</v>
      </c>
      <c r="AL410" t="s">
        <v>881</v>
      </c>
      <c r="AM410">
        <f t="shared" si="12"/>
        <v>59107.24</v>
      </c>
      <c r="AN410">
        <f>DealsRawTable[[#This Row],[Validated_Annual_Final_Price]]*DealsRawTable[[#This Row],[Contract_Years]]</f>
        <v>118214.48</v>
      </c>
      <c r="AO410">
        <f>DealsRawTable[[#This Row],[Validated_Annual_Final_Price]]-DealsRawTable[[#This Row],[Cost_to_Serve]]</f>
        <v>32559.076066336427</v>
      </c>
      <c r="AP410" s="17">
        <f>DealsRawTable[[#This Row],[Validated_Grossprofit]]/DealsRawTable[[#This Row],[Validated_Annual_Final_Price]]</f>
        <v>0.55084751151189648</v>
      </c>
      <c r="AQ410" s="17">
        <v>59107.24</v>
      </c>
      <c r="AR410" s="17">
        <v>118214.48</v>
      </c>
      <c r="AS410" s="17">
        <v>32559.076066336427</v>
      </c>
      <c r="AT410" s="17">
        <v>0.55084751151189648</v>
      </c>
      <c r="AU410" s="17" t="str">
        <f t="shared" si="13"/>
        <v>10–15%</v>
      </c>
      <c r="AV410" s="17">
        <v>113</v>
      </c>
      <c r="AW410" s="17"/>
    </row>
    <row r="411" spans="1:49">
      <c r="A411" t="s">
        <v>1316</v>
      </c>
      <c r="B411" s="5">
        <v>45422</v>
      </c>
      <c r="C411" t="s">
        <v>286</v>
      </c>
      <c r="D411" t="s">
        <v>287</v>
      </c>
      <c r="E411" t="s">
        <v>699</v>
      </c>
      <c r="F411" t="s">
        <v>47</v>
      </c>
      <c r="G411" t="s">
        <v>34</v>
      </c>
      <c r="H411" t="s">
        <v>54</v>
      </c>
      <c r="I411" t="s">
        <v>55</v>
      </c>
      <c r="J411" t="s">
        <v>56</v>
      </c>
      <c r="K411" t="s">
        <v>38</v>
      </c>
      <c r="L411" s="5">
        <v>44927</v>
      </c>
      <c r="M411">
        <v>62</v>
      </c>
      <c r="N411" t="s">
        <v>427</v>
      </c>
      <c r="O411" t="s">
        <v>891</v>
      </c>
      <c r="Q411">
        <v>2</v>
      </c>
      <c r="R411">
        <v>178</v>
      </c>
      <c r="S411" t="s">
        <v>877</v>
      </c>
      <c r="T411" s="6">
        <v>72014.352573380384</v>
      </c>
      <c r="U411" s="7">
        <f>T411*DealsRawTable[[#This Row],[Contract_Years]]</f>
        <v>144028.70514676077</v>
      </c>
      <c r="V411" s="8">
        <v>0.23400000000000001</v>
      </c>
      <c r="W411" s="8">
        <v>0.189</v>
      </c>
      <c r="X411" s="8">
        <v>0.122</v>
      </c>
      <c r="Y411" t="s">
        <v>930</v>
      </c>
      <c r="Z411" t="s">
        <v>889</v>
      </c>
      <c r="AA411" s="6">
        <v>58382.500948764588</v>
      </c>
      <c r="AB411" s="7">
        <f>DealsRawTable[[#This Row],[Final_Price_ACV]]*DealsRawTable[[#This Row],[Contract_Years]]</f>
        <v>116765.00189752918</v>
      </c>
      <c r="AC411" s="6">
        <v>23433.968913601107</v>
      </c>
      <c r="AD411" s="6">
        <v>34948.53203516348</v>
      </c>
      <c r="AE411" s="8">
        <v>0.59861313693693374</v>
      </c>
      <c r="AF411" t="s">
        <v>880</v>
      </c>
      <c r="AI411" t="s">
        <v>38</v>
      </c>
      <c r="AJ411" s="6">
        <v>58382.500948764588</v>
      </c>
      <c r="AK411" s="6">
        <v>34948.53203516348</v>
      </c>
      <c r="AL411" t="s">
        <v>894</v>
      </c>
      <c r="AM411">
        <f t="shared" si="12"/>
        <v>58403.64</v>
      </c>
      <c r="AN411">
        <f>DealsRawTable[[#This Row],[Validated_Annual_Final_Price]]*DealsRawTable[[#This Row],[Contract_Years]]</f>
        <v>116807.28</v>
      </c>
      <c r="AO411">
        <f>DealsRawTable[[#This Row],[Validated_Annual_Final_Price]]-DealsRawTable[[#This Row],[Cost_to_Serve]]</f>
        <v>34969.671086398892</v>
      </c>
      <c r="AP411" s="17">
        <f>DealsRawTable[[#This Row],[Validated_Grossprofit]]/DealsRawTable[[#This Row],[Validated_Annual_Final_Price]]</f>
        <v>0.59875841790681017</v>
      </c>
      <c r="AQ411" s="17">
        <v>58403.64</v>
      </c>
      <c r="AR411" s="17">
        <v>116807.28</v>
      </c>
      <c r="AS411" s="17">
        <v>34969.671086398892</v>
      </c>
      <c r="AT411" s="17">
        <v>0.59875841790681017</v>
      </c>
      <c r="AU411" s="17" t="str">
        <f t="shared" si="13"/>
        <v>15–20%</v>
      </c>
      <c r="AV411" s="17">
        <v>108</v>
      </c>
      <c r="AW411" s="17"/>
    </row>
    <row r="412" spans="1:49">
      <c r="A412" t="s">
        <v>1317</v>
      </c>
      <c r="B412" s="5">
        <v>45616</v>
      </c>
      <c r="C412" t="s">
        <v>288</v>
      </c>
      <c r="D412" t="s">
        <v>289</v>
      </c>
      <c r="E412" t="s">
        <v>700</v>
      </c>
      <c r="F412" t="s">
        <v>34</v>
      </c>
      <c r="G412" t="s">
        <v>34</v>
      </c>
      <c r="H412" t="s">
        <v>70</v>
      </c>
      <c r="I412" t="s">
        <v>76</v>
      </c>
      <c r="J412" t="s">
        <v>43</v>
      </c>
      <c r="K412" t="s">
        <v>44</v>
      </c>
      <c r="L412" s="5">
        <v>44075</v>
      </c>
      <c r="M412">
        <v>68</v>
      </c>
      <c r="N412" t="s">
        <v>424</v>
      </c>
      <c r="O412" t="s">
        <v>883</v>
      </c>
      <c r="P412" t="s">
        <v>985</v>
      </c>
      <c r="Q412">
        <v>2</v>
      </c>
      <c r="R412">
        <v>1927</v>
      </c>
      <c r="S412" t="s">
        <v>900</v>
      </c>
      <c r="T412" s="6">
        <v>148528.91308358641</v>
      </c>
      <c r="U412" s="7">
        <f>T412*DealsRawTable[[#This Row],[Contract_Years]]</f>
        <v>297057.82616717281</v>
      </c>
      <c r="V412" s="8">
        <v>0.106</v>
      </c>
      <c r="W412" s="8">
        <v>9.5000000000000001E-2</v>
      </c>
      <c r="X412" s="8">
        <v>-3.5000000000000003E-2</v>
      </c>
      <c r="Y412" t="s">
        <v>885</v>
      </c>
      <c r="Z412" t="s">
        <v>879</v>
      </c>
      <c r="AA412" s="6">
        <v>134415.85381639283</v>
      </c>
      <c r="AB412" s="7">
        <f>DealsRawTable[[#This Row],[Final_Price_ACV]]*DealsRawTable[[#This Row],[Contract_Years]]</f>
        <v>268831.70763278566</v>
      </c>
      <c r="AC412" s="6">
        <v>48579.711455735262</v>
      </c>
      <c r="AD412" s="6">
        <v>85836.14236065757</v>
      </c>
      <c r="AE412" s="8">
        <v>0.63858644589578417</v>
      </c>
      <c r="AF412" t="s">
        <v>457</v>
      </c>
      <c r="AH412" t="s">
        <v>38</v>
      </c>
      <c r="AI412" t="s">
        <v>38</v>
      </c>
      <c r="AJ412" s="6">
        <v>0</v>
      </c>
      <c r="AK412" s="6">
        <v>0</v>
      </c>
      <c r="AL412" t="s">
        <v>886</v>
      </c>
      <c r="AM412">
        <f t="shared" si="12"/>
        <v>134418.67000000001</v>
      </c>
      <c r="AN412">
        <f>DealsRawTable[[#This Row],[Validated_Annual_Final_Price]]*DealsRawTable[[#This Row],[Contract_Years]]</f>
        <v>268837.34000000003</v>
      </c>
      <c r="AO412">
        <f>DealsRawTable[[#This Row],[Validated_Annual_Final_Price]]-DealsRawTable[[#This Row],[Cost_to_Serve]]</f>
        <v>85838.958544264751</v>
      </c>
      <c r="AP412" s="17">
        <f>DealsRawTable[[#This Row],[Validated_Grossprofit]]/DealsRawTable[[#This Row],[Validated_Annual_Final_Price]]</f>
        <v>0.63859401781214431</v>
      </c>
      <c r="AQ412" s="17">
        <v>0</v>
      </c>
      <c r="AR412" s="17">
        <v>0</v>
      </c>
      <c r="AS412" s="17">
        <v>0</v>
      </c>
      <c r="AT412" s="17">
        <v>0</v>
      </c>
      <c r="AU412" s="17" t="str">
        <f t="shared" si="13"/>
        <v>5–10%</v>
      </c>
      <c r="AV412" s="17">
        <v>116</v>
      </c>
      <c r="AW412" s="17"/>
    </row>
    <row r="413" spans="1:49">
      <c r="A413" t="s">
        <v>1318</v>
      </c>
      <c r="B413" s="5">
        <v>45707</v>
      </c>
      <c r="C413" t="s">
        <v>288</v>
      </c>
      <c r="D413" t="s">
        <v>289</v>
      </c>
      <c r="E413" t="s">
        <v>700</v>
      </c>
      <c r="F413" t="s">
        <v>34</v>
      </c>
      <c r="G413" t="s">
        <v>34</v>
      </c>
      <c r="H413" t="s">
        <v>70</v>
      </c>
      <c r="I413" t="s">
        <v>76</v>
      </c>
      <c r="J413" t="s">
        <v>43</v>
      </c>
      <c r="K413" t="s">
        <v>44</v>
      </c>
      <c r="L413" s="5">
        <v>44075</v>
      </c>
      <c r="M413">
        <v>68</v>
      </c>
      <c r="N413" t="s">
        <v>424</v>
      </c>
      <c r="O413" t="s">
        <v>876</v>
      </c>
      <c r="Q413">
        <v>2</v>
      </c>
      <c r="R413">
        <v>1630</v>
      </c>
      <c r="S413" t="s">
        <v>888</v>
      </c>
      <c r="T413" s="6">
        <v>124007.66537149505</v>
      </c>
      <c r="U413" s="7">
        <f>T413*DealsRawTable[[#This Row],[Contract_Years]]</f>
        <v>248015.3307429901</v>
      </c>
      <c r="V413" s="8">
        <v>4.7E-2</v>
      </c>
      <c r="W413" s="8">
        <v>0.02</v>
      </c>
      <c r="X413" s="8">
        <v>-5.3999999999999999E-2</v>
      </c>
      <c r="Y413" t="s">
        <v>878</v>
      </c>
      <c r="Z413" t="s">
        <v>879</v>
      </c>
      <c r="AA413" s="6">
        <v>121514.60377640698</v>
      </c>
      <c r="AB413" s="7">
        <f>DealsRawTable[[#This Row],[Final_Price_ACV]]*DealsRawTable[[#This Row],[Contract_Years]]</f>
        <v>243029.20755281395</v>
      </c>
      <c r="AC413" s="6">
        <v>25072.191641210182</v>
      </c>
      <c r="AD413" s="6">
        <v>96442.412135196791</v>
      </c>
      <c r="AE413" s="8">
        <v>0.79366931330044665</v>
      </c>
      <c r="AF413" t="s">
        <v>880</v>
      </c>
      <c r="AG413" t="s">
        <v>44</v>
      </c>
      <c r="AI413" t="s">
        <v>38</v>
      </c>
      <c r="AJ413" s="6">
        <v>121514.60377640698</v>
      </c>
      <c r="AK413" s="6">
        <v>96442.412135196791</v>
      </c>
      <c r="AL413" t="s">
        <v>881</v>
      </c>
      <c r="AM413">
        <f t="shared" si="12"/>
        <v>121527.51</v>
      </c>
      <c r="AN413">
        <f>DealsRawTable[[#This Row],[Validated_Annual_Final_Price]]*DealsRawTable[[#This Row],[Contract_Years]]</f>
        <v>243055.02</v>
      </c>
      <c r="AO413">
        <f>DealsRawTable[[#This Row],[Validated_Annual_Final_Price]]-DealsRawTable[[#This Row],[Cost_to_Serve]]</f>
        <v>96455.318358789809</v>
      </c>
      <c r="AP413" s="17">
        <f>DealsRawTable[[#This Row],[Validated_Grossprofit]]/DealsRawTable[[#This Row],[Validated_Annual_Final_Price]]</f>
        <v>0.79369122562282246</v>
      </c>
      <c r="AQ413" s="17">
        <v>121527.51</v>
      </c>
      <c r="AR413" s="17">
        <v>243055.02</v>
      </c>
      <c r="AS413" s="17">
        <v>96455.318358789809</v>
      </c>
      <c r="AT413" s="17">
        <v>0.79369122562282246</v>
      </c>
      <c r="AU413" s="17" t="str">
        <f t="shared" si="13"/>
        <v>0–5%</v>
      </c>
      <c r="AV413" s="17">
        <v>55</v>
      </c>
      <c r="AW413" s="17"/>
    </row>
    <row r="414" spans="1:49">
      <c r="A414" t="s">
        <v>1319</v>
      </c>
      <c r="B414" s="5">
        <v>45542</v>
      </c>
      <c r="C414" t="s">
        <v>288</v>
      </c>
      <c r="D414" t="s">
        <v>289</v>
      </c>
      <c r="E414" t="s">
        <v>701</v>
      </c>
      <c r="F414" t="s">
        <v>466</v>
      </c>
      <c r="G414" t="s">
        <v>34</v>
      </c>
      <c r="H414" t="s">
        <v>70</v>
      </c>
      <c r="I414" t="s">
        <v>76</v>
      </c>
      <c r="J414" t="s">
        <v>43</v>
      </c>
      <c r="K414" t="s">
        <v>44</v>
      </c>
      <c r="L414" s="5">
        <v>44075</v>
      </c>
      <c r="M414">
        <v>68</v>
      </c>
      <c r="N414" t="s">
        <v>427</v>
      </c>
      <c r="O414" t="s">
        <v>876</v>
      </c>
      <c r="Q414">
        <v>1</v>
      </c>
      <c r="R414">
        <v>648</v>
      </c>
      <c r="S414" t="s">
        <v>888</v>
      </c>
      <c r="T414" s="6">
        <v>402513.51369901071</v>
      </c>
      <c r="U414" s="7">
        <f>T414*DealsRawTable[[#This Row],[Contract_Years]]</f>
        <v>402513.51369901071</v>
      </c>
      <c r="V414" s="8">
        <v>5.6000000000000001E-2</v>
      </c>
      <c r="W414" s="8">
        <v>2.5000000000000001E-2</v>
      </c>
      <c r="X414" s="8">
        <v>-3.7999999999999999E-2</v>
      </c>
      <c r="Y414" t="s">
        <v>885</v>
      </c>
      <c r="Z414" t="s">
        <v>879</v>
      </c>
      <c r="AA414" s="6">
        <v>392448.9433422233</v>
      </c>
      <c r="AB414" s="7">
        <f>DealsRawTable[[#This Row],[Final_Price_ACV]]*DealsRawTable[[#This Row],[Contract_Years]]</f>
        <v>392448.9433422233</v>
      </c>
      <c r="AC414" s="6">
        <v>125836.91233929394</v>
      </c>
      <c r="AD414" s="6">
        <v>266612.03100292938</v>
      </c>
      <c r="AE414" s="8">
        <v>0.67935469193106823</v>
      </c>
      <c r="AF414" t="s">
        <v>880</v>
      </c>
      <c r="AG414" t="s">
        <v>44</v>
      </c>
      <c r="AI414" t="s">
        <v>38</v>
      </c>
      <c r="AJ414" s="6">
        <v>392448.9433422233</v>
      </c>
      <c r="AK414" s="6">
        <v>266612.03100292938</v>
      </c>
      <c r="AL414" t="s">
        <v>881</v>
      </c>
      <c r="AM414">
        <f t="shared" si="12"/>
        <v>392450.68</v>
      </c>
      <c r="AN414">
        <f>DealsRawTable[[#This Row],[Validated_Annual_Final_Price]]*DealsRawTable[[#This Row],[Contract_Years]]</f>
        <v>392450.68</v>
      </c>
      <c r="AO414">
        <f>DealsRawTable[[#This Row],[Validated_Annual_Final_Price]]-DealsRawTable[[#This Row],[Cost_to_Serve]]</f>
        <v>266613.76766070607</v>
      </c>
      <c r="AP414" s="17">
        <f>DealsRawTable[[#This Row],[Validated_Grossprofit]]/DealsRawTable[[#This Row],[Validated_Annual_Final_Price]]</f>
        <v>0.6793561108384526</v>
      </c>
      <c r="AQ414" s="17">
        <v>392450.68</v>
      </c>
      <c r="AR414" s="17">
        <v>392450.68</v>
      </c>
      <c r="AS414" s="17">
        <v>266613.76766070607</v>
      </c>
      <c r="AT414" s="17">
        <v>0.6793561108384526</v>
      </c>
      <c r="AU414" s="17" t="str">
        <f t="shared" si="13"/>
        <v>0–5%</v>
      </c>
      <c r="AV414" s="17">
        <v>55</v>
      </c>
      <c r="AW414" s="17"/>
    </row>
    <row r="415" spans="1:49">
      <c r="A415" t="s">
        <v>1320</v>
      </c>
      <c r="B415" s="5">
        <v>45907</v>
      </c>
      <c r="C415" t="s">
        <v>288</v>
      </c>
      <c r="D415" t="s">
        <v>289</v>
      </c>
      <c r="E415" t="s">
        <v>701</v>
      </c>
      <c r="F415" t="s">
        <v>466</v>
      </c>
      <c r="G415" t="s">
        <v>34</v>
      </c>
      <c r="H415" t="s">
        <v>70</v>
      </c>
      <c r="I415" t="s">
        <v>76</v>
      </c>
      <c r="J415" t="s">
        <v>43</v>
      </c>
      <c r="K415" t="s">
        <v>44</v>
      </c>
      <c r="L415" s="5">
        <v>44075</v>
      </c>
      <c r="M415">
        <v>68</v>
      </c>
      <c r="N415" t="s">
        <v>427</v>
      </c>
      <c r="O415" t="s">
        <v>876</v>
      </c>
      <c r="Q415">
        <v>1</v>
      </c>
      <c r="R415">
        <v>648</v>
      </c>
      <c r="S415" t="s">
        <v>947</v>
      </c>
      <c r="T415" s="6">
        <v>425790.35012384161</v>
      </c>
      <c r="U415" s="7">
        <f>T415*DealsRawTable[[#This Row],[Contract_Years]]</f>
        <v>425790.35012384161</v>
      </c>
      <c r="V415" s="8">
        <v>6.0999999999999999E-2</v>
      </c>
      <c r="W415" s="8">
        <v>5.6000000000000001E-2</v>
      </c>
      <c r="X415" s="8">
        <v>-3.5000000000000003E-2</v>
      </c>
      <c r="Y415" t="s">
        <v>885</v>
      </c>
      <c r="Z415" t="s">
        <v>879</v>
      </c>
      <c r="AA415" s="6">
        <v>401899.16041796241</v>
      </c>
      <c r="AB415" s="7">
        <f>DealsRawTable[[#This Row],[Final_Price_ACV]]*DealsRawTable[[#This Row],[Contract_Years]]</f>
        <v>401899.16041796241</v>
      </c>
      <c r="AC415" s="6">
        <v>131313.36781094669</v>
      </c>
      <c r="AD415" s="6">
        <v>270585.7926070157</v>
      </c>
      <c r="AE415" s="8">
        <v>0.67326787228322404</v>
      </c>
      <c r="AF415" t="s">
        <v>880</v>
      </c>
      <c r="AG415" t="s">
        <v>44</v>
      </c>
      <c r="AI415" t="s">
        <v>38</v>
      </c>
      <c r="AJ415" s="6">
        <v>401899.16041796241</v>
      </c>
      <c r="AK415" s="6">
        <v>270585.7926070157</v>
      </c>
      <c r="AL415" t="s">
        <v>881</v>
      </c>
      <c r="AM415">
        <f t="shared" si="12"/>
        <v>401946.09</v>
      </c>
      <c r="AN415">
        <f>DealsRawTable[[#This Row],[Validated_Annual_Final_Price]]*DealsRawTable[[#This Row],[Contract_Years]]</f>
        <v>401946.09</v>
      </c>
      <c r="AO415">
        <f>DealsRawTable[[#This Row],[Validated_Annual_Final_Price]]-DealsRawTable[[#This Row],[Cost_to_Serve]]</f>
        <v>270632.72218905331</v>
      </c>
      <c r="AP415" s="17">
        <f>DealsRawTable[[#This Row],[Validated_Grossprofit]]/DealsRawTable[[#This Row],[Validated_Annual_Final_Price]]</f>
        <v>0.67330602019055164</v>
      </c>
      <c r="AQ415" s="17">
        <v>401946.09</v>
      </c>
      <c r="AR415" s="17">
        <v>401946.09</v>
      </c>
      <c r="AS415" s="17">
        <v>270632.72218905331</v>
      </c>
      <c r="AT415" s="17">
        <v>0.67330602019055164</v>
      </c>
      <c r="AU415" s="17" t="str">
        <f t="shared" si="13"/>
        <v>5–10%</v>
      </c>
      <c r="AV415" s="17">
        <v>116</v>
      </c>
      <c r="AW415" s="17"/>
    </row>
    <row r="416" spans="1:49">
      <c r="A416" t="s">
        <v>1321</v>
      </c>
      <c r="B416" s="5">
        <v>45707</v>
      </c>
      <c r="C416" t="s">
        <v>290</v>
      </c>
      <c r="D416" t="s">
        <v>291</v>
      </c>
      <c r="E416" t="s">
        <v>702</v>
      </c>
      <c r="F416" t="s">
        <v>445</v>
      </c>
      <c r="G416" t="s">
        <v>34</v>
      </c>
      <c r="H416" t="s">
        <v>54</v>
      </c>
      <c r="I416" t="s">
        <v>94</v>
      </c>
      <c r="J416" t="s">
        <v>43</v>
      </c>
      <c r="K416" t="s">
        <v>44</v>
      </c>
      <c r="L416" s="5">
        <v>43525</v>
      </c>
      <c r="M416">
        <v>73</v>
      </c>
      <c r="N416" t="s">
        <v>431</v>
      </c>
      <c r="O416" t="s">
        <v>891</v>
      </c>
      <c r="Q416">
        <v>1</v>
      </c>
      <c r="R416">
        <v>1662</v>
      </c>
      <c r="S416" t="s">
        <v>932</v>
      </c>
      <c r="T416" s="6">
        <v>122349.64832348214</v>
      </c>
      <c r="U416" s="7">
        <f>T416*DealsRawTable[[#This Row],[Contract_Years]]</f>
        <v>122349.64832348214</v>
      </c>
      <c r="V416" s="8">
        <v>0.21299999999999999</v>
      </c>
      <c r="W416" s="8">
        <v>0.16900000000000001</v>
      </c>
      <c r="X416" s="8">
        <v>-0.10199999999999999</v>
      </c>
      <c r="Y416" t="s">
        <v>897</v>
      </c>
      <c r="Z416" t="s">
        <v>889</v>
      </c>
      <c r="AA416" s="6">
        <v>101680.21093929109</v>
      </c>
      <c r="AB416" s="7">
        <f>DealsRawTable[[#This Row],[Final_Price_ACV]]*DealsRawTable[[#This Row],[Contract_Years]]</f>
        <v>101680.21093929109</v>
      </c>
      <c r="AC416" s="6">
        <v>50908.763739986425</v>
      </c>
      <c r="AD416" s="6">
        <v>50771.447199304668</v>
      </c>
      <c r="AE416" s="8">
        <v>0.49932476270744686</v>
      </c>
      <c r="AF416" t="s">
        <v>457</v>
      </c>
      <c r="AI416" t="s">
        <v>38</v>
      </c>
      <c r="AJ416" s="6">
        <v>0</v>
      </c>
      <c r="AK416" s="6">
        <v>0</v>
      </c>
      <c r="AL416" t="s">
        <v>894</v>
      </c>
      <c r="AM416">
        <f t="shared" si="12"/>
        <v>101672.56</v>
      </c>
      <c r="AN416">
        <f>DealsRawTable[[#This Row],[Validated_Annual_Final_Price]]*DealsRawTable[[#This Row],[Contract_Years]]</f>
        <v>101672.56</v>
      </c>
      <c r="AO416">
        <f>DealsRawTable[[#This Row],[Validated_Annual_Final_Price]]-DealsRawTable[[#This Row],[Cost_to_Serve]]</f>
        <v>50763.796260013572</v>
      </c>
      <c r="AP416" s="17">
        <f>DealsRawTable[[#This Row],[Validated_Grossprofit]]/DealsRawTable[[#This Row],[Validated_Annual_Final_Price]]</f>
        <v>0.49928708650606979</v>
      </c>
      <c r="AQ416" s="17">
        <v>0</v>
      </c>
      <c r="AR416" s="17">
        <v>0</v>
      </c>
      <c r="AS416" s="17">
        <v>0</v>
      </c>
      <c r="AT416" s="17">
        <v>0</v>
      </c>
      <c r="AU416" s="17" t="str">
        <f t="shared" si="13"/>
        <v>15–20%</v>
      </c>
      <c r="AV416" s="17">
        <v>108</v>
      </c>
      <c r="AW416" s="17"/>
    </row>
    <row r="417" spans="1:49">
      <c r="A417" t="s">
        <v>1322</v>
      </c>
      <c r="B417" s="5">
        <v>45577</v>
      </c>
      <c r="C417" t="s">
        <v>292</v>
      </c>
      <c r="D417" t="s">
        <v>293</v>
      </c>
      <c r="E417" t="s">
        <v>703</v>
      </c>
      <c r="F417" t="s">
        <v>475</v>
      </c>
      <c r="G417" t="s">
        <v>83</v>
      </c>
      <c r="H417" t="s">
        <v>54</v>
      </c>
      <c r="I417" t="s">
        <v>94</v>
      </c>
      <c r="J417" t="s">
        <v>43</v>
      </c>
      <c r="K417" t="s">
        <v>44</v>
      </c>
      <c r="L417" s="5">
        <v>45566</v>
      </c>
      <c r="M417">
        <v>86</v>
      </c>
      <c r="N417" t="s">
        <v>431</v>
      </c>
      <c r="O417" t="s">
        <v>891</v>
      </c>
      <c r="Q417">
        <v>1</v>
      </c>
      <c r="R417">
        <v>735</v>
      </c>
      <c r="S417" t="s">
        <v>877</v>
      </c>
      <c r="T417" s="6">
        <v>150242.60587381554</v>
      </c>
      <c r="U417" s="7">
        <f>T417*DealsRawTable[[#This Row],[Contract_Years]]</f>
        <v>150242.60587381554</v>
      </c>
      <c r="V417" s="8">
        <v>0.13500000000000001</v>
      </c>
      <c r="W417" s="8">
        <v>7.9000000000000001E-2</v>
      </c>
      <c r="X417" s="8">
        <v>-0.14000000000000001</v>
      </c>
      <c r="Y417" t="s">
        <v>930</v>
      </c>
      <c r="Z417" t="s">
        <v>879</v>
      </c>
      <c r="AA417" s="6">
        <v>138396.19696249021</v>
      </c>
      <c r="AB417" s="7">
        <f>DealsRawTable[[#This Row],[Final_Price_ACV]]*DealsRawTable[[#This Row],[Contract_Years]]</f>
        <v>138396.19696249021</v>
      </c>
      <c r="AC417" s="6">
        <v>67345.596565458807</v>
      </c>
      <c r="AD417" s="6">
        <v>71050.600397031405</v>
      </c>
      <c r="AE417" s="8">
        <v>0.51338549726397742</v>
      </c>
      <c r="AF417" t="s">
        <v>880</v>
      </c>
      <c r="AI417" t="s">
        <v>38</v>
      </c>
      <c r="AJ417" s="6">
        <v>138396.19696249021</v>
      </c>
      <c r="AK417" s="6">
        <v>71050.600397031405</v>
      </c>
      <c r="AL417" t="s">
        <v>894</v>
      </c>
      <c r="AM417">
        <f t="shared" si="12"/>
        <v>138373.44</v>
      </c>
      <c r="AN417">
        <f>DealsRawTable[[#This Row],[Validated_Annual_Final_Price]]*DealsRawTable[[#This Row],[Contract_Years]]</f>
        <v>138373.44</v>
      </c>
      <c r="AO417">
        <f>DealsRawTable[[#This Row],[Validated_Annual_Final_Price]]-DealsRawTable[[#This Row],[Cost_to_Serve]]</f>
        <v>71027.843434541195</v>
      </c>
      <c r="AP417" s="17">
        <f>DealsRawTable[[#This Row],[Validated_Grossprofit]]/DealsRawTable[[#This Row],[Validated_Annual_Final_Price]]</f>
        <v>0.5133054684088304</v>
      </c>
      <c r="AQ417" s="17">
        <v>138373.44</v>
      </c>
      <c r="AR417" s="17">
        <v>138373.44</v>
      </c>
      <c r="AS417" s="17">
        <v>71027.843434541195</v>
      </c>
      <c r="AT417" s="17">
        <v>0.5133054684088304</v>
      </c>
      <c r="AU417" s="17" t="str">
        <f t="shared" si="13"/>
        <v>5–10%</v>
      </c>
      <c r="AV417" s="17">
        <v>116</v>
      </c>
      <c r="AW417" s="17"/>
    </row>
    <row r="418" spans="1:49">
      <c r="A418" t="s">
        <v>1323</v>
      </c>
      <c r="B418" s="5">
        <v>45942</v>
      </c>
      <c r="C418" t="s">
        <v>292</v>
      </c>
      <c r="D418" t="s">
        <v>293</v>
      </c>
      <c r="E418" t="s">
        <v>703</v>
      </c>
      <c r="F418" t="s">
        <v>475</v>
      </c>
      <c r="G418" t="s">
        <v>83</v>
      </c>
      <c r="H418" t="s">
        <v>54</v>
      </c>
      <c r="I418" t="s">
        <v>94</v>
      </c>
      <c r="J418" t="s">
        <v>43</v>
      </c>
      <c r="K418" t="s">
        <v>44</v>
      </c>
      <c r="L418" s="5">
        <v>45566</v>
      </c>
      <c r="M418">
        <v>86</v>
      </c>
      <c r="N418" t="s">
        <v>431</v>
      </c>
      <c r="O418" t="s">
        <v>876</v>
      </c>
      <c r="Q418">
        <v>1</v>
      </c>
      <c r="R418">
        <v>735</v>
      </c>
      <c r="S418" t="s">
        <v>947</v>
      </c>
      <c r="T418" s="6">
        <v>154771.94124349751</v>
      </c>
      <c r="U418" s="7">
        <f>T418*DealsRawTable[[#This Row],[Contract_Years]]</f>
        <v>154771.94124349751</v>
      </c>
      <c r="V418" s="8">
        <v>0.152</v>
      </c>
      <c r="W418" s="8">
        <v>0.14799999999999999</v>
      </c>
      <c r="X418" s="8">
        <v>5.2999999999999999E-2</v>
      </c>
      <c r="Y418" t="s">
        <v>930</v>
      </c>
      <c r="Z418" t="s">
        <v>889</v>
      </c>
      <c r="AA418" s="6">
        <v>131895.3320155043</v>
      </c>
      <c r="AB418" s="7">
        <f>DealsRawTable[[#This Row],[Final_Price_ACV]]*DealsRawTable[[#This Row],[Contract_Years]]</f>
        <v>131895.3320155043</v>
      </c>
      <c r="AC418" s="6">
        <v>61328.734981867361</v>
      </c>
      <c r="AD418" s="6">
        <v>70566.597033636936</v>
      </c>
      <c r="AE418" s="8">
        <v>0.53501967018318608</v>
      </c>
      <c r="AF418" t="s">
        <v>457</v>
      </c>
      <c r="AG418" t="s">
        <v>38</v>
      </c>
      <c r="AI418" t="s">
        <v>38</v>
      </c>
      <c r="AJ418" s="6">
        <v>0</v>
      </c>
      <c r="AK418" s="6">
        <v>0</v>
      </c>
      <c r="AL418" t="s">
        <v>881</v>
      </c>
      <c r="AM418">
        <f t="shared" si="12"/>
        <v>131865.69</v>
      </c>
      <c r="AN418">
        <f>DealsRawTable[[#This Row],[Validated_Annual_Final_Price]]*DealsRawTable[[#This Row],[Contract_Years]]</f>
        <v>131865.69</v>
      </c>
      <c r="AO418">
        <f>DealsRawTable[[#This Row],[Validated_Annual_Final_Price]]-DealsRawTable[[#This Row],[Cost_to_Serve]]</f>
        <v>70536.955018132634</v>
      </c>
      <c r="AP418" s="17">
        <f>DealsRawTable[[#This Row],[Validated_Grossprofit]]/DealsRawTable[[#This Row],[Validated_Annual_Final_Price]]</f>
        <v>0.53491514751208313</v>
      </c>
      <c r="AQ418" s="17">
        <v>0</v>
      </c>
      <c r="AR418" s="17">
        <v>0</v>
      </c>
      <c r="AS418" s="17">
        <v>0</v>
      </c>
      <c r="AT418" s="17">
        <v>0</v>
      </c>
      <c r="AU418" s="17" t="str">
        <f t="shared" si="13"/>
        <v>10–15%</v>
      </c>
      <c r="AV418" s="17">
        <v>113</v>
      </c>
      <c r="AW418" s="17"/>
    </row>
    <row r="419" spans="1:49">
      <c r="A419" t="s">
        <v>1324</v>
      </c>
      <c r="B419" s="5">
        <v>45389</v>
      </c>
      <c r="C419" t="s">
        <v>294</v>
      </c>
      <c r="D419" t="s">
        <v>295</v>
      </c>
      <c r="E419" t="s">
        <v>704</v>
      </c>
      <c r="F419" t="s">
        <v>47</v>
      </c>
      <c r="G419" t="s">
        <v>47</v>
      </c>
      <c r="H419" t="s">
        <v>70</v>
      </c>
      <c r="I419" t="s">
        <v>71</v>
      </c>
      <c r="J419" t="s">
        <v>56</v>
      </c>
      <c r="K419" t="s">
        <v>38</v>
      </c>
      <c r="L419" s="5">
        <v>44501</v>
      </c>
      <c r="M419">
        <v>62</v>
      </c>
      <c r="N419" t="s">
        <v>431</v>
      </c>
      <c r="O419" t="s">
        <v>883</v>
      </c>
      <c r="P419" t="s">
        <v>899</v>
      </c>
      <c r="Q419">
        <v>2</v>
      </c>
      <c r="R419">
        <v>138</v>
      </c>
      <c r="S419" t="s">
        <v>900</v>
      </c>
      <c r="T419" s="6">
        <v>72388.706844585977</v>
      </c>
      <c r="U419" s="7">
        <f>T419*DealsRawTable[[#This Row],[Contract_Years]]</f>
        <v>144777.41368917195</v>
      </c>
      <c r="V419" s="8">
        <v>1.4999999999999999E-2</v>
      </c>
      <c r="W419" s="8">
        <v>0</v>
      </c>
      <c r="X419" s="8">
        <v>-8.0000000000000002E-3</v>
      </c>
      <c r="Y419" t="s">
        <v>885</v>
      </c>
      <c r="Z419" t="s">
        <v>879</v>
      </c>
      <c r="AA419" s="6">
        <v>72388.706844585977</v>
      </c>
      <c r="AB419" s="7">
        <f>DealsRawTable[[#This Row],[Final_Price_ACV]]*DealsRawTable[[#This Row],[Contract_Years]]</f>
        <v>144777.41368917195</v>
      </c>
      <c r="AC419" s="6">
        <v>27344.539673911779</v>
      </c>
      <c r="AD419" s="6">
        <v>45044.167170674198</v>
      </c>
      <c r="AE419" s="8">
        <v>0.62225406605730926</v>
      </c>
      <c r="AF419" t="s">
        <v>457</v>
      </c>
      <c r="AH419" t="s">
        <v>38</v>
      </c>
      <c r="AI419" t="s">
        <v>38</v>
      </c>
      <c r="AJ419" s="6">
        <v>0</v>
      </c>
      <c r="AK419" s="6">
        <v>0</v>
      </c>
      <c r="AL419" t="s">
        <v>886</v>
      </c>
      <c r="AM419">
        <f t="shared" si="12"/>
        <v>72388.710000000006</v>
      </c>
      <c r="AN419">
        <f>DealsRawTable[[#This Row],[Validated_Annual_Final_Price]]*DealsRawTable[[#This Row],[Contract_Years]]</f>
        <v>144777.42000000001</v>
      </c>
      <c r="AO419">
        <f>DealsRawTable[[#This Row],[Validated_Annual_Final_Price]]-DealsRawTable[[#This Row],[Cost_to_Serve]]</f>
        <v>45044.170326088228</v>
      </c>
      <c r="AP419" s="17">
        <f>DealsRawTable[[#This Row],[Validated_Grossprofit]]/DealsRawTable[[#This Row],[Validated_Annual_Final_Price]]</f>
        <v>0.62225408252320313</v>
      </c>
      <c r="AQ419" s="17">
        <v>0</v>
      </c>
      <c r="AR419" s="17">
        <v>0</v>
      </c>
      <c r="AS419" s="17">
        <v>0</v>
      </c>
      <c r="AT419" s="17">
        <v>0</v>
      </c>
      <c r="AU419" s="17" t="str">
        <f t="shared" si="13"/>
        <v>0–5%</v>
      </c>
      <c r="AV419" s="17">
        <v>55</v>
      </c>
      <c r="AW419" s="17"/>
    </row>
    <row r="420" spans="1:49">
      <c r="A420" t="s">
        <v>1325</v>
      </c>
      <c r="B420" s="5">
        <v>45504</v>
      </c>
      <c r="C420" t="s">
        <v>294</v>
      </c>
      <c r="D420" t="s">
        <v>295</v>
      </c>
      <c r="E420" t="s">
        <v>704</v>
      </c>
      <c r="F420" t="s">
        <v>47</v>
      </c>
      <c r="G420" t="s">
        <v>47</v>
      </c>
      <c r="H420" t="s">
        <v>70</v>
      </c>
      <c r="I420" t="s">
        <v>71</v>
      </c>
      <c r="J420" t="s">
        <v>56</v>
      </c>
      <c r="K420" t="s">
        <v>38</v>
      </c>
      <c r="L420" s="5">
        <v>44501</v>
      </c>
      <c r="M420">
        <v>62</v>
      </c>
      <c r="N420" t="s">
        <v>431</v>
      </c>
      <c r="O420" t="s">
        <v>876</v>
      </c>
      <c r="Q420">
        <v>2</v>
      </c>
      <c r="R420">
        <v>120</v>
      </c>
      <c r="S420" t="s">
        <v>892</v>
      </c>
      <c r="T420" s="6">
        <v>65092.019573495665</v>
      </c>
      <c r="U420" s="7">
        <f>T420*DealsRawTable[[#This Row],[Contract_Years]]</f>
        <v>130184.03914699133</v>
      </c>
      <c r="V420" s="8">
        <v>0.191</v>
      </c>
      <c r="W420" s="8">
        <v>0.17499999999999999</v>
      </c>
      <c r="X420" s="8">
        <v>-5.8999999999999997E-2</v>
      </c>
      <c r="Y420" t="s">
        <v>878</v>
      </c>
      <c r="Z420" t="s">
        <v>889</v>
      </c>
      <c r="AA420" s="6">
        <v>53701.739093555901</v>
      </c>
      <c r="AB420" s="7">
        <f>DealsRawTable[[#This Row],[Final_Price_ACV]]*DealsRawTable[[#This Row],[Contract_Years]]</f>
        <v>107403.4781871118</v>
      </c>
      <c r="AC420" s="6">
        <v>25740.104994044312</v>
      </c>
      <c r="AD420" s="6">
        <v>27961.63409951159</v>
      </c>
      <c r="AE420" s="8">
        <v>0.52068395868518402</v>
      </c>
      <c r="AF420" t="s">
        <v>880</v>
      </c>
      <c r="AG420" t="s">
        <v>44</v>
      </c>
      <c r="AI420" t="s">
        <v>38</v>
      </c>
      <c r="AJ420" s="6">
        <v>53701.739093555901</v>
      </c>
      <c r="AK420" s="6">
        <v>27961.63409951159</v>
      </c>
      <c r="AL420" t="s">
        <v>881</v>
      </c>
      <c r="AM420">
        <f t="shared" si="12"/>
        <v>53700.92</v>
      </c>
      <c r="AN420">
        <f>DealsRawTable[[#This Row],[Validated_Annual_Final_Price]]*DealsRawTable[[#This Row],[Contract_Years]]</f>
        <v>107401.84</v>
      </c>
      <c r="AO420">
        <f>DealsRawTable[[#This Row],[Validated_Annual_Final_Price]]-DealsRawTable[[#This Row],[Cost_to_Serve]]</f>
        <v>27960.815005955687</v>
      </c>
      <c r="AP420" s="17">
        <f>DealsRawTable[[#This Row],[Validated_Grossprofit]]/DealsRawTable[[#This Row],[Validated_Annual_Final_Price]]</f>
        <v>0.52067664773630862</v>
      </c>
      <c r="AQ420" s="17">
        <v>53700.92</v>
      </c>
      <c r="AR420" s="17">
        <v>107401.84</v>
      </c>
      <c r="AS420" s="17">
        <v>27960.815005955687</v>
      </c>
      <c r="AT420" s="17">
        <v>0.52067664773630862</v>
      </c>
      <c r="AU420" s="17" t="str">
        <f t="shared" si="13"/>
        <v>15–20%</v>
      </c>
      <c r="AV420" s="17">
        <v>108</v>
      </c>
      <c r="AW420" s="17"/>
    </row>
    <row r="421" spans="1:49">
      <c r="A421" t="s">
        <v>1326</v>
      </c>
      <c r="B421" s="5">
        <v>45323</v>
      </c>
      <c r="C421" t="s">
        <v>294</v>
      </c>
      <c r="D421" t="s">
        <v>295</v>
      </c>
      <c r="E421" t="s">
        <v>705</v>
      </c>
      <c r="F421" t="s">
        <v>47</v>
      </c>
      <c r="G421" t="s">
        <v>47</v>
      </c>
      <c r="H421" t="s">
        <v>70</v>
      </c>
      <c r="I421" t="s">
        <v>71</v>
      </c>
      <c r="J421" t="s">
        <v>56</v>
      </c>
      <c r="K421" t="s">
        <v>38</v>
      </c>
      <c r="L421" s="5">
        <v>44501</v>
      </c>
      <c r="M421">
        <v>62</v>
      </c>
      <c r="N421" t="s">
        <v>429</v>
      </c>
      <c r="O421" t="s">
        <v>891</v>
      </c>
      <c r="Q421">
        <v>1</v>
      </c>
      <c r="R421">
        <v>111</v>
      </c>
      <c r="S421" t="s">
        <v>888</v>
      </c>
      <c r="T421" s="6">
        <v>128343.07696766748</v>
      </c>
      <c r="U421" s="7">
        <f>T421*DealsRawTable[[#This Row],[Contract_Years]]</f>
        <v>128343.07696766748</v>
      </c>
      <c r="V421" s="8">
        <v>0.159</v>
      </c>
      <c r="W421" s="8">
        <v>9.8000000000000004E-2</v>
      </c>
      <c r="X421" s="8">
        <v>6.0999999999999999E-2</v>
      </c>
      <c r="Y421" t="s">
        <v>911</v>
      </c>
      <c r="Z421" t="s">
        <v>879</v>
      </c>
      <c r="AA421" s="6">
        <v>115711.64868766069</v>
      </c>
      <c r="AB421" s="7">
        <f>DealsRawTable[[#This Row],[Final_Price_ACV]]*DealsRawTable[[#This Row],[Contract_Years]]</f>
        <v>115711.64868766069</v>
      </c>
      <c r="AC421" s="6">
        <v>45032.752455305344</v>
      </c>
      <c r="AD421" s="6">
        <v>70678.896232355357</v>
      </c>
      <c r="AE421" s="8">
        <v>0.61081919611341984</v>
      </c>
      <c r="AF421" t="s">
        <v>880</v>
      </c>
      <c r="AI421" t="s">
        <v>38</v>
      </c>
      <c r="AJ421" s="6">
        <v>115711.64868766069</v>
      </c>
      <c r="AK421" s="6">
        <v>70678.896232355357</v>
      </c>
      <c r="AL421" t="s">
        <v>894</v>
      </c>
      <c r="AM421">
        <f t="shared" si="12"/>
        <v>115765.46</v>
      </c>
      <c r="AN421">
        <f>DealsRawTable[[#This Row],[Validated_Annual_Final_Price]]*DealsRawTable[[#This Row],[Contract_Years]]</f>
        <v>115765.46</v>
      </c>
      <c r="AO421">
        <f>DealsRawTable[[#This Row],[Validated_Annual_Final_Price]]-DealsRawTable[[#This Row],[Cost_to_Serve]]</f>
        <v>70732.707544694655</v>
      </c>
      <c r="AP421" s="17">
        <f>DealsRawTable[[#This Row],[Validated_Grossprofit]]/DealsRawTable[[#This Row],[Validated_Annual_Final_Price]]</f>
        <v>0.61100009920657383</v>
      </c>
      <c r="AQ421" s="17">
        <v>115765.46</v>
      </c>
      <c r="AR421" s="17">
        <v>115765.46</v>
      </c>
      <c r="AS421" s="17">
        <v>70732.707544694655</v>
      </c>
      <c r="AT421" s="17">
        <v>0.61100009920657383</v>
      </c>
      <c r="AU421" s="17" t="str">
        <f t="shared" si="13"/>
        <v>5–10%</v>
      </c>
      <c r="AV421" s="17">
        <v>116</v>
      </c>
      <c r="AW421" s="17"/>
    </row>
    <row r="422" spans="1:49">
      <c r="A422" t="s">
        <v>1327</v>
      </c>
      <c r="B422" s="5">
        <v>45688</v>
      </c>
      <c r="C422" t="s">
        <v>294</v>
      </c>
      <c r="D422" t="s">
        <v>295</v>
      </c>
      <c r="E422" t="s">
        <v>705</v>
      </c>
      <c r="F422" t="s">
        <v>47</v>
      </c>
      <c r="G422" t="s">
        <v>47</v>
      </c>
      <c r="H422" t="s">
        <v>70</v>
      </c>
      <c r="I422" t="s">
        <v>71</v>
      </c>
      <c r="J422" t="s">
        <v>56</v>
      </c>
      <c r="K422" t="s">
        <v>38</v>
      </c>
      <c r="L422" s="5">
        <v>44501</v>
      </c>
      <c r="M422">
        <v>62</v>
      </c>
      <c r="N422" t="s">
        <v>429</v>
      </c>
      <c r="O422" t="s">
        <v>876</v>
      </c>
      <c r="Q422">
        <v>1</v>
      </c>
      <c r="R422">
        <v>111</v>
      </c>
      <c r="S422" t="s">
        <v>892</v>
      </c>
      <c r="T422" s="6">
        <v>136011.97640580739</v>
      </c>
      <c r="U422" s="7">
        <f>T422*DealsRawTable[[#This Row],[Contract_Years]]</f>
        <v>136011.97640580739</v>
      </c>
      <c r="V422" s="8">
        <v>0.13100000000000001</v>
      </c>
      <c r="W422" s="8">
        <v>0.123</v>
      </c>
      <c r="X422" s="8">
        <v>-4.5999999999999999E-2</v>
      </c>
      <c r="Y422" t="s">
        <v>878</v>
      </c>
      <c r="Z422" t="s">
        <v>889</v>
      </c>
      <c r="AA422" s="6">
        <v>119339.62635466814</v>
      </c>
      <c r="AB422" s="7">
        <f>DealsRawTable[[#This Row],[Final_Price_ACV]]*DealsRawTable[[#This Row],[Contract_Years]]</f>
        <v>119339.62635466814</v>
      </c>
      <c r="AC422" s="6">
        <v>45461.57838214354</v>
      </c>
      <c r="AD422" s="6">
        <v>73878.047972524597</v>
      </c>
      <c r="AE422" s="8">
        <v>0.61905714161501357</v>
      </c>
      <c r="AF422" t="s">
        <v>457</v>
      </c>
      <c r="AG422" t="s">
        <v>38</v>
      </c>
      <c r="AI422" t="s">
        <v>38</v>
      </c>
      <c r="AJ422" s="6">
        <v>0</v>
      </c>
      <c r="AK422" s="6">
        <v>0</v>
      </c>
      <c r="AL422" t="s">
        <v>881</v>
      </c>
      <c r="AM422">
        <f t="shared" si="12"/>
        <v>119282.5</v>
      </c>
      <c r="AN422">
        <f>DealsRawTable[[#This Row],[Validated_Annual_Final_Price]]*DealsRawTable[[#This Row],[Contract_Years]]</f>
        <v>119282.5</v>
      </c>
      <c r="AO422">
        <f>DealsRawTable[[#This Row],[Validated_Annual_Final_Price]]-DealsRawTable[[#This Row],[Cost_to_Serve]]</f>
        <v>73820.921617856453</v>
      </c>
      <c r="AP422" s="17">
        <f>DealsRawTable[[#This Row],[Validated_Grossprofit]]/DealsRawTable[[#This Row],[Validated_Annual_Final_Price]]</f>
        <v>0.61887470180333626</v>
      </c>
      <c r="AQ422" s="17">
        <v>0</v>
      </c>
      <c r="AR422" s="17">
        <v>0</v>
      </c>
      <c r="AS422" s="17">
        <v>0</v>
      </c>
      <c r="AT422" s="17">
        <v>0</v>
      </c>
      <c r="AU422" s="17" t="str">
        <f t="shared" si="13"/>
        <v>10–15%</v>
      </c>
      <c r="AV422" s="17">
        <v>113</v>
      </c>
      <c r="AW422" s="17"/>
    </row>
    <row r="423" spans="1:49">
      <c r="A423" t="s">
        <v>1328</v>
      </c>
      <c r="B423" s="5">
        <v>45831</v>
      </c>
      <c r="C423" t="s">
        <v>296</v>
      </c>
      <c r="D423" t="s">
        <v>297</v>
      </c>
      <c r="E423" t="s">
        <v>706</v>
      </c>
      <c r="F423" t="s">
        <v>445</v>
      </c>
      <c r="G423" t="s">
        <v>47</v>
      </c>
      <c r="H423" t="s">
        <v>48</v>
      </c>
      <c r="I423" t="s">
        <v>49</v>
      </c>
      <c r="J423" t="s">
        <v>37</v>
      </c>
      <c r="K423" t="s">
        <v>38</v>
      </c>
      <c r="L423" s="5">
        <v>45323</v>
      </c>
      <c r="M423">
        <v>52</v>
      </c>
      <c r="N423" t="s">
        <v>429</v>
      </c>
      <c r="O423" t="s">
        <v>891</v>
      </c>
      <c r="Q423">
        <v>3</v>
      </c>
      <c r="R423">
        <v>24</v>
      </c>
      <c r="S423" t="s">
        <v>900</v>
      </c>
      <c r="T423" s="6">
        <v>61778.895710927878</v>
      </c>
      <c r="U423" s="7">
        <f>T423*DealsRawTable[[#This Row],[Contract_Years]]</f>
        <v>185336.68713278364</v>
      </c>
      <c r="V423" s="8">
        <v>0.17599999999999999</v>
      </c>
      <c r="W423" s="8">
        <v>0.159</v>
      </c>
      <c r="X423" s="8">
        <v>0.10299999999999999</v>
      </c>
      <c r="Y423" t="s">
        <v>885</v>
      </c>
      <c r="Z423" t="s">
        <v>889</v>
      </c>
      <c r="AA423" s="6">
        <v>51929.481043606742</v>
      </c>
      <c r="AB423" s="7">
        <f>DealsRawTable[[#This Row],[Final_Price_ACV]]*DealsRawTable[[#This Row],[Contract_Years]]</f>
        <v>155788.44313082023</v>
      </c>
      <c r="AC423" s="6">
        <v>23250.472711025202</v>
      </c>
      <c r="AD423" s="6">
        <v>28679.008332581539</v>
      </c>
      <c r="AE423" s="8">
        <v>0.55226834076194442</v>
      </c>
      <c r="AF423" t="s">
        <v>457</v>
      </c>
      <c r="AI423" t="s">
        <v>38</v>
      </c>
      <c r="AJ423" s="6">
        <v>0</v>
      </c>
      <c r="AK423" s="6">
        <v>0</v>
      </c>
      <c r="AL423" t="s">
        <v>894</v>
      </c>
      <c r="AM423">
        <f t="shared" si="12"/>
        <v>51956.05</v>
      </c>
      <c r="AN423">
        <f>DealsRawTable[[#This Row],[Validated_Annual_Final_Price]]*DealsRawTable[[#This Row],[Contract_Years]]</f>
        <v>155868.15000000002</v>
      </c>
      <c r="AO423">
        <f>DealsRawTable[[#This Row],[Validated_Annual_Final_Price]]-DealsRawTable[[#This Row],[Cost_to_Serve]]</f>
        <v>28705.5772889748</v>
      </c>
      <c r="AP423" s="17">
        <f>DealsRawTable[[#This Row],[Validated_Grossprofit]]/DealsRawTable[[#This Row],[Validated_Annual_Final_Price]]</f>
        <v>0.55249729894737565</v>
      </c>
      <c r="AQ423" s="17">
        <v>0</v>
      </c>
      <c r="AR423" s="17">
        <v>0</v>
      </c>
      <c r="AS423" s="17">
        <v>0</v>
      </c>
      <c r="AT423" s="17">
        <v>0</v>
      </c>
      <c r="AU423" s="17" t="str">
        <f t="shared" si="13"/>
        <v>15–20%</v>
      </c>
      <c r="AV423" s="17">
        <v>108</v>
      </c>
      <c r="AW423" s="17"/>
    </row>
    <row r="424" spans="1:49">
      <c r="A424" t="s">
        <v>1329</v>
      </c>
      <c r="B424" s="5">
        <v>45991</v>
      </c>
      <c r="C424" t="s">
        <v>296</v>
      </c>
      <c r="D424" t="s">
        <v>297</v>
      </c>
      <c r="E424" t="s">
        <v>706</v>
      </c>
      <c r="F424" t="s">
        <v>445</v>
      </c>
      <c r="G424" t="s">
        <v>47</v>
      </c>
      <c r="H424" t="s">
        <v>48</v>
      </c>
      <c r="I424" t="s">
        <v>49</v>
      </c>
      <c r="J424" t="s">
        <v>37</v>
      </c>
      <c r="K424" t="s">
        <v>38</v>
      </c>
      <c r="L424" s="5">
        <v>45323</v>
      </c>
      <c r="M424">
        <v>52</v>
      </c>
      <c r="N424" t="s">
        <v>429</v>
      </c>
      <c r="O424" t="s">
        <v>915</v>
      </c>
      <c r="Q424">
        <v>3</v>
      </c>
      <c r="R424">
        <v>24</v>
      </c>
      <c r="S424" t="s">
        <v>892</v>
      </c>
      <c r="T424" s="6">
        <v>61778.895710927878</v>
      </c>
      <c r="U424" s="7">
        <f>T424*DealsRawTable[[#This Row],[Contract_Years]]</f>
        <v>185336.68713278364</v>
      </c>
      <c r="V424" s="8">
        <v>0.111</v>
      </c>
      <c r="W424" s="8">
        <v>7.4999999999999997E-2</v>
      </c>
      <c r="X424" s="8">
        <v>-1.2999999999999999E-2</v>
      </c>
      <c r="Y424" t="s">
        <v>878</v>
      </c>
      <c r="Z424" t="s">
        <v>879</v>
      </c>
      <c r="AA424" s="6">
        <v>57165.260774206479</v>
      </c>
      <c r="AB424" s="7">
        <f>DealsRawTable[[#This Row],[Final_Price_ACV]]*DealsRawTable[[#This Row],[Contract_Years]]</f>
        <v>171495.78232261943</v>
      </c>
      <c r="AC424" s="6">
        <v>22552.961514578477</v>
      </c>
      <c r="AD424" s="6">
        <v>34612.299259628002</v>
      </c>
      <c r="AE424" s="8">
        <v>0.60547785124852271</v>
      </c>
      <c r="AF424" t="s">
        <v>880</v>
      </c>
      <c r="AI424" t="s">
        <v>44</v>
      </c>
      <c r="AJ424" s="6">
        <v>57165.260774206479</v>
      </c>
      <c r="AK424" s="6">
        <v>34612.299259628002</v>
      </c>
      <c r="AL424" t="s">
        <v>934</v>
      </c>
      <c r="AM424">
        <f t="shared" si="12"/>
        <v>57145.48</v>
      </c>
      <c r="AN424">
        <f>DealsRawTable[[#This Row],[Validated_Annual_Final_Price]]*DealsRawTable[[#This Row],[Contract_Years]]</f>
        <v>171436.44</v>
      </c>
      <c r="AO424">
        <f>DealsRawTable[[#This Row],[Validated_Annual_Final_Price]]-DealsRawTable[[#This Row],[Cost_to_Serve]]</f>
        <v>34592.518485421526</v>
      </c>
      <c r="AP424" s="17">
        <f>DealsRawTable[[#This Row],[Validated_Grossprofit]]/DealsRawTable[[#This Row],[Validated_Annual_Final_Price]]</f>
        <v>0.60534128832974232</v>
      </c>
      <c r="AQ424" s="17">
        <v>57145.48</v>
      </c>
      <c r="AR424" s="17">
        <v>171436.44</v>
      </c>
      <c r="AS424" s="17">
        <v>34592.518485421526</v>
      </c>
      <c r="AT424" s="17">
        <v>0.60534128832974232</v>
      </c>
      <c r="AU424" s="17" t="str">
        <f t="shared" si="13"/>
        <v>5–10%</v>
      </c>
      <c r="AV424" s="17">
        <v>116</v>
      </c>
      <c r="AW424" s="17"/>
    </row>
    <row r="425" spans="1:49">
      <c r="A425" t="s">
        <v>1330</v>
      </c>
      <c r="B425" s="5">
        <v>45761</v>
      </c>
      <c r="C425" t="s">
        <v>296</v>
      </c>
      <c r="D425" t="s">
        <v>297</v>
      </c>
      <c r="E425" t="s">
        <v>707</v>
      </c>
      <c r="F425" t="s">
        <v>466</v>
      </c>
      <c r="G425" t="s">
        <v>47</v>
      </c>
      <c r="H425" t="s">
        <v>48</v>
      </c>
      <c r="I425" t="s">
        <v>49</v>
      </c>
      <c r="J425" t="s">
        <v>37</v>
      </c>
      <c r="K425" t="s">
        <v>38</v>
      </c>
      <c r="L425" s="5">
        <v>45323</v>
      </c>
      <c r="M425">
        <v>52</v>
      </c>
      <c r="N425" t="s">
        <v>433</v>
      </c>
      <c r="O425" t="s">
        <v>891</v>
      </c>
      <c r="Q425">
        <v>1</v>
      </c>
      <c r="R425">
        <v>53</v>
      </c>
      <c r="S425" t="s">
        <v>907</v>
      </c>
      <c r="T425" s="6">
        <v>124319.21836194971</v>
      </c>
      <c r="U425" s="7">
        <f>T425*DealsRawTable[[#This Row],[Contract_Years]]</f>
        <v>124319.21836194971</v>
      </c>
      <c r="V425" s="8">
        <v>6.4000000000000001E-2</v>
      </c>
      <c r="W425" s="8">
        <v>5.6000000000000001E-2</v>
      </c>
      <c r="X425" s="8">
        <v>6.7000000000000004E-2</v>
      </c>
      <c r="Y425" t="s">
        <v>878</v>
      </c>
      <c r="Z425" t="s">
        <v>879</v>
      </c>
      <c r="AA425" s="6">
        <v>117310.62302615996</v>
      </c>
      <c r="AB425" s="7">
        <f>DealsRawTable[[#This Row],[Final_Price_ACV]]*DealsRawTable[[#This Row],[Contract_Years]]</f>
        <v>117310.62302615996</v>
      </c>
      <c r="AC425" s="6">
        <v>49674.658966232491</v>
      </c>
      <c r="AD425" s="6">
        <v>67635.964059927472</v>
      </c>
      <c r="AE425" s="8">
        <v>0.57655446979294311</v>
      </c>
      <c r="AF425" t="s">
        <v>880</v>
      </c>
      <c r="AI425" t="s">
        <v>38</v>
      </c>
      <c r="AJ425" s="6">
        <v>117310.62302615996</v>
      </c>
      <c r="AK425" s="6">
        <v>67635.964059927472</v>
      </c>
      <c r="AL425" t="s">
        <v>894</v>
      </c>
      <c r="AM425">
        <f t="shared" si="12"/>
        <v>117357.34</v>
      </c>
      <c r="AN425">
        <f>DealsRawTable[[#This Row],[Validated_Annual_Final_Price]]*DealsRawTable[[#This Row],[Contract_Years]]</f>
        <v>117357.34</v>
      </c>
      <c r="AO425">
        <f>DealsRawTable[[#This Row],[Validated_Annual_Final_Price]]-DealsRawTable[[#This Row],[Cost_to_Serve]]</f>
        <v>67682.681033767498</v>
      </c>
      <c r="AP425" s="17">
        <f>DealsRawTable[[#This Row],[Validated_Grossprofit]]/DealsRawTable[[#This Row],[Validated_Annual_Final_Price]]</f>
        <v>0.57672303269456771</v>
      </c>
      <c r="AQ425" s="17">
        <v>117357.34</v>
      </c>
      <c r="AR425" s="17">
        <v>117357.34</v>
      </c>
      <c r="AS425" s="17">
        <v>67682.681033767498</v>
      </c>
      <c r="AT425" s="17">
        <v>0.57672303269456771</v>
      </c>
      <c r="AU425" s="17" t="str">
        <f t="shared" si="13"/>
        <v>5–10%</v>
      </c>
      <c r="AV425" s="17">
        <v>116</v>
      </c>
      <c r="AW425" s="17"/>
    </row>
    <row r="426" spans="1:49">
      <c r="A426" t="s">
        <v>1331</v>
      </c>
      <c r="B426" s="5">
        <v>45764</v>
      </c>
      <c r="C426" t="s">
        <v>296</v>
      </c>
      <c r="D426" t="s">
        <v>297</v>
      </c>
      <c r="E426" t="s">
        <v>708</v>
      </c>
      <c r="F426" t="s">
        <v>34</v>
      </c>
      <c r="G426" t="s">
        <v>47</v>
      </c>
      <c r="H426" t="s">
        <v>48</v>
      </c>
      <c r="I426" t="s">
        <v>49</v>
      </c>
      <c r="J426" t="s">
        <v>37</v>
      </c>
      <c r="K426" t="s">
        <v>38</v>
      </c>
      <c r="L426" s="5">
        <v>45323</v>
      </c>
      <c r="M426">
        <v>52</v>
      </c>
      <c r="N426" t="s">
        <v>429</v>
      </c>
      <c r="O426" t="s">
        <v>891</v>
      </c>
      <c r="Q426">
        <v>1</v>
      </c>
      <c r="R426">
        <v>58</v>
      </c>
      <c r="S426" t="s">
        <v>877</v>
      </c>
      <c r="T426" s="6">
        <v>75601.333006112167</v>
      </c>
      <c r="U426" s="7">
        <f>T426*DealsRawTable[[#This Row],[Contract_Years]]</f>
        <v>75601.333006112167</v>
      </c>
      <c r="V426" s="8">
        <v>0.14399999999999999</v>
      </c>
      <c r="W426" s="8">
        <v>0.10199999999999999</v>
      </c>
      <c r="X426" s="8">
        <v>-6.6000000000000003E-2</v>
      </c>
      <c r="Y426" t="s">
        <v>897</v>
      </c>
      <c r="Z426" t="s">
        <v>889</v>
      </c>
      <c r="AA426" s="6">
        <v>67923.948264067702</v>
      </c>
      <c r="AB426" s="7">
        <f>DealsRawTable[[#This Row],[Final_Price_ACV]]*DealsRawTable[[#This Row],[Contract_Years]]</f>
        <v>67923.948264067702</v>
      </c>
      <c r="AC426" s="6">
        <v>28420.591660303988</v>
      </c>
      <c r="AD426" s="6">
        <v>39503.356603763714</v>
      </c>
      <c r="AE426" s="8">
        <v>0.58158216083356418</v>
      </c>
      <c r="AF426" t="s">
        <v>880</v>
      </c>
      <c r="AI426" t="s">
        <v>38</v>
      </c>
      <c r="AJ426" s="6">
        <v>67923.948264067702</v>
      </c>
      <c r="AK426" s="6">
        <v>39503.356603763714</v>
      </c>
      <c r="AL426" t="s">
        <v>894</v>
      </c>
      <c r="AM426">
        <f t="shared" si="12"/>
        <v>67890</v>
      </c>
      <c r="AN426">
        <f>DealsRawTable[[#This Row],[Validated_Annual_Final_Price]]*DealsRawTable[[#This Row],[Contract_Years]]</f>
        <v>67890</v>
      </c>
      <c r="AO426">
        <f>DealsRawTable[[#This Row],[Validated_Annual_Final_Price]]-DealsRawTable[[#This Row],[Cost_to_Serve]]</f>
        <v>39469.408339696012</v>
      </c>
      <c r="AP426" s="17">
        <f>DealsRawTable[[#This Row],[Validated_Grossprofit]]/DealsRawTable[[#This Row],[Validated_Annual_Final_Price]]</f>
        <v>0.58137293179696581</v>
      </c>
      <c r="AQ426" s="17">
        <v>67890</v>
      </c>
      <c r="AR426" s="17">
        <v>67890</v>
      </c>
      <c r="AS426" s="17">
        <v>39469.408339696012</v>
      </c>
      <c r="AT426" s="17">
        <v>0.58137293179696581</v>
      </c>
      <c r="AU426" s="17" t="str">
        <f t="shared" si="13"/>
        <v>10–15%</v>
      </c>
      <c r="AV426" s="17">
        <v>113</v>
      </c>
      <c r="AW426" s="17"/>
    </row>
    <row r="427" spans="1:49">
      <c r="A427" t="s">
        <v>1332</v>
      </c>
      <c r="B427" s="5">
        <v>45347</v>
      </c>
      <c r="C427" t="s">
        <v>298</v>
      </c>
      <c r="D427" t="s">
        <v>299</v>
      </c>
      <c r="E427" t="s">
        <v>709</v>
      </c>
      <c r="F427" t="s">
        <v>449</v>
      </c>
      <c r="G427" t="s">
        <v>47</v>
      </c>
      <c r="H427" t="s">
        <v>70</v>
      </c>
      <c r="I427" t="s">
        <v>76</v>
      </c>
      <c r="J427" t="s">
        <v>43</v>
      </c>
      <c r="K427" t="s">
        <v>44</v>
      </c>
      <c r="L427" s="5">
        <v>44896</v>
      </c>
      <c r="M427">
        <v>59</v>
      </c>
      <c r="N427" t="s">
        <v>433</v>
      </c>
      <c r="O427" t="s">
        <v>876</v>
      </c>
      <c r="Q427">
        <v>1</v>
      </c>
      <c r="R427">
        <v>1728</v>
      </c>
      <c r="S427" t="s">
        <v>907</v>
      </c>
      <c r="T427" s="6">
        <v>745014.1031997262</v>
      </c>
      <c r="U427" s="7">
        <f>T427*DealsRawTable[[#This Row],[Contract_Years]]</f>
        <v>745014.1031997262</v>
      </c>
      <c r="V427" s="8">
        <v>0.14299999999999999</v>
      </c>
      <c r="W427" s="8">
        <v>0.109</v>
      </c>
      <c r="X427" s="8">
        <v>-8.5000000000000006E-2</v>
      </c>
      <c r="Y427" t="s">
        <v>878</v>
      </c>
      <c r="Z427" t="s">
        <v>889</v>
      </c>
      <c r="AA427" s="6">
        <v>663992.07488345192</v>
      </c>
      <c r="AB427" s="7">
        <f>DealsRawTable[[#This Row],[Final_Price_ACV]]*DealsRawTable[[#This Row],[Contract_Years]]</f>
        <v>663992.07488345192</v>
      </c>
      <c r="AC427" s="6">
        <v>260031.44809585271</v>
      </c>
      <c r="AD427" s="6">
        <v>403960.62678759918</v>
      </c>
      <c r="AE427" s="8">
        <v>0.60838169922209517</v>
      </c>
      <c r="AF427" t="s">
        <v>880</v>
      </c>
      <c r="AG427" t="s">
        <v>44</v>
      </c>
      <c r="AI427" t="s">
        <v>38</v>
      </c>
      <c r="AJ427" s="6">
        <v>663992.07488345192</v>
      </c>
      <c r="AK427" s="6">
        <v>403960.62678759918</v>
      </c>
      <c r="AL427" t="s">
        <v>881</v>
      </c>
      <c r="AM427">
        <f t="shared" si="12"/>
        <v>663807.56999999995</v>
      </c>
      <c r="AN427">
        <f>DealsRawTable[[#This Row],[Validated_Annual_Final_Price]]*DealsRawTable[[#This Row],[Contract_Years]]</f>
        <v>663807.56999999995</v>
      </c>
      <c r="AO427">
        <f>DealsRawTable[[#This Row],[Validated_Annual_Final_Price]]-DealsRawTable[[#This Row],[Cost_to_Serve]]</f>
        <v>403776.12190414721</v>
      </c>
      <c r="AP427" s="17">
        <f>DealsRawTable[[#This Row],[Validated_Grossprofit]]/DealsRawTable[[#This Row],[Validated_Annual_Final_Price]]</f>
        <v>0.60827284916944713</v>
      </c>
      <c r="AQ427" s="17">
        <v>663807.56999999995</v>
      </c>
      <c r="AR427" s="17">
        <v>663807.56999999995</v>
      </c>
      <c r="AS427" s="17">
        <v>403776.12190414721</v>
      </c>
      <c r="AT427" s="17">
        <v>0.60827284916944713</v>
      </c>
      <c r="AU427" s="17" t="str">
        <f t="shared" si="13"/>
        <v>10–15%</v>
      </c>
      <c r="AV427" s="17">
        <v>113</v>
      </c>
      <c r="AW427" s="17"/>
    </row>
    <row r="428" spans="1:49">
      <c r="A428" t="s">
        <v>1333</v>
      </c>
      <c r="B428" s="5">
        <v>45712</v>
      </c>
      <c r="C428" t="s">
        <v>298</v>
      </c>
      <c r="D428" t="s">
        <v>299</v>
      </c>
      <c r="E428" t="s">
        <v>709</v>
      </c>
      <c r="F428" t="s">
        <v>449</v>
      </c>
      <c r="G428" t="s">
        <v>47</v>
      </c>
      <c r="H428" t="s">
        <v>70</v>
      </c>
      <c r="I428" t="s">
        <v>76</v>
      </c>
      <c r="J428" t="s">
        <v>43</v>
      </c>
      <c r="K428" t="s">
        <v>44</v>
      </c>
      <c r="L428" s="5">
        <v>44896</v>
      </c>
      <c r="M428">
        <v>59</v>
      </c>
      <c r="N428" t="s">
        <v>433</v>
      </c>
      <c r="O428" t="s">
        <v>876</v>
      </c>
      <c r="Q428">
        <v>1</v>
      </c>
      <c r="R428">
        <v>1728</v>
      </c>
      <c r="S428" t="s">
        <v>888</v>
      </c>
      <c r="T428" s="6">
        <v>783325.6104330722</v>
      </c>
      <c r="U428" s="7">
        <f>T428*DealsRawTable[[#This Row],[Contract_Years]]</f>
        <v>783325.6104330722</v>
      </c>
      <c r="V428" s="8">
        <v>0.13100000000000001</v>
      </c>
      <c r="W428" s="8">
        <v>0.114</v>
      </c>
      <c r="X428" s="8">
        <v>-1.7000000000000001E-2</v>
      </c>
      <c r="Y428" t="s">
        <v>878</v>
      </c>
      <c r="Z428" t="s">
        <v>889</v>
      </c>
      <c r="AA428" s="6">
        <v>693985.14831588953</v>
      </c>
      <c r="AB428" s="7">
        <f>DealsRawTable[[#This Row],[Final_Price_ACV]]*DealsRawTable[[#This Row],[Contract_Years]]</f>
        <v>693985.14831588953</v>
      </c>
      <c r="AC428" s="6">
        <v>276605.10237656499</v>
      </c>
      <c r="AD428" s="6">
        <v>417380.04593932454</v>
      </c>
      <c r="AE428" s="8">
        <v>0.60142504051014745</v>
      </c>
      <c r="AF428" t="s">
        <v>880</v>
      </c>
      <c r="AG428" t="s">
        <v>44</v>
      </c>
      <c r="AI428" t="s">
        <v>38</v>
      </c>
      <c r="AJ428" s="6">
        <v>693985.14831588953</v>
      </c>
      <c r="AK428" s="6">
        <v>417380.04593932454</v>
      </c>
      <c r="AL428" t="s">
        <v>881</v>
      </c>
      <c r="AM428">
        <f t="shared" si="12"/>
        <v>694026.49</v>
      </c>
      <c r="AN428">
        <f>DealsRawTable[[#This Row],[Validated_Annual_Final_Price]]*DealsRawTable[[#This Row],[Contract_Years]]</f>
        <v>694026.49</v>
      </c>
      <c r="AO428">
        <f>DealsRawTable[[#This Row],[Validated_Annual_Final_Price]]-DealsRawTable[[#This Row],[Cost_to_Serve]]</f>
        <v>417421.387623435</v>
      </c>
      <c r="AP428" s="17">
        <f>DealsRawTable[[#This Row],[Validated_Grossprofit]]/DealsRawTable[[#This Row],[Validated_Annual_Final_Price]]</f>
        <v>0.60144878277403357</v>
      </c>
      <c r="AQ428" s="17">
        <v>694026.49</v>
      </c>
      <c r="AR428" s="17">
        <v>694026.49</v>
      </c>
      <c r="AS428" s="17">
        <v>417421.387623435</v>
      </c>
      <c r="AT428" s="17">
        <v>0.60144878277403357</v>
      </c>
      <c r="AU428" s="17" t="str">
        <f t="shared" si="13"/>
        <v>10–15%</v>
      </c>
      <c r="AV428" s="17">
        <v>113</v>
      </c>
      <c r="AW428" s="17"/>
    </row>
    <row r="429" spans="1:49">
      <c r="A429" t="s">
        <v>1334</v>
      </c>
      <c r="B429" s="5">
        <v>45725</v>
      </c>
      <c r="C429" t="s">
        <v>298</v>
      </c>
      <c r="D429" t="s">
        <v>299</v>
      </c>
      <c r="E429" t="s">
        <v>710</v>
      </c>
      <c r="F429" t="s">
        <v>466</v>
      </c>
      <c r="G429" t="s">
        <v>47</v>
      </c>
      <c r="H429" t="s">
        <v>70</v>
      </c>
      <c r="I429" t="s">
        <v>76</v>
      </c>
      <c r="J429" t="s">
        <v>43</v>
      </c>
      <c r="K429" t="s">
        <v>44</v>
      </c>
      <c r="L429" s="5">
        <v>44896</v>
      </c>
      <c r="M429">
        <v>59</v>
      </c>
      <c r="N429" t="s">
        <v>429</v>
      </c>
      <c r="O429" t="s">
        <v>883</v>
      </c>
      <c r="P429" t="s">
        <v>884</v>
      </c>
      <c r="Q429">
        <v>2</v>
      </c>
      <c r="R429">
        <v>1914</v>
      </c>
      <c r="S429" t="s">
        <v>896</v>
      </c>
      <c r="T429" s="6">
        <v>373240.31331352127</v>
      </c>
      <c r="U429" s="7">
        <f>T429*DealsRawTable[[#This Row],[Contract_Years]]</f>
        <v>746480.62662704254</v>
      </c>
      <c r="V429" s="8">
        <v>0.18099999999999999</v>
      </c>
      <c r="W429" s="8">
        <v>0.16200000000000001</v>
      </c>
      <c r="X429" s="8">
        <v>-5.0000000000000001E-3</v>
      </c>
      <c r="Y429" t="s">
        <v>885</v>
      </c>
      <c r="Z429" t="s">
        <v>889</v>
      </c>
      <c r="AA429" s="6">
        <v>312653.19971637573</v>
      </c>
      <c r="AB429" s="7">
        <f>DealsRawTable[[#This Row],[Final_Price_ACV]]*DealsRawTable[[#This Row],[Contract_Years]]</f>
        <v>625306.39943275147</v>
      </c>
      <c r="AC429" s="6">
        <v>119660.83633514901</v>
      </c>
      <c r="AD429" s="6">
        <v>192992.36338122672</v>
      </c>
      <c r="AE429" s="8">
        <v>0.61727295148842332</v>
      </c>
      <c r="AF429" t="s">
        <v>880</v>
      </c>
      <c r="AH429" t="s">
        <v>44</v>
      </c>
      <c r="AI429" t="s">
        <v>38</v>
      </c>
      <c r="AJ429" s="6">
        <v>312653.19971637573</v>
      </c>
      <c r="AK429" s="6">
        <v>192992.36338122672</v>
      </c>
      <c r="AL429" t="s">
        <v>886</v>
      </c>
      <c r="AM429">
        <f t="shared" si="12"/>
        <v>312775.38</v>
      </c>
      <c r="AN429">
        <f>DealsRawTable[[#This Row],[Validated_Annual_Final_Price]]*DealsRawTable[[#This Row],[Contract_Years]]</f>
        <v>625550.76</v>
      </c>
      <c r="AO429">
        <f>DealsRawTable[[#This Row],[Validated_Annual_Final_Price]]-DealsRawTable[[#This Row],[Cost_to_Serve]]</f>
        <v>193114.54366485099</v>
      </c>
      <c r="AP429" s="17">
        <f>DealsRawTable[[#This Row],[Validated_Grossprofit]]/DealsRawTable[[#This Row],[Validated_Annual_Final_Price]]</f>
        <v>0.61742245717949729</v>
      </c>
      <c r="AQ429" s="17">
        <v>312775.38</v>
      </c>
      <c r="AR429" s="17">
        <v>625550.76</v>
      </c>
      <c r="AS429" s="17">
        <v>193114.54366485099</v>
      </c>
      <c r="AT429" s="17">
        <v>0.61742245717949729</v>
      </c>
      <c r="AU429" s="17" t="str">
        <f t="shared" si="13"/>
        <v>15–20%</v>
      </c>
      <c r="AV429" s="17">
        <v>108</v>
      </c>
      <c r="AW429" s="17"/>
    </row>
    <row r="430" spans="1:49">
      <c r="A430" t="s">
        <v>1335</v>
      </c>
      <c r="B430" s="5">
        <v>45843</v>
      </c>
      <c r="C430" t="s">
        <v>298</v>
      </c>
      <c r="D430" t="s">
        <v>299</v>
      </c>
      <c r="E430" t="s">
        <v>710</v>
      </c>
      <c r="F430" t="s">
        <v>466</v>
      </c>
      <c r="G430" t="s">
        <v>47</v>
      </c>
      <c r="H430" t="s">
        <v>70</v>
      </c>
      <c r="I430" t="s">
        <v>76</v>
      </c>
      <c r="J430" t="s">
        <v>43</v>
      </c>
      <c r="K430" t="s">
        <v>44</v>
      </c>
      <c r="L430" s="5">
        <v>44896</v>
      </c>
      <c r="M430">
        <v>59</v>
      </c>
      <c r="N430" t="s">
        <v>429</v>
      </c>
      <c r="O430" t="s">
        <v>876</v>
      </c>
      <c r="Q430">
        <v>2</v>
      </c>
      <c r="R430">
        <v>1914</v>
      </c>
      <c r="S430" t="s">
        <v>907</v>
      </c>
      <c r="T430" s="6">
        <v>385274.56942752807</v>
      </c>
      <c r="U430" s="7">
        <f>T430*DealsRawTable[[#This Row],[Contract_Years]]</f>
        <v>770549.13885505614</v>
      </c>
      <c r="V430" s="8">
        <v>0.25700000000000001</v>
      </c>
      <c r="W430" s="8">
        <v>0.22800000000000001</v>
      </c>
      <c r="X430" s="8">
        <v>-0.107</v>
      </c>
      <c r="Y430" t="s">
        <v>878</v>
      </c>
      <c r="Z430" t="s">
        <v>893</v>
      </c>
      <c r="AA430" s="6">
        <v>297428.15989599394</v>
      </c>
      <c r="AB430" s="7">
        <f>DealsRawTable[[#This Row],[Final_Price_ACV]]*DealsRawTable[[#This Row],[Contract_Years]]</f>
        <v>594856.31979198789</v>
      </c>
      <c r="AC430" s="6">
        <v>130898.28407658622</v>
      </c>
      <c r="AD430" s="6">
        <v>166529.87581940772</v>
      </c>
      <c r="AE430" s="8">
        <v>0.5598994926292139</v>
      </c>
      <c r="AF430" t="s">
        <v>880</v>
      </c>
      <c r="AG430" t="s">
        <v>44</v>
      </c>
      <c r="AI430" t="s">
        <v>38</v>
      </c>
      <c r="AJ430" s="6">
        <v>297428.15989599394</v>
      </c>
      <c r="AK430" s="6">
        <v>166529.87581940772</v>
      </c>
      <c r="AL430" t="s">
        <v>881</v>
      </c>
      <c r="AM430">
        <f t="shared" si="12"/>
        <v>297431.96999999997</v>
      </c>
      <c r="AN430">
        <f>DealsRawTable[[#This Row],[Validated_Annual_Final_Price]]*DealsRawTable[[#This Row],[Contract_Years]]</f>
        <v>594863.93999999994</v>
      </c>
      <c r="AO430">
        <f>DealsRawTable[[#This Row],[Validated_Annual_Final_Price]]-DealsRawTable[[#This Row],[Cost_to_Serve]]</f>
        <v>166533.68592341375</v>
      </c>
      <c r="AP430" s="17">
        <f>DealsRawTable[[#This Row],[Validated_Grossprofit]]/DealsRawTable[[#This Row],[Validated_Annual_Final_Price]]</f>
        <v>0.55990513031740929</v>
      </c>
      <c r="AQ430" s="17">
        <v>297431.96999999997</v>
      </c>
      <c r="AR430" s="17">
        <v>594863.93999999994</v>
      </c>
      <c r="AS430" s="17">
        <v>166533.68592341375</v>
      </c>
      <c r="AT430" s="17">
        <v>0.55990513031740929</v>
      </c>
      <c r="AU430" s="17" t="str">
        <f t="shared" si="13"/>
        <v>20–25%</v>
      </c>
      <c r="AV430" s="17">
        <v>29</v>
      </c>
      <c r="AW430" s="17"/>
    </row>
    <row r="431" spans="1:49">
      <c r="A431" t="s">
        <v>1336</v>
      </c>
      <c r="B431" s="5">
        <v>45972</v>
      </c>
      <c r="C431" t="s">
        <v>298</v>
      </c>
      <c r="D431" t="s">
        <v>299</v>
      </c>
      <c r="E431" t="s">
        <v>711</v>
      </c>
      <c r="F431" t="s">
        <v>47</v>
      </c>
      <c r="G431" t="s">
        <v>47</v>
      </c>
      <c r="H431" t="s">
        <v>70</v>
      </c>
      <c r="I431" t="s">
        <v>76</v>
      </c>
      <c r="J431" t="s">
        <v>43</v>
      </c>
      <c r="K431" t="s">
        <v>44</v>
      </c>
      <c r="L431" s="5">
        <v>44896</v>
      </c>
      <c r="M431">
        <v>59</v>
      </c>
      <c r="N431" t="s">
        <v>427</v>
      </c>
      <c r="O431" t="s">
        <v>876</v>
      </c>
      <c r="Q431">
        <v>2</v>
      </c>
      <c r="R431">
        <v>1919</v>
      </c>
      <c r="S431" t="s">
        <v>907</v>
      </c>
      <c r="T431" s="6">
        <v>192300.88793416304</v>
      </c>
      <c r="U431" s="7">
        <f>T431*DealsRawTable[[#This Row],[Contract_Years]]</f>
        <v>384601.77586832608</v>
      </c>
      <c r="V431" s="8">
        <v>0.152</v>
      </c>
      <c r="W431" s="8">
        <v>0.11799999999999999</v>
      </c>
      <c r="X431" s="8">
        <v>0.08</v>
      </c>
      <c r="Y431" t="s">
        <v>878</v>
      </c>
      <c r="Z431" t="s">
        <v>889</v>
      </c>
      <c r="AA431" s="6">
        <v>169529.13138373147</v>
      </c>
      <c r="AB431" s="7">
        <f>DealsRawTable[[#This Row],[Final_Price_ACV]]*DealsRawTable[[#This Row],[Contract_Years]]</f>
        <v>339058.26276746293</v>
      </c>
      <c r="AC431" s="6">
        <v>58483.492445276897</v>
      </c>
      <c r="AD431" s="6">
        <v>111045.63893845456</v>
      </c>
      <c r="AE431" s="8">
        <v>0.65502393619360477</v>
      </c>
      <c r="AF431" t="s">
        <v>457</v>
      </c>
      <c r="AG431" t="s">
        <v>38</v>
      </c>
      <c r="AI431" t="s">
        <v>38</v>
      </c>
      <c r="AJ431" s="6">
        <v>0</v>
      </c>
      <c r="AK431" s="6">
        <v>0</v>
      </c>
      <c r="AL431" t="s">
        <v>881</v>
      </c>
      <c r="AM431">
        <f t="shared" si="12"/>
        <v>169609.38</v>
      </c>
      <c r="AN431">
        <f>DealsRawTable[[#This Row],[Validated_Annual_Final_Price]]*DealsRawTable[[#This Row],[Contract_Years]]</f>
        <v>339218.76</v>
      </c>
      <c r="AO431">
        <f>DealsRawTable[[#This Row],[Validated_Annual_Final_Price]]-DealsRawTable[[#This Row],[Cost_to_Serve]]</f>
        <v>111125.8875547231</v>
      </c>
      <c r="AP431" s="17">
        <f>DealsRawTable[[#This Row],[Validated_Grossprofit]]/DealsRawTable[[#This Row],[Validated_Annual_Final_Price]]</f>
        <v>0.65518715742444844</v>
      </c>
      <c r="AQ431" s="17">
        <v>0</v>
      </c>
      <c r="AR431" s="17">
        <v>0</v>
      </c>
      <c r="AS431" s="17">
        <v>0</v>
      </c>
      <c r="AT431" s="17">
        <v>0</v>
      </c>
      <c r="AU431" s="17" t="str">
        <f t="shared" si="13"/>
        <v>10–15%</v>
      </c>
      <c r="AV431" s="17">
        <v>113</v>
      </c>
      <c r="AW431" s="17"/>
    </row>
    <row r="432" spans="1:49">
      <c r="A432" t="s">
        <v>1337</v>
      </c>
      <c r="B432" s="5">
        <v>45451</v>
      </c>
      <c r="C432" t="s">
        <v>298</v>
      </c>
      <c r="D432" t="s">
        <v>299</v>
      </c>
      <c r="E432" t="s">
        <v>712</v>
      </c>
      <c r="F432" t="s">
        <v>445</v>
      </c>
      <c r="G432" t="s">
        <v>47</v>
      </c>
      <c r="H432" t="s">
        <v>70</v>
      </c>
      <c r="I432" t="s">
        <v>76</v>
      </c>
      <c r="J432" t="s">
        <v>43</v>
      </c>
      <c r="K432" t="s">
        <v>44</v>
      </c>
      <c r="L432" s="5">
        <v>44896</v>
      </c>
      <c r="M432">
        <v>59</v>
      </c>
      <c r="N432" t="s">
        <v>427</v>
      </c>
      <c r="O432" t="s">
        <v>891</v>
      </c>
      <c r="Q432">
        <v>1</v>
      </c>
      <c r="R432">
        <v>1300</v>
      </c>
      <c r="S432" t="s">
        <v>900</v>
      </c>
      <c r="T432" s="6">
        <v>222839.53654145295</v>
      </c>
      <c r="U432" s="7">
        <f>T432*DealsRawTable[[#This Row],[Contract_Years]]</f>
        <v>222839.53654145295</v>
      </c>
      <c r="V432" s="8">
        <v>0.23599999999999999</v>
      </c>
      <c r="W432" s="8">
        <v>0.224</v>
      </c>
      <c r="X432" s="8">
        <v>3.2000000000000001E-2</v>
      </c>
      <c r="Y432" t="s">
        <v>878</v>
      </c>
      <c r="Z432" t="s">
        <v>893</v>
      </c>
      <c r="AA432" s="6">
        <v>173011.48081882024</v>
      </c>
      <c r="AB432" s="7">
        <f>DealsRawTable[[#This Row],[Final_Price_ACV]]*DealsRawTable[[#This Row],[Contract_Years]]</f>
        <v>173011.48081882024</v>
      </c>
      <c r="AC432" s="6">
        <v>77968.883071231045</v>
      </c>
      <c r="AD432" s="6">
        <v>95042.5977475892</v>
      </c>
      <c r="AE432" s="8">
        <v>0.54934272163775644</v>
      </c>
      <c r="AF432" t="s">
        <v>457</v>
      </c>
      <c r="AI432" t="s">
        <v>38</v>
      </c>
      <c r="AJ432" s="6">
        <v>0</v>
      </c>
      <c r="AK432" s="6">
        <v>0</v>
      </c>
      <c r="AL432" t="s">
        <v>894</v>
      </c>
      <c r="AM432">
        <f t="shared" si="12"/>
        <v>172923.48</v>
      </c>
      <c r="AN432">
        <f>DealsRawTable[[#This Row],[Validated_Annual_Final_Price]]*DealsRawTable[[#This Row],[Contract_Years]]</f>
        <v>172923.48</v>
      </c>
      <c r="AO432">
        <f>DealsRawTable[[#This Row],[Validated_Annual_Final_Price]]-DealsRawTable[[#This Row],[Cost_to_Serve]]</f>
        <v>94954.596928768966</v>
      </c>
      <c r="AP432" s="17">
        <f>DealsRawTable[[#This Row],[Validated_Grossprofit]]/DealsRawTable[[#This Row],[Validated_Annual_Final_Price]]</f>
        <v>0.54911338199282689</v>
      </c>
      <c r="AQ432" s="17">
        <v>0</v>
      </c>
      <c r="AR432" s="17">
        <v>0</v>
      </c>
      <c r="AS432" s="17">
        <v>0</v>
      </c>
      <c r="AT432" s="17">
        <v>0</v>
      </c>
      <c r="AU432" s="17" t="str">
        <f t="shared" si="13"/>
        <v>20–25%</v>
      </c>
      <c r="AV432" s="17">
        <v>29</v>
      </c>
      <c r="AW432" s="17"/>
    </row>
    <row r="433" spans="1:49">
      <c r="A433" t="s">
        <v>1338</v>
      </c>
      <c r="B433" s="5">
        <v>45759</v>
      </c>
      <c r="C433" t="s">
        <v>298</v>
      </c>
      <c r="D433" t="s">
        <v>299</v>
      </c>
      <c r="E433" t="s">
        <v>712</v>
      </c>
      <c r="F433" t="s">
        <v>445</v>
      </c>
      <c r="G433" t="s">
        <v>47</v>
      </c>
      <c r="H433" t="s">
        <v>70</v>
      </c>
      <c r="I433" t="s">
        <v>76</v>
      </c>
      <c r="J433" t="s">
        <v>43</v>
      </c>
      <c r="K433" t="s">
        <v>44</v>
      </c>
      <c r="L433" s="5">
        <v>44896</v>
      </c>
      <c r="M433">
        <v>59</v>
      </c>
      <c r="N433" t="s">
        <v>427</v>
      </c>
      <c r="O433" t="s">
        <v>915</v>
      </c>
      <c r="Q433">
        <v>1</v>
      </c>
      <c r="R433">
        <v>1300</v>
      </c>
      <c r="S433" t="s">
        <v>907</v>
      </c>
      <c r="T433" s="6">
        <v>222839.53654145295</v>
      </c>
      <c r="U433" s="7">
        <f>T433*DealsRawTable[[#This Row],[Contract_Years]]</f>
        <v>222839.53654145295</v>
      </c>
      <c r="V433" s="8">
        <v>0.20499999999999999</v>
      </c>
      <c r="W433" s="8">
        <v>0.19600000000000001</v>
      </c>
      <c r="X433" s="8">
        <v>-7.0999999999999994E-2</v>
      </c>
      <c r="Y433" t="s">
        <v>878</v>
      </c>
      <c r="Z433" t="s">
        <v>889</v>
      </c>
      <c r="AA433" s="6">
        <v>179113.77714547026</v>
      </c>
      <c r="AB433" s="7">
        <f>DealsRawTable[[#This Row],[Final_Price_ACV]]*DealsRawTable[[#This Row],[Contract_Years]]</f>
        <v>179113.77714547026</v>
      </c>
      <c r="AC433" s="6">
        <v>71630.410804450265</v>
      </c>
      <c r="AD433" s="6">
        <v>107483.36634102</v>
      </c>
      <c r="AE433" s="8">
        <v>0.60008430425609072</v>
      </c>
      <c r="AF433" t="s">
        <v>457</v>
      </c>
      <c r="AI433" t="s">
        <v>44</v>
      </c>
      <c r="AJ433" s="6">
        <v>0</v>
      </c>
      <c r="AK433" s="6">
        <v>0</v>
      </c>
      <c r="AL433" t="s">
        <v>934</v>
      </c>
      <c r="AM433">
        <f t="shared" si="12"/>
        <v>179162.99</v>
      </c>
      <c r="AN433">
        <f>DealsRawTable[[#This Row],[Validated_Annual_Final_Price]]*DealsRawTable[[#This Row],[Contract_Years]]</f>
        <v>179162.99</v>
      </c>
      <c r="AO433">
        <f>DealsRawTable[[#This Row],[Validated_Annual_Final_Price]]-DealsRawTable[[#This Row],[Cost_to_Serve]]</f>
        <v>107532.57919554973</v>
      </c>
      <c r="AP433" s="17">
        <f>DealsRawTable[[#This Row],[Validated_Grossprofit]]/DealsRawTable[[#This Row],[Validated_Annual_Final_Price]]</f>
        <v>0.60019415391286857</v>
      </c>
      <c r="AQ433" s="17">
        <v>0</v>
      </c>
      <c r="AR433" s="17">
        <v>0</v>
      </c>
      <c r="AS433" s="17">
        <v>0</v>
      </c>
      <c r="AT433" s="17">
        <v>0</v>
      </c>
      <c r="AU433" s="17" t="str">
        <f t="shared" si="13"/>
        <v>15–20%</v>
      </c>
      <c r="AV433" s="17">
        <v>108</v>
      </c>
      <c r="AW433" s="17"/>
    </row>
    <row r="434" spans="1:49">
      <c r="A434" t="s">
        <v>1339</v>
      </c>
      <c r="B434" s="5">
        <v>45794</v>
      </c>
      <c r="C434" t="s">
        <v>300</v>
      </c>
      <c r="D434" t="s">
        <v>301</v>
      </c>
      <c r="E434" t="s">
        <v>713</v>
      </c>
      <c r="F434" t="s">
        <v>34</v>
      </c>
      <c r="G434" t="s">
        <v>53</v>
      </c>
      <c r="H434" t="s">
        <v>35</v>
      </c>
      <c r="I434" t="s">
        <v>36</v>
      </c>
      <c r="J434" t="s">
        <v>56</v>
      </c>
      <c r="K434" t="s">
        <v>38</v>
      </c>
      <c r="L434" s="5">
        <v>44348</v>
      </c>
      <c r="M434">
        <v>60</v>
      </c>
      <c r="N434" t="s">
        <v>429</v>
      </c>
      <c r="O434" t="s">
        <v>876</v>
      </c>
      <c r="Q434">
        <v>2</v>
      </c>
      <c r="R434">
        <v>185</v>
      </c>
      <c r="S434" t="s">
        <v>892</v>
      </c>
      <c r="T434" s="6">
        <v>150591.13414795129</v>
      </c>
      <c r="U434" s="7">
        <f>T434*DealsRawTable[[#This Row],[Contract_Years]]</f>
        <v>301182.26829590258</v>
      </c>
      <c r="V434" s="8">
        <v>0.11799999999999999</v>
      </c>
      <c r="W434" s="8">
        <v>0.107</v>
      </c>
      <c r="X434" s="8">
        <v>4.2000000000000003E-2</v>
      </c>
      <c r="Y434" t="s">
        <v>878</v>
      </c>
      <c r="Z434" t="s">
        <v>889</v>
      </c>
      <c r="AA434" s="6">
        <v>134511.22295414383</v>
      </c>
      <c r="AB434" s="7">
        <f>DealsRawTable[[#This Row],[Final_Price_ACV]]*DealsRawTable[[#This Row],[Contract_Years]]</f>
        <v>269022.44590828766</v>
      </c>
      <c r="AC434" s="6">
        <v>55584.798010951316</v>
      </c>
      <c r="AD434" s="6">
        <v>78926.424943192513</v>
      </c>
      <c r="AE434" s="8">
        <v>0.58676460751605308</v>
      </c>
      <c r="AF434" t="s">
        <v>880</v>
      </c>
      <c r="AG434" t="s">
        <v>44</v>
      </c>
      <c r="AI434" t="s">
        <v>38</v>
      </c>
      <c r="AJ434" s="6">
        <v>134511.22295414383</v>
      </c>
      <c r="AK434" s="6">
        <v>78926.424943192513</v>
      </c>
      <c r="AL434" t="s">
        <v>881</v>
      </c>
      <c r="AM434">
        <f t="shared" si="12"/>
        <v>134477.88</v>
      </c>
      <c r="AN434">
        <f>DealsRawTable[[#This Row],[Validated_Annual_Final_Price]]*DealsRawTable[[#This Row],[Contract_Years]]</f>
        <v>268955.76</v>
      </c>
      <c r="AO434">
        <f>DealsRawTable[[#This Row],[Validated_Annual_Final_Price]]-DealsRawTable[[#This Row],[Cost_to_Serve]]</f>
        <v>78893.081989048689</v>
      </c>
      <c r="AP434" s="17">
        <f>DealsRawTable[[#This Row],[Validated_Grossprofit]]/DealsRawTable[[#This Row],[Validated_Annual_Final_Price]]</f>
        <v>0.58666214837004182</v>
      </c>
      <c r="AQ434" s="17">
        <v>134477.88</v>
      </c>
      <c r="AR434" s="17">
        <v>268955.76</v>
      </c>
      <c r="AS434" s="17">
        <v>78893.081989048689</v>
      </c>
      <c r="AT434" s="17">
        <v>0.58666214837004182</v>
      </c>
      <c r="AU434" s="17" t="str">
        <f t="shared" si="13"/>
        <v>10–15%</v>
      </c>
      <c r="AV434" s="17">
        <v>113</v>
      </c>
      <c r="AW434" s="17"/>
    </row>
    <row r="435" spans="1:49">
      <c r="A435" t="s">
        <v>1340</v>
      </c>
      <c r="B435" s="5">
        <v>45607</v>
      </c>
      <c r="C435" t="s">
        <v>300</v>
      </c>
      <c r="D435" t="s">
        <v>301</v>
      </c>
      <c r="E435" t="s">
        <v>714</v>
      </c>
      <c r="F435" t="s">
        <v>449</v>
      </c>
      <c r="G435" t="s">
        <v>53</v>
      </c>
      <c r="H435" t="s">
        <v>35</v>
      </c>
      <c r="I435" t="s">
        <v>36</v>
      </c>
      <c r="J435" t="s">
        <v>56</v>
      </c>
      <c r="K435" t="s">
        <v>38</v>
      </c>
      <c r="L435" s="5">
        <v>44348</v>
      </c>
      <c r="M435">
        <v>60</v>
      </c>
      <c r="N435" t="s">
        <v>433</v>
      </c>
      <c r="O435" t="s">
        <v>891</v>
      </c>
      <c r="Q435">
        <v>3</v>
      </c>
      <c r="R435">
        <v>73</v>
      </c>
      <c r="S435" t="s">
        <v>907</v>
      </c>
      <c r="T435" s="6">
        <v>355924.63333629689</v>
      </c>
      <c r="U435" s="7">
        <f>T435*DealsRawTable[[#This Row],[Contract_Years]]</f>
        <v>1067773.9000088908</v>
      </c>
      <c r="V435" s="8">
        <v>0.12</v>
      </c>
      <c r="W435" s="8">
        <v>0.104</v>
      </c>
      <c r="X435" s="8">
        <v>0.14499999999999999</v>
      </c>
      <c r="Y435" t="s">
        <v>905</v>
      </c>
      <c r="Z435" t="s">
        <v>889</v>
      </c>
      <c r="AA435" s="6">
        <v>318795.65477735159</v>
      </c>
      <c r="AB435" s="7">
        <f>DealsRawTable[[#This Row],[Final_Price_ACV]]*DealsRawTable[[#This Row],[Contract_Years]]</f>
        <v>956386.96433205483</v>
      </c>
      <c r="AC435" s="6">
        <v>137110.49356101142</v>
      </c>
      <c r="AD435" s="6">
        <v>181685.16121634017</v>
      </c>
      <c r="AE435" s="8">
        <v>0.56991103389796816</v>
      </c>
      <c r="AF435" t="s">
        <v>457</v>
      </c>
      <c r="AI435" t="s">
        <v>38</v>
      </c>
      <c r="AJ435" s="6">
        <v>0</v>
      </c>
      <c r="AK435" s="6">
        <v>0</v>
      </c>
      <c r="AL435" t="s">
        <v>894</v>
      </c>
      <c r="AM435">
        <f t="shared" si="12"/>
        <v>318908.46999999997</v>
      </c>
      <c r="AN435">
        <f>DealsRawTable[[#This Row],[Validated_Annual_Final_Price]]*DealsRawTable[[#This Row],[Contract_Years]]</f>
        <v>956725.40999999992</v>
      </c>
      <c r="AO435">
        <f>DealsRawTable[[#This Row],[Validated_Annual_Final_Price]]-DealsRawTable[[#This Row],[Cost_to_Serve]]</f>
        <v>181797.97643898855</v>
      </c>
      <c r="AP435" s="17">
        <f>DealsRawTable[[#This Row],[Validated_Grossprofit]]/DealsRawTable[[#This Row],[Validated_Annual_Final_Price]]</f>
        <v>0.57006317969224385</v>
      </c>
      <c r="AQ435" s="17">
        <v>0</v>
      </c>
      <c r="AR435" s="17">
        <v>0</v>
      </c>
      <c r="AS435" s="17">
        <v>0</v>
      </c>
      <c r="AT435" s="17">
        <v>0</v>
      </c>
      <c r="AU435" s="17" t="str">
        <f t="shared" si="13"/>
        <v>10–15%</v>
      </c>
      <c r="AV435" s="17">
        <v>113</v>
      </c>
      <c r="AW435" s="17"/>
    </row>
    <row r="436" spans="1:49">
      <c r="A436" t="s">
        <v>1341</v>
      </c>
      <c r="B436" s="5">
        <v>45877</v>
      </c>
      <c r="C436" t="s">
        <v>300</v>
      </c>
      <c r="D436" t="s">
        <v>301</v>
      </c>
      <c r="E436" t="s">
        <v>715</v>
      </c>
      <c r="F436" t="s">
        <v>445</v>
      </c>
      <c r="G436" t="s">
        <v>53</v>
      </c>
      <c r="H436" t="s">
        <v>35</v>
      </c>
      <c r="I436" t="s">
        <v>36</v>
      </c>
      <c r="J436" t="s">
        <v>56</v>
      </c>
      <c r="K436" t="s">
        <v>38</v>
      </c>
      <c r="L436" s="5">
        <v>44348</v>
      </c>
      <c r="M436">
        <v>60</v>
      </c>
      <c r="N436" t="s">
        <v>427</v>
      </c>
      <c r="O436" t="s">
        <v>876</v>
      </c>
      <c r="Q436">
        <v>2</v>
      </c>
      <c r="R436">
        <v>280</v>
      </c>
      <c r="S436" t="s">
        <v>932</v>
      </c>
      <c r="T436" s="6">
        <v>95258.066952476758</v>
      </c>
      <c r="U436" s="7">
        <f>T436*DealsRawTable[[#This Row],[Contract_Years]]</f>
        <v>190516.13390495352</v>
      </c>
      <c r="V436" s="8">
        <v>0.151</v>
      </c>
      <c r="W436" s="8">
        <v>0.107</v>
      </c>
      <c r="X436" s="8">
        <v>-7.9000000000000001E-2</v>
      </c>
      <c r="Y436" t="s">
        <v>878</v>
      </c>
      <c r="Z436" t="s">
        <v>889</v>
      </c>
      <c r="AA436" s="6">
        <v>85019.96209181525</v>
      </c>
      <c r="AB436" s="7">
        <f>DealsRawTable[[#This Row],[Final_Price_ACV]]*DealsRawTable[[#This Row],[Contract_Years]]</f>
        <v>170039.9241836305</v>
      </c>
      <c r="AC436" s="6">
        <v>30189.732546043</v>
      </c>
      <c r="AD436" s="6">
        <v>54830.22954577225</v>
      </c>
      <c r="AE436" s="8">
        <v>0.6449100681385822</v>
      </c>
      <c r="AF436" t="s">
        <v>880</v>
      </c>
      <c r="AG436" t="s">
        <v>44</v>
      </c>
      <c r="AI436" t="s">
        <v>38</v>
      </c>
      <c r="AJ436" s="6">
        <v>85019.96209181525</v>
      </c>
      <c r="AK436" s="6">
        <v>54830.22954577225</v>
      </c>
      <c r="AL436" t="s">
        <v>881</v>
      </c>
      <c r="AM436">
        <f t="shared" si="12"/>
        <v>85065.45</v>
      </c>
      <c r="AN436">
        <f>DealsRawTable[[#This Row],[Validated_Annual_Final_Price]]*DealsRawTable[[#This Row],[Contract_Years]]</f>
        <v>170130.9</v>
      </c>
      <c r="AO436">
        <f>DealsRawTable[[#This Row],[Validated_Annual_Final_Price]]-DealsRawTable[[#This Row],[Cost_to_Serve]]</f>
        <v>54875.717453956997</v>
      </c>
      <c r="AP436" s="17">
        <f>DealsRawTable[[#This Row],[Validated_Grossprofit]]/DealsRawTable[[#This Row],[Validated_Annual_Final_Price]]</f>
        <v>0.64509994896820033</v>
      </c>
      <c r="AQ436" s="17">
        <v>85065.45</v>
      </c>
      <c r="AR436" s="17">
        <v>170130.9</v>
      </c>
      <c r="AS436" s="17">
        <v>54875.717453956997</v>
      </c>
      <c r="AT436" s="17">
        <v>0.64509994896820033</v>
      </c>
      <c r="AU436" s="17" t="str">
        <f t="shared" si="13"/>
        <v>10–15%</v>
      </c>
      <c r="AV436" s="17">
        <v>113</v>
      </c>
      <c r="AW436" s="17"/>
    </row>
    <row r="437" spans="1:49">
      <c r="A437" t="s">
        <v>1342</v>
      </c>
      <c r="B437" s="5">
        <v>45774</v>
      </c>
      <c r="C437" t="s">
        <v>302</v>
      </c>
      <c r="D437" t="s">
        <v>303</v>
      </c>
      <c r="E437" t="s">
        <v>716</v>
      </c>
      <c r="F437" t="s">
        <v>445</v>
      </c>
      <c r="G437" t="s">
        <v>47</v>
      </c>
      <c r="H437" t="s">
        <v>70</v>
      </c>
      <c r="I437" t="s">
        <v>71</v>
      </c>
      <c r="J437" t="s">
        <v>37</v>
      </c>
      <c r="K437" t="s">
        <v>38</v>
      </c>
      <c r="L437" s="5">
        <v>43374</v>
      </c>
      <c r="M437">
        <v>72</v>
      </c>
      <c r="N437" t="s">
        <v>433</v>
      </c>
      <c r="O437" t="s">
        <v>891</v>
      </c>
      <c r="Q437">
        <v>3</v>
      </c>
      <c r="R437">
        <v>10</v>
      </c>
      <c r="S437" t="s">
        <v>892</v>
      </c>
      <c r="T437" s="6">
        <v>137543.18990249239</v>
      </c>
      <c r="U437" s="7">
        <f>T437*DealsRawTable[[#This Row],[Contract_Years]]</f>
        <v>412629.56970747717</v>
      </c>
      <c r="V437" s="8">
        <v>6.5000000000000002E-2</v>
      </c>
      <c r="W437" s="8">
        <v>5.8000000000000003E-2</v>
      </c>
      <c r="X437" s="8">
        <v>6.4000000000000001E-2</v>
      </c>
      <c r="Y437" t="s">
        <v>930</v>
      </c>
      <c r="Z437" t="s">
        <v>879</v>
      </c>
      <c r="AA437" s="6">
        <v>129629.37237174976</v>
      </c>
      <c r="AB437" s="7">
        <f>DealsRawTable[[#This Row],[Final_Price_ACV]]*DealsRawTable[[#This Row],[Contract_Years]]</f>
        <v>388888.11711524928</v>
      </c>
      <c r="AC437" s="6">
        <v>55840.508856780631</v>
      </c>
      <c r="AD437" s="6">
        <v>73788.863514969125</v>
      </c>
      <c r="AE437" s="8">
        <v>0.56922950535746009</v>
      </c>
      <c r="AF437" t="s">
        <v>880</v>
      </c>
      <c r="AI437" t="s">
        <v>38</v>
      </c>
      <c r="AJ437" s="6">
        <v>129629.37237174976</v>
      </c>
      <c r="AK437" s="6">
        <v>73788.863514969125</v>
      </c>
      <c r="AL437" t="s">
        <v>894</v>
      </c>
      <c r="AM437">
        <f t="shared" si="12"/>
        <v>129565.68</v>
      </c>
      <c r="AN437">
        <f>DealsRawTable[[#This Row],[Validated_Annual_Final_Price]]*DealsRawTable[[#This Row],[Contract_Years]]</f>
        <v>388697.04</v>
      </c>
      <c r="AO437">
        <f>DealsRawTable[[#This Row],[Validated_Annual_Final_Price]]-DealsRawTable[[#This Row],[Cost_to_Serve]]</f>
        <v>73725.17114321937</v>
      </c>
      <c r="AP437" s="17">
        <f>DealsRawTable[[#This Row],[Validated_Grossprofit]]/DealsRawTable[[#This Row],[Validated_Annual_Final_Price]]</f>
        <v>0.56901774561920548</v>
      </c>
      <c r="AQ437" s="17">
        <v>129565.68</v>
      </c>
      <c r="AR437" s="17">
        <v>388697.04</v>
      </c>
      <c r="AS437" s="17">
        <v>73725.17114321937</v>
      </c>
      <c r="AT437" s="17">
        <v>0.56901774561920548</v>
      </c>
      <c r="AU437" s="17" t="str">
        <f t="shared" si="13"/>
        <v>5–10%</v>
      </c>
      <c r="AV437" s="17">
        <v>116</v>
      </c>
      <c r="AW437" s="17"/>
    </row>
    <row r="438" spans="1:49">
      <c r="A438" t="s">
        <v>1343</v>
      </c>
      <c r="B438" s="5">
        <v>45413</v>
      </c>
      <c r="C438" t="s">
        <v>302</v>
      </c>
      <c r="D438" t="s">
        <v>303</v>
      </c>
      <c r="E438" t="s">
        <v>717</v>
      </c>
      <c r="F438" t="s">
        <v>449</v>
      </c>
      <c r="G438" t="s">
        <v>47</v>
      </c>
      <c r="H438" t="s">
        <v>70</v>
      </c>
      <c r="I438" t="s">
        <v>71</v>
      </c>
      <c r="J438" t="s">
        <v>37</v>
      </c>
      <c r="K438" t="s">
        <v>38</v>
      </c>
      <c r="L438" s="5">
        <v>43374</v>
      </c>
      <c r="M438">
        <v>72</v>
      </c>
      <c r="N438" t="s">
        <v>431</v>
      </c>
      <c r="O438" t="s">
        <v>891</v>
      </c>
      <c r="Q438">
        <v>3</v>
      </c>
      <c r="R438">
        <v>19</v>
      </c>
      <c r="S438" t="s">
        <v>877</v>
      </c>
      <c r="T438" s="6">
        <v>44464.399653550987</v>
      </c>
      <c r="U438" s="7">
        <f>T438*DealsRawTable[[#This Row],[Contract_Years]]</f>
        <v>133393.19896065295</v>
      </c>
      <c r="V438" s="8">
        <v>8.7999999999999995E-2</v>
      </c>
      <c r="W438" s="8">
        <v>5.8000000000000003E-2</v>
      </c>
      <c r="X438" s="8">
        <v>1E-3</v>
      </c>
      <c r="Y438" t="s">
        <v>878</v>
      </c>
      <c r="Z438" t="s">
        <v>879</v>
      </c>
      <c r="AA438" s="6">
        <v>41894.493045305768</v>
      </c>
      <c r="AB438" s="7">
        <f>DealsRawTable[[#This Row],[Final_Price_ACV]]*DealsRawTable[[#This Row],[Contract_Years]]</f>
        <v>125683.4791359173</v>
      </c>
      <c r="AC438" s="6">
        <v>17065.75121681278</v>
      </c>
      <c r="AD438" s="6">
        <v>24828.741828492988</v>
      </c>
      <c r="AE438" s="8">
        <v>0.59264929645150632</v>
      </c>
      <c r="AF438" t="s">
        <v>880</v>
      </c>
      <c r="AI438" t="s">
        <v>38</v>
      </c>
      <c r="AJ438" s="6">
        <v>41894.493045305768</v>
      </c>
      <c r="AK438" s="6">
        <v>24828.741828492988</v>
      </c>
      <c r="AL438" t="s">
        <v>894</v>
      </c>
      <c r="AM438">
        <f t="shared" si="12"/>
        <v>41885.46</v>
      </c>
      <c r="AN438">
        <f>DealsRawTable[[#This Row],[Validated_Annual_Final_Price]]*DealsRawTable[[#This Row],[Contract_Years]]</f>
        <v>125656.38</v>
      </c>
      <c r="AO438">
        <f>DealsRawTable[[#This Row],[Validated_Annual_Final_Price]]-DealsRawTable[[#This Row],[Cost_to_Serve]]</f>
        <v>24819.70878318722</v>
      </c>
      <c r="AP438" s="17">
        <f>DealsRawTable[[#This Row],[Validated_Grossprofit]]/DealsRawTable[[#This Row],[Validated_Annual_Final_Price]]</f>
        <v>0.59256144693617352</v>
      </c>
      <c r="AQ438" s="17">
        <v>41885.46</v>
      </c>
      <c r="AR438" s="17">
        <v>125656.38</v>
      </c>
      <c r="AS438" s="17">
        <v>24819.70878318722</v>
      </c>
      <c r="AT438" s="17">
        <v>0.59256144693617352</v>
      </c>
      <c r="AU438" s="17" t="str">
        <f t="shared" si="13"/>
        <v>5–10%</v>
      </c>
      <c r="AV438" s="17">
        <v>116</v>
      </c>
      <c r="AW438" s="17"/>
    </row>
    <row r="439" spans="1:49">
      <c r="A439" t="s">
        <v>1344</v>
      </c>
      <c r="B439" s="5">
        <v>45513</v>
      </c>
      <c r="C439" t="s">
        <v>302</v>
      </c>
      <c r="D439" t="s">
        <v>303</v>
      </c>
      <c r="E439" t="s">
        <v>719</v>
      </c>
      <c r="F439" t="s">
        <v>34</v>
      </c>
      <c r="G439" t="s">
        <v>47</v>
      </c>
      <c r="H439" t="s">
        <v>70</v>
      </c>
      <c r="I439" t="s">
        <v>71</v>
      </c>
      <c r="J439" t="s">
        <v>37</v>
      </c>
      <c r="K439" t="s">
        <v>38</v>
      </c>
      <c r="L439" s="5">
        <v>43374</v>
      </c>
      <c r="M439">
        <v>72</v>
      </c>
      <c r="N439" t="s">
        <v>431</v>
      </c>
      <c r="O439" t="s">
        <v>891</v>
      </c>
      <c r="Q439">
        <v>1</v>
      </c>
      <c r="R439">
        <v>78</v>
      </c>
      <c r="S439" t="s">
        <v>888</v>
      </c>
      <c r="T439" s="6">
        <v>44270.464167816215</v>
      </c>
      <c r="U439" s="7">
        <f>T439*DealsRawTable[[#This Row],[Contract_Years]]</f>
        <v>44270.464167816215</v>
      </c>
      <c r="V439" s="8">
        <v>0.122</v>
      </c>
      <c r="W439" s="8">
        <v>0.11</v>
      </c>
      <c r="X439" s="8">
        <v>-7.6999999999999999E-2</v>
      </c>
      <c r="Y439" t="s">
        <v>905</v>
      </c>
      <c r="Z439" t="s">
        <v>889</v>
      </c>
      <c r="AA439" s="6">
        <v>39411.180189350722</v>
      </c>
      <c r="AB439" s="7">
        <f>DealsRawTable[[#This Row],[Final_Price_ACV]]*DealsRawTable[[#This Row],[Contract_Years]]</f>
        <v>39411.180189350722</v>
      </c>
      <c r="AC439" s="6">
        <v>19353.170345917359</v>
      </c>
      <c r="AD439" s="6">
        <v>20058.009843433363</v>
      </c>
      <c r="AE439" s="8">
        <v>0.50894212624602475</v>
      </c>
      <c r="AF439" t="s">
        <v>457</v>
      </c>
      <c r="AI439" t="s">
        <v>38</v>
      </c>
      <c r="AJ439" s="6">
        <v>0</v>
      </c>
      <c r="AK439" s="6">
        <v>0</v>
      </c>
      <c r="AL439" t="s">
        <v>894</v>
      </c>
      <c r="AM439">
        <f t="shared" si="12"/>
        <v>39400.71</v>
      </c>
      <c r="AN439">
        <f>DealsRawTable[[#This Row],[Validated_Annual_Final_Price]]*DealsRawTable[[#This Row],[Contract_Years]]</f>
        <v>39400.71</v>
      </c>
      <c r="AO439">
        <f>DealsRawTable[[#This Row],[Validated_Annual_Final_Price]]-DealsRawTable[[#This Row],[Cost_to_Serve]]</f>
        <v>20047.53965408264</v>
      </c>
      <c r="AP439" s="17">
        <f>DealsRawTable[[#This Row],[Validated_Grossprofit]]/DealsRawTable[[#This Row],[Validated_Annual_Final_Price]]</f>
        <v>0.50881163446249167</v>
      </c>
      <c r="AQ439" s="17">
        <v>0</v>
      </c>
      <c r="AR439" s="17">
        <v>0</v>
      </c>
      <c r="AS439" s="17">
        <v>0</v>
      </c>
      <c r="AT439" s="17">
        <v>0</v>
      </c>
      <c r="AU439" s="17" t="str">
        <f t="shared" si="13"/>
        <v>10–15%</v>
      </c>
      <c r="AV439" s="17">
        <v>113</v>
      </c>
      <c r="AW439" s="17"/>
    </row>
    <row r="440" spans="1:49">
      <c r="A440" t="s">
        <v>1345</v>
      </c>
      <c r="B440" s="5">
        <v>45874</v>
      </c>
      <c r="C440" t="s">
        <v>302</v>
      </c>
      <c r="D440" t="s">
        <v>303</v>
      </c>
      <c r="E440" t="s">
        <v>719</v>
      </c>
      <c r="F440" t="s">
        <v>34</v>
      </c>
      <c r="G440" t="s">
        <v>47</v>
      </c>
      <c r="H440" t="s">
        <v>70</v>
      </c>
      <c r="I440" t="s">
        <v>71</v>
      </c>
      <c r="J440" t="s">
        <v>37</v>
      </c>
      <c r="K440" t="s">
        <v>38</v>
      </c>
      <c r="L440" s="5">
        <v>43374</v>
      </c>
      <c r="M440">
        <v>72</v>
      </c>
      <c r="N440" t="s">
        <v>431</v>
      </c>
      <c r="O440" t="s">
        <v>915</v>
      </c>
      <c r="Q440">
        <v>1</v>
      </c>
      <c r="R440">
        <v>78</v>
      </c>
      <c r="S440" t="s">
        <v>877</v>
      </c>
      <c r="T440" s="6">
        <v>44270.464167816215</v>
      </c>
      <c r="U440" s="7">
        <f>T440*DealsRawTable[[#This Row],[Contract_Years]]</f>
        <v>44270.464167816215</v>
      </c>
      <c r="V440" s="8">
        <v>0.248</v>
      </c>
      <c r="W440" s="8">
        <v>0.214</v>
      </c>
      <c r="X440" s="8">
        <v>-0.184</v>
      </c>
      <c r="Y440" t="s">
        <v>878</v>
      </c>
      <c r="Z440" t="s">
        <v>893</v>
      </c>
      <c r="AA440" s="6">
        <v>34812.421658266634</v>
      </c>
      <c r="AB440" s="7">
        <f>DealsRawTable[[#This Row],[Final_Price_ACV]]*DealsRawTable[[#This Row],[Contract_Years]]</f>
        <v>34812.421658266634</v>
      </c>
      <c r="AC440" s="6">
        <v>18014.224602680883</v>
      </c>
      <c r="AD440" s="6">
        <v>16798.197055585752</v>
      </c>
      <c r="AE440" s="8">
        <v>0.4825345740231437</v>
      </c>
      <c r="AF440" t="s">
        <v>880</v>
      </c>
      <c r="AI440" t="s">
        <v>44</v>
      </c>
      <c r="AJ440" s="6">
        <v>34812.421658266634</v>
      </c>
      <c r="AK440" s="6">
        <v>16798.197055585752</v>
      </c>
      <c r="AL440" t="s">
        <v>934</v>
      </c>
      <c r="AM440">
        <f t="shared" si="12"/>
        <v>34796.58</v>
      </c>
      <c r="AN440">
        <f>DealsRawTable[[#This Row],[Validated_Annual_Final_Price]]*DealsRawTable[[#This Row],[Contract_Years]]</f>
        <v>34796.58</v>
      </c>
      <c r="AO440">
        <f>DealsRawTable[[#This Row],[Validated_Annual_Final_Price]]-DealsRawTable[[#This Row],[Cost_to_Serve]]</f>
        <v>16782.355397319119</v>
      </c>
      <c r="AP440" s="17">
        <f>DealsRawTable[[#This Row],[Validated_Grossprofit]]/DealsRawTable[[#This Row],[Validated_Annual_Final_Price]]</f>
        <v>0.48229899022602563</v>
      </c>
      <c r="AQ440" s="17">
        <v>34796.58</v>
      </c>
      <c r="AR440" s="17">
        <v>34796.58</v>
      </c>
      <c r="AS440" s="17">
        <v>16782.355397319119</v>
      </c>
      <c r="AT440" s="17">
        <v>0.48229899022602563</v>
      </c>
      <c r="AU440" s="17" t="str">
        <f t="shared" si="13"/>
        <v>20–25%</v>
      </c>
      <c r="AV440" s="17">
        <v>29</v>
      </c>
      <c r="AW440" s="17"/>
    </row>
    <row r="441" spans="1:49">
      <c r="A441" t="s">
        <v>1346</v>
      </c>
      <c r="B441" s="5">
        <v>45447</v>
      </c>
      <c r="C441" t="s">
        <v>304</v>
      </c>
      <c r="D441" t="s">
        <v>305</v>
      </c>
      <c r="E441" t="s">
        <v>720</v>
      </c>
      <c r="F441" t="s">
        <v>449</v>
      </c>
      <c r="G441" t="s">
        <v>53</v>
      </c>
      <c r="H441" t="s">
        <v>54</v>
      </c>
      <c r="I441" t="s">
        <v>55</v>
      </c>
      <c r="J441" t="s">
        <v>56</v>
      </c>
      <c r="K441" t="s">
        <v>38</v>
      </c>
      <c r="L441" s="5">
        <v>45292</v>
      </c>
      <c r="M441">
        <v>76</v>
      </c>
      <c r="N441" t="s">
        <v>427</v>
      </c>
      <c r="O441" t="s">
        <v>891</v>
      </c>
      <c r="Q441">
        <v>1</v>
      </c>
      <c r="R441">
        <v>259</v>
      </c>
      <c r="S441" t="s">
        <v>877</v>
      </c>
      <c r="T441" s="6">
        <v>97372.962133681998</v>
      </c>
      <c r="U441" s="7">
        <f>T441*DealsRawTable[[#This Row],[Contract_Years]]</f>
        <v>97372.962133681998</v>
      </c>
      <c r="V441" s="8">
        <v>0.19500000000000001</v>
      </c>
      <c r="W441" s="8">
        <v>0.17100000000000001</v>
      </c>
      <c r="X441" s="8">
        <v>-5.0999999999999997E-2</v>
      </c>
      <c r="Y441" t="s">
        <v>930</v>
      </c>
      <c r="Z441" t="s">
        <v>889</v>
      </c>
      <c r="AA441" s="6">
        <v>80691.057483343524</v>
      </c>
      <c r="AB441" s="7">
        <f>DealsRawTable[[#This Row],[Final_Price_ACV]]*DealsRawTable[[#This Row],[Contract_Years]]</f>
        <v>80691.057483343524</v>
      </c>
      <c r="AC441" s="6">
        <v>30819.066658687032</v>
      </c>
      <c r="AD441" s="6">
        <v>49871.990824656488</v>
      </c>
      <c r="AE441" s="8">
        <v>0.61806093983774102</v>
      </c>
      <c r="AF441" t="s">
        <v>880</v>
      </c>
      <c r="AI441" t="s">
        <v>38</v>
      </c>
      <c r="AJ441" s="6">
        <v>80691.057483343524</v>
      </c>
      <c r="AK441" s="6">
        <v>49871.990824656488</v>
      </c>
      <c r="AL441" t="s">
        <v>894</v>
      </c>
      <c r="AM441">
        <f t="shared" si="12"/>
        <v>80722.19</v>
      </c>
      <c r="AN441">
        <f>DealsRawTable[[#This Row],[Validated_Annual_Final_Price]]*DealsRawTable[[#This Row],[Contract_Years]]</f>
        <v>80722.19</v>
      </c>
      <c r="AO441">
        <f>DealsRawTable[[#This Row],[Validated_Annual_Final_Price]]-DealsRawTable[[#This Row],[Cost_to_Serve]]</f>
        <v>49903.123341312967</v>
      </c>
      <c r="AP441" s="17">
        <f>DealsRawTable[[#This Row],[Validated_Grossprofit]]/DealsRawTable[[#This Row],[Validated_Annual_Final_Price]]</f>
        <v>0.61820824411866138</v>
      </c>
      <c r="AQ441" s="17">
        <v>80722.19</v>
      </c>
      <c r="AR441" s="17">
        <v>80722.19</v>
      </c>
      <c r="AS441" s="17">
        <v>49903.123341312967</v>
      </c>
      <c r="AT441" s="17">
        <v>0.61820824411866138</v>
      </c>
      <c r="AU441" s="17" t="str">
        <f t="shared" si="13"/>
        <v>15–20%</v>
      </c>
      <c r="AV441" s="17">
        <v>108</v>
      </c>
      <c r="AW441" s="17"/>
    </row>
    <row r="442" spans="1:49">
      <c r="A442" t="s">
        <v>1347</v>
      </c>
      <c r="B442" s="5">
        <v>45659</v>
      </c>
      <c r="C442" t="s">
        <v>304</v>
      </c>
      <c r="D442" t="s">
        <v>305</v>
      </c>
      <c r="E442" t="s">
        <v>720</v>
      </c>
      <c r="F442" t="s">
        <v>449</v>
      </c>
      <c r="G442" t="s">
        <v>53</v>
      </c>
      <c r="H442" t="s">
        <v>54</v>
      </c>
      <c r="I442" t="s">
        <v>55</v>
      </c>
      <c r="J442" t="s">
        <v>56</v>
      </c>
      <c r="K442" t="s">
        <v>38</v>
      </c>
      <c r="L442" s="5">
        <v>45292</v>
      </c>
      <c r="M442">
        <v>76</v>
      </c>
      <c r="N442" t="s">
        <v>427</v>
      </c>
      <c r="O442" t="s">
        <v>883</v>
      </c>
      <c r="P442" t="s">
        <v>946</v>
      </c>
      <c r="Q442">
        <v>1</v>
      </c>
      <c r="R442">
        <v>341</v>
      </c>
      <c r="S442" t="s">
        <v>892</v>
      </c>
      <c r="T442" s="6">
        <v>114006.89656162501</v>
      </c>
      <c r="U442" s="7">
        <f>T442*DealsRawTable[[#This Row],[Contract_Years]]</f>
        <v>114006.89656162501</v>
      </c>
      <c r="V442" s="8">
        <v>0.11600000000000001</v>
      </c>
      <c r="W442" s="8">
        <v>0.112</v>
      </c>
      <c r="X442" s="8">
        <v>-9.4E-2</v>
      </c>
      <c r="Y442" t="s">
        <v>885</v>
      </c>
      <c r="Z442" t="s">
        <v>889</v>
      </c>
      <c r="AA442" s="6">
        <v>101191.83347270275</v>
      </c>
      <c r="AB442" s="7">
        <f>DealsRawTable[[#This Row],[Final_Price_ACV]]*DealsRawTable[[#This Row],[Contract_Years]]</f>
        <v>101191.83347270275</v>
      </c>
      <c r="AC442" s="6">
        <v>35315.597203049503</v>
      </c>
      <c r="AD442" s="6">
        <v>65876.236269653251</v>
      </c>
      <c r="AE442" s="8">
        <v>0.65100348525085128</v>
      </c>
      <c r="AF442" t="s">
        <v>457</v>
      </c>
      <c r="AH442" t="s">
        <v>38</v>
      </c>
      <c r="AI442" t="s">
        <v>38</v>
      </c>
      <c r="AJ442" s="6">
        <v>0</v>
      </c>
      <c r="AK442" s="6">
        <v>0</v>
      </c>
      <c r="AL442" t="s">
        <v>886</v>
      </c>
      <c r="AM442">
        <f t="shared" si="12"/>
        <v>101238.12</v>
      </c>
      <c r="AN442">
        <f>DealsRawTable[[#This Row],[Validated_Annual_Final_Price]]*DealsRawTable[[#This Row],[Contract_Years]]</f>
        <v>101238.12</v>
      </c>
      <c r="AO442">
        <f>DealsRawTable[[#This Row],[Validated_Annual_Final_Price]]-DealsRawTable[[#This Row],[Cost_to_Serve]]</f>
        <v>65922.522796950492</v>
      </c>
      <c r="AP442" s="17">
        <f>DealsRawTable[[#This Row],[Validated_Grossprofit]]/DealsRawTable[[#This Row],[Validated_Annual_Final_Price]]</f>
        <v>0.65116304803912295</v>
      </c>
      <c r="AQ442" s="17">
        <v>0</v>
      </c>
      <c r="AR442" s="17">
        <v>0</v>
      </c>
      <c r="AS442" s="17">
        <v>0</v>
      </c>
      <c r="AT442" s="17">
        <v>0</v>
      </c>
      <c r="AU442" s="17" t="str">
        <f t="shared" si="13"/>
        <v>10–15%</v>
      </c>
      <c r="AV442" s="17">
        <v>113</v>
      </c>
      <c r="AW442" s="17"/>
    </row>
    <row r="443" spans="1:49">
      <c r="A443" t="s">
        <v>1348</v>
      </c>
      <c r="B443" s="5">
        <v>45812</v>
      </c>
      <c r="C443" t="s">
        <v>304</v>
      </c>
      <c r="D443" t="s">
        <v>305</v>
      </c>
      <c r="E443" t="s">
        <v>720</v>
      </c>
      <c r="F443" t="s">
        <v>449</v>
      </c>
      <c r="G443" t="s">
        <v>53</v>
      </c>
      <c r="H443" t="s">
        <v>54</v>
      </c>
      <c r="I443" t="s">
        <v>55</v>
      </c>
      <c r="J443" t="s">
        <v>56</v>
      </c>
      <c r="K443" t="s">
        <v>38</v>
      </c>
      <c r="L443" s="5">
        <v>45292</v>
      </c>
      <c r="M443">
        <v>76</v>
      </c>
      <c r="N443" t="s">
        <v>427</v>
      </c>
      <c r="O443" t="s">
        <v>876</v>
      </c>
      <c r="Q443">
        <v>1</v>
      </c>
      <c r="R443">
        <v>259</v>
      </c>
      <c r="S443" t="s">
        <v>907</v>
      </c>
      <c r="T443" s="6">
        <v>99590.661127497166</v>
      </c>
      <c r="U443" s="7">
        <f>T443*DealsRawTable[[#This Row],[Contract_Years]]</f>
        <v>99590.661127497166</v>
      </c>
      <c r="V443" s="8">
        <v>0.17899999999999999</v>
      </c>
      <c r="W443" s="8">
        <v>0.13600000000000001</v>
      </c>
      <c r="X443" s="8">
        <v>-2.3E-2</v>
      </c>
      <c r="Y443" t="s">
        <v>930</v>
      </c>
      <c r="Z443" t="s">
        <v>889</v>
      </c>
      <c r="AA443" s="6">
        <v>86034.758362062319</v>
      </c>
      <c r="AB443" s="7">
        <f>DealsRawTable[[#This Row],[Final_Price_ACV]]*DealsRawTable[[#This Row],[Contract_Years]]</f>
        <v>86034.758362062319</v>
      </c>
      <c r="AC443" s="6">
        <v>29660.496342526956</v>
      </c>
      <c r="AD443" s="6">
        <v>56374.262019535367</v>
      </c>
      <c r="AE443" s="8">
        <v>0.65524984428147159</v>
      </c>
      <c r="AF443" t="s">
        <v>880</v>
      </c>
      <c r="AG443" t="s">
        <v>44</v>
      </c>
      <c r="AI443" t="s">
        <v>38</v>
      </c>
      <c r="AJ443" s="6">
        <v>86034.758362062319</v>
      </c>
      <c r="AK443" s="6">
        <v>56374.262019535367</v>
      </c>
      <c r="AL443" t="s">
        <v>881</v>
      </c>
      <c r="AM443">
        <f t="shared" si="12"/>
        <v>86046.33</v>
      </c>
      <c r="AN443">
        <f>DealsRawTable[[#This Row],[Validated_Annual_Final_Price]]*DealsRawTable[[#This Row],[Contract_Years]]</f>
        <v>86046.33</v>
      </c>
      <c r="AO443">
        <f>DealsRawTable[[#This Row],[Validated_Annual_Final_Price]]-DealsRawTable[[#This Row],[Cost_to_Serve]]</f>
        <v>56385.833657473049</v>
      </c>
      <c r="AP443" s="17">
        <f>DealsRawTable[[#This Row],[Validated_Grossprofit]]/DealsRawTable[[#This Row],[Validated_Annual_Final_Price]]</f>
        <v>0.65529620679316647</v>
      </c>
      <c r="AQ443" s="17">
        <v>86046.33</v>
      </c>
      <c r="AR443" s="17">
        <v>86046.33</v>
      </c>
      <c r="AS443" s="17">
        <v>56385.833657473049</v>
      </c>
      <c r="AT443" s="17">
        <v>0.65529620679316647</v>
      </c>
      <c r="AU443" s="17" t="str">
        <f t="shared" si="13"/>
        <v>10–15%</v>
      </c>
      <c r="AV443" s="17">
        <v>113</v>
      </c>
      <c r="AW443" s="17"/>
    </row>
    <row r="444" spans="1:49">
      <c r="A444" t="s">
        <v>1349</v>
      </c>
      <c r="B444" s="5">
        <v>45666</v>
      </c>
      <c r="C444" t="s">
        <v>304</v>
      </c>
      <c r="D444" t="s">
        <v>305</v>
      </c>
      <c r="E444" t="s">
        <v>721</v>
      </c>
      <c r="F444" t="s">
        <v>475</v>
      </c>
      <c r="G444" t="s">
        <v>53</v>
      </c>
      <c r="H444" t="s">
        <v>54</v>
      </c>
      <c r="I444" t="s">
        <v>55</v>
      </c>
      <c r="J444" t="s">
        <v>56</v>
      </c>
      <c r="K444" t="s">
        <v>38</v>
      </c>
      <c r="L444" s="5">
        <v>45292</v>
      </c>
      <c r="M444">
        <v>76</v>
      </c>
      <c r="N444" t="s">
        <v>431</v>
      </c>
      <c r="O444" t="s">
        <v>891</v>
      </c>
      <c r="Q444">
        <v>3</v>
      </c>
      <c r="R444">
        <v>314</v>
      </c>
      <c r="S444" t="s">
        <v>907</v>
      </c>
      <c r="T444" s="6">
        <v>72323.58568091545</v>
      </c>
      <c r="U444" s="7">
        <f>T444*DealsRawTable[[#This Row],[Contract_Years]]</f>
        <v>216970.75704274635</v>
      </c>
      <c r="V444" s="8">
        <v>0.154</v>
      </c>
      <c r="W444" s="8">
        <v>0.108</v>
      </c>
      <c r="X444" s="8">
        <v>8.0000000000000002E-3</v>
      </c>
      <c r="Y444" t="s">
        <v>909</v>
      </c>
      <c r="Z444" t="s">
        <v>889</v>
      </c>
      <c r="AA444" s="6">
        <v>64486.752803515548</v>
      </c>
      <c r="AB444" s="7">
        <f>DealsRawTable[[#This Row],[Final_Price_ACV]]*DealsRawTable[[#This Row],[Contract_Years]]</f>
        <v>193460.25841054664</v>
      </c>
      <c r="AC444" s="6">
        <v>30096.568702393546</v>
      </c>
      <c r="AD444" s="6">
        <v>34390.184101122002</v>
      </c>
      <c r="AE444" s="8">
        <v>0.53329067763584448</v>
      </c>
      <c r="AF444" t="s">
        <v>880</v>
      </c>
      <c r="AI444" t="s">
        <v>38</v>
      </c>
      <c r="AJ444" s="6">
        <v>64486.752803515548</v>
      </c>
      <c r="AK444" s="6">
        <v>34390.184101122002</v>
      </c>
      <c r="AL444" t="s">
        <v>894</v>
      </c>
      <c r="AM444">
        <f t="shared" si="12"/>
        <v>64512.639999999999</v>
      </c>
      <c r="AN444">
        <f>DealsRawTable[[#This Row],[Validated_Annual_Final_Price]]*DealsRawTable[[#This Row],[Contract_Years]]</f>
        <v>193537.91999999998</v>
      </c>
      <c r="AO444">
        <f>DealsRawTable[[#This Row],[Validated_Annual_Final_Price]]-DealsRawTable[[#This Row],[Cost_to_Serve]]</f>
        <v>34416.071297606453</v>
      </c>
      <c r="AP444" s="17">
        <f>DealsRawTable[[#This Row],[Validated_Grossprofit]]/DealsRawTable[[#This Row],[Validated_Annual_Final_Price]]</f>
        <v>0.53347795560073896</v>
      </c>
      <c r="AQ444" s="17">
        <v>64512.639999999999</v>
      </c>
      <c r="AR444" s="17">
        <v>193537.91999999998</v>
      </c>
      <c r="AS444" s="17">
        <v>34416.071297606453</v>
      </c>
      <c r="AT444" s="17">
        <v>0.53347795560073896</v>
      </c>
      <c r="AU444" s="17" t="str">
        <f t="shared" si="13"/>
        <v>10–15%</v>
      </c>
      <c r="AV444" s="17">
        <v>113</v>
      </c>
      <c r="AW444" s="17"/>
    </row>
    <row r="445" spans="1:49">
      <c r="A445" t="s">
        <v>1350</v>
      </c>
      <c r="B445" s="5">
        <v>45538</v>
      </c>
      <c r="C445" t="s">
        <v>304</v>
      </c>
      <c r="D445" t="s">
        <v>305</v>
      </c>
      <c r="E445" t="s">
        <v>722</v>
      </c>
      <c r="F445" t="s">
        <v>466</v>
      </c>
      <c r="G445" t="s">
        <v>53</v>
      </c>
      <c r="H445" t="s">
        <v>54</v>
      </c>
      <c r="I445" t="s">
        <v>55</v>
      </c>
      <c r="J445" t="s">
        <v>56</v>
      </c>
      <c r="K445" t="s">
        <v>38</v>
      </c>
      <c r="L445" s="5">
        <v>45292</v>
      </c>
      <c r="M445">
        <v>76</v>
      </c>
      <c r="N445" t="s">
        <v>433</v>
      </c>
      <c r="O445" t="s">
        <v>891</v>
      </c>
      <c r="Q445">
        <v>3</v>
      </c>
      <c r="R445">
        <v>315</v>
      </c>
      <c r="S445" t="s">
        <v>892</v>
      </c>
      <c r="T445" s="6">
        <v>230920.43453233514</v>
      </c>
      <c r="U445" s="7">
        <f>T445*DealsRawTable[[#This Row],[Contract_Years]]</f>
        <v>692761.30359700543</v>
      </c>
      <c r="V445" s="8">
        <v>5.6000000000000001E-2</v>
      </c>
      <c r="W445" s="8">
        <v>3.7999999999999999E-2</v>
      </c>
      <c r="X445" s="8">
        <v>8.0000000000000002E-3</v>
      </c>
      <c r="Y445" t="s">
        <v>902</v>
      </c>
      <c r="Z445" t="s">
        <v>879</v>
      </c>
      <c r="AA445" s="6">
        <v>222071.12056007198</v>
      </c>
      <c r="AB445" s="7">
        <f>DealsRawTable[[#This Row],[Final_Price_ACV]]*DealsRawTable[[#This Row],[Contract_Years]]</f>
        <v>666213.36168021592</v>
      </c>
      <c r="AC445" s="6">
        <v>79787.207509923159</v>
      </c>
      <c r="AD445" s="6">
        <v>142283.91305014881</v>
      </c>
      <c r="AE445" s="8">
        <v>0.64071326650355642</v>
      </c>
      <c r="AF445" t="s">
        <v>457</v>
      </c>
      <c r="AI445" t="s">
        <v>38</v>
      </c>
      <c r="AJ445" s="6">
        <v>0</v>
      </c>
      <c r="AK445" s="6">
        <v>0</v>
      </c>
      <c r="AL445" t="s">
        <v>894</v>
      </c>
      <c r="AM445">
        <f t="shared" si="12"/>
        <v>222145.46</v>
      </c>
      <c r="AN445">
        <f>DealsRawTable[[#This Row],[Validated_Annual_Final_Price]]*DealsRawTable[[#This Row],[Contract_Years]]</f>
        <v>666436.38</v>
      </c>
      <c r="AO445">
        <f>DealsRawTable[[#This Row],[Validated_Annual_Final_Price]]-DealsRawTable[[#This Row],[Cost_to_Serve]]</f>
        <v>142358.25249007682</v>
      </c>
      <c r="AP445" s="17">
        <f>DealsRawTable[[#This Row],[Validated_Grossprofit]]/DealsRawTable[[#This Row],[Validated_Annual_Final_Price]]</f>
        <v>0.64083349932101619</v>
      </c>
      <c r="AQ445" s="17">
        <v>0</v>
      </c>
      <c r="AR445" s="17">
        <v>0</v>
      </c>
      <c r="AS445" s="17">
        <v>0</v>
      </c>
      <c r="AT445" s="17">
        <v>0</v>
      </c>
      <c r="AU445" s="17" t="str">
        <f t="shared" si="13"/>
        <v>0–5%</v>
      </c>
      <c r="AV445" s="17">
        <v>55</v>
      </c>
      <c r="AW445" s="17"/>
    </row>
    <row r="446" spans="1:49">
      <c r="A446" t="s">
        <v>1351</v>
      </c>
      <c r="B446" s="5">
        <v>45604</v>
      </c>
      <c r="C446" t="s">
        <v>306</v>
      </c>
      <c r="D446" t="s">
        <v>307</v>
      </c>
      <c r="E446" t="s">
        <v>723</v>
      </c>
      <c r="F446" t="s">
        <v>445</v>
      </c>
      <c r="G446" t="s">
        <v>34</v>
      </c>
      <c r="H446" t="s">
        <v>48</v>
      </c>
      <c r="I446" t="s">
        <v>49</v>
      </c>
      <c r="J446" t="s">
        <v>37</v>
      </c>
      <c r="K446" t="s">
        <v>38</v>
      </c>
      <c r="L446" s="5">
        <v>44256</v>
      </c>
      <c r="M446">
        <v>84</v>
      </c>
      <c r="N446" t="s">
        <v>424</v>
      </c>
      <c r="O446" t="s">
        <v>876</v>
      </c>
      <c r="Q446">
        <v>1</v>
      </c>
      <c r="R446">
        <v>22</v>
      </c>
      <c r="S446" t="s">
        <v>900</v>
      </c>
      <c r="T446" s="6">
        <v>28677.827915883361</v>
      </c>
      <c r="U446" s="7">
        <f>T446*DealsRawTable[[#This Row],[Contract_Years]]</f>
        <v>28677.827915883361</v>
      </c>
      <c r="V446" s="8">
        <v>0.157</v>
      </c>
      <c r="W446" s="8">
        <v>0.14399999999999999</v>
      </c>
      <c r="X446" s="8">
        <v>-3.3000000000000002E-2</v>
      </c>
      <c r="Y446" t="s">
        <v>878</v>
      </c>
      <c r="Z446" t="s">
        <v>889</v>
      </c>
      <c r="AA446" s="6">
        <v>24540.432879680091</v>
      </c>
      <c r="AB446" s="7">
        <f>DealsRawTable[[#This Row],[Final_Price_ACV]]*DealsRawTable[[#This Row],[Contract_Years]]</f>
        <v>24540.432879680091</v>
      </c>
      <c r="AC446" s="6">
        <v>7663.4443008176504</v>
      </c>
      <c r="AD446" s="6">
        <v>16876.988578862441</v>
      </c>
      <c r="AE446" s="8">
        <v>0.68772171467427068</v>
      </c>
      <c r="AF446" t="s">
        <v>880</v>
      </c>
      <c r="AG446" t="s">
        <v>44</v>
      </c>
      <c r="AI446" t="s">
        <v>38</v>
      </c>
      <c r="AJ446" s="6">
        <v>24540.432879680091</v>
      </c>
      <c r="AK446" s="6">
        <v>16876.988578862441</v>
      </c>
      <c r="AL446" t="s">
        <v>881</v>
      </c>
      <c r="AM446">
        <f t="shared" si="12"/>
        <v>24548.22</v>
      </c>
      <c r="AN446">
        <f>DealsRawTable[[#This Row],[Validated_Annual_Final_Price]]*DealsRawTable[[#This Row],[Contract_Years]]</f>
        <v>24548.22</v>
      </c>
      <c r="AO446">
        <f>DealsRawTable[[#This Row],[Validated_Annual_Final_Price]]-DealsRawTable[[#This Row],[Cost_to_Serve]]</f>
        <v>16884.775699182352</v>
      </c>
      <c r="AP446" s="17">
        <f>DealsRawTable[[#This Row],[Validated_Grossprofit]]/DealsRawTable[[#This Row],[Validated_Annual_Final_Price]]</f>
        <v>0.68782077475199221</v>
      </c>
      <c r="AQ446" s="17">
        <v>24548.22</v>
      </c>
      <c r="AR446" s="17">
        <v>24548.22</v>
      </c>
      <c r="AS446" s="17">
        <v>16884.775699182352</v>
      </c>
      <c r="AT446" s="17">
        <v>0.68782077475199221</v>
      </c>
      <c r="AU446" s="17" t="str">
        <f t="shared" si="13"/>
        <v>10–15%</v>
      </c>
      <c r="AV446" s="17">
        <v>113</v>
      </c>
      <c r="AW446" s="17"/>
    </row>
    <row r="447" spans="1:49">
      <c r="A447" t="s">
        <v>1352</v>
      </c>
      <c r="B447" s="5">
        <v>45969</v>
      </c>
      <c r="C447" t="s">
        <v>306</v>
      </c>
      <c r="D447" t="s">
        <v>307</v>
      </c>
      <c r="E447" t="s">
        <v>723</v>
      </c>
      <c r="F447" t="s">
        <v>445</v>
      </c>
      <c r="G447" t="s">
        <v>34</v>
      </c>
      <c r="H447" t="s">
        <v>48</v>
      </c>
      <c r="I447" t="s">
        <v>49</v>
      </c>
      <c r="J447" t="s">
        <v>37</v>
      </c>
      <c r="K447" t="s">
        <v>38</v>
      </c>
      <c r="L447" s="5">
        <v>44256</v>
      </c>
      <c r="M447">
        <v>84</v>
      </c>
      <c r="N447" t="s">
        <v>424</v>
      </c>
      <c r="O447" t="s">
        <v>876</v>
      </c>
      <c r="Q447">
        <v>1</v>
      </c>
      <c r="R447">
        <v>22</v>
      </c>
      <c r="S447" t="s">
        <v>907</v>
      </c>
      <c r="T447" s="6">
        <v>30655.514632574657</v>
      </c>
      <c r="U447" s="7">
        <f>T447*DealsRawTable[[#This Row],[Contract_Years]]</f>
        <v>30655.514632574657</v>
      </c>
      <c r="V447" s="8">
        <v>0.126</v>
      </c>
      <c r="W447" s="8">
        <v>0.1</v>
      </c>
      <c r="X447" s="8">
        <v>1.4999999999999999E-2</v>
      </c>
      <c r="Y447" t="s">
        <v>897</v>
      </c>
      <c r="Z447" t="s">
        <v>879</v>
      </c>
      <c r="AA447" s="6">
        <v>27603.463540960383</v>
      </c>
      <c r="AB447" s="7">
        <f>DealsRawTable[[#This Row],[Final_Price_ACV]]*DealsRawTable[[#This Row],[Contract_Years]]</f>
        <v>27603.463540960383</v>
      </c>
      <c r="AC447" s="6">
        <v>7819.5223042655207</v>
      </c>
      <c r="AD447" s="6">
        <v>19783.941236694864</v>
      </c>
      <c r="AE447" s="8">
        <v>0.71671952352420398</v>
      </c>
      <c r="AF447" t="s">
        <v>880</v>
      </c>
      <c r="AG447" t="s">
        <v>44</v>
      </c>
      <c r="AI447" t="s">
        <v>38</v>
      </c>
      <c r="AJ447" s="6">
        <v>27603.463540960383</v>
      </c>
      <c r="AK447" s="6">
        <v>19783.941236694864</v>
      </c>
      <c r="AL447" t="s">
        <v>881</v>
      </c>
      <c r="AM447">
        <f t="shared" si="12"/>
        <v>27589.96</v>
      </c>
      <c r="AN447">
        <f>DealsRawTable[[#This Row],[Validated_Annual_Final_Price]]*DealsRawTable[[#This Row],[Contract_Years]]</f>
        <v>27589.96</v>
      </c>
      <c r="AO447">
        <f>DealsRawTable[[#This Row],[Validated_Annual_Final_Price]]-DealsRawTable[[#This Row],[Cost_to_Serve]]</f>
        <v>19770.437695734479</v>
      </c>
      <c r="AP447" s="17">
        <f>DealsRawTable[[#This Row],[Validated_Grossprofit]]/DealsRawTable[[#This Row],[Validated_Annual_Final_Price]]</f>
        <v>0.71658087564224382</v>
      </c>
      <c r="AQ447" s="17">
        <v>27589.96</v>
      </c>
      <c r="AR447" s="17">
        <v>27589.96</v>
      </c>
      <c r="AS447" s="17">
        <v>19770.437695734479</v>
      </c>
      <c r="AT447" s="17">
        <v>0.71658087564224382</v>
      </c>
      <c r="AU447" s="17" t="str">
        <f t="shared" si="13"/>
        <v>5–10%</v>
      </c>
      <c r="AV447" s="17">
        <v>116</v>
      </c>
      <c r="AW447" s="17"/>
    </row>
    <row r="448" spans="1:49">
      <c r="A448" t="s">
        <v>1353</v>
      </c>
      <c r="B448" s="5">
        <v>45306</v>
      </c>
      <c r="C448" t="s">
        <v>308</v>
      </c>
      <c r="D448" t="s">
        <v>309</v>
      </c>
      <c r="E448" t="s">
        <v>724</v>
      </c>
      <c r="F448" t="s">
        <v>34</v>
      </c>
      <c r="G448" t="s">
        <v>34</v>
      </c>
      <c r="H448" t="s">
        <v>48</v>
      </c>
      <c r="I448" t="s">
        <v>115</v>
      </c>
      <c r="J448" t="s">
        <v>43</v>
      </c>
      <c r="K448" t="s">
        <v>44</v>
      </c>
      <c r="L448" s="5">
        <v>44531</v>
      </c>
      <c r="M448">
        <v>61</v>
      </c>
      <c r="N448" t="s">
        <v>427</v>
      </c>
      <c r="O448" t="s">
        <v>876</v>
      </c>
      <c r="Q448">
        <v>1</v>
      </c>
      <c r="R448">
        <v>946</v>
      </c>
      <c r="S448" t="s">
        <v>900</v>
      </c>
      <c r="T448" s="6">
        <v>172691.83535308522</v>
      </c>
      <c r="U448" s="7">
        <f>T448*DealsRawTable[[#This Row],[Contract_Years]]</f>
        <v>172691.83535308522</v>
      </c>
      <c r="V448" s="8">
        <v>9.7000000000000003E-2</v>
      </c>
      <c r="W448" s="8">
        <v>6.4000000000000001E-2</v>
      </c>
      <c r="X448" s="8">
        <v>3.6999999999999998E-2</v>
      </c>
      <c r="Y448" t="s">
        <v>878</v>
      </c>
      <c r="Z448" t="s">
        <v>879</v>
      </c>
      <c r="AA448" s="6">
        <v>161696.69752293066</v>
      </c>
      <c r="AB448" s="7">
        <f>DealsRawTable[[#This Row],[Final_Price_ACV]]*DealsRawTable[[#This Row],[Contract_Years]]</f>
        <v>161696.69752293066</v>
      </c>
      <c r="AC448" s="6">
        <v>55112.677427391442</v>
      </c>
      <c r="AD448" s="6">
        <v>106584.02009553922</v>
      </c>
      <c r="AE448" s="8">
        <v>0.65916015434034603</v>
      </c>
      <c r="AF448" t="s">
        <v>457</v>
      </c>
      <c r="AG448" t="s">
        <v>38</v>
      </c>
      <c r="AI448" t="s">
        <v>38</v>
      </c>
      <c r="AJ448" s="6">
        <v>0</v>
      </c>
      <c r="AK448" s="6">
        <v>0</v>
      </c>
      <c r="AL448" t="s">
        <v>881</v>
      </c>
      <c r="AM448">
        <f t="shared" si="12"/>
        <v>161639.56</v>
      </c>
      <c r="AN448">
        <f>DealsRawTable[[#This Row],[Validated_Annual_Final_Price]]*DealsRawTable[[#This Row],[Contract_Years]]</f>
        <v>161639.56</v>
      </c>
      <c r="AO448">
        <f>DealsRawTable[[#This Row],[Validated_Annual_Final_Price]]-DealsRawTable[[#This Row],[Cost_to_Serve]]</f>
        <v>106526.88257260856</v>
      </c>
      <c r="AP448" s="17">
        <f>DealsRawTable[[#This Row],[Validated_Grossprofit]]/DealsRawTable[[#This Row],[Validated_Annual_Final_Price]]</f>
        <v>0.65903967180193124</v>
      </c>
      <c r="AQ448" s="17">
        <v>0</v>
      </c>
      <c r="AR448" s="17">
        <v>0</v>
      </c>
      <c r="AS448" s="17">
        <v>0</v>
      </c>
      <c r="AT448" s="17">
        <v>0</v>
      </c>
      <c r="AU448" s="17" t="str">
        <f t="shared" si="13"/>
        <v>5–10%</v>
      </c>
      <c r="AV448" s="17">
        <v>116</v>
      </c>
      <c r="AW448" s="17"/>
    </row>
    <row r="449" spans="1:49">
      <c r="A449" t="s">
        <v>1354</v>
      </c>
      <c r="B449" s="5">
        <v>45598</v>
      </c>
      <c r="C449" t="s">
        <v>308</v>
      </c>
      <c r="D449" t="s">
        <v>309</v>
      </c>
      <c r="E449" t="s">
        <v>725</v>
      </c>
      <c r="F449" t="s">
        <v>475</v>
      </c>
      <c r="G449" t="s">
        <v>34</v>
      </c>
      <c r="H449" t="s">
        <v>48</v>
      </c>
      <c r="I449" t="s">
        <v>115</v>
      </c>
      <c r="J449" t="s">
        <v>43</v>
      </c>
      <c r="K449" t="s">
        <v>44</v>
      </c>
      <c r="L449" s="5">
        <v>44531</v>
      </c>
      <c r="M449">
        <v>61</v>
      </c>
      <c r="N449" t="s">
        <v>427</v>
      </c>
      <c r="O449" t="s">
        <v>876</v>
      </c>
      <c r="Q449">
        <v>1</v>
      </c>
      <c r="R449">
        <v>677</v>
      </c>
      <c r="S449" t="s">
        <v>892</v>
      </c>
      <c r="T449" s="6">
        <v>344841.15788147546</v>
      </c>
      <c r="U449" s="7">
        <f>T449*DealsRawTable[[#This Row],[Contract_Years]]</f>
        <v>344841.15788147546</v>
      </c>
      <c r="V449" s="8">
        <v>0.13500000000000001</v>
      </c>
      <c r="W449" s="8">
        <v>0.13400000000000001</v>
      </c>
      <c r="X449" s="8">
        <v>-9.6000000000000002E-2</v>
      </c>
      <c r="Y449" t="s">
        <v>878</v>
      </c>
      <c r="Z449" t="s">
        <v>889</v>
      </c>
      <c r="AA449" s="6">
        <v>298714.08613941667</v>
      </c>
      <c r="AB449" s="7">
        <f>DealsRawTable[[#This Row],[Final_Price_ACV]]*DealsRawTable[[#This Row],[Contract_Years]]</f>
        <v>298714.08613941667</v>
      </c>
      <c r="AC449" s="6">
        <v>120340.57578240926</v>
      </c>
      <c r="AD449" s="6">
        <v>178373.51035700741</v>
      </c>
      <c r="AE449" s="8">
        <v>0.59713792764950635</v>
      </c>
      <c r="AF449" t="s">
        <v>457</v>
      </c>
      <c r="AG449" t="s">
        <v>38</v>
      </c>
      <c r="AI449" t="s">
        <v>38</v>
      </c>
      <c r="AJ449" s="6">
        <v>0</v>
      </c>
      <c r="AK449" s="6">
        <v>0</v>
      </c>
      <c r="AL449" t="s">
        <v>881</v>
      </c>
      <c r="AM449">
        <f t="shared" si="12"/>
        <v>298632.44</v>
      </c>
      <c r="AN449">
        <f>DealsRawTable[[#This Row],[Validated_Annual_Final_Price]]*DealsRawTable[[#This Row],[Contract_Years]]</f>
        <v>298632.44</v>
      </c>
      <c r="AO449">
        <f>DealsRawTable[[#This Row],[Validated_Annual_Final_Price]]-DealsRawTable[[#This Row],[Cost_to_Serve]]</f>
        <v>178291.86421759074</v>
      </c>
      <c r="AP449" s="17">
        <f>DealsRawTable[[#This Row],[Validated_Grossprofit]]/DealsRawTable[[#This Row],[Validated_Annual_Final_Price]]</f>
        <v>0.59702778511802246</v>
      </c>
      <c r="AQ449" s="17">
        <v>0</v>
      </c>
      <c r="AR449" s="17">
        <v>0</v>
      </c>
      <c r="AS449" s="17">
        <v>0</v>
      </c>
      <c r="AT449" s="17">
        <v>0</v>
      </c>
      <c r="AU449" s="17" t="str">
        <f t="shared" si="13"/>
        <v>10–15%</v>
      </c>
      <c r="AV449" s="17">
        <v>113</v>
      </c>
      <c r="AW449" s="17"/>
    </row>
    <row r="450" spans="1:49">
      <c r="A450" t="s">
        <v>1355</v>
      </c>
      <c r="B450" s="5">
        <v>45357</v>
      </c>
      <c r="C450" t="s">
        <v>310</v>
      </c>
      <c r="D450" t="s">
        <v>311</v>
      </c>
      <c r="E450" t="s">
        <v>726</v>
      </c>
      <c r="F450" t="s">
        <v>445</v>
      </c>
      <c r="G450" t="s">
        <v>69</v>
      </c>
      <c r="H450" t="s">
        <v>54</v>
      </c>
      <c r="I450" t="s">
        <v>55</v>
      </c>
      <c r="J450" t="s">
        <v>37</v>
      </c>
      <c r="K450" t="s">
        <v>38</v>
      </c>
      <c r="L450" s="5">
        <v>44866</v>
      </c>
      <c r="M450">
        <v>62</v>
      </c>
      <c r="N450" t="s">
        <v>429</v>
      </c>
      <c r="O450" t="s">
        <v>891</v>
      </c>
      <c r="Q450">
        <v>1</v>
      </c>
      <c r="R450">
        <v>32</v>
      </c>
      <c r="S450" t="s">
        <v>947</v>
      </c>
      <c r="T450" s="6">
        <v>81566.509153221676</v>
      </c>
      <c r="U450" s="7">
        <f>T450*DealsRawTable[[#This Row],[Contract_Years]]</f>
        <v>81566.509153221676</v>
      </c>
      <c r="V450" s="8">
        <v>0.11600000000000001</v>
      </c>
      <c r="W450" s="8">
        <v>7.1999999999999995E-2</v>
      </c>
      <c r="X450" s="8">
        <v>0.15</v>
      </c>
      <c r="Y450" t="s">
        <v>930</v>
      </c>
      <c r="Z450" t="s">
        <v>879</v>
      </c>
      <c r="AA450" s="6">
        <v>75661.635440125741</v>
      </c>
      <c r="AB450" s="7">
        <f>DealsRawTable[[#This Row],[Final_Price_ACV]]*DealsRawTable[[#This Row],[Contract_Years]]</f>
        <v>75661.635440125741</v>
      </c>
      <c r="AC450" s="6">
        <v>27502.829257893532</v>
      </c>
      <c r="AD450" s="6">
        <v>48158.806182232205</v>
      </c>
      <c r="AE450" s="8">
        <v>0.63650231589749751</v>
      </c>
      <c r="AF450" t="s">
        <v>880</v>
      </c>
      <c r="AI450" t="s">
        <v>38</v>
      </c>
      <c r="AJ450" s="6">
        <v>75661.635440125741</v>
      </c>
      <c r="AK450" s="6">
        <v>48158.806182232205</v>
      </c>
      <c r="AL450" t="s">
        <v>894</v>
      </c>
      <c r="AM450">
        <f t="shared" si="12"/>
        <v>75693.72</v>
      </c>
      <c r="AN450">
        <f>DealsRawTable[[#This Row],[Validated_Annual_Final_Price]]*DealsRawTable[[#This Row],[Contract_Years]]</f>
        <v>75693.72</v>
      </c>
      <c r="AO450">
        <f>DealsRawTable[[#This Row],[Validated_Annual_Final_Price]]-DealsRawTable[[#This Row],[Cost_to_Serve]]</f>
        <v>48190.890742106465</v>
      </c>
      <c r="AP450" s="17">
        <f>DealsRawTable[[#This Row],[Validated_Grossprofit]]/DealsRawTable[[#This Row],[Validated_Annual_Final_Price]]</f>
        <v>0.63665639292277432</v>
      </c>
      <c r="AQ450" s="17">
        <v>75693.72</v>
      </c>
      <c r="AR450" s="17">
        <v>75693.72</v>
      </c>
      <c r="AS450" s="17">
        <v>48190.890742106465</v>
      </c>
      <c r="AT450" s="17">
        <v>0.63665639292277432</v>
      </c>
      <c r="AU450" s="17" t="str">
        <f t="shared" si="13"/>
        <v>5–10%</v>
      </c>
      <c r="AV450" s="17">
        <v>116</v>
      </c>
      <c r="AW450" s="17"/>
    </row>
    <row r="451" spans="1:49">
      <c r="A451" t="s">
        <v>1356</v>
      </c>
      <c r="B451" s="5">
        <v>45722</v>
      </c>
      <c r="C451" t="s">
        <v>310</v>
      </c>
      <c r="D451" t="s">
        <v>311</v>
      </c>
      <c r="E451" t="s">
        <v>726</v>
      </c>
      <c r="F451" t="s">
        <v>445</v>
      </c>
      <c r="G451" t="s">
        <v>69</v>
      </c>
      <c r="H451" t="s">
        <v>54</v>
      </c>
      <c r="I451" t="s">
        <v>55</v>
      </c>
      <c r="J451" t="s">
        <v>37</v>
      </c>
      <c r="K451" t="s">
        <v>38</v>
      </c>
      <c r="L451" s="5">
        <v>44866</v>
      </c>
      <c r="M451">
        <v>62</v>
      </c>
      <c r="N451" t="s">
        <v>429</v>
      </c>
      <c r="O451" t="s">
        <v>876</v>
      </c>
      <c r="Q451">
        <v>1</v>
      </c>
      <c r="R451">
        <v>32</v>
      </c>
      <c r="S451" t="s">
        <v>932</v>
      </c>
      <c r="T451" s="6">
        <v>84454.787496577643</v>
      </c>
      <c r="U451" s="7">
        <f>T451*DealsRawTable[[#This Row],[Contract_Years]]</f>
        <v>84454.787496577643</v>
      </c>
      <c r="V451" s="8">
        <v>0.22500000000000001</v>
      </c>
      <c r="W451" s="8">
        <v>0.20799999999999999</v>
      </c>
      <c r="X451" s="8">
        <v>-0.108</v>
      </c>
      <c r="Y451" t="s">
        <v>878</v>
      </c>
      <c r="Z451" t="s">
        <v>893</v>
      </c>
      <c r="AA451" s="6">
        <v>66900.304566551888</v>
      </c>
      <c r="AB451" s="7">
        <f>DealsRawTable[[#This Row],[Final_Price_ACV]]*DealsRawTable[[#This Row],[Contract_Years]]</f>
        <v>66900.304566551888</v>
      </c>
      <c r="AC451" s="6">
        <v>27307.683085927551</v>
      </c>
      <c r="AD451" s="6">
        <v>39592.621480624337</v>
      </c>
      <c r="AE451" s="8">
        <v>0.59181526507458448</v>
      </c>
      <c r="AF451" t="s">
        <v>457</v>
      </c>
      <c r="AG451" t="s">
        <v>38</v>
      </c>
      <c r="AI451" t="s">
        <v>38</v>
      </c>
      <c r="AJ451" s="6">
        <v>0</v>
      </c>
      <c r="AK451" s="6">
        <v>0</v>
      </c>
      <c r="AL451" t="s">
        <v>881</v>
      </c>
      <c r="AM451">
        <f t="shared" si="12"/>
        <v>66888.19</v>
      </c>
      <c r="AN451">
        <f>DealsRawTable[[#This Row],[Validated_Annual_Final_Price]]*DealsRawTable[[#This Row],[Contract_Years]]</f>
        <v>66888.19</v>
      </c>
      <c r="AO451">
        <f>DealsRawTable[[#This Row],[Validated_Annual_Final_Price]]-DealsRawTable[[#This Row],[Cost_to_Serve]]</f>
        <v>39580.506914072452</v>
      </c>
      <c r="AP451" s="17">
        <f>DealsRawTable[[#This Row],[Validated_Grossprofit]]/DealsRawTable[[#This Row],[Validated_Annual_Final_Price]]</f>
        <v>0.59174133601271695</v>
      </c>
      <c r="AQ451" s="17">
        <v>0</v>
      </c>
      <c r="AR451" s="17">
        <v>0</v>
      </c>
      <c r="AS451" s="17">
        <v>0</v>
      </c>
      <c r="AT451" s="17">
        <v>0</v>
      </c>
      <c r="AU451" s="17" t="str">
        <f t="shared" si="13"/>
        <v>20–25%</v>
      </c>
      <c r="AV451" s="17">
        <v>29</v>
      </c>
      <c r="AW451" s="17"/>
    </row>
    <row r="452" spans="1:49">
      <c r="A452" t="s">
        <v>1357</v>
      </c>
      <c r="B452" s="5">
        <v>45745</v>
      </c>
      <c r="C452" t="s">
        <v>312</v>
      </c>
      <c r="D452" t="s">
        <v>313</v>
      </c>
      <c r="E452" t="s">
        <v>727</v>
      </c>
      <c r="F452" t="s">
        <v>34</v>
      </c>
      <c r="G452" t="s">
        <v>47</v>
      </c>
      <c r="H452" t="s">
        <v>54</v>
      </c>
      <c r="I452" t="s">
        <v>55</v>
      </c>
      <c r="J452" t="s">
        <v>56</v>
      </c>
      <c r="K452" t="s">
        <v>38</v>
      </c>
      <c r="L452" s="5">
        <v>43497</v>
      </c>
      <c r="M452">
        <v>85</v>
      </c>
      <c r="N452" t="s">
        <v>431</v>
      </c>
      <c r="O452" t="s">
        <v>891</v>
      </c>
      <c r="Q452">
        <v>2</v>
      </c>
      <c r="R452">
        <v>238</v>
      </c>
      <c r="S452" t="s">
        <v>892</v>
      </c>
      <c r="T452" s="6">
        <v>87683.540503670985</v>
      </c>
      <c r="U452" s="7">
        <f>T452*DealsRawTable[[#This Row],[Contract_Years]]</f>
        <v>175367.08100734197</v>
      </c>
      <c r="V452" s="8">
        <v>0.10100000000000001</v>
      </c>
      <c r="W452" s="8">
        <v>9.6000000000000002E-2</v>
      </c>
      <c r="X452" s="8">
        <v>-6.5000000000000002E-2</v>
      </c>
      <c r="Y452" t="s">
        <v>930</v>
      </c>
      <c r="Z452" t="s">
        <v>879</v>
      </c>
      <c r="AA452" s="6">
        <v>79253.527372668701</v>
      </c>
      <c r="AB452" s="7">
        <f>DealsRawTable[[#This Row],[Final_Price_ACV]]*DealsRawTable[[#This Row],[Contract_Years]]</f>
        <v>158507.0547453374</v>
      </c>
      <c r="AC452" s="6">
        <v>34759.730804817176</v>
      </c>
      <c r="AD452" s="6">
        <v>44493.796567851525</v>
      </c>
      <c r="AE452" s="8">
        <v>0.56141093075430248</v>
      </c>
      <c r="AF452" t="s">
        <v>880</v>
      </c>
      <c r="AI452" t="s">
        <v>38</v>
      </c>
      <c r="AJ452" s="6">
        <v>79253.527372668701</v>
      </c>
      <c r="AK452" s="6">
        <v>44493.796567851525</v>
      </c>
      <c r="AL452" t="s">
        <v>894</v>
      </c>
      <c r="AM452">
        <f t="shared" si="12"/>
        <v>79265.919999999998</v>
      </c>
      <c r="AN452">
        <f>DealsRawTable[[#This Row],[Validated_Annual_Final_Price]]*DealsRawTable[[#This Row],[Contract_Years]]</f>
        <v>158531.84</v>
      </c>
      <c r="AO452">
        <f>DealsRawTable[[#This Row],[Validated_Annual_Final_Price]]-DealsRawTable[[#This Row],[Cost_to_Serve]]</f>
        <v>44506.189195182822</v>
      </c>
      <c r="AP452" s="17">
        <f>DealsRawTable[[#This Row],[Validated_Grossprofit]]/DealsRawTable[[#This Row],[Validated_Annual_Final_Price]]</f>
        <v>0.56147950083948839</v>
      </c>
      <c r="AQ452" s="17">
        <v>79265.919999999998</v>
      </c>
      <c r="AR452" s="17">
        <v>158531.84</v>
      </c>
      <c r="AS452" s="17">
        <v>44506.189195182822</v>
      </c>
      <c r="AT452" s="17">
        <v>0.56147950083948839</v>
      </c>
      <c r="AU452" s="17" t="str">
        <f t="shared" si="13"/>
        <v>5–10%</v>
      </c>
      <c r="AV452" s="17">
        <v>116</v>
      </c>
      <c r="AW452" s="17"/>
    </row>
    <row r="453" spans="1:49">
      <c r="A453" t="s">
        <v>1358</v>
      </c>
      <c r="B453" s="5">
        <v>45325</v>
      </c>
      <c r="C453" t="s">
        <v>312</v>
      </c>
      <c r="D453" t="s">
        <v>313</v>
      </c>
      <c r="E453" t="s">
        <v>728</v>
      </c>
      <c r="F453" t="s">
        <v>466</v>
      </c>
      <c r="G453" t="s">
        <v>47</v>
      </c>
      <c r="H453" t="s">
        <v>54</v>
      </c>
      <c r="I453" t="s">
        <v>55</v>
      </c>
      <c r="J453" t="s">
        <v>56</v>
      </c>
      <c r="K453" t="s">
        <v>38</v>
      </c>
      <c r="L453" s="5">
        <v>43497</v>
      </c>
      <c r="M453">
        <v>85</v>
      </c>
      <c r="N453" t="s">
        <v>429</v>
      </c>
      <c r="O453" t="s">
        <v>876</v>
      </c>
      <c r="Q453">
        <v>1</v>
      </c>
      <c r="R453">
        <v>277</v>
      </c>
      <c r="S453" t="s">
        <v>900</v>
      </c>
      <c r="T453" s="6">
        <v>205939.32738003251</v>
      </c>
      <c r="U453" s="7">
        <f>T453*DealsRawTable[[#This Row],[Contract_Years]]</f>
        <v>205939.32738003251</v>
      </c>
      <c r="V453" s="8">
        <v>4.3999999999999997E-2</v>
      </c>
      <c r="W453" s="8">
        <v>8.0000000000000002E-3</v>
      </c>
      <c r="X453" s="8">
        <v>-2.5000000000000001E-2</v>
      </c>
      <c r="Y453" t="s">
        <v>885</v>
      </c>
      <c r="Z453" t="s">
        <v>879</v>
      </c>
      <c r="AA453" s="6">
        <v>204208.38478463239</v>
      </c>
      <c r="AB453" s="7">
        <f>DealsRawTable[[#This Row],[Final_Price_ACV]]*DealsRawTable[[#This Row],[Contract_Years]]</f>
        <v>204208.38478463239</v>
      </c>
      <c r="AC453" s="6">
        <v>65084.766004252619</v>
      </c>
      <c r="AD453" s="6">
        <v>139123.61878037977</v>
      </c>
      <c r="AE453" s="8">
        <v>0.68128259731893948</v>
      </c>
      <c r="AF453" t="s">
        <v>880</v>
      </c>
      <c r="AG453" t="s">
        <v>44</v>
      </c>
      <c r="AI453" t="s">
        <v>38</v>
      </c>
      <c r="AJ453" s="6">
        <v>204208.38478463239</v>
      </c>
      <c r="AK453" s="6">
        <v>139123.61878037977</v>
      </c>
      <c r="AL453" t="s">
        <v>881</v>
      </c>
      <c r="AM453">
        <f t="shared" ref="AM453:AM516" si="14">ROUND(T453*(1-W453),2)</f>
        <v>204291.81</v>
      </c>
      <c r="AN453">
        <f>DealsRawTable[[#This Row],[Validated_Annual_Final_Price]]*DealsRawTable[[#This Row],[Contract_Years]]</f>
        <v>204291.81</v>
      </c>
      <c r="AO453">
        <f>DealsRawTable[[#This Row],[Validated_Annual_Final_Price]]-DealsRawTable[[#This Row],[Cost_to_Serve]]</f>
        <v>139207.04399574737</v>
      </c>
      <c r="AP453" s="17">
        <f>DealsRawTable[[#This Row],[Validated_Grossprofit]]/DealsRawTable[[#This Row],[Validated_Annual_Final_Price]]</f>
        <v>0.68141274971202892</v>
      </c>
      <c r="AQ453" s="17">
        <v>204291.81</v>
      </c>
      <c r="AR453" s="17">
        <v>204291.81</v>
      </c>
      <c r="AS453" s="17">
        <v>139207.04399574737</v>
      </c>
      <c r="AT453" s="17">
        <v>0.68141274971202892</v>
      </c>
      <c r="AU453" s="17" t="str">
        <f t="shared" ref="AU453:AU516" si="15">IF(W453&lt;=0.05,"0–5%", IF(W453&lt;=0.1,"5–10%", IF(W453&lt;=0.15,"10–15%", IF(W453&lt;=0.2,"15–20%", IF(W453&lt;=0.25,"20–25%", IF(W453&lt;=0.3,"25–30%","Above 30%"))))))</f>
        <v>0–5%</v>
      </c>
      <c r="AV453" s="17">
        <v>55</v>
      </c>
      <c r="AW453" s="17"/>
    </row>
    <row r="454" spans="1:49">
      <c r="A454" t="s">
        <v>1359</v>
      </c>
      <c r="B454" s="5">
        <v>45690</v>
      </c>
      <c r="C454" t="s">
        <v>312</v>
      </c>
      <c r="D454" t="s">
        <v>313</v>
      </c>
      <c r="E454" t="s">
        <v>728</v>
      </c>
      <c r="F454" t="s">
        <v>466</v>
      </c>
      <c r="G454" t="s">
        <v>47</v>
      </c>
      <c r="H454" t="s">
        <v>54</v>
      </c>
      <c r="I454" t="s">
        <v>55</v>
      </c>
      <c r="J454" t="s">
        <v>56</v>
      </c>
      <c r="K454" t="s">
        <v>38</v>
      </c>
      <c r="L454" s="5">
        <v>43497</v>
      </c>
      <c r="M454">
        <v>85</v>
      </c>
      <c r="N454" t="s">
        <v>429</v>
      </c>
      <c r="O454" t="s">
        <v>876</v>
      </c>
      <c r="Q454">
        <v>1</v>
      </c>
      <c r="R454">
        <v>277</v>
      </c>
      <c r="S454" t="s">
        <v>900</v>
      </c>
      <c r="T454" s="6">
        <v>213040.72015849987</v>
      </c>
      <c r="U454" s="7">
        <f>T454*DealsRawTable[[#This Row],[Contract_Years]]</f>
        <v>213040.72015849987</v>
      </c>
      <c r="V454" s="8">
        <v>0.19600000000000001</v>
      </c>
      <c r="W454" s="8">
        <v>0.14399999999999999</v>
      </c>
      <c r="X454" s="8">
        <v>-4.2999999999999997E-2</v>
      </c>
      <c r="Y454" t="s">
        <v>930</v>
      </c>
      <c r="Z454" t="s">
        <v>889</v>
      </c>
      <c r="AA454" s="6">
        <v>182321.52304269449</v>
      </c>
      <c r="AB454" s="7">
        <f>DealsRawTable[[#This Row],[Final_Price_ACV]]*DealsRawTable[[#This Row],[Contract_Years]]</f>
        <v>182321.52304269449</v>
      </c>
      <c r="AC454" s="6">
        <v>71713.162453411933</v>
      </c>
      <c r="AD454" s="6">
        <v>110608.36058928256</v>
      </c>
      <c r="AE454" s="8">
        <v>0.60666650181164428</v>
      </c>
      <c r="AF454" t="s">
        <v>880</v>
      </c>
      <c r="AG454" t="s">
        <v>44</v>
      </c>
      <c r="AI454" t="s">
        <v>38</v>
      </c>
      <c r="AJ454" s="6">
        <v>182321.52304269449</v>
      </c>
      <c r="AK454" s="6">
        <v>110608.36058928256</v>
      </c>
      <c r="AL454" t="s">
        <v>881</v>
      </c>
      <c r="AM454">
        <f t="shared" si="14"/>
        <v>182362.86</v>
      </c>
      <c r="AN454">
        <f>DealsRawTable[[#This Row],[Validated_Annual_Final_Price]]*DealsRawTable[[#This Row],[Contract_Years]]</f>
        <v>182362.86</v>
      </c>
      <c r="AO454">
        <f>DealsRawTable[[#This Row],[Validated_Annual_Final_Price]]-DealsRawTable[[#This Row],[Cost_to_Serve]]</f>
        <v>110649.69754658805</v>
      </c>
      <c r="AP454" s="17">
        <f>DealsRawTable[[#This Row],[Validated_Grossprofit]]/DealsRawTable[[#This Row],[Validated_Annual_Final_Price]]</f>
        <v>0.60675566037178874</v>
      </c>
      <c r="AQ454" s="17">
        <v>182362.86</v>
      </c>
      <c r="AR454" s="17">
        <v>182362.86</v>
      </c>
      <c r="AS454" s="17">
        <v>110649.69754658805</v>
      </c>
      <c r="AT454" s="17">
        <v>0.60675566037178874</v>
      </c>
      <c r="AU454" s="17" t="str">
        <f t="shared" si="15"/>
        <v>10–15%</v>
      </c>
      <c r="AV454" s="17">
        <v>113</v>
      </c>
      <c r="AW454" s="17"/>
    </row>
    <row r="455" spans="1:49">
      <c r="A455" t="s">
        <v>1360</v>
      </c>
      <c r="B455" s="5">
        <v>45484</v>
      </c>
      <c r="C455" t="s">
        <v>312</v>
      </c>
      <c r="D455" t="s">
        <v>313</v>
      </c>
      <c r="E455" t="s">
        <v>729</v>
      </c>
      <c r="F455" t="s">
        <v>34</v>
      </c>
      <c r="G455" t="s">
        <v>47</v>
      </c>
      <c r="H455" t="s">
        <v>54</v>
      </c>
      <c r="I455" t="s">
        <v>55</v>
      </c>
      <c r="J455" t="s">
        <v>56</v>
      </c>
      <c r="K455" t="s">
        <v>38</v>
      </c>
      <c r="L455" s="5">
        <v>43497</v>
      </c>
      <c r="M455">
        <v>85</v>
      </c>
      <c r="N455" t="s">
        <v>424</v>
      </c>
      <c r="O455" t="s">
        <v>883</v>
      </c>
      <c r="P455" t="s">
        <v>951</v>
      </c>
      <c r="Q455">
        <v>1</v>
      </c>
      <c r="R455">
        <v>173</v>
      </c>
      <c r="S455" t="s">
        <v>932</v>
      </c>
      <c r="T455" s="6">
        <v>45642.421678545412</v>
      </c>
      <c r="U455" s="7">
        <f>T455*DealsRawTable[[#This Row],[Contract_Years]]</f>
        <v>45642.421678545412</v>
      </c>
      <c r="V455" s="8">
        <v>0.19600000000000001</v>
      </c>
      <c r="W455" s="8">
        <v>0.182</v>
      </c>
      <c r="X455" s="8">
        <v>-8.8999999999999996E-2</v>
      </c>
      <c r="Y455" t="s">
        <v>885</v>
      </c>
      <c r="Z455" t="s">
        <v>889</v>
      </c>
      <c r="AA455" s="6">
        <v>37324.305521241418</v>
      </c>
      <c r="AB455" s="7">
        <f>DealsRawTable[[#This Row],[Final_Price_ACV]]*DealsRawTable[[#This Row],[Contract_Years]]</f>
        <v>37324.305521241418</v>
      </c>
      <c r="AC455" s="6">
        <v>13516.47968766809</v>
      </c>
      <c r="AD455" s="6">
        <v>23807.825833573326</v>
      </c>
      <c r="AE455" s="8">
        <v>0.63786386648303994</v>
      </c>
      <c r="AF455" t="s">
        <v>880</v>
      </c>
      <c r="AH455" t="s">
        <v>44</v>
      </c>
      <c r="AI455" t="s">
        <v>38</v>
      </c>
      <c r="AJ455" s="6">
        <v>37324.305521241418</v>
      </c>
      <c r="AK455" s="6">
        <v>23807.825833573326</v>
      </c>
      <c r="AL455" t="s">
        <v>886</v>
      </c>
      <c r="AM455">
        <f t="shared" si="14"/>
        <v>37335.5</v>
      </c>
      <c r="AN455">
        <f>DealsRawTable[[#This Row],[Validated_Annual_Final_Price]]*DealsRawTable[[#This Row],[Contract_Years]]</f>
        <v>37335.5</v>
      </c>
      <c r="AO455">
        <f>DealsRawTable[[#This Row],[Validated_Annual_Final_Price]]-DealsRawTable[[#This Row],[Cost_to_Serve]]</f>
        <v>23819.020312331908</v>
      </c>
      <c r="AP455" s="17">
        <f>DealsRawTable[[#This Row],[Validated_Grossprofit]]/DealsRawTable[[#This Row],[Validated_Annual_Final_Price]]</f>
        <v>0.63797244746506432</v>
      </c>
      <c r="AQ455" s="17">
        <v>37335.5</v>
      </c>
      <c r="AR455" s="17">
        <v>37335.5</v>
      </c>
      <c r="AS455" s="17">
        <v>23819.020312331908</v>
      </c>
      <c r="AT455" s="17">
        <v>0.63797244746506432</v>
      </c>
      <c r="AU455" s="17" t="str">
        <f t="shared" si="15"/>
        <v>15–20%</v>
      </c>
      <c r="AV455" s="17">
        <v>108</v>
      </c>
      <c r="AW455" s="17"/>
    </row>
    <row r="456" spans="1:49">
      <c r="A456" t="s">
        <v>1361</v>
      </c>
      <c r="B456" s="5">
        <v>45646</v>
      </c>
      <c r="C456" t="s">
        <v>312</v>
      </c>
      <c r="D456" t="s">
        <v>313</v>
      </c>
      <c r="E456" t="s">
        <v>729</v>
      </c>
      <c r="F456" t="s">
        <v>34</v>
      </c>
      <c r="G456" t="s">
        <v>47</v>
      </c>
      <c r="H456" t="s">
        <v>54</v>
      </c>
      <c r="I456" t="s">
        <v>55</v>
      </c>
      <c r="J456" t="s">
        <v>56</v>
      </c>
      <c r="K456" t="s">
        <v>38</v>
      </c>
      <c r="L456" s="5">
        <v>43497</v>
      </c>
      <c r="M456">
        <v>85</v>
      </c>
      <c r="N456" t="s">
        <v>424</v>
      </c>
      <c r="O456" t="s">
        <v>876</v>
      </c>
      <c r="Q456">
        <v>1</v>
      </c>
      <c r="R456">
        <v>173</v>
      </c>
      <c r="S456" t="s">
        <v>947</v>
      </c>
      <c r="T456" s="6">
        <v>47551.751606169943</v>
      </c>
      <c r="U456" s="7">
        <f>T456*DealsRawTable[[#This Row],[Contract_Years]]</f>
        <v>47551.751606169943</v>
      </c>
      <c r="V456" s="8">
        <v>0.124</v>
      </c>
      <c r="W456" s="8">
        <v>8.7999999999999995E-2</v>
      </c>
      <c r="X456" s="8">
        <v>-3.9E-2</v>
      </c>
      <c r="Y456" t="s">
        <v>897</v>
      </c>
      <c r="Z456" t="s">
        <v>879</v>
      </c>
      <c r="AA456" s="6">
        <v>43345.972894657294</v>
      </c>
      <c r="AB456" s="7">
        <f>DealsRawTable[[#This Row],[Final_Price_ACV]]*DealsRawTable[[#This Row],[Contract_Years]]</f>
        <v>43345.972894657294</v>
      </c>
      <c r="AC456" s="6">
        <v>14980.362213915643</v>
      </c>
      <c r="AD456" s="6">
        <v>28365.610680741651</v>
      </c>
      <c r="AE456" s="8">
        <v>0.65440013884745263</v>
      </c>
      <c r="AF456" t="s">
        <v>880</v>
      </c>
      <c r="AG456" t="s">
        <v>44</v>
      </c>
      <c r="AI456" t="s">
        <v>38</v>
      </c>
      <c r="AJ456" s="6">
        <v>43345.972894657294</v>
      </c>
      <c r="AK456" s="6">
        <v>28365.610680741651</v>
      </c>
      <c r="AL456" t="s">
        <v>881</v>
      </c>
      <c r="AM456">
        <f t="shared" si="14"/>
        <v>43367.199999999997</v>
      </c>
      <c r="AN456">
        <f>DealsRawTable[[#This Row],[Validated_Annual_Final_Price]]*DealsRawTable[[#This Row],[Contract_Years]]</f>
        <v>43367.199999999997</v>
      </c>
      <c r="AO456">
        <f>DealsRawTable[[#This Row],[Validated_Annual_Final_Price]]-DealsRawTable[[#This Row],[Cost_to_Serve]]</f>
        <v>28386.837786084354</v>
      </c>
      <c r="AP456" s="17">
        <f>DealsRawTable[[#This Row],[Validated_Grossprofit]]/DealsRawTable[[#This Row],[Validated_Annual_Final_Price]]</f>
        <v>0.6545693009021647</v>
      </c>
      <c r="AQ456" s="17">
        <v>43367.199999999997</v>
      </c>
      <c r="AR456" s="17">
        <v>43367.199999999997</v>
      </c>
      <c r="AS456" s="17">
        <v>28386.837786084354</v>
      </c>
      <c r="AT456" s="17">
        <v>0.6545693009021647</v>
      </c>
      <c r="AU456" s="17" t="str">
        <f t="shared" si="15"/>
        <v>5–10%</v>
      </c>
      <c r="AV456" s="17">
        <v>116</v>
      </c>
      <c r="AW456" s="17"/>
    </row>
    <row r="457" spans="1:49">
      <c r="A457" t="s">
        <v>1362</v>
      </c>
      <c r="B457" s="5">
        <v>46011</v>
      </c>
      <c r="C457" t="s">
        <v>312</v>
      </c>
      <c r="D457" t="s">
        <v>313</v>
      </c>
      <c r="E457" t="s">
        <v>729</v>
      </c>
      <c r="F457" t="s">
        <v>34</v>
      </c>
      <c r="G457" t="s">
        <v>47</v>
      </c>
      <c r="H457" t="s">
        <v>54</v>
      </c>
      <c r="I457" t="s">
        <v>55</v>
      </c>
      <c r="J457" t="s">
        <v>56</v>
      </c>
      <c r="K457" t="s">
        <v>38</v>
      </c>
      <c r="L457" s="5">
        <v>43497</v>
      </c>
      <c r="M457">
        <v>85</v>
      </c>
      <c r="N457" t="s">
        <v>424</v>
      </c>
      <c r="O457" t="s">
        <v>876</v>
      </c>
      <c r="Q457">
        <v>1</v>
      </c>
      <c r="R457">
        <v>173</v>
      </c>
      <c r="S457" t="s">
        <v>877</v>
      </c>
      <c r="T457" s="6">
        <v>50183.452002051934</v>
      </c>
      <c r="U457" s="7">
        <f>T457*DealsRawTable[[#This Row],[Contract_Years]]</f>
        <v>50183.452002051934</v>
      </c>
      <c r="V457" s="8">
        <v>0.18</v>
      </c>
      <c r="W457" s="8">
        <v>0.16</v>
      </c>
      <c r="X457" s="8">
        <v>-1.0999999999999999E-2</v>
      </c>
      <c r="Y457" t="s">
        <v>909</v>
      </c>
      <c r="Z457" t="s">
        <v>889</v>
      </c>
      <c r="AA457" s="6">
        <v>42176.320776402375</v>
      </c>
      <c r="AB457" s="7">
        <f>DealsRawTable[[#This Row],[Final_Price_ACV]]*DealsRawTable[[#This Row],[Contract_Years]]</f>
        <v>42176.320776402375</v>
      </c>
      <c r="AC457" s="6">
        <v>14976.497127345358</v>
      </c>
      <c r="AD457" s="6">
        <v>27199.82364905702</v>
      </c>
      <c r="AE457" s="8">
        <v>0.64490745395400406</v>
      </c>
      <c r="AF457" t="s">
        <v>880</v>
      </c>
      <c r="AG457" t="s">
        <v>44</v>
      </c>
      <c r="AI457" t="s">
        <v>38</v>
      </c>
      <c r="AJ457" s="6">
        <v>42176.320776402375</v>
      </c>
      <c r="AK457" s="6">
        <v>27199.82364905702</v>
      </c>
      <c r="AL457" t="s">
        <v>881</v>
      </c>
      <c r="AM457">
        <f t="shared" si="14"/>
        <v>42154.1</v>
      </c>
      <c r="AN457">
        <f>DealsRawTable[[#This Row],[Validated_Annual_Final_Price]]*DealsRawTable[[#This Row],[Contract_Years]]</f>
        <v>42154.1</v>
      </c>
      <c r="AO457">
        <f>DealsRawTable[[#This Row],[Validated_Annual_Final_Price]]-DealsRawTable[[#This Row],[Cost_to_Serve]]</f>
        <v>27177.602872654643</v>
      </c>
      <c r="AP457" s="17">
        <f>DealsRawTable[[#This Row],[Validated_Grossprofit]]/DealsRawTable[[#This Row],[Validated_Annual_Final_Price]]</f>
        <v>0.64472027329855564</v>
      </c>
      <c r="AQ457" s="17">
        <v>42154.1</v>
      </c>
      <c r="AR457" s="17">
        <v>42154.1</v>
      </c>
      <c r="AS457" s="17">
        <v>27177.602872654643</v>
      </c>
      <c r="AT457" s="17">
        <v>0.64472027329855564</v>
      </c>
      <c r="AU457" s="17" t="str">
        <f t="shared" si="15"/>
        <v>15–20%</v>
      </c>
      <c r="AV457" s="17">
        <v>108</v>
      </c>
      <c r="AW457" s="17"/>
    </row>
    <row r="458" spans="1:49">
      <c r="A458" t="s">
        <v>1363</v>
      </c>
      <c r="B458" s="5">
        <v>45429</v>
      </c>
      <c r="C458" t="s">
        <v>312</v>
      </c>
      <c r="D458" t="s">
        <v>313</v>
      </c>
      <c r="E458" t="s">
        <v>730</v>
      </c>
      <c r="F458" t="s">
        <v>445</v>
      </c>
      <c r="G458" t="s">
        <v>47</v>
      </c>
      <c r="H458" t="s">
        <v>54</v>
      </c>
      <c r="I458" t="s">
        <v>55</v>
      </c>
      <c r="J458" t="s">
        <v>56</v>
      </c>
      <c r="K458" t="s">
        <v>38</v>
      </c>
      <c r="L458" s="5">
        <v>43497</v>
      </c>
      <c r="M458">
        <v>85</v>
      </c>
      <c r="N458" t="s">
        <v>427</v>
      </c>
      <c r="O458" t="s">
        <v>915</v>
      </c>
      <c r="Q458">
        <v>1</v>
      </c>
      <c r="R458">
        <v>124</v>
      </c>
      <c r="S458" t="s">
        <v>907</v>
      </c>
      <c r="T458" s="6">
        <v>86332.156842448501</v>
      </c>
      <c r="U458" s="7">
        <f>T458*DealsRawTable[[#This Row],[Contract_Years]]</f>
        <v>86332.156842448501</v>
      </c>
      <c r="V458" s="8">
        <v>0.16800000000000001</v>
      </c>
      <c r="W458" s="8">
        <v>0.13500000000000001</v>
      </c>
      <c r="X458" s="8">
        <v>-6.4000000000000001E-2</v>
      </c>
      <c r="Y458" t="s">
        <v>878</v>
      </c>
      <c r="Z458" t="s">
        <v>889</v>
      </c>
      <c r="AA458" s="6">
        <v>74687.217387918121</v>
      </c>
      <c r="AB458" s="7">
        <f>DealsRawTable[[#This Row],[Final_Price_ACV]]*DealsRawTable[[#This Row],[Contract_Years]]</f>
        <v>74687.217387918121</v>
      </c>
      <c r="AC458" s="6">
        <v>29227.829618166728</v>
      </c>
      <c r="AD458" s="6">
        <v>45459.387769751396</v>
      </c>
      <c r="AE458" s="8">
        <v>0.60866356198062344</v>
      </c>
      <c r="AF458" t="s">
        <v>880</v>
      </c>
      <c r="AI458" t="s">
        <v>44</v>
      </c>
      <c r="AJ458" s="6">
        <v>74687.217387918121</v>
      </c>
      <c r="AK458" s="6">
        <v>45459.387769751396</v>
      </c>
      <c r="AL458" t="s">
        <v>916</v>
      </c>
      <c r="AM458">
        <f t="shared" si="14"/>
        <v>74677.320000000007</v>
      </c>
      <c r="AN458">
        <f>DealsRawTable[[#This Row],[Validated_Annual_Final_Price]]*DealsRawTable[[#This Row],[Contract_Years]]</f>
        <v>74677.320000000007</v>
      </c>
      <c r="AO458">
        <f>DealsRawTable[[#This Row],[Validated_Annual_Final_Price]]-DealsRawTable[[#This Row],[Cost_to_Serve]]</f>
        <v>45449.490381833282</v>
      </c>
      <c r="AP458" s="17">
        <f>DealsRawTable[[#This Row],[Validated_Grossprofit]]/DealsRawTable[[#This Row],[Validated_Annual_Final_Price]]</f>
        <v>0.60861169605220533</v>
      </c>
      <c r="AQ458" s="17">
        <v>74677.320000000007</v>
      </c>
      <c r="AR458" s="17">
        <v>74677.320000000007</v>
      </c>
      <c r="AS458" s="17">
        <v>45449.490381833282</v>
      </c>
      <c r="AT458" s="17">
        <v>0.60861169605220533</v>
      </c>
      <c r="AU458" s="17" t="str">
        <f t="shared" si="15"/>
        <v>10–15%</v>
      </c>
      <c r="AV458" s="17">
        <v>113</v>
      </c>
      <c r="AW458" s="17"/>
    </row>
    <row r="459" spans="1:49">
      <c r="A459" t="s">
        <v>1364</v>
      </c>
      <c r="B459" s="5">
        <v>45794</v>
      </c>
      <c r="C459" t="s">
        <v>312</v>
      </c>
      <c r="D459" t="s">
        <v>313</v>
      </c>
      <c r="E459" t="s">
        <v>730</v>
      </c>
      <c r="F459" t="s">
        <v>445</v>
      </c>
      <c r="G459" t="s">
        <v>47</v>
      </c>
      <c r="H459" t="s">
        <v>54</v>
      </c>
      <c r="I459" t="s">
        <v>55</v>
      </c>
      <c r="J459" t="s">
        <v>56</v>
      </c>
      <c r="K459" t="s">
        <v>38</v>
      </c>
      <c r="L459" s="5">
        <v>43497</v>
      </c>
      <c r="M459">
        <v>85</v>
      </c>
      <c r="N459" t="s">
        <v>427</v>
      </c>
      <c r="O459" t="s">
        <v>876</v>
      </c>
      <c r="Q459">
        <v>1</v>
      </c>
      <c r="R459">
        <v>124</v>
      </c>
      <c r="S459" t="s">
        <v>892</v>
      </c>
      <c r="T459" s="6">
        <v>88121.640779161869</v>
      </c>
      <c r="U459" s="7">
        <f>T459*DealsRawTable[[#This Row],[Contract_Years]]</f>
        <v>88121.640779161869</v>
      </c>
      <c r="V459" s="8">
        <v>0.24</v>
      </c>
      <c r="W459" s="8">
        <v>0.23300000000000001</v>
      </c>
      <c r="X459" s="8">
        <v>0.04</v>
      </c>
      <c r="Y459" t="s">
        <v>902</v>
      </c>
      <c r="Z459" t="s">
        <v>893</v>
      </c>
      <c r="AA459" s="6">
        <v>67618.93290946474</v>
      </c>
      <c r="AB459" s="7">
        <f>DealsRawTable[[#This Row],[Final_Price_ACV]]*DealsRawTable[[#This Row],[Contract_Years]]</f>
        <v>67618.93290946474</v>
      </c>
      <c r="AC459" s="6">
        <v>27001.444254727659</v>
      </c>
      <c r="AD459" s="6">
        <v>40617.488654737084</v>
      </c>
      <c r="AE459" s="8">
        <v>0.60068218924897854</v>
      </c>
      <c r="AF459" t="s">
        <v>880</v>
      </c>
      <c r="AG459" t="s">
        <v>44</v>
      </c>
      <c r="AI459" t="s">
        <v>38</v>
      </c>
      <c r="AJ459" s="6">
        <v>67618.93290946474</v>
      </c>
      <c r="AK459" s="6">
        <v>40617.488654737084</v>
      </c>
      <c r="AL459" t="s">
        <v>881</v>
      </c>
      <c r="AM459">
        <f t="shared" si="14"/>
        <v>67589.3</v>
      </c>
      <c r="AN459">
        <f>DealsRawTable[[#This Row],[Validated_Annual_Final_Price]]*DealsRawTable[[#This Row],[Contract_Years]]</f>
        <v>67589.3</v>
      </c>
      <c r="AO459">
        <f>DealsRawTable[[#This Row],[Validated_Annual_Final_Price]]-DealsRawTable[[#This Row],[Cost_to_Serve]]</f>
        <v>40587.855745272347</v>
      </c>
      <c r="AP459" s="17">
        <f>DealsRawTable[[#This Row],[Validated_Grossprofit]]/DealsRawTable[[#This Row],[Validated_Annual_Final_Price]]</f>
        <v>0.60050711792062272</v>
      </c>
      <c r="AQ459" s="17">
        <v>67589.3</v>
      </c>
      <c r="AR459" s="17">
        <v>67589.3</v>
      </c>
      <c r="AS459" s="17">
        <v>40587.855745272347</v>
      </c>
      <c r="AT459" s="17">
        <v>0.60050711792062272</v>
      </c>
      <c r="AU459" s="17" t="str">
        <f t="shared" si="15"/>
        <v>20–25%</v>
      </c>
      <c r="AV459" s="17">
        <v>29</v>
      </c>
      <c r="AW459" s="17"/>
    </row>
    <row r="460" spans="1:49">
      <c r="A460" t="s">
        <v>1365</v>
      </c>
      <c r="B460" s="5">
        <v>45413</v>
      </c>
      <c r="C460" t="s">
        <v>314</v>
      </c>
      <c r="D460" t="s">
        <v>315</v>
      </c>
      <c r="E460" t="s">
        <v>731</v>
      </c>
      <c r="F460" t="s">
        <v>475</v>
      </c>
      <c r="G460" t="s">
        <v>83</v>
      </c>
      <c r="H460" t="s">
        <v>54</v>
      </c>
      <c r="I460" t="s">
        <v>55</v>
      </c>
      <c r="J460" t="s">
        <v>37</v>
      </c>
      <c r="K460" t="s">
        <v>38</v>
      </c>
      <c r="L460" s="5">
        <v>44835</v>
      </c>
      <c r="M460">
        <v>69</v>
      </c>
      <c r="N460" t="s">
        <v>431</v>
      </c>
      <c r="O460" t="s">
        <v>876</v>
      </c>
      <c r="Q460">
        <v>1</v>
      </c>
      <c r="R460">
        <v>27</v>
      </c>
      <c r="S460" t="s">
        <v>907</v>
      </c>
      <c r="T460" s="6">
        <v>44443.221427512632</v>
      </c>
      <c r="U460" s="7">
        <f>T460*DealsRawTable[[#This Row],[Contract_Years]]</f>
        <v>44443.221427512632</v>
      </c>
      <c r="V460" s="8">
        <v>0.11</v>
      </c>
      <c r="W460" s="8">
        <v>0.1</v>
      </c>
      <c r="X460" s="8">
        <v>1.0999999999999999E-2</v>
      </c>
      <c r="Y460" t="s">
        <v>885</v>
      </c>
      <c r="Z460" t="s">
        <v>889</v>
      </c>
      <c r="AA460" s="6">
        <v>39991.517504224299</v>
      </c>
      <c r="AB460" s="7">
        <f>DealsRawTable[[#This Row],[Final_Price_ACV]]*DealsRawTable[[#This Row],[Contract_Years]]</f>
        <v>39991.517504224299</v>
      </c>
      <c r="AC460" s="6">
        <v>16895.769835114344</v>
      </c>
      <c r="AD460" s="6">
        <v>23095.747669109955</v>
      </c>
      <c r="AE460" s="8">
        <v>0.57751616118769067</v>
      </c>
      <c r="AF460" t="s">
        <v>880</v>
      </c>
      <c r="AG460" t="s">
        <v>44</v>
      </c>
      <c r="AI460" t="s">
        <v>38</v>
      </c>
      <c r="AJ460" s="6">
        <v>39991.517504224299</v>
      </c>
      <c r="AK460" s="6">
        <v>23095.747669109955</v>
      </c>
      <c r="AL460" t="s">
        <v>881</v>
      </c>
      <c r="AM460">
        <f t="shared" si="14"/>
        <v>39998.9</v>
      </c>
      <c r="AN460">
        <f>DealsRawTable[[#This Row],[Validated_Annual_Final_Price]]*DealsRawTable[[#This Row],[Contract_Years]]</f>
        <v>39998.9</v>
      </c>
      <c r="AO460">
        <f>DealsRawTable[[#This Row],[Validated_Annual_Final_Price]]-DealsRawTable[[#This Row],[Cost_to_Serve]]</f>
        <v>23103.130164885657</v>
      </c>
      <c r="AP460" s="17">
        <f>DealsRawTable[[#This Row],[Validated_Grossprofit]]/DealsRawTable[[#This Row],[Validated_Annual_Final_Price]]</f>
        <v>0.57759413796093528</v>
      </c>
      <c r="AQ460" s="17">
        <v>39998.9</v>
      </c>
      <c r="AR460" s="17">
        <v>39998.9</v>
      </c>
      <c r="AS460" s="17">
        <v>23103.130164885657</v>
      </c>
      <c r="AT460" s="17">
        <v>0.57759413796093528</v>
      </c>
      <c r="AU460" s="17" t="str">
        <f t="shared" si="15"/>
        <v>5–10%</v>
      </c>
      <c r="AV460" s="17">
        <v>116</v>
      </c>
      <c r="AW460" s="17"/>
    </row>
    <row r="461" spans="1:49">
      <c r="A461" t="s">
        <v>1366</v>
      </c>
      <c r="B461" s="5">
        <v>45614</v>
      </c>
      <c r="C461" t="s">
        <v>314</v>
      </c>
      <c r="D461" t="s">
        <v>315</v>
      </c>
      <c r="E461" t="s">
        <v>731</v>
      </c>
      <c r="F461" t="s">
        <v>475</v>
      </c>
      <c r="G461" t="s">
        <v>83</v>
      </c>
      <c r="H461" t="s">
        <v>54</v>
      </c>
      <c r="I461" t="s">
        <v>55</v>
      </c>
      <c r="J461" t="s">
        <v>37</v>
      </c>
      <c r="K461" t="s">
        <v>38</v>
      </c>
      <c r="L461" s="5">
        <v>44835</v>
      </c>
      <c r="M461">
        <v>69</v>
      </c>
      <c r="N461" t="s">
        <v>431</v>
      </c>
      <c r="O461" t="s">
        <v>883</v>
      </c>
      <c r="P461" t="s">
        <v>946</v>
      </c>
      <c r="Q461">
        <v>1</v>
      </c>
      <c r="R461">
        <v>35</v>
      </c>
      <c r="S461" t="s">
        <v>932</v>
      </c>
      <c r="T461" s="6">
        <v>54545.758640867331</v>
      </c>
      <c r="U461" s="7">
        <f>T461*DealsRawTable[[#This Row],[Contract_Years]]</f>
        <v>54545.758640867331</v>
      </c>
      <c r="V461" s="8">
        <v>2.3E-2</v>
      </c>
      <c r="W461" s="8">
        <v>1.4E-2</v>
      </c>
      <c r="X461" s="8">
        <v>8.9999999999999993E-3</v>
      </c>
      <c r="Y461" t="s">
        <v>885</v>
      </c>
      <c r="Z461" t="s">
        <v>879</v>
      </c>
      <c r="AA461" s="6">
        <v>53776.280029146401</v>
      </c>
      <c r="AB461" s="7">
        <f>DealsRawTable[[#This Row],[Final_Price_ACV]]*DealsRawTable[[#This Row],[Contract_Years]]</f>
        <v>53776.280029146401</v>
      </c>
      <c r="AC461" s="6">
        <v>21208.44674024179</v>
      </c>
      <c r="AD461" s="6">
        <v>32567.833288904611</v>
      </c>
      <c r="AE461" s="8">
        <v>0.6056170726434229</v>
      </c>
      <c r="AF461" t="s">
        <v>457</v>
      </c>
      <c r="AH461" t="s">
        <v>38</v>
      </c>
      <c r="AI461" t="s">
        <v>38</v>
      </c>
      <c r="AJ461" s="6">
        <v>0</v>
      </c>
      <c r="AK461" s="6">
        <v>0</v>
      </c>
      <c r="AL461" t="s">
        <v>886</v>
      </c>
      <c r="AM461">
        <f t="shared" si="14"/>
        <v>53782.12</v>
      </c>
      <c r="AN461">
        <f>DealsRawTable[[#This Row],[Validated_Annual_Final_Price]]*DealsRawTable[[#This Row],[Contract_Years]]</f>
        <v>53782.12</v>
      </c>
      <c r="AO461">
        <f>DealsRawTable[[#This Row],[Validated_Annual_Final_Price]]-DealsRawTable[[#This Row],[Cost_to_Serve]]</f>
        <v>32573.673259758212</v>
      </c>
      <c r="AP461" s="17">
        <f>DealsRawTable[[#This Row],[Validated_Grossprofit]]/DealsRawTable[[#This Row],[Validated_Annual_Final_Price]]</f>
        <v>0.60565989700216749</v>
      </c>
      <c r="AQ461" s="17">
        <v>0</v>
      </c>
      <c r="AR461" s="17">
        <v>0</v>
      </c>
      <c r="AS461" s="17">
        <v>0</v>
      </c>
      <c r="AT461" s="17">
        <v>0</v>
      </c>
      <c r="AU461" s="17" t="str">
        <f t="shared" si="15"/>
        <v>0–5%</v>
      </c>
      <c r="AV461" s="17">
        <v>55</v>
      </c>
      <c r="AW461" s="17"/>
    </row>
    <row r="462" spans="1:49">
      <c r="A462" t="s">
        <v>1367</v>
      </c>
      <c r="B462" s="5">
        <v>45778</v>
      </c>
      <c r="C462" t="s">
        <v>314</v>
      </c>
      <c r="D462" t="s">
        <v>315</v>
      </c>
      <c r="E462" t="s">
        <v>731</v>
      </c>
      <c r="F462" t="s">
        <v>475</v>
      </c>
      <c r="G462" t="s">
        <v>83</v>
      </c>
      <c r="H462" t="s">
        <v>54</v>
      </c>
      <c r="I462" t="s">
        <v>55</v>
      </c>
      <c r="J462" t="s">
        <v>37</v>
      </c>
      <c r="K462" t="s">
        <v>38</v>
      </c>
      <c r="L462" s="5">
        <v>44835</v>
      </c>
      <c r="M462">
        <v>69</v>
      </c>
      <c r="N462" t="s">
        <v>431</v>
      </c>
      <c r="O462" t="s">
        <v>876</v>
      </c>
      <c r="Q462">
        <v>1</v>
      </c>
      <c r="R462">
        <v>27</v>
      </c>
      <c r="S462" t="s">
        <v>907</v>
      </c>
      <c r="T462" s="6">
        <v>46235.055650839568</v>
      </c>
      <c r="U462" s="7">
        <f>T462*DealsRawTable[[#This Row],[Contract_Years]]</f>
        <v>46235.055650839568</v>
      </c>
      <c r="V462" s="8">
        <v>0.152</v>
      </c>
      <c r="W462" s="8">
        <v>0.115</v>
      </c>
      <c r="X462" s="8">
        <v>-2.5999999999999999E-2</v>
      </c>
      <c r="Y462" t="s">
        <v>902</v>
      </c>
      <c r="Z462" t="s">
        <v>889</v>
      </c>
      <c r="AA462" s="6">
        <v>40896.547325381158</v>
      </c>
      <c r="AB462" s="7">
        <f>DealsRawTable[[#This Row],[Final_Price_ACV]]*DealsRawTable[[#This Row],[Contract_Years]]</f>
        <v>40896.547325381158</v>
      </c>
      <c r="AC462" s="6">
        <v>18752.616747049753</v>
      </c>
      <c r="AD462" s="6">
        <v>22143.930578331405</v>
      </c>
      <c r="AE462" s="8">
        <v>0.54146210442044995</v>
      </c>
      <c r="AF462" t="s">
        <v>457</v>
      </c>
      <c r="AG462" t="s">
        <v>38</v>
      </c>
      <c r="AI462" t="s">
        <v>38</v>
      </c>
      <c r="AJ462" s="6">
        <v>0</v>
      </c>
      <c r="AK462" s="6">
        <v>0</v>
      </c>
      <c r="AL462" t="s">
        <v>881</v>
      </c>
      <c r="AM462">
        <f t="shared" si="14"/>
        <v>40918.019999999997</v>
      </c>
      <c r="AN462">
        <f>DealsRawTable[[#This Row],[Validated_Annual_Final_Price]]*DealsRawTable[[#This Row],[Contract_Years]]</f>
        <v>40918.019999999997</v>
      </c>
      <c r="AO462">
        <f>DealsRawTable[[#This Row],[Validated_Annual_Final_Price]]-DealsRawTable[[#This Row],[Cost_to_Serve]]</f>
        <v>22165.403252950244</v>
      </c>
      <c r="AP462" s="17">
        <f>DealsRawTable[[#This Row],[Validated_Grossprofit]]/DealsRawTable[[#This Row],[Validated_Annual_Final_Price]]</f>
        <v>0.54170273275564762</v>
      </c>
      <c r="AQ462" s="17">
        <v>0</v>
      </c>
      <c r="AR462" s="17">
        <v>0</v>
      </c>
      <c r="AS462" s="17">
        <v>0</v>
      </c>
      <c r="AT462" s="17">
        <v>0</v>
      </c>
      <c r="AU462" s="17" t="str">
        <f t="shared" si="15"/>
        <v>10–15%</v>
      </c>
      <c r="AV462" s="17">
        <v>113</v>
      </c>
      <c r="AW462" s="17"/>
    </row>
    <row r="463" spans="1:49">
      <c r="A463" t="s">
        <v>1368</v>
      </c>
      <c r="B463" s="5">
        <v>45474</v>
      </c>
      <c r="C463" t="s">
        <v>314</v>
      </c>
      <c r="D463" t="s">
        <v>315</v>
      </c>
      <c r="E463" t="s">
        <v>732</v>
      </c>
      <c r="F463" t="s">
        <v>466</v>
      </c>
      <c r="G463" t="s">
        <v>83</v>
      </c>
      <c r="H463" t="s">
        <v>54</v>
      </c>
      <c r="I463" t="s">
        <v>55</v>
      </c>
      <c r="J463" t="s">
        <v>37</v>
      </c>
      <c r="K463" t="s">
        <v>38</v>
      </c>
      <c r="L463" s="5">
        <v>44835</v>
      </c>
      <c r="M463">
        <v>69</v>
      </c>
      <c r="N463" t="s">
        <v>427</v>
      </c>
      <c r="O463" t="s">
        <v>876</v>
      </c>
      <c r="Q463">
        <v>1</v>
      </c>
      <c r="R463">
        <v>25</v>
      </c>
      <c r="S463" t="s">
        <v>947</v>
      </c>
      <c r="T463" s="6">
        <v>46645.68894851298</v>
      </c>
      <c r="U463" s="7">
        <f>T463*DealsRawTable[[#This Row],[Contract_Years]]</f>
        <v>46645.68894851298</v>
      </c>
      <c r="V463" s="8">
        <v>0.251</v>
      </c>
      <c r="W463" s="8">
        <v>0.20100000000000001</v>
      </c>
      <c r="X463" s="8">
        <v>-0.125</v>
      </c>
      <c r="Y463" t="s">
        <v>902</v>
      </c>
      <c r="Z463" t="s">
        <v>893</v>
      </c>
      <c r="AA463" s="6">
        <v>37292.564698347378</v>
      </c>
      <c r="AB463" s="7">
        <f>DealsRawTable[[#This Row],[Final_Price_ACV]]*DealsRawTable[[#This Row],[Contract_Years]]</f>
        <v>37292.564698347378</v>
      </c>
      <c r="AC463" s="6">
        <v>13585.859565722471</v>
      </c>
      <c r="AD463" s="6">
        <v>23706.705132624906</v>
      </c>
      <c r="AE463" s="8">
        <v>0.63569522033102399</v>
      </c>
      <c r="AF463" t="s">
        <v>880</v>
      </c>
      <c r="AG463" t="s">
        <v>44</v>
      </c>
      <c r="AI463" t="s">
        <v>38</v>
      </c>
      <c r="AJ463" s="6">
        <v>37292.564698347378</v>
      </c>
      <c r="AK463" s="6">
        <v>23706.705132624906</v>
      </c>
      <c r="AL463" t="s">
        <v>881</v>
      </c>
      <c r="AM463">
        <f t="shared" si="14"/>
        <v>37269.910000000003</v>
      </c>
      <c r="AN463">
        <f>DealsRawTable[[#This Row],[Validated_Annual_Final_Price]]*DealsRawTable[[#This Row],[Contract_Years]]</f>
        <v>37269.910000000003</v>
      </c>
      <c r="AO463">
        <f>DealsRawTable[[#This Row],[Validated_Annual_Final_Price]]-DealsRawTable[[#This Row],[Cost_to_Serve]]</f>
        <v>23684.050434277531</v>
      </c>
      <c r="AP463" s="17">
        <f>DealsRawTable[[#This Row],[Validated_Grossprofit]]/DealsRawTable[[#This Row],[Validated_Annual_Final_Price]]</f>
        <v>0.63547377587650544</v>
      </c>
      <c r="AQ463" s="17">
        <v>37269.910000000003</v>
      </c>
      <c r="AR463" s="17">
        <v>37269.910000000003</v>
      </c>
      <c r="AS463" s="17">
        <v>23684.050434277531</v>
      </c>
      <c r="AT463" s="17">
        <v>0.63547377587650544</v>
      </c>
      <c r="AU463" s="17" t="str">
        <f t="shared" si="15"/>
        <v>20–25%</v>
      </c>
      <c r="AV463" s="17">
        <v>29</v>
      </c>
      <c r="AW463" s="17"/>
    </row>
    <row r="464" spans="1:49">
      <c r="A464" t="s">
        <v>1369</v>
      </c>
      <c r="B464" s="5">
        <v>45839</v>
      </c>
      <c r="C464" t="s">
        <v>314</v>
      </c>
      <c r="D464" t="s">
        <v>315</v>
      </c>
      <c r="E464" t="s">
        <v>732</v>
      </c>
      <c r="F464" t="s">
        <v>466</v>
      </c>
      <c r="G464" t="s">
        <v>83</v>
      </c>
      <c r="H464" t="s">
        <v>54</v>
      </c>
      <c r="I464" t="s">
        <v>55</v>
      </c>
      <c r="J464" t="s">
        <v>37</v>
      </c>
      <c r="K464" t="s">
        <v>38</v>
      </c>
      <c r="L464" s="5">
        <v>44835</v>
      </c>
      <c r="M464">
        <v>69</v>
      </c>
      <c r="N464" t="s">
        <v>427</v>
      </c>
      <c r="O464" t="s">
        <v>876</v>
      </c>
      <c r="Q464">
        <v>1</v>
      </c>
      <c r="R464">
        <v>25</v>
      </c>
      <c r="S464" t="s">
        <v>907</v>
      </c>
      <c r="T464" s="6">
        <v>49587.220166020088</v>
      </c>
      <c r="U464" s="7">
        <f>T464*DealsRawTable[[#This Row],[Contract_Years]]</f>
        <v>49587.220166020088</v>
      </c>
      <c r="V464" s="8">
        <v>0.17499999999999999</v>
      </c>
      <c r="W464" s="8">
        <v>0.128</v>
      </c>
      <c r="X464" s="8">
        <v>-7.1999999999999995E-2</v>
      </c>
      <c r="Y464" t="s">
        <v>909</v>
      </c>
      <c r="Z464" t="s">
        <v>889</v>
      </c>
      <c r="AA464" s="6">
        <v>43248.650828841877</v>
      </c>
      <c r="AB464" s="7">
        <f>DealsRawTable[[#This Row],[Final_Price_ACV]]*DealsRawTable[[#This Row],[Contract_Years]]</f>
        <v>43248.650828841877</v>
      </c>
      <c r="AC464" s="6">
        <v>14661.451723127271</v>
      </c>
      <c r="AD464" s="6">
        <v>28587.199105714608</v>
      </c>
      <c r="AE464" s="8">
        <v>0.66099632145403786</v>
      </c>
      <c r="AF464" t="s">
        <v>880</v>
      </c>
      <c r="AG464" t="s">
        <v>44</v>
      </c>
      <c r="AI464" t="s">
        <v>38</v>
      </c>
      <c r="AJ464" s="6">
        <v>43248.650828841877</v>
      </c>
      <c r="AK464" s="6">
        <v>28587.199105714608</v>
      </c>
      <c r="AL464" t="s">
        <v>881</v>
      </c>
      <c r="AM464">
        <f t="shared" si="14"/>
        <v>43240.06</v>
      </c>
      <c r="AN464">
        <f>DealsRawTable[[#This Row],[Validated_Annual_Final_Price]]*DealsRawTable[[#This Row],[Contract_Years]]</f>
        <v>43240.06</v>
      </c>
      <c r="AO464">
        <f>DealsRawTable[[#This Row],[Validated_Annual_Final_Price]]-DealsRawTable[[#This Row],[Cost_to_Serve]]</f>
        <v>28578.608276872728</v>
      </c>
      <c r="AP464" s="17">
        <f>DealsRawTable[[#This Row],[Validated_Grossprofit]]/DealsRawTable[[#This Row],[Validated_Annual_Final_Price]]</f>
        <v>0.66092896903641507</v>
      </c>
      <c r="AQ464" s="17">
        <v>43240.06</v>
      </c>
      <c r="AR464" s="17">
        <v>43240.06</v>
      </c>
      <c r="AS464" s="17">
        <v>28578.608276872728</v>
      </c>
      <c r="AT464" s="17">
        <v>0.66092896903641507</v>
      </c>
      <c r="AU464" s="17" t="str">
        <f t="shared" si="15"/>
        <v>10–15%</v>
      </c>
      <c r="AV464" s="17">
        <v>113</v>
      </c>
      <c r="AW464" s="17"/>
    </row>
    <row r="465" spans="1:49">
      <c r="A465" t="s">
        <v>1370</v>
      </c>
      <c r="B465" s="5">
        <v>45607</v>
      </c>
      <c r="C465" t="s">
        <v>316</v>
      </c>
      <c r="D465" t="s">
        <v>317</v>
      </c>
      <c r="E465" t="s">
        <v>733</v>
      </c>
      <c r="F465" t="s">
        <v>47</v>
      </c>
      <c r="G465" t="s">
        <v>60</v>
      </c>
      <c r="H465" t="s">
        <v>35</v>
      </c>
      <c r="I465" t="s">
        <v>36</v>
      </c>
      <c r="J465" t="s">
        <v>56</v>
      </c>
      <c r="K465" t="s">
        <v>38</v>
      </c>
      <c r="L465" s="5">
        <v>44652</v>
      </c>
      <c r="M465">
        <v>64</v>
      </c>
      <c r="N465" t="s">
        <v>424</v>
      </c>
      <c r="O465" t="s">
        <v>876</v>
      </c>
      <c r="Q465">
        <v>1</v>
      </c>
      <c r="R465">
        <v>96</v>
      </c>
      <c r="S465" t="s">
        <v>892</v>
      </c>
      <c r="T465" s="6">
        <v>43338.614135184609</v>
      </c>
      <c r="U465" s="7">
        <f>T465*DealsRawTable[[#This Row],[Contract_Years]]</f>
        <v>43338.614135184609</v>
      </c>
      <c r="V465" s="8">
        <v>9.9000000000000005E-2</v>
      </c>
      <c r="W465" s="8">
        <v>5.8999999999999997E-2</v>
      </c>
      <c r="X465" s="8">
        <v>-5.0000000000000001E-3</v>
      </c>
      <c r="Y465" t="s">
        <v>878</v>
      </c>
      <c r="Z465" t="s">
        <v>879</v>
      </c>
      <c r="AA465" s="6">
        <v>40801.068210343801</v>
      </c>
      <c r="AB465" s="7">
        <f>DealsRawTable[[#This Row],[Final_Price_ACV]]*DealsRawTable[[#This Row],[Contract_Years]]</f>
        <v>40801.068210343801</v>
      </c>
      <c r="AC465" s="6">
        <v>11550.766705407461</v>
      </c>
      <c r="AD465" s="6">
        <v>29250.301504936338</v>
      </c>
      <c r="AE465" s="8">
        <v>0.71690038491494357</v>
      </c>
      <c r="AF465" t="s">
        <v>457</v>
      </c>
      <c r="AG465" t="s">
        <v>38</v>
      </c>
      <c r="AI465" t="s">
        <v>38</v>
      </c>
      <c r="AJ465" s="6">
        <v>0</v>
      </c>
      <c r="AK465" s="6">
        <v>0</v>
      </c>
      <c r="AL465" t="s">
        <v>881</v>
      </c>
      <c r="AM465">
        <f t="shared" si="14"/>
        <v>40781.64</v>
      </c>
      <c r="AN465">
        <f>DealsRawTable[[#This Row],[Validated_Annual_Final_Price]]*DealsRawTable[[#This Row],[Contract_Years]]</f>
        <v>40781.64</v>
      </c>
      <c r="AO465">
        <f>DealsRawTable[[#This Row],[Validated_Annual_Final_Price]]-DealsRawTable[[#This Row],[Cost_to_Serve]]</f>
        <v>29230.873294592537</v>
      </c>
      <c r="AP465" s="17">
        <f>DealsRawTable[[#This Row],[Validated_Grossprofit]]/DealsRawTable[[#This Row],[Validated_Annual_Final_Price]]</f>
        <v>0.71676551738950511</v>
      </c>
      <c r="AQ465" s="17">
        <v>0</v>
      </c>
      <c r="AR465" s="17">
        <v>0</v>
      </c>
      <c r="AS465" s="17">
        <v>0</v>
      </c>
      <c r="AT465" s="17">
        <v>0</v>
      </c>
      <c r="AU465" s="17" t="str">
        <f t="shared" si="15"/>
        <v>5–10%</v>
      </c>
      <c r="AV465" s="17">
        <v>116</v>
      </c>
      <c r="AW465" s="17"/>
    </row>
    <row r="466" spans="1:49">
      <c r="A466" t="s">
        <v>1371</v>
      </c>
      <c r="B466" s="5">
        <v>45740</v>
      </c>
      <c r="C466" t="s">
        <v>316</v>
      </c>
      <c r="D466" t="s">
        <v>317</v>
      </c>
      <c r="E466" t="s">
        <v>733</v>
      </c>
      <c r="F466" t="s">
        <v>47</v>
      </c>
      <c r="G466" t="s">
        <v>60</v>
      </c>
      <c r="H466" t="s">
        <v>35</v>
      </c>
      <c r="I466" t="s">
        <v>36</v>
      </c>
      <c r="J466" t="s">
        <v>56</v>
      </c>
      <c r="K466" t="s">
        <v>38</v>
      </c>
      <c r="L466" s="5">
        <v>44652</v>
      </c>
      <c r="M466">
        <v>64</v>
      </c>
      <c r="N466" t="s">
        <v>424</v>
      </c>
      <c r="O466" t="s">
        <v>915</v>
      </c>
      <c r="Q466">
        <v>1</v>
      </c>
      <c r="R466">
        <v>96</v>
      </c>
      <c r="S466" t="s">
        <v>900</v>
      </c>
      <c r="T466" s="6">
        <v>43338.614135184609</v>
      </c>
      <c r="U466" s="7">
        <f>T466*DealsRawTable[[#This Row],[Contract_Years]]</f>
        <v>43338.614135184609</v>
      </c>
      <c r="V466" s="8">
        <v>0.23400000000000001</v>
      </c>
      <c r="W466" s="8">
        <v>0.222</v>
      </c>
      <c r="X466" s="8">
        <v>-3.3000000000000002E-2</v>
      </c>
      <c r="Y466" t="s">
        <v>878</v>
      </c>
      <c r="Z466" t="s">
        <v>893</v>
      </c>
      <c r="AA466" s="6">
        <v>33719.65395796048</v>
      </c>
      <c r="AB466" s="7">
        <f>DealsRawTable[[#This Row],[Final_Price_ACV]]*DealsRawTable[[#This Row],[Contract_Years]]</f>
        <v>33719.65395796048</v>
      </c>
      <c r="AC466" s="6">
        <v>13059.076617992059</v>
      </c>
      <c r="AD466" s="6">
        <v>20660.577339968419</v>
      </c>
      <c r="AE466" s="8">
        <v>0.61271617335476547</v>
      </c>
      <c r="AF466" t="s">
        <v>880</v>
      </c>
      <c r="AI466" t="s">
        <v>44</v>
      </c>
      <c r="AJ466" s="6">
        <v>33719.65395796048</v>
      </c>
      <c r="AK466" s="6">
        <v>20660.577339968419</v>
      </c>
      <c r="AL466" t="s">
        <v>916</v>
      </c>
      <c r="AM466">
        <f t="shared" si="14"/>
        <v>33717.440000000002</v>
      </c>
      <c r="AN466">
        <f>DealsRawTable[[#This Row],[Validated_Annual_Final_Price]]*DealsRawTable[[#This Row],[Contract_Years]]</f>
        <v>33717.440000000002</v>
      </c>
      <c r="AO466">
        <f>DealsRawTable[[#This Row],[Validated_Annual_Final_Price]]-DealsRawTable[[#This Row],[Cost_to_Serve]]</f>
        <v>20658.363382007941</v>
      </c>
      <c r="AP466" s="17">
        <f>DealsRawTable[[#This Row],[Validated_Grossprofit]]/DealsRawTable[[#This Row],[Validated_Annual_Final_Price]]</f>
        <v>0.61269074348491281</v>
      </c>
      <c r="AQ466" s="17">
        <v>33717.440000000002</v>
      </c>
      <c r="AR466" s="17">
        <v>33717.440000000002</v>
      </c>
      <c r="AS466" s="17">
        <v>20658.363382007941</v>
      </c>
      <c r="AT466" s="17">
        <v>0.61269074348491281</v>
      </c>
      <c r="AU466" s="17" t="str">
        <f t="shared" si="15"/>
        <v>20–25%</v>
      </c>
      <c r="AV466" s="17">
        <v>29</v>
      </c>
      <c r="AW466" s="17"/>
    </row>
    <row r="467" spans="1:49">
      <c r="A467" t="s">
        <v>1372</v>
      </c>
      <c r="B467" s="5">
        <v>45430</v>
      </c>
      <c r="C467" t="s">
        <v>316</v>
      </c>
      <c r="D467" t="s">
        <v>317</v>
      </c>
      <c r="E467" t="s">
        <v>734</v>
      </c>
      <c r="F467" t="s">
        <v>34</v>
      </c>
      <c r="G467" t="s">
        <v>60</v>
      </c>
      <c r="H467" t="s">
        <v>35</v>
      </c>
      <c r="I467" t="s">
        <v>36</v>
      </c>
      <c r="J467" t="s">
        <v>56</v>
      </c>
      <c r="K467" t="s">
        <v>38</v>
      </c>
      <c r="L467" s="5">
        <v>44652</v>
      </c>
      <c r="M467">
        <v>64</v>
      </c>
      <c r="N467" t="s">
        <v>431</v>
      </c>
      <c r="O467" t="s">
        <v>876</v>
      </c>
      <c r="Q467">
        <v>2</v>
      </c>
      <c r="R467">
        <v>139</v>
      </c>
      <c r="S467" t="s">
        <v>877</v>
      </c>
      <c r="T467" s="6">
        <v>58833.776718427369</v>
      </c>
      <c r="U467" s="7">
        <f>T467*DealsRawTable[[#This Row],[Contract_Years]]</f>
        <v>117667.55343685474</v>
      </c>
      <c r="V467" s="8">
        <v>0.23699999999999999</v>
      </c>
      <c r="W467" s="8">
        <v>0.221</v>
      </c>
      <c r="X467" s="8">
        <v>-3.2000000000000001E-2</v>
      </c>
      <c r="Y467" t="s">
        <v>878</v>
      </c>
      <c r="Z467" t="s">
        <v>893</v>
      </c>
      <c r="AA467" s="6">
        <v>45837.226034433457</v>
      </c>
      <c r="AB467" s="7">
        <f>DealsRawTable[[#This Row],[Final_Price_ACV]]*DealsRawTable[[#This Row],[Contract_Years]]</f>
        <v>91674.452068866914</v>
      </c>
      <c r="AC467" s="6">
        <v>22712.00310586128</v>
      </c>
      <c r="AD467" s="6">
        <v>23125.222928572177</v>
      </c>
      <c r="AE467" s="8">
        <v>0.50450746978449879</v>
      </c>
      <c r="AF467" t="s">
        <v>880</v>
      </c>
      <c r="AG467" t="s">
        <v>44</v>
      </c>
      <c r="AI467" t="s">
        <v>38</v>
      </c>
      <c r="AJ467" s="6">
        <v>45837.226034433457</v>
      </c>
      <c r="AK467" s="6">
        <v>23125.222928572177</v>
      </c>
      <c r="AL467" t="s">
        <v>881</v>
      </c>
      <c r="AM467">
        <f t="shared" si="14"/>
        <v>45831.51</v>
      </c>
      <c r="AN467">
        <f>DealsRawTable[[#This Row],[Validated_Annual_Final_Price]]*DealsRawTable[[#This Row],[Contract_Years]]</f>
        <v>91663.02</v>
      </c>
      <c r="AO467">
        <f>DealsRawTable[[#This Row],[Validated_Annual_Final_Price]]-DealsRawTable[[#This Row],[Cost_to_Serve]]</f>
        <v>23119.506894138722</v>
      </c>
      <c r="AP467" s="17">
        <f>DealsRawTable[[#This Row],[Validated_Grossprofit]]/DealsRawTable[[#This Row],[Validated_Annual_Final_Price]]</f>
        <v>0.50444567272906171</v>
      </c>
      <c r="AQ467" s="17">
        <v>45831.51</v>
      </c>
      <c r="AR467" s="17">
        <v>91663.02</v>
      </c>
      <c r="AS467" s="17">
        <v>23119.506894138722</v>
      </c>
      <c r="AT467" s="17">
        <v>0.50444567272906171</v>
      </c>
      <c r="AU467" s="17" t="str">
        <f t="shared" si="15"/>
        <v>20–25%</v>
      </c>
      <c r="AV467" s="17">
        <v>29</v>
      </c>
      <c r="AW467" s="17"/>
    </row>
    <row r="468" spans="1:49">
      <c r="A468" t="s">
        <v>1373</v>
      </c>
      <c r="B468" s="5">
        <v>45506</v>
      </c>
      <c r="C468" t="s">
        <v>318</v>
      </c>
      <c r="D468" t="s">
        <v>319</v>
      </c>
      <c r="E468" t="s">
        <v>735</v>
      </c>
      <c r="F468" t="s">
        <v>449</v>
      </c>
      <c r="G468" t="s">
        <v>83</v>
      </c>
      <c r="H468" t="s">
        <v>35</v>
      </c>
      <c r="I468" t="s">
        <v>36</v>
      </c>
      <c r="J468" t="s">
        <v>56</v>
      </c>
      <c r="K468" t="s">
        <v>44</v>
      </c>
      <c r="L468" s="5">
        <v>43678</v>
      </c>
      <c r="M468">
        <v>96</v>
      </c>
      <c r="N468" t="s">
        <v>433</v>
      </c>
      <c r="O468" t="s">
        <v>876</v>
      </c>
      <c r="Q468">
        <v>1</v>
      </c>
      <c r="R468">
        <v>229</v>
      </c>
      <c r="S468" t="s">
        <v>907</v>
      </c>
      <c r="T468" s="6">
        <v>306233.03802248789</v>
      </c>
      <c r="U468" s="7">
        <f>T468*DealsRawTable[[#This Row],[Contract_Years]]</f>
        <v>306233.03802248789</v>
      </c>
      <c r="V468" s="8">
        <v>9.7000000000000003E-2</v>
      </c>
      <c r="W468" s="8">
        <v>5.7000000000000002E-2</v>
      </c>
      <c r="X468" s="8">
        <v>-7.9000000000000001E-2</v>
      </c>
      <c r="Y468" t="s">
        <v>897</v>
      </c>
      <c r="Z468" t="s">
        <v>879</v>
      </c>
      <c r="AA468" s="6">
        <v>288787.97701353754</v>
      </c>
      <c r="AB468" s="7">
        <f>DealsRawTable[[#This Row],[Final_Price_ACV]]*DealsRawTable[[#This Row],[Contract_Years]]</f>
        <v>288787.97701353754</v>
      </c>
      <c r="AC468" s="6">
        <v>112950.54003842539</v>
      </c>
      <c r="AD468" s="6">
        <v>175837.43697511216</v>
      </c>
      <c r="AE468" s="8">
        <v>0.60888073940442955</v>
      </c>
      <c r="AF468" t="s">
        <v>880</v>
      </c>
      <c r="AG468" t="s">
        <v>44</v>
      </c>
      <c r="AI468" t="s">
        <v>38</v>
      </c>
      <c r="AJ468" s="6">
        <v>288787.97701353754</v>
      </c>
      <c r="AK468" s="6">
        <v>175837.43697511216</v>
      </c>
      <c r="AL468" t="s">
        <v>881</v>
      </c>
      <c r="AM468">
        <f t="shared" si="14"/>
        <v>288777.75</v>
      </c>
      <c r="AN468">
        <f>DealsRawTable[[#This Row],[Validated_Annual_Final_Price]]*DealsRawTable[[#This Row],[Contract_Years]]</f>
        <v>288777.75</v>
      </c>
      <c r="AO468">
        <f>DealsRawTable[[#This Row],[Validated_Annual_Final_Price]]-DealsRawTable[[#This Row],[Cost_to_Serve]]</f>
        <v>175827.20996157461</v>
      </c>
      <c r="AP468" s="17">
        <f>DealsRawTable[[#This Row],[Validated_Grossprofit]]/DealsRawTable[[#This Row],[Validated_Annual_Final_Price]]</f>
        <v>0.60886688798418376</v>
      </c>
      <c r="AQ468" s="17">
        <v>288777.75</v>
      </c>
      <c r="AR468" s="17">
        <v>288777.75</v>
      </c>
      <c r="AS468" s="17">
        <v>175827.20996157461</v>
      </c>
      <c r="AT468" s="17">
        <v>0.60886688798418376</v>
      </c>
      <c r="AU468" s="17" t="str">
        <f t="shared" si="15"/>
        <v>5–10%</v>
      </c>
      <c r="AV468" s="17">
        <v>116</v>
      </c>
      <c r="AW468" s="17"/>
    </row>
    <row r="469" spans="1:49">
      <c r="A469" t="s">
        <v>1374</v>
      </c>
      <c r="B469" s="5">
        <v>45871</v>
      </c>
      <c r="C469" t="s">
        <v>318</v>
      </c>
      <c r="D469" t="s">
        <v>319</v>
      </c>
      <c r="E469" t="s">
        <v>735</v>
      </c>
      <c r="F469" t="s">
        <v>449</v>
      </c>
      <c r="G469" t="s">
        <v>83</v>
      </c>
      <c r="H469" t="s">
        <v>35</v>
      </c>
      <c r="I469" t="s">
        <v>36</v>
      </c>
      <c r="J469" t="s">
        <v>56</v>
      </c>
      <c r="K469" t="s">
        <v>44</v>
      </c>
      <c r="L469" s="5">
        <v>43678</v>
      </c>
      <c r="M469">
        <v>96</v>
      </c>
      <c r="N469" t="s">
        <v>433</v>
      </c>
      <c r="O469" t="s">
        <v>876</v>
      </c>
      <c r="Q469">
        <v>1</v>
      </c>
      <c r="R469">
        <v>229</v>
      </c>
      <c r="S469" t="s">
        <v>907</v>
      </c>
      <c r="T469" s="6">
        <v>322084.8124925078</v>
      </c>
      <c r="U469" s="7">
        <f>T469*DealsRawTable[[#This Row],[Contract_Years]]</f>
        <v>322084.8124925078</v>
      </c>
      <c r="V469" s="8">
        <v>0.13900000000000001</v>
      </c>
      <c r="W469" s="8">
        <v>0.13500000000000001</v>
      </c>
      <c r="X469" s="8">
        <v>8.2000000000000003E-2</v>
      </c>
      <c r="Y469" t="s">
        <v>878</v>
      </c>
      <c r="Z469" t="s">
        <v>889</v>
      </c>
      <c r="AA469" s="6">
        <v>278532.16585381067</v>
      </c>
      <c r="AB469" s="7">
        <f>DealsRawTable[[#This Row],[Final_Price_ACV]]*DealsRawTable[[#This Row],[Contract_Years]]</f>
        <v>278532.16585381067</v>
      </c>
      <c r="AC469" s="6">
        <v>112977.58146259413</v>
      </c>
      <c r="AD469" s="6">
        <v>165554.58439121654</v>
      </c>
      <c r="AE469" s="8">
        <v>0.59438228214585775</v>
      </c>
      <c r="AF469" t="s">
        <v>880</v>
      </c>
      <c r="AG469" t="s">
        <v>44</v>
      </c>
      <c r="AI469" t="s">
        <v>38</v>
      </c>
      <c r="AJ469" s="6">
        <v>278532.16585381067</v>
      </c>
      <c r="AK469" s="6">
        <v>165554.58439121654</v>
      </c>
      <c r="AL469" t="s">
        <v>881</v>
      </c>
      <c r="AM469">
        <f t="shared" si="14"/>
        <v>278603.36</v>
      </c>
      <c r="AN469">
        <f>DealsRawTable[[#This Row],[Validated_Annual_Final_Price]]*DealsRawTable[[#This Row],[Contract_Years]]</f>
        <v>278603.36</v>
      </c>
      <c r="AO469">
        <f>DealsRawTable[[#This Row],[Validated_Annual_Final_Price]]-DealsRawTable[[#This Row],[Cost_to_Serve]]</f>
        <v>165625.77853740586</v>
      </c>
      <c r="AP469" s="17">
        <f>DealsRawTable[[#This Row],[Validated_Grossprofit]]/DealsRawTable[[#This Row],[Validated_Annual_Final_Price]]</f>
        <v>0.59448593346973944</v>
      </c>
      <c r="AQ469" s="17">
        <v>278603.36</v>
      </c>
      <c r="AR469" s="17">
        <v>278603.36</v>
      </c>
      <c r="AS469" s="17">
        <v>165625.77853740586</v>
      </c>
      <c r="AT469" s="17">
        <v>0.59448593346973944</v>
      </c>
      <c r="AU469" s="17" t="str">
        <f t="shared" si="15"/>
        <v>10–15%</v>
      </c>
      <c r="AV469" s="17">
        <v>113</v>
      </c>
      <c r="AW469" s="17"/>
    </row>
    <row r="470" spans="1:49">
      <c r="A470" t="s">
        <v>1375</v>
      </c>
      <c r="B470" s="5">
        <v>45414</v>
      </c>
      <c r="C470" t="s">
        <v>318</v>
      </c>
      <c r="D470" t="s">
        <v>319</v>
      </c>
      <c r="E470" t="s">
        <v>736</v>
      </c>
      <c r="F470" t="s">
        <v>47</v>
      </c>
      <c r="G470" t="s">
        <v>83</v>
      </c>
      <c r="H470" t="s">
        <v>35</v>
      </c>
      <c r="I470" t="s">
        <v>36</v>
      </c>
      <c r="J470" t="s">
        <v>56</v>
      </c>
      <c r="K470" t="s">
        <v>44</v>
      </c>
      <c r="L470" s="5">
        <v>43678</v>
      </c>
      <c r="M470">
        <v>96</v>
      </c>
      <c r="N470" t="s">
        <v>429</v>
      </c>
      <c r="O470" t="s">
        <v>891</v>
      </c>
      <c r="Q470">
        <v>1</v>
      </c>
      <c r="R470">
        <v>191</v>
      </c>
      <c r="S470" t="s">
        <v>888</v>
      </c>
      <c r="T470" s="6">
        <v>131797.44452409615</v>
      </c>
      <c r="U470" s="7">
        <f>T470*DealsRawTable[[#This Row],[Contract_Years]]</f>
        <v>131797.44452409615</v>
      </c>
      <c r="V470" s="8">
        <v>0.222</v>
      </c>
      <c r="W470" s="8">
        <v>0.19600000000000001</v>
      </c>
      <c r="X470" s="8">
        <v>-7.4999999999999997E-2</v>
      </c>
      <c r="Y470" t="s">
        <v>905</v>
      </c>
      <c r="Z470" t="s">
        <v>889</v>
      </c>
      <c r="AA470" s="6">
        <v>105922.32732301914</v>
      </c>
      <c r="AB470" s="7">
        <f>DealsRawTable[[#This Row],[Final_Price_ACV]]*DealsRawTable[[#This Row],[Contract_Years]]</f>
        <v>105922.32732301914</v>
      </c>
      <c r="AC470" s="6">
        <v>49035.321666608121</v>
      </c>
      <c r="AD470" s="6">
        <v>56887.00565641102</v>
      </c>
      <c r="AE470" s="8">
        <v>0.53706340385563145</v>
      </c>
      <c r="AF470" t="s">
        <v>457</v>
      </c>
      <c r="AI470" t="s">
        <v>38</v>
      </c>
      <c r="AJ470" s="6">
        <v>0</v>
      </c>
      <c r="AK470" s="6">
        <v>0</v>
      </c>
      <c r="AL470" t="s">
        <v>894</v>
      </c>
      <c r="AM470">
        <f t="shared" si="14"/>
        <v>105965.15</v>
      </c>
      <c r="AN470">
        <f>DealsRawTable[[#This Row],[Validated_Annual_Final_Price]]*DealsRawTable[[#This Row],[Contract_Years]]</f>
        <v>105965.15</v>
      </c>
      <c r="AO470">
        <f>DealsRawTable[[#This Row],[Validated_Annual_Final_Price]]-DealsRawTable[[#This Row],[Cost_to_Serve]]</f>
        <v>56929.828333391873</v>
      </c>
      <c r="AP470" s="17">
        <f>DealsRawTable[[#This Row],[Validated_Grossprofit]]/DealsRawTable[[#This Row],[Validated_Annual_Final_Price]]</f>
        <v>0.53725048597007485</v>
      </c>
      <c r="AQ470" s="17">
        <v>0</v>
      </c>
      <c r="AR470" s="17">
        <v>0</v>
      </c>
      <c r="AS470" s="17">
        <v>0</v>
      </c>
      <c r="AT470" s="17">
        <v>0</v>
      </c>
      <c r="AU470" s="17" t="str">
        <f t="shared" si="15"/>
        <v>15–20%</v>
      </c>
      <c r="AV470" s="17">
        <v>108</v>
      </c>
      <c r="AW470" s="17"/>
    </row>
    <row r="471" spans="1:49">
      <c r="A471" t="s">
        <v>1376</v>
      </c>
      <c r="B471" s="5">
        <v>45541</v>
      </c>
      <c r="C471" t="s">
        <v>320</v>
      </c>
      <c r="D471" t="s">
        <v>321</v>
      </c>
      <c r="E471" t="s">
        <v>738</v>
      </c>
      <c r="F471" t="s">
        <v>475</v>
      </c>
      <c r="G471" t="s">
        <v>34</v>
      </c>
      <c r="H471" t="s">
        <v>70</v>
      </c>
      <c r="I471" t="s">
        <v>71</v>
      </c>
      <c r="J471" t="s">
        <v>37</v>
      </c>
      <c r="K471" t="s">
        <v>38</v>
      </c>
      <c r="L471" s="5">
        <v>45047</v>
      </c>
      <c r="M471">
        <v>56</v>
      </c>
      <c r="N471" t="s">
        <v>433</v>
      </c>
      <c r="O471" t="s">
        <v>876</v>
      </c>
      <c r="Q471">
        <v>1</v>
      </c>
      <c r="R471">
        <v>17</v>
      </c>
      <c r="S471" t="s">
        <v>900</v>
      </c>
      <c r="T471" s="6">
        <v>185946.33763305628</v>
      </c>
      <c r="U471" s="7">
        <f>T471*DealsRawTable[[#This Row],[Contract_Years]]</f>
        <v>185946.33763305628</v>
      </c>
      <c r="V471" s="8">
        <v>7.5999999999999998E-2</v>
      </c>
      <c r="W471" s="8">
        <v>5.0999999999999997E-2</v>
      </c>
      <c r="X471" s="8">
        <v>2E-3</v>
      </c>
      <c r="Y471" t="s">
        <v>878</v>
      </c>
      <c r="Z471" t="s">
        <v>879</v>
      </c>
      <c r="AA471" s="6">
        <v>176506.98605520435</v>
      </c>
      <c r="AB471" s="7">
        <f>DealsRawTable[[#This Row],[Final_Price_ACV]]*DealsRawTable[[#This Row],[Contract_Years]]</f>
        <v>176506.98605520435</v>
      </c>
      <c r="AC471" s="6">
        <v>72888.735577581203</v>
      </c>
      <c r="AD471" s="6">
        <v>103618.25047762315</v>
      </c>
      <c r="AE471" s="8">
        <v>0.58704900465081589</v>
      </c>
      <c r="AF471" t="s">
        <v>880</v>
      </c>
      <c r="AG471" t="s">
        <v>44</v>
      </c>
      <c r="AI471" t="s">
        <v>38</v>
      </c>
      <c r="AJ471" s="6">
        <v>176506.98605520435</v>
      </c>
      <c r="AK471" s="6">
        <v>103618.25047762315</v>
      </c>
      <c r="AL471" t="s">
        <v>881</v>
      </c>
      <c r="AM471">
        <f t="shared" si="14"/>
        <v>176463.07</v>
      </c>
      <c r="AN471">
        <f>DealsRawTable[[#This Row],[Validated_Annual_Final_Price]]*DealsRawTable[[#This Row],[Contract_Years]]</f>
        <v>176463.07</v>
      </c>
      <c r="AO471">
        <f>DealsRawTable[[#This Row],[Validated_Annual_Final_Price]]-DealsRawTable[[#This Row],[Cost_to_Serve]]</f>
        <v>103574.3344224188</v>
      </c>
      <c r="AP471" s="17">
        <f>DealsRawTable[[#This Row],[Validated_Grossprofit]]/DealsRawTable[[#This Row],[Validated_Annual_Final_Price]]</f>
        <v>0.58694623425977344</v>
      </c>
      <c r="AQ471" s="17">
        <v>176463.07</v>
      </c>
      <c r="AR471" s="17">
        <v>176463.07</v>
      </c>
      <c r="AS471" s="17">
        <v>103574.3344224188</v>
      </c>
      <c r="AT471" s="17">
        <v>0.58694623425977344</v>
      </c>
      <c r="AU471" s="17" t="str">
        <f t="shared" si="15"/>
        <v>5–10%</v>
      </c>
      <c r="AV471" s="17">
        <v>116</v>
      </c>
      <c r="AW471" s="17"/>
    </row>
    <row r="472" spans="1:49">
      <c r="A472" t="s">
        <v>1377</v>
      </c>
      <c r="B472" s="5">
        <v>45906</v>
      </c>
      <c r="C472" t="s">
        <v>320</v>
      </c>
      <c r="D472" t="s">
        <v>321</v>
      </c>
      <c r="E472" t="s">
        <v>738</v>
      </c>
      <c r="F472" t="s">
        <v>475</v>
      </c>
      <c r="G472" t="s">
        <v>34</v>
      </c>
      <c r="H472" t="s">
        <v>70</v>
      </c>
      <c r="I472" t="s">
        <v>71</v>
      </c>
      <c r="J472" t="s">
        <v>37</v>
      </c>
      <c r="K472" t="s">
        <v>38</v>
      </c>
      <c r="L472" s="5">
        <v>45047</v>
      </c>
      <c r="M472">
        <v>56</v>
      </c>
      <c r="N472" t="s">
        <v>433</v>
      </c>
      <c r="O472" t="s">
        <v>876</v>
      </c>
      <c r="Q472">
        <v>1</v>
      </c>
      <c r="R472">
        <v>17</v>
      </c>
      <c r="S472" t="s">
        <v>888</v>
      </c>
      <c r="T472" s="6">
        <v>194704.25423488356</v>
      </c>
      <c r="U472" s="7">
        <f>T472*DealsRawTable[[#This Row],[Contract_Years]]</f>
        <v>194704.25423488356</v>
      </c>
      <c r="V472" s="8">
        <v>0.215</v>
      </c>
      <c r="W472" s="8">
        <v>0.182</v>
      </c>
      <c r="X472" s="8">
        <v>1.7999999999999999E-2</v>
      </c>
      <c r="Y472" t="s">
        <v>878</v>
      </c>
      <c r="Z472" t="s">
        <v>889</v>
      </c>
      <c r="AA472" s="6">
        <v>159194.21229545388</v>
      </c>
      <c r="AB472" s="7">
        <f>DealsRawTable[[#This Row],[Final_Price_ACV]]*DealsRawTable[[#This Row],[Contract_Years]]</f>
        <v>159194.21229545388</v>
      </c>
      <c r="AC472" s="6">
        <v>71731.221698558249</v>
      </c>
      <c r="AD472" s="6">
        <v>87462.99059689563</v>
      </c>
      <c r="AE472" s="8">
        <v>0.54941061823635984</v>
      </c>
      <c r="AF472" t="s">
        <v>880</v>
      </c>
      <c r="AG472" t="s">
        <v>44</v>
      </c>
      <c r="AI472" t="s">
        <v>38</v>
      </c>
      <c r="AJ472" s="6">
        <v>159194.21229545388</v>
      </c>
      <c r="AK472" s="6">
        <v>87462.99059689563</v>
      </c>
      <c r="AL472" t="s">
        <v>881</v>
      </c>
      <c r="AM472">
        <f t="shared" si="14"/>
        <v>159268.07999999999</v>
      </c>
      <c r="AN472">
        <f>DealsRawTable[[#This Row],[Validated_Annual_Final_Price]]*DealsRawTable[[#This Row],[Contract_Years]]</f>
        <v>159268.07999999999</v>
      </c>
      <c r="AO472">
        <f>DealsRawTable[[#This Row],[Validated_Annual_Final_Price]]-DealsRawTable[[#This Row],[Cost_to_Serve]]</f>
        <v>87536.858301441738</v>
      </c>
      <c r="AP472" s="17">
        <f>DealsRawTable[[#This Row],[Validated_Grossprofit]]/DealsRawTable[[#This Row],[Validated_Annual_Final_Price]]</f>
        <v>0.54961959924073767</v>
      </c>
      <c r="AQ472" s="17">
        <v>159268.07999999999</v>
      </c>
      <c r="AR472" s="17">
        <v>159268.07999999999</v>
      </c>
      <c r="AS472" s="17">
        <v>87536.858301441738</v>
      </c>
      <c r="AT472" s="17">
        <v>0.54961959924073767</v>
      </c>
      <c r="AU472" s="17" t="str">
        <f t="shared" si="15"/>
        <v>15–20%</v>
      </c>
      <c r="AV472" s="17">
        <v>108</v>
      </c>
      <c r="AW472" s="17"/>
    </row>
    <row r="473" spans="1:49">
      <c r="A473" t="s">
        <v>1378</v>
      </c>
      <c r="B473" s="5">
        <v>45362</v>
      </c>
      <c r="C473" t="s">
        <v>320</v>
      </c>
      <c r="D473" t="s">
        <v>321</v>
      </c>
      <c r="E473" t="s">
        <v>739</v>
      </c>
      <c r="F473" t="s">
        <v>445</v>
      </c>
      <c r="G473" t="s">
        <v>34</v>
      </c>
      <c r="H473" t="s">
        <v>70</v>
      </c>
      <c r="I473" t="s">
        <v>71</v>
      </c>
      <c r="J473" t="s">
        <v>37</v>
      </c>
      <c r="K473" t="s">
        <v>38</v>
      </c>
      <c r="L473" s="5">
        <v>45047</v>
      </c>
      <c r="M473">
        <v>56</v>
      </c>
      <c r="N473" t="s">
        <v>424</v>
      </c>
      <c r="O473" t="s">
        <v>891</v>
      </c>
      <c r="Q473">
        <v>3</v>
      </c>
      <c r="R473">
        <v>62</v>
      </c>
      <c r="S473" t="s">
        <v>888</v>
      </c>
      <c r="T473" s="6">
        <v>25531.867551150262</v>
      </c>
      <c r="U473" s="7">
        <f>T473*DealsRawTable[[#This Row],[Contract_Years]]</f>
        <v>76595.602653450784</v>
      </c>
      <c r="V473" s="8">
        <v>0.111</v>
      </c>
      <c r="W473" s="8">
        <v>5.1999999999999998E-2</v>
      </c>
      <c r="X473" s="8">
        <v>-8.7999999999999995E-2</v>
      </c>
      <c r="Y473" t="s">
        <v>878</v>
      </c>
      <c r="Z473" t="s">
        <v>879</v>
      </c>
      <c r="AA473" s="6">
        <v>24206.471277754808</v>
      </c>
      <c r="AB473" s="7">
        <f>DealsRawTable[[#This Row],[Final_Price_ACV]]*DealsRawTable[[#This Row],[Contract_Years]]</f>
        <v>72619.413833264422</v>
      </c>
      <c r="AC473" s="6">
        <v>7815.5841631929288</v>
      </c>
      <c r="AD473" s="6">
        <v>16390.88711456188</v>
      </c>
      <c r="AE473" s="8">
        <v>0.67712831525447204</v>
      </c>
      <c r="AF473" t="s">
        <v>457</v>
      </c>
      <c r="AI473" t="s">
        <v>38</v>
      </c>
      <c r="AJ473" s="6">
        <v>0</v>
      </c>
      <c r="AK473" s="6">
        <v>0</v>
      </c>
      <c r="AL473" t="s">
        <v>894</v>
      </c>
      <c r="AM473">
        <f t="shared" si="14"/>
        <v>24204.21</v>
      </c>
      <c r="AN473">
        <f>DealsRawTable[[#This Row],[Validated_Annual_Final_Price]]*DealsRawTable[[#This Row],[Contract_Years]]</f>
        <v>72612.63</v>
      </c>
      <c r="AO473">
        <f>DealsRawTable[[#This Row],[Validated_Annual_Final_Price]]-DealsRawTable[[#This Row],[Cost_to_Serve]]</f>
        <v>16388.62583680707</v>
      </c>
      <c r="AP473" s="17">
        <f>DealsRawTable[[#This Row],[Validated_Grossprofit]]/DealsRawTable[[#This Row],[Validated_Annual_Final_Price]]</f>
        <v>0.67709815097485404</v>
      </c>
      <c r="AQ473" s="17">
        <v>0</v>
      </c>
      <c r="AR473" s="17">
        <v>0</v>
      </c>
      <c r="AS473" s="17">
        <v>0</v>
      </c>
      <c r="AT473" s="17">
        <v>0</v>
      </c>
      <c r="AU473" s="17" t="str">
        <f t="shared" si="15"/>
        <v>5–10%</v>
      </c>
      <c r="AV473" s="17">
        <v>116</v>
      </c>
      <c r="AW473" s="17"/>
    </row>
    <row r="474" spans="1:49">
      <c r="A474" t="s">
        <v>1379</v>
      </c>
      <c r="B474" s="5">
        <v>45651</v>
      </c>
      <c r="C474" t="s">
        <v>320</v>
      </c>
      <c r="D474" t="s">
        <v>321</v>
      </c>
      <c r="E474" t="s">
        <v>740</v>
      </c>
      <c r="F474" t="s">
        <v>34</v>
      </c>
      <c r="G474" t="s">
        <v>34</v>
      </c>
      <c r="H474" t="s">
        <v>70</v>
      </c>
      <c r="I474" t="s">
        <v>71</v>
      </c>
      <c r="J474" t="s">
        <v>37</v>
      </c>
      <c r="K474" t="s">
        <v>38</v>
      </c>
      <c r="L474" s="5">
        <v>45047</v>
      </c>
      <c r="M474">
        <v>56</v>
      </c>
      <c r="N474" t="s">
        <v>433</v>
      </c>
      <c r="O474" t="s">
        <v>891</v>
      </c>
      <c r="Q474">
        <v>1</v>
      </c>
      <c r="R474">
        <v>52</v>
      </c>
      <c r="S474" t="s">
        <v>892</v>
      </c>
      <c r="T474" s="6">
        <v>184039.35392976421</v>
      </c>
      <c r="U474" s="7">
        <f>T474*DealsRawTable[[#This Row],[Contract_Years]]</f>
        <v>184039.35392976421</v>
      </c>
      <c r="V474" s="8">
        <v>0.06</v>
      </c>
      <c r="W474" s="8">
        <v>2.3E-2</v>
      </c>
      <c r="X474" s="8">
        <v>0.10199999999999999</v>
      </c>
      <c r="Y474" t="s">
        <v>909</v>
      </c>
      <c r="Z474" t="s">
        <v>879</v>
      </c>
      <c r="AA474" s="6">
        <v>179758.14876072164</v>
      </c>
      <c r="AB474" s="7">
        <f>DealsRawTable[[#This Row],[Final_Price_ACV]]*DealsRawTable[[#This Row],[Contract_Years]]</f>
        <v>179758.14876072164</v>
      </c>
      <c r="AC474" s="6">
        <v>65924.300017342684</v>
      </c>
      <c r="AD474" s="6">
        <v>113833.84874337896</v>
      </c>
      <c r="AE474" s="8">
        <v>0.6332611318494642</v>
      </c>
      <c r="AF474" t="s">
        <v>880</v>
      </c>
      <c r="AI474" t="s">
        <v>38</v>
      </c>
      <c r="AJ474" s="6">
        <v>179758.14876072164</v>
      </c>
      <c r="AK474" s="6">
        <v>113833.84874337896</v>
      </c>
      <c r="AL474" t="s">
        <v>894</v>
      </c>
      <c r="AM474">
        <f t="shared" si="14"/>
        <v>179806.45</v>
      </c>
      <c r="AN474">
        <f>DealsRawTable[[#This Row],[Validated_Annual_Final_Price]]*DealsRawTable[[#This Row],[Contract_Years]]</f>
        <v>179806.45</v>
      </c>
      <c r="AO474">
        <f>DealsRawTable[[#This Row],[Validated_Annual_Final_Price]]-DealsRawTable[[#This Row],[Cost_to_Serve]]</f>
        <v>113882.14998265733</v>
      </c>
      <c r="AP474" s="17">
        <f>DealsRawTable[[#This Row],[Validated_Grossprofit]]/DealsRawTable[[#This Row],[Validated_Annual_Final_Price]]</f>
        <v>0.63335964857021154</v>
      </c>
      <c r="AQ474" s="17">
        <v>179806.45</v>
      </c>
      <c r="AR474" s="17">
        <v>179806.45</v>
      </c>
      <c r="AS474" s="17">
        <v>113882.14998265733</v>
      </c>
      <c r="AT474" s="17">
        <v>0.63335964857021154</v>
      </c>
      <c r="AU474" s="17" t="str">
        <f t="shared" si="15"/>
        <v>0–5%</v>
      </c>
      <c r="AV474" s="17">
        <v>55</v>
      </c>
      <c r="AW474" s="17"/>
    </row>
    <row r="475" spans="1:49">
      <c r="A475" t="s">
        <v>1380</v>
      </c>
      <c r="B475" s="5">
        <v>46016</v>
      </c>
      <c r="C475" t="s">
        <v>320</v>
      </c>
      <c r="D475" t="s">
        <v>321</v>
      </c>
      <c r="E475" t="s">
        <v>740</v>
      </c>
      <c r="F475" t="s">
        <v>34</v>
      </c>
      <c r="G475" t="s">
        <v>34</v>
      </c>
      <c r="H475" t="s">
        <v>70</v>
      </c>
      <c r="I475" t="s">
        <v>71</v>
      </c>
      <c r="J475" t="s">
        <v>37</v>
      </c>
      <c r="K475" t="s">
        <v>38</v>
      </c>
      <c r="L475" s="5">
        <v>45047</v>
      </c>
      <c r="M475">
        <v>56</v>
      </c>
      <c r="N475" t="s">
        <v>433</v>
      </c>
      <c r="O475" t="s">
        <v>876</v>
      </c>
      <c r="Q475">
        <v>1</v>
      </c>
      <c r="R475">
        <v>52</v>
      </c>
      <c r="S475" t="s">
        <v>892</v>
      </c>
      <c r="T475" s="6">
        <v>195415.46647068919</v>
      </c>
      <c r="U475" s="7">
        <f>T475*DealsRawTable[[#This Row],[Contract_Years]]</f>
        <v>195415.46647068919</v>
      </c>
      <c r="V475" s="8">
        <v>0.223</v>
      </c>
      <c r="W475" s="8">
        <v>0.184</v>
      </c>
      <c r="X475" s="8">
        <v>-4.3999999999999997E-2</v>
      </c>
      <c r="Y475" t="s">
        <v>878</v>
      </c>
      <c r="Z475" t="s">
        <v>889</v>
      </c>
      <c r="AA475" s="6">
        <v>159450.71241618073</v>
      </c>
      <c r="AB475" s="7">
        <f>DealsRawTable[[#This Row],[Final_Price_ACV]]*DealsRawTable[[#This Row],[Contract_Years]]</f>
        <v>159450.71241618073</v>
      </c>
      <c r="AC475" s="6">
        <v>69668.967147257223</v>
      </c>
      <c r="AD475" s="6">
        <v>89781.745268923507</v>
      </c>
      <c r="AE475" s="8">
        <v>0.56306895032607351</v>
      </c>
      <c r="AF475" t="s">
        <v>880</v>
      </c>
      <c r="AG475" t="s">
        <v>44</v>
      </c>
      <c r="AI475" t="s">
        <v>38</v>
      </c>
      <c r="AJ475" s="6">
        <v>159450.71241618073</v>
      </c>
      <c r="AK475" s="6">
        <v>89781.745268923507</v>
      </c>
      <c r="AL475" t="s">
        <v>881</v>
      </c>
      <c r="AM475">
        <f t="shared" si="14"/>
        <v>159459.01999999999</v>
      </c>
      <c r="AN475">
        <f>DealsRawTable[[#This Row],[Validated_Annual_Final_Price]]*DealsRawTable[[#This Row],[Contract_Years]]</f>
        <v>159459.01999999999</v>
      </c>
      <c r="AO475">
        <f>DealsRawTable[[#This Row],[Validated_Annual_Final_Price]]-DealsRawTable[[#This Row],[Cost_to_Serve]]</f>
        <v>89790.052852742767</v>
      </c>
      <c r="AP475" s="17">
        <f>DealsRawTable[[#This Row],[Validated_Grossprofit]]/DealsRawTable[[#This Row],[Validated_Annual_Final_Price]]</f>
        <v>0.56309171380046597</v>
      </c>
      <c r="AQ475" s="17">
        <v>159459.01999999999</v>
      </c>
      <c r="AR475" s="17">
        <v>159459.01999999999</v>
      </c>
      <c r="AS475" s="17">
        <v>89790.052852742767</v>
      </c>
      <c r="AT475" s="17">
        <v>0.56309171380046597</v>
      </c>
      <c r="AU475" s="17" t="str">
        <f t="shared" si="15"/>
        <v>15–20%</v>
      </c>
      <c r="AV475" s="17">
        <v>108</v>
      </c>
      <c r="AW475" s="17"/>
    </row>
    <row r="476" spans="1:49">
      <c r="A476" t="s">
        <v>1381</v>
      </c>
      <c r="B476" s="5">
        <v>45566</v>
      </c>
      <c r="C476" t="s">
        <v>322</v>
      </c>
      <c r="D476" t="s">
        <v>323</v>
      </c>
      <c r="E476" t="s">
        <v>741</v>
      </c>
      <c r="F476" t="s">
        <v>449</v>
      </c>
      <c r="G476" t="s">
        <v>69</v>
      </c>
      <c r="H476" t="s">
        <v>48</v>
      </c>
      <c r="I476" t="s">
        <v>115</v>
      </c>
      <c r="J476" t="s">
        <v>43</v>
      </c>
      <c r="K476" t="s">
        <v>38</v>
      </c>
      <c r="L476" s="5">
        <v>44409</v>
      </c>
      <c r="M476">
        <v>65</v>
      </c>
      <c r="N476" t="s">
        <v>433</v>
      </c>
      <c r="O476" t="s">
        <v>876</v>
      </c>
      <c r="Q476">
        <v>2</v>
      </c>
      <c r="R476">
        <v>285</v>
      </c>
      <c r="S476" t="s">
        <v>896</v>
      </c>
      <c r="T476" s="6">
        <v>1254507.7530253176</v>
      </c>
      <c r="U476" s="7">
        <f>T476*DealsRawTable[[#This Row],[Contract_Years]]</f>
        <v>2509015.5060506351</v>
      </c>
      <c r="V476" s="8">
        <v>9.6000000000000002E-2</v>
      </c>
      <c r="W476" s="8">
        <v>8.7999999999999995E-2</v>
      </c>
      <c r="X476" s="8">
        <v>-1.2E-2</v>
      </c>
      <c r="Y476" t="s">
        <v>897</v>
      </c>
      <c r="Z476" t="s">
        <v>879</v>
      </c>
      <c r="AA476" s="6">
        <v>1144646.9291558086</v>
      </c>
      <c r="AB476" s="7">
        <f>DealsRawTable[[#This Row],[Final_Price_ACV]]*DealsRawTable[[#This Row],[Contract_Years]]</f>
        <v>2289293.8583116173</v>
      </c>
      <c r="AC476" s="6">
        <v>485946.48087877798</v>
      </c>
      <c r="AD476" s="6">
        <v>658700.44827703061</v>
      </c>
      <c r="AE476" s="8">
        <v>0.5754616829862379</v>
      </c>
      <c r="AF476" t="s">
        <v>880</v>
      </c>
      <c r="AG476" t="s">
        <v>44</v>
      </c>
      <c r="AI476" t="s">
        <v>38</v>
      </c>
      <c r="AJ476" s="6">
        <v>1144646.9291558086</v>
      </c>
      <c r="AK476" s="6">
        <v>658700.44827703061</v>
      </c>
      <c r="AL476" t="s">
        <v>881</v>
      </c>
      <c r="AM476">
        <f t="shared" si="14"/>
        <v>1144111.07</v>
      </c>
      <c r="AN476">
        <f>DealsRawTable[[#This Row],[Validated_Annual_Final_Price]]*DealsRawTable[[#This Row],[Contract_Years]]</f>
        <v>2288222.14</v>
      </c>
      <c r="AO476">
        <f>DealsRawTable[[#This Row],[Validated_Annual_Final_Price]]-DealsRawTable[[#This Row],[Cost_to_Serve]]</f>
        <v>658164.58912122203</v>
      </c>
      <c r="AP476" s="17">
        <f>DealsRawTable[[#This Row],[Validated_Grossprofit]]/DealsRawTable[[#This Row],[Validated_Annual_Final_Price]]</f>
        <v>0.57526284499740221</v>
      </c>
      <c r="AQ476" s="17">
        <v>1144111.07</v>
      </c>
      <c r="AR476" s="17">
        <v>2288222.14</v>
      </c>
      <c r="AS476" s="17">
        <v>658164.58912122203</v>
      </c>
      <c r="AT476" s="17">
        <v>0.57526284499740221</v>
      </c>
      <c r="AU476" s="17" t="str">
        <f t="shared" si="15"/>
        <v>5–10%</v>
      </c>
      <c r="AV476" s="17">
        <v>116</v>
      </c>
      <c r="AW476" s="17"/>
    </row>
    <row r="477" spans="1:49">
      <c r="A477" t="s">
        <v>1382</v>
      </c>
      <c r="B477" s="5">
        <v>45382</v>
      </c>
      <c r="C477" t="s">
        <v>322</v>
      </c>
      <c r="D477" t="s">
        <v>323</v>
      </c>
      <c r="E477" t="s">
        <v>742</v>
      </c>
      <c r="F477" t="s">
        <v>475</v>
      </c>
      <c r="G477" t="s">
        <v>69</v>
      </c>
      <c r="H477" t="s">
        <v>48</v>
      </c>
      <c r="I477" t="s">
        <v>115</v>
      </c>
      <c r="J477" t="s">
        <v>43</v>
      </c>
      <c r="K477" t="s">
        <v>38</v>
      </c>
      <c r="L477" s="5">
        <v>44409</v>
      </c>
      <c r="M477">
        <v>65</v>
      </c>
      <c r="N477" t="s">
        <v>433</v>
      </c>
      <c r="O477" t="s">
        <v>883</v>
      </c>
      <c r="P477" t="s">
        <v>899</v>
      </c>
      <c r="Q477">
        <v>1</v>
      </c>
      <c r="R477">
        <v>704</v>
      </c>
      <c r="S477" t="s">
        <v>888</v>
      </c>
      <c r="T477" s="6">
        <v>1096329.3627414519</v>
      </c>
      <c r="U477" s="7">
        <f>T477*DealsRawTable[[#This Row],[Contract_Years]]</f>
        <v>1096329.3627414519</v>
      </c>
      <c r="V477" s="8">
        <v>8.2000000000000003E-2</v>
      </c>
      <c r="W477" s="8">
        <v>8.1000000000000003E-2</v>
      </c>
      <c r="X477" s="8">
        <v>1.4999999999999999E-2</v>
      </c>
      <c r="Y477" t="s">
        <v>885</v>
      </c>
      <c r="Z477" t="s">
        <v>879</v>
      </c>
      <c r="AA477" s="6">
        <v>1007661.4757568967</v>
      </c>
      <c r="AB477" s="7">
        <f>DealsRawTable[[#This Row],[Final_Price_ACV]]*DealsRawTable[[#This Row],[Contract_Years]]</f>
        <v>1007661.4757568967</v>
      </c>
      <c r="AC477" s="6">
        <v>409270.36692232679</v>
      </c>
      <c r="AD477" s="6">
        <v>598391.10883456981</v>
      </c>
      <c r="AE477" s="8">
        <v>0.59384140728918233</v>
      </c>
      <c r="AF477" t="s">
        <v>880</v>
      </c>
      <c r="AH477" t="s">
        <v>44</v>
      </c>
      <c r="AI477" t="s">
        <v>38</v>
      </c>
      <c r="AJ477" s="6">
        <v>1007661.4757568967</v>
      </c>
      <c r="AK477" s="6">
        <v>598391.10883456981</v>
      </c>
      <c r="AL477" t="s">
        <v>886</v>
      </c>
      <c r="AM477">
        <f t="shared" si="14"/>
        <v>1007526.68</v>
      </c>
      <c r="AN477">
        <f>DealsRawTable[[#This Row],[Validated_Annual_Final_Price]]*DealsRawTable[[#This Row],[Contract_Years]]</f>
        <v>1007526.68</v>
      </c>
      <c r="AO477">
        <f>DealsRawTable[[#This Row],[Validated_Annual_Final_Price]]-DealsRawTable[[#This Row],[Cost_to_Serve]]</f>
        <v>598256.31307767332</v>
      </c>
      <c r="AP477" s="17">
        <f>DealsRawTable[[#This Row],[Validated_Grossprofit]]/DealsRawTable[[#This Row],[Validated_Annual_Final_Price]]</f>
        <v>0.5937870678299787</v>
      </c>
      <c r="AQ477" s="17">
        <v>1007526.68</v>
      </c>
      <c r="AR477" s="17">
        <v>1007526.68</v>
      </c>
      <c r="AS477" s="17">
        <v>598256.31307767332</v>
      </c>
      <c r="AT477" s="17">
        <v>0.5937870678299787</v>
      </c>
      <c r="AU477" s="17" t="str">
        <f t="shared" si="15"/>
        <v>5–10%</v>
      </c>
      <c r="AV477" s="17">
        <v>116</v>
      </c>
      <c r="AW477" s="17"/>
    </row>
    <row r="478" spans="1:49">
      <c r="A478" t="s">
        <v>1383</v>
      </c>
      <c r="B478" s="5">
        <v>45566</v>
      </c>
      <c r="C478" t="s">
        <v>322</v>
      </c>
      <c r="D478" t="s">
        <v>323</v>
      </c>
      <c r="E478" t="s">
        <v>742</v>
      </c>
      <c r="F478" t="s">
        <v>475</v>
      </c>
      <c r="G478" t="s">
        <v>69</v>
      </c>
      <c r="H478" t="s">
        <v>48</v>
      </c>
      <c r="I478" t="s">
        <v>115</v>
      </c>
      <c r="J478" t="s">
        <v>43</v>
      </c>
      <c r="K478" t="s">
        <v>38</v>
      </c>
      <c r="L478" s="5">
        <v>44409</v>
      </c>
      <c r="M478">
        <v>65</v>
      </c>
      <c r="N478" t="s">
        <v>433</v>
      </c>
      <c r="O478" t="s">
        <v>876</v>
      </c>
      <c r="Q478">
        <v>1</v>
      </c>
      <c r="R478">
        <v>704</v>
      </c>
      <c r="S478" t="s">
        <v>907</v>
      </c>
      <c r="T478" s="6">
        <v>1176390.51444631</v>
      </c>
      <c r="U478" s="7">
        <f>T478*DealsRawTable[[#This Row],[Contract_Years]]</f>
        <v>1176390.51444631</v>
      </c>
      <c r="V478" s="8">
        <v>0.16900000000000001</v>
      </c>
      <c r="W478" s="8">
        <v>0.151</v>
      </c>
      <c r="X478" s="8">
        <v>4.3999999999999997E-2</v>
      </c>
      <c r="Y478" t="s">
        <v>930</v>
      </c>
      <c r="Z478" t="s">
        <v>889</v>
      </c>
      <c r="AA478" s="6">
        <v>998406.04381305864</v>
      </c>
      <c r="AB478" s="7">
        <f>DealsRawTable[[#This Row],[Final_Price_ACV]]*DealsRawTable[[#This Row],[Contract_Years]]</f>
        <v>998406.04381305864</v>
      </c>
      <c r="AC478" s="6">
        <v>387720.66744935571</v>
      </c>
      <c r="AD478" s="6">
        <v>610685.37636370293</v>
      </c>
      <c r="AE478" s="8">
        <v>0.61166033614080118</v>
      </c>
      <c r="AF478" t="s">
        <v>880</v>
      </c>
      <c r="AG478" t="s">
        <v>44</v>
      </c>
      <c r="AI478" t="s">
        <v>38</v>
      </c>
      <c r="AJ478" s="6">
        <v>998406.04381305864</v>
      </c>
      <c r="AK478" s="6">
        <v>610685.37636370293</v>
      </c>
      <c r="AL478" t="s">
        <v>881</v>
      </c>
      <c r="AM478">
        <f t="shared" si="14"/>
        <v>998755.55</v>
      </c>
      <c r="AN478">
        <f>DealsRawTable[[#This Row],[Validated_Annual_Final_Price]]*DealsRawTable[[#This Row],[Contract_Years]]</f>
        <v>998755.55</v>
      </c>
      <c r="AO478">
        <f>DealsRawTable[[#This Row],[Validated_Annual_Final_Price]]-DealsRawTable[[#This Row],[Cost_to_Serve]]</f>
        <v>611034.88255064434</v>
      </c>
      <c r="AP478" s="17">
        <f>DealsRawTable[[#This Row],[Validated_Grossprofit]]/DealsRawTable[[#This Row],[Validated_Annual_Final_Price]]</f>
        <v>0.61179623237201963</v>
      </c>
      <c r="AQ478" s="17">
        <v>998755.55</v>
      </c>
      <c r="AR478" s="17">
        <v>998755.55</v>
      </c>
      <c r="AS478" s="17">
        <v>611034.88255064434</v>
      </c>
      <c r="AT478" s="17">
        <v>0.61179623237201963</v>
      </c>
      <c r="AU478" s="17" t="str">
        <f t="shared" si="15"/>
        <v>15–20%</v>
      </c>
      <c r="AV478" s="17">
        <v>108</v>
      </c>
      <c r="AW478" s="17"/>
    </row>
    <row r="479" spans="1:49">
      <c r="A479" t="s">
        <v>1384</v>
      </c>
      <c r="B479" s="5">
        <v>45931</v>
      </c>
      <c r="C479" t="s">
        <v>322</v>
      </c>
      <c r="D479" t="s">
        <v>323</v>
      </c>
      <c r="E479" t="s">
        <v>742</v>
      </c>
      <c r="F479" t="s">
        <v>475</v>
      </c>
      <c r="G479" t="s">
        <v>69</v>
      </c>
      <c r="H479" t="s">
        <v>48</v>
      </c>
      <c r="I479" t="s">
        <v>115</v>
      </c>
      <c r="J479" t="s">
        <v>43</v>
      </c>
      <c r="K479" t="s">
        <v>38</v>
      </c>
      <c r="L479" s="5">
        <v>44409</v>
      </c>
      <c r="M479">
        <v>65</v>
      </c>
      <c r="N479" t="s">
        <v>433</v>
      </c>
      <c r="O479" t="s">
        <v>876</v>
      </c>
      <c r="Q479">
        <v>1</v>
      </c>
      <c r="R479">
        <v>704</v>
      </c>
      <c r="S479" t="s">
        <v>947</v>
      </c>
      <c r="T479" s="6">
        <v>1214672.7601942124</v>
      </c>
      <c r="U479" s="7">
        <f>T479*DealsRawTable[[#This Row],[Contract_Years]]</f>
        <v>1214672.7601942124</v>
      </c>
      <c r="V479" s="8">
        <v>0.14000000000000001</v>
      </c>
      <c r="W479" s="8">
        <v>0.121</v>
      </c>
      <c r="X479" s="8">
        <v>-1.4E-2</v>
      </c>
      <c r="Y479" t="s">
        <v>885</v>
      </c>
      <c r="Z479" t="s">
        <v>889</v>
      </c>
      <c r="AA479" s="6">
        <v>1067633.6770695476</v>
      </c>
      <c r="AB479" s="7">
        <f>DealsRawTable[[#This Row],[Final_Price_ACV]]*DealsRawTable[[#This Row],[Contract_Years]]</f>
        <v>1067633.6770695476</v>
      </c>
      <c r="AC479" s="6">
        <v>443354.83267431782</v>
      </c>
      <c r="AD479" s="6">
        <v>624278.84439522983</v>
      </c>
      <c r="AE479" s="8">
        <v>0.58473131543466961</v>
      </c>
      <c r="AF479" t="s">
        <v>880</v>
      </c>
      <c r="AG479" t="s">
        <v>44</v>
      </c>
      <c r="AI479" t="s">
        <v>38</v>
      </c>
      <c r="AJ479" s="6">
        <v>1067633.6770695476</v>
      </c>
      <c r="AK479" s="6">
        <v>624278.84439522983</v>
      </c>
      <c r="AL479" t="s">
        <v>881</v>
      </c>
      <c r="AM479">
        <f t="shared" si="14"/>
        <v>1067697.3600000001</v>
      </c>
      <c r="AN479">
        <f>DealsRawTable[[#This Row],[Validated_Annual_Final_Price]]*DealsRawTable[[#This Row],[Contract_Years]]</f>
        <v>1067697.3600000001</v>
      </c>
      <c r="AO479">
        <f>DealsRawTable[[#This Row],[Validated_Annual_Final_Price]]-DealsRawTable[[#This Row],[Cost_to_Serve]]</f>
        <v>624342.52732568234</v>
      </c>
      <c r="AP479" s="17">
        <f>DealsRawTable[[#This Row],[Validated_Grossprofit]]/DealsRawTable[[#This Row],[Validated_Annual_Final_Price]]</f>
        <v>0.58475608418258362</v>
      </c>
      <c r="AQ479" s="17">
        <v>1067697.3600000001</v>
      </c>
      <c r="AR479" s="17">
        <v>1067697.3600000001</v>
      </c>
      <c r="AS479" s="17">
        <v>624342.52732568234</v>
      </c>
      <c r="AT479" s="17">
        <v>0.58475608418258362</v>
      </c>
      <c r="AU479" s="17" t="str">
        <f t="shared" si="15"/>
        <v>10–15%</v>
      </c>
      <c r="AV479" s="17">
        <v>113</v>
      </c>
      <c r="AW479" s="17"/>
    </row>
    <row r="480" spans="1:49">
      <c r="A480" t="s">
        <v>1385</v>
      </c>
      <c r="B480" s="5">
        <v>45681</v>
      </c>
      <c r="C480" t="s">
        <v>324</v>
      </c>
      <c r="D480" t="s">
        <v>325</v>
      </c>
      <c r="E480" t="s">
        <v>743</v>
      </c>
      <c r="F480" t="s">
        <v>466</v>
      </c>
      <c r="G480" t="s">
        <v>60</v>
      </c>
      <c r="H480" t="s">
        <v>70</v>
      </c>
      <c r="I480" t="s">
        <v>76</v>
      </c>
      <c r="J480" t="s">
        <v>43</v>
      </c>
      <c r="K480" t="s">
        <v>38</v>
      </c>
      <c r="L480" s="5">
        <v>45536</v>
      </c>
      <c r="M480">
        <v>64</v>
      </c>
      <c r="N480" t="s">
        <v>427</v>
      </c>
      <c r="O480" t="s">
        <v>891</v>
      </c>
      <c r="Q480">
        <v>1</v>
      </c>
      <c r="R480">
        <v>1100</v>
      </c>
      <c r="S480" t="s">
        <v>896</v>
      </c>
      <c r="T480" s="6">
        <v>281968.4795919357</v>
      </c>
      <c r="U480" s="7">
        <f>T480*DealsRawTable[[#This Row],[Contract_Years]]</f>
        <v>281968.4795919357</v>
      </c>
      <c r="V480" s="8">
        <v>0.127</v>
      </c>
      <c r="W480" s="8">
        <v>0.105</v>
      </c>
      <c r="X480" s="8">
        <v>2E-3</v>
      </c>
      <c r="Y480" t="s">
        <v>905</v>
      </c>
      <c r="Z480" t="s">
        <v>889</v>
      </c>
      <c r="AA480" s="6">
        <v>252444.36538638038</v>
      </c>
      <c r="AB480" s="7">
        <f>DealsRawTable[[#This Row],[Final_Price_ACV]]*DealsRawTable[[#This Row],[Contract_Years]]</f>
        <v>252444.36538638038</v>
      </c>
      <c r="AC480" s="6">
        <v>94019.402380266038</v>
      </c>
      <c r="AD480" s="6">
        <v>158424.96300611435</v>
      </c>
      <c r="AE480" s="8">
        <v>0.62756387041412465</v>
      </c>
      <c r="AF480" t="s">
        <v>457</v>
      </c>
      <c r="AI480" t="s">
        <v>38</v>
      </c>
      <c r="AJ480" s="6">
        <v>0</v>
      </c>
      <c r="AK480" s="6">
        <v>0</v>
      </c>
      <c r="AL480" t="s">
        <v>894</v>
      </c>
      <c r="AM480">
        <f t="shared" si="14"/>
        <v>252361.79</v>
      </c>
      <c r="AN480">
        <f>DealsRawTable[[#This Row],[Validated_Annual_Final_Price]]*DealsRawTable[[#This Row],[Contract_Years]]</f>
        <v>252361.79</v>
      </c>
      <c r="AO480">
        <f>DealsRawTable[[#This Row],[Validated_Annual_Final_Price]]-DealsRawTable[[#This Row],[Cost_to_Serve]]</f>
        <v>158342.38761973399</v>
      </c>
      <c r="AP480" s="17">
        <f>DealsRawTable[[#This Row],[Validated_Grossprofit]]/DealsRawTable[[#This Row],[Validated_Annual_Final_Price]]</f>
        <v>0.62744200546260975</v>
      </c>
      <c r="AQ480" s="17">
        <v>0</v>
      </c>
      <c r="AR480" s="17">
        <v>0</v>
      </c>
      <c r="AS480" s="17">
        <v>0</v>
      </c>
      <c r="AT480" s="17">
        <v>0</v>
      </c>
      <c r="AU480" s="17" t="str">
        <f t="shared" si="15"/>
        <v>10–15%</v>
      </c>
      <c r="AV480" s="17">
        <v>113</v>
      </c>
      <c r="AW480" s="17"/>
    </row>
    <row r="481" spans="1:49">
      <c r="A481" t="s">
        <v>1386</v>
      </c>
      <c r="B481" s="5">
        <v>45329</v>
      </c>
      <c r="C481" t="s">
        <v>324</v>
      </c>
      <c r="D481" t="s">
        <v>325</v>
      </c>
      <c r="E481" t="s">
        <v>744</v>
      </c>
      <c r="F481" t="s">
        <v>475</v>
      </c>
      <c r="G481" t="s">
        <v>60</v>
      </c>
      <c r="H481" t="s">
        <v>70</v>
      </c>
      <c r="I481" t="s">
        <v>76</v>
      </c>
      <c r="J481" t="s">
        <v>43</v>
      </c>
      <c r="K481" t="s">
        <v>38</v>
      </c>
      <c r="L481" s="5">
        <v>45536</v>
      </c>
      <c r="M481">
        <v>64</v>
      </c>
      <c r="N481" t="s">
        <v>433</v>
      </c>
      <c r="O481" t="s">
        <v>891</v>
      </c>
      <c r="Q481">
        <v>2</v>
      </c>
      <c r="R481">
        <v>795</v>
      </c>
      <c r="S481" t="s">
        <v>907</v>
      </c>
      <c r="T481" s="6">
        <v>636126.04431605816</v>
      </c>
      <c r="U481" s="7">
        <f>T481*DealsRawTable[[#This Row],[Contract_Years]]</f>
        <v>1272252.0886321163</v>
      </c>
      <c r="V481" s="8">
        <v>0.14599999999999999</v>
      </c>
      <c r="W481" s="8">
        <v>9.7000000000000003E-2</v>
      </c>
      <c r="X481" s="8">
        <v>-5.7000000000000002E-2</v>
      </c>
      <c r="Y481" t="s">
        <v>909</v>
      </c>
      <c r="Z481" t="s">
        <v>879</v>
      </c>
      <c r="AA481" s="6">
        <v>574380.69036755792</v>
      </c>
      <c r="AB481" s="7">
        <f>DealsRawTable[[#This Row],[Final_Price_ACV]]*DealsRawTable[[#This Row],[Contract_Years]]</f>
        <v>1148761.3807351158</v>
      </c>
      <c r="AC481" s="6">
        <v>244584.49518907239</v>
      </c>
      <c r="AD481" s="6">
        <v>329796.19517848553</v>
      </c>
      <c r="AE481" s="8">
        <v>0.57417702354764433</v>
      </c>
      <c r="AF481" t="s">
        <v>880</v>
      </c>
      <c r="AI481" t="s">
        <v>38</v>
      </c>
      <c r="AJ481" s="6">
        <v>574380.69036755792</v>
      </c>
      <c r="AK481" s="6">
        <v>329796.19517848553</v>
      </c>
      <c r="AL481" t="s">
        <v>894</v>
      </c>
      <c r="AM481">
        <f t="shared" si="14"/>
        <v>574421.81999999995</v>
      </c>
      <c r="AN481">
        <f>DealsRawTable[[#This Row],[Validated_Annual_Final_Price]]*DealsRawTable[[#This Row],[Contract_Years]]</f>
        <v>1148843.6399999999</v>
      </c>
      <c r="AO481">
        <f>DealsRawTable[[#This Row],[Validated_Annual_Final_Price]]-DealsRawTable[[#This Row],[Cost_to_Serve]]</f>
        <v>329837.32481092756</v>
      </c>
      <c r="AP481" s="17">
        <f>DealsRawTable[[#This Row],[Validated_Grossprofit]]/DealsRawTable[[#This Row],[Validated_Annual_Final_Price]]</f>
        <v>0.57420751323640107</v>
      </c>
      <c r="AQ481" s="17">
        <v>574421.81999999995</v>
      </c>
      <c r="AR481" s="17">
        <v>1148843.6399999999</v>
      </c>
      <c r="AS481" s="17">
        <v>329837.32481092756</v>
      </c>
      <c r="AT481" s="17">
        <v>0.57420751323640107</v>
      </c>
      <c r="AU481" s="17" t="str">
        <f t="shared" si="15"/>
        <v>5–10%</v>
      </c>
      <c r="AV481" s="17">
        <v>116</v>
      </c>
      <c r="AW481" s="17"/>
    </row>
    <row r="482" spans="1:49">
      <c r="A482" t="s">
        <v>1387</v>
      </c>
      <c r="B482" s="5">
        <v>45617</v>
      </c>
      <c r="C482" t="s">
        <v>326</v>
      </c>
      <c r="D482" t="s">
        <v>327</v>
      </c>
      <c r="E482" t="s">
        <v>745</v>
      </c>
      <c r="F482" t="s">
        <v>445</v>
      </c>
      <c r="G482" t="s">
        <v>60</v>
      </c>
      <c r="H482" t="s">
        <v>35</v>
      </c>
      <c r="I482" t="s">
        <v>42</v>
      </c>
      <c r="J482" t="s">
        <v>43</v>
      </c>
      <c r="K482" t="s">
        <v>38</v>
      </c>
      <c r="L482" s="5">
        <v>45413</v>
      </c>
      <c r="M482">
        <v>76</v>
      </c>
      <c r="N482" t="s">
        <v>431</v>
      </c>
      <c r="O482" t="s">
        <v>891</v>
      </c>
      <c r="Q482">
        <v>3</v>
      </c>
      <c r="R482">
        <v>1174</v>
      </c>
      <c r="S482" t="s">
        <v>932</v>
      </c>
      <c r="T482" s="6">
        <v>140674.63284162933</v>
      </c>
      <c r="U482" s="7">
        <f>T482*DealsRawTable[[#This Row],[Contract_Years]]</f>
        <v>422023.89852488798</v>
      </c>
      <c r="V482" s="8">
        <v>0.17499999999999999</v>
      </c>
      <c r="W482" s="8">
        <v>0.17299999999999999</v>
      </c>
      <c r="X482" s="8">
        <v>-3.2000000000000001E-2</v>
      </c>
      <c r="Y482" t="s">
        <v>930</v>
      </c>
      <c r="Z482" t="s">
        <v>889</v>
      </c>
      <c r="AA482" s="6">
        <v>116353.61769364172</v>
      </c>
      <c r="AB482" s="7">
        <f>DealsRawTable[[#This Row],[Final_Price_ACV]]*DealsRawTable[[#This Row],[Contract_Years]]</f>
        <v>349060.85308092518</v>
      </c>
      <c r="AC482" s="6">
        <v>64326.931031493215</v>
      </c>
      <c r="AD482" s="6">
        <v>52026.686662148502</v>
      </c>
      <c r="AE482" s="8">
        <v>0.44714283658230908</v>
      </c>
      <c r="AF482" t="s">
        <v>457</v>
      </c>
      <c r="AI482" t="s">
        <v>38</v>
      </c>
      <c r="AJ482" s="6">
        <v>0</v>
      </c>
      <c r="AK482" s="6">
        <v>0</v>
      </c>
      <c r="AL482" t="s">
        <v>894</v>
      </c>
      <c r="AM482">
        <f t="shared" si="14"/>
        <v>116337.92</v>
      </c>
      <c r="AN482">
        <f>DealsRawTable[[#This Row],[Validated_Annual_Final_Price]]*DealsRawTable[[#This Row],[Contract_Years]]</f>
        <v>349013.76000000001</v>
      </c>
      <c r="AO482">
        <f>DealsRawTable[[#This Row],[Validated_Annual_Final_Price]]-DealsRawTable[[#This Row],[Cost_to_Serve]]</f>
        <v>52010.988968506783</v>
      </c>
      <c r="AP482" s="17">
        <f>DealsRawTable[[#This Row],[Validated_Grossprofit]]/DealsRawTable[[#This Row],[Validated_Annual_Final_Price]]</f>
        <v>0.44706823852882005</v>
      </c>
      <c r="AQ482" s="17">
        <v>0</v>
      </c>
      <c r="AR482" s="17">
        <v>0</v>
      </c>
      <c r="AS482" s="17">
        <v>0</v>
      </c>
      <c r="AT482" s="17">
        <v>0</v>
      </c>
      <c r="AU482" s="17" t="str">
        <f t="shared" si="15"/>
        <v>15–20%</v>
      </c>
      <c r="AV482" s="17">
        <v>108</v>
      </c>
      <c r="AW482" s="17"/>
    </row>
    <row r="483" spans="1:49">
      <c r="A483" t="s">
        <v>1388</v>
      </c>
      <c r="B483" s="5">
        <v>45331</v>
      </c>
      <c r="C483" t="s">
        <v>326</v>
      </c>
      <c r="D483" t="s">
        <v>327</v>
      </c>
      <c r="E483" t="s">
        <v>746</v>
      </c>
      <c r="F483" t="s">
        <v>34</v>
      </c>
      <c r="G483" t="s">
        <v>60</v>
      </c>
      <c r="H483" t="s">
        <v>35</v>
      </c>
      <c r="I483" t="s">
        <v>42</v>
      </c>
      <c r="J483" t="s">
        <v>43</v>
      </c>
      <c r="K483" t="s">
        <v>38</v>
      </c>
      <c r="L483" s="5">
        <v>45413</v>
      </c>
      <c r="M483">
        <v>76</v>
      </c>
      <c r="N483" t="s">
        <v>433</v>
      </c>
      <c r="O483" t="s">
        <v>891</v>
      </c>
      <c r="Q483">
        <v>1</v>
      </c>
      <c r="R483">
        <v>1934</v>
      </c>
      <c r="S483" t="s">
        <v>877</v>
      </c>
      <c r="T483" s="6">
        <v>822018.87237836118</v>
      </c>
      <c r="U483" s="7">
        <f>T483*DealsRawTable[[#This Row],[Contract_Years]]</f>
        <v>822018.87237836118</v>
      </c>
      <c r="V483" s="8">
        <v>2.9000000000000001E-2</v>
      </c>
      <c r="W483" s="8">
        <v>1.7000000000000001E-2</v>
      </c>
      <c r="X483" s="8">
        <v>5.2999999999999999E-2</v>
      </c>
      <c r="Y483" t="s">
        <v>885</v>
      </c>
      <c r="Z483" t="s">
        <v>879</v>
      </c>
      <c r="AA483" s="6">
        <v>808020.32550504396</v>
      </c>
      <c r="AB483" s="7">
        <f>DealsRawTable[[#This Row],[Final_Price_ACV]]*DealsRawTable[[#This Row],[Contract_Years]]</f>
        <v>808020.32550504396</v>
      </c>
      <c r="AC483" s="6">
        <v>343808.37340969691</v>
      </c>
      <c r="AD483" s="6">
        <v>464211.95209534705</v>
      </c>
      <c r="AE483" s="8">
        <v>0.57450529082321866</v>
      </c>
      <c r="AF483" t="s">
        <v>880</v>
      </c>
      <c r="AI483" t="s">
        <v>38</v>
      </c>
      <c r="AJ483" s="6">
        <v>808020.32550504396</v>
      </c>
      <c r="AK483" s="6">
        <v>464211.95209534705</v>
      </c>
      <c r="AL483" t="s">
        <v>894</v>
      </c>
      <c r="AM483">
        <f t="shared" si="14"/>
        <v>808044.55</v>
      </c>
      <c r="AN483">
        <f>DealsRawTable[[#This Row],[Validated_Annual_Final_Price]]*DealsRawTable[[#This Row],[Contract_Years]]</f>
        <v>808044.55</v>
      </c>
      <c r="AO483">
        <f>DealsRawTable[[#This Row],[Validated_Annual_Final_Price]]-DealsRawTable[[#This Row],[Cost_to_Serve]]</f>
        <v>464236.17659030313</v>
      </c>
      <c r="AP483" s="17">
        <f>DealsRawTable[[#This Row],[Validated_Grossprofit]]/DealsRawTable[[#This Row],[Validated_Annual_Final_Price]]</f>
        <v>0.57451804679618601</v>
      </c>
      <c r="AQ483" s="17">
        <v>808044.55</v>
      </c>
      <c r="AR483" s="17">
        <v>808044.55</v>
      </c>
      <c r="AS483" s="17">
        <v>464236.17659030313</v>
      </c>
      <c r="AT483" s="17">
        <v>0.57451804679618601</v>
      </c>
      <c r="AU483" s="17" t="str">
        <f t="shared" si="15"/>
        <v>0–5%</v>
      </c>
      <c r="AV483" s="17">
        <v>55</v>
      </c>
      <c r="AW483" s="17"/>
    </row>
    <row r="484" spans="1:49">
      <c r="A484" t="s">
        <v>1389</v>
      </c>
      <c r="B484" s="5">
        <v>45696</v>
      </c>
      <c r="C484" t="s">
        <v>326</v>
      </c>
      <c r="D484" t="s">
        <v>327</v>
      </c>
      <c r="E484" t="s">
        <v>746</v>
      </c>
      <c r="F484" t="s">
        <v>34</v>
      </c>
      <c r="G484" t="s">
        <v>60</v>
      </c>
      <c r="H484" t="s">
        <v>35</v>
      </c>
      <c r="I484" t="s">
        <v>42</v>
      </c>
      <c r="J484" t="s">
        <v>43</v>
      </c>
      <c r="K484" t="s">
        <v>38</v>
      </c>
      <c r="L484" s="5">
        <v>45413</v>
      </c>
      <c r="M484">
        <v>76</v>
      </c>
      <c r="N484" t="s">
        <v>433</v>
      </c>
      <c r="O484" t="s">
        <v>876</v>
      </c>
      <c r="Q484">
        <v>1</v>
      </c>
      <c r="R484">
        <v>1934</v>
      </c>
      <c r="S484" t="s">
        <v>947</v>
      </c>
      <c r="T484" s="6">
        <v>842116.5538643488</v>
      </c>
      <c r="U484" s="7">
        <f>T484*DealsRawTable[[#This Row],[Contract_Years]]</f>
        <v>842116.5538643488</v>
      </c>
      <c r="V484" s="8">
        <v>0.159</v>
      </c>
      <c r="W484" s="8">
        <v>0.113</v>
      </c>
      <c r="X484" s="8">
        <v>1.7999999999999999E-2</v>
      </c>
      <c r="Y484" t="s">
        <v>911</v>
      </c>
      <c r="Z484" t="s">
        <v>889</v>
      </c>
      <c r="AA484" s="6">
        <v>747235.14783608611</v>
      </c>
      <c r="AB484" s="7">
        <f>DealsRawTable[[#This Row],[Final_Price_ACV]]*DealsRawTable[[#This Row],[Contract_Years]]</f>
        <v>747235.14783608611</v>
      </c>
      <c r="AC484" s="6">
        <v>310645.83548650582</v>
      </c>
      <c r="AD484" s="6">
        <v>436589.31234958029</v>
      </c>
      <c r="AE484" s="8">
        <v>0.5842729877119629</v>
      </c>
      <c r="AF484" t="s">
        <v>880</v>
      </c>
      <c r="AG484" t="s">
        <v>44</v>
      </c>
      <c r="AI484" t="s">
        <v>38</v>
      </c>
      <c r="AJ484" s="6">
        <v>747235.14783608611</v>
      </c>
      <c r="AK484" s="6">
        <v>436589.31234958029</v>
      </c>
      <c r="AL484" t="s">
        <v>881</v>
      </c>
      <c r="AM484">
        <f t="shared" si="14"/>
        <v>746957.38</v>
      </c>
      <c r="AN484">
        <f>DealsRawTable[[#This Row],[Validated_Annual_Final_Price]]*DealsRawTable[[#This Row],[Contract_Years]]</f>
        <v>746957.38</v>
      </c>
      <c r="AO484">
        <f>DealsRawTable[[#This Row],[Validated_Annual_Final_Price]]-DealsRawTable[[#This Row],[Cost_to_Serve]]</f>
        <v>436311.54451349418</v>
      </c>
      <c r="AP484" s="17">
        <f>DealsRawTable[[#This Row],[Validated_Grossprofit]]/DealsRawTable[[#This Row],[Validated_Annual_Final_Price]]</f>
        <v>0.58411839309157665</v>
      </c>
      <c r="AQ484" s="17">
        <v>746957.38</v>
      </c>
      <c r="AR484" s="17">
        <v>746957.38</v>
      </c>
      <c r="AS484" s="17">
        <v>436311.54451349418</v>
      </c>
      <c r="AT484" s="17">
        <v>0.58411839309157665</v>
      </c>
      <c r="AU484" s="17" t="str">
        <f t="shared" si="15"/>
        <v>10–15%</v>
      </c>
      <c r="AV484" s="17">
        <v>113</v>
      </c>
      <c r="AW484" s="17"/>
    </row>
    <row r="485" spans="1:49">
      <c r="A485" t="s">
        <v>1390</v>
      </c>
      <c r="B485" s="5">
        <v>45756</v>
      </c>
      <c r="C485" t="s">
        <v>326</v>
      </c>
      <c r="D485" t="s">
        <v>327</v>
      </c>
      <c r="E485" t="s">
        <v>747</v>
      </c>
      <c r="F485" t="s">
        <v>449</v>
      </c>
      <c r="G485" t="s">
        <v>60</v>
      </c>
      <c r="H485" t="s">
        <v>35</v>
      </c>
      <c r="I485" t="s">
        <v>42</v>
      </c>
      <c r="J485" t="s">
        <v>43</v>
      </c>
      <c r="K485" t="s">
        <v>38</v>
      </c>
      <c r="L485" s="5">
        <v>45413</v>
      </c>
      <c r="M485">
        <v>76</v>
      </c>
      <c r="N485" t="s">
        <v>427</v>
      </c>
      <c r="O485" t="s">
        <v>891</v>
      </c>
      <c r="Q485">
        <v>3</v>
      </c>
      <c r="R485">
        <v>1128</v>
      </c>
      <c r="S485" t="s">
        <v>888</v>
      </c>
      <c r="T485" s="6">
        <v>399077.05851227837</v>
      </c>
      <c r="U485" s="7">
        <f>T485*DealsRawTable[[#This Row],[Contract_Years]]</f>
        <v>1197231.1755368351</v>
      </c>
      <c r="V485" s="8">
        <v>0.14699999999999999</v>
      </c>
      <c r="W485" s="8">
        <v>0.114</v>
      </c>
      <c r="X485" s="8">
        <v>7.6999999999999999E-2</v>
      </c>
      <c r="Y485" t="s">
        <v>902</v>
      </c>
      <c r="Z485" t="s">
        <v>889</v>
      </c>
      <c r="AA485" s="6">
        <v>353522.49922713323</v>
      </c>
      <c r="AB485" s="7">
        <f>DealsRawTable[[#This Row],[Final_Price_ACV]]*DealsRawTable[[#This Row],[Contract_Years]]</f>
        <v>1060567.4976813998</v>
      </c>
      <c r="AC485" s="6">
        <v>131049.53720726317</v>
      </c>
      <c r="AD485" s="6">
        <v>222472.96201987006</v>
      </c>
      <c r="AE485" s="8">
        <v>0.62930354505367514</v>
      </c>
      <c r="AF485" t="s">
        <v>457</v>
      </c>
      <c r="AI485" t="s">
        <v>38</v>
      </c>
      <c r="AJ485" s="6">
        <v>0</v>
      </c>
      <c r="AK485" s="6">
        <v>0</v>
      </c>
      <c r="AL485" t="s">
        <v>894</v>
      </c>
      <c r="AM485">
        <f t="shared" si="14"/>
        <v>353582.27</v>
      </c>
      <c r="AN485">
        <f>DealsRawTable[[#This Row],[Validated_Annual_Final_Price]]*DealsRawTable[[#This Row],[Contract_Years]]</f>
        <v>1060746.81</v>
      </c>
      <c r="AO485">
        <f>DealsRawTable[[#This Row],[Validated_Annual_Final_Price]]-DealsRawTable[[#This Row],[Cost_to_Serve]]</f>
        <v>222532.73279273685</v>
      </c>
      <c r="AP485" s="17">
        <f>DealsRawTable[[#This Row],[Validated_Grossprofit]]/DealsRawTable[[#This Row],[Validated_Annual_Final_Price]]</f>
        <v>0.62936620886770378</v>
      </c>
      <c r="AQ485" s="17">
        <v>0</v>
      </c>
      <c r="AR485" s="17">
        <v>0</v>
      </c>
      <c r="AS485" s="17">
        <v>0</v>
      </c>
      <c r="AT485" s="17">
        <v>0</v>
      </c>
      <c r="AU485" s="17" t="str">
        <f t="shared" si="15"/>
        <v>10–15%</v>
      </c>
      <c r="AV485" s="17">
        <v>113</v>
      </c>
      <c r="AW485" s="17"/>
    </row>
    <row r="486" spans="1:49">
      <c r="A486" t="s">
        <v>1391</v>
      </c>
      <c r="B486" s="5">
        <v>45321</v>
      </c>
      <c r="C486" t="s">
        <v>328</v>
      </c>
      <c r="D486" t="s">
        <v>329</v>
      </c>
      <c r="E486" t="s">
        <v>748</v>
      </c>
      <c r="F486" t="s">
        <v>445</v>
      </c>
      <c r="G486" t="s">
        <v>60</v>
      </c>
      <c r="H486" t="s">
        <v>54</v>
      </c>
      <c r="I486" t="s">
        <v>55</v>
      </c>
      <c r="J486" t="s">
        <v>37</v>
      </c>
      <c r="K486" t="s">
        <v>38</v>
      </c>
      <c r="L486" s="5">
        <v>44440</v>
      </c>
      <c r="M486">
        <v>70</v>
      </c>
      <c r="N486" t="s">
        <v>431</v>
      </c>
      <c r="O486" t="s">
        <v>891</v>
      </c>
      <c r="Q486">
        <v>1</v>
      </c>
      <c r="R486">
        <v>21</v>
      </c>
      <c r="S486" t="s">
        <v>877</v>
      </c>
      <c r="T486" s="6">
        <v>42004.130981618146</v>
      </c>
      <c r="U486" s="7">
        <f>T486*DealsRawTable[[#This Row],[Contract_Years]]</f>
        <v>42004.130981618146</v>
      </c>
      <c r="V486" s="8">
        <v>0.19700000000000001</v>
      </c>
      <c r="W486" s="8">
        <v>0.17299999999999999</v>
      </c>
      <c r="X486" s="8">
        <v>-8.0000000000000002E-3</v>
      </c>
      <c r="Y486" t="s">
        <v>909</v>
      </c>
      <c r="Z486" t="s">
        <v>889</v>
      </c>
      <c r="AA486" s="6">
        <v>34732.621637482305</v>
      </c>
      <c r="AB486" s="7">
        <f>DealsRawTable[[#This Row],[Final_Price_ACV]]*DealsRawTable[[#This Row],[Contract_Years]]</f>
        <v>34732.621637482305</v>
      </c>
      <c r="AC486" s="6">
        <v>16408.587620290895</v>
      </c>
      <c r="AD486" s="6">
        <v>18324.03401719141</v>
      </c>
      <c r="AE486" s="8">
        <v>0.52757416956446257</v>
      </c>
      <c r="AF486" t="s">
        <v>880</v>
      </c>
      <c r="AI486" t="s">
        <v>38</v>
      </c>
      <c r="AJ486" s="6">
        <v>34732.621637482305</v>
      </c>
      <c r="AK486" s="6">
        <v>18324.03401719141</v>
      </c>
      <c r="AL486" t="s">
        <v>894</v>
      </c>
      <c r="AM486">
        <f t="shared" si="14"/>
        <v>34737.42</v>
      </c>
      <c r="AN486">
        <f>DealsRawTable[[#This Row],[Validated_Annual_Final_Price]]*DealsRawTable[[#This Row],[Contract_Years]]</f>
        <v>34737.42</v>
      </c>
      <c r="AO486">
        <f>DealsRawTable[[#This Row],[Validated_Annual_Final_Price]]-DealsRawTable[[#This Row],[Cost_to_Serve]]</f>
        <v>18328.832379709103</v>
      </c>
      <c r="AP486" s="17">
        <f>DealsRawTable[[#This Row],[Validated_Grossprofit]]/DealsRawTable[[#This Row],[Validated_Annual_Final_Price]]</f>
        <v>0.52763942686903931</v>
      </c>
      <c r="AQ486" s="17">
        <v>34737.42</v>
      </c>
      <c r="AR486" s="17">
        <v>34737.42</v>
      </c>
      <c r="AS486" s="17">
        <v>18328.832379709103</v>
      </c>
      <c r="AT486" s="17">
        <v>0.52763942686903931</v>
      </c>
      <c r="AU486" s="17" t="str">
        <f t="shared" si="15"/>
        <v>15–20%</v>
      </c>
      <c r="AV486" s="17">
        <v>108</v>
      </c>
      <c r="AW486" s="17"/>
    </row>
    <row r="487" spans="1:49">
      <c r="A487" t="s">
        <v>1392</v>
      </c>
      <c r="B487" s="5">
        <v>45686</v>
      </c>
      <c r="C487" t="s">
        <v>328</v>
      </c>
      <c r="D487" t="s">
        <v>329</v>
      </c>
      <c r="E487" t="s">
        <v>748</v>
      </c>
      <c r="F487" t="s">
        <v>445</v>
      </c>
      <c r="G487" t="s">
        <v>60</v>
      </c>
      <c r="H487" t="s">
        <v>54</v>
      </c>
      <c r="I487" t="s">
        <v>55</v>
      </c>
      <c r="J487" t="s">
        <v>37</v>
      </c>
      <c r="K487" t="s">
        <v>38</v>
      </c>
      <c r="L487" s="5">
        <v>44440</v>
      </c>
      <c r="M487">
        <v>70</v>
      </c>
      <c r="N487" t="s">
        <v>431</v>
      </c>
      <c r="O487" t="s">
        <v>876</v>
      </c>
      <c r="Q487">
        <v>1</v>
      </c>
      <c r="R487">
        <v>21</v>
      </c>
      <c r="S487" t="s">
        <v>900</v>
      </c>
      <c r="T487" s="6">
        <v>44893.602493627543</v>
      </c>
      <c r="U487" s="7">
        <f>T487*DealsRawTable[[#This Row],[Contract_Years]]</f>
        <v>44893.602493627543</v>
      </c>
      <c r="V487" s="8">
        <v>0.125</v>
      </c>
      <c r="W487" s="8">
        <v>0.105</v>
      </c>
      <c r="X487" s="8">
        <v>3.1E-2</v>
      </c>
      <c r="Y487" t="s">
        <v>905</v>
      </c>
      <c r="Z487" t="s">
        <v>889</v>
      </c>
      <c r="AA487" s="6">
        <v>40162.402142507584</v>
      </c>
      <c r="AB487" s="7">
        <f>DealsRawTable[[#This Row],[Final_Price_ACV]]*DealsRawTable[[#This Row],[Contract_Years]]</f>
        <v>40162.402142507584</v>
      </c>
      <c r="AC487" s="6">
        <v>18145.4759282183</v>
      </c>
      <c r="AD487" s="6">
        <v>22016.926214289284</v>
      </c>
      <c r="AE487" s="8">
        <v>0.54819744437015971</v>
      </c>
      <c r="AF487" t="s">
        <v>457</v>
      </c>
      <c r="AG487" t="s">
        <v>38</v>
      </c>
      <c r="AI487" t="s">
        <v>38</v>
      </c>
      <c r="AJ487" s="6">
        <v>0</v>
      </c>
      <c r="AK487" s="6">
        <v>0</v>
      </c>
      <c r="AL487" t="s">
        <v>881</v>
      </c>
      <c r="AM487">
        <f t="shared" si="14"/>
        <v>40179.769999999997</v>
      </c>
      <c r="AN487">
        <f>DealsRawTable[[#This Row],[Validated_Annual_Final_Price]]*DealsRawTable[[#This Row],[Contract_Years]]</f>
        <v>40179.769999999997</v>
      </c>
      <c r="AO487">
        <f>DealsRawTable[[#This Row],[Validated_Annual_Final_Price]]-DealsRawTable[[#This Row],[Cost_to_Serve]]</f>
        <v>22034.294071781696</v>
      </c>
      <c r="AP487" s="17">
        <f>DealsRawTable[[#This Row],[Validated_Grossprofit]]/DealsRawTable[[#This Row],[Validated_Annual_Final_Price]]</f>
        <v>0.54839273773298602</v>
      </c>
      <c r="AQ487" s="17">
        <v>0</v>
      </c>
      <c r="AR487" s="17">
        <v>0</v>
      </c>
      <c r="AS487" s="17">
        <v>0</v>
      </c>
      <c r="AT487" s="17">
        <v>0</v>
      </c>
      <c r="AU487" s="17" t="str">
        <f t="shared" si="15"/>
        <v>10–15%</v>
      </c>
      <c r="AV487" s="17">
        <v>113</v>
      </c>
      <c r="AW487" s="17"/>
    </row>
    <row r="488" spans="1:49">
      <c r="A488" t="s">
        <v>1393</v>
      </c>
      <c r="B488" s="5">
        <v>45825</v>
      </c>
      <c r="C488" t="s">
        <v>330</v>
      </c>
      <c r="D488" t="s">
        <v>331</v>
      </c>
      <c r="E488" t="s">
        <v>749</v>
      </c>
      <c r="F488" t="s">
        <v>449</v>
      </c>
      <c r="G488" t="s">
        <v>60</v>
      </c>
      <c r="H488" t="s">
        <v>70</v>
      </c>
      <c r="I488" t="s">
        <v>76</v>
      </c>
      <c r="J488" t="s">
        <v>43</v>
      </c>
      <c r="K488" t="s">
        <v>38</v>
      </c>
      <c r="L488" s="5">
        <v>44805</v>
      </c>
      <c r="M488">
        <v>67</v>
      </c>
      <c r="N488" t="s">
        <v>429</v>
      </c>
      <c r="O488" t="s">
        <v>876</v>
      </c>
      <c r="Q488">
        <v>2</v>
      </c>
      <c r="R488">
        <v>1604</v>
      </c>
      <c r="S488" t="s">
        <v>900</v>
      </c>
      <c r="T488" s="6">
        <v>494474.63067610789</v>
      </c>
      <c r="U488" s="7">
        <f>T488*DealsRawTable[[#This Row],[Contract_Years]]</f>
        <v>988949.26135221578</v>
      </c>
      <c r="V488" s="8">
        <v>7.2999999999999995E-2</v>
      </c>
      <c r="W488" s="8">
        <v>6.2E-2</v>
      </c>
      <c r="X488" s="8">
        <v>3.7999999999999999E-2</v>
      </c>
      <c r="Y488" t="s">
        <v>911</v>
      </c>
      <c r="Z488" t="s">
        <v>879</v>
      </c>
      <c r="AA488" s="6">
        <v>463902.38966977858</v>
      </c>
      <c r="AB488" s="7">
        <f>DealsRawTable[[#This Row],[Final_Price_ACV]]*DealsRawTable[[#This Row],[Contract_Years]]</f>
        <v>927804.77933955716</v>
      </c>
      <c r="AC488" s="6">
        <v>160975.16481702935</v>
      </c>
      <c r="AD488" s="6">
        <v>302927.22485274926</v>
      </c>
      <c r="AE488" s="8">
        <v>0.65299776763034811</v>
      </c>
      <c r="AF488" t="s">
        <v>457</v>
      </c>
      <c r="AG488" t="s">
        <v>38</v>
      </c>
      <c r="AI488" t="s">
        <v>38</v>
      </c>
      <c r="AJ488" s="6">
        <v>0</v>
      </c>
      <c r="AK488" s="6">
        <v>0</v>
      </c>
      <c r="AL488" t="s">
        <v>881</v>
      </c>
      <c r="AM488">
        <f t="shared" si="14"/>
        <v>463817.2</v>
      </c>
      <c r="AN488">
        <f>DealsRawTable[[#This Row],[Validated_Annual_Final_Price]]*DealsRawTable[[#This Row],[Contract_Years]]</f>
        <v>927634.4</v>
      </c>
      <c r="AO488">
        <f>DealsRawTable[[#This Row],[Validated_Annual_Final_Price]]-DealsRawTable[[#This Row],[Cost_to_Serve]]</f>
        <v>302842.03518297069</v>
      </c>
      <c r="AP488" s="17">
        <f>DealsRawTable[[#This Row],[Validated_Grossprofit]]/DealsRawTable[[#This Row],[Validated_Annual_Final_Price]]</f>
        <v>0.65293403345751444</v>
      </c>
      <c r="AQ488" s="17">
        <v>0</v>
      </c>
      <c r="AR488" s="17">
        <v>0</v>
      </c>
      <c r="AS488" s="17">
        <v>0</v>
      </c>
      <c r="AT488" s="17">
        <v>0</v>
      </c>
      <c r="AU488" s="17" t="str">
        <f t="shared" si="15"/>
        <v>5–10%</v>
      </c>
      <c r="AV488" s="17">
        <v>116</v>
      </c>
      <c r="AW488" s="17"/>
    </row>
    <row r="489" spans="1:49">
      <c r="A489" t="s">
        <v>1394</v>
      </c>
      <c r="B489" s="5">
        <v>45535</v>
      </c>
      <c r="C489" t="s">
        <v>332</v>
      </c>
      <c r="D489" t="s">
        <v>333</v>
      </c>
      <c r="E489" t="s">
        <v>750</v>
      </c>
      <c r="F489" t="s">
        <v>34</v>
      </c>
      <c r="G489" t="s">
        <v>83</v>
      </c>
      <c r="H489" t="s">
        <v>54</v>
      </c>
      <c r="I489" t="s">
        <v>55</v>
      </c>
      <c r="J489" t="s">
        <v>56</v>
      </c>
      <c r="K489" t="s">
        <v>38</v>
      </c>
      <c r="L489" s="5">
        <v>43739</v>
      </c>
      <c r="M489">
        <v>60</v>
      </c>
      <c r="N489" t="s">
        <v>429</v>
      </c>
      <c r="O489" t="s">
        <v>891</v>
      </c>
      <c r="Q489">
        <v>1</v>
      </c>
      <c r="R489">
        <v>130</v>
      </c>
      <c r="S489" t="s">
        <v>888</v>
      </c>
      <c r="T489" s="6">
        <v>157870.84114007384</v>
      </c>
      <c r="U489" s="7">
        <f>T489*DealsRawTable[[#This Row],[Contract_Years]]</f>
        <v>157870.84114007384</v>
      </c>
      <c r="V489" s="8">
        <v>0.11799999999999999</v>
      </c>
      <c r="W489" s="8">
        <v>0.10199999999999999</v>
      </c>
      <c r="X489" s="8">
        <v>0.10199999999999999</v>
      </c>
      <c r="Y489" t="s">
        <v>897</v>
      </c>
      <c r="Z489" t="s">
        <v>889</v>
      </c>
      <c r="AA489" s="6">
        <v>141689.76128590311</v>
      </c>
      <c r="AB489" s="7">
        <f>DealsRawTable[[#This Row],[Final_Price_ACV]]*DealsRawTable[[#This Row],[Contract_Years]]</f>
        <v>141689.76128590311</v>
      </c>
      <c r="AC489" s="6">
        <v>55350.717248164387</v>
      </c>
      <c r="AD489" s="6">
        <v>86339.044037738728</v>
      </c>
      <c r="AE489" s="8">
        <v>0.60935273836422721</v>
      </c>
      <c r="AF489" t="s">
        <v>457</v>
      </c>
      <c r="AI489" t="s">
        <v>38</v>
      </c>
      <c r="AJ489" s="6">
        <v>0</v>
      </c>
      <c r="AK489" s="6">
        <v>0</v>
      </c>
      <c r="AL489" t="s">
        <v>894</v>
      </c>
      <c r="AM489">
        <f t="shared" si="14"/>
        <v>141768.01999999999</v>
      </c>
      <c r="AN489">
        <f>DealsRawTable[[#This Row],[Validated_Annual_Final_Price]]*DealsRawTable[[#This Row],[Contract_Years]]</f>
        <v>141768.01999999999</v>
      </c>
      <c r="AO489">
        <f>DealsRawTable[[#This Row],[Validated_Annual_Final_Price]]-DealsRawTable[[#This Row],[Cost_to_Serve]]</f>
        <v>86417.30275183561</v>
      </c>
      <c r="AP489" s="17">
        <f>DealsRawTable[[#This Row],[Validated_Grossprofit]]/DealsRawTable[[#This Row],[Validated_Annual_Final_Price]]</f>
        <v>0.60956838327738239</v>
      </c>
      <c r="AQ489" s="17">
        <v>0</v>
      </c>
      <c r="AR489" s="17">
        <v>0</v>
      </c>
      <c r="AS489" s="17">
        <v>0</v>
      </c>
      <c r="AT489" s="17">
        <v>0</v>
      </c>
      <c r="AU489" s="17" t="str">
        <f t="shared" si="15"/>
        <v>10–15%</v>
      </c>
      <c r="AV489" s="17">
        <v>113</v>
      </c>
      <c r="AW489" s="17"/>
    </row>
    <row r="490" spans="1:49">
      <c r="A490" t="s">
        <v>1395</v>
      </c>
      <c r="B490" s="5">
        <v>45801</v>
      </c>
      <c r="C490" t="s">
        <v>334</v>
      </c>
      <c r="D490" t="s">
        <v>335</v>
      </c>
      <c r="E490" t="s">
        <v>751</v>
      </c>
      <c r="F490" t="s">
        <v>475</v>
      </c>
      <c r="G490" t="s">
        <v>34</v>
      </c>
      <c r="H490" t="s">
        <v>48</v>
      </c>
      <c r="I490" t="s">
        <v>49</v>
      </c>
      <c r="J490" t="s">
        <v>37</v>
      </c>
      <c r="K490" t="s">
        <v>38</v>
      </c>
      <c r="L490" s="5">
        <v>44805</v>
      </c>
      <c r="M490">
        <v>76</v>
      </c>
      <c r="N490" t="s">
        <v>433</v>
      </c>
      <c r="O490" t="s">
        <v>876</v>
      </c>
      <c r="Q490">
        <v>2</v>
      </c>
      <c r="R490">
        <v>58</v>
      </c>
      <c r="S490" t="s">
        <v>900</v>
      </c>
      <c r="T490" s="6">
        <v>124912.94934819422</v>
      </c>
      <c r="U490" s="7">
        <f>T490*DealsRawTable[[#This Row],[Contract_Years]]</f>
        <v>249825.89869638844</v>
      </c>
      <c r="V490" s="8">
        <v>0.11700000000000001</v>
      </c>
      <c r="W490" s="8">
        <v>0.113</v>
      </c>
      <c r="X490" s="8">
        <v>-0.01</v>
      </c>
      <c r="Y490" t="s">
        <v>930</v>
      </c>
      <c r="Z490" t="s">
        <v>889</v>
      </c>
      <c r="AA490" s="6">
        <v>110778.62137181839</v>
      </c>
      <c r="AB490" s="7">
        <f>DealsRawTable[[#This Row],[Final_Price_ACV]]*DealsRawTable[[#This Row],[Contract_Years]]</f>
        <v>221557.24274363677</v>
      </c>
      <c r="AC490" s="6">
        <v>43521.724354342783</v>
      </c>
      <c r="AD490" s="6">
        <v>67256.897017475596</v>
      </c>
      <c r="AE490" s="8">
        <v>0.60712885017528717</v>
      </c>
      <c r="AF490" t="s">
        <v>880</v>
      </c>
      <c r="AG490" t="s">
        <v>44</v>
      </c>
      <c r="AI490" t="s">
        <v>38</v>
      </c>
      <c r="AJ490" s="6">
        <v>110778.62137181839</v>
      </c>
      <c r="AK490" s="6">
        <v>67256.897017475596</v>
      </c>
      <c r="AL490" t="s">
        <v>881</v>
      </c>
      <c r="AM490">
        <f t="shared" si="14"/>
        <v>110797.79</v>
      </c>
      <c r="AN490">
        <f>DealsRawTable[[#This Row],[Validated_Annual_Final_Price]]*DealsRawTable[[#This Row],[Contract_Years]]</f>
        <v>221595.58</v>
      </c>
      <c r="AO490">
        <f>DealsRawTable[[#This Row],[Validated_Annual_Final_Price]]-DealsRawTable[[#This Row],[Cost_to_Serve]]</f>
        <v>67276.065645657218</v>
      </c>
      <c r="AP490" s="17">
        <f>DealsRawTable[[#This Row],[Validated_Grossprofit]]/DealsRawTable[[#This Row],[Validated_Annual_Final_Price]]</f>
        <v>0.60719681904898304</v>
      </c>
      <c r="AQ490" s="17">
        <v>110797.79</v>
      </c>
      <c r="AR490" s="17">
        <v>221595.58</v>
      </c>
      <c r="AS490" s="17">
        <v>67276.065645657218</v>
      </c>
      <c r="AT490" s="17">
        <v>0.60719681904898304</v>
      </c>
      <c r="AU490" s="17" t="str">
        <f t="shared" si="15"/>
        <v>10–15%</v>
      </c>
      <c r="AV490" s="17">
        <v>113</v>
      </c>
      <c r="AW490" s="17"/>
    </row>
    <row r="491" spans="1:49">
      <c r="A491" t="s">
        <v>1396</v>
      </c>
      <c r="B491" s="5">
        <v>45483</v>
      </c>
      <c r="C491" t="s">
        <v>334</v>
      </c>
      <c r="D491" t="s">
        <v>335</v>
      </c>
      <c r="E491" t="s">
        <v>752</v>
      </c>
      <c r="F491" t="s">
        <v>34</v>
      </c>
      <c r="G491" t="s">
        <v>34</v>
      </c>
      <c r="H491" t="s">
        <v>48</v>
      </c>
      <c r="I491" t="s">
        <v>49</v>
      </c>
      <c r="J491" t="s">
        <v>37</v>
      </c>
      <c r="K491" t="s">
        <v>38</v>
      </c>
      <c r="L491" s="5">
        <v>44805</v>
      </c>
      <c r="M491">
        <v>76</v>
      </c>
      <c r="N491" t="s">
        <v>427</v>
      </c>
      <c r="O491" t="s">
        <v>876</v>
      </c>
      <c r="Q491">
        <v>1</v>
      </c>
      <c r="R491">
        <v>24</v>
      </c>
      <c r="S491" t="s">
        <v>877</v>
      </c>
      <c r="T491" s="6">
        <v>56355.200684024872</v>
      </c>
      <c r="U491" s="7">
        <f>T491*DealsRawTable[[#This Row],[Contract_Years]]</f>
        <v>56355.200684024872</v>
      </c>
      <c r="V491" s="8">
        <v>0.14699999999999999</v>
      </c>
      <c r="W491" s="8">
        <v>0.114</v>
      </c>
      <c r="X491" s="8">
        <v>-0.13500000000000001</v>
      </c>
      <c r="Y491" t="s">
        <v>902</v>
      </c>
      <c r="Z491" t="s">
        <v>889</v>
      </c>
      <c r="AA491" s="6">
        <v>49915.35548675045</v>
      </c>
      <c r="AB491" s="7">
        <f>DealsRawTable[[#This Row],[Final_Price_ACV]]*DealsRawTable[[#This Row],[Contract_Years]]</f>
        <v>49915.35548675045</v>
      </c>
      <c r="AC491" s="6">
        <v>15338.227039922482</v>
      </c>
      <c r="AD491" s="6">
        <v>34577.12844682797</v>
      </c>
      <c r="AE491" s="8">
        <v>0.69271525985638094</v>
      </c>
      <c r="AF491" t="s">
        <v>880</v>
      </c>
      <c r="AG491" t="s">
        <v>44</v>
      </c>
      <c r="AI491" t="s">
        <v>38</v>
      </c>
      <c r="AJ491" s="6">
        <v>49915.35548675045</v>
      </c>
      <c r="AK491" s="6">
        <v>34577.12844682797</v>
      </c>
      <c r="AL491" t="s">
        <v>881</v>
      </c>
      <c r="AM491">
        <f t="shared" si="14"/>
        <v>49930.71</v>
      </c>
      <c r="AN491">
        <f>DealsRawTable[[#This Row],[Validated_Annual_Final_Price]]*DealsRawTable[[#This Row],[Contract_Years]]</f>
        <v>49930.71</v>
      </c>
      <c r="AO491">
        <f>DealsRawTable[[#This Row],[Validated_Annual_Final_Price]]-DealsRawTable[[#This Row],[Cost_to_Serve]]</f>
        <v>34592.482960077519</v>
      </c>
      <c r="AP491" s="17">
        <f>DealsRawTable[[#This Row],[Validated_Grossprofit]]/DealsRawTable[[#This Row],[Validated_Annual_Final_Price]]</f>
        <v>0.69280975495997388</v>
      </c>
      <c r="AQ491" s="17">
        <v>49930.71</v>
      </c>
      <c r="AR491" s="17">
        <v>49930.71</v>
      </c>
      <c r="AS491" s="17">
        <v>34592.482960077519</v>
      </c>
      <c r="AT491" s="17">
        <v>0.69280975495997388</v>
      </c>
      <c r="AU491" s="17" t="str">
        <f t="shared" si="15"/>
        <v>10–15%</v>
      </c>
      <c r="AV491" s="17">
        <v>113</v>
      </c>
      <c r="AW491" s="17"/>
    </row>
    <row r="492" spans="1:49">
      <c r="A492" t="s">
        <v>1397</v>
      </c>
      <c r="B492" s="5">
        <v>45848</v>
      </c>
      <c r="C492" t="s">
        <v>334</v>
      </c>
      <c r="D492" t="s">
        <v>335</v>
      </c>
      <c r="E492" t="s">
        <v>752</v>
      </c>
      <c r="F492" t="s">
        <v>34</v>
      </c>
      <c r="G492" t="s">
        <v>34</v>
      </c>
      <c r="H492" t="s">
        <v>48</v>
      </c>
      <c r="I492" t="s">
        <v>49</v>
      </c>
      <c r="J492" t="s">
        <v>37</v>
      </c>
      <c r="K492" t="s">
        <v>38</v>
      </c>
      <c r="L492" s="5">
        <v>44805</v>
      </c>
      <c r="M492">
        <v>76</v>
      </c>
      <c r="N492" t="s">
        <v>427</v>
      </c>
      <c r="O492" t="s">
        <v>876</v>
      </c>
      <c r="Q492">
        <v>1</v>
      </c>
      <c r="R492">
        <v>24</v>
      </c>
      <c r="S492" t="s">
        <v>900</v>
      </c>
      <c r="T492" s="6">
        <v>58980.088111175806</v>
      </c>
      <c r="U492" s="7">
        <f>T492*DealsRawTable[[#This Row],[Contract_Years]]</f>
        <v>58980.088111175806</v>
      </c>
      <c r="V492" s="8">
        <v>0.107</v>
      </c>
      <c r="W492" s="8">
        <v>7.6999999999999999E-2</v>
      </c>
      <c r="X492" s="8">
        <v>1.4999999999999999E-2</v>
      </c>
      <c r="Y492" t="s">
        <v>911</v>
      </c>
      <c r="Z492" t="s">
        <v>879</v>
      </c>
      <c r="AA492" s="6">
        <v>54466.136709420847</v>
      </c>
      <c r="AB492" s="7">
        <f>DealsRawTable[[#This Row],[Final_Price_ACV]]*DealsRawTable[[#This Row],[Contract_Years]]</f>
        <v>54466.136709420847</v>
      </c>
      <c r="AC492" s="6">
        <v>16897.543362195203</v>
      </c>
      <c r="AD492" s="6">
        <v>37568.593347225644</v>
      </c>
      <c r="AE492" s="8">
        <v>0.68976056715121337</v>
      </c>
      <c r="AF492" t="s">
        <v>457</v>
      </c>
      <c r="AG492" t="s">
        <v>38</v>
      </c>
      <c r="AI492" t="s">
        <v>38</v>
      </c>
      <c r="AJ492" s="6">
        <v>0</v>
      </c>
      <c r="AK492" s="6">
        <v>0</v>
      </c>
      <c r="AL492" t="s">
        <v>881</v>
      </c>
      <c r="AM492">
        <f t="shared" si="14"/>
        <v>54438.62</v>
      </c>
      <c r="AN492">
        <f>DealsRawTable[[#This Row],[Validated_Annual_Final_Price]]*DealsRawTable[[#This Row],[Contract_Years]]</f>
        <v>54438.62</v>
      </c>
      <c r="AO492">
        <f>DealsRawTable[[#This Row],[Validated_Annual_Final_Price]]-DealsRawTable[[#This Row],[Cost_to_Serve]]</f>
        <v>37541.076637804799</v>
      </c>
      <c r="AP492" s="17">
        <f>DealsRawTable[[#This Row],[Validated_Grossprofit]]/DealsRawTable[[#This Row],[Validated_Annual_Final_Price]]</f>
        <v>0.68960375258970186</v>
      </c>
      <c r="AQ492" s="17">
        <v>0</v>
      </c>
      <c r="AR492" s="17">
        <v>0</v>
      </c>
      <c r="AS492" s="17">
        <v>0</v>
      </c>
      <c r="AT492" s="17">
        <v>0</v>
      </c>
      <c r="AU492" s="17" t="str">
        <f t="shared" si="15"/>
        <v>5–10%</v>
      </c>
      <c r="AV492" s="17">
        <v>116</v>
      </c>
      <c r="AW492" s="17"/>
    </row>
    <row r="493" spans="1:49">
      <c r="A493" t="s">
        <v>1398</v>
      </c>
      <c r="B493" s="5">
        <v>45448</v>
      </c>
      <c r="C493" t="s">
        <v>336</v>
      </c>
      <c r="D493" t="s">
        <v>337</v>
      </c>
      <c r="E493" t="s">
        <v>753</v>
      </c>
      <c r="F493" t="s">
        <v>449</v>
      </c>
      <c r="G493" t="s">
        <v>53</v>
      </c>
      <c r="H493" t="s">
        <v>48</v>
      </c>
      <c r="I493" t="s">
        <v>49</v>
      </c>
      <c r="J493" t="s">
        <v>56</v>
      </c>
      <c r="K493" t="s">
        <v>38</v>
      </c>
      <c r="L493" s="5">
        <v>43831</v>
      </c>
      <c r="M493">
        <v>63</v>
      </c>
      <c r="N493" t="s">
        <v>433</v>
      </c>
      <c r="O493" t="s">
        <v>876</v>
      </c>
      <c r="Q493">
        <v>1</v>
      </c>
      <c r="R493">
        <v>243</v>
      </c>
      <c r="S493" t="s">
        <v>907</v>
      </c>
      <c r="T493" s="6">
        <v>512312.12850313081</v>
      </c>
      <c r="U493" s="7">
        <f>T493*DealsRawTable[[#This Row],[Contract_Years]]</f>
        <v>512312.12850313081</v>
      </c>
      <c r="V493" s="8">
        <v>0.14799999999999999</v>
      </c>
      <c r="W493" s="8">
        <v>0.123</v>
      </c>
      <c r="X493" s="8">
        <v>1.4E-2</v>
      </c>
      <c r="Y493" t="s">
        <v>878</v>
      </c>
      <c r="Z493" t="s">
        <v>889</v>
      </c>
      <c r="AA493" s="6">
        <v>449538.73000135919</v>
      </c>
      <c r="AB493" s="7">
        <f>DealsRawTable[[#This Row],[Final_Price_ACV]]*DealsRawTable[[#This Row],[Contract_Years]]</f>
        <v>449538.73000135919</v>
      </c>
      <c r="AC493" s="6">
        <v>160070.03317299957</v>
      </c>
      <c r="AD493" s="6">
        <v>289468.69682835962</v>
      </c>
      <c r="AE493" s="8">
        <v>0.64392382126337455</v>
      </c>
      <c r="AF493" t="s">
        <v>880</v>
      </c>
      <c r="AG493" t="s">
        <v>44</v>
      </c>
      <c r="AI493" t="s">
        <v>38</v>
      </c>
      <c r="AJ493" s="6">
        <v>449538.73000135919</v>
      </c>
      <c r="AK493" s="6">
        <v>289468.69682835962</v>
      </c>
      <c r="AL493" t="s">
        <v>881</v>
      </c>
      <c r="AM493">
        <f t="shared" si="14"/>
        <v>449297.74</v>
      </c>
      <c r="AN493">
        <f>DealsRawTable[[#This Row],[Validated_Annual_Final_Price]]*DealsRawTable[[#This Row],[Contract_Years]]</f>
        <v>449297.74</v>
      </c>
      <c r="AO493">
        <f>DealsRawTable[[#This Row],[Validated_Annual_Final_Price]]-DealsRawTable[[#This Row],[Cost_to_Serve]]</f>
        <v>289227.70682700042</v>
      </c>
      <c r="AP493" s="17">
        <f>DealsRawTable[[#This Row],[Validated_Grossprofit]]/DealsRawTable[[#This Row],[Validated_Annual_Final_Price]]</f>
        <v>0.64373283254663249</v>
      </c>
      <c r="AQ493" s="17">
        <v>449297.74</v>
      </c>
      <c r="AR493" s="17">
        <v>449297.74</v>
      </c>
      <c r="AS493" s="17">
        <v>289227.70682700042</v>
      </c>
      <c r="AT493" s="17">
        <v>0.64373283254663249</v>
      </c>
      <c r="AU493" s="17" t="str">
        <f t="shared" si="15"/>
        <v>10–15%</v>
      </c>
      <c r="AV493" s="17">
        <v>113</v>
      </c>
      <c r="AW493" s="17"/>
    </row>
    <row r="494" spans="1:49">
      <c r="A494" t="s">
        <v>1399</v>
      </c>
      <c r="B494" s="5">
        <v>45684</v>
      </c>
      <c r="C494" t="s">
        <v>336</v>
      </c>
      <c r="D494" t="s">
        <v>337</v>
      </c>
      <c r="E494" t="s">
        <v>753</v>
      </c>
      <c r="F494" t="s">
        <v>449</v>
      </c>
      <c r="G494" t="s">
        <v>53</v>
      </c>
      <c r="H494" t="s">
        <v>48</v>
      </c>
      <c r="I494" t="s">
        <v>49</v>
      </c>
      <c r="J494" t="s">
        <v>56</v>
      </c>
      <c r="K494" t="s">
        <v>38</v>
      </c>
      <c r="L494" s="5">
        <v>43831</v>
      </c>
      <c r="M494">
        <v>63</v>
      </c>
      <c r="N494" t="s">
        <v>433</v>
      </c>
      <c r="O494" t="s">
        <v>883</v>
      </c>
      <c r="P494" t="s">
        <v>951</v>
      </c>
      <c r="Q494">
        <v>1</v>
      </c>
      <c r="R494">
        <v>286</v>
      </c>
      <c r="S494" t="s">
        <v>932</v>
      </c>
      <c r="T494" s="6">
        <v>576884.67537964031</v>
      </c>
      <c r="U494" s="7">
        <f>T494*DealsRawTable[[#This Row],[Contract_Years]]</f>
        <v>576884.67537964031</v>
      </c>
      <c r="V494" s="8">
        <v>0.108</v>
      </c>
      <c r="W494" s="8">
        <v>7.0999999999999994E-2</v>
      </c>
      <c r="X494" s="8">
        <v>-8.5999999999999993E-2</v>
      </c>
      <c r="Y494" t="s">
        <v>885</v>
      </c>
      <c r="Z494" t="s">
        <v>879</v>
      </c>
      <c r="AA494" s="6">
        <v>535840.92899014091</v>
      </c>
      <c r="AB494" s="7">
        <f>DealsRawTable[[#This Row],[Final_Price_ACV]]*DealsRawTable[[#This Row],[Contract_Years]]</f>
        <v>535840.92899014091</v>
      </c>
      <c r="AC494" s="6">
        <v>209106.87371398055</v>
      </c>
      <c r="AD494" s="6">
        <v>326734.05527616036</v>
      </c>
      <c r="AE494" s="8">
        <v>0.60975942224482826</v>
      </c>
      <c r="AF494" t="s">
        <v>457</v>
      </c>
      <c r="AH494" t="s">
        <v>38</v>
      </c>
      <c r="AI494" t="s">
        <v>38</v>
      </c>
      <c r="AJ494" s="6">
        <v>0</v>
      </c>
      <c r="AK494" s="6">
        <v>0</v>
      </c>
      <c r="AL494" t="s">
        <v>886</v>
      </c>
      <c r="AM494">
        <f t="shared" si="14"/>
        <v>535925.86</v>
      </c>
      <c r="AN494">
        <f>DealsRawTable[[#This Row],[Validated_Annual_Final_Price]]*DealsRawTable[[#This Row],[Contract_Years]]</f>
        <v>535925.86</v>
      </c>
      <c r="AO494">
        <f>DealsRawTable[[#This Row],[Validated_Annual_Final_Price]]-DealsRawTable[[#This Row],[Cost_to_Serve]]</f>
        <v>326818.98628601944</v>
      </c>
      <c r="AP494" s="17">
        <f>DealsRawTable[[#This Row],[Validated_Grossprofit]]/DealsRawTable[[#This Row],[Validated_Annual_Final_Price]]</f>
        <v>0.60982126573630813</v>
      </c>
      <c r="AQ494" s="17">
        <v>0</v>
      </c>
      <c r="AR494" s="17">
        <v>0</v>
      </c>
      <c r="AS494" s="17">
        <v>0</v>
      </c>
      <c r="AT494" s="17">
        <v>0</v>
      </c>
      <c r="AU494" s="17" t="str">
        <f t="shared" si="15"/>
        <v>5–10%</v>
      </c>
      <c r="AV494" s="17">
        <v>116</v>
      </c>
      <c r="AW494" s="17"/>
    </row>
    <row r="495" spans="1:49">
      <c r="A495" t="s">
        <v>1400</v>
      </c>
      <c r="B495" s="5">
        <v>45813</v>
      </c>
      <c r="C495" t="s">
        <v>336</v>
      </c>
      <c r="D495" t="s">
        <v>337</v>
      </c>
      <c r="E495" t="s">
        <v>753</v>
      </c>
      <c r="F495" t="s">
        <v>449</v>
      </c>
      <c r="G495" t="s">
        <v>53</v>
      </c>
      <c r="H495" t="s">
        <v>48</v>
      </c>
      <c r="I495" t="s">
        <v>49</v>
      </c>
      <c r="J495" t="s">
        <v>56</v>
      </c>
      <c r="K495" t="s">
        <v>38</v>
      </c>
      <c r="L495" s="5">
        <v>43831</v>
      </c>
      <c r="M495">
        <v>63</v>
      </c>
      <c r="N495" t="s">
        <v>433</v>
      </c>
      <c r="O495" t="s">
        <v>876</v>
      </c>
      <c r="Q495">
        <v>1</v>
      </c>
      <c r="R495">
        <v>243</v>
      </c>
      <c r="S495" t="s">
        <v>892</v>
      </c>
      <c r="T495" s="6">
        <v>527586.37819404283</v>
      </c>
      <c r="U495" s="7">
        <f>T495*DealsRawTable[[#This Row],[Contract_Years]]</f>
        <v>527586.37819404283</v>
      </c>
      <c r="V495" s="8">
        <v>8.1000000000000003E-2</v>
      </c>
      <c r="W495" s="8">
        <v>4.2999999999999997E-2</v>
      </c>
      <c r="X495" s="8">
        <v>1.9E-2</v>
      </c>
      <c r="Y495" t="s">
        <v>878</v>
      </c>
      <c r="Z495" t="s">
        <v>879</v>
      </c>
      <c r="AA495" s="6">
        <v>504947.78469941649</v>
      </c>
      <c r="AB495" s="7">
        <f>DealsRawTable[[#This Row],[Final_Price_ACV]]*DealsRawTable[[#This Row],[Contract_Years]]</f>
        <v>504947.78469941649</v>
      </c>
      <c r="AC495" s="6">
        <v>184896.63011568651</v>
      </c>
      <c r="AD495" s="6">
        <v>320051.15458372998</v>
      </c>
      <c r="AE495" s="8">
        <v>0.63383019845160604</v>
      </c>
      <c r="AF495" t="s">
        <v>880</v>
      </c>
      <c r="AG495" t="s">
        <v>44</v>
      </c>
      <c r="AI495" t="s">
        <v>38</v>
      </c>
      <c r="AJ495" s="6">
        <v>504947.78469941649</v>
      </c>
      <c r="AK495" s="6">
        <v>320051.15458372998</v>
      </c>
      <c r="AL495" t="s">
        <v>881</v>
      </c>
      <c r="AM495">
        <f t="shared" si="14"/>
        <v>504900.16</v>
      </c>
      <c r="AN495">
        <f>DealsRawTable[[#This Row],[Validated_Annual_Final_Price]]*DealsRawTable[[#This Row],[Contract_Years]]</f>
        <v>504900.16</v>
      </c>
      <c r="AO495">
        <f>DealsRawTable[[#This Row],[Validated_Annual_Final_Price]]-DealsRawTable[[#This Row],[Cost_to_Serve]]</f>
        <v>320003.52988431347</v>
      </c>
      <c r="AP495" s="17">
        <f>DealsRawTable[[#This Row],[Validated_Grossprofit]]/DealsRawTable[[#This Row],[Validated_Annual_Final_Price]]</f>
        <v>0.63379565949100414</v>
      </c>
      <c r="AQ495" s="17">
        <v>504900.16</v>
      </c>
      <c r="AR495" s="17">
        <v>504900.16</v>
      </c>
      <c r="AS495" s="17">
        <v>320003.52988431347</v>
      </c>
      <c r="AT495" s="17">
        <v>0.63379565949100414</v>
      </c>
      <c r="AU495" s="17" t="str">
        <f t="shared" si="15"/>
        <v>0–5%</v>
      </c>
      <c r="AV495" s="17">
        <v>55</v>
      </c>
      <c r="AW495" s="17"/>
    </row>
    <row r="496" spans="1:49">
      <c r="A496" t="s">
        <v>1401</v>
      </c>
      <c r="B496" s="5">
        <v>45509</v>
      </c>
      <c r="C496" t="s">
        <v>336</v>
      </c>
      <c r="D496" t="s">
        <v>337</v>
      </c>
      <c r="E496" t="s">
        <v>754</v>
      </c>
      <c r="F496" t="s">
        <v>466</v>
      </c>
      <c r="G496" t="s">
        <v>53</v>
      </c>
      <c r="H496" t="s">
        <v>48</v>
      </c>
      <c r="I496" t="s">
        <v>49</v>
      </c>
      <c r="J496" t="s">
        <v>56</v>
      </c>
      <c r="K496" t="s">
        <v>38</v>
      </c>
      <c r="L496" s="5">
        <v>43831</v>
      </c>
      <c r="M496">
        <v>63</v>
      </c>
      <c r="N496" t="s">
        <v>431</v>
      </c>
      <c r="O496" t="s">
        <v>891</v>
      </c>
      <c r="Q496">
        <v>1</v>
      </c>
      <c r="R496">
        <v>277</v>
      </c>
      <c r="S496" t="s">
        <v>877</v>
      </c>
      <c r="T496" s="6">
        <v>102968.56811773597</v>
      </c>
      <c r="U496" s="7">
        <f>T496*DealsRawTable[[#This Row],[Contract_Years]]</f>
        <v>102968.56811773597</v>
      </c>
      <c r="V496" s="8">
        <v>0.19400000000000001</v>
      </c>
      <c r="W496" s="8">
        <v>0.17499999999999999</v>
      </c>
      <c r="X496" s="8">
        <v>-0.111</v>
      </c>
      <c r="Y496" t="s">
        <v>878</v>
      </c>
      <c r="Z496" t="s">
        <v>889</v>
      </c>
      <c r="AA496" s="6">
        <v>84921.487305673334</v>
      </c>
      <c r="AB496" s="7">
        <f>DealsRawTable[[#This Row],[Final_Price_ACV]]*DealsRawTable[[#This Row],[Contract_Years]]</f>
        <v>84921.487305673334</v>
      </c>
      <c r="AC496" s="6">
        <v>41150.577110432569</v>
      </c>
      <c r="AD496" s="6">
        <v>43770.910195240765</v>
      </c>
      <c r="AE496" s="8">
        <v>0.5154279745206084</v>
      </c>
      <c r="AF496" t="s">
        <v>457</v>
      </c>
      <c r="AI496" t="s">
        <v>38</v>
      </c>
      <c r="AJ496" s="6">
        <v>0</v>
      </c>
      <c r="AK496" s="6">
        <v>0</v>
      </c>
      <c r="AL496" t="s">
        <v>894</v>
      </c>
      <c r="AM496">
        <f t="shared" si="14"/>
        <v>84949.07</v>
      </c>
      <c r="AN496">
        <f>DealsRawTable[[#This Row],[Validated_Annual_Final_Price]]*DealsRawTable[[#This Row],[Contract_Years]]</f>
        <v>84949.07</v>
      </c>
      <c r="AO496">
        <f>DealsRawTable[[#This Row],[Validated_Annual_Final_Price]]-DealsRawTable[[#This Row],[Cost_to_Serve]]</f>
        <v>43798.492889567438</v>
      </c>
      <c r="AP496" s="17">
        <f>DealsRawTable[[#This Row],[Validated_Grossprofit]]/DealsRawTable[[#This Row],[Validated_Annual_Final_Price]]</f>
        <v>0.51558531352453218</v>
      </c>
      <c r="AQ496" s="17">
        <v>0</v>
      </c>
      <c r="AR496" s="17">
        <v>0</v>
      </c>
      <c r="AS496" s="17">
        <v>0</v>
      </c>
      <c r="AT496" s="17">
        <v>0</v>
      </c>
      <c r="AU496" s="17" t="str">
        <f t="shared" si="15"/>
        <v>15–20%</v>
      </c>
      <c r="AV496" s="17">
        <v>108</v>
      </c>
      <c r="AW496" s="17"/>
    </row>
    <row r="497" spans="1:49">
      <c r="A497" t="s">
        <v>1402</v>
      </c>
      <c r="B497" s="5">
        <v>45854</v>
      </c>
      <c r="C497" t="s">
        <v>336</v>
      </c>
      <c r="D497" t="s">
        <v>337</v>
      </c>
      <c r="E497" t="s">
        <v>754</v>
      </c>
      <c r="F497" t="s">
        <v>466</v>
      </c>
      <c r="G497" t="s">
        <v>53</v>
      </c>
      <c r="H497" t="s">
        <v>48</v>
      </c>
      <c r="I497" t="s">
        <v>49</v>
      </c>
      <c r="J497" t="s">
        <v>56</v>
      </c>
      <c r="K497" t="s">
        <v>38</v>
      </c>
      <c r="L497" s="5">
        <v>43831</v>
      </c>
      <c r="M497">
        <v>63</v>
      </c>
      <c r="N497" t="s">
        <v>431</v>
      </c>
      <c r="O497" t="s">
        <v>915</v>
      </c>
      <c r="Q497">
        <v>1</v>
      </c>
      <c r="R497">
        <v>277</v>
      </c>
      <c r="S497" t="s">
        <v>907</v>
      </c>
      <c r="T497" s="6">
        <v>102968.56811773597</v>
      </c>
      <c r="U497" s="7">
        <f>T497*DealsRawTable[[#This Row],[Contract_Years]]</f>
        <v>102968.56811773597</v>
      </c>
      <c r="V497" s="8">
        <v>0.27300000000000002</v>
      </c>
      <c r="W497" s="8">
        <v>0.20899999999999999</v>
      </c>
      <c r="X497" s="8">
        <v>-9.1999999999999998E-2</v>
      </c>
      <c r="Y497" t="s">
        <v>878</v>
      </c>
      <c r="Z497" t="s">
        <v>893</v>
      </c>
      <c r="AA497" s="6">
        <v>81487.264445597233</v>
      </c>
      <c r="AB497" s="7">
        <f>DealsRawTable[[#This Row],[Final_Price_ACV]]*DealsRawTable[[#This Row],[Contract_Years]]</f>
        <v>81487.264445597233</v>
      </c>
      <c r="AC497" s="6">
        <v>37975.400458711672</v>
      </c>
      <c r="AD497" s="6">
        <v>43511.863986885561</v>
      </c>
      <c r="AE497" s="8">
        <v>0.53397134242903788</v>
      </c>
      <c r="AF497" t="s">
        <v>457</v>
      </c>
      <c r="AI497" t="s">
        <v>44</v>
      </c>
      <c r="AJ497" s="6">
        <v>0</v>
      </c>
      <c r="AK497" s="6">
        <v>0</v>
      </c>
      <c r="AL497" t="s">
        <v>934</v>
      </c>
      <c r="AM497">
        <f t="shared" si="14"/>
        <v>81448.14</v>
      </c>
      <c r="AN497">
        <f>DealsRawTable[[#This Row],[Validated_Annual_Final_Price]]*DealsRawTable[[#This Row],[Contract_Years]]</f>
        <v>81448.14</v>
      </c>
      <c r="AO497">
        <f>DealsRawTable[[#This Row],[Validated_Annual_Final_Price]]-DealsRawTable[[#This Row],[Cost_to_Serve]]</f>
        <v>43472.739541288327</v>
      </c>
      <c r="AP497" s="17">
        <f>DealsRawTable[[#This Row],[Validated_Grossprofit]]/DealsRawTable[[#This Row],[Validated_Annual_Final_Price]]</f>
        <v>0.53374748080543433</v>
      </c>
      <c r="AQ497" s="17">
        <v>0</v>
      </c>
      <c r="AR497" s="17">
        <v>0</v>
      </c>
      <c r="AS497" s="17">
        <v>0</v>
      </c>
      <c r="AT497" s="17">
        <v>0</v>
      </c>
      <c r="AU497" s="17" t="str">
        <f t="shared" si="15"/>
        <v>20–25%</v>
      </c>
      <c r="AV497" s="17">
        <v>29</v>
      </c>
      <c r="AW497" s="17"/>
    </row>
    <row r="498" spans="1:49">
      <c r="A498" t="s">
        <v>1403</v>
      </c>
      <c r="B498" s="5">
        <v>45331</v>
      </c>
      <c r="C498" t="s">
        <v>338</v>
      </c>
      <c r="D498" t="s">
        <v>339</v>
      </c>
      <c r="E498" t="s">
        <v>755</v>
      </c>
      <c r="F498" t="s">
        <v>466</v>
      </c>
      <c r="G498" t="s">
        <v>47</v>
      </c>
      <c r="H498" t="s">
        <v>48</v>
      </c>
      <c r="I498" t="s">
        <v>49</v>
      </c>
      <c r="J498" t="s">
        <v>56</v>
      </c>
      <c r="K498" t="s">
        <v>38</v>
      </c>
      <c r="L498" s="5">
        <v>44378</v>
      </c>
      <c r="M498">
        <v>37</v>
      </c>
      <c r="N498" t="s">
        <v>433</v>
      </c>
      <c r="O498" t="s">
        <v>891</v>
      </c>
      <c r="Q498">
        <v>3</v>
      </c>
      <c r="R498">
        <v>225</v>
      </c>
      <c r="S498" t="s">
        <v>900</v>
      </c>
      <c r="T498" s="6">
        <v>215667.90776615412</v>
      </c>
      <c r="U498" s="7">
        <f>T498*DealsRawTable[[#This Row],[Contract_Years]]</f>
        <v>647003.72329846234</v>
      </c>
      <c r="V498" s="8">
        <v>8.5000000000000006E-2</v>
      </c>
      <c r="W498" s="8">
        <v>6.5000000000000002E-2</v>
      </c>
      <c r="X498" s="8">
        <v>-5.2999999999999999E-2</v>
      </c>
      <c r="Y498" t="s">
        <v>885</v>
      </c>
      <c r="Z498" t="s">
        <v>879</v>
      </c>
      <c r="AA498" s="6">
        <v>201656.00370263687</v>
      </c>
      <c r="AB498" s="7">
        <f>DealsRawTable[[#This Row],[Final_Price_ACV]]*DealsRawTable[[#This Row],[Contract_Years]]</f>
        <v>604968.01110791066</v>
      </c>
      <c r="AC498" s="6">
        <v>74705.810783718742</v>
      </c>
      <c r="AD498" s="6">
        <v>126950.19291891812</v>
      </c>
      <c r="AE498" s="8">
        <v>0.62953837519323064</v>
      </c>
      <c r="AF498" t="s">
        <v>457</v>
      </c>
      <c r="AI498" t="s">
        <v>38</v>
      </c>
      <c r="AJ498" s="6">
        <v>0</v>
      </c>
      <c r="AK498" s="6">
        <v>0</v>
      </c>
      <c r="AL498" t="s">
        <v>894</v>
      </c>
      <c r="AM498">
        <f t="shared" si="14"/>
        <v>201649.49</v>
      </c>
      <c r="AN498">
        <f>DealsRawTable[[#This Row],[Validated_Annual_Final_Price]]*DealsRawTable[[#This Row],[Contract_Years]]</f>
        <v>604948.47</v>
      </c>
      <c r="AO498">
        <f>DealsRawTable[[#This Row],[Validated_Annual_Final_Price]]-DealsRawTable[[#This Row],[Cost_to_Serve]]</f>
        <v>126943.67921628125</v>
      </c>
      <c r="AP498" s="17">
        <f>DealsRawTable[[#This Row],[Validated_Grossprofit]]/DealsRawTable[[#This Row],[Validated_Annual_Final_Price]]</f>
        <v>0.62952640850359332</v>
      </c>
      <c r="AQ498" s="17">
        <v>0</v>
      </c>
      <c r="AR498" s="17">
        <v>0</v>
      </c>
      <c r="AS498" s="17">
        <v>0</v>
      </c>
      <c r="AT498" s="17">
        <v>0</v>
      </c>
      <c r="AU498" s="17" t="str">
        <f t="shared" si="15"/>
        <v>5–10%</v>
      </c>
      <c r="AV498" s="17">
        <v>116</v>
      </c>
      <c r="AW498" s="17"/>
    </row>
    <row r="499" spans="1:49">
      <c r="A499" t="s">
        <v>1404</v>
      </c>
      <c r="B499" s="5">
        <v>45553</v>
      </c>
      <c r="C499" t="s">
        <v>338</v>
      </c>
      <c r="D499" t="s">
        <v>339</v>
      </c>
      <c r="E499" t="s">
        <v>755</v>
      </c>
      <c r="F499" t="s">
        <v>466</v>
      </c>
      <c r="G499" t="s">
        <v>47</v>
      </c>
      <c r="H499" t="s">
        <v>48</v>
      </c>
      <c r="I499" t="s">
        <v>49</v>
      </c>
      <c r="J499" t="s">
        <v>56</v>
      </c>
      <c r="K499" t="s">
        <v>38</v>
      </c>
      <c r="L499" s="5">
        <v>44378</v>
      </c>
      <c r="M499">
        <v>37</v>
      </c>
      <c r="N499" t="s">
        <v>433</v>
      </c>
      <c r="O499" t="s">
        <v>915</v>
      </c>
      <c r="Q499">
        <v>3</v>
      </c>
      <c r="R499">
        <v>225</v>
      </c>
      <c r="S499" t="s">
        <v>907</v>
      </c>
      <c r="T499" s="6">
        <v>215667.90776615412</v>
      </c>
      <c r="U499" s="7">
        <f>T499*DealsRawTable[[#This Row],[Contract_Years]]</f>
        <v>647003.72329846234</v>
      </c>
      <c r="V499" s="8">
        <v>0.14499999999999999</v>
      </c>
      <c r="W499" s="8">
        <v>0.14000000000000001</v>
      </c>
      <c r="X499" s="8">
        <v>-0.16800000000000001</v>
      </c>
      <c r="Y499" t="s">
        <v>878</v>
      </c>
      <c r="Z499" t="s">
        <v>889</v>
      </c>
      <c r="AA499" s="6">
        <v>185557.69526989135</v>
      </c>
      <c r="AB499" s="7">
        <f>DealsRawTable[[#This Row],[Final_Price_ACV]]*DealsRawTable[[#This Row],[Contract_Years]]</f>
        <v>556673.08580967411</v>
      </c>
      <c r="AC499" s="6">
        <v>78580.86647494568</v>
      </c>
      <c r="AD499" s="6">
        <v>106976.82879494567</v>
      </c>
      <c r="AE499" s="8">
        <v>0.57651518380495737</v>
      </c>
      <c r="AF499" t="s">
        <v>457</v>
      </c>
      <c r="AI499" t="s">
        <v>44</v>
      </c>
      <c r="AJ499" s="6">
        <v>0</v>
      </c>
      <c r="AK499" s="6">
        <v>0</v>
      </c>
      <c r="AL499" t="s">
        <v>934</v>
      </c>
      <c r="AM499">
        <f t="shared" si="14"/>
        <v>185474.4</v>
      </c>
      <c r="AN499">
        <f>DealsRawTable[[#This Row],[Validated_Annual_Final_Price]]*DealsRawTable[[#This Row],[Contract_Years]]</f>
        <v>556423.19999999995</v>
      </c>
      <c r="AO499">
        <f>DealsRawTable[[#This Row],[Validated_Annual_Final_Price]]-DealsRawTable[[#This Row],[Cost_to_Serve]]</f>
        <v>106893.53352505431</v>
      </c>
      <c r="AP499" s="17">
        <f>DealsRawTable[[#This Row],[Validated_Grossprofit]]/DealsRawTable[[#This Row],[Validated_Annual_Final_Price]]</f>
        <v>0.57632499970375595</v>
      </c>
      <c r="AQ499" s="17">
        <v>0</v>
      </c>
      <c r="AR499" s="17">
        <v>0</v>
      </c>
      <c r="AS499" s="17">
        <v>0</v>
      </c>
      <c r="AT499" s="17">
        <v>0</v>
      </c>
      <c r="AU499" s="17" t="str">
        <f t="shared" si="15"/>
        <v>10–15%</v>
      </c>
      <c r="AV499" s="17">
        <v>113</v>
      </c>
      <c r="AW499" s="17"/>
    </row>
    <row r="500" spans="1:49">
      <c r="A500" t="s">
        <v>1405</v>
      </c>
      <c r="B500" s="5">
        <v>45705</v>
      </c>
      <c r="C500" t="s">
        <v>340</v>
      </c>
      <c r="D500" t="s">
        <v>341</v>
      </c>
      <c r="E500" t="s">
        <v>756</v>
      </c>
      <c r="F500" t="s">
        <v>34</v>
      </c>
      <c r="G500" t="s">
        <v>69</v>
      </c>
      <c r="H500" t="s">
        <v>35</v>
      </c>
      <c r="I500" t="s">
        <v>42</v>
      </c>
      <c r="J500" t="s">
        <v>43</v>
      </c>
      <c r="K500" t="s">
        <v>44</v>
      </c>
      <c r="L500" s="5">
        <v>43831</v>
      </c>
      <c r="M500">
        <v>96</v>
      </c>
      <c r="N500" t="s">
        <v>429</v>
      </c>
      <c r="O500" t="s">
        <v>891</v>
      </c>
      <c r="Q500">
        <v>1</v>
      </c>
      <c r="R500">
        <v>1068</v>
      </c>
      <c r="S500" t="s">
        <v>907</v>
      </c>
      <c r="T500" s="6">
        <v>362514.59337994934</v>
      </c>
      <c r="U500" s="7">
        <f>T500*DealsRawTable[[#This Row],[Contract_Years]]</f>
        <v>362514.59337994934</v>
      </c>
      <c r="V500" s="8">
        <v>0.19600000000000001</v>
      </c>
      <c r="W500" s="8">
        <v>0.17199999999999999</v>
      </c>
      <c r="X500" s="8">
        <v>-7.8E-2</v>
      </c>
      <c r="Y500" t="s">
        <v>905</v>
      </c>
      <c r="Z500" t="s">
        <v>889</v>
      </c>
      <c r="AA500" s="6">
        <v>300330.19924677256</v>
      </c>
      <c r="AB500" s="7">
        <f>DealsRawTable[[#This Row],[Final_Price_ACV]]*DealsRawTable[[#This Row],[Contract_Years]]</f>
        <v>300330.19924677256</v>
      </c>
      <c r="AC500" s="6">
        <v>124025.3222535285</v>
      </c>
      <c r="AD500" s="6">
        <v>176304.87699324405</v>
      </c>
      <c r="AE500" s="8">
        <v>0.58703679295460887</v>
      </c>
      <c r="AF500" t="s">
        <v>880</v>
      </c>
      <c r="AI500" t="s">
        <v>38</v>
      </c>
      <c r="AJ500" s="6">
        <v>300330.19924677256</v>
      </c>
      <c r="AK500" s="6">
        <v>176304.87699324405</v>
      </c>
      <c r="AL500" t="s">
        <v>894</v>
      </c>
      <c r="AM500">
        <f t="shared" si="14"/>
        <v>300162.08</v>
      </c>
      <c r="AN500">
        <f>DealsRawTable[[#This Row],[Validated_Annual_Final_Price]]*DealsRawTable[[#This Row],[Contract_Years]]</f>
        <v>300162.08</v>
      </c>
      <c r="AO500">
        <f>DealsRawTable[[#This Row],[Validated_Annual_Final_Price]]-DealsRawTable[[#This Row],[Cost_to_Serve]]</f>
        <v>176136.7577464715</v>
      </c>
      <c r="AP500" s="17">
        <f>DealsRawTable[[#This Row],[Validated_Grossprofit]]/DealsRawTable[[#This Row],[Validated_Annual_Final_Price]]</f>
        <v>0.586805494373145</v>
      </c>
      <c r="AQ500" s="17">
        <v>300162.08</v>
      </c>
      <c r="AR500" s="17">
        <v>300162.08</v>
      </c>
      <c r="AS500" s="17">
        <v>176136.7577464715</v>
      </c>
      <c r="AT500" s="17">
        <v>0.586805494373145</v>
      </c>
      <c r="AU500" s="17" t="str">
        <f t="shared" si="15"/>
        <v>15–20%</v>
      </c>
      <c r="AV500" s="17">
        <v>108</v>
      </c>
      <c r="AW500" s="17"/>
    </row>
    <row r="501" spans="1:49">
      <c r="A501" t="s">
        <v>1406</v>
      </c>
      <c r="B501" s="5">
        <v>45367</v>
      </c>
      <c r="C501" t="s">
        <v>340</v>
      </c>
      <c r="D501" t="s">
        <v>341</v>
      </c>
      <c r="E501" t="s">
        <v>757</v>
      </c>
      <c r="F501" t="s">
        <v>466</v>
      </c>
      <c r="G501" t="s">
        <v>69</v>
      </c>
      <c r="H501" t="s">
        <v>35</v>
      </c>
      <c r="I501" t="s">
        <v>42</v>
      </c>
      <c r="J501" t="s">
        <v>43</v>
      </c>
      <c r="K501" t="s">
        <v>44</v>
      </c>
      <c r="L501" s="5">
        <v>43831</v>
      </c>
      <c r="M501">
        <v>96</v>
      </c>
      <c r="N501" t="s">
        <v>429</v>
      </c>
      <c r="O501" t="s">
        <v>891</v>
      </c>
      <c r="Q501">
        <v>1</v>
      </c>
      <c r="R501">
        <v>627</v>
      </c>
      <c r="S501" t="s">
        <v>907</v>
      </c>
      <c r="T501" s="6">
        <v>411622.14589715138</v>
      </c>
      <c r="U501" s="7">
        <f>T501*DealsRawTable[[#This Row],[Contract_Years]]</f>
        <v>411622.14589715138</v>
      </c>
      <c r="V501" s="8">
        <v>0.157</v>
      </c>
      <c r="W501" s="8">
        <v>0.13900000000000001</v>
      </c>
      <c r="X501" s="8">
        <v>-4.5999999999999999E-2</v>
      </c>
      <c r="Y501" t="s">
        <v>878</v>
      </c>
      <c r="Z501" t="s">
        <v>889</v>
      </c>
      <c r="AA501" s="6">
        <v>354528.47626190796</v>
      </c>
      <c r="AB501" s="7">
        <f>DealsRawTable[[#This Row],[Final_Price_ACV]]*DealsRawTable[[#This Row],[Contract_Years]]</f>
        <v>354528.47626190796</v>
      </c>
      <c r="AC501" s="6">
        <v>151069.78991704519</v>
      </c>
      <c r="AD501" s="6">
        <v>203458.68634486277</v>
      </c>
      <c r="AE501" s="8">
        <v>0.57388531519413866</v>
      </c>
      <c r="AF501" t="s">
        <v>880</v>
      </c>
      <c r="AI501" t="s">
        <v>38</v>
      </c>
      <c r="AJ501" s="6">
        <v>354528.47626190796</v>
      </c>
      <c r="AK501" s="6">
        <v>203458.68634486277</v>
      </c>
      <c r="AL501" t="s">
        <v>894</v>
      </c>
      <c r="AM501">
        <f t="shared" si="14"/>
        <v>354406.67</v>
      </c>
      <c r="AN501">
        <f>DealsRawTable[[#This Row],[Validated_Annual_Final_Price]]*DealsRawTable[[#This Row],[Contract_Years]]</f>
        <v>354406.67</v>
      </c>
      <c r="AO501">
        <f>DealsRawTable[[#This Row],[Validated_Annual_Final_Price]]-DealsRawTable[[#This Row],[Cost_to_Serve]]</f>
        <v>203336.8800829548</v>
      </c>
      <c r="AP501" s="17">
        <f>DealsRawTable[[#This Row],[Validated_Grossprofit]]/DealsRawTable[[#This Row],[Validated_Annual_Final_Price]]</f>
        <v>0.57373886355737835</v>
      </c>
      <c r="AQ501" s="17">
        <v>354406.67</v>
      </c>
      <c r="AR501" s="17">
        <v>354406.67</v>
      </c>
      <c r="AS501" s="17">
        <v>203336.8800829548</v>
      </c>
      <c r="AT501" s="17">
        <v>0.57373886355737835</v>
      </c>
      <c r="AU501" s="17" t="str">
        <f t="shared" si="15"/>
        <v>10–15%</v>
      </c>
      <c r="AV501" s="17">
        <v>113</v>
      </c>
      <c r="AW501" s="17"/>
    </row>
    <row r="502" spans="1:49">
      <c r="A502" t="s">
        <v>1407</v>
      </c>
      <c r="B502" s="5">
        <v>45732</v>
      </c>
      <c r="C502" t="s">
        <v>340</v>
      </c>
      <c r="D502" t="s">
        <v>341</v>
      </c>
      <c r="E502" t="s">
        <v>757</v>
      </c>
      <c r="F502" t="s">
        <v>466</v>
      </c>
      <c r="G502" t="s">
        <v>69</v>
      </c>
      <c r="H502" t="s">
        <v>35</v>
      </c>
      <c r="I502" t="s">
        <v>42</v>
      </c>
      <c r="J502" t="s">
        <v>43</v>
      </c>
      <c r="K502" t="s">
        <v>44</v>
      </c>
      <c r="L502" s="5">
        <v>43831</v>
      </c>
      <c r="M502">
        <v>96</v>
      </c>
      <c r="N502" t="s">
        <v>429</v>
      </c>
      <c r="O502" t="s">
        <v>876</v>
      </c>
      <c r="Q502">
        <v>1</v>
      </c>
      <c r="R502">
        <v>627</v>
      </c>
      <c r="S502" t="s">
        <v>877</v>
      </c>
      <c r="T502" s="6">
        <v>429617.09019496152</v>
      </c>
      <c r="U502" s="7">
        <f>T502*DealsRawTable[[#This Row],[Contract_Years]]</f>
        <v>429617.09019496152</v>
      </c>
      <c r="V502" s="8">
        <v>0.20100000000000001</v>
      </c>
      <c r="W502" s="8">
        <v>0.17199999999999999</v>
      </c>
      <c r="X502" s="8">
        <v>-0.125</v>
      </c>
      <c r="Y502" t="s">
        <v>911</v>
      </c>
      <c r="Z502" t="s">
        <v>889</v>
      </c>
      <c r="AA502" s="6">
        <v>355850.94344502804</v>
      </c>
      <c r="AB502" s="7">
        <f>DealsRawTable[[#This Row],[Final_Price_ACV]]*DealsRawTable[[#This Row],[Contract_Years]]</f>
        <v>355850.94344502804</v>
      </c>
      <c r="AC502" s="6">
        <v>148390.57622431772</v>
      </c>
      <c r="AD502" s="6">
        <v>207460.36722071032</v>
      </c>
      <c r="AE502" s="8">
        <v>0.58299794068905952</v>
      </c>
      <c r="AF502" t="s">
        <v>880</v>
      </c>
      <c r="AG502" t="s">
        <v>44</v>
      </c>
      <c r="AI502" t="s">
        <v>38</v>
      </c>
      <c r="AJ502" s="6">
        <v>355850.94344502804</v>
      </c>
      <c r="AK502" s="6">
        <v>207460.36722071032</v>
      </c>
      <c r="AL502" t="s">
        <v>881</v>
      </c>
      <c r="AM502">
        <f t="shared" si="14"/>
        <v>355722.95</v>
      </c>
      <c r="AN502">
        <f>DealsRawTable[[#This Row],[Validated_Annual_Final_Price]]*DealsRawTable[[#This Row],[Contract_Years]]</f>
        <v>355722.95</v>
      </c>
      <c r="AO502">
        <f>DealsRawTable[[#This Row],[Validated_Annual_Final_Price]]-DealsRawTable[[#This Row],[Cost_to_Serve]]</f>
        <v>207332.3737756823</v>
      </c>
      <c r="AP502" s="17">
        <f>DealsRawTable[[#This Row],[Validated_Grossprofit]]/DealsRawTable[[#This Row],[Validated_Annual_Final_Price]]</f>
        <v>0.58284789827499828</v>
      </c>
      <c r="AQ502" s="17">
        <v>355722.95</v>
      </c>
      <c r="AR502" s="17">
        <v>355722.95</v>
      </c>
      <c r="AS502" s="17">
        <v>207332.3737756823</v>
      </c>
      <c r="AT502" s="17">
        <v>0.58284789827499828</v>
      </c>
      <c r="AU502" s="17" t="str">
        <f t="shared" si="15"/>
        <v>15–20%</v>
      </c>
      <c r="AV502" s="17">
        <v>108</v>
      </c>
      <c r="AW502" s="17"/>
    </row>
    <row r="503" spans="1:49">
      <c r="A503" t="s">
        <v>1408</v>
      </c>
      <c r="B503" s="5">
        <v>45371</v>
      </c>
      <c r="C503" t="s">
        <v>342</v>
      </c>
      <c r="D503" t="s">
        <v>343</v>
      </c>
      <c r="E503" t="s">
        <v>758</v>
      </c>
      <c r="F503" t="s">
        <v>449</v>
      </c>
      <c r="G503" t="s">
        <v>69</v>
      </c>
      <c r="H503" t="s">
        <v>35</v>
      </c>
      <c r="I503" t="s">
        <v>36</v>
      </c>
      <c r="J503" t="s">
        <v>56</v>
      </c>
      <c r="K503" t="s">
        <v>38</v>
      </c>
      <c r="L503" s="5">
        <v>45597</v>
      </c>
      <c r="M503">
        <v>64</v>
      </c>
      <c r="N503" t="s">
        <v>427</v>
      </c>
      <c r="O503" t="s">
        <v>891</v>
      </c>
      <c r="Q503">
        <v>1</v>
      </c>
      <c r="R503">
        <v>302</v>
      </c>
      <c r="S503" t="s">
        <v>892</v>
      </c>
      <c r="T503" s="6">
        <v>81226.42093251081</v>
      </c>
      <c r="U503" s="7">
        <f>T503*DealsRawTable[[#This Row],[Contract_Years]]</f>
        <v>81226.42093251081</v>
      </c>
      <c r="V503" s="8">
        <v>0.127</v>
      </c>
      <c r="W503" s="8">
        <v>0.08</v>
      </c>
      <c r="X503" s="8">
        <v>-7.6999999999999999E-2</v>
      </c>
      <c r="Y503" t="s">
        <v>897</v>
      </c>
      <c r="Z503" t="s">
        <v>879</v>
      </c>
      <c r="AA503" s="6">
        <v>74732.683307693762</v>
      </c>
      <c r="AB503" s="7">
        <f>DealsRawTable[[#This Row],[Final_Price_ACV]]*DealsRawTable[[#This Row],[Contract_Years]]</f>
        <v>74732.683307693762</v>
      </c>
      <c r="AC503" s="6">
        <v>27447.830681646232</v>
      </c>
      <c r="AD503" s="6">
        <v>47284.852626047534</v>
      </c>
      <c r="AE503" s="8">
        <v>0.63271985606837611</v>
      </c>
      <c r="AF503" t="s">
        <v>457</v>
      </c>
      <c r="AI503" t="s">
        <v>38</v>
      </c>
      <c r="AJ503" s="6">
        <v>0</v>
      </c>
      <c r="AK503" s="6">
        <v>0</v>
      </c>
      <c r="AL503" t="s">
        <v>894</v>
      </c>
      <c r="AM503">
        <f t="shared" si="14"/>
        <v>74728.31</v>
      </c>
      <c r="AN503">
        <f>DealsRawTable[[#This Row],[Validated_Annual_Final_Price]]*DealsRawTable[[#This Row],[Contract_Years]]</f>
        <v>74728.31</v>
      </c>
      <c r="AO503">
        <f>DealsRawTable[[#This Row],[Validated_Annual_Final_Price]]-DealsRawTable[[#This Row],[Cost_to_Serve]]</f>
        <v>47280.479318353769</v>
      </c>
      <c r="AP503" s="17">
        <f>DealsRawTable[[#This Row],[Validated_Grossprofit]]/DealsRawTable[[#This Row],[Validated_Annual_Final_Price]]</f>
        <v>0.63269836181701111</v>
      </c>
      <c r="AQ503" s="17">
        <v>0</v>
      </c>
      <c r="AR503" s="17">
        <v>0</v>
      </c>
      <c r="AS503" s="17">
        <v>0</v>
      </c>
      <c r="AT503" s="17">
        <v>0</v>
      </c>
      <c r="AU503" s="17" t="str">
        <f t="shared" si="15"/>
        <v>5–10%</v>
      </c>
      <c r="AV503" s="17">
        <v>116</v>
      </c>
      <c r="AW503" s="17"/>
    </row>
    <row r="504" spans="1:49">
      <c r="A504" t="s">
        <v>1409</v>
      </c>
      <c r="B504" s="5">
        <v>45558</v>
      </c>
      <c r="C504" t="s">
        <v>342</v>
      </c>
      <c r="D504" t="s">
        <v>343</v>
      </c>
      <c r="E504" t="s">
        <v>759</v>
      </c>
      <c r="F504" t="s">
        <v>466</v>
      </c>
      <c r="G504" t="s">
        <v>69</v>
      </c>
      <c r="H504" t="s">
        <v>35</v>
      </c>
      <c r="I504" t="s">
        <v>36</v>
      </c>
      <c r="J504" t="s">
        <v>56</v>
      </c>
      <c r="K504" t="s">
        <v>38</v>
      </c>
      <c r="L504" s="5">
        <v>45597</v>
      </c>
      <c r="M504">
        <v>64</v>
      </c>
      <c r="N504" t="s">
        <v>433</v>
      </c>
      <c r="O504" t="s">
        <v>891</v>
      </c>
      <c r="Q504">
        <v>3</v>
      </c>
      <c r="R504">
        <v>245</v>
      </c>
      <c r="S504" t="s">
        <v>888</v>
      </c>
      <c r="T504" s="6">
        <v>289536.71702233795</v>
      </c>
      <c r="U504" s="7">
        <f>T504*DealsRawTable[[#This Row],[Contract_Years]]</f>
        <v>868610.15106701385</v>
      </c>
      <c r="V504" s="8">
        <v>0.16800000000000001</v>
      </c>
      <c r="W504" s="8">
        <v>0.14199999999999999</v>
      </c>
      <c r="X504" s="8">
        <v>6.0999999999999999E-2</v>
      </c>
      <c r="Y504" t="s">
        <v>911</v>
      </c>
      <c r="Z504" t="s">
        <v>889</v>
      </c>
      <c r="AA504" s="6">
        <v>248421.82206808255</v>
      </c>
      <c r="AB504" s="7">
        <f>DealsRawTable[[#This Row],[Final_Price_ACV]]*DealsRawTable[[#This Row],[Contract_Years]]</f>
        <v>745265.46620424767</v>
      </c>
      <c r="AC504" s="6">
        <v>110266.34911671963</v>
      </c>
      <c r="AD504" s="6">
        <v>138155.4729513629</v>
      </c>
      <c r="AE504" s="8">
        <v>0.55613259656995828</v>
      </c>
      <c r="AF504" t="s">
        <v>457</v>
      </c>
      <c r="AI504" t="s">
        <v>38</v>
      </c>
      <c r="AJ504" s="6">
        <v>0</v>
      </c>
      <c r="AK504" s="6">
        <v>0</v>
      </c>
      <c r="AL504" t="s">
        <v>894</v>
      </c>
      <c r="AM504">
        <f t="shared" si="14"/>
        <v>248422.5</v>
      </c>
      <c r="AN504">
        <f>DealsRawTable[[#This Row],[Validated_Annual_Final_Price]]*DealsRawTable[[#This Row],[Contract_Years]]</f>
        <v>745267.5</v>
      </c>
      <c r="AO504">
        <f>DealsRawTable[[#This Row],[Validated_Annual_Final_Price]]-DealsRawTable[[#This Row],[Cost_to_Serve]]</f>
        <v>138156.15088328038</v>
      </c>
      <c r="AP504" s="17">
        <f>DealsRawTable[[#This Row],[Validated_Grossprofit]]/DealsRawTable[[#This Row],[Validated_Annual_Final_Price]]</f>
        <v>0.55613380786072264</v>
      </c>
      <c r="AQ504" s="17">
        <v>0</v>
      </c>
      <c r="AR504" s="17">
        <v>0</v>
      </c>
      <c r="AS504" s="17">
        <v>0</v>
      </c>
      <c r="AT504" s="17">
        <v>0</v>
      </c>
      <c r="AU504" s="17" t="str">
        <f t="shared" si="15"/>
        <v>10–15%</v>
      </c>
      <c r="AV504" s="17">
        <v>113</v>
      </c>
      <c r="AW504" s="17"/>
    </row>
    <row r="505" spans="1:49">
      <c r="A505" t="s">
        <v>1410</v>
      </c>
      <c r="B505" s="5">
        <v>45471</v>
      </c>
      <c r="C505" t="s">
        <v>344</v>
      </c>
      <c r="D505" t="s">
        <v>345</v>
      </c>
      <c r="E505" t="s">
        <v>760</v>
      </c>
      <c r="F505" t="s">
        <v>34</v>
      </c>
      <c r="G505" t="s">
        <v>83</v>
      </c>
      <c r="H505" t="s">
        <v>48</v>
      </c>
      <c r="I505" t="s">
        <v>49</v>
      </c>
      <c r="J505" t="s">
        <v>56</v>
      </c>
      <c r="K505" t="s">
        <v>38</v>
      </c>
      <c r="L505" s="5">
        <v>43252</v>
      </c>
      <c r="M505">
        <v>68</v>
      </c>
      <c r="N505" t="s">
        <v>427</v>
      </c>
      <c r="O505" t="s">
        <v>883</v>
      </c>
      <c r="P505" t="s">
        <v>985</v>
      </c>
      <c r="Q505">
        <v>1</v>
      </c>
      <c r="R505">
        <v>259</v>
      </c>
      <c r="S505" t="s">
        <v>888</v>
      </c>
      <c r="T505" s="6">
        <v>146840.97743354333</v>
      </c>
      <c r="U505" s="7">
        <f>T505*DealsRawTable[[#This Row],[Contract_Years]]</f>
        <v>146840.97743354333</v>
      </c>
      <c r="V505" s="8">
        <v>9.9000000000000005E-2</v>
      </c>
      <c r="W505" s="8">
        <v>7.0000000000000007E-2</v>
      </c>
      <c r="X505" s="8">
        <v>-5.3999999999999999E-2</v>
      </c>
      <c r="Y505" t="s">
        <v>885</v>
      </c>
      <c r="Z505" t="s">
        <v>879</v>
      </c>
      <c r="AA505" s="6">
        <v>136541.06722685599</v>
      </c>
      <c r="AB505" s="7">
        <f>DealsRawTable[[#This Row],[Final_Price_ACV]]*DealsRawTable[[#This Row],[Contract_Years]]</f>
        <v>136541.06722685599</v>
      </c>
      <c r="AC505" s="6">
        <v>44590.813870809077</v>
      </c>
      <c r="AD505" s="6">
        <v>91950.253356046916</v>
      </c>
      <c r="AE505" s="8">
        <v>0.67342562368636161</v>
      </c>
      <c r="AF505" t="s">
        <v>457</v>
      </c>
      <c r="AH505" t="s">
        <v>38</v>
      </c>
      <c r="AI505" t="s">
        <v>38</v>
      </c>
      <c r="AJ505" s="6">
        <v>0</v>
      </c>
      <c r="AK505" s="6">
        <v>0</v>
      </c>
      <c r="AL505" t="s">
        <v>886</v>
      </c>
      <c r="AM505">
        <f t="shared" si="14"/>
        <v>136562.10999999999</v>
      </c>
      <c r="AN505">
        <f>DealsRawTable[[#This Row],[Validated_Annual_Final_Price]]*DealsRawTable[[#This Row],[Contract_Years]]</f>
        <v>136562.10999999999</v>
      </c>
      <c r="AO505">
        <f>DealsRawTable[[#This Row],[Validated_Annual_Final_Price]]-DealsRawTable[[#This Row],[Cost_to_Serve]]</f>
        <v>91971.296129190916</v>
      </c>
      <c r="AP505" s="17">
        <f>DealsRawTable[[#This Row],[Validated_Grossprofit]]/DealsRawTable[[#This Row],[Validated_Annual_Final_Price]]</f>
        <v>0.67347594533499022</v>
      </c>
      <c r="AQ505" s="17">
        <v>0</v>
      </c>
      <c r="AR505" s="17">
        <v>0</v>
      </c>
      <c r="AS505" s="17">
        <v>0</v>
      </c>
      <c r="AT505" s="17">
        <v>0</v>
      </c>
      <c r="AU505" s="17" t="str">
        <f t="shared" si="15"/>
        <v>5–10%</v>
      </c>
      <c r="AV505" s="17">
        <v>116</v>
      </c>
      <c r="AW505" s="17"/>
    </row>
    <row r="506" spans="1:49">
      <c r="A506" t="s">
        <v>1411</v>
      </c>
      <c r="B506" s="5">
        <v>45632</v>
      </c>
      <c r="C506" t="s">
        <v>344</v>
      </c>
      <c r="D506" t="s">
        <v>345</v>
      </c>
      <c r="E506" t="s">
        <v>760</v>
      </c>
      <c r="F506" t="s">
        <v>34</v>
      </c>
      <c r="G506" t="s">
        <v>83</v>
      </c>
      <c r="H506" t="s">
        <v>48</v>
      </c>
      <c r="I506" t="s">
        <v>49</v>
      </c>
      <c r="J506" t="s">
        <v>56</v>
      </c>
      <c r="K506" t="s">
        <v>38</v>
      </c>
      <c r="L506" s="5">
        <v>43252</v>
      </c>
      <c r="M506">
        <v>68</v>
      </c>
      <c r="N506" t="s">
        <v>427</v>
      </c>
      <c r="O506" t="s">
        <v>876</v>
      </c>
      <c r="Q506">
        <v>1</v>
      </c>
      <c r="R506">
        <v>180</v>
      </c>
      <c r="S506" t="s">
        <v>892</v>
      </c>
      <c r="T506" s="6">
        <v>120483.91887048486</v>
      </c>
      <c r="U506" s="7">
        <f>T506*DealsRawTable[[#This Row],[Contract_Years]]</f>
        <v>120483.91887048486</v>
      </c>
      <c r="V506" s="8">
        <v>0.17100000000000001</v>
      </c>
      <c r="W506" s="8">
        <v>0.11799999999999999</v>
      </c>
      <c r="X506" s="8">
        <v>-7.6999999999999999E-2</v>
      </c>
      <c r="Y506" t="s">
        <v>905</v>
      </c>
      <c r="Z506" t="s">
        <v>889</v>
      </c>
      <c r="AA506" s="6">
        <v>106279.82487622595</v>
      </c>
      <c r="AB506" s="7">
        <f>DealsRawTable[[#This Row],[Final_Price_ACV]]*DealsRawTable[[#This Row],[Contract_Years]]</f>
        <v>106279.82487622595</v>
      </c>
      <c r="AC506" s="6">
        <v>38676.070724666257</v>
      </c>
      <c r="AD506" s="6">
        <v>67603.754151559697</v>
      </c>
      <c r="AE506" s="8">
        <v>0.63609207326311834</v>
      </c>
      <c r="AF506" t="s">
        <v>457</v>
      </c>
      <c r="AG506" t="s">
        <v>38</v>
      </c>
      <c r="AI506" t="s">
        <v>38</v>
      </c>
      <c r="AJ506" s="6">
        <v>0</v>
      </c>
      <c r="AK506" s="6">
        <v>0</v>
      </c>
      <c r="AL506" t="s">
        <v>881</v>
      </c>
      <c r="AM506">
        <f t="shared" si="14"/>
        <v>106266.82</v>
      </c>
      <c r="AN506">
        <f>DealsRawTable[[#This Row],[Validated_Annual_Final_Price]]*DealsRawTable[[#This Row],[Contract_Years]]</f>
        <v>106266.82</v>
      </c>
      <c r="AO506">
        <f>DealsRawTable[[#This Row],[Validated_Annual_Final_Price]]-DealsRawTable[[#This Row],[Cost_to_Serve]]</f>
        <v>67590.749275333743</v>
      </c>
      <c r="AP506" s="17">
        <f>DealsRawTable[[#This Row],[Validated_Grossprofit]]/DealsRawTable[[#This Row],[Validated_Annual_Final_Price]]</f>
        <v>0.63604753840694339</v>
      </c>
      <c r="AQ506" s="17">
        <v>0</v>
      </c>
      <c r="AR506" s="17">
        <v>0</v>
      </c>
      <c r="AS506" s="17">
        <v>0</v>
      </c>
      <c r="AT506" s="17">
        <v>0</v>
      </c>
      <c r="AU506" s="17" t="str">
        <f t="shared" si="15"/>
        <v>10–15%</v>
      </c>
      <c r="AV506" s="17">
        <v>113</v>
      </c>
      <c r="AW506" s="17"/>
    </row>
    <row r="507" spans="1:49">
      <c r="A507" t="s">
        <v>1412</v>
      </c>
      <c r="B507" s="5">
        <v>45336</v>
      </c>
      <c r="C507" t="s">
        <v>346</v>
      </c>
      <c r="D507" t="s">
        <v>347</v>
      </c>
      <c r="E507" t="s">
        <v>761</v>
      </c>
      <c r="F507" t="s">
        <v>466</v>
      </c>
      <c r="G507" t="s">
        <v>34</v>
      </c>
      <c r="H507" t="s">
        <v>70</v>
      </c>
      <c r="I507" t="s">
        <v>71</v>
      </c>
      <c r="J507" t="s">
        <v>56</v>
      </c>
      <c r="K507" t="s">
        <v>38</v>
      </c>
      <c r="L507" s="5">
        <v>45047</v>
      </c>
      <c r="M507">
        <v>54</v>
      </c>
      <c r="N507" t="s">
        <v>427</v>
      </c>
      <c r="O507" t="s">
        <v>891</v>
      </c>
      <c r="Q507">
        <v>2</v>
      </c>
      <c r="R507">
        <v>95</v>
      </c>
      <c r="S507" t="s">
        <v>932</v>
      </c>
      <c r="T507" s="6">
        <v>113991.40457276741</v>
      </c>
      <c r="U507" s="7">
        <f>T507*DealsRawTable[[#This Row],[Contract_Years]]</f>
        <v>227982.80914553482</v>
      </c>
      <c r="V507" s="8">
        <v>7.8E-2</v>
      </c>
      <c r="W507" s="8">
        <v>6.0999999999999999E-2</v>
      </c>
      <c r="X507" s="8">
        <v>-2.1999999999999999E-2</v>
      </c>
      <c r="Y507" t="s">
        <v>909</v>
      </c>
      <c r="Z507" t="s">
        <v>879</v>
      </c>
      <c r="AA507" s="6">
        <v>107088.62667111828</v>
      </c>
      <c r="AB507" s="7">
        <f>DealsRawTable[[#This Row],[Final_Price_ACV]]*DealsRawTable[[#This Row],[Contract_Years]]</f>
        <v>214177.25334223657</v>
      </c>
      <c r="AC507" s="6">
        <v>36985.493069413322</v>
      </c>
      <c r="AD507" s="6">
        <v>70103.133601704962</v>
      </c>
      <c r="AE507" s="8">
        <v>0.65462725390063969</v>
      </c>
      <c r="AF507" t="s">
        <v>457</v>
      </c>
      <c r="AI507" t="s">
        <v>38</v>
      </c>
      <c r="AJ507" s="6">
        <v>0</v>
      </c>
      <c r="AK507" s="6">
        <v>0</v>
      </c>
      <c r="AL507" t="s">
        <v>894</v>
      </c>
      <c r="AM507">
        <f t="shared" si="14"/>
        <v>107037.93</v>
      </c>
      <c r="AN507">
        <f>DealsRawTable[[#This Row],[Validated_Annual_Final_Price]]*DealsRawTable[[#This Row],[Contract_Years]]</f>
        <v>214075.86</v>
      </c>
      <c r="AO507">
        <f>DealsRawTable[[#This Row],[Validated_Annual_Final_Price]]-DealsRawTable[[#This Row],[Cost_to_Serve]]</f>
        <v>70052.436930586671</v>
      </c>
      <c r="AP507" s="17">
        <f>DealsRawTable[[#This Row],[Validated_Grossprofit]]/DealsRawTable[[#This Row],[Validated_Annual_Final_Price]]</f>
        <v>0.65446367405074701</v>
      </c>
      <c r="AQ507" s="17">
        <v>0</v>
      </c>
      <c r="AR507" s="17">
        <v>0</v>
      </c>
      <c r="AS507" s="17">
        <v>0</v>
      </c>
      <c r="AT507" s="17">
        <v>0</v>
      </c>
      <c r="AU507" s="17" t="str">
        <f t="shared" si="15"/>
        <v>5–10%</v>
      </c>
      <c r="AV507" s="17">
        <v>116</v>
      </c>
      <c r="AW507" s="17"/>
    </row>
    <row r="508" spans="1:49">
      <c r="A508" t="s">
        <v>1413</v>
      </c>
      <c r="B508" s="5">
        <v>45397</v>
      </c>
      <c r="C508" t="s">
        <v>346</v>
      </c>
      <c r="D508" t="s">
        <v>347</v>
      </c>
      <c r="E508" t="s">
        <v>762</v>
      </c>
      <c r="F508" t="s">
        <v>466</v>
      </c>
      <c r="G508" t="s">
        <v>34</v>
      </c>
      <c r="H508" t="s">
        <v>70</v>
      </c>
      <c r="I508" t="s">
        <v>71</v>
      </c>
      <c r="J508" t="s">
        <v>56</v>
      </c>
      <c r="K508" t="s">
        <v>38</v>
      </c>
      <c r="L508" s="5">
        <v>45047</v>
      </c>
      <c r="M508">
        <v>54</v>
      </c>
      <c r="N508" t="s">
        <v>431</v>
      </c>
      <c r="O508" t="s">
        <v>891</v>
      </c>
      <c r="Q508">
        <v>3</v>
      </c>
      <c r="R508">
        <v>316</v>
      </c>
      <c r="S508" t="s">
        <v>877</v>
      </c>
      <c r="T508" s="6">
        <v>99655.052793841343</v>
      </c>
      <c r="U508" s="7">
        <f>T508*DealsRawTable[[#This Row],[Contract_Years]]</f>
        <v>298965.15838152403</v>
      </c>
      <c r="V508" s="8">
        <v>8.5000000000000006E-2</v>
      </c>
      <c r="W508" s="8">
        <v>2.5000000000000001E-2</v>
      </c>
      <c r="X508" s="8">
        <v>3.7999999999999999E-2</v>
      </c>
      <c r="Y508" t="s">
        <v>878</v>
      </c>
      <c r="Z508" t="s">
        <v>879</v>
      </c>
      <c r="AA508" s="6">
        <v>97209.097379089188</v>
      </c>
      <c r="AB508" s="7">
        <f>DealsRawTable[[#This Row],[Final_Price_ACV]]*DealsRawTable[[#This Row],[Contract_Years]]</f>
        <v>291627.29213726753</v>
      </c>
      <c r="AC508" s="6">
        <v>38791.733586424562</v>
      </c>
      <c r="AD508" s="6">
        <v>58417.363792664626</v>
      </c>
      <c r="AE508" s="8">
        <v>0.600945439960755</v>
      </c>
      <c r="AF508" t="s">
        <v>457</v>
      </c>
      <c r="AI508" t="s">
        <v>38</v>
      </c>
      <c r="AJ508" s="6">
        <v>0</v>
      </c>
      <c r="AK508" s="6">
        <v>0</v>
      </c>
      <c r="AL508" t="s">
        <v>894</v>
      </c>
      <c r="AM508">
        <f t="shared" si="14"/>
        <v>97163.68</v>
      </c>
      <c r="AN508">
        <f>DealsRawTable[[#This Row],[Validated_Annual_Final_Price]]*DealsRawTable[[#This Row],[Contract_Years]]</f>
        <v>291491.03999999998</v>
      </c>
      <c r="AO508">
        <f>DealsRawTable[[#This Row],[Validated_Annual_Final_Price]]-DealsRawTable[[#This Row],[Cost_to_Serve]]</f>
        <v>58371.946413575432</v>
      </c>
      <c r="AP508" s="17">
        <f>DealsRawTable[[#This Row],[Validated_Grossprofit]]/DealsRawTable[[#This Row],[Validated_Annual_Final_Price]]</f>
        <v>0.6007589092300275</v>
      </c>
      <c r="AQ508" s="17">
        <v>0</v>
      </c>
      <c r="AR508" s="17">
        <v>0</v>
      </c>
      <c r="AS508" s="17">
        <v>0</v>
      </c>
      <c r="AT508" s="17">
        <v>0</v>
      </c>
      <c r="AU508" s="17" t="str">
        <f t="shared" si="15"/>
        <v>0–5%</v>
      </c>
      <c r="AV508" s="17">
        <v>55</v>
      </c>
      <c r="AW508" s="17"/>
    </row>
    <row r="509" spans="1:49">
      <c r="A509" t="s">
        <v>1414</v>
      </c>
      <c r="B509" s="5">
        <v>45584</v>
      </c>
      <c r="C509" t="s">
        <v>346</v>
      </c>
      <c r="D509" t="s">
        <v>347</v>
      </c>
      <c r="E509" t="s">
        <v>762</v>
      </c>
      <c r="F509" t="s">
        <v>466</v>
      </c>
      <c r="G509" t="s">
        <v>34</v>
      </c>
      <c r="H509" t="s">
        <v>70</v>
      </c>
      <c r="I509" t="s">
        <v>71</v>
      </c>
      <c r="J509" t="s">
        <v>56</v>
      </c>
      <c r="K509" t="s">
        <v>38</v>
      </c>
      <c r="L509" s="5">
        <v>45047</v>
      </c>
      <c r="M509">
        <v>54</v>
      </c>
      <c r="N509" t="s">
        <v>431</v>
      </c>
      <c r="O509" t="s">
        <v>915</v>
      </c>
      <c r="Q509">
        <v>3</v>
      </c>
      <c r="R509">
        <v>316</v>
      </c>
      <c r="S509" t="s">
        <v>896</v>
      </c>
      <c r="T509" s="6">
        <v>99655.052793841343</v>
      </c>
      <c r="U509" s="7">
        <f>T509*DealsRawTable[[#This Row],[Contract_Years]]</f>
        <v>298965.15838152403</v>
      </c>
      <c r="V509" s="8">
        <v>0.216</v>
      </c>
      <c r="W509" s="8">
        <v>0.17899999999999999</v>
      </c>
      <c r="X509" s="8">
        <v>-0.13100000000000001</v>
      </c>
      <c r="Y509" t="s">
        <v>878</v>
      </c>
      <c r="Z509" t="s">
        <v>889</v>
      </c>
      <c r="AA509" s="6">
        <v>81820.846141840244</v>
      </c>
      <c r="AB509" s="7">
        <f>DealsRawTable[[#This Row],[Final_Price_ACV]]*DealsRawTable[[#This Row],[Contract_Years]]</f>
        <v>245462.53842552073</v>
      </c>
      <c r="AC509" s="6">
        <v>40853.848254166369</v>
      </c>
      <c r="AD509" s="6">
        <v>40966.997887673875</v>
      </c>
      <c r="AE509" s="8">
        <v>0.50069144746628114</v>
      </c>
      <c r="AF509" t="s">
        <v>880</v>
      </c>
      <c r="AI509" t="s">
        <v>44</v>
      </c>
      <c r="AJ509" s="6">
        <v>81820.846141840244</v>
      </c>
      <c r="AK509" s="6">
        <v>40966.997887673875</v>
      </c>
      <c r="AL509" t="s">
        <v>934</v>
      </c>
      <c r="AM509">
        <f t="shared" si="14"/>
        <v>81816.800000000003</v>
      </c>
      <c r="AN509">
        <f>DealsRawTable[[#This Row],[Validated_Annual_Final_Price]]*DealsRawTable[[#This Row],[Contract_Years]]</f>
        <v>245450.40000000002</v>
      </c>
      <c r="AO509">
        <f>DealsRawTable[[#This Row],[Validated_Annual_Final_Price]]-DealsRawTable[[#This Row],[Cost_to_Serve]]</f>
        <v>40962.951745833634</v>
      </c>
      <c r="AP509" s="17">
        <f>DealsRawTable[[#This Row],[Validated_Grossprofit]]/DealsRawTable[[#This Row],[Validated_Annual_Final_Price]]</f>
        <v>0.50066675482093692</v>
      </c>
      <c r="AQ509" s="17">
        <v>81816.800000000003</v>
      </c>
      <c r="AR509" s="17">
        <v>245450.40000000002</v>
      </c>
      <c r="AS509" s="17">
        <v>40962.951745833634</v>
      </c>
      <c r="AT509" s="17">
        <v>0.50066675482093692</v>
      </c>
      <c r="AU509" s="17" t="str">
        <f t="shared" si="15"/>
        <v>15–20%</v>
      </c>
      <c r="AV509" s="17">
        <v>108</v>
      </c>
      <c r="AW509" s="17"/>
    </row>
    <row r="510" spans="1:49">
      <c r="A510" t="s">
        <v>1415</v>
      </c>
      <c r="B510" s="5">
        <v>45342</v>
      </c>
      <c r="C510" t="s">
        <v>346</v>
      </c>
      <c r="D510" t="s">
        <v>347</v>
      </c>
      <c r="E510" t="s">
        <v>763</v>
      </c>
      <c r="F510" t="s">
        <v>34</v>
      </c>
      <c r="G510" t="s">
        <v>34</v>
      </c>
      <c r="H510" t="s">
        <v>70</v>
      </c>
      <c r="I510" t="s">
        <v>71</v>
      </c>
      <c r="J510" t="s">
        <v>56</v>
      </c>
      <c r="K510" t="s">
        <v>38</v>
      </c>
      <c r="L510" s="5">
        <v>45047</v>
      </c>
      <c r="M510">
        <v>54</v>
      </c>
      <c r="N510" t="s">
        <v>431</v>
      </c>
      <c r="O510" t="s">
        <v>891</v>
      </c>
      <c r="Q510">
        <v>2</v>
      </c>
      <c r="R510">
        <v>156</v>
      </c>
      <c r="S510" t="s">
        <v>907</v>
      </c>
      <c r="T510" s="6">
        <v>109372.24241829402</v>
      </c>
      <c r="U510" s="7">
        <f>T510*DealsRawTable[[#This Row],[Contract_Years]]</f>
        <v>218744.48483658803</v>
      </c>
      <c r="V510" s="8">
        <v>0.23599999999999999</v>
      </c>
      <c r="W510" s="8">
        <v>0.23400000000000001</v>
      </c>
      <c r="X510" s="8">
        <v>-3.5000000000000003E-2</v>
      </c>
      <c r="Y510" t="s">
        <v>897</v>
      </c>
      <c r="Z510" t="s">
        <v>893</v>
      </c>
      <c r="AA510" s="6">
        <v>83759.051342302148</v>
      </c>
      <c r="AB510" s="7">
        <f>DealsRawTable[[#This Row],[Final_Price_ACV]]*DealsRawTable[[#This Row],[Contract_Years]]</f>
        <v>167518.1026846043</v>
      </c>
      <c r="AC510" s="6">
        <v>44711.45299075832</v>
      </c>
      <c r="AD510" s="6">
        <v>39047.598351543827</v>
      </c>
      <c r="AE510" s="8">
        <v>0.46618959653645226</v>
      </c>
      <c r="AF510" t="s">
        <v>457</v>
      </c>
      <c r="AI510" t="s">
        <v>38</v>
      </c>
      <c r="AJ510" s="6">
        <v>0</v>
      </c>
      <c r="AK510" s="6">
        <v>0</v>
      </c>
      <c r="AL510" t="s">
        <v>894</v>
      </c>
      <c r="AM510">
        <f t="shared" si="14"/>
        <v>83779.14</v>
      </c>
      <c r="AN510">
        <f>DealsRawTable[[#This Row],[Validated_Annual_Final_Price]]*DealsRawTable[[#This Row],[Contract_Years]]</f>
        <v>167558.28</v>
      </c>
      <c r="AO510">
        <f>DealsRawTable[[#This Row],[Validated_Annual_Final_Price]]-DealsRawTable[[#This Row],[Cost_to_Serve]]</f>
        <v>39067.687009241679</v>
      </c>
      <c r="AP510" s="17">
        <f>DealsRawTable[[#This Row],[Validated_Grossprofit]]/DealsRawTable[[#This Row],[Validated_Annual_Final_Price]]</f>
        <v>0.46631759420354135</v>
      </c>
      <c r="AQ510" s="17">
        <v>0</v>
      </c>
      <c r="AR510" s="17">
        <v>0</v>
      </c>
      <c r="AS510" s="17">
        <v>0</v>
      </c>
      <c r="AT510" s="17">
        <v>0</v>
      </c>
      <c r="AU510" s="17" t="str">
        <f t="shared" si="15"/>
        <v>20–25%</v>
      </c>
      <c r="AV510" s="17">
        <v>29</v>
      </c>
      <c r="AW510" s="17"/>
    </row>
    <row r="511" spans="1:49">
      <c r="A511" t="s">
        <v>1416</v>
      </c>
      <c r="B511" s="5">
        <v>45531</v>
      </c>
      <c r="C511" t="s">
        <v>348</v>
      </c>
      <c r="D511" t="s">
        <v>349</v>
      </c>
      <c r="E511" t="s">
        <v>764</v>
      </c>
      <c r="F511" t="s">
        <v>34</v>
      </c>
      <c r="G511" t="s">
        <v>53</v>
      </c>
      <c r="H511" t="s">
        <v>35</v>
      </c>
      <c r="I511" t="s">
        <v>36</v>
      </c>
      <c r="J511" t="s">
        <v>37</v>
      </c>
      <c r="K511" t="s">
        <v>38</v>
      </c>
      <c r="L511" s="5">
        <v>44470</v>
      </c>
      <c r="M511">
        <v>81</v>
      </c>
      <c r="N511" t="s">
        <v>429</v>
      </c>
      <c r="O511" t="s">
        <v>883</v>
      </c>
      <c r="P511" t="s">
        <v>899</v>
      </c>
      <c r="Q511">
        <v>1</v>
      </c>
      <c r="R511">
        <v>44</v>
      </c>
      <c r="S511" t="s">
        <v>907</v>
      </c>
      <c r="T511" s="6">
        <v>76740.327880299155</v>
      </c>
      <c r="U511" s="7">
        <f>T511*DealsRawTable[[#This Row],[Contract_Years]]</f>
        <v>76740.327880299155</v>
      </c>
      <c r="V511" s="8">
        <v>0.124</v>
      </c>
      <c r="W511" s="8">
        <v>0.115</v>
      </c>
      <c r="X511" s="8">
        <v>0.104</v>
      </c>
      <c r="Y511" t="s">
        <v>885</v>
      </c>
      <c r="Z511" t="s">
        <v>889</v>
      </c>
      <c r="AA511" s="6">
        <v>67900.306493596203</v>
      </c>
      <c r="AB511" s="7">
        <f>DealsRawTable[[#This Row],[Final_Price_ACV]]*DealsRawTable[[#This Row],[Contract_Years]]</f>
        <v>67900.306493596203</v>
      </c>
      <c r="AC511" s="6">
        <v>25348.648619182743</v>
      </c>
      <c r="AD511" s="6">
        <v>42551.65787441346</v>
      </c>
      <c r="AE511" s="8">
        <v>0.62667843595708339</v>
      </c>
      <c r="AF511" t="s">
        <v>880</v>
      </c>
      <c r="AH511" t="s">
        <v>44</v>
      </c>
      <c r="AI511" t="s">
        <v>38</v>
      </c>
      <c r="AJ511" s="6">
        <v>67900.306493596203</v>
      </c>
      <c r="AK511" s="6">
        <v>42551.65787441346</v>
      </c>
      <c r="AL511" t="s">
        <v>886</v>
      </c>
      <c r="AM511">
        <f t="shared" si="14"/>
        <v>67915.19</v>
      </c>
      <c r="AN511">
        <f>DealsRawTable[[#This Row],[Validated_Annual_Final_Price]]*DealsRawTable[[#This Row],[Contract_Years]]</f>
        <v>67915.19</v>
      </c>
      <c r="AO511">
        <f>DealsRawTable[[#This Row],[Validated_Annual_Final_Price]]-DealsRawTable[[#This Row],[Cost_to_Serve]]</f>
        <v>42566.54138081726</v>
      </c>
      <c r="AP511" s="17">
        <f>DealsRawTable[[#This Row],[Validated_Grossprofit]]/DealsRawTable[[#This Row],[Validated_Annual_Final_Price]]</f>
        <v>0.62676024878701297</v>
      </c>
      <c r="AQ511" s="17">
        <v>67915.19</v>
      </c>
      <c r="AR511" s="17">
        <v>67915.19</v>
      </c>
      <c r="AS511" s="17">
        <v>42566.54138081726</v>
      </c>
      <c r="AT511" s="17">
        <v>0.62676024878701297</v>
      </c>
      <c r="AU511" s="17" t="str">
        <f t="shared" si="15"/>
        <v>10–15%</v>
      </c>
      <c r="AV511" s="17">
        <v>113</v>
      </c>
      <c r="AW511" s="17"/>
    </row>
    <row r="512" spans="1:49">
      <c r="A512" t="s">
        <v>1417</v>
      </c>
      <c r="B512" s="5">
        <v>45626</v>
      </c>
      <c r="C512" t="s">
        <v>348</v>
      </c>
      <c r="D512" t="s">
        <v>349</v>
      </c>
      <c r="E512" t="s">
        <v>764</v>
      </c>
      <c r="F512" t="s">
        <v>34</v>
      </c>
      <c r="G512" t="s">
        <v>53</v>
      </c>
      <c r="H512" t="s">
        <v>35</v>
      </c>
      <c r="I512" t="s">
        <v>36</v>
      </c>
      <c r="J512" t="s">
        <v>37</v>
      </c>
      <c r="K512" t="s">
        <v>38</v>
      </c>
      <c r="L512" s="5">
        <v>44470</v>
      </c>
      <c r="M512">
        <v>81</v>
      </c>
      <c r="N512" t="s">
        <v>429</v>
      </c>
      <c r="O512" t="s">
        <v>876</v>
      </c>
      <c r="Q512">
        <v>1</v>
      </c>
      <c r="R512">
        <v>44</v>
      </c>
      <c r="S512" t="s">
        <v>892</v>
      </c>
      <c r="T512" s="6">
        <v>82279.719649079925</v>
      </c>
      <c r="U512" s="7">
        <f>T512*DealsRawTable[[#This Row],[Contract_Years]]</f>
        <v>82279.719649079925</v>
      </c>
      <c r="V512" s="8">
        <v>0.12</v>
      </c>
      <c r="W512" s="8">
        <v>8.8999999999999996E-2</v>
      </c>
      <c r="X512" s="8">
        <v>-9.0999999999999998E-2</v>
      </c>
      <c r="Y512" t="s">
        <v>911</v>
      </c>
      <c r="Z512" t="s">
        <v>879</v>
      </c>
      <c r="AA512" s="6">
        <v>74968.687674050336</v>
      </c>
      <c r="AB512" s="7">
        <f>DealsRawTable[[#This Row],[Final_Price_ACV]]*DealsRawTable[[#This Row],[Contract_Years]]</f>
        <v>74968.687674050336</v>
      </c>
      <c r="AC512" s="6">
        <v>27755.639077281015</v>
      </c>
      <c r="AD512" s="6">
        <v>47213.048596769324</v>
      </c>
      <c r="AE512" s="8">
        <v>0.62977024223823586</v>
      </c>
      <c r="AF512" t="s">
        <v>880</v>
      </c>
      <c r="AG512" t="s">
        <v>44</v>
      </c>
      <c r="AI512" t="s">
        <v>38</v>
      </c>
      <c r="AJ512" s="6">
        <v>74968.687674050336</v>
      </c>
      <c r="AK512" s="6">
        <v>47213.048596769324</v>
      </c>
      <c r="AL512" t="s">
        <v>881</v>
      </c>
      <c r="AM512">
        <f t="shared" si="14"/>
        <v>74956.820000000007</v>
      </c>
      <c r="AN512">
        <f>DealsRawTable[[#This Row],[Validated_Annual_Final_Price]]*DealsRawTable[[#This Row],[Contract_Years]]</f>
        <v>74956.820000000007</v>
      </c>
      <c r="AO512">
        <f>DealsRawTable[[#This Row],[Validated_Annual_Final_Price]]-DealsRawTable[[#This Row],[Cost_to_Serve]]</f>
        <v>47201.180922718995</v>
      </c>
      <c r="AP512" s="17">
        <f>DealsRawTable[[#This Row],[Validated_Grossprofit]]/DealsRawTable[[#This Row],[Validated_Annual_Final_Price]]</f>
        <v>0.62971162494245336</v>
      </c>
      <c r="AQ512" s="17">
        <v>74956.820000000007</v>
      </c>
      <c r="AR512" s="17">
        <v>74956.820000000007</v>
      </c>
      <c r="AS512" s="17">
        <v>47201.180922718995</v>
      </c>
      <c r="AT512" s="17">
        <v>0.62971162494245336</v>
      </c>
      <c r="AU512" s="17" t="str">
        <f t="shared" si="15"/>
        <v>5–10%</v>
      </c>
      <c r="AV512" s="17">
        <v>116</v>
      </c>
      <c r="AW512" s="17"/>
    </row>
    <row r="513" spans="1:49">
      <c r="A513" t="s">
        <v>1418</v>
      </c>
      <c r="B513" s="5">
        <v>45991</v>
      </c>
      <c r="C513" t="s">
        <v>348</v>
      </c>
      <c r="D513" t="s">
        <v>349</v>
      </c>
      <c r="E513" t="s">
        <v>764</v>
      </c>
      <c r="F513" t="s">
        <v>34</v>
      </c>
      <c r="G513" t="s">
        <v>53</v>
      </c>
      <c r="H513" t="s">
        <v>35</v>
      </c>
      <c r="I513" t="s">
        <v>36</v>
      </c>
      <c r="J513" t="s">
        <v>37</v>
      </c>
      <c r="K513" t="s">
        <v>38</v>
      </c>
      <c r="L513" s="5">
        <v>44470</v>
      </c>
      <c r="M513">
        <v>81</v>
      </c>
      <c r="N513" t="s">
        <v>429</v>
      </c>
      <c r="O513" t="s">
        <v>876</v>
      </c>
      <c r="Q513">
        <v>1</v>
      </c>
      <c r="R513">
        <v>44</v>
      </c>
      <c r="S513" t="s">
        <v>900</v>
      </c>
      <c r="T513" s="6">
        <v>86649.179620300987</v>
      </c>
      <c r="U513" s="7">
        <f>T513*DealsRawTable[[#This Row],[Contract_Years]]</f>
        <v>86649.179620300987</v>
      </c>
      <c r="V513" s="8">
        <v>0.161</v>
      </c>
      <c r="W513" s="8">
        <v>0.13900000000000001</v>
      </c>
      <c r="X513" s="8">
        <v>-0.159</v>
      </c>
      <c r="Y513" t="s">
        <v>905</v>
      </c>
      <c r="Z513" t="s">
        <v>889</v>
      </c>
      <c r="AA513" s="6">
        <v>74618.55213882844</v>
      </c>
      <c r="AB513" s="7">
        <f>DealsRawTable[[#This Row],[Final_Price_ACV]]*DealsRawTable[[#This Row],[Contract_Years]]</f>
        <v>74618.55213882844</v>
      </c>
      <c r="AC513" s="6">
        <v>30814.844952626285</v>
      </c>
      <c r="AD513" s="6">
        <v>43803.707186202155</v>
      </c>
      <c r="AE513" s="8">
        <v>0.58703507278866773</v>
      </c>
      <c r="AF513" t="s">
        <v>880</v>
      </c>
      <c r="AG513" t="s">
        <v>44</v>
      </c>
      <c r="AI513" t="s">
        <v>38</v>
      </c>
      <c r="AJ513" s="6">
        <v>74618.55213882844</v>
      </c>
      <c r="AK513" s="6">
        <v>43803.707186202155</v>
      </c>
      <c r="AL513" t="s">
        <v>881</v>
      </c>
      <c r="AM513">
        <f t="shared" si="14"/>
        <v>74604.94</v>
      </c>
      <c r="AN513">
        <f>DealsRawTable[[#This Row],[Validated_Annual_Final_Price]]*DealsRawTable[[#This Row],[Contract_Years]]</f>
        <v>74604.94</v>
      </c>
      <c r="AO513">
        <f>DealsRawTable[[#This Row],[Validated_Annual_Final_Price]]-DealsRawTable[[#This Row],[Cost_to_Serve]]</f>
        <v>43790.095047373718</v>
      </c>
      <c r="AP513" s="17">
        <f>DealsRawTable[[#This Row],[Validated_Grossprofit]]/DealsRawTable[[#This Row],[Validated_Annual_Final_Price]]</f>
        <v>0.5869597247497782</v>
      </c>
      <c r="AQ513" s="17">
        <v>74604.94</v>
      </c>
      <c r="AR513" s="17">
        <v>74604.94</v>
      </c>
      <c r="AS513" s="17">
        <v>43790.095047373718</v>
      </c>
      <c r="AT513" s="17">
        <v>0.5869597247497782</v>
      </c>
      <c r="AU513" s="17" t="str">
        <f t="shared" si="15"/>
        <v>10–15%</v>
      </c>
      <c r="AV513" s="17">
        <v>113</v>
      </c>
      <c r="AW513" s="17"/>
    </row>
    <row r="514" spans="1:49">
      <c r="A514" t="s">
        <v>1419</v>
      </c>
      <c r="B514" s="5">
        <v>45326</v>
      </c>
      <c r="C514" t="s">
        <v>348</v>
      </c>
      <c r="D514" t="s">
        <v>349</v>
      </c>
      <c r="E514" t="s">
        <v>765</v>
      </c>
      <c r="F514" t="s">
        <v>445</v>
      </c>
      <c r="G514" t="s">
        <v>53</v>
      </c>
      <c r="H514" t="s">
        <v>35</v>
      </c>
      <c r="I514" t="s">
        <v>36</v>
      </c>
      <c r="J514" t="s">
        <v>37</v>
      </c>
      <c r="K514" t="s">
        <v>38</v>
      </c>
      <c r="L514" s="5">
        <v>44470</v>
      </c>
      <c r="M514">
        <v>81</v>
      </c>
      <c r="N514" t="s">
        <v>433</v>
      </c>
      <c r="O514" t="s">
        <v>883</v>
      </c>
      <c r="P514" t="s">
        <v>978</v>
      </c>
      <c r="Q514">
        <v>1</v>
      </c>
      <c r="R514">
        <v>78</v>
      </c>
      <c r="S514" t="s">
        <v>907</v>
      </c>
      <c r="T514" s="6">
        <v>196720.91611183636</v>
      </c>
      <c r="U514" s="7">
        <f>T514*DealsRawTable[[#This Row],[Contract_Years]]</f>
        <v>196720.91611183636</v>
      </c>
      <c r="V514" s="8">
        <v>7.3999999999999996E-2</v>
      </c>
      <c r="W514" s="8">
        <v>6.3E-2</v>
      </c>
      <c r="X514" s="8">
        <v>2.3E-2</v>
      </c>
      <c r="Y514" t="s">
        <v>885</v>
      </c>
      <c r="Z514" t="s">
        <v>879</v>
      </c>
      <c r="AA514" s="6">
        <v>184368.6129234909</v>
      </c>
      <c r="AB514" s="7">
        <f>DealsRawTable[[#This Row],[Final_Price_ACV]]*DealsRawTable[[#This Row],[Contract_Years]]</f>
        <v>184368.6129234909</v>
      </c>
      <c r="AC514" s="6">
        <v>69778.247662523296</v>
      </c>
      <c r="AD514" s="6">
        <v>114590.36526096761</v>
      </c>
      <c r="AE514" s="8">
        <v>0.62152859667344895</v>
      </c>
      <c r="AF514" t="s">
        <v>880</v>
      </c>
      <c r="AH514" t="s">
        <v>44</v>
      </c>
      <c r="AI514" t="s">
        <v>38</v>
      </c>
      <c r="AJ514" s="6">
        <v>184368.6129234909</v>
      </c>
      <c r="AK514" s="6">
        <v>114590.36526096761</v>
      </c>
      <c r="AL514" t="s">
        <v>886</v>
      </c>
      <c r="AM514">
        <f t="shared" si="14"/>
        <v>184327.5</v>
      </c>
      <c r="AN514">
        <f>DealsRawTable[[#This Row],[Validated_Annual_Final_Price]]*DealsRawTable[[#This Row],[Contract_Years]]</f>
        <v>184327.5</v>
      </c>
      <c r="AO514">
        <f>DealsRawTable[[#This Row],[Validated_Annual_Final_Price]]-DealsRawTable[[#This Row],[Cost_to_Serve]]</f>
        <v>114549.2523374767</v>
      </c>
      <c r="AP514" s="17">
        <f>DealsRawTable[[#This Row],[Validated_Grossprofit]]/DealsRawTable[[#This Row],[Validated_Annual_Final_Price]]</f>
        <v>0.62144418134828883</v>
      </c>
      <c r="AQ514" s="17">
        <v>184327.5</v>
      </c>
      <c r="AR514" s="17">
        <v>184327.5</v>
      </c>
      <c r="AS514" s="17">
        <v>114549.2523374767</v>
      </c>
      <c r="AT514" s="17">
        <v>0.62144418134828883</v>
      </c>
      <c r="AU514" s="17" t="str">
        <f t="shared" si="15"/>
        <v>5–10%</v>
      </c>
      <c r="AV514" s="17">
        <v>116</v>
      </c>
      <c r="AW514" s="17"/>
    </row>
    <row r="515" spans="1:49">
      <c r="A515" t="s">
        <v>1420</v>
      </c>
      <c r="B515" s="5">
        <v>45445</v>
      </c>
      <c r="C515" t="s">
        <v>348</v>
      </c>
      <c r="D515" t="s">
        <v>349</v>
      </c>
      <c r="E515" t="s">
        <v>765</v>
      </c>
      <c r="F515" t="s">
        <v>445</v>
      </c>
      <c r="G515" t="s">
        <v>53</v>
      </c>
      <c r="H515" t="s">
        <v>35</v>
      </c>
      <c r="I515" t="s">
        <v>36</v>
      </c>
      <c r="J515" t="s">
        <v>37</v>
      </c>
      <c r="K515" t="s">
        <v>38</v>
      </c>
      <c r="L515" s="5">
        <v>44470</v>
      </c>
      <c r="M515">
        <v>81</v>
      </c>
      <c r="N515" t="s">
        <v>433</v>
      </c>
      <c r="O515" t="s">
        <v>876</v>
      </c>
      <c r="Q515">
        <v>1</v>
      </c>
      <c r="R515">
        <v>78</v>
      </c>
      <c r="S515" t="s">
        <v>877</v>
      </c>
      <c r="T515" s="6">
        <v>208965.59371898187</v>
      </c>
      <c r="U515" s="7">
        <f>T515*DealsRawTable[[#This Row],[Contract_Years]]</f>
        <v>208965.59371898187</v>
      </c>
      <c r="V515" s="8">
        <v>0.151</v>
      </c>
      <c r="W515" s="8">
        <v>0.127</v>
      </c>
      <c r="X515" s="8">
        <v>-0.02</v>
      </c>
      <c r="Y515" t="s">
        <v>911</v>
      </c>
      <c r="Z515" t="s">
        <v>889</v>
      </c>
      <c r="AA515" s="6">
        <v>182329.00841353167</v>
      </c>
      <c r="AB515" s="7">
        <f>DealsRawTable[[#This Row],[Final_Price_ACV]]*DealsRawTable[[#This Row],[Contract_Years]]</f>
        <v>182329.00841353167</v>
      </c>
      <c r="AC515" s="6">
        <v>71992.030159029731</v>
      </c>
      <c r="AD515" s="6">
        <v>110336.97825450194</v>
      </c>
      <c r="AE515" s="8">
        <v>0.60515317455274009</v>
      </c>
      <c r="AF515" t="s">
        <v>880</v>
      </c>
      <c r="AG515" t="s">
        <v>44</v>
      </c>
      <c r="AI515" t="s">
        <v>38</v>
      </c>
      <c r="AJ515" s="6">
        <v>182329.00841353167</v>
      </c>
      <c r="AK515" s="6">
        <v>110336.97825450194</v>
      </c>
      <c r="AL515" t="s">
        <v>881</v>
      </c>
      <c r="AM515">
        <f t="shared" si="14"/>
        <v>182426.96</v>
      </c>
      <c r="AN515">
        <f>DealsRawTable[[#This Row],[Validated_Annual_Final_Price]]*DealsRawTable[[#This Row],[Contract_Years]]</f>
        <v>182426.96</v>
      </c>
      <c r="AO515">
        <f>DealsRawTable[[#This Row],[Validated_Annual_Final_Price]]-DealsRawTable[[#This Row],[Cost_to_Serve]]</f>
        <v>110434.92984097026</v>
      </c>
      <c r="AP515" s="17">
        <f>DealsRawTable[[#This Row],[Validated_Grossprofit]]/DealsRawTable[[#This Row],[Validated_Annual_Final_Price]]</f>
        <v>0.60536518199377032</v>
      </c>
      <c r="AQ515" s="17">
        <v>182426.96</v>
      </c>
      <c r="AR515" s="17">
        <v>182426.96</v>
      </c>
      <c r="AS515" s="17">
        <v>110434.92984097026</v>
      </c>
      <c r="AT515" s="17">
        <v>0.60536518199377032</v>
      </c>
      <c r="AU515" s="17" t="str">
        <f t="shared" si="15"/>
        <v>10–15%</v>
      </c>
      <c r="AV515" s="17">
        <v>113</v>
      </c>
      <c r="AW515" s="17"/>
    </row>
    <row r="516" spans="1:49">
      <c r="A516" t="s">
        <v>1421</v>
      </c>
      <c r="B516" s="5">
        <v>45636</v>
      </c>
      <c r="C516" t="s">
        <v>348</v>
      </c>
      <c r="D516" t="s">
        <v>349</v>
      </c>
      <c r="E516" t="s">
        <v>765</v>
      </c>
      <c r="F516" t="s">
        <v>445</v>
      </c>
      <c r="G516" t="s">
        <v>53</v>
      </c>
      <c r="H516" t="s">
        <v>35</v>
      </c>
      <c r="I516" t="s">
        <v>36</v>
      </c>
      <c r="J516" t="s">
        <v>37</v>
      </c>
      <c r="K516" t="s">
        <v>38</v>
      </c>
      <c r="L516" s="5">
        <v>44470</v>
      </c>
      <c r="M516">
        <v>81</v>
      </c>
      <c r="N516" t="s">
        <v>433</v>
      </c>
      <c r="O516" t="s">
        <v>883</v>
      </c>
      <c r="P516" t="s">
        <v>951</v>
      </c>
      <c r="Q516">
        <v>1</v>
      </c>
      <c r="R516">
        <v>98</v>
      </c>
      <c r="S516" t="s">
        <v>877</v>
      </c>
      <c r="T516" s="6">
        <v>244298.10724193911</v>
      </c>
      <c r="U516" s="7">
        <f>T516*DealsRawTable[[#This Row],[Contract_Years]]</f>
        <v>244298.10724193911</v>
      </c>
      <c r="V516" s="8">
        <v>5.1999999999999998E-2</v>
      </c>
      <c r="W516" s="8">
        <v>2.5999999999999999E-2</v>
      </c>
      <c r="X516" s="8">
        <v>5.6000000000000001E-2</v>
      </c>
      <c r="Y516" t="s">
        <v>885</v>
      </c>
      <c r="Z516" t="s">
        <v>879</v>
      </c>
      <c r="AA516" s="6">
        <v>237884.08900594473</v>
      </c>
      <c r="AB516" s="7">
        <f>DealsRawTable[[#This Row],[Final_Price_ACV]]*DealsRawTable[[#This Row],[Contract_Years]]</f>
        <v>237884.08900594473</v>
      </c>
      <c r="AC516" s="6">
        <v>86219.93511761089</v>
      </c>
      <c r="AD516" s="6">
        <v>151664.15388833382</v>
      </c>
      <c r="AE516" s="8">
        <v>0.6375548466570361</v>
      </c>
      <c r="AF516" t="s">
        <v>880</v>
      </c>
      <c r="AH516" t="s">
        <v>44</v>
      </c>
      <c r="AI516" t="s">
        <v>38</v>
      </c>
      <c r="AJ516" s="6">
        <v>237884.08900594473</v>
      </c>
      <c r="AK516" s="6">
        <v>151664.15388833382</v>
      </c>
      <c r="AL516" t="s">
        <v>886</v>
      </c>
      <c r="AM516">
        <f t="shared" si="14"/>
        <v>237946.36</v>
      </c>
      <c r="AN516">
        <f>DealsRawTable[[#This Row],[Validated_Annual_Final_Price]]*DealsRawTable[[#This Row],[Contract_Years]]</f>
        <v>237946.36</v>
      </c>
      <c r="AO516">
        <f>DealsRawTable[[#This Row],[Validated_Annual_Final_Price]]-DealsRawTable[[#This Row],[Cost_to_Serve]]</f>
        <v>151726.42488238908</v>
      </c>
      <c r="AP516" s="17">
        <f>DealsRawTable[[#This Row],[Validated_Grossprofit]]/DealsRawTable[[#This Row],[Validated_Annual_Final_Price]]</f>
        <v>0.63764969921115455</v>
      </c>
      <c r="AQ516" s="17">
        <v>237946.36</v>
      </c>
      <c r="AR516" s="17">
        <v>237946.36</v>
      </c>
      <c r="AS516" s="17">
        <v>151726.42488238908</v>
      </c>
      <c r="AT516" s="17">
        <v>0.63764969921115455</v>
      </c>
      <c r="AU516" s="17" t="str">
        <f t="shared" si="15"/>
        <v>0–5%</v>
      </c>
      <c r="AV516" s="17">
        <v>55</v>
      </c>
      <c r="AW516" s="17"/>
    </row>
    <row r="517" spans="1:49">
      <c r="A517" t="s">
        <v>1422</v>
      </c>
      <c r="B517" s="5">
        <v>45810</v>
      </c>
      <c r="C517" t="s">
        <v>348</v>
      </c>
      <c r="D517" t="s">
        <v>349</v>
      </c>
      <c r="E517" t="s">
        <v>765</v>
      </c>
      <c r="F517" t="s">
        <v>445</v>
      </c>
      <c r="G517" t="s">
        <v>53</v>
      </c>
      <c r="H517" t="s">
        <v>35</v>
      </c>
      <c r="I517" t="s">
        <v>36</v>
      </c>
      <c r="J517" t="s">
        <v>37</v>
      </c>
      <c r="K517" t="s">
        <v>38</v>
      </c>
      <c r="L517" s="5">
        <v>44470</v>
      </c>
      <c r="M517">
        <v>81</v>
      </c>
      <c r="N517" t="s">
        <v>433</v>
      </c>
      <c r="O517" t="s">
        <v>876</v>
      </c>
      <c r="Q517">
        <v>1</v>
      </c>
      <c r="R517">
        <v>98</v>
      </c>
      <c r="S517" t="s">
        <v>900</v>
      </c>
      <c r="T517" s="6">
        <v>258903.25399430175</v>
      </c>
      <c r="U517" s="7">
        <f>T517*DealsRawTable[[#This Row],[Contract_Years]]</f>
        <v>258903.25399430175</v>
      </c>
      <c r="V517" s="8">
        <v>0.124</v>
      </c>
      <c r="W517" s="8">
        <v>0.11899999999999999</v>
      </c>
      <c r="X517" s="8">
        <v>-3.2000000000000001E-2</v>
      </c>
      <c r="Y517" t="s">
        <v>885</v>
      </c>
      <c r="Z517" t="s">
        <v>889</v>
      </c>
      <c r="AA517" s="6">
        <v>228152.13242048692</v>
      </c>
      <c r="AB517" s="7">
        <f>DealsRawTable[[#This Row],[Final_Price_ACV]]*DealsRawTable[[#This Row],[Contract_Years]]</f>
        <v>228152.13242048692</v>
      </c>
      <c r="AC517" s="6">
        <v>93195.464534197687</v>
      </c>
      <c r="AD517" s="6">
        <v>134956.66788628924</v>
      </c>
      <c r="AE517" s="8">
        <v>0.59152051946445372</v>
      </c>
      <c r="AF517" t="s">
        <v>880</v>
      </c>
      <c r="AG517" t="s">
        <v>44</v>
      </c>
      <c r="AI517" t="s">
        <v>38</v>
      </c>
      <c r="AJ517" s="6">
        <v>228152.13242048692</v>
      </c>
      <c r="AK517" s="6">
        <v>134956.66788628924</v>
      </c>
      <c r="AL517" t="s">
        <v>881</v>
      </c>
      <c r="AM517">
        <f t="shared" ref="AM517:AM580" si="16">ROUND(T517*(1-W517),2)</f>
        <v>228093.77</v>
      </c>
      <c r="AN517">
        <f>DealsRawTable[[#This Row],[Validated_Annual_Final_Price]]*DealsRawTable[[#This Row],[Contract_Years]]</f>
        <v>228093.77</v>
      </c>
      <c r="AO517">
        <f>DealsRawTable[[#This Row],[Validated_Annual_Final_Price]]-DealsRawTable[[#This Row],[Cost_to_Serve]]</f>
        <v>134898.30546580232</v>
      </c>
      <c r="AP517" s="17">
        <f>DealsRawTable[[#This Row],[Validated_Grossprofit]]/DealsRawTable[[#This Row],[Validated_Annual_Final_Price]]</f>
        <v>0.59141600169878517</v>
      </c>
      <c r="AQ517" s="17">
        <v>228093.77</v>
      </c>
      <c r="AR517" s="17">
        <v>228093.77</v>
      </c>
      <c r="AS517" s="17">
        <v>134898.30546580232</v>
      </c>
      <c r="AT517" s="17">
        <v>0.59141600169878517</v>
      </c>
      <c r="AU517" s="17" t="str">
        <f t="shared" ref="AU517:AU580" si="17">IF(W517&lt;=0.05,"0–5%", IF(W517&lt;=0.1,"5–10%", IF(W517&lt;=0.15,"10–15%", IF(W517&lt;=0.2,"15–20%", IF(W517&lt;=0.25,"20–25%", IF(W517&lt;=0.3,"25–30%","Above 30%"))))))</f>
        <v>10–15%</v>
      </c>
      <c r="AV517" s="17">
        <v>113</v>
      </c>
      <c r="AW517" s="17"/>
    </row>
    <row r="518" spans="1:49">
      <c r="A518" t="s">
        <v>1423</v>
      </c>
      <c r="B518" s="5">
        <v>45400</v>
      </c>
      <c r="C518" t="s">
        <v>350</v>
      </c>
      <c r="D518" t="s">
        <v>351</v>
      </c>
      <c r="E518" t="s">
        <v>766</v>
      </c>
      <c r="F518" t="s">
        <v>466</v>
      </c>
      <c r="G518" t="s">
        <v>60</v>
      </c>
      <c r="H518" t="s">
        <v>35</v>
      </c>
      <c r="I518" t="s">
        <v>36</v>
      </c>
      <c r="J518" t="s">
        <v>56</v>
      </c>
      <c r="K518" t="s">
        <v>38</v>
      </c>
      <c r="L518" s="5">
        <v>43709</v>
      </c>
      <c r="M518">
        <v>40</v>
      </c>
      <c r="N518" t="s">
        <v>424</v>
      </c>
      <c r="O518" t="s">
        <v>876</v>
      </c>
      <c r="Q518">
        <v>1</v>
      </c>
      <c r="R518">
        <v>226</v>
      </c>
      <c r="S518" t="s">
        <v>907</v>
      </c>
      <c r="T518" s="6">
        <v>55080.22148325442</v>
      </c>
      <c r="U518" s="7">
        <f>T518*DealsRawTable[[#This Row],[Contract_Years]]</f>
        <v>55080.22148325442</v>
      </c>
      <c r="V518" s="8">
        <v>0.12</v>
      </c>
      <c r="W518" s="8">
        <v>7.3999999999999996E-2</v>
      </c>
      <c r="X518" s="8">
        <v>-6.0000000000000001E-3</v>
      </c>
      <c r="Y518" t="s">
        <v>878</v>
      </c>
      <c r="Z518" t="s">
        <v>879</v>
      </c>
      <c r="AA518" s="6">
        <v>51007.079944397199</v>
      </c>
      <c r="AB518" s="7">
        <f>DealsRawTable[[#This Row],[Final_Price_ACV]]*DealsRawTable[[#This Row],[Contract_Years]]</f>
        <v>51007.079944397199</v>
      </c>
      <c r="AC518" s="6">
        <v>15841.776297663388</v>
      </c>
      <c r="AD518" s="6">
        <v>35165.30364673381</v>
      </c>
      <c r="AE518" s="8">
        <v>0.68942005080603508</v>
      </c>
      <c r="AF518" t="s">
        <v>457</v>
      </c>
      <c r="AG518" t="s">
        <v>38</v>
      </c>
      <c r="AI518" t="s">
        <v>38</v>
      </c>
      <c r="AJ518" s="6">
        <v>0</v>
      </c>
      <c r="AK518" s="6">
        <v>0</v>
      </c>
      <c r="AL518" t="s">
        <v>881</v>
      </c>
      <c r="AM518">
        <f t="shared" si="16"/>
        <v>51004.29</v>
      </c>
      <c r="AN518">
        <f>DealsRawTable[[#This Row],[Validated_Annual_Final_Price]]*DealsRawTable[[#This Row],[Contract_Years]]</f>
        <v>51004.29</v>
      </c>
      <c r="AO518">
        <f>DealsRawTable[[#This Row],[Validated_Annual_Final_Price]]-DealsRawTable[[#This Row],[Cost_to_Serve]]</f>
        <v>35162.513702336611</v>
      </c>
      <c r="AP518" s="17">
        <f>DealsRawTable[[#This Row],[Validated_Grossprofit]]/DealsRawTable[[#This Row],[Validated_Annual_Final_Price]]</f>
        <v>0.68940306202353985</v>
      </c>
      <c r="AQ518" s="17">
        <v>0</v>
      </c>
      <c r="AR518" s="17">
        <v>0</v>
      </c>
      <c r="AS518" s="17">
        <v>0</v>
      </c>
      <c r="AT518" s="17">
        <v>0</v>
      </c>
      <c r="AU518" s="17" t="str">
        <f t="shared" si="17"/>
        <v>5–10%</v>
      </c>
      <c r="AV518" s="17">
        <v>116</v>
      </c>
      <c r="AW518" s="17"/>
    </row>
    <row r="519" spans="1:49">
      <c r="A519" t="s">
        <v>1424</v>
      </c>
      <c r="B519" s="5">
        <v>45337</v>
      </c>
      <c r="C519" t="s">
        <v>350</v>
      </c>
      <c r="D519" t="s">
        <v>351</v>
      </c>
      <c r="E519" t="s">
        <v>767</v>
      </c>
      <c r="F519" t="s">
        <v>47</v>
      </c>
      <c r="G519" t="s">
        <v>60</v>
      </c>
      <c r="H519" t="s">
        <v>35</v>
      </c>
      <c r="I519" t="s">
        <v>36</v>
      </c>
      <c r="J519" t="s">
        <v>56</v>
      </c>
      <c r="K519" t="s">
        <v>38</v>
      </c>
      <c r="L519" s="5">
        <v>43709</v>
      </c>
      <c r="M519">
        <v>40</v>
      </c>
      <c r="N519" t="s">
        <v>427</v>
      </c>
      <c r="O519" t="s">
        <v>876</v>
      </c>
      <c r="Q519">
        <v>2</v>
      </c>
      <c r="R519">
        <v>175</v>
      </c>
      <c r="S519" t="s">
        <v>896</v>
      </c>
      <c r="T519" s="6">
        <v>121567.10629077064</v>
      </c>
      <c r="U519" s="7">
        <f>T519*DealsRawTable[[#This Row],[Contract_Years]]</f>
        <v>243134.21258154127</v>
      </c>
      <c r="V519" s="8">
        <v>0.17799999999999999</v>
      </c>
      <c r="W519" s="8">
        <v>0.17499999999999999</v>
      </c>
      <c r="X519" s="8">
        <v>-1.9E-2</v>
      </c>
      <c r="Y519" t="s">
        <v>878</v>
      </c>
      <c r="Z519" t="s">
        <v>889</v>
      </c>
      <c r="AA519" s="6">
        <v>100256.3789798896</v>
      </c>
      <c r="AB519" s="7">
        <f>DealsRawTable[[#This Row],[Final_Price_ACV]]*DealsRawTable[[#This Row],[Contract_Years]]</f>
        <v>200512.75795977921</v>
      </c>
      <c r="AC519" s="6">
        <v>38119.390310193674</v>
      </c>
      <c r="AD519" s="6">
        <v>62136.988669695929</v>
      </c>
      <c r="AE519" s="8">
        <v>0.61978089875119036</v>
      </c>
      <c r="AF519" t="s">
        <v>457</v>
      </c>
      <c r="AG519" t="s">
        <v>38</v>
      </c>
      <c r="AI519" t="s">
        <v>38</v>
      </c>
      <c r="AJ519" s="6">
        <v>0</v>
      </c>
      <c r="AK519" s="6">
        <v>0</v>
      </c>
      <c r="AL519" t="s">
        <v>881</v>
      </c>
      <c r="AM519">
        <f t="shared" si="16"/>
        <v>100292.86</v>
      </c>
      <c r="AN519">
        <f>DealsRawTable[[#This Row],[Validated_Annual_Final_Price]]*DealsRawTable[[#This Row],[Contract_Years]]</f>
        <v>200585.72</v>
      </c>
      <c r="AO519">
        <f>DealsRawTable[[#This Row],[Validated_Annual_Final_Price]]-DealsRawTable[[#This Row],[Cost_to_Serve]]</f>
        <v>62173.469689806327</v>
      </c>
      <c r="AP519" s="17">
        <f>DealsRawTable[[#This Row],[Validated_Grossprofit]]/DealsRawTable[[#This Row],[Validated_Annual_Final_Price]]</f>
        <v>0.61991920152447866</v>
      </c>
      <c r="AQ519" s="17">
        <v>0</v>
      </c>
      <c r="AR519" s="17">
        <v>0</v>
      </c>
      <c r="AS519" s="17">
        <v>0</v>
      </c>
      <c r="AT519" s="17">
        <v>0</v>
      </c>
      <c r="AU519" s="17" t="str">
        <f t="shared" si="17"/>
        <v>15–20%</v>
      </c>
      <c r="AV519" s="17">
        <v>108</v>
      </c>
      <c r="AW519" s="17"/>
    </row>
    <row r="520" spans="1:49">
      <c r="A520" t="s">
        <v>1425</v>
      </c>
      <c r="B520" s="5">
        <v>45733</v>
      </c>
      <c r="C520" t="s">
        <v>350</v>
      </c>
      <c r="D520" t="s">
        <v>351</v>
      </c>
      <c r="E520" t="s">
        <v>767</v>
      </c>
      <c r="F520" t="s">
        <v>47</v>
      </c>
      <c r="G520" t="s">
        <v>60</v>
      </c>
      <c r="H520" t="s">
        <v>35</v>
      </c>
      <c r="I520" t="s">
        <v>36</v>
      </c>
      <c r="J520" t="s">
        <v>56</v>
      </c>
      <c r="K520" t="s">
        <v>38</v>
      </c>
      <c r="L520" s="5">
        <v>43709</v>
      </c>
      <c r="M520">
        <v>40</v>
      </c>
      <c r="N520" t="s">
        <v>427</v>
      </c>
      <c r="O520" t="s">
        <v>915</v>
      </c>
      <c r="Q520">
        <v>2</v>
      </c>
      <c r="R520">
        <v>175</v>
      </c>
      <c r="S520" t="s">
        <v>896</v>
      </c>
      <c r="T520" s="6">
        <v>121567.10629077064</v>
      </c>
      <c r="U520" s="7">
        <f>T520*DealsRawTable[[#This Row],[Contract_Years]]</f>
        <v>243134.21258154127</v>
      </c>
      <c r="V520" s="8">
        <v>0.35299999999999998</v>
      </c>
      <c r="W520" s="8">
        <v>0.33900000000000002</v>
      </c>
      <c r="X520" s="8">
        <v>-9.1999999999999998E-2</v>
      </c>
      <c r="Y520" t="s">
        <v>878</v>
      </c>
      <c r="Z520" t="s">
        <v>1426</v>
      </c>
      <c r="AA520" s="6">
        <v>80303.393189955445</v>
      </c>
      <c r="AB520" s="7">
        <f>DealsRawTable[[#This Row],[Final_Price_ACV]]*DealsRawTable[[#This Row],[Contract_Years]]</f>
        <v>160606.78637991089</v>
      </c>
      <c r="AC520" s="6">
        <v>37814.673527879648</v>
      </c>
      <c r="AD520" s="6">
        <v>42488.719662075797</v>
      </c>
      <c r="AE520" s="8">
        <v>0.52910241988865792</v>
      </c>
      <c r="AF520" t="s">
        <v>880</v>
      </c>
      <c r="AI520" t="s">
        <v>44</v>
      </c>
      <c r="AJ520" s="6">
        <v>80303.393189955445</v>
      </c>
      <c r="AK520" s="6">
        <v>42488.719662075797</v>
      </c>
      <c r="AL520" t="s">
        <v>916</v>
      </c>
      <c r="AM520">
        <f t="shared" si="16"/>
        <v>80355.86</v>
      </c>
      <c r="AN520">
        <f>DealsRawTable[[#This Row],[Validated_Annual_Final_Price]]*DealsRawTable[[#This Row],[Contract_Years]]</f>
        <v>160711.72</v>
      </c>
      <c r="AO520">
        <f>DealsRawTable[[#This Row],[Validated_Annual_Final_Price]]-DealsRawTable[[#This Row],[Cost_to_Serve]]</f>
        <v>42541.186472120353</v>
      </c>
      <c r="AP520" s="17">
        <f>DealsRawTable[[#This Row],[Validated_Grossprofit]]/DealsRawTable[[#This Row],[Validated_Annual_Final_Price]]</f>
        <v>0.52940988338772499</v>
      </c>
      <c r="AQ520" s="17">
        <v>80355.86</v>
      </c>
      <c r="AR520" s="17">
        <v>160711.72</v>
      </c>
      <c r="AS520" s="17">
        <v>42541.186472120353</v>
      </c>
      <c r="AT520" s="17">
        <v>0.52940988338772499</v>
      </c>
      <c r="AU520" s="17" t="str">
        <f t="shared" si="17"/>
        <v>Above 30%</v>
      </c>
      <c r="AV520" s="17">
        <v>2</v>
      </c>
      <c r="AW520" s="17"/>
    </row>
    <row r="521" spans="1:49">
      <c r="A521" t="s">
        <v>1427</v>
      </c>
      <c r="B521" s="5">
        <v>45346</v>
      </c>
      <c r="C521" t="s">
        <v>352</v>
      </c>
      <c r="D521" t="s">
        <v>353</v>
      </c>
      <c r="E521" t="s">
        <v>768</v>
      </c>
      <c r="F521" t="s">
        <v>475</v>
      </c>
      <c r="G521" t="s">
        <v>47</v>
      </c>
      <c r="H521" t="s">
        <v>48</v>
      </c>
      <c r="I521" t="s">
        <v>49</v>
      </c>
      <c r="J521" t="s">
        <v>56</v>
      </c>
      <c r="K521" t="s">
        <v>38</v>
      </c>
      <c r="L521" s="5">
        <v>44774</v>
      </c>
      <c r="M521">
        <v>63</v>
      </c>
      <c r="N521" t="s">
        <v>427</v>
      </c>
      <c r="O521" t="s">
        <v>891</v>
      </c>
      <c r="Q521">
        <v>3</v>
      </c>
      <c r="R521">
        <v>294</v>
      </c>
      <c r="S521" t="s">
        <v>877</v>
      </c>
      <c r="T521" s="6">
        <v>104415.58683639324</v>
      </c>
      <c r="U521" s="7">
        <f>T521*DealsRawTable[[#This Row],[Contract_Years]]</f>
        <v>313246.76050917973</v>
      </c>
      <c r="V521" s="8">
        <v>0.16500000000000001</v>
      </c>
      <c r="W521" s="8">
        <v>0.13700000000000001</v>
      </c>
      <c r="X521" s="8">
        <v>-7.5999999999999998E-2</v>
      </c>
      <c r="Y521" t="s">
        <v>905</v>
      </c>
      <c r="Z521" t="s">
        <v>889</v>
      </c>
      <c r="AA521" s="6">
        <v>90112.442385045404</v>
      </c>
      <c r="AB521" s="7">
        <f>DealsRawTable[[#This Row],[Final_Price_ACV]]*DealsRawTable[[#This Row],[Contract_Years]]</f>
        <v>270337.32715513621</v>
      </c>
      <c r="AC521" s="6">
        <v>33604.431149986849</v>
      </c>
      <c r="AD521" s="6">
        <v>56508.011235058555</v>
      </c>
      <c r="AE521" s="8">
        <v>0.62708333876472899</v>
      </c>
      <c r="AF521" t="s">
        <v>457</v>
      </c>
      <c r="AI521" t="s">
        <v>38</v>
      </c>
      <c r="AJ521" s="6">
        <v>0</v>
      </c>
      <c r="AK521" s="6">
        <v>0</v>
      </c>
      <c r="AL521" t="s">
        <v>894</v>
      </c>
      <c r="AM521">
        <f t="shared" si="16"/>
        <v>90110.65</v>
      </c>
      <c r="AN521">
        <f>DealsRawTable[[#This Row],[Validated_Annual_Final_Price]]*DealsRawTable[[#This Row],[Contract_Years]]</f>
        <v>270331.94999999995</v>
      </c>
      <c r="AO521">
        <f>DealsRawTable[[#This Row],[Validated_Annual_Final_Price]]-DealsRawTable[[#This Row],[Cost_to_Serve]]</f>
        <v>56506.218850013145</v>
      </c>
      <c r="AP521" s="17">
        <f>DealsRawTable[[#This Row],[Validated_Grossprofit]]/DealsRawTable[[#This Row],[Validated_Annual_Final_Price]]</f>
        <v>0.62707592110381127</v>
      </c>
      <c r="AQ521" s="17">
        <v>0</v>
      </c>
      <c r="AR521" s="17">
        <v>0</v>
      </c>
      <c r="AS521" s="17">
        <v>0</v>
      </c>
      <c r="AT521" s="17">
        <v>0</v>
      </c>
      <c r="AU521" s="17" t="str">
        <f t="shared" si="17"/>
        <v>10–15%</v>
      </c>
      <c r="AV521" s="17">
        <v>113</v>
      </c>
      <c r="AW521" s="17"/>
    </row>
    <row r="522" spans="1:49">
      <c r="A522" t="s">
        <v>1428</v>
      </c>
      <c r="B522" s="5">
        <v>45528</v>
      </c>
      <c r="C522" t="s">
        <v>354</v>
      </c>
      <c r="D522" t="s">
        <v>355</v>
      </c>
      <c r="E522" t="s">
        <v>769</v>
      </c>
      <c r="F522" t="s">
        <v>449</v>
      </c>
      <c r="G522" t="s">
        <v>60</v>
      </c>
      <c r="H522" t="s">
        <v>48</v>
      </c>
      <c r="I522" t="s">
        <v>49</v>
      </c>
      <c r="J522" t="s">
        <v>37</v>
      </c>
      <c r="K522" t="s">
        <v>38</v>
      </c>
      <c r="L522" s="5">
        <v>44136</v>
      </c>
      <c r="M522">
        <v>73</v>
      </c>
      <c r="N522" t="s">
        <v>429</v>
      </c>
      <c r="O522" t="s">
        <v>891</v>
      </c>
      <c r="Q522">
        <v>3</v>
      </c>
      <c r="R522">
        <v>39</v>
      </c>
      <c r="S522" t="s">
        <v>896</v>
      </c>
      <c r="T522" s="6">
        <v>63148.629930284136</v>
      </c>
      <c r="U522" s="7">
        <f>T522*DealsRawTable[[#This Row],[Contract_Years]]</f>
        <v>189445.88979085241</v>
      </c>
      <c r="V522" s="8">
        <v>7.3999999999999996E-2</v>
      </c>
      <c r="W522" s="8">
        <v>5.8999999999999997E-2</v>
      </c>
      <c r="X522" s="8">
        <v>-5.2999999999999999E-2</v>
      </c>
      <c r="Y522" t="s">
        <v>885</v>
      </c>
      <c r="Z522" t="s">
        <v>879</v>
      </c>
      <c r="AA522" s="6">
        <v>59403.350050186695</v>
      </c>
      <c r="AB522" s="7">
        <f>DealsRawTable[[#This Row],[Final_Price_ACV]]*DealsRawTable[[#This Row],[Contract_Years]]</f>
        <v>178210.0501505601</v>
      </c>
      <c r="AC522" s="6">
        <v>22962.085651975882</v>
      </c>
      <c r="AD522" s="6">
        <v>36441.264398210813</v>
      </c>
      <c r="AE522" s="8">
        <v>0.6134547019220894</v>
      </c>
      <c r="AF522" t="s">
        <v>457</v>
      </c>
      <c r="AI522" t="s">
        <v>38</v>
      </c>
      <c r="AJ522" s="6">
        <v>0</v>
      </c>
      <c r="AK522" s="6">
        <v>0</v>
      </c>
      <c r="AL522" t="s">
        <v>894</v>
      </c>
      <c r="AM522">
        <f t="shared" si="16"/>
        <v>59422.86</v>
      </c>
      <c r="AN522">
        <f>DealsRawTable[[#This Row],[Validated_Annual_Final_Price]]*DealsRawTable[[#This Row],[Contract_Years]]</f>
        <v>178268.58000000002</v>
      </c>
      <c r="AO522">
        <f>DealsRawTable[[#This Row],[Validated_Annual_Final_Price]]-DealsRawTable[[#This Row],[Cost_to_Serve]]</f>
        <v>36460.774348024119</v>
      </c>
      <c r="AP522" s="17">
        <f>DealsRawTable[[#This Row],[Validated_Grossprofit]]/DealsRawTable[[#This Row],[Validated_Annual_Final_Price]]</f>
        <v>0.61358161401225253</v>
      </c>
      <c r="AQ522" s="17">
        <v>0</v>
      </c>
      <c r="AR522" s="17">
        <v>0</v>
      </c>
      <c r="AS522" s="17">
        <v>0</v>
      </c>
      <c r="AT522" s="17">
        <v>0</v>
      </c>
      <c r="AU522" s="17" t="str">
        <f t="shared" si="17"/>
        <v>5–10%</v>
      </c>
      <c r="AV522" s="17">
        <v>116</v>
      </c>
      <c r="AW522" s="17"/>
    </row>
    <row r="523" spans="1:49">
      <c r="A523" t="s">
        <v>1429</v>
      </c>
      <c r="B523" s="5">
        <v>45348</v>
      </c>
      <c r="C523" t="s">
        <v>354</v>
      </c>
      <c r="D523" t="s">
        <v>355</v>
      </c>
      <c r="E523" t="s">
        <v>770</v>
      </c>
      <c r="F523" t="s">
        <v>475</v>
      </c>
      <c r="G523" t="s">
        <v>60</v>
      </c>
      <c r="H523" t="s">
        <v>48</v>
      </c>
      <c r="I523" t="s">
        <v>49</v>
      </c>
      <c r="J523" t="s">
        <v>37</v>
      </c>
      <c r="K523" t="s">
        <v>38</v>
      </c>
      <c r="L523" s="5">
        <v>44136</v>
      </c>
      <c r="M523">
        <v>73</v>
      </c>
      <c r="N523" t="s">
        <v>431</v>
      </c>
      <c r="O523" t="s">
        <v>891</v>
      </c>
      <c r="Q523">
        <v>2</v>
      </c>
      <c r="R523">
        <v>16</v>
      </c>
      <c r="S523" t="s">
        <v>877</v>
      </c>
      <c r="T523" s="6">
        <v>42689.463131533754</v>
      </c>
      <c r="U523" s="7">
        <f>T523*DealsRawTable[[#This Row],[Contract_Years]]</f>
        <v>85378.926263067508</v>
      </c>
      <c r="V523" s="8">
        <v>9.5000000000000001E-2</v>
      </c>
      <c r="W523" s="8">
        <v>7.9000000000000001E-2</v>
      </c>
      <c r="X523" s="8">
        <v>4.9000000000000002E-2</v>
      </c>
      <c r="Y523" t="s">
        <v>885</v>
      </c>
      <c r="Z523" t="s">
        <v>879</v>
      </c>
      <c r="AA523" s="6">
        <v>39334.048439283732</v>
      </c>
      <c r="AB523" s="7">
        <f>DealsRawTable[[#This Row],[Final_Price_ACV]]*DealsRawTable[[#This Row],[Contract_Years]]</f>
        <v>78668.096878567463</v>
      </c>
      <c r="AC523" s="6">
        <v>17285.33322068792</v>
      </c>
      <c r="AD523" s="6">
        <v>22048.715218595811</v>
      </c>
      <c r="AE523" s="8">
        <v>0.56055036522951196</v>
      </c>
      <c r="AF523" t="s">
        <v>880</v>
      </c>
      <c r="AI523" t="s">
        <v>38</v>
      </c>
      <c r="AJ523" s="6">
        <v>39334.048439283732</v>
      </c>
      <c r="AK523" s="6">
        <v>22048.715218595811</v>
      </c>
      <c r="AL523" t="s">
        <v>894</v>
      </c>
      <c r="AM523">
        <f t="shared" si="16"/>
        <v>39317</v>
      </c>
      <c r="AN523">
        <f>DealsRawTable[[#This Row],[Validated_Annual_Final_Price]]*DealsRawTable[[#This Row],[Contract_Years]]</f>
        <v>78634</v>
      </c>
      <c r="AO523">
        <f>DealsRawTable[[#This Row],[Validated_Annual_Final_Price]]-DealsRawTable[[#This Row],[Cost_to_Serve]]</f>
        <v>22031.66677931208</v>
      </c>
      <c r="AP523" s="17">
        <f>DealsRawTable[[#This Row],[Validated_Grossprofit]]/DealsRawTable[[#This Row],[Validated_Annual_Final_Price]]</f>
        <v>0.56035981329481088</v>
      </c>
      <c r="AQ523" s="17">
        <v>39317</v>
      </c>
      <c r="AR523" s="17">
        <v>78634</v>
      </c>
      <c r="AS523" s="17">
        <v>22031.66677931208</v>
      </c>
      <c r="AT523" s="17">
        <v>0.56035981329481088</v>
      </c>
      <c r="AU523" s="17" t="str">
        <f t="shared" si="17"/>
        <v>5–10%</v>
      </c>
      <c r="AV523" s="17">
        <v>116</v>
      </c>
      <c r="AW523" s="17"/>
    </row>
    <row r="524" spans="1:49">
      <c r="A524" t="s">
        <v>1430</v>
      </c>
      <c r="B524" s="5">
        <v>46015</v>
      </c>
      <c r="C524" t="s">
        <v>354</v>
      </c>
      <c r="D524" t="s">
        <v>355</v>
      </c>
      <c r="E524" t="s">
        <v>771</v>
      </c>
      <c r="F524" t="s">
        <v>449</v>
      </c>
      <c r="G524" t="s">
        <v>60</v>
      </c>
      <c r="H524" t="s">
        <v>48</v>
      </c>
      <c r="I524" t="s">
        <v>49</v>
      </c>
      <c r="J524" t="s">
        <v>37</v>
      </c>
      <c r="K524" t="s">
        <v>38</v>
      </c>
      <c r="L524" s="5">
        <v>44136</v>
      </c>
      <c r="M524">
        <v>73</v>
      </c>
      <c r="N524" t="s">
        <v>431</v>
      </c>
      <c r="O524" t="s">
        <v>876</v>
      </c>
      <c r="Q524">
        <v>2</v>
      </c>
      <c r="R524">
        <v>60</v>
      </c>
      <c r="S524" t="s">
        <v>907</v>
      </c>
      <c r="T524" s="6">
        <v>39130.210396530769</v>
      </c>
      <c r="U524" s="7">
        <f>T524*DealsRawTable[[#This Row],[Contract_Years]]</f>
        <v>78260.420793061538</v>
      </c>
      <c r="V524" s="8">
        <v>0.16300000000000001</v>
      </c>
      <c r="W524" s="8">
        <v>0.13300000000000001</v>
      </c>
      <c r="X524" s="8">
        <v>0.06</v>
      </c>
      <c r="Y524" t="s">
        <v>902</v>
      </c>
      <c r="Z524" t="s">
        <v>889</v>
      </c>
      <c r="AA524" s="6">
        <v>33928.792306484254</v>
      </c>
      <c r="AB524" s="7">
        <f>DealsRawTable[[#This Row],[Final_Price_ACV]]*DealsRawTable[[#This Row],[Contract_Years]]</f>
        <v>67857.584612968509</v>
      </c>
      <c r="AC524" s="6">
        <v>14775.054029052177</v>
      </c>
      <c r="AD524" s="6">
        <v>19153.738277432079</v>
      </c>
      <c r="AE524" s="8">
        <v>0.56452755831723311</v>
      </c>
      <c r="AF524" t="s">
        <v>880</v>
      </c>
      <c r="AG524" t="s">
        <v>44</v>
      </c>
      <c r="AI524" t="s">
        <v>38</v>
      </c>
      <c r="AJ524" s="6">
        <v>33928.792306484254</v>
      </c>
      <c r="AK524" s="6">
        <v>19153.738277432079</v>
      </c>
      <c r="AL524" t="s">
        <v>881</v>
      </c>
      <c r="AM524">
        <f t="shared" si="16"/>
        <v>33925.89</v>
      </c>
      <c r="AN524">
        <f>DealsRawTable[[#This Row],[Validated_Annual_Final_Price]]*DealsRawTable[[#This Row],[Contract_Years]]</f>
        <v>67851.78</v>
      </c>
      <c r="AO524">
        <f>DealsRawTable[[#This Row],[Validated_Annual_Final_Price]]-DealsRawTable[[#This Row],[Cost_to_Serve]]</f>
        <v>19150.835970947825</v>
      </c>
      <c r="AP524" s="17">
        <f>DealsRawTable[[#This Row],[Validated_Grossprofit]]/DealsRawTable[[#This Row],[Validated_Annual_Final_Price]]</f>
        <v>0.56449030433535641</v>
      </c>
      <c r="AQ524" s="17">
        <v>33925.89</v>
      </c>
      <c r="AR524" s="17">
        <v>67851.78</v>
      </c>
      <c r="AS524" s="17">
        <v>19150.835970947825</v>
      </c>
      <c r="AT524" s="17">
        <v>0.56449030433535641</v>
      </c>
      <c r="AU524" s="17" t="str">
        <f t="shared" si="17"/>
        <v>10–15%</v>
      </c>
      <c r="AV524" s="17">
        <v>113</v>
      </c>
      <c r="AW524" s="17"/>
    </row>
    <row r="525" spans="1:49">
      <c r="A525" t="s">
        <v>1431</v>
      </c>
      <c r="B525" s="5">
        <v>45446</v>
      </c>
      <c r="C525" t="s">
        <v>354</v>
      </c>
      <c r="D525" t="s">
        <v>355</v>
      </c>
      <c r="E525" t="s">
        <v>772</v>
      </c>
      <c r="F525" t="s">
        <v>449</v>
      </c>
      <c r="G525" t="s">
        <v>60</v>
      </c>
      <c r="H525" t="s">
        <v>48</v>
      </c>
      <c r="I525" t="s">
        <v>49</v>
      </c>
      <c r="J525" t="s">
        <v>37</v>
      </c>
      <c r="K525" t="s">
        <v>38</v>
      </c>
      <c r="L525" s="5">
        <v>44136</v>
      </c>
      <c r="M525">
        <v>73</v>
      </c>
      <c r="N525" t="s">
        <v>424</v>
      </c>
      <c r="O525" t="s">
        <v>876</v>
      </c>
      <c r="Q525">
        <v>1</v>
      </c>
      <c r="R525">
        <v>65</v>
      </c>
      <c r="S525" t="s">
        <v>932</v>
      </c>
      <c r="T525" s="6">
        <v>26767.069627489975</v>
      </c>
      <c r="U525" s="7">
        <f>T525*DealsRawTable[[#This Row],[Contract_Years]]</f>
        <v>26767.069627489975</v>
      </c>
      <c r="V525" s="8">
        <v>0.13700000000000001</v>
      </c>
      <c r="W525" s="8">
        <v>0.11899999999999999</v>
      </c>
      <c r="X525" s="8">
        <v>2.5000000000000001E-2</v>
      </c>
      <c r="Y525" t="s">
        <v>885</v>
      </c>
      <c r="Z525" t="s">
        <v>889</v>
      </c>
      <c r="AA525" s="6">
        <v>23577.563958824656</v>
      </c>
      <c r="AB525" s="7">
        <f>DealsRawTable[[#This Row],[Final_Price_ACV]]*DealsRawTable[[#This Row],[Contract_Years]]</f>
        <v>23577.563958824656</v>
      </c>
      <c r="AC525" s="6">
        <v>7146.0826326192819</v>
      </c>
      <c r="AD525" s="6">
        <v>16431.481326205372</v>
      </c>
      <c r="AE525" s="8">
        <v>0.69691174859713889</v>
      </c>
      <c r="AF525" t="s">
        <v>880</v>
      </c>
      <c r="AG525" t="s">
        <v>44</v>
      </c>
      <c r="AI525" t="s">
        <v>38</v>
      </c>
      <c r="AJ525" s="6">
        <v>23577.563958824656</v>
      </c>
      <c r="AK525" s="6">
        <v>16431.481326205372</v>
      </c>
      <c r="AL525" t="s">
        <v>881</v>
      </c>
      <c r="AM525">
        <f t="shared" si="16"/>
        <v>23581.79</v>
      </c>
      <c r="AN525">
        <f>DealsRawTable[[#This Row],[Validated_Annual_Final_Price]]*DealsRawTable[[#This Row],[Contract_Years]]</f>
        <v>23581.79</v>
      </c>
      <c r="AO525">
        <f>DealsRawTable[[#This Row],[Validated_Annual_Final_Price]]-DealsRawTable[[#This Row],[Cost_to_Serve]]</f>
        <v>16435.707367380717</v>
      </c>
      <c r="AP525" s="17">
        <f>DealsRawTable[[#This Row],[Validated_Grossprofit]]/DealsRawTable[[#This Row],[Validated_Annual_Final_Price]]</f>
        <v>0.69696606438191144</v>
      </c>
      <c r="AQ525" s="17">
        <v>23581.79</v>
      </c>
      <c r="AR525" s="17">
        <v>23581.79</v>
      </c>
      <c r="AS525" s="17">
        <v>16435.707367380717</v>
      </c>
      <c r="AT525" s="17">
        <v>0.69696606438191144</v>
      </c>
      <c r="AU525" s="17" t="str">
        <f t="shared" si="17"/>
        <v>10–15%</v>
      </c>
      <c r="AV525" s="17">
        <v>113</v>
      </c>
      <c r="AW525" s="17"/>
    </row>
    <row r="526" spans="1:49">
      <c r="A526" t="s">
        <v>1432</v>
      </c>
      <c r="B526" s="5">
        <v>45643</v>
      </c>
      <c r="C526" t="s">
        <v>354</v>
      </c>
      <c r="D526" t="s">
        <v>355</v>
      </c>
      <c r="E526" t="s">
        <v>772</v>
      </c>
      <c r="F526" t="s">
        <v>449</v>
      </c>
      <c r="G526" t="s">
        <v>60</v>
      </c>
      <c r="H526" t="s">
        <v>48</v>
      </c>
      <c r="I526" t="s">
        <v>49</v>
      </c>
      <c r="J526" t="s">
        <v>37</v>
      </c>
      <c r="K526" t="s">
        <v>38</v>
      </c>
      <c r="L526" s="5">
        <v>44136</v>
      </c>
      <c r="M526">
        <v>73</v>
      </c>
      <c r="N526" t="s">
        <v>424</v>
      </c>
      <c r="O526" t="s">
        <v>883</v>
      </c>
      <c r="P526" t="s">
        <v>951</v>
      </c>
      <c r="Q526">
        <v>1</v>
      </c>
      <c r="R526">
        <v>83</v>
      </c>
      <c r="S526" t="s">
        <v>900</v>
      </c>
      <c r="T526" s="6">
        <v>35200.894408881693</v>
      </c>
      <c r="U526" s="7">
        <f>T526*DealsRawTable[[#This Row],[Contract_Years]]</f>
        <v>35200.894408881693</v>
      </c>
      <c r="V526" s="8">
        <v>0.14499999999999999</v>
      </c>
      <c r="W526" s="8">
        <v>0.123</v>
      </c>
      <c r="X526" s="8">
        <v>0.03</v>
      </c>
      <c r="Y526" t="s">
        <v>885</v>
      </c>
      <c r="Z526" t="s">
        <v>889</v>
      </c>
      <c r="AA526" s="6">
        <v>30872.6692445382</v>
      </c>
      <c r="AB526" s="7">
        <f>DealsRawTable[[#This Row],[Final_Price_ACV]]*DealsRawTable[[#This Row],[Contract_Years]]</f>
        <v>30872.6692445382</v>
      </c>
      <c r="AC526" s="6">
        <v>9685.0799360358869</v>
      </c>
      <c r="AD526" s="6">
        <v>21187.589308502313</v>
      </c>
      <c r="AE526" s="8">
        <v>0.68628951843063224</v>
      </c>
      <c r="AF526" t="s">
        <v>880</v>
      </c>
      <c r="AH526" t="s">
        <v>44</v>
      </c>
      <c r="AI526" t="s">
        <v>38</v>
      </c>
      <c r="AJ526" s="6">
        <v>30872.6692445382</v>
      </c>
      <c r="AK526" s="6">
        <v>21187.589308502313</v>
      </c>
      <c r="AL526" t="s">
        <v>886</v>
      </c>
      <c r="AM526">
        <f t="shared" si="16"/>
        <v>30871.18</v>
      </c>
      <c r="AN526">
        <f>DealsRawTable[[#This Row],[Validated_Annual_Final_Price]]*DealsRawTable[[#This Row],[Contract_Years]]</f>
        <v>30871.18</v>
      </c>
      <c r="AO526">
        <f>DealsRawTable[[#This Row],[Validated_Annual_Final_Price]]-DealsRawTable[[#This Row],[Cost_to_Serve]]</f>
        <v>21186.100063964113</v>
      </c>
      <c r="AP526" s="17">
        <f>DealsRawTable[[#This Row],[Validated_Grossprofit]]/DealsRawTable[[#This Row],[Validated_Annual_Final_Price]]</f>
        <v>0.68627438484580483</v>
      </c>
      <c r="AQ526" s="17">
        <v>30871.18</v>
      </c>
      <c r="AR526" s="17">
        <v>30871.18</v>
      </c>
      <c r="AS526" s="17">
        <v>21186.100063964113</v>
      </c>
      <c r="AT526" s="17">
        <v>0.68627438484580483</v>
      </c>
      <c r="AU526" s="17" t="str">
        <f t="shared" si="17"/>
        <v>10–15%</v>
      </c>
      <c r="AV526" s="17">
        <v>113</v>
      </c>
      <c r="AW526" s="17"/>
    </row>
    <row r="527" spans="1:49">
      <c r="A527" t="s">
        <v>1433</v>
      </c>
      <c r="B527" s="5">
        <v>45811</v>
      </c>
      <c r="C527" t="s">
        <v>354</v>
      </c>
      <c r="D527" t="s">
        <v>355</v>
      </c>
      <c r="E527" t="s">
        <v>772</v>
      </c>
      <c r="F527" t="s">
        <v>449</v>
      </c>
      <c r="G527" t="s">
        <v>60</v>
      </c>
      <c r="H527" t="s">
        <v>48</v>
      </c>
      <c r="I527" t="s">
        <v>49</v>
      </c>
      <c r="J527" t="s">
        <v>37</v>
      </c>
      <c r="K527" t="s">
        <v>38</v>
      </c>
      <c r="L527" s="5">
        <v>44136</v>
      </c>
      <c r="M527">
        <v>73</v>
      </c>
      <c r="N527" t="s">
        <v>424</v>
      </c>
      <c r="O527" t="s">
        <v>876</v>
      </c>
      <c r="Q527">
        <v>1</v>
      </c>
      <c r="R527">
        <v>83</v>
      </c>
      <c r="S527" t="s">
        <v>907</v>
      </c>
      <c r="T527" s="6">
        <v>36752.536670590554</v>
      </c>
      <c r="U527" s="7">
        <f>T527*DealsRawTable[[#This Row],[Contract_Years]]</f>
        <v>36752.536670590554</v>
      </c>
      <c r="V527" s="8">
        <v>9.6000000000000002E-2</v>
      </c>
      <c r="W527" s="8">
        <v>9.2999999999999999E-2</v>
      </c>
      <c r="X527" s="8">
        <v>3.5999999999999997E-2</v>
      </c>
      <c r="Y527" t="s">
        <v>897</v>
      </c>
      <c r="Z527" t="s">
        <v>879</v>
      </c>
      <c r="AA527" s="6">
        <v>33341.843848022967</v>
      </c>
      <c r="AB527" s="7">
        <f>DealsRawTable[[#This Row],[Final_Price_ACV]]*DealsRawTable[[#This Row],[Contract_Years]]</f>
        <v>33341.843848022967</v>
      </c>
      <c r="AC527" s="6">
        <v>8799.1582030586269</v>
      </c>
      <c r="AD527" s="6">
        <v>24542.685644964338</v>
      </c>
      <c r="AE527" s="8">
        <v>0.73609263353381149</v>
      </c>
      <c r="AF527" t="s">
        <v>880</v>
      </c>
      <c r="AG527" t="s">
        <v>44</v>
      </c>
      <c r="AI527" t="s">
        <v>38</v>
      </c>
      <c r="AJ527" s="6">
        <v>33341.843848022967</v>
      </c>
      <c r="AK527" s="6">
        <v>24542.685644964338</v>
      </c>
      <c r="AL527" t="s">
        <v>881</v>
      </c>
      <c r="AM527">
        <f t="shared" si="16"/>
        <v>33334.550000000003</v>
      </c>
      <c r="AN527">
        <f>DealsRawTable[[#This Row],[Validated_Annual_Final_Price]]*DealsRawTable[[#This Row],[Contract_Years]]</f>
        <v>33334.550000000003</v>
      </c>
      <c r="AO527">
        <f>DealsRawTable[[#This Row],[Validated_Annual_Final_Price]]-DealsRawTable[[#This Row],[Cost_to_Serve]]</f>
        <v>24535.391796941374</v>
      </c>
      <c r="AP527" s="17">
        <f>DealsRawTable[[#This Row],[Validated_Grossprofit]]/DealsRawTable[[#This Row],[Validated_Annual_Final_Price]]</f>
        <v>0.73603488863480604</v>
      </c>
      <c r="AQ527" s="17">
        <v>33334.550000000003</v>
      </c>
      <c r="AR527" s="17">
        <v>33334.550000000003</v>
      </c>
      <c r="AS527" s="17">
        <v>24535.391796941374</v>
      </c>
      <c r="AT527" s="17">
        <v>0.73603488863480604</v>
      </c>
      <c r="AU527" s="17" t="str">
        <f t="shared" si="17"/>
        <v>5–10%</v>
      </c>
      <c r="AV527" s="17">
        <v>116</v>
      </c>
      <c r="AW527" s="17"/>
    </row>
    <row r="528" spans="1:49">
      <c r="A528" t="s">
        <v>1434</v>
      </c>
      <c r="B528" s="5">
        <v>45619</v>
      </c>
      <c r="C528" t="s">
        <v>356</v>
      </c>
      <c r="D528" t="s">
        <v>357</v>
      </c>
      <c r="E528" t="s">
        <v>773</v>
      </c>
      <c r="F528" t="s">
        <v>34</v>
      </c>
      <c r="G528" t="s">
        <v>83</v>
      </c>
      <c r="H528" t="s">
        <v>70</v>
      </c>
      <c r="I528" t="s">
        <v>71</v>
      </c>
      <c r="J528" t="s">
        <v>56</v>
      </c>
      <c r="K528" t="s">
        <v>38</v>
      </c>
      <c r="L528" s="5">
        <v>44652</v>
      </c>
      <c r="M528">
        <v>43</v>
      </c>
      <c r="N528" t="s">
        <v>429</v>
      </c>
      <c r="O528" t="s">
        <v>876</v>
      </c>
      <c r="Q528">
        <v>1</v>
      </c>
      <c r="R528">
        <v>102</v>
      </c>
      <c r="S528" t="s">
        <v>932</v>
      </c>
      <c r="T528" s="6">
        <v>187138.87157113903</v>
      </c>
      <c r="U528" s="7">
        <f>T528*DealsRawTable[[#This Row],[Contract_Years]]</f>
        <v>187138.87157113903</v>
      </c>
      <c r="V528" s="8">
        <v>0.185</v>
      </c>
      <c r="W528" s="8">
        <v>0.16800000000000001</v>
      </c>
      <c r="X528" s="8">
        <v>1.6E-2</v>
      </c>
      <c r="Y528" t="s">
        <v>878</v>
      </c>
      <c r="Z528" t="s">
        <v>889</v>
      </c>
      <c r="AA528" s="6">
        <v>155671.48841447916</v>
      </c>
      <c r="AB528" s="7">
        <f>DealsRawTable[[#This Row],[Final_Price_ACV]]*DealsRawTable[[#This Row],[Contract_Years]]</f>
        <v>155671.48841447916</v>
      </c>
      <c r="AC528" s="6">
        <v>63382.965370680853</v>
      </c>
      <c r="AD528" s="6">
        <v>92288.523043798312</v>
      </c>
      <c r="AE528" s="8">
        <v>0.59284152791086475</v>
      </c>
      <c r="AF528" t="s">
        <v>880</v>
      </c>
      <c r="AG528" t="s">
        <v>44</v>
      </c>
      <c r="AI528" t="s">
        <v>38</v>
      </c>
      <c r="AJ528" s="6">
        <v>155671.48841447916</v>
      </c>
      <c r="AK528" s="6">
        <v>92288.523043798312</v>
      </c>
      <c r="AL528" t="s">
        <v>881</v>
      </c>
      <c r="AM528">
        <f t="shared" si="16"/>
        <v>155699.54</v>
      </c>
      <c r="AN528">
        <f>DealsRawTable[[#This Row],[Validated_Annual_Final_Price]]*DealsRawTable[[#This Row],[Contract_Years]]</f>
        <v>155699.54</v>
      </c>
      <c r="AO528">
        <f>DealsRawTable[[#This Row],[Validated_Annual_Final_Price]]-DealsRawTable[[#This Row],[Cost_to_Serve]]</f>
        <v>92316.574629319162</v>
      </c>
      <c r="AP528" s="17">
        <f>DealsRawTable[[#This Row],[Validated_Grossprofit]]/DealsRawTable[[#This Row],[Validated_Annual_Final_Price]]</f>
        <v>0.5929148835591882</v>
      </c>
      <c r="AQ528" s="17">
        <v>155699.54</v>
      </c>
      <c r="AR528" s="17">
        <v>155699.54</v>
      </c>
      <c r="AS528" s="17">
        <v>92316.574629319162</v>
      </c>
      <c r="AT528" s="17">
        <v>0.5929148835591882</v>
      </c>
      <c r="AU528" s="17" t="str">
        <f t="shared" si="17"/>
        <v>15–20%</v>
      </c>
      <c r="AV528" s="17">
        <v>108</v>
      </c>
      <c r="AW528" s="17"/>
    </row>
    <row r="529" spans="1:49">
      <c r="A529" t="s">
        <v>1435</v>
      </c>
      <c r="B529" s="5">
        <v>45984</v>
      </c>
      <c r="C529" t="s">
        <v>356</v>
      </c>
      <c r="D529" t="s">
        <v>357</v>
      </c>
      <c r="E529" t="s">
        <v>773</v>
      </c>
      <c r="F529" t="s">
        <v>34</v>
      </c>
      <c r="G529" t="s">
        <v>83</v>
      </c>
      <c r="H529" t="s">
        <v>70</v>
      </c>
      <c r="I529" t="s">
        <v>71</v>
      </c>
      <c r="J529" t="s">
        <v>56</v>
      </c>
      <c r="K529" t="s">
        <v>38</v>
      </c>
      <c r="L529" s="5">
        <v>44652</v>
      </c>
      <c r="M529">
        <v>43</v>
      </c>
      <c r="N529" t="s">
        <v>429</v>
      </c>
      <c r="O529" t="s">
        <v>876</v>
      </c>
      <c r="Q529">
        <v>1</v>
      </c>
      <c r="R529">
        <v>102</v>
      </c>
      <c r="S529" t="s">
        <v>907</v>
      </c>
      <c r="T529" s="6">
        <v>200836.84121510584</v>
      </c>
      <c r="U529" s="7">
        <f>T529*DealsRawTable[[#This Row],[Contract_Years]]</f>
        <v>200836.84121510584</v>
      </c>
      <c r="V529" s="8">
        <v>8.8999999999999996E-2</v>
      </c>
      <c r="W529" s="8">
        <v>5.6000000000000001E-2</v>
      </c>
      <c r="X529" s="8">
        <v>-4.5999999999999999E-2</v>
      </c>
      <c r="Y529" t="s">
        <v>878</v>
      </c>
      <c r="Z529" t="s">
        <v>879</v>
      </c>
      <c r="AA529" s="6">
        <v>189551.78004727478</v>
      </c>
      <c r="AB529" s="7">
        <f>DealsRawTable[[#This Row],[Final_Price_ACV]]*DealsRawTable[[#This Row],[Contract_Years]]</f>
        <v>189551.78004727478</v>
      </c>
      <c r="AC529" s="6">
        <v>63855.77319647176</v>
      </c>
      <c r="AD529" s="6">
        <v>125696.00685080301</v>
      </c>
      <c r="AE529" s="8">
        <v>0.66312227096708909</v>
      </c>
      <c r="AF529" t="s">
        <v>457</v>
      </c>
      <c r="AG529" t="s">
        <v>38</v>
      </c>
      <c r="AI529" t="s">
        <v>38</v>
      </c>
      <c r="AJ529" s="6">
        <v>0</v>
      </c>
      <c r="AK529" s="6">
        <v>0</v>
      </c>
      <c r="AL529" t="s">
        <v>881</v>
      </c>
      <c r="AM529">
        <f t="shared" si="16"/>
        <v>189589.98</v>
      </c>
      <c r="AN529">
        <f>DealsRawTable[[#This Row],[Validated_Annual_Final_Price]]*DealsRawTable[[#This Row],[Contract_Years]]</f>
        <v>189589.98</v>
      </c>
      <c r="AO529">
        <f>DealsRawTable[[#This Row],[Validated_Annual_Final_Price]]-DealsRawTable[[#This Row],[Cost_to_Serve]]</f>
        <v>125734.20680352824</v>
      </c>
      <c r="AP529" s="17">
        <f>DealsRawTable[[#This Row],[Validated_Grossprofit]]/DealsRawTable[[#This Row],[Validated_Annual_Final_Price]]</f>
        <v>0.66319014751480132</v>
      </c>
      <c r="AQ529" s="17">
        <v>0</v>
      </c>
      <c r="AR529" s="17">
        <v>0</v>
      </c>
      <c r="AS529" s="17">
        <v>0</v>
      </c>
      <c r="AT529" s="17">
        <v>0</v>
      </c>
      <c r="AU529" s="17" t="str">
        <f t="shared" si="17"/>
        <v>5–10%</v>
      </c>
      <c r="AV529" s="17">
        <v>116</v>
      </c>
      <c r="AW529" s="17"/>
    </row>
    <row r="530" spans="1:49">
      <c r="A530" t="s">
        <v>1436</v>
      </c>
      <c r="B530" s="5">
        <v>45382</v>
      </c>
      <c r="C530" t="s">
        <v>356</v>
      </c>
      <c r="D530" t="s">
        <v>357</v>
      </c>
      <c r="E530" t="s">
        <v>774</v>
      </c>
      <c r="F530" t="s">
        <v>449</v>
      </c>
      <c r="G530" t="s">
        <v>83</v>
      </c>
      <c r="H530" t="s">
        <v>70</v>
      </c>
      <c r="I530" t="s">
        <v>71</v>
      </c>
      <c r="J530" t="s">
        <v>56</v>
      </c>
      <c r="K530" t="s">
        <v>38</v>
      </c>
      <c r="L530" s="5">
        <v>44652</v>
      </c>
      <c r="M530">
        <v>43</v>
      </c>
      <c r="N530" t="s">
        <v>433</v>
      </c>
      <c r="O530" t="s">
        <v>891</v>
      </c>
      <c r="Q530">
        <v>3</v>
      </c>
      <c r="R530">
        <v>152</v>
      </c>
      <c r="S530" t="s">
        <v>932</v>
      </c>
      <c r="T530" s="6">
        <v>249905.29875819321</v>
      </c>
      <c r="U530" s="7">
        <f>T530*DealsRawTable[[#This Row],[Contract_Years]]</f>
        <v>749715.89627457969</v>
      </c>
      <c r="V530" s="8">
        <v>8.5999999999999993E-2</v>
      </c>
      <c r="W530" s="8">
        <v>3.5999999999999997E-2</v>
      </c>
      <c r="X530" s="8">
        <v>1.4999999999999999E-2</v>
      </c>
      <c r="Y530" t="s">
        <v>878</v>
      </c>
      <c r="Z530" t="s">
        <v>879</v>
      </c>
      <c r="AA530" s="6">
        <v>240900.43246529298</v>
      </c>
      <c r="AB530" s="7">
        <f>DealsRawTable[[#This Row],[Final_Price_ACV]]*DealsRawTable[[#This Row],[Contract_Years]]</f>
        <v>722701.29739587894</v>
      </c>
      <c r="AC530" s="6">
        <v>99572.406761862498</v>
      </c>
      <c r="AD530" s="6">
        <v>141328.02570343047</v>
      </c>
      <c r="AE530" s="8">
        <v>0.58666572017794894</v>
      </c>
      <c r="AF530" t="s">
        <v>880</v>
      </c>
      <c r="AI530" t="s">
        <v>38</v>
      </c>
      <c r="AJ530" s="6">
        <v>240900.43246529298</v>
      </c>
      <c r="AK530" s="6">
        <v>141328.02570343047</v>
      </c>
      <c r="AL530" t="s">
        <v>894</v>
      </c>
      <c r="AM530">
        <f t="shared" si="16"/>
        <v>240908.71</v>
      </c>
      <c r="AN530">
        <f>DealsRawTable[[#This Row],[Validated_Annual_Final_Price]]*DealsRawTable[[#This Row],[Contract_Years]]</f>
        <v>722726.13</v>
      </c>
      <c r="AO530">
        <f>DealsRawTable[[#This Row],[Validated_Annual_Final_Price]]-DealsRawTable[[#This Row],[Cost_to_Serve]]</f>
        <v>141336.30323813751</v>
      </c>
      <c r="AP530" s="17">
        <f>DealsRawTable[[#This Row],[Validated_Grossprofit]]/DealsRawTable[[#This Row],[Validated_Annual_Final_Price]]</f>
        <v>0.58667992219184406</v>
      </c>
      <c r="AQ530" s="17">
        <v>240908.71</v>
      </c>
      <c r="AR530" s="17">
        <v>722726.13</v>
      </c>
      <c r="AS530" s="17">
        <v>141336.30323813751</v>
      </c>
      <c r="AT530" s="17">
        <v>0.58667992219184406</v>
      </c>
      <c r="AU530" s="17" t="str">
        <f t="shared" si="17"/>
        <v>0–5%</v>
      </c>
      <c r="AV530" s="17">
        <v>55</v>
      </c>
      <c r="AW530" s="17"/>
    </row>
    <row r="531" spans="1:49">
      <c r="A531" t="s">
        <v>1437</v>
      </c>
      <c r="B531" s="5">
        <v>45316</v>
      </c>
      <c r="C531" t="s">
        <v>356</v>
      </c>
      <c r="D531" t="s">
        <v>357</v>
      </c>
      <c r="E531" t="s">
        <v>775</v>
      </c>
      <c r="F531" t="s">
        <v>466</v>
      </c>
      <c r="G531" t="s">
        <v>83</v>
      </c>
      <c r="H531" t="s">
        <v>70</v>
      </c>
      <c r="I531" t="s">
        <v>71</v>
      </c>
      <c r="J531" t="s">
        <v>56</v>
      </c>
      <c r="K531" t="s">
        <v>38</v>
      </c>
      <c r="L531" s="5">
        <v>44652</v>
      </c>
      <c r="M531">
        <v>43</v>
      </c>
      <c r="N531" t="s">
        <v>429</v>
      </c>
      <c r="O531" t="s">
        <v>915</v>
      </c>
      <c r="Q531">
        <v>1</v>
      </c>
      <c r="R531">
        <v>290</v>
      </c>
      <c r="S531" t="s">
        <v>888</v>
      </c>
      <c r="T531" s="6">
        <v>165047.84393366126</v>
      </c>
      <c r="U531" s="7">
        <f>T531*DealsRawTable[[#This Row],[Contract_Years]]</f>
        <v>165047.84393366126</v>
      </c>
      <c r="V531" s="8">
        <v>0.34200000000000003</v>
      </c>
      <c r="W531" s="8">
        <v>0.34100000000000003</v>
      </c>
      <c r="X531" s="8">
        <v>-4.7E-2</v>
      </c>
      <c r="Y531" t="s">
        <v>878</v>
      </c>
      <c r="Z531" t="s">
        <v>1426</v>
      </c>
      <c r="AA531" s="6">
        <v>108788.24858014718</v>
      </c>
      <c r="AB531" s="7">
        <f>DealsRawTable[[#This Row],[Final_Price_ACV]]*DealsRawTable[[#This Row],[Contract_Years]]</f>
        <v>108788.24858014718</v>
      </c>
      <c r="AC531" s="6">
        <v>62238.054214713979</v>
      </c>
      <c r="AD531" s="6">
        <v>46550.194365433199</v>
      </c>
      <c r="AE531" s="8">
        <v>0.42789726806878814</v>
      </c>
      <c r="AF531" t="s">
        <v>880</v>
      </c>
      <c r="AI531" t="s">
        <v>44</v>
      </c>
      <c r="AJ531" s="6">
        <v>108788.24858014718</v>
      </c>
      <c r="AK531" s="6">
        <v>46550.194365433199</v>
      </c>
      <c r="AL531" t="s">
        <v>916</v>
      </c>
      <c r="AM531">
        <f t="shared" si="16"/>
        <v>108766.53</v>
      </c>
      <c r="AN531">
        <f>DealsRawTable[[#This Row],[Validated_Annual_Final_Price]]*DealsRawTable[[#This Row],[Contract_Years]]</f>
        <v>108766.53</v>
      </c>
      <c r="AO531">
        <f>DealsRawTable[[#This Row],[Validated_Annual_Final_Price]]-DealsRawTable[[#This Row],[Cost_to_Serve]]</f>
        <v>46528.47578528602</v>
      </c>
      <c r="AP531" s="17">
        <f>DealsRawTable[[#This Row],[Validated_Grossprofit]]/DealsRawTable[[#This Row],[Validated_Annual_Final_Price]]</f>
        <v>0.4277830301774454</v>
      </c>
      <c r="AQ531" s="17">
        <v>108766.53</v>
      </c>
      <c r="AR531" s="17">
        <v>108766.53</v>
      </c>
      <c r="AS531" s="17">
        <v>46528.47578528602</v>
      </c>
      <c r="AT531" s="17">
        <v>0.4277830301774454</v>
      </c>
      <c r="AU531" s="17" t="str">
        <f t="shared" si="17"/>
        <v>Above 30%</v>
      </c>
      <c r="AV531" s="17">
        <v>2</v>
      </c>
      <c r="AW531" s="17"/>
    </row>
    <row r="532" spans="1:49">
      <c r="A532" t="s">
        <v>1438</v>
      </c>
      <c r="B532" s="5">
        <v>45681</v>
      </c>
      <c r="C532" t="s">
        <v>356</v>
      </c>
      <c r="D532" t="s">
        <v>357</v>
      </c>
      <c r="E532" t="s">
        <v>775</v>
      </c>
      <c r="F532" t="s">
        <v>466</v>
      </c>
      <c r="G532" t="s">
        <v>83</v>
      </c>
      <c r="H532" t="s">
        <v>70</v>
      </c>
      <c r="I532" t="s">
        <v>71</v>
      </c>
      <c r="J532" t="s">
        <v>56</v>
      </c>
      <c r="K532" t="s">
        <v>38</v>
      </c>
      <c r="L532" s="5">
        <v>44652</v>
      </c>
      <c r="M532">
        <v>43</v>
      </c>
      <c r="N532" t="s">
        <v>429</v>
      </c>
      <c r="O532" t="s">
        <v>876</v>
      </c>
      <c r="Q532">
        <v>1</v>
      </c>
      <c r="R532">
        <v>290</v>
      </c>
      <c r="S532" t="s">
        <v>892</v>
      </c>
      <c r="T532" s="6">
        <v>174505.8304783256</v>
      </c>
      <c r="U532" s="7">
        <f>T532*DealsRawTable[[#This Row],[Contract_Years]]</f>
        <v>174505.8304783256</v>
      </c>
      <c r="V532" s="8">
        <v>0.127</v>
      </c>
      <c r="W532" s="8">
        <v>9.9000000000000005E-2</v>
      </c>
      <c r="X532" s="8">
        <v>1.9E-2</v>
      </c>
      <c r="Y532" t="s">
        <v>878</v>
      </c>
      <c r="Z532" t="s">
        <v>879</v>
      </c>
      <c r="AA532" s="6">
        <v>157214.7518512134</v>
      </c>
      <c r="AB532" s="7">
        <f>DealsRawTable[[#This Row],[Final_Price_ACV]]*DealsRawTable[[#This Row],[Contract_Years]]</f>
        <v>157214.7518512134</v>
      </c>
      <c r="AC532" s="6">
        <v>61691.000401231831</v>
      </c>
      <c r="AD532" s="6">
        <v>95523.751449981559</v>
      </c>
      <c r="AE532" s="8">
        <v>0.60760043396172114</v>
      </c>
      <c r="AF532" t="s">
        <v>457</v>
      </c>
      <c r="AG532" t="s">
        <v>38</v>
      </c>
      <c r="AI532" t="s">
        <v>38</v>
      </c>
      <c r="AJ532" s="6">
        <v>0</v>
      </c>
      <c r="AK532" s="6">
        <v>0</v>
      </c>
      <c r="AL532" t="s">
        <v>881</v>
      </c>
      <c r="AM532">
        <f t="shared" si="16"/>
        <v>157229.75</v>
      </c>
      <c r="AN532">
        <f>DealsRawTable[[#This Row],[Validated_Annual_Final_Price]]*DealsRawTable[[#This Row],[Contract_Years]]</f>
        <v>157229.75</v>
      </c>
      <c r="AO532">
        <f>DealsRawTable[[#This Row],[Validated_Annual_Final_Price]]-DealsRawTable[[#This Row],[Cost_to_Serve]]</f>
        <v>95538.749598768161</v>
      </c>
      <c r="AP532" s="17">
        <f>DealsRawTable[[#This Row],[Validated_Grossprofit]]/DealsRawTable[[#This Row],[Validated_Annual_Final_Price]]</f>
        <v>0.60763786496364813</v>
      </c>
      <c r="AQ532" s="17">
        <v>0</v>
      </c>
      <c r="AR532" s="17">
        <v>0</v>
      </c>
      <c r="AS532" s="17">
        <v>0</v>
      </c>
      <c r="AT532" s="17">
        <v>0</v>
      </c>
      <c r="AU532" s="17" t="str">
        <f t="shared" si="17"/>
        <v>5–10%</v>
      </c>
      <c r="AV532" s="17">
        <v>116</v>
      </c>
      <c r="AW532" s="17"/>
    </row>
    <row r="533" spans="1:49">
      <c r="A533" t="s">
        <v>1439</v>
      </c>
      <c r="B533" s="5">
        <v>45740</v>
      </c>
      <c r="C533" t="s">
        <v>356</v>
      </c>
      <c r="D533" t="s">
        <v>357</v>
      </c>
      <c r="E533" t="s">
        <v>776</v>
      </c>
      <c r="F533" t="s">
        <v>47</v>
      </c>
      <c r="G533" t="s">
        <v>83</v>
      </c>
      <c r="H533" t="s">
        <v>70</v>
      </c>
      <c r="I533" t="s">
        <v>71</v>
      </c>
      <c r="J533" t="s">
        <v>56</v>
      </c>
      <c r="K533" t="s">
        <v>38</v>
      </c>
      <c r="L533" s="5">
        <v>44652</v>
      </c>
      <c r="M533">
        <v>43</v>
      </c>
      <c r="N533" t="s">
        <v>429</v>
      </c>
      <c r="O533" t="s">
        <v>891</v>
      </c>
      <c r="Q533">
        <v>3</v>
      </c>
      <c r="R533">
        <v>306</v>
      </c>
      <c r="S533" t="s">
        <v>932</v>
      </c>
      <c r="T533" s="6">
        <v>160747.87837651517</v>
      </c>
      <c r="U533" s="7">
        <f>T533*DealsRawTable[[#This Row],[Contract_Years]]</f>
        <v>482243.63512954552</v>
      </c>
      <c r="V533" s="8">
        <v>9.8000000000000004E-2</v>
      </c>
      <c r="W533" s="8">
        <v>6.9000000000000006E-2</v>
      </c>
      <c r="X533" s="8">
        <v>4.1000000000000002E-2</v>
      </c>
      <c r="Y533" t="s">
        <v>905</v>
      </c>
      <c r="Z533" t="s">
        <v>879</v>
      </c>
      <c r="AA533" s="6">
        <v>149653.9005331267</v>
      </c>
      <c r="AB533" s="7">
        <f>DealsRawTable[[#This Row],[Final_Price_ACV]]*DealsRawTable[[#This Row],[Contract_Years]]</f>
        <v>448961.70159938012</v>
      </c>
      <c r="AC533" s="6">
        <v>53106.304313105386</v>
      </c>
      <c r="AD533" s="6">
        <v>96547.596220021311</v>
      </c>
      <c r="AE533" s="8">
        <v>0.64513919033236278</v>
      </c>
      <c r="AF533" t="s">
        <v>880</v>
      </c>
      <c r="AI533" t="s">
        <v>38</v>
      </c>
      <c r="AJ533" s="6">
        <v>149653.9005331267</v>
      </c>
      <c r="AK533" s="6">
        <v>96547.596220021311</v>
      </c>
      <c r="AL533" t="s">
        <v>894</v>
      </c>
      <c r="AM533">
        <f t="shared" si="16"/>
        <v>149656.26999999999</v>
      </c>
      <c r="AN533">
        <f>DealsRawTable[[#This Row],[Validated_Annual_Final_Price]]*DealsRawTable[[#This Row],[Contract_Years]]</f>
        <v>448968.80999999994</v>
      </c>
      <c r="AO533">
        <f>DealsRawTable[[#This Row],[Validated_Annual_Final_Price]]-DealsRawTable[[#This Row],[Cost_to_Serve]]</f>
        <v>96549.965686894604</v>
      </c>
      <c r="AP533" s="17">
        <f>DealsRawTable[[#This Row],[Validated_Grossprofit]]/DealsRawTable[[#This Row],[Validated_Annual_Final_Price]]</f>
        <v>0.64514480874670077</v>
      </c>
      <c r="AQ533" s="17">
        <v>149656.26999999999</v>
      </c>
      <c r="AR533" s="17">
        <v>448968.80999999994</v>
      </c>
      <c r="AS533" s="17">
        <v>96549.965686894604</v>
      </c>
      <c r="AT533" s="17">
        <v>0.64514480874670077</v>
      </c>
      <c r="AU533" s="17" t="str">
        <f t="shared" si="17"/>
        <v>5–10%</v>
      </c>
      <c r="AV533" s="17">
        <v>116</v>
      </c>
      <c r="AW533" s="17"/>
    </row>
    <row r="534" spans="1:49">
      <c r="A534" t="s">
        <v>1440</v>
      </c>
      <c r="B534" s="5">
        <v>45697</v>
      </c>
      <c r="C534" t="s">
        <v>358</v>
      </c>
      <c r="D534" t="s">
        <v>359</v>
      </c>
      <c r="E534" t="s">
        <v>777</v>
      </c>
      <c r="F534" t="s">
        <v>445</v>
      </c>
      <c r="G534" t="s">
        <v>34</v>
      </c>
      <c r="H534" t="s">
        <v>35</v>
      </c>
      <c r="I534" t="s">
        <v>42</v>
      </c>
      <c r="J534" t="s">
        <v>43</v>
      </c>
      <c r="K534" t="s">
        <v>38</v>
      </c>
      <c r="L534" s="5">
        <v>45323</v>
      </c>
      <c r="M534">
        <v>76</v>
      </c>
      <c r="N534" t="s">
        <v>424</v>
      </c>
      <c r="O534" t="s">
        <v>891</v>
      </c>
      <c r="Q534">
        <v>1</v>
      </c>
      <c r="R534">
        <v>1419</v>
      </c>
      <c r="S534" t="s">
        <v>932</v>
      </c>
      <c r="T534" s="6">
        <v>126129.29150375143</v>
      </c>
      <c r="U534" s="7">
        <f>T534*DealsRawTable[[#This Row],[Contract_Years]]</f>
        <v>126129.29150375143</v>
      </c>
      <c r="V534" s="8">
        <v>8.5000000000000006E-2</v>
      </c>
      <c r="W534" s="8">
        <v>4.2000000000000003E-2</v>
      </c>
      <c r="X534" s="8">
        <v>7.3999999999999996E-2</v>
      </c>
      <c r="Y534" t="s">
        <v>902</v>
      </c>
      <c r="Z534" t="s">
        <v>879</v>
      </c>
      <c r="AA534" s="6">
        <v>120887.01975150227</v>
      </c>
      <c r="AB534" s="7">
        <f>DealsRawTable[[#This Row],[Final_Price_ACV]]*DealsRawTable[[#This Row],[Contract_Years]]</f>
        <v>120887.01975150227</v>
      </c>
      <c r="AC534" s="6">
        <v>42713.608200939831</v>
      </c>
      <c r="AD534" s="6">
        <v>78173.41155056245</v>
      </c>
      <c r="AE534" s="8">
        <v>0.64666505726799495</v>
      </c>
      <c r="AF534" t="s">
        <v>457</v>
      </c>
      <c r="AI534" t="s">
        <v>38</v>
      </c>
      <c r="AJ534" s="6">
        <v>0</v>
      </c>
      <c r="AK534" s="6">
        <v>0</v>
      </c>
      <c r="AL534" t="s">
        <v>894</v>
      </c>
      <c r="AM534">
        <f t="shared" si="16"/>
        <v>120831.86</v>
      </c>
      <c r="AN534">
        <f>DealsRawTable[[#This Row],[Validated_Annual_Final_Price]]*DealsRawTable[[#This Row],[Contract_Years]]</f>
        <v>120831.86</v>
      </c>
      <c r="AO534">
        <f>DealsRawTable[[#This Row],[Validated_Annual_Final_Price]]-DealsRawTable[[#This Row],[Cost_to_Serve]]</f>
        <v>78118.251799060177</v>
      </c>
      <c r="AP534" s="17">
        <f>DealsRawTable[[#This Row],[Validated_Grossprofit]]/DealsRawTable[[#This Row],[Validated_Annual_Final_Price]]</f>
        <v>0.64650375984496289</v>
      </c>
      <c r="AQ534" s="17">
        <v>0</v>
      </c>
      <c r="AR534" s="17">
        <v>0</v>
      </c>
      <c r="AS534" s="17">
        <v>0</v>
      </c>
      <c r="AT534" s="17">
        <v>0</v>
      </c>
      <c r="AU534" s="17" t="str">
        <f t="shared" si="17"/>
        <v>0–5%</v>
      </c>
      <c r="AV534" s="17">
        <v>55</v>
      </c>
      <c r="AW534" s="17"/>
    </row>
    <row r="535" spans="1:49">
      <c r="A535" t="s">
        <v>1441</v>
      </c>
      <c r="B535" s="5">
        <v>45550</v>
      </c>
      <c r="C535" t="s">
        <v>358</v>
      </c>
      <c r="D535" t="s">
        <v>359</v>
      </c>
      <c r="E535" t="s">
        <v>778</v>
      </c>
      <c r="F535" t="s">
        <v>445</v>
      </c>
      <c r="G535" t="s">
        <v>34</v>
      </c>
      <c r="H535" t="s">
        <v>35</v>
      </c>
      <c r="I535" t="s">
        <v>42</v>
      </c>
      <c r="J535" t="s">
        <v>43</v>
      </c>
      <c r="K535" t="s">
        <v>38</v>
      </c>
      <c r="L535" s="5">
        <v>45323</v>
      </c>
      <c r="M535">
        <v>76</v>
      </c>
      <c r="N535" t="s">
        <v>433</v>
      </c>
      <c r="O535" t="s">
        <v>891</v>
      </c>
      <c r="Q535">
        <v>2</v>
      </c>
      <c r="R535">
        <v>1149</v>
      </c>
      <c r="S535" t="s">
        <v>947</v>
      </c>
      <c r="T535" s="6">
        <v>611592.01583507238</v>
      </c>
      <c r="U535" s="7">
        <f>T535*DealsRawTable[[#This Row],[Contract_Years]]</f>
        <v>1223184.0316701448</v>
      </c>
      <c r="V535" s="8">
        <v>0.11</v>
      </c>
      <c r="W535" s="8">
        <v>0.1</v>
      </c>
      <c r="X535" s="8">
        <v>0.15</v>
      </c>
      <c r="Y535" t="s">
        <v>885</v>
      </c>
      <c r="Z535" t="s">
        <v>879</v>
      </c>
      <c r="AA535" s="6">
        <v>550586.05754136969</v>
      </c>
      <c r="AB535" s="7">
        <f>DealsRawTable[[#This Row],[Final_Price_ACV]]*DealsRawTable[[#This Row],[Contract_Years]]</f>
        <v>1101172.1150827394</v>
      </c>
      <c r="AC535" s="6">
        <v>259290.43558807889</v>
      </c>
      <c r="AD535" s="6">
        <v>291295.62195329077</v>
      </c>
      <c r="AE535" s="8">
        <v>0.52906465386004353</v>
      </c>
      <c r="AF535" t="s">
        <v>457</v>
      </c>
      <c r="AI535" t="s">
        <v>38</v>
      </c>
      <c r="AJ535" s="6">
        <v>0</v>
      </c>
      <c r="AK535" s="6">
        <v>0</v>
      </c>
      <c r="AL535" t="s">
        <v>894</v>
      </c>
      <c r="AM535">
        <f t="shared" si="16"/>
        <v>550432.81000000006</v>
      </c>
      <c r="AN535">
        <f>DealsRawTable[[#This Row],[Validated_Annual_Final_Price]]*DealsRawTable[[#This Row],[Contract_Years]]</f>
        <v>1100865.6200000001</v>
      </c>
      <c r="AO535">
        <f>DealsRawTable[[#This Row],[Validated_Annual_Final_Price]]-DealsRawTable[[#This Row],[Cost_to_Serve]]</f>
        <v>291142.37441192113</v>
      </c>
      <c r="AP535" s="17">
        <f>DealsRawTable[[#This Row],[Validated_Grossprofit]]/DealsRawTable[[#This Row],[Validated_Annual_Final_Price]]</f>
        <v>0.52893353943040045</v>
      </c>
      <c r="AQ535" s="17">
        <v>0</v>
      </c>
      <c r="AR535" s="17">
        <v>0</v>
      </c>
      <c r="AS535" s="17">
        <v>0</v>
      </c>
      <c r="AT535" s="17">
        <v>0</v>
      </c>
      <c r="AU535" s="17" t="str">
        <f t="shared" si="17"/>
        <v>5–10%</v>
      </c>
      <c r="AV535" s="17">
        <v>116</v>
      </c>
      <c r="AW535" s="17"/>
    </row>
    <row r="536" spans="1:49">
      <c r="A536" t="s">
        <v>1442</v>
      </c>
      <c r="B536" s="5">
        <v>45407</v>
      </c>
      <c r="C536" t="s">
        <v>358</v>
      </c>
      <c r="D536" t="s">
        <v>359</v>
      </c>
      <c r="E536" t="s">
        <v>779</v>
      </c>
      <c r="F536" t="s">
        <v>445</v>
      </c>
      <c r="G536" t="s">
        <v>34</v>
      </c>
      <c r="H536" t="s">
        <v>35</v>
      </c>
      <c r="I536" t="s">
        <v>42</v>
      </c>
      <c r="J536" t="s">
        <v>43</v>
      </c>
      <c r="K536" t="s">
        <v>38</v>
      </c>
      <c r="L536" s="5">
        <v>45323</v>
      </c>
      <c r="M536">
        <v>76</v>
      </c>
      <c r="N536" t="s">
        <v>429</v>
      </c>
      <c r="O536" t="s">
        <v>891</v>
      </c>
      <c r="Q536">
        <v>1</v>
      </c>
      <c r="R536">
        <v>1941</v>
      </c>
      <c r="S536" t="s">
        <v>877</v>
      </c>
      <c r="T536" s="6">
        <v>214431.98631329546</v>
      </c>
      <c r="U536" s="7">
        <f>T536*DealsRawTable[[#This Row],[Contract_Years]]</f>
        <v>214431.98631329546</v>
      </c>
      <c r="V536" s="8">
        <v>0.13800000000000001</v>
      </c>
      <c r="W536" s="8">
        <v>0.10100000000000001</v>
      </c>
      <c r="X536" s="8">
        <v>-7.3999999999999996E-2</v>
      </c>
      <c r="Y536" t="s">
        <v>902</v>
      </c>
      <c r="Z536" t="s">
        <v>889</v>
      </c>
      <c r="AA536" s="6">
        <v>192843.19088275003</v>
      </c>
      <c r="AB536" s="7">
        <f>DealsRawTable[[#This Row],[Final_Price_ACV]]*DealsRawTable[[#This Row],[Contract_Years]]</f>
        <v>192843.19088275003</v>
      </c>
      <c r="AC536" s="6">
        <v>88806.783056351225</v>
      </c>
      <c r="AD536" s="6">
        <v>104036.4078263988</v>
      </c>
      <c r="AE536" s="8">
        <v>0.53948706900236709</v>
      </c>
      <c r="AF536" t="s">
        <v>457</v>
      </c>
      <c r="AI536" t="s">
        <v>38</v>
      </c>
      <c r="AJ536" s="6">
        <v>0</v>
      </c>
      <c r="AK536" s="6">
        <v>0</v>
      </c>
      <c r="AL536" t="s">
        <v>894</v>
      </c>
      <c r="AM536">
        <f t="shared" si="16"/>
        <v>192774.36</v>
      </c>
      <c r="AN536">
        <f>DealsRawTable[[#This Row],[Validated_Annual_Final_Price]]*DealsRawTable[[#This Row],[Contract_Years]]</f>
        <v>192774.36</v>
      </c>
      <c r="AO536">
        <f>DealsRawTable[[#This Row],[Validated_Annual_Final_Price]]-DealsRawTable[[#This Row],[Cost_to_Serve]]</f>
        <v>103967.57694364876</v>
      </c>
      <c r="AP536" s="17">
        <f>DealsRawTable[[#This Row],[Validated_Grossprofit]]/DealsRawTable[[#This Row],[Validated_Annual_Final_Price]]</f>
        <v>0.53932264095520155</v>
      </c>
      <c r="AQ536" s="17">
        <v>0</v>
      </c>
      <c r="AR536" s="17">
        <v>0</v>
      </c>
      <c r="AS536" s="17">
        <v>0</v>
      </c>
      <c r="AT536" s="17">
        <v>0</v>
      </c>
      <c r="AU536" s="17" t="str">
        <f t="shared" si="17"/>
        <v>10–15%</v>
      </c>
      <c r="AV536" s="17">
        <v>113</v>
      </c>
      <c r="AW536" s="17"/>
    </row>
    <row r="537" spans="1:49">
      <c r="A537" t="s">
        <v>1443</v>
      </c>
      <c r="B537" s="5">
        <v>45579</v>
      </c>
      <c r="C537" t="s">
        <v>358</v>
      </c>
      <c r="D537" t="s">
        <v>359</v>
      </c>
      <c r="E537" t="s">
        <v>779</v>
      </c>
      <c r="F537" t="s">
        <v>445</v>
      </c>
      <c r="G537" t="s">
        <v>34</v>
      </c>
      <c r="H537" t="s">
        <v>35</v>
      </c>
      <c r="I537" t="s">
        <v>42</v>
      </c>
      <c r="J537" t="s">
        <v>43</v>
      </c>
      <c r="K537" t="s">
        <v>38</v>
      </c>
      <c r="L537" s="5">
        <v>45323</v>
      </c>
      <c r="M537">
        <v>76</v>
      </c>
      <c r="N537" t="s">
        <v>429</v>
      </c>
      <c r="O537" t="s">
        <v>915</v>
      </c>
      <c r="Q537">
        <v>1</v>
      </c>
      <c r="R537">
        <v>1941</v>
      </c>
      <c r="S537" t="s">
        <v>896</v>
      </c>
      <c r="T537" s="6">
        <v>214431.98631329546</v>
      </c>
      <c r="U537" s="7">
        <f>T537*DealsRawTable[[#This Row],[Contract_Years]]</f>
        <v>214431.98631329546</v>
      </c>
      <c r="V537" s="8">
        <v>0.25800000000000001</v>
      </c>
      <c r="W537" s="8">
        <v>0.253</v>
      </c>
      <c r="X537" s="8">
        <v>-1.4E-2</v>
      </c>
      <c r="Y537" t="s">
        <v>878</v>
      </c>
      <c r="Z537" t="s">
        <v>893</v>
      </c>
      <c r="AA537" s="6">
        <v>160142.65230677204</v>
      </c>
      <c r="AB537" s="7">
        <f>DealsRawTable[[#This Row],[Final_Price_ACV]]*DealsRawTable[[#This Row],[Contract_Years]]</f>
        <v>160142.65230677204</v>
      </c>
      <c r="AC537" s="6">
        <v>69369.519960466059</v>
      </c>
      <c r="AD537" s="6">
        <v>90773.132346305982</v>
      </c>
      <c r="AE537" s="8">
        <v>0.56682670755583209</v>
      </c>
      <c r="AF537" t="s">
        <v>880</v>
      </c>
      <c r="AI537" t="s">
        <v>44</v>
      </c>
      <c r="AJ537" s="6">
        <v>160142.65230677204</v>
      </c>
      <c r="AK537" s="6">
        <v>90773.132346305982</v>
      </c>
      <c r="AL537" t="s">
        <v>934</v>
      </c>
      <c r="AM537">
        <f t="shared" si="16"/>
        <v>160180.69</v>
      </c>
      <c r="AN537">
        <f>DealsRawTable[[#This Row],[Validated_Annual_Final_Price]]*DealsRawTable[[#This Row],[Contract_Years]]</f>
        <v>160180.69</v>
      </c>
      <c r="AO537">
        <f>DealsRawTable[[#This Row],[Validated_Annual_Final_Price]]-DealsRawTable[[#This Row],[Cost_to_Serve]]</f>
        <v>90811.170039533943</v>
      </c>
      <c r="AP537" s="17">
        <f>DealsRawTable[[#This Row],[Validated_Grossprofit]]/DealsRawTable[[#This Row],[Validated_Annual_Final_Price]]</f>
        <v>0.56692957209470096</v>
      </c>
      <c r="AQ537" s="17">
        <v>160180.69</v>
      </c>
      <c r="AR537" s="17">
        <v>160180.69</v>
      </c>
      <c r="AS537" s="17">
        <v>90811.170039533943</v>
      </c>
      <c r="AT537" s="17">
        <v>0.56692957209470096</v>
      </c>
      <c r="AU537" s="17" t="str">
        <f t="shared" si="17"/>
        <v>25–30%</v>
      </c>
      <c r="AV537" s="17">
        <v>3</v>
      </c>
      <c r="AW537" s="17"/>
    </row>
    <row r="538" spans="1:49">
      <c r="A538" t="s">
        <v>1444</v>
      </c>
      <c r="B538" s="5">
        <v>45758</v>
      </c>
      <c r="C538" t="s">
        <v>358</v>
      </c>
      <c r="D538" t="s">
        <v>359</v>
      </c>
      <c r="E538" t="s">
        <v>779</v>
      </c>
      <c r="F538" t="s">
        <v>445</v>
      </c>
      <c r="G538" t="s">
        <v>34</v>
      </c>
      <c r="H538" t="s">
        <v>35</v>
      </c>
      <c r="I538" t="s">
        <v>42</v>
      </c>
      <c r="J538" t="s">
        <v>43</v>
      </c>
      <c r="K538" t="s">
        <v>38</v>
      </c>
      <c r="L538" s="5">
        <v>45323</v>
      </c>
      <c r="M538">
        <v>76</v>
      </c>
      <c r="N538" t="s">
        <v>429</v>
      </c>
      <c r="O538" t="s">
        <v>883</v>
      </c>
      <c r="P538" t="s">
        <v>951</v>
      </c>
      <c r="Q538">
        <v>1</v>
      </c>
      <c r="R538">
        <v>2267</v>
      </c>
      <c r="S538" t="s">
        <v>907</v>
      </c>
      <c r="T538" s="6">
        <v>244206.66285960664</v>
      </c>
      <c r="U538" s="7">
        <f>T538*DealsRawTable[[#This Row],[Contract_Years]]</f>
        <v>244206.66285960664</v>
      </c>
      <c r="V538" s="8">
        <v>5.6000000000000001E-2</v>
      </c>
      <c r="W538" s="8">
        <v>1.7999999999999999E-2</v>
      </c>
      <c r="X538" s="8">
        <v>-4.9000000000000002E-2</v>
      </c>
      <c r="Y538" t="s">
        <v>885</v>
      </c>
      <c r="Z538" t="s">
        <v>879</v>
      </c>
      <c r="AA538" s="6">
        <v>239848.5402798334</v>
      </c>
      <c r="AB538" s="7">
        <f>DealsRawTable[[#This Row],[Final_Price_ACV]]*DealsRawTable[[#This Row],[Contract_Years]]</f>
        <v>239848.5402798334</v>
      </c>
      <c r="AC538" s="6">
        <v>84437.487718338773</v>
      </c>
      <c r="AD538" s="6">
        <v>155411.05256149464</v>
      </c>
      <c r="AE538" s="8">
        <v>0.64795496516332851</v>
      </c>
      <c r="AF538" t="s">
        <v>880</v>
      </c>
      <c r="AH538" t="s">
        <v>44</v>
      </c>
      <c r="AI538" t="s">
        <v>38</v>
      </c>
      <c r="AJ538" s="6">
        <v>239848.5402798334</v>
      </c>
      <c r="AK538" s="6">
        <v>155411.05256149464</v>
      </c>
      <c r="AL538" t="s">
        <v>886</v>
      </c>
      <c r="AM538">
        <f t="shared" si="16"/>
        <v>239810.94</v>
      </c>
      <c r="AN538">
        <f>DealsRawTable[[#This Row],[Validated_Annual_Final_Price]]*DealsRawTable[[#This Row],[Contract_Years]]</f>
        <v>239810.94</v>
      </c>
      <c r="AO538">
        <f>DealsRawTable[[#This Row],[Validated_Annual_Final_Price]]-DealsRawTable[[#This Row],[Cost_to_Serve]]</f>
        <v>155373.45228166122</v>
      </c>
      <c r="AP538" s="17">
        <f>DealsRawTable[[#This Row],[Validated_Grossprofit]]/DealsRawTable[[#This Row],[Validated_Annual_Final_Price]]</f>
        <v>0.64789976754880829</v>
      </c>
      <c r="AQ538" s="17">
        <v>239810.94</v>
      </c>
      <c r="AR538" s="17">
        <v>239810.94</v>
      </c>
      <c r="AS538" s="17">
        <v>155373.45228166122</v>
      </c>
      <c r="AT538" s="17">
        <v>0.64789976754880829</v>
      </c>
      <c r="AU538" s="17" t="str">
        <f t="shared" si="17"/>
        <v>0–5%</v>
      </c>
      <c r="AV538" s="17">
        <v>55</v>
      </c>
      <c r="AW538" s="17"/>
    </row>
    <row r="539" spans="1:49">
      <c r="A539" t="s">
        <v>1445</v>
      </c>
      <c r="B539" s="5">
        <v>45944</v>
      </c>
      <c r="C539" t="s">
        <v>358</v>
      </c>
      <c r="D539" t="s">
        <v>359</v>
      </c>
      <c r="E539" t="s">
        <v>779</v>
      </c>
      <c r="F539" t="s">
        <v>445</v>
      </c>
      <c r="G539" t="s">
        <v>34</v>
      </c>
      <c r="H539" t="s">
        <v>35</v>
      </c>
      <c r="I539" t="s">
        <v>42</v>
      </c>
      <c r="J539" t="s">
        <v>43</v>
      </c>
      <c r="K539" t="s">
        <v>38</v>
      </c>
      <c r="L539" s="5">
        <v>45323</v>
      </c>
      <c r="M539">
        <v>76</v>
      </c>
      <c r="N539" t="s">
        <v>429</v>
      </c>
      <c r="O539" t="s">
        <v>876</v>
      </c>
      <c r="Q539">
        <v>1</v>
      </c>
      <c r="R539">
        <v>2267</v>
      </c>
      <c r="S539" t="s">
        <v>900</v>
      </c>
      <c r="T539" s="6">
        <v>258796.66236506862</v>
      </c>
      <c r="U539" s="7">
        <f>T539*DealsRawTable[[#This Row],[Contract_Years]]</f>
        <v>258796.66236506862</v>
      </c>
      <c r="V539" s="8">
        <v>0.13100000000000001</v>
      </c>
      <c r="W539" s="8">
        <v>8.6999999999999994E-2</v>
      </c>
      <c r="X539" s="8">
        <v>3.5000000000000003E-2</v>
      </c>
      <c r="Y539" t="s">
        <v>885</v>
      </c>
      <c r="Z539" t="s">
        <v>879</v>
      </c>
      <c r="AA539" s="6">
        <v>236257.51132670938</v>
      </c>
      <c r="AB539" s="7">
        <f>DealsRawTable[[#This Row],[Final_Price_ACV]]*DealsRawTable[[#This Row],[Contract_Years]]</f>
        <v>236257.51132670938</v>
      </c>
      <c r="AC539" s="6">
        <v>85999.546342930596</v>
      </c>
      <c r="AD539" s="6">
        <v>150257.96498377877</v>
      </c>
      <c r="AE539" s="8">
        <v>0.63599232947135431</v>
      </c>
      <c r="AF539" t="s">
        <v>457</v>
      </c>
      <c r="AG539" t="s">
        <v>38</v>
      </c>
      <c r="AI539" t="s">
        <v>38</v>
      </c>
      <c r="AJ539" s="6">
        <v>0</v>
      </c>
      <c r="AK539" s="6">
        <v>0</v>
      </c>
      <c r="AL539" t="s">
        <v>881</v>
      </c>
      <c r="AM539">
        <f t="shared" si="16"/>
        <v>236281.35</v>
      </c>
      <c r="AN539">
        <f>DealsRawTable[[#This Row],[Validated_Annual_Final_Price]]*DealsRawTable[[#This Row],[Contract_Years]]</f>
        <v>236281.35</v>
      </c>
      <c r="AO539">
        <f>DealsRawTable[[#This Row],[Validated_Annual_Final_Price]]-DealsRawTable[[#This Row],[Cost_to_Serve]]</f>
        <v>150281.80365706939</v>
      </c>
      <c r="AP539" s="17">
        <f>DealsRawTable[[#This Row],[Validated_Grossprofit]]/DealsRawTable[[#This Row],[Validated_Annual_Final_Price]]</f>
        <v>0.63602905458712422</v>
      </c>
      <c r="AQ539" s="17">
        <v>0</v>
      </c>
      <c r="AR539" s="17">
        <v>0</v>
      </c>
      <c r="AS539" s="17">
        <v>0</v>
      </c>
      <c r="AT539" s="17">
        <v>0</v>
      </c>
      <c r="AU539" s="17" t="str">
        <f t="shared" si="17"/>
        <v>5–10%</v>
      </c>
      <c r="AV539" s="17">
        <v>116</v>
      </c>
      <c r="AW539" s="17"/>
    </row>
    <row r="540" spans="1:49">
      <c r="A540" t="s">
        <v>1446</v>
      </c>
      <c r="B540" s="5">
        <v>45796</v>
      </c>
      <c r="C540" t="s">
        <v>358</v>
      </c>
      <c r="D540" t="s">
        <v>359</v>
      </c>
      <c r="E540" t="s">
        <v>780</v>
      </c>
      <c r="F540" t="s">
        <v>475</v>
      </c>
      <c r="G540" t="s">
        <v>34</v>
      </c>
      <c r="H540" t="s">
        <v>35</v>
      </c>
      <c r="I540" t="s">
        <v>42</v>
      </c>
      <c r="J540" t="s">
        <v>43</v>
      </c>
      <c r="K540" t="s">
        <v>38</v>
      </c>
      <c r="L540" s="5">
        <v>45323</v>
      </c>
      <c r="M540">
        <v>76</v>
      </c>
      <c r="N540" t="s">
        <v>427</v>
      </c>
      <c r="O540" t="s">
        <v>891</v>
      </c>
      <c r="Q540">
        <v>3</v>
      </c>
      <c r="R540">
        <v>1339</v>
      </c>
      <c r="S540" t="s">
        <v>892</v>
      </c>
      <c r="T540" s="6">
        <v>136938.93279782895</v>
      </c>
      <c r="U540" s="7">
        <f>T540*DealsRawTable[[#This Row],[Contract_Years]]</f>
        <v>410816.79839348688</v>
      </c>
      <c r="V540" s="8">
        <v>0.17100000000000001</v>
      </c>
      <c r="W540" s="8">
        <v>0.13100000000000001</v>
      </c>
      <c r="X540" s="8">
        <v>-5.7000000000000002E-2</v>
      </c>
      <c r="Y540" t="s">
        <v>885</v>
      </c>
      <c r="Z540" t="s">
        <v>889</v>
      </c>
      <c r="AA540" s="6">
        <v>119051.91361301167</v>
      </c>
      <c r="AB540" s="7">
        <f>DealsRawTable[[#This Row],[Final_Price_ACV]]*DealsRawTable[[#This Row],[Contract_Years]]</f>
        <v>357155.74083903502</v>
      </c>
      <c r="AC540" s="6">
        <v>50148.322578005915</v>
      </c>
      <c r="AD540" s="6">
        <v>68903.591035005753</v>
      </c>
      <c r="AE540" s="8">
        <v>0.57876928596866328</v>
      </c>
      <c r="AF540" t="s">
        <v>880</v>
      </c>
      <c r="AI540" t="s">
        <v>38</v>
      </c>
      <c r="AJ540" s="6">
        <v>119051.91361301167</v>
      </c>
      <c r="AK540" s="6">
        <v>68903.591035005753</v>
      </c>
      <c r="AL540" t="s">
        <v>894</v>
      </c>
      <c r="AM540">
        <f t="shared" si="16"/>
        <v>118999.93</v>
      </c>
      <c r="AN540">
        <f>DealsRawTable[[#This Row],[Validated_Annual_Final_Price]]*DealsRawTable[[#This Row],[Contract_Years]]</f>
        <v>356999.79</v>
      </c>
      <c r="AO540">
        <f>DealsRawTable[[#This Row],[Validated_Annual_Final_Price]]-DealsRawTable[[#This Row],[Cost_to_Serve]]</f>
        <v>68851.607421994078</v>
      </c>
      <c r="AP540" s="17">
        <f>DealsRawTable[[#This Row],[Validated_Grossprofit]]/DealsRawTable[[#This Row],[Validated_Annual_Final_Price]]</f>
        <v>0.57858527666355841</v>
      </c>
      <c r="AQ540" s="17">
        <v>118999.93</v>
      </c>
      <c r="AR540" s="17">
        <v>356999.79</v>
      </c>
      <c r="AS540" s="17">
        <v>68851.607421994078</v>
      </c>
      <c r="AT540" s="17">
        <v>0.57858527666355841</v>
      </c>
      <c r="AU540" s="17" t="str">
        <f t="shared" si="17"/>
        <v>10–15%</v>
      </c>
      <c r="AV540" s="17">
        <v>113</v>
      </c>
      <c r="AW540" s="17"/>
    </row>
    <row r="541" spans="1:49">
      <c r="A541" t="s">
        <v>1447</v>
      </c>
      <c r="B541" s="5">
        <v>45470</v>
      </c>
      <c r="C541" t="s">
        <v>360</v>
      </c>
      <c r="D541" t="s">
        <v>361</v>
      </c>
      <c r="E541" t="s">
        <v>781</v>
      </c>
      <c r="F541" t="s">
        <v>445</v>
      </c>
      <c r="G541" t="s">
        <v>60</v>
      </c>
      <c r="H541" t="s">
        <v>70</v>
      </c>
      <c r="I541" t="s">
        <v>76</v>
      </c>
      <c r="J541" t="s">
        <v>43</v>
      </c>
      <c r="K541" t="s">
        <v>38</v>
      </c>
      <c r="L541" s="5">
        <v>44621</v>
      </c>
      <c r="M541">
        <v>74</v>
      </c>
      <c r="N541" t="s">
        <v>427</v>
      </c>
      <c r="O541" t="s">
        <v>876</v>
      </c>
      <c r="Q541">
        <v>1</v>
      </c>
      <c r="R541">
        <v>923</v>
      </c>
      <c r="S541" t="s">
        <v>892</v>
      </c>
      <c r="T541" s="6">
        <v>183146.07303362791</v>
      </c>
      <c r="U541" s="7">
        <f>T541*DealsRawTable[[#This Row],[Contract_Years]]</f>
        <v>183146.07303362791</v>
      </c>
      <c r="V541" s="8">
        <v>0</v>
      </c>
      <c r="W541" s="8">
        <v>0</v>
      </c>
      <c r="X541" s="8">
        <v>-0.05</v>
      </c>
      <c r="Y541" t="s">
        <v>911</v>
      </c>
      <c r="Z541" t="s">
        <v>879</v>
      </c>
      <c r="AA541" s="6">
        <v>183146.07303362791</v>
      </c>
      <c r="AB541" s="7">
        <f>DealsRawTable[[#This Row],[Final_Price_ACV]]*DealsRawTable[[#This Row],[Contract_Years]]</f>
        <v>183146.07303362791</v>
      </c>
      <c r="AC541" s="6">
        <v>52482.699182764307</v>
      </c>
      <c r="AD541" s="6">
        <v>130663.3738508636</v>
      </c>
      <c r="AE541" s="8">
        <v>0.71343803165723441</v>
      </c>
      <c r="AF541" t="s">
        <v>880</v>
      </c>
      <c r="AG541" t="s">
        <v>44</v>
      </c>
      <c r="AI541" t="s">
        <v>38</v>
      </c>
      <c r="AJ541" s="6">
        <v>183146.07303362791</v>
      </c>
      <c r="AK541" s="6">
        <v>130663.3738508636</v>
      </c>
      <c r="AL541" t="s">
        <v>881</v>
      </c>
      <c r="AM541">
        <f t="shared" si="16"/>
        <v>183146.07</v>
      </c>
      <c r="AN541">
        <f>DealsRawTable[[#This Row],[Validated_Annual_Final_Price]]*DealsRawTable[[#This Row],[Contract_Years]]</f>
        <v>183146.07</v>
      </c>
      <c r="AO541">
        <f>DealsRawTable[[#This Row],[Validated_Annual_Final_Price]]-DealsRawTable[[#This Row],[Cost_to_Serve]]</f>
        <v>130663.3708172357</v>
      </c>
      <c r="AP541" s="17">
        <f>DealsRawTable[[#This Row],[Validated_Grossprofit]]/DealsRawTable[[#This Row],[Validated_Annual_Final_Price]]</f>
        <v>0.71343802691062763</v>
      </c>
      <c r="AQ541" s="17">
        <v>183146.07</v>
      </c>
      <c r="AR541" s="17">
        <v>183146.07</v>
      </c>
      <c r="AS541" s="17">
        <v>130663.3708172357</v>
      </c>
      <c r="AT541" s="17">
        <v>0.71343802691062763</v>
      </c>
      <c r="AU541" s="17" t="str">
        <f t="shared" si="17"/>
        <v>0–5%</v>
      </c>
      <c r="AV541" s="17">
        <v>55</v>
      </c>
      <c r="AW541" s="17"/>
    </row>
    <row r="542" spans="1:49">
      <c r="A542" t="s">
        <v>1448</v>
      </c>
      <c r="B542" s="5">
        <v>45835</v>
      </c>
      <c r="C542" t="s">
        <v>360</v>
      </c>
      <c r="D542" t="s">
        <v>361</v>
      </c>
      <c r="E542" t="s">
        <v>781</v>
      </c>
      <c r="F542" t="s">
        <v>445</v>
      </c>
      <c r="G542" t="s">
        <v>60</v>
      </c>
      <c r="H542" t="s">
        <v>70</v>
      </c>
      <c r="I542" t="s">
        <v>76</v>
      </c>
      <c r="J542" t="s">
        <v>43</v>
      </c>
      <c r="K542" t="s">
        <v>38</v>
      </c>
      <c r="L542" s="5">
        <v>44621</v>
      </c>
      <c r="M542">
        <v>74</v>
      </c>
      <c r="N542" t="s">
        <v>427</v>
      </c>
      <c r="O542" t="s">
        <v>876</v>
      </c>
      <c r="Q542">
        <v>1</v>
      </c>
      <c r="R542">
        <v>923</v>
      </c>
      <c r="S542" t="s">
        <v>932</v>
      </c>
      <c r="T542" s="6">
        <v>188936.24177923886</v>
      </c>
      <c r="U542" s="7">
        <f>T542*DealsRawTable[[#This Row],[Contract_Years]]</f>
        <v>188936.24177923886</v>
      </c>
      <c r="V542" s="8">
        <v>0.18</v>
      </c>
      <c r="W542" s="8">
        <v>0.16</v>
      </c>
      <c r="X542" s="8">
        <v>-5.6000000000000001E-2</v>
      </c>
      <c r="Y542" t="s">
        <v>930</v>
      </c>
      <c r="Z542" t="s">
        <v>889</v>
      </c>
      <c r="AA542" s="6">
        <v>158763.93254273388</v>
      </c>
      <c r="AB542" s="7">
        <f>DealsRawTable[[#This Row],[Final_Price_ACV]]*DealsRawTable[[#This Row],[Contract_Years]]</f>
        <v>158763.93254273388</v>
      </c>
      <c r="AC542" s="6">
        <v>56651.536992567046</v>
      </c>
      <c r="AD542" s="6">
        <v>102112.39555016684</v>
      </c>
      <c r="AE542" s="8">
        <v>0.6431712411928423</v>
      </c>
      <c r="AF542" t="s">
        <v>457</v>
      </c>
      <c r="AG542" t="s">
        <v>38</v>
      </c>
      <c r="AI542" t="s">
        <v>38</v>
      </c>
      <c r="AJ542" s="6">
        <v>0</v>
      </c>
      <c r="AK542" s="6">
        <v>0</v>
      </c>
      <c r="AL542" t="s">
        <v>881</v>
      </c>
      <c r="AM542">
        <f t="shared" si="16"/>
        <v>158706.44</v>
      </c>
      <c r="AN542">
        <f>DealsRawTable[[#This Row],[Validated_Annual_Final_Price]]*DealsRawTable[[#This Row],[Contract_Years]]</f>
        <v>158706.44</v>
      </c>
      <c r="AO542">
        <f>DealsRawTable[[#This Row],[Validated_Annual_Final_Price]]-DealsRawTable[[#This Row],[Cost_to_Serve]]</f>
        <v>102054.90300743296</v>
      </c>
      <c r="AP542" s="17">
        <f>DealsRawTable[[#This Row],[Validated_Grossprofit]]/DealsRawTable[[#This Row],[Validated_Annual_Final_Price]]</f>
        <v>0.64304197742343006</v>
      </c>
      <c r="AQ542" s="17">
        <v>0</v>
      </c>
      <c r="AR542" s="17">
        <v>0</v>
      </c>
      <c r="AS542" s="17">
        <v>0</v>
      </c>
      <c r="AT542" s="17">
        <v>0</v>
      </c>
      <c r="AU542" s="17" t="str">
        <f t="shared" si="17"/>
        <v>15–20%</v>
      </c>
      <c r="AV542" s="17">
        <v>108</v>
      </c>
      <c r="AW542" s="17"/>
    </row>
    <row r="543" spans="1:49">
      <c r="A543" t="s">
        <v>1449</v>
      </c>
      <c r="B543" s="5">
        <v>45636</v>
      </c>
      <c r="C543" t="s">
        <v>360</v>
      </c>
      <c r="D543" t="s">
        <v>361</v>
      </c>
      <c r="E543" t="s">
        <v>782</v>
      </c>
      <c r="F543" t="s">
        <v>47</v>
      </c>
      <c r="G543" t="s">
        <v>60</v>
      </c>
      <c r="H543" t="s">
        <v>70</v>
      </c>
      <c r="I543" t="s">
        <v>76</v>
      </c>
      <c r="J543" t="s">
        <v>43</v>
      </c>
      <c r="K543" t="s">
        <v>38</v>
      </c>
      <c r="L543" s="5">
        <v>44621</v>
      </c>
      <c r="M543">
        <v>74</v>
      </c>
      <c r="N543" t="s">
        <v>424</v>
      </c>
      <c r="O543" t="s">
        <v>891</v>
      </c>
      <c r="Q543">
        <v>1</v>
      </c>
      <c r="R543">
        <v>1099</v>
      </c>
      <c r="S543" t="s">
        <v>932</v>
      </c>
      <c r="T543" s="6">
        <v>81605.491063080437</v>
      </c>
      <c r="U543" s="7">
        <f>T543*DealsRawTable[[#This Row],[Contract_Years]]</f>
        <v>81605.491063080437</v>
      </c>
      <c r="V543" s="8">
        <v>0.124</v>
      </c>
      <c r="W543" s="8">
        <v>9.6000000000000002E-2</v>
      </c>
      <c r="X543" s="8">
        <v>1.4999999999999999E-2</v>
      </c>
      <c r="Y543" t="s">
        <v>897</v>
      </c>
      <c r="Z543" t="s">
        <v>879</v>
      </c>
      <c r="AA543" s="6">
        <v>73805.015660853183</v>
      </c>
      <c r="AB543" s="7">
        <f>DealsRawTable[[#This Row],[Final_Price_ACV]]*DealsRawTable[[#This Row],[Contract_Years]]</f>
        <v>73805.015660853183</v>
      </c>
      <c r="AC543" s="6">
        <v>28424.723874404284</v>
      </c>
      <c r="AD543" s="6">
        <v>45380.291786448899</v>
      </c>
      <c r="AE543" s="8">
        <v>0.61486731464131372</v>
      </c>
      <c r="AF543" t="s">
        <v>880</v>
      </c>
      <c r="AI543" t="s">
        <v>38</v>
      </c>
      <c r="AJ543" s="6">
        <v>73805.015660853183</v>
      </c>
      <c r="AK543" s="6">
        <v>45380.291786448899</v>
      </c>
      <c r="AL543" t="s">
        <v>894</v>
      </c>
      <c r="AM543">
        <f t="shared" si="16"/>
        <v>73771.360000000001</v>
      </c>
      <c r="AN543">
        <f>DealsRawTable[[#This Row],[Validated_Annual_Final_Price]]*DealsRawTable[[#This Row],[Contract_Years]]</f>
        <v>73771.360000000001</v>
      </c>
      <c r="AO543">
        <f>DealsRawTable[[#This Row],[Validated_Annual_Final_Price]]-DealsRawTable[[#This Row],[Cost_to_Serve]]</f>
        <v>45346.636125595716</v>
      </c>
      <c r="AP543" s="17">
        <f>DealsRawTable[[#This Row],[Validated_Grossprofit]]/DealsRawTable[[#This Row],[Validated_Annual_Final_Price]]</f>
        <v>0.61469161102080427</v>
      </c>
      <c r="AQ543" s="17">
        <v>73771.360000000001</v>
      </c>
      <c r="AR543" s="17">
        <v>73771.360000000001</v>
      </c>
      <c r="AS543" s="17">
        <v>45346.636125595716</v>
      </c>
      <c r="AT543" s="17">
        <v>0.61469161102080427</v>
      </c>
      <c r="AU543" s="17" t="str">
        <f t="shared" si="17"/>
        <v>5–10%</v>
      </c>
      <c r="AV543" s="17">
        <v>116</v>
      </c>
      <c r="AW543" s="17"/>
    </row>
    <row r="544" spans="1:49">
      <c r="A544" t="s">
        <v>1450</v>
      </c>
      <c r="B544" s="5">
        <v>45767</v>
      </c>
      <c r="C544" t="s">
        <v>360</v>
      </c>
      <c r="D544" t="s">
        <v>361</v>
      </c>
      <c r="E544" t="s">
        <v>782</v>
      </c>
      <c r="F544" t="s">
        <v>47</v>
      </c>
      <c r="G544" t="s">
        <v>60</v>
      </c>
      <c r="H544" t="s">
        <v>70</v>
      </c>
      <c r="I544" t="s">
        <v>76</v>
      </c>
      <c r="J544" t="s">
        <v>43</v>
      </c>
      <c r="K544" t="s">
        <v>38</v>
      </c>
      <c r="L544" s="5">
        <v>44621</v>
      </c>
      <c r="M544">
        <v>74</v>
      </c>
      <c r="N544" t="s">
        <v>424</v>
      </c>
      <c r="O544" t="s">
        <v>883</v>
      </c>
      <c r="P544" t="s">
        <v>899</v>
      </c>
      <c r="Q544">
        <v>1</v>
      </c>
      <c r="R544">
        <v>1452</v>
      </c>
      <c r="S544" t="s">
        <v>947</v>
      </c>
      <c r="T544" s="6">
        <v>105724.41849949768</v>
      </c>
      <c r="U544" s="7">
        <f>T544*DealsRawTable[[#This Row],[Contract_Years]]</f>
        <v>105724.41849949768</v>
      </c>
      <c r="V544" s="8">
        <v>0.10100000000000001</v>
      </c>
      <c r="W544" s="8">
        <v>8.1000000000000003E-2</v>
      </c>
      <c r="X544" s="8">
        <v>-2.3E-2</v>
      </c>
      <c r="Y544" t="s">
        <v>885</v>
      </c>
      <c r="Z544" t="s">
        <v>879</v>
      </c>
      <c r="AA544" s="6">
        <v>97166.128918179034</v>
      </c>
      <c r="AB544" s="7">
        <f>DealsRawTable[[#This Row],[Final_Price_ACV]]*DealsRawTable[[#This Row],[Contract_Years]]</f>
        <v>97166.128918179034</v>
      </c>
      <c r="AC544" s="6">
        <v>30456.614592198737</v>
      </c>
      <c r="AD544" s="6">
        <v>66709.514325980301</v>
      </c>
      <c r="AE544" s="8">
        <v>0.68655111682132131</v>
      </c>
      <c r="AF544" t="s">
        <v>880</v>
      </c>
      <c r="AH544" t="s">
        <v>44</v>
      </c>
      <c r="AI544" t="s">
        <v>38</v>
      </c>
      <c r="AJ544" s="6">
        <v>97166.128918179034</v>
      </c>
      <c r="AK544" s="6">
        <v>66709.514325980301</v>
      </c>
      <c r="AL544" t="s">
        <v>886</v>
      </c>
      <c r="AM544">
        <f t="shared" si="16"/>
        <v>97160.74</v>
      </c>
      <c r="AN544">
        <f>DealsRawTable[[#This Row],[Validated_Annual_Final_Price]]*DealsRawTable[[#This Row],[Contract_Years]]</f>
        <v>97160.74</v>
      </c>
      <c r="AO544">
        <f>DealsRawTable[[#This Row],[Validated_Annual_Final_Price]]-DealsRawTable[[#This Row],[Cost_to_Serve]]</f>
        <v>66704.125407801272</v>
      </c>
      <c r="AP544" s="17">
        <f>DealsRawTable[[#This Row],[Validated_Grossprofit]]/DealsRawTable[[#This Row],[Validated_Annual_Final_Price]]</f>
        <v>0.68653373170893173</v>
      </c>
      <c r="AQ544" s="17">
        <v>97160.74</v>
      </c>
      <c r="AR544" s="17">
        <v>97160.74</v>
      </c>
      <c r="AS544" s="17">
        <v>66704.125407801272</v>
      </c>
      <c r="AT544" s="17">
        <v>0.68653373170893173</v>
      </c>
      <c r="AU544" s="17" t="str">
        <f t="shared" si="17"/>
        <v>5–10%</v>
      </c>
      <c r="AV544" s="17">
        <v>116</v>
      </c>
      <c r="AW544" s="17"/>
    </row>
    <row r="545" spans="1:49">
      <c r="A545" t="s">
        <v>1451</v>
      </c>
      <c r="B545" s="5">
        <v>46001</v>
      </c>
      <c r="C545" t="s">
        <v>360</v>
      </c>
      <c r="D545" t="s">
        <v>361</v>
      </c>
      <c r="E545" t="s">
        <v>782</v>
      </c>
      <c r="F545" t="s">
        <v>47</v>
      </c>
      <c r="G545" t="s">
        <v>60</v>
      </c>
      <c r="H545" t="s">
        <v>70</v>
      </c>
      <c r="I545" t="s">
        <v>76</v>
      </c>
      <c r="J545" t="s">
        <v>43</v>
      </c>
      <c r="K545" t="s">
        <v>38</v>
      </c>
      <c r="L545" s="5">
        <v>44621</v>
      </c>
      <c r="M545">
        <v>74</v>
      </c>
      <c r="N545" t="s">
        <v>424</v>
      </c>
      <c r="O545" t="s">
        <v>876</v>
      </c>
      <c r="Q545">
        <v>1</v>
      </c>
      <c r="R545">
        <v>1452</v>
      </c>
      <c r="S545" t="s">
        <v>947</v>
      </c>
      <c r="T545" s="6">
        <v>113319.10417544021</v>
      </c>
      <c r="U545" s="7">
        <f>T545*DealsRawTable[[#This Row],[Contract_Years]]</f>
        <v>113319.10417544021</v>
      </c>
      <c r="V545" s="8">
        <v>0.14199999999999999</v>
      </c>
      <c r="W545" s="8">
        <v>0.122</v>
      </c>
      <c r="X545" s="8">
        <v>-4.2999999999999997E-2</v>
      </c>
      <c r="Y545" t="s">
        <v>905</v>
      </c>
      <c r="Z545" t="s">
        <v>889</v>
      </c>
      <c r="AA545" s="6">
        <v>99446.195491126098</v>
      </c>
      <c r="AB545" s="7">
        <f>DealsRawTable[[#This Row],[Final_Price_ACV]]*DealsRawTable[[#This Row],[Contract_Years]]</f>
        <v>99446.195491126098</v>
      </c>
      <c r="AC545" s="6">
        <v>33831.540579024317</v>
      </c>
      <c r="AD545" s="6">
        <v>65614.654912101774</v>
      </c>
      <c r="AE545" s="8">
        <v>0.65980055434053064</v>
      </c>
      <c r="AF545" t="s">
        <v>880</v>
      </c>
      <c r="AG545" t="s">
        <v>44</v>
      </c>
      <c r="AI545" t="s">
        <v>38</v>
      </c>
      <c r="AJ545" s="6">
        <v>99446.195491126098</v>
      </c>
      <c r="AK545" s="6">
        <v>65614.654912101774</v>
      </c>
      <c r="AL545" t="s">
        <v>881</v>
      </c>
      <c r="AM545">
        <f t="shared" si="16"/>
        <v>99494.17</v>
      </c>
      <c r="AN545">
        <f>DealsRawTable[[#This Row],[Validated_Annual_Final_Price]]*DealsRawTable[[#This Row],[Contract_Years]]</f>
        <v>99494.17</v>
      </c>
      <c r="AO545">
        <f>DealsRawTable[[#This Row],[Validated_Annual_Final_Price]]-DealsRawTable[[#This Row],[Cost_to_Serve]]</f>
        <v>65662.629420975689</v>
      </c>
      <c r="AP545" s="17">
        <f>DealsRawTable[[#This Row],[Validated_Grossprofit]]/DealsRawTable[[#This Row],[Validated_Annual_Final_Price]]</f>
        <v>0.65996459311109068</v>
      </c>
      <c r="AQ545" s="17">
        <v>99494.17</v>
      </c>
      <c r="AR545" s="17">
        <v>99494.17</v>
      </c>
      <c r="AS545" s="17">
        <v>65662.629420975689</v>
      </c>
      <c r="AT545" s="17">
        <v>0.65996459311109068</v>
      </c>
      <c r="AU545" s="17" t="str">
        <f t="shared" si="17"/>
        <v>10–15%</v>
      </c>
      <c r="AV545" s="17">
        <v>113</v>
      </c>
      <c r="AW545" s="17"/>
    </row>
    <row r="546" spans="1:49">
      <c r="A546" t="s">
        <v>1452</v>
      </c>
      <c r="B546" s="5">
        <v>45375</v>
      </c>
      <c r="C546" t="s">
        <v>360</v>
      </c>
      <c r="D546" t="s">
        <v>361</v>
      </c>
      <c r="E546" t="s">
        <v>783</v>
      </c>
      <c r="F546" t="s">
        <v>475</v>
      </c>
      <c r="G546" t="s">
        <v>60</v>
      </c>
      <c r="H546" t="s">
        <v>70</v>
      </c>
      <c r="I546" t="s">
        <v>76</v>
      </c>
      <c r="J546" t="s">
        <v>43</v>
      </c>
      <c r="K546" t="s">
        <v>38</v>
      </c>
      <c r="L546" s="5">
        <v>44621</v>
      </c>
      <c r="M546">
        <v>74</v>
      </c>
      <c r="N546" t="s">
        <v>427</v>
      </c>
      <c r="O546" t="s">
        <v>883</v>
      </c>
      <c r="P546" t="s">
        <v>985</v>
      </c>
      <c r="Q546">
        <v>1</v>
      </c>
      <c r="R546">
        <v>1821</v>
      </c>
      <c r="S546" t="s">
        <v>892</v>
      </c>
      <c r="T546" s="6">
        <v>236945.55962844379</v>
      </c>
      <c r="U546" s="7">
        <f>T546*DealsRawTable[[#This Row],[Contract_Years]]</f>
        <v>236945.55962844379</v>
      </c>
      <c r="V546" s="8">
        <v>4.1000000000000002E-2</v>
      </c>
      <c r="W546" s="8">
        <v>8.9999999999999993E-3</v>
      </c>
      <c r="X546" s="8">
        <v>-7.6999999999999999E-2</v>
      </c>
      <c r="Y546" t="s">
        <v>885</v>
      </c>
      <c r="Z546" t="s">
        <v>879</v>
      </c>
      <c r="AA546" s="6">
        <v>234846.08576106271</v>
      </c>
      <c r="AB546" s="7">
        <f>DealsRawTable[[#This Row],[Final_Price_ACV]]*DealsRawTable[[#This Row],[Contract_Years]]</f>
        <v>234846.08576106271</v>
      </c>
      <c r="AC546" s="6">
        <v>65052.384055155431</v>
      </c>
      <c r="AD546" s="6">
        <v>169793.7017059073</v>
      </c>
      <c r="AE546" s="8">
        <v>0.7229999220794292</v>
      </c>
      <c r="AF546" t="s">
        <v>880</v>
      </c>
      <c r="AH546" t="s">
        <v>44</v>
      </c>
      <c r="AI546" t="s">
        <v>38</v>
      </c>
      <c r="AJ546" s="6">
        <v>234846.08576106271</v>
      </c>
      <c r="AK546" s="6">
        <v>169793.7017059073</v>
      </c>
      <c r="AL546" t="s">
        <v>886</v>
      </c>
      <c r="AM546">
        <f t="shared" si="16"/>
        <v>234813.05</v>
      </c>
      <c r="AN546">
        <f>DealsRawTable[[#This Row],[Validated_Annual_Final_Price]]*DealsRawTable[[#This Row],[Contract_Years]]</f>
        <v>234813.05</v>
      </c>
      <c r="AO546">
        <f>DealsRawTable[[#This Row],[Validated_Annual_Final_Price]]-DealsRawTable[[#This Row],[Cost_to_Serve]]</f>
        <v>169760.66594484454</v>
      </c>
      <c r="AP546" s="17">
        <f>DealsRawTable[[#This Row],[Validated_Grossprofit]]/DealsRawTable[[#This Row],[Validated_Annual_Final_Price]]</f>
        <v>0.72296095104102842</v>
      </c>
      <c r="AQ546" s="17">
        <v>234813.05</v>
      </c>
      <c r="AR546" s="17">
        <v>234813.05</v>
      </c>
      <c r="AS546" s="17">
        <v>169760.66594484454</v>
      </c>
      <c r="AT546" s="17">
        <v>0.72296095104102842</v>
      </c>
      <c r="AU546" s="17" t="str">
        <f t="shared" si="17"/>
        <v>0–5%</v>
      </c>
      <c r="AV546" s="17">
        <v>55</v>
      </c>
      <c r="AW546" s="17"/>
    </row>
    <row r="547" spans="1:49">
      <c r="A547" t="s">
        <v>1453</v>
      </c>
      <c r="B547" s="5">
        <v>45470</v>
      </c>
      <c r="C547" t="s">
        <v>360</v>
      </c>
      <c r="D547" t="s">
        <v>361</v>
      </c>
      <c r="E547" t="s">
        <v>783</v>
      </c>
      <c r="F547" t="s">
        <v>475</v>
      </c>
      <c r="G547" t="s">
        <v>60</v>
      </c>
      <c r="H547" t="s">
        <v>70</v>
      </c>
      <c r="I547" t="s">
        <v>76</v>
      </c>
      <c r="J547" t="s">
        <v>43</v>
      </c>
      <c r="K547" t="s">
        <v>38</v>
      </c>
      <c r="L547" s="5">
        <v>44621</v>
      </c>
      <c r="M547">
        <v>74</v>
      </c>
      <c r="N547" t="s">
        <v>427</v>
      </c>
      <c r="O547" t="s">
        <v>876</v>
      </c>
      <c r="Q547">
        <v>1</v>
      </c>
      <c r="R547">
        <v>1821</v>
      </c>
      <c r="S547" t="s">
        <v>877</v>
      </c>
      <c r="T547" s="6">
        <v>250939.60270837741</v>
      </c>
      <c r="U547" s="7">
        <f>T547*DealsRawTable[[#This Row],[Contract_Years]]</f>
        <v>250939.60270837741</v>
      </c>
      <c r="V547" s="8">
        <v>0.14099999999999999</v>
      </c>
      <c r="W547" s="8">
        <v>0.121</v>
      </c>
      <c r="X547" s="8">
        <v>2.5999999999999999E-2</v>
      </c>
      <c r="Y547" t="s">
        <v>878</v>
      </c>
      <c r="Z547" t="s">
        <v>889</v>
      </c>
      <c r="AA547" s="6">
        <v>220482.46883603095</v>
      </c>
      <c r="AB547" s="7">
        <f>DealsRawTable[[#This Row],[Final_Price_ACV]]*DealsRawTable[[#This Row],[Contract_Years]]</f>
        <v>220482.46883603095</v>
      </c>
      <c r="AC547" s="6">
        <v>84765.591866982621</v>
      </c>
      <c r="AD547" s="6">
        <v>135716.87696904835</v>
      </c>
      <c r="AE547" s="8">
        <v>0.61554498044911987</v>
      </c>
      <c r="AF547" t="s">
        <v>880</v>
      </c>
      <c r="AG547" t="s">
        <v>44</v>
      </c>
      <c r="AI547" t="s">
        <v>38</v>
      </c>
      <c r="AJ547" s="6">
        <v>220482.46883603095</v>
      </c>
      <c r="AK547" s="6">
        <v>135716.87696904835</v>
      </c>
      <c r="AL547" t="s">
        <v>881</v>
      </c>
      <c r="AM547">
        <f t="shared" si="16"/>
        <v>220575.91</v>
      </c>
      <c r="AN547">
        <f>DealsRawTable[[#This Row],[Validated_Annual_Final_Price]]*DealsRawTable[[#This Row],[Contract_Years]]</f>
        <v>220575.91</v>
      </c>
      <c r="AO547">
        <f>DealsRawTable[[#This Row],[Validated_Annual_Final_Price]]-DealsRawTable[[#This Row],[Cost_to_Serve]]</f>
        <v>135810.3181330174</v>
      </c>
      <c r="AP547" s="17">
        <f>DealsRawTable[[#This Row],[Validated_Grossprofit]]/DealsRawTable[[#This Row],[Validated_Annual_Final_Price]]</f>
        <v>0.6157078446735974</v>
      </c>
      <c r="AQ547" s="17">
        <v>220575.91</v>
      </c>
      <c r="AR547" s="17">
        <v>220575.91</v>
      </c>
      <c r="AS547" s="17">
        <v>135810.3181330174</v>
      </c>
      <c r="AT547" s="17">
        <v>0.6157078446735974</v>
      </c>
      <c r="AU547" s="17" t="str">
        <f t="shared" si="17"/>
        <v>10–15%</v>
      </c>
      <c r="AV547" s="17">
        <v>113</v>
      </c>
      <c r="AW547" s="17"/>
    </row>
    <row r="548" spans="1:49">
      <c r="A548" t="s">
        <v>1454</v>
      </c>
      <c r="B548" s="5">
        <v>45835</v>
      </c>
      <c r="C548" t="s">
        <v>360</v>
      </c>
      <c r="D548" t="s">
        <v>361</v>
      </c>
      <c r="E548" t="s">
        <v>783</v>
      </c>
      <c r="F548" t="s">
        <v>475</v>
      </c>
      <c r="G548" t="s">
        <v>60</v>
      </c>
      <c r="H548" t="s">
        <v>70</v>
      </c>
      <c r="I548" t="s">
        <v>76</v>
      </c>
      <c r="J548" t="s">
        <v>43</v>
      </c>
      <c r="K548" t="s">
        <v>38</v>
      </c>
      <c r="L548" s="5">
        <v>44621</v>
      </c>
      <c r="M548">
        <v>74</v>
      </c>
      <c r="N548" t="s">
        <v>427</v>
      </c>
      <c r="O548" t="s">
        <v>876</v>
      </c>
      <c r="Q548">
        <v>1</v>
      </c>
      <c r="R548">
        <v>1821</v>
      </c>
      <c r="S548" t="s">
        <v>947</v>
      </c>
      <c r="T548" s="6">
        <v>263577.27513803326</v>
      </c>
      <c r="U548" s="7">
        <f>T548*DealsRawTable[[#This Row],[Contract_Years]]</f>
        <v>263577.27513803326</v>
      </c>
      <c r="V548" s="8">
        <v>0.19900000000000001</v>
      </c>
      <c r="W548" s="8">
        <v>0.151</v>
      </c>
      <c r="X548" s="8">
        <v>-0.05</v>
      </c>
      <c r="Y548" t="s">
        <v>930</v>
      </c>
      <c r="Z548" t="s">
        <v>889</v>
      </c>
      <c r="AA548" s="6">
        <v>223861.89736054876</v>
      </c>
      <c r="AB548" s="7">
        <f>DealsRawTable[[#This Row],[Final_Price_ACV]]*DealsRawTable[[#This Row],[Contract_Years]]</f>
        <v>223861.89736054876</v>
      </c>
      <c r="AC548" s="6">
        <v>72824.622174890828</v>
      </c>
      <c r="AD548" s="6">
        <v>151037.27518565793</v>
      </c>
      <c r="AE548" s="8">
        <v>0.67468951602067173</v>
      </c>
      <c r="AF548" t="s">
        <v>880</v>
      </c>
      <c r="AG548" t="s">
        <v>44</v>
      </c>
      <c r="AI548" t="s">
        <v>38</v>
      </c>
      <c r="AJ548" s="6">
        <v>223861.89736054876</v>
      </c>
      <c r="AK548" s="6">
        <v>151037.27518565793</v>
      </c>
      <c r="AL548" t="s">
        <v>881</v>
      </c>
      <c r="AM548">
        <f t="shared" si="16"/>
        <v>223777.11</v>
      </c>
      <c r="AN548">
        <f>DealsRawTable[[#This Row],[Validated_Annual_Final_Price]]*DealsRawTable[[#This Row],[Contract_Years]]</f>
        <v>223777.11</v>
      </c>
      <c r="AO548">
        <f>DealsRawTable[[#This Row],[Validated_Annual_Final_Price]]-DealsRawTable[[#This Row],[Cost_to_Serve]]</f>
        <v>150952.48782510916</v>
      </c>
      <c r="AP548" s="17">
        <f>DealsRawTable[[#This Row],[Validated_Grossprofit]]/DealsRawTable[[#This Row],[Validated_Annual_Final_Price]]</f>
        <v>0.67456625847527107</v>
      </c>
      <c r="AQ548" s="17">
        <v>223777.11</v>
      </c>
      <c r="AR548" s="17">
        <v>223777.11</v>
      </c>
      <c r="AS548" s="17">
        <v>150952.48782510916</v>
      </c>
      <c r="AT548" s="17">
        <v>0.67456625847527107</v>
      </c>
      <c r="AU548" s="17" t="str">
        <f t="shared" si="17"/>
        <v>15–20%</v>
      </c>
      <c r="AV548" s="17">
        <v>108</v>
      </c>
      <c r="AW548" s="17"/>
    </row>
    <row r="549" spans="1:49">
      <c r="A549" t="s">
        <v>1455</v>
      </c>
      <c r="B549" s="5">
        <v>45656</v>
      </c>
      <c r="C549" t="s">
        <v>360</v>
      </c>
      <c r="D549" t="s">
        <v>361</v>
      </c>
      <c r="E549" t="s">
        <v>784</v>
      </c>
      <c r="F549" t="s">
        <v>466</v>
      </c>
      <c r="G549" t="s">
        <v>60</v>
      </c>
      <c r="H549" t="s">
        <v>70</v>
      </c>
      <c r="I549" t="s">
        <v>76</v>
      </c>
      <c r="J549" t="s">
        <v>43</v>
      </c>
      <c r="K549" t="s">
        <v>38</v>
      </c>
      <c r="L549" s="5">
        <v>44621</v>
      </c>
      <c r="M549">
        <v>74</v>
      </c>
      <c r="N549" t="s">
        <v>427</v>
      </c>
      <c r="O549" t="s">
        <v>891</v>
      </c>
      <c r="Q549">
        <v>3</v>
      </c>
      <c r="R549">
        <v>1621</v>
      </c>
      <c r="S549" t="s">
        <v>888</v>
      </c>
      <c r="T549" s="6">
        <v>126225.15287221664</v>
      </c>
      <c r="U549" s="7">
        <f>T549*DealsRawTable[[#This Row],[Contract_Years]]</f>
        <v>378675.45861664991</v>
      </c>
      <c r="V549" s="8">
        <v>0.23899999999999999</v>
      </c>
      <c r="W549" s="8">
        <v>0.192</v>
      </c>
      <c r="X549" s="8">
        <v>0</v>
      </c>
      <c r="Y549" t="s">
        <v>885</v>
      </c>
      <c r="Z549" t="s">
        <v>889</v>
      </c>
      <c r="AA549" s="6">
        <v>101933.10139024971</v>
      </c>
      <c r="AB549" s="7">
        <f>DealsRawTable[[#This Row],[Final_Price_ACV]]*DealsRawTable[[#This Row],[Contract_Years]]</f>
        <v>305799.30417074915</v>
      </c>
      <c r="AC549" s="6">
        <v>42067.419904065646</v>
      </c>
      <c r="AD549" s="6">
        <v>59865.681486184061</v>
      </c>
      <c r="AE549" s="8">
        <v>0.58730364003140634</v>
      </c>
      <c r="AF549" t="s">
        <v>457</v>
      </c>
      <c r="AI549" t="s">
        <v>38</v>
      </c>
      <c r="AJ549" s="6">
        <v>0</v>
      </c>
      <c r="AK549" s="6">
        <v>0</v>
      </c>
      <c r="AL549" t="s">
        <v>894</v>
      </c>
      <c r="AM549">
        <f t="shared" si="16"/>
        <v>101989.92</v>
      </c>
      <c r="AN549">
        <f>DealsRawTable[[#This Row],[Validated_Annual_Final_Price]]*DealsRawTable[[#This Row],[Contract_Years]]</f>
        <v>305969.76</v>
      </c>
      <c r="AO549">
        <f>DealsRawTable[[#This Row],[Validated_Annual_Final_Price]]-DealsRawTable[[#This Row],[Cost_to_Serve]]</f>
        <v>59922.500095934352</v>
      </c>
      <c r="AP549" s="17">
        <f>DealsRawTable[[#This Row],[Validated_Grossprofit]]/DealsRawTable[[#This Row],[Validated_Annual_Final_Price]]</f>
        <v>0.58753355327599388</v>
      </c>
      <c r="AQ549" s="17">
        <v>0</v>
      </c>
      <c r="AR549" s="17">
        <v>0</v>
      </c>
      <c r="AS549" s="17">
        <v>0</v>
      </c>
      <c r="AT549" s="17">
        <v>0</v>
      </c>
      <c r="AU549" s="17" t="str">
        <f t="shared" si="17"/>
        <v>15–20%</v>
      </c>
      <c r="AV549" s="17">
        <v>108</v>
      </c>
      <c r="AW549" s="17"/>
    </row>
    <row r="550" spans="1:49">
      <c r="A550" t="s">
        <v>1456</v>
      </c>
      <c r="B550" s="5">
        <v>45811</v>
      </c>
      <c r="C550" t="s">
        <v>360</v>
      </c>
      <c r="D550" t="s">
        <v>361</v>
      </c>
      <c r="E550" t="s">
        <v>784</v>
      </c>
      <c r="F550" t="s">
        <v>466</v>
      </c>
      <c r="G550" t="s">
        <v>60</v>
      </c>
      <c r="H550" t="s">
        <v>70</v>
      </c>
      <c r="I550" t="s">
        <v>76</v>
      </c>
      <c r="J550" t="s">
        <v>43</v>
      </c>
      <c r="K550" t="s">
        <v>38</v>
      </c>
      <c r="L550" s="5">
        <v>44621</v>
      </c>
      <c r="M550">
        <v>74</v>
      </c>
      <c r="N550" t="s">
        <v>427</v>
      </c>
      <c r="O550" t="s">
        <v>915</v>
      </c>
      <c r="Q550">
        <v>3</v>
      </c>
      <c r="R550">
        <v>1621</v>
      </c>
      <c r="S550" t="s">
        <v>896</v>
      </c>
      <c r="T550" s="6">
        <v>126225.15287221664</v>
      </c>
      <c r="U550" s="7">
        <f>T550*DealsRawTable[[#This Row],[Contract_Years]]</f>
        <v>378675.45861664991</v>
      </c>
      <c r="V550" s="8">
        <v>0.192</v>
      </c>
      <c r="W550" s="8">
        <v>0.151</v>
      </c>
      <c r="X550" s="8">
        <v>-0.1</v>
      </c>
      <c r="Y550" t="s">
        <v>878</v>
      </c>
      <c r="Z550" t="s">
        <v>889</v>
      </c>
      <c r="AA550" s="6">
        <v>107152.43673534412</v>
      </c>
      <c r="AB550" s="7">
        <f>DealsRawTable[[#This Row],[Final_Price_ACV]]*DealsRawTable[[#This Row],[Contract_Years]]</f>
        <v>321457.31020603236</v>
      </c>
      <c r="AC550" s="6">
        <v>45533.671059957123</v>
      </c>
      <c r="AD550" s="6">
        <v>61618.765675386996</v>
      </c>
      <c r="AE550" s="8">
        <v>0.57505706405519486</v>
      </c>
      <c r="AF550" t="s">
        <v>880</v>
      </c>
      <c r="AI550" t="s">
        <v>44</v>
      </c>
      <c r="AJ550" s="6">
        <v>107152.43673534412</v>
      </c>
      <c r="AK550" s="6">
        <v>61618.765675386996</v>
      </c>
      <c r="AL550" t="s">
        <v>934</v>
      </c>
      <c r="AM550">
        <f t="shared" si="16"/>
        <v>107165.15</v>
      </c>
      <c r="AN550">
        <f>DealsRawTable[[#This Row],[Validated_Annual_Final_Price]]*DealsRawTable[[#This Row],[Contract_Years]]</f>
        <v>321495.44999999995</v>
      </c>
      <c r="AO550">
        <f>DealsRawTable[[#This Row],[Validated_Annual_Final_Price]]-DealsRawTable[[#This Row],[Cost_to_Serve]]</f>
        <v>61631.478940042871</v>
      </c>
      <c r="AP550" s="17">
        <f>DealsRawTable[[#This Row],[Validated_Grossprofit]]/DealsRawTable[[#This Row],[Validated_Annual_Final_Price]]</f>
        <v>0.57510747607821078</v>
      </c>
      <c r="AQ550" s="17">
        <v>107165.15</v>
      </c>
      <c r="AR550" s="17">
        <v>321495.44999999995</v>
      </c>
      <c r="AS550" s="17">
        <v>61631.478940042871</v>
      </c>
      <c r="AT550" s="17">
        <v>0.57510747607821078</v>
      </c>
      <c r="AU550" s="17" t="str">
        <f t="shared" si="17"/>
        <v>15–20%</v>
      </c>
      <c r="AV550" s="17">
        <v>108</v>
      </c>
      <c r="AW550" s="17"/>
    </row>
    <row r="551" spans="1:49">
      <c r="A551" t="s">
        <v>1457</v>
      </c>
      <c r="B551" s="5">
        <v>45460</v>
      </c>
      <c r="C551" t="s">
        <v>362</v>
      </c>
      <c r="D551" t="s">
        <v>363</v>
      </c>
      <c r="E551" t="s">
        <v>786</v>
      </c>
      <c r="F551" t="s">
        <v>445</v>
      </c>
      <c r="G551" t="s">
        <v>53</v>
      </c>
      <c r="H551" t="s">
        <v>48</v>
      </c>
      <c r="I551" t="s">
        <v>115</v>
      </c>
      <c r="J551" t="s">
        <v>43</v>
      </c>
      <c r="K551" t="s">
        <v>44</v>
      </c>
      <c r="L551" s="5">
        <v>45200</v>
      </c>
      <c r="M551">
        <v>76</v>
      </c>
      <c r="N551" t="s">
        <v>427</v>
      </c>
      <c r="O551" t="s">
        <v>891</v>
      </c>
      <c r="Q551">
        <v>3</v>
      </c>
      <c r="R551">
        <v>1159</v>
      </c>
      <c r="S551" t="s">
        <v>896</v>
      </c>
      <c r="T551" s="6">
        <v>344859.46310386568</v>
      </c>
      <c r="U551" s="7">
        <f>T551*DealsRawTable[[#This Row],[Contract_Years]]</f>
        <v>1034578.389311597</v>
      </c>
      <c r="V551" s="8">
        <v>0.19800000000000001</v>
      </c>
      <c r="W551" s="8">
        <v>0.16500000000000001</v>
      </c>
      <c r="X551" s="8">
        <v>1E-3</v>
      </c>
      <c r="Y551" t="s">
        <v>902</v>
      </c>
      <c r="Z551" t="s">
        <v>889</v>
      </c>
      <c r="AA551" s="6">
        <v>287869.77213836357</v>
      </c>
      <c r="AB551" s="7">
        <f>DealsRawTable[[#This Row],[Final_Price_ACV]]*DealsRawTable[[#This Row],[Contract_Years]]</f>
        <v>863609.3164150907</v>
      </c>
      <c r="AC551" s="6">
        <v>128285.32481842466</v>
      </c>
      <c r="AD551" s="6">
        <v>159584.44731993892</v>
      </c>
      <c r="AE551" s="8">
        <v>0.55436333636042634</v>
      </c>
      <c r="AF551" t="s">
        <v>880</v>
      </c>
      <c r="AI551" t="s">
        <v>38</v>
      </c>
      <c r="AJ551" s="6">
        <v>287869.77213836357</v>
      </c>
      <c r="AK551" s="6">
        <v>159584.44731993892</v>
      </c>
      <c r="AL551" t="s">
        <v>894</v>
      </c>
      <c r="AM551">
        <f t="shared" si="16"/>
        <v>287957.65000000002</v>
      </c>
      <c r="AN551">
        <f>DealsRawTable[[#This Row],[Validated_Annual_Final_Price]]*DealsRawTable[[#This Row],[Contract_Years]]</f>
        <v>863872.95000000007</v>
      </c>
      <c r="AO551">
        <f>DealsRawTable[[#This Row],[Validated_Annual_Final_Price]]-DealsRawTable[[#This Row],[Cost_to_Serve]]</f>
        <v>159672.32518157538</v>
      </c>
      <c r="AP551" s="17">
        <f>DealsRawTable[[#This Row],[Validated_Grossprofit]]/DealsRawTable[[#This Row],[Validated_Annual_Final_Price]]</f>
        <v>0.55449933412630426</v>
      </c>
      <c r="AQ551" s="17">
        <v>287957.65000000002</v>
      </c>
      <c r="AR551" s="17">
        <v>863872.95000000007</v>
      </c>
      <c r="AS551" s="17">
        <v>159672.32518157538</v>
      </c>
      <c r="AT551" s="17">
        <v>0.55449933412630426</v>
      </c>
      <c r="AU551" s="17" t="str">
        <f t="shared" si="17"/>
        <v>15–20%</v>
      </c>
      <c r="AV551" s="17">
        <v>108</v>
      </c>
      <c r="AW551" s="17"/>
    </row>
    <row r="552" spans="1:49">
      <c r="A552" t="s">
        <v>1458</v>
      </c>
      <c r="B552" s="5">
        <v>45376</v>
      </c>
      <c r="C552" t="s">
        <v>364</v>
      </c>
      <c r="D552" t="s">
        <v>365</v>
      </c>
      <c r="E552" t="s">
        <v>787</v>
      </c>
      <c r="F552" t="s">
        <v>445</v>
      </c>
      <c r="G552" t="s">
        <v>34</v>
      </c>
      <c r="H552" t="s">
        <v>35</v>
      </c>
      <c r="I552" t="s">
        <v>36</v>
      </c>
      <c r="J552" t="s">
        <v>37</v>
      </c>
      <c r="K552" t="s">
        <v>38</v>
      </c>
      <c r="L552" s="5">
        <v>45017</v>
      </c>
      <c r="M552">
        <v>85</v>
      </c>
      <c r="N552" t="s">
        <v>427</v>
      </c>
      <c r="O552" t="s">
        <v>883</v>
      </c>
      <c r="P552" t="s">
        <v>884</v>
      </c>
      <c r="Q552">
        <v>1</v>
      </c>
      <c r="R552">
        <v>26</v>
      </c>
      <c r="S552" t="s">
        <v>932</v>
      </c>
      <c r="T552" s="6">
        <v>66018.43382626005</v>
      </c>
      <c r="U552" s="7">
        <f>T552*DealsRawTable[[#This Row],[Contract_Years]]</f>
        <v>66018.43382626005</v>
      </c>
      <c r="V552" s="8">
        <v>0.13300000000000001</v>
      </c>
      <c r="W552" s="8">
        <v>0.123</v>
      </c>
      <c r="X552" s="8">
        <v>-5.2999999999999999E-2</v>
      </c>
      <c r="Y552" t="s">
        <v>885</v>
      </c>
      <c r="Z552" t="s">
        <v>889</v>
      </c>
      <c r="AA552" s="6">
        <v>57887.342144372204</v>
      </c>
      <c r="AB552" s="7">
        <f>DealsRawTable[[#This Row],[Final_Price_ACV]]*DealsRawTable[[#This Row],[Contract_Years]]</f>
        <v>57887.342144372204</v>
      </c>
      <c r="AC552" s="6">
        <v>22782.128120179976</v>
      </c>
      <c r="AD552" s="6">
        <v>35105.214024192232</v>
      </c>
      <c r="AE552" s="8">
        <v>0.60644024623965487</v>
      </c>
      <c r="AF552" t="s">
        <v>880</v>
      </c>
      <c r="AH552" t="s">
        <v>44</v>
      </c>
      <c r="AI552" t="s">
        <v>38</v>
      </c>
      <c r="AJ552" s="6">
        <v>57887.342144372204</v>
      </c>
      <c r="AK552" s="6">
        <v>35105.214024192232</v>
      </c>
      <c r="AL552" t="s">
        <v>886</v>
      </c>
      <c r="AM552">
        <f t="shared" si="16"/>
        <v>57898.17</v>
      </c>
      <c r="AN552">
        <f>DealsRawTable[[#This Row],[Validated_Annual_Final_Price]]*DealsRawTable[[#This Row],[Contract_Years]]</f>
        <v>57898.17</v>
      </c>
      <c r="AO552">
        <f>DealsRawTable[[#This Row],[Validated_Annual_Final_Price]]-DealsRawTable[[#This Row],[Cost_to_Serve]]</f>
        <v>35116.041879820026</v>
      </c>
      <c r="AP552" s="17">
        <f>DealsRawTable[[#This Row],[Validated_Grossprofit]]/DealsRawTable[[#This Row],[Validated_Annual_Final_Price]]</f>
        <v>0.60651384801661312</v>
      </c>
      <c r="AQ552" s="17">
        <v>57898.17</v>
      </c>
      <c r="AR552" s="17">
        <v>57898.17</v>
      </c>
      <c r="AS552" s="17">
        <v>35116.041879820026</v>
      </c>
      <c r="AT552" s="17">
        <v>0.60651384801661312</v>
      </c>
      <c r="AU552" s="17" t="str">
        <f t="shared" si="17"/>
        <v>10–15%</v>
      </c>
      <c r="AV552" s="17">
        <v>113</v>
      </c>
      <c r="AW552" s="17"/>
    </row>
    <row r="553" spans="1:49">
      <c r="A553" t="s">
        <v>1459</v>
      </c>
      <c r="B553" s="5">
        <v>45543</v>
      </c>
      <c r="C553" t="s">
        <v>364</v>
      </c>
      <c r="D553" t="s">
        <v>365</v>
      </c>
      <c r="E553" t="s">
        <v>787</v>
      </c>
      <c r="F553" t="s">
        <v>445</v>
      </c>
      <c r="G553" t="s">
        <v>34</v>
      </c>
      <c r="H553" t="s">
        <v>35</v>
      </c>
      <c r="I553" t="s">
        <v>36</v>
      </c>
      <c r="J553" t="s">
        <v>37</v>
      </c>
      <c r="K553" t="s">
        <v>38</v>
      </c>
      <c r="L553" s="5">
        <v>45017</v>
      </c>
      <c r="M553">
        <v>85</v>
      </c>
      <c r="N553" t="s">
        <v>427</v>
      </c>
      <c r="O553" t="s">
        <v>876</v>
      </c>
      <c r="Q553">
        <v>1</v>
      </c>
      <c r="R553">
        <v>26</v>
      </c>
      <c r="S553" t="s">
        <v>907</v>
      </c>
      <c r="T553" s="6">
        <v>71224.121549565345</v>
      </c>
      <c r="U553" s="7">
        <f>T553*DealsRawTable[[#This Row],[Contract_Years]]</f>
        <v>71224.121549565345</v>
      </c>
      <c r="V553" s="8">
        <v>0.20699999999999999</v>
      </c>
      <c r="W553" s="8">
        <v>0.185</v>
      </c>
      <c r="X553" s="8">
        <v>2.3E-2</v>
      </c>
      <c r="Y553" t="s">
        <v>911</v>
      </c>
      <c r="Z553" t="s">
        <v>889</v>
      </c>
      <c r="AA553" s="6">
        <v>58016.751153531943</v>
      </c>
      <c r="AB553" s="7">
        <f>DealsRawTable[[#This Row],[Final_Price_ACV]]*DealsRawTable[[#This Row],[Contract_Years]]</f>
        <v>58016.751153531943</v>
      </c>
      <c r="AC553" s="6">
        <v>24217.438965065445</v>
      </c>
      <c r="AD553" s="6">
        <v>33799.312188466502</v>
      </c>
      <c r="AE553" s="8">
        <v>0.58257850562886726</v>
      </c>
      <c r="AF553" t="s">
        <v>880</v>
      </c>
      <c r="AG553" t="s">
        <v>44</v>
      </c>
      <c r="AI553" t="s">
        <v>38</v>
      </c>
      <c r="AJ553" s="6">
        <v>58016.751153531943</v>
      </c>
      <c r="AK553" s="6">
        <v>33799.312188466502</v>
      </c>
      <c r="AL553" t="s">
        <v>881</v>
      </c>
      <c r="AM553">
        <f t="shared" si="16"/>
        <v>58047.66</v>
      </c>
      <c r="AN553">
        <f>DealsRawTable[[#This Row],[Validated_Annual_Final_Price]]*DealsRawTable[[#This Row],[Contract_Years]]</f>
        <v>58047.66</v>
      </c>
      <c r="AO553">
        <f>DealsRawTable[[#This Row],[Validated_Annual_Final_Price]]-DealsRawTable[[#This Row],[Cost_to_Serve]]</f>
        <v>33830.221034934555</v>
      </c>
      <c r="AP553" s="17">
        <f>DealsRawTable[[#This Row],[Validated_Grossprofit]]/DealsRawTable[[#This Row],[Validated_Annual_Final_Price]]</f>
        <v>0.58280077155452181</v>
      </c>
      <c r="AQ553" s="17">
        <v>58047.66</v>
      </c>
      <c r="AR553" s="17">
        <v>58047.66</v>
      </c>
      <c r="AS553" s="17">
        <v>33830.221034934555</v>
      </c>
      <c r="AT553" s="17">
        <v>0.58280077155452181</v>
      </c>
      <c r="AU553" s="17" t="str">
        <f t="shared" si="17"/>
        <v>15–20%</v>
      </c>
      <c r="AV553" s="17">
        <v>108</v>
      </c>
      <c r="AW553" s="17"/>
    </row>
    <row r="554" spans="1:49">
      <c r="A554" t="s">
        <v>1460</v>
      </c>
      <c r="B554" s="5">
        <v>45908</v>
      </c>
      <c r="C554" t="s">
        <v>364</v>
      </c>
      <c r="D554" t="s">
        <v>365</v>
      </c>
      <c r="E554" t="s">
        <v>787</v>
      </c>
      <c r="F554" t="s">
        <v>445</v>
      </c>
      <c r="G554" t="s">
        <v>34</v>
      </c>
      <c r="H554" t="s">
        <v>35</v>
      </c>
      <c r="I554" t="s">
        <v>36</v>
      </c>
      <c r="J554" t="s">
        <v>37</v>
      </c>
      <c r="K554" t="s">
        <v>38</v>
      </c>
      <c r="L554" s="5">
        <v>45017</v>
      </c>
      <c r="M554">
        <v>85</v>
      </c>
      <c r="N554" t="s">
        <v>427</v>
      </c>
      <c r="O554" t="s">
        <v>876</v>
      </c>
      <c r="Q554">
        <v>1</v>
      </c>
      <c r="R554">
        <v>26</v>
      </c>
      <c r="S554" t="s">
        <v>900</v>
      </c>
      <c r="T554" s="6">
        <v>76578.448637914917</v>
      </c>
      <c r="U554" s="7">
        <f>T554*DealsRawTable[[#This Row],[Contract_Years]]</f>
        <v>76578.448637914917</v>
      </c>
      <c r="V554" s="8">
        <v>0.17699999999999999</v>
      </c>
      <c r="W554" s="8">
        <v>0.158</v>
      </c>
      <c r="X554" s="8">
        <v>2.5000000000000001E-2</v>
      </c>
      <c r="Y554" t="s">
        <v>878</v>
      </c>
      <c r="Z554" t="s">
        <v>889</v>
      </c>
      <c r="AA554" s="6">
        <v>64487.508872879589</v>
      </c>
      <c r="AB554" s="7">
        <f>DealsRawTable[[#This Row],[Final_Price_ACV]]*DealsRawTable[[#This Row],[Contract_Years]]</f>
        <v>64487.508872879589</v>
      </c>
      <c r="AC554" s="6">
        <v>25479.701239697228</v>
      </c>
      <c r="AD554" s="6">
        <v>39007.807633182361</v>
      </c>
      <c r="AE554" s="8">
        <v>0.60488935477529682</v>
      </c>
      <c r="AF554" t="s">
        <v>880</v>
      </c>
      <c r="AG554" t="s">
        <v>44</v>
      </c>
      <c r="AI554" t="s">
        <v>38</v>
      </c>
      <c r="AJ554" s="6">
        <v>64487.508872879589</v>
      </c>
      <c r="AK554" s="6">
        <v>39007.807633182361</v>
      </c>
      <c r="AL554" t="s">
        <v>881</v>
      </c>
      <c r="AM554">
        <f t="shared" si="16"/>
        <v>64479.05</v>
      </c>
      <c r="AN554">
        <f>DealsRawTable[[#This Row],[Validated_Annual_Final_Price]]*DealsRawTable[[#This Row],[Contract_Years]]</f>
        <v>64479.05</v>
      </c>
      <c r="AO554">
        <f>DealsRawTable[[#This Row],[Validated_Annual_Final_Price]]-DealsRawTable[[#This Row],[Cost_to_Serve]]</f>
        <v>38999.348760302775</v>
      </c>
      <c r="AP554" s="17">
        <f>DealsRawTable[[#This Row],[Validated_Grossprofit]]/DealsRawTable[[#This Row],[Validated_Annual_Final_Price]]</f>
        <v>0.60483752102896637</v>
      </c>
      <c r="AQ554" s="17">
        <v>64479.05</v>
      </c>
      <c r="AR554" s="17">
        <v>64479.05</v>
      </c>
      <c r="AS554" s="17">
        <v>38999.348760302775</v>
      </c>
      <c r="AT554" s="17">
        <v>0.60483752102896637</v>
      </c>
      <c r="AU554" s="17" t="str">
        <f t="shared" si="17"/>
        <v>15–20%</v>
      </c>
      <c r="AV554" s="17">
        <v>108</v>
      </c>
      <c r="AW554" s="17"/>
    </row>
    <row r="555" spans="1:49">
      <c r="A555" t="s">
        <v>1461</v>
      </c>
      <c r="B555" s="5">
        <v>45803</v>
      </c>
      <c r="C555" t="s">
        <v>366</v>
      </c>
      <c r="D555" t="s">
        <v>367</v>
      </c>
      <c r="E555" t="s">
        <v>788</v>
      </c>
      <c r="F555" t="s">
        <v>466</v>
      </c>
      <c r="G555" t="s">
        <v>34</v>
      </c>
      <c r="H555" t="s">
        <v>70</v>
      </c>
      <c r="I555" t="s">
        <v>71</v>
      </c>
      <c r="J555" t="s">
        <v>37</v>
      </c>
      <c r="K555" t="s">
        <v>38</v>
      </c>
      <c r="L555" s="5">
        <v>44440</v>
      </c>
      <c r="M555">
        <v>58</v>
      </c>
      <c r="N555" t="s">
        <v>433</v>
      </c>
      <c r="O555" t="s">
        <v>891</v>
      </c>
      <c r="Q555">
        <v>2</v>
      </c>
      <c r="R555">
        <v>17</v>
      </c>
      <c r="S555" t="s">
        <v>888</v>
      </c>
      <c r="T555" s="6">
        <v>160347.11683538009</v>
      </c>
      <c r="U555" s="7">
        <f>T555*DealsRawTable[[#This Row],[Contract_Years]]</f>
        <v>320694.23367076018</v>
      </c>
      <c r="V555" s="8">
        <v>0.1</v>
      </c>
      <c r="W555" s="8">
        <v>6.3E-2</v>
      </c>
      <c r="X555" s="8">
        <v>-1.9E-2</v>
      </c>
      <c r="Y555" t="s">
        <v>897</v>
      </c>
      <c r="Z555" t="s">
        <v>879</v>
      </c>
      <c r="AA555" s="6">
        <v>150166.04444224021</v>
      </c>
      <c r="AB555" s="7">
        <f>DealsRawTable[[#This Row],[Final_Price_ACV]]*DealsRawTable[[#This Row],[Contract_Years]]</f>
        <v>300332.08888448041</v>
      </c>
      <c r="AC555" s="6">
        <v>65283.303434754329</v>
      </c>
      <c r="AD555" s="6">
        <v>84882.741007485878</v>
      </c>
      <c r="AE555" s="8">
        <v>0.56525921903826359</v>
      </c>
      <c r="AF555" t="s">
        <v>457</v>
      </c>
      <c r="AI555" t="s">
        <v>38</v>
      </c>
      <c r="AJ555" s="6">
        <v>0</v>
      </c>
      <c r="AK555" s="6">
        <v>0</v>
      </c>
      <c r="AL555" t="s">
        <v>894</v>
      </c>
      <c r="AM555">
        <f t="shared" si="16"/>
        <v>150245.25</v>
      </c>
      <c r="AN555">
        <f>DealsRawTable[[#This Row],[Validated_Annual_Final_Price]]*DealsRawTable[[#This Row],[Contract_Years]]</f>
        <v>300490.5</v>
      </c>
      <c r="AO555">
        <f>DealsRawTable[[#This Row],[Validated_Annual_Final_Price]]-DealsRawTable[[#This Row],[Cost_to_Serve]]</f>
        <v>84961.946565245671</v>
      </c>
      <c r="AP555" s="17">
        <f>DealsRawTable[[#This Row],[Validated_Grossprofit]]/DealsRawTable[[#This Row],[Validated_Annual_Final_Price]]</f>
        <v>0.56548840356181429</v>
      </c>
      <c r="AQ555" s="17">
        <v>0</v>
      </c>
      <c r="AR555" s="17">
        <v>0</v>
      </c>
      <c r="AS555" s="17">
        <v>0</v>
      </c>
      <c r="AT555" s="17">
        <v>0</v>
      </c>
      <c r="AU555" s="17" t="str">
        <f t="shared" si="17"/>
        <v>5–10%</v>
      </c>
      <c r="AV555" s="17">
        <v>116</v>
      </c>
      <c r="AW555" s="17"/>
    </row>
    <row r="556" spans="1:49">
      <c r="A556" t="s">
        <v>1462</v>
      </c>
      <c r="B556" s="5">
        <v>45399</v>
      </c>
      <c r="C556" t="s">
        <v>366</v>
      </c>
      <c r="D556" t="s">
        <v>367</v>
      </c>
      <c r="E556" t="s">
        <v>789</v>
      </c>
      <c r="F556" t="s">
        <v>34</v>
      </c>
      <c r="G556" t="s">
        <v>34</v>
      </c>
      <c r="H556" t="s">
        <v>70</v>
      </c>
      <c r="I556" t="s">
        <v>71</v>
      </c>
      <c r="J556" t="s">
        <v>37</v>
      </c>
      <c r="K556" t="s">
        <v>38</v>
      </c>
      <c r="L556" s="5">
        <v>44440</v>
      </c>
      <c r="M556">
        <v>58</v>
      </c>
      <c r="N556" t="s">
        <v>429</v>
      </c>
      <c r="O556" t="s">
        <v>891</v>
      </c>
      <c r="Q556">
        <v>1</v>
      </c>
      <c r="R556">
        <v>36</v>
      </c>
      <c r="S556" t="s">
        <v>900</v>
      </c>
      <c r="T556" s="6">
        <v>76837.857790762384</v>
      </c>
      <c r="U556" s="7">
        <f>T556*DealsRawTable[[#This Row],[Contract_Years]]</f>
        <v>76837.857790762384</v>
      </c>
      <c r="V556" s="8">
        <v>0.16300000000000001</v>
      </c>
      <c r="W556" s="8">
        <v>0.16200000000000001</v>
      </c>
      <c r="X556" s="8">
        <v>-0.11899999999999999</v>
      </c>
      <c r="Y556" t="s">
        <v>902</v>
      </c>
      <c r="Z556" t="s">
        <v>889</v>
      </c>
      <c r="AA556" s="6">
        <v>64411.995191692586</v>
      </c>
      <c r="AB556" s="7">
        <f>DealsRawTable[[#This Row],[Final_Price_ACV]]*DealsRawTable[[#This Row],[Contract_Years]]</f>
        <v>64411.995191692586</v>
      </c>
      <c r="AC556" s="6">
        <v>27202.970545563883</v>
      </c>
      <c r="AD556" s="6">
        <v>37209.024646128702</v>
      </c>
      <c r="AE556" s="8">
        <v>0.57767228814125704</v>
      </c>
      <c r="AF556" t="s">
        <v>457</v>
      </c>
      <c r="AI556" t="s">
        <v>38</v>
      </c>
      <c r="AJ556" s="6">
        <v>0</v>
      </c>
      <c r="AK556" s="6">
        <v>0</v>
      </c>
      <c r="AL556" t="s">
        <v>894</v>
      </c>
      <c r="AM556">
        <f t="shared" si="16"/>
        <v>64390.12</v>
      </c>
      <c r="AN556">
        <f>DealsRawTable[[#This Row],[Validated_Annual_Final_Price]]*DealsRawTable[[#This Row],[Contract_Years]]</f>
        <v>64390.12</v>
      </c>
      <c r="AO556">
        <f>DealsRawTable[[#This Row],[Validated_Annual_Final_Price]]-DealsRawTable[[#This Row],[Cost_to_Serve]]</f>
        <v>37187.149454436119</v>
      </c>
      <c r="AP556" s="17">
        <f>DealsRawTable[[#This Row],[Validated_Grossprofit]]/DealsRawTable[[#This Row],[Validated_Annual_Final_Price]]</f>
        <v>0.57752881116600063</v>
      </c>
      <c r="AQ556" s="17">
        <v>0</v>
      </c>
      <c r="AR556" s="17">
        <v>0</v>
      </c>
      <c r="AS556" s="17">
        <v>0</v>
      </c>
      <c r="AT556" s="17">
        <v>0</v>
      </c>
      <c r="AU556" s="17" t="str">
        <f t="shared" si="17"/>
        <v>15–20%</v>
      </c>
      <c r="AV556" s="17">
        <v>108</v>
      </c>
      <c r="AW556" s="17"/>
    </row>
    <row r="557" spans="1:49">
      <c r="A557" t="s">
        <v>1463</v>
      </c>
      <c r="B557" s="5">
        <v>45301</v>
      </c>
      <c r="C557" t="s">
        <v>366</v>
      </c>
      <c r="D557" t="s">
        <v>367</v>
      </c>
      <c r="E557" t="s">
        <v>790</v>
      </c>
      <c r="F557" t="s">
        <v>466</v>
      </c>
      <c r="G557" t="s">
        <v>34</v>
      </c>
      <c r="H557" t="s">
        <v>70</v>
      </c>
      <c r="I557" t="s">
        <v>71</v>
      </c>
      <c r="J557" t="s">
        <v>37</v>
      </c>
      <c r="K557" t="s">
        <v>38</v>
      </c>
      <c r="L557" s="5">
        <v>44440</v>
      </c>
      <c r="M557">
        <v>58</v>
      </c>
      <c r="N557" t="s">
        <v>429</v>
      </c>
      <c r="O557" t="s">
        <v>876</v>
      </c>
      <c r="Q557">
        <v>1</v>
      </c>
      <c r="R557">
        <v>62</v>
      </c>
      <c r="S557" t="s">
        <v>932</v>
      </c>
      <c r="T557" s="6">
        <v>91711.714382660008</v>
      </c>
      <c r="U557" s="7">
        <f>T557*DealsRawTable[[#This Row],[Contract_Years]]</f>
        <v>91711.714382660008</v>
      </c>
      <c r="V557" s="8">
        <v>0.17799999999999999</v>
      </c>
      <c r="W557" s="8">
        <v>0.159</v>
      </c>
      <c r="X557" s="8">
        <v>-5.7000000000000002E-2</v>
      </c>
      <c r="Y557" t="s">
        <v>878</v>
      </c>
      <c r="Z557" t="s">
        <v>889</v>
      </c>
      <c r="AA557" s="6">
        <v>77156.503959086593</v>
      </c>
      <c r="AB557" s="7">
        <f>DealsRawTable[[#This Row],[Final_Price_ACV]]*DealsRawTable[[#This Row],[Contract_Years]]</f>
        <v>77156.503959086593</v>
      </c>
      <c r="AC557" s="6">
        <v>30733.69182460678</v>
      </c>
      <c r="AD557" s="6">
        <v>46422.812134479813</v>
      </c>
      <c r="AE557" s="8">
        <v>0.60167075686965044</v>
      </c>
      <c r="AF557" t="s">
        <v>457</v>
      </c>
      <c r="AG557" t="s">
        <v>38</v>
      </c>
      <c r="AI557" t="s">
        <v>38</v>
      </c>
      <c r="AJ557" s="6">
        <v>0</v>
      </c>
      <c r="AK557" s="6">
        <v>0</v>
      </c>
      <c r="AL557" t="s">
        <v>881</v>
      </c>
      <c r="AM557">
        <f t="shared" si="16"/>
        <v>77129.55</v>
      </c>
      <c r="AN557">
        <f>DealsRawTable[[#This Row],[Validated_Annual_Final_Price]]*DealsRawTable[[#This Row],[Contract_Years]]</f>
        <v>77129.55</v>
      </c>
      <c r="AO557">
        <f>DealsRawTable[[#This Row],[Validated_Annual_Final_Price]]-DealsRawTable[[#This Row],[Cost_to_Serve]]</f>
        <v>46395.858175393223</v>
      </c>
      <c r="AP557" s="17">
        <f>DealsRawTable[[#This Row],[Validated_Grossprofit]]/DealsRawTable[[#This Row],[Validated_Annual_Final_Price]]</f>
        <v>0.6015315553558036</v>
      </c>
      <c r="AQ557" s="17">
        <v>0</v>
      </c>
      <c r="AR557" s="17">
        <v>0</v>
      </c>
      <c r="AS557" s="17">
        <v>0</v>
      </c>
      <c r="AT557" s="17">
        <v>0</v>
      </c>
      <c r="AU557" s="17" t="str">
        <f t="shared" si="17"/>
        <v>15–20%</v>
      </c>
      <c r="AV557" s="17">
        <v>108</v>
      </c>
      <c r="AW557" s="17"/>
    </row>
    <row r="558" spans="1:49">
      <c r="A558" t="s">
        <v>1464</v>
      </c>
      <c r="B558" s="5">
        <v>45570</v>
      </c>
      <c r="C558" t="s">
        <v>368</v>
      </c>
      <c r="D558" t="s">
        <v>369</v>
      </c>
      <c r="E558" t="s">
        <v>791</v>
      </c>
      <c r="F558" t="s">
        <v>449</v>
      </c>
      <c r="G558" t="s">
        <v>60</v>
      </c>
      <c r="H558" t="s">
        <v>35</v>
      </c>
      <c r="I558" t="s">
        <v>36</v>
      </c>
      <c r="J558" t="s">
        <v>56</v>
      </c>
      <c r="K558" t="s">
        <v>38</v>
      </c>
      <c r="L558" s="5">
        <v>44105</v>
      </c>
      <c r="M558">
        <v>72</v>
      </c>
      <c r="N558" t="s">
        <v>431</v>
      </c>
      <c r="O558" t="s">
        <v>891</v>
      </c>
      <c r="Q558">
        <v>1</v>
      </c>
      <c r="R558">
        <v>273</v>
      </c>
      <c r="S558" t="s">
        <v>932</v>
      </c>
      <c r="T558" s="6">
        <v>57487.314366153463</v>
      </c>
      <c r="U558" s="7">
        <f>T558*DealsRawTable[[#This Row],[Contract_Years]]</f>
        <v>57487.314366153463</v>
      </c>
      <c r="V558" s="8">
        <v>0.11</v>
      </c>
      <c r="W558" s="8">
        <v>8.6999999999999994E-2</v>
      </c>
      <c r="X558" s="8">
        <v>0.11</v>
      </c>
      <c r="Y558" t="s">
        <v>909</v>
      </c>
      <c r="Z558" t="s">
        <v>879</v>
      </c>
      <c r="AA558" s="6">
        <v>52495.544910349374</v>
      </c>
      <c r="AB558" s="7">
        <f>DealsRawTable[[#This Row],[Final_Price_ACV]]*DealsRawTable[[#This Row],[Contract_Years]]</f>
        <v>52495.544910349374</v>
      </c>
      <c r="AC558" s="6">
        <v>22480.435486120427</v>
      </c>
      <c r="AD558" s="6">
        <v>30015.109424228947</v>
      </c>
      <c r="AE558" s="8">
        <v>0.57176488929656843</v>
      </c>
      <c r="AF558" t="s">
        <v>880</v>
      </c>
      <c r="AI558" t="s">
        <v>38</v>
      </c>
      <c r="AJ558" s="6">
        <v>52495.544910349374</v>
      </c>
      <c r="AK558" s="6">
        <v>30015.109424228947</v>
      </c>
      <c r="AL558" t="s">
        <v>894</v>
      </c>
      <c r="AM558">
        <f t="shared" si="16"/>
        <v>52485.919999999998</v>
      </c>
      <c r="AN558">
        <f>DealsRawTable[[#This Row],[Validated_Annual_Final_Price]]*DealsRawTable[[#This Row],[Contract_Years]]</f>
        <v>52485.919999999998</v>
      </c>
      <c r="AO558">
        <f>DealsRawTable[[#This Row],[Validated_Annual_Final_Price]]-DealsRawTable[[#This Row],[Cost_to_Serve]]</f>
        <v>30005.484513879572</v>
      </c>
      <c r="AP558" s="17">
        <f>DealsRawTable[[#This Row],[Validated_Grossprofit]]/DealsRawTable[[#This Row],[Validated_Annual_Final_Price]]</f>
        <v>0.57168635919651545</v>
      </c>
      <c r="AQ558" s="17">
        <v>52485.919999999998</v>
      </c>
      <c r="AR558" s="17">
        <v>52485.919999999998</v>
      </c>
      <c r="AS558" s="17">
        <v>30005.484513879572</v>
      </c>
      <c r="AT558" s="17">
        <v>0.57168635919651545</v>
      </c>
      <c r="AU558" s="17" t="str">
        <f t="shared" si="17"/>
        <v>5–10%</v>
      </c>
      <c r="AV558" s="17">
        <v>116</v>
      </c>
      <c r="AW558" s="17"/>
    </row>
    <row r="559" spans="1:49">
      <c r="A559" t="s">
        <v>1465</v>
      </c>
      <c r="B559" s="5">
        <v>45935</v>
      </c>
      <c r="C559" t="s">
        <v>368</v>
      </c>
      <c r="D559" t="s">
        <v>369</v>
      </c>
      <c r="E559" t="s">
        <v>791</v>
      </c>
      <c r="F559" t="s">
        <v>449</v>
      </c>
      <c r="G559" t="s">
        <v>60</v>
      </c>
      <c r="H559" t="s">
        <v>35</v>
      </c>
      <c r="I559" t="s">
        <v>36</v>
      </c>
      <c r="J559" t="s">
        <v>56</v>
      </c>
      <c r="K559" t="s">
        <v>38</v>
      </c>
      <c r="L559" s="5">
        <v>44105</v>
      </c>
      <c r="M559">
        <v>72</v>
      </c>
      <c r="N559" t="s">
        <v>431</v>
      </c>
      <c r="O559" t="s">
        <v>876</v>
      </c>
      <c r="Q559">
        <v>1</v>
      </c>
      <c r="R559">
        <v>273</v>
      </c>
      <c r="S559" t="s">
        <v>892</v>
      </c>
      <c r="T559" s="6">
        <v>59449.930409673099</v>
      </c>
      <c r="U559" s="7">
        <f>T559*DealsRawTable[[#This Row],[Contract_Years]]</f>
        <v>59449.930409673099</v>
      </c>
      <c r="V559" s="8">
        <v>0.21099999999999999</v>
      </c>
      <c r="W559" s="8">
        <v>0.19900000000000001</v>
      </c>
      <c r="X559" s="8">
        <v>3.6999999999999998E-2</v>
      </c>
      <c r="Y559" t="s">
        <v>902</v>
      </c>
      <c r="Z559" t="s">
        <v>889</v>
      </c>
      <c r="AA559" s="6">
        <v>47598.761669847299</v>
      </c>
      <c r="AB559" s="7">
        <f>DealsRawTable[[#This Row],[Final_Price_ACV]]*DealsRawTable[[#This Row],[Contract_Years]]</f>
        <v>47598.761669847299</v>
      </c>
      <c r="AC559" s="6">
        <v>21825.601518918818</v>
      </c>
      <c r="AD559" s="6">
        <v>25773.160150928481</v>
      </c>
      <c r="AE559" s="8">
        <v>0.54146703079578595</v>
      </c>
      <c r="AF559" t="s">
        <v>880</v>
      </c>
      <c r="AG559" t="s">
        <v>44</v>
      </c>
      <c r="AI559" t="s">
        <v>38</v>
      </c>
      <c r="AJ559" s="6">
        <v>47598.761669847299</v>
      </c>
      <c r="AK559" s="6">
        <v>25773.160150928481</v>
      </c>
      <c r="AL559" t="s">
        <v>881</v>
      </c>
      <c r="AM559">
        <f t="shared" si="16"/>
        <v>47619.39</v>
      </c>
      <c r="AN559">
        <f>DealsRawTable[[#This Row],[Validated_Annual_Final_Price]]*DealsRawTable[[#This Row],[Contract_Years]]</f>
        <v>47619.39</v>
      </c>
      <c r="AO559">
        <f>DealsRawTable[[#This Row],[Validated_Annual_Final_Price]]-DealsRawTable[[#This Row],[Cost_to_Serve]]</f>
        <v>25793.788481081181</v>
      </c>
      <c r="AP559" s="17">
        <f>DealsRawTable[[#This Row],[Validated_Grossprofit]]/DealsRawTable[[#This Row],[Validated_Annual_Final_Price]]</f>
        <v>0.54166566352658407</v>
      </c>
      <c r="AQ559" s="17">
        <v>47619.39</v>
      </c>
      <c r="AR559" s="17">
        <v>47619.39</v>
      </c>
      <c r="AS559" s="17">
        <v>25793.788481081181</v>
      </c>
      <c r="AT559" s="17">
        <v>0.54166566352658407</v>
      </c>
      <c r="AU559" s="17" t="str">
        <f t="shared" si="17"/>
        <v>15–20%</v>
      </c>
      <c r="AV559" s="17">
        <v>108</v>
      </c>
      <c r="AW559" s="17"/>
    </row>
    <row r="560" spans="1:49">
      <c r="A560" t="s">
        <v>1466</v>
      </c>
      <c r="B560" s="5">
        <v>45413</v>
      </c>
      <c r="C560" t="s">
        <v>370</v>
      </c>
      <c r="D560" t="s">
        <v>371</v>
      </c>
      <c r="E560" t="s">
        <v>792</v>
      </c>
      <c r="F560" t="s">
        <v>475</v>
      </c>
      <c r="G560" t="s">
        <v>34</v>
      </c>
      <c r="H560" t="s">
        <v>54</v>
      </c>
      <c r="I560" t="s">
        <v>55</v>
      </c>
      <c r="J560" t="s">
        <v>56</v>
      </c>
      <c r="K560" t="s">
        <v>44</v>
      </c>
      <c r="L560" s="5">
        <v>45231</v>
      </c>
      <c r="M560">
        <v>85</v>
      </c>
      <c r="N560" t="s">
        <v>433</v>
      </c>
      <c r="O560" t="s">
        <v>891</v>
      </c>
      <c r="Q560">
        <v>1</v>
      </c>
      <c r="R560">
        <v>133</v>
      </c>
      <c r="S560" t="s">
        <v>932</v>
      </c>
      <c r="T560" s="6">
        <v>302328.40742659004</v>
      </c>
      <c r="U560" s="7">
        <f>T560*DealsRawTable[[#This Row],[Contract_Years]]</f>
        <v>302328.40742659004</v>
      </c>
      <c r="V560" s="8">
        <v>0.192</v>
      </c>
      <c r="W560" s="8">
        <v>0.188</v>
      </c>
      <c r="X560" s="8">
        <v>-3.1E-2</v>
      </c>
      <c r="Y560" t="s">
        <v>911</v>
      </c>
      <c r="Z560" t="s">
        <v>889</v>
      </c>
      <c r="AA560" s="6">
        <v>245543.21717755304</v>
      </c>
      <c r="AB560" s="7">
        <f>DealsRawTable[[#This Row],[Final_Price_ACV]]*DealsRawTable[[#This Row],[Contract_Years]]</f>
        <v>245543.21717755304</v>
      </c>
      <c r="AC560" s="6">
        <v>116022.26875826779</v>
      </c>
      <c r="AD560" s="6">
        <v>129520.94841928525</v>
      </c>
      <c r="AE560" s="8">
        <v>0.52748738046234955</v>
      </c>
      <c r="AF560" t="s">
        <v>457</v>
      </c>
      <c r="AI560" t="s">
        <v>38</v>
      </c>
      <c r="AJ560" s="6">
        <v>0</v>
      </c>
      <c r="AK560" s="6">
        <v>0</v>
      </c>
      <c r="AL560" t="s">
        <v>894</v>
      </c>
      <c r="AM560">
        <f t="shared" si="16"/>
        <v>245490.67</v>
      </c>
      <c r="AN560">
        <f>DealsRawTable[[#This Row],[Validated_Annual_Final_Price]]*DealsRawTable[[#This Row],[Contract_Years]]</f>
        <v>245490.67</v>
      </c>
      <c r="AO560">
        <f>DealsRawTable[[#This Row],[Validated_Annual_Final_Price]]-DealsRawTable[[#This Row],[Cost_to_Serve]]</f>
        <v>129468.40124173222</v>
      </c>
      <c r="AP560" s="17">
        <f>DealsRawTable[[#This Row],[Validated_Grossprofit]]/DealsRawTable[[#This Row],[Validated_Annual_Final_Price]]</f>
        <v>0.52738623932930817</v>
      </c>
      <c r="AQ560" s="17">
        <v>0</v>
      </c>
      <c r="AR560" s="17">
        <v>0</v>
      </c>
      <c r="AS560" s="17">
        <v>0</v>
      </c>
      <c r="AT560" s="17">
        <v>0</v>
      </c>
      <c r="AU560" s="17" t="str">
        <f t="shared" si="17"/>
        <v>15–20%</v>
      </c>
      <c r="AV560" s="17">
        <v>108</v>
      </c>
      <c r="AW560" s="17"/>
    </row>
    <row r="561" spans="1:49">
      <c r="A561" t="s">
        <v>1467</v>
      </c>
      <c r="B561" s="5">
        <v>45322</v>
      </c>
      <c r="C561" t="s">
        <v>370</v>
      </c>
      <c r="D561" t="s">
        <v>371</v>
      </c>
      <c r="E561" t="s">
        <v>793</v>
      </c>
      <c r="F561" t="s">
        <v>47</v>
      </c>
      <c r="G561" t="s">
        <v>34</v>
      </c>
      <c r="H561" t="s">
        <v>54</v>
      </c>
      <c r="I561" t="s">
        <v>55</v>
      </c>
      <c r="J561" t="s">
        <v>56</v>
      </c>
      <c r="K561" t="s">
        <v>44</v>
      </c>
      <c r="L561" s="5">
        <v>45231</v>
      </c>
      <c r="M561">
        <v>85</v>
      </c>
      <c r="N561" t="s">
        <v>433</v>
      </c>
      <c r="O561" t="s">
        <v>891</v>
      </c>
      <c r="Q561">
        <v>3</v>
      </c>
      <c r="R561">
        <v>301</v>
      </c>
      <c r="S561" t="s">
        <v>892</v>
      </c>
      <c r="T561" s="6">
        <v>311439.81005342468</v>
      </c>
      <c r="U561" s="7">
        <f>T561*DealsRawTable[[#This Row],[Contract_Years]]</f>
        <v>934319.43016027403</v>
      </c>
      <c r="V561" s="8">
        <v>9.2999999999999999E-2</v>
      </c>
      <c r="W561" s="8">
        <v>7.0999999999999994E-2</v>
      </c>
      <c r="X561" s="8">
        <v>-3.7999999999999999E-2</v>
      </c>
      <c r="Y561" t="s">
        <v>911</v>
      </c>
      <c r="Z561" t="s">
        <v>879</v>
      </c>
      <c r="AA561" s="6">
        <v>289476.99120515533</v>
      </c>
      <c r="AB561" s="7">
        <f>DealsRawTable[[#This Row],[Final_Price_ACV]]*DealsRawTable[[#This Row],[Contract_Years]]</f>
        <v>868430.97361546592</v>
      </c>
      <c r="AC561" s="6">
        <v>115976.48516334349</v>
      </c>
      <c r="AD561" s="6">
        <v>173500.50604181184</v>
      </c>
      <c r="AE561" s="8">
        <v>0.59935853733829314</v>
      </c>
      <c r="AF561" t="s">
        <v>880</v>
      </c>
      <c r="AI561" t="s">
        <v>38</v>
      </c>
      <c r="AJ561" s="6">
        <v>289476.99120515533</v>
      </c>
      <c r="AK561" s="6">
        <v>173500.50604181184</v>
      </c>
      <c r="AL561" t="s">
        <v>894</v>
      </c>
      <c r="AM561">
        <f t="shared" si="16"/>
        <v>289327.58</v>
      </c>
      <c r="AN561">
        <f>DealsRawTable[[#This Row],[Validated_Annual_Final_Price]]*DealsRawTable[[#This Row],[Contract_Years]]</f>
        <v>867982.74</v>
      </c>
      <c r="AO561">
        <f>DealsRawTable[[#This Row],[Validated_Annual_Final_Price]]-DealsRawTable[[#This Row],[Cost_to_Serve]]</f>
        <v>173351.09483665653</v>
      </c>
      <c r="AP561" s="17">
        <f>DealsRawTable[[#This Row],[Validated_Grossprofit]]/DealsRawTable[[#This Row],[Validated_Annual_Final_Price]]</f>
        <v>0.59915164270428878</v>
      </c>
      <c r="AQ561" s="17">
        <v>289327.58</v>
      </c>
      <c r="AR561" s="17">
        <v>867982.74</v>
      </c>
      <c r="AS561" s="17">
        <v>173351.09483665653</v>
      </c>
      <c r="AT561" s="17">
        <v>0.59915164270428878</v>
      </c>
      <c r="AU561" s="17" t="str">
        <f t="shared" si="17"/>
        <v>5–10%</v>
      </c>
      <c r="AV561" s="17">
        <v>116</v>
      </c>
      <c r="AW561" s="17"/>
    </row>
    <row r="562" spans="1:49">
      <c r="A562" t="s">
        <v>1468</v>
      </c>
      <c r="B562" s="5">
        <v>45466</v>
      </c>
      <c r="C562" t="s">
        <v>372</v>
      </c>
      <c r="D562" t="s">
        <v>373</v>
      </c>
      <c r="E562" t="s">
        <v>794</v>
      </c>
      <c r="F562" t="s">
        <v>47</v>
      </c>
      <c r="G562" t="s">
        <v>47</v>
      </c>
      <c r="H562" t="s">
        <v>48</v>
      </c>
      <c r="I562" t="s">
        <v>49</v>
      </c>
      <c r="J562" t="s">
        <v>56</v>
      </c>
      <c r="K562" t="s">
        <v>38</v>
      </c>
      <c r="L562" s="5">
        <v>44652</v>
      </c>
      <c r="M562">
        <v>80</v>
      </c>
      <c r="N562" t="s">
        <v>431</v>
      </c>
      <c r="O562" t="s">
        <v>891</v>
      </c>
      <c r="Q562">
        <v>1</v>
      </c>
      <c r="R562">
        <v>342</v>
      </c>
      <c r="S562" t="s">
        <v>947</v>
      </c>
      <c r="T562" s="6">
        <v>87757.680098929341</v>
      </c>
      <c r="U562" s="7">
        <f>T562*DealsRawTable[[#This Row],[Contract_Years]]</f>
        <v>87757.680098929341</v>
      </c>
      <c r="V562" s="8">
        <v>0.16700000000000001</v>
      </c>
      <c r="W562" s="8">
        <v>0.13600000000000001</v>
      </c>
      <c r="X562" s="8">
        <v>-0.157</v>
      </c>
      <c r="Y562" t="s">
        <v>930</v>
      </c>
      <c r="Z562" t="s">
        <v>889</v>
      </c>
      <c r="AA562" s="6">
        <v>75824.551662492551</v>
      </c>
      <c r="AB562" s="7">
        <f>DealsRawTable[[#This Row],[Final_Price_ACV]]*DealsRawTable[[#This Row],[Contract_Years]]</f>
        <v>75824.551662492551</v>
      </c>
      <c r="AC562" s="6">
        <v>38329.695518698514</v>
      </c>
      <c r="AD562" s="6">
        <v>37494.856143794037</v>
      </c>
      <c r="AE562" s="8">
        <v>0.494494927061221</v>
      </c>
      <c r="AF562" t="s">
        <v>457</v>
      </c>
      <c r="AI562" t="s">
        <v>38</v>
      </c>
      <c r="AJ562" s="6">
        <v>0</v>
      </c>
      <c r="AK562" s="6">
        <v>0</v>
      </c>
      <c r="AL562" t="s">
        <v>894</v>
      </c>
      <c r="AM562">
        <f t="shared" si="16"/>
        <v>75822.64</v>
      </c>
      <c r="AN562">
        <f>DealsRawTable[[#This Row],[Validated_Annual_Final_Price]]*DealsRawTable[[#This Row],[Contract_Years]]</f>
        <v>75822.64</v>
      </c>
      <c r="AO562">
        <f>DealsRawTable[[#This Row],[Validated_Annual_Final_Price]]-DealsRawTable[[#This Row],[Cost_to_Serve]]</f>
        <v>37492.944481301485</v>
      </c>
      <c r="AP562" s="17">
        <f>DealsRawTable[[#This Row],[Validated_Grossprofit]]/DealsRawTable[[#This Row],[Validated_Annual_Final_Price]]</f>
        <v>0.4944821821200302</v>
      </c>
      <c r="AQ562" s="17">
        <v>0</v>
      </c>
      <c r="AR562" s="17">
        <v>0</v>
      </c>
      <c r="AS562" s="17">
        <v>0</v>
      </c>
      <c r="AT562" s="17">
        <v>0</v>
      </c>
      <c r="AU562" s="17" t="str">
        <f t="shared" si="17"/>
        <v>10–15%</v>
      </c>
      <c r="AV562" s="17">
        <v>113</v>
      </c>
      <c r="AW562" s="17"/>
    </row>
    <row r="563" spans="1:49">
      <c r="A563" t="s">
        <v>1469</v>
      </c>
      <c r="B563" s="5">
        <v>45651</v>
      </c>
      <c r="C563" t="s">
        <v>372</v>
      </c>
      <c r="D563" t="s">
        <v>373</v>
      </c>
      <c r="E563" t="s">
        <v>794</v>
      </c>
      <c r="F563" t="s">
        <v>47</v>
      </c>
      <c r="G563" t="s">
        <v>47</v>
      </c>
      <c r="H563" t="s">
        <v>48</v>
      </c>
      <c r="I563" t="s">
        <v>49</v>
      </c>
      <c r="J563" t="s">
        <v>56</v>
      </c>
      <c r="K563" t="s">
        <v>38</v>
      </c>
      <c r="L563" s="5">
        <v>44652</v>
      </c>
      <c r="M563">
        <v>80</v>
      </c>
      <c r="N563" t="s">
        <v>431</v>
      </c>
      <c r="O563" t="s">
        <v>915</v>
      </c>
      <c r="Q563">
        <v>1</v>
      </c>
      <c r="R563">
        <v>342</v>
      </c>
      <c r="S563" t="s">
        <v>900</v>
      </c>
      <c r="T563" s="6">
        <v>87757.680098929341</v>
      </c>
      <c r="U563" s="7">
        <f>T563*DealsRawTable[[#This Row],[Contract_Years]]</f>
        <v>87757.680098929341</v>
      </c>
      <c r="V563" s="8">
        <v>0.183</v>
      </c>
      <c r="W563" s="8">
        <v>0.16200000000000001</v>
      </c>
      <c r="X563" s="8">
        <v>-0.127</v>
      </c>
      <c r="Y563" t="s">
        <v>878</v>
      </c>
      <c r="Z563" t="s">
        <v>889</v>
      </c>
      <c r="AA563" s="6">
        <v>73577.248342613646</v>
      </c>
      <c r="AB563" s="7">
        <f>DealsRawTable[[#This Row],[Final_Price_ACV]]*DealsRawTable[[#This Row],[Contract_Years]]</f>
        <v>73577.248342613646</v>
      </c>
      <c r="AC563" s="6">
        <v>33611.679184247885</v>
      </c>
      <c r="AD563" s="6">
        <v>39965.569158365761</v>
      </c>
      <c r="AE563" s="8">
        <v>0.54317836095562366</v>
      </c>
      <c r="AF563" t="s">
        <v>880</v>
      </c>
      <c r="AI563" t="s">
        <v>44</v>
      </c>
      <c r="AJ563" s="6">
        <v>73577.248342613646</v>
      </c>
      <c r="AK563" s="6">
        <v>39965.569158365761</v>
      </c>
      <c r="AL563" t="s">
        <v>934</v>
      </c>
      <c r="AM563">
        <f t="shared" si="16"/>
        <v>73540.94</v>
      </c>
      <c r="AN563">
        <f>DealsRawTable[[#This Row],[Validated_Annual_Final_Price]]*DealsRawTable[[#This Row],[Contract_Years]]</f>
        <v>73540.94</v>
      </c>
      <c r="AO563">
        <f>DealsRawTable[[#This Row],[Validated_Annual_Final_Price]]-DealsRawTable[[#This Row],[Cost_to_Serve]]</f>
        <v>39929.260815752117</v>
      </c>
      <c r="AP563" s="17">
        <f>DealsRawTable[[#This Row],[Validated_Grossprofit]]/DealsRawTable[[#This Row],[Validated_Annual_Final_Price]]</f>
        <v>0.54295282077917573</v>
      </c>
      <c r="AQ563" s="17">
        <v>73540.94</v>
      </c>
      <c r="AR563" s="17">
        <v>73540.94</v>
      </c>
      <c r="AS563" s="17">
        <v>39929.260815752117</v>
      </c>
      <c r="AT563" s="17">
        <v>0.54295282077917573</v>
      </c>
      <c r="AU563" s="17" t="str">
        <f t="shared" si="17"/>
        <v>15–20%</v>
      </c>
      <c r="AV563" s="17">
        <v>108</v>
      </c>
      <c r="AW563" s="17"/>
    </row>
    <row r="564" spans="1:49">
      <c r="A564" t="s">
        <v>1470</v>
      </c>
      <c r="B564" s="5">
        <v>46016</v>
      </c>
      <c r="C564" t="s">
        <v>372</v>
      </c>
      <c r="D564" t="s">
        <v>373</v>
      </c>
      <c r="E564" t="s">
        <v>794</v>
      </c>
      <c r="F564" t="s">
        <v>47</v>
      </c>
      <c r="G564" t="s">
        <v>47</v>
      </c>
      <c r="H564" t="s">
        <v>48</v>
      </c>
      <c r="I564" t="s">
        <v>49</v>
      </c>
      <c r="J564" t="s">
        <v>56</v>
      </c>
      <c r="K564" t="s">
        <v>38</v>
      </c>
      <c r="L564" s="5">
        <v>44652</v>
      </c>
      <c r="M564">
        <v>80</v>
      </c>
      <c r="N564" t="s">
        <v>431</v>
      </c>
      <c r="O564" t="s">
        <v>876</v>
      </c>
      <c r="Q564">
        <v>1</v>
      </c>
      <c r="R564">
        <v>342</v>
      </c>
      <c r="S564" t="s">
        <v>877</v>
      </c>
      <c r="T564" s="6">
        <v>92104.248590218253</v>
      </c>
      <c r="U564" s="7">
        <f>T564*DealsRawTable[[#This Row],[Contract_Years]]</f>
        <v>92104.248590218253</v>
      </c>
      <c r="V564" s="8">
        <v>5.2999999999999999E-2</v>
      </c>
      <c r="W564" s="8">
        <v>2.1000000000000001E-2</v>
      </c>
      <c r="X564" s="8">
        <v>-1.6E-2</v>
      </c>
      <c r="Y564" t="s">
        <v>911</v>
      </c>
      <c r="Z564" t="s">
        <v>879</v>
      </c>
      <c r="AA564" s="6">
        <v>90129.445798483575</v>
      </c>
      <c r="AB564" s="7">
        <f>DealsRawTable[[#This Row],[Final_Price_ACV]]*DealsRawTable[[#This Row],[Contract_Years]]</f>
        <v>90129.445798483575</v>
      </c>
      <c r="AC564" s="6">
        <v>33471.961644430528</v>
      </c>
      <c r="AD564" s="6">
        <v>56657.484154053047</v>
      </c>
      <c r="AE564" s="8">
        <v>0.62862346098001087</v>
      </c>
      <c r="AF564" t="s">
        <v>880</v>
      </c>
      <c r="AG564" t="s">
        <v>44</v>
      </c>
      <c r="AI564" t="s">
        <v>38</v>
      </c>
      <c r="AJ564" s="6">
        <v>90129.445798483575</v>
      </c>
      <c r="AK564" s="6">
        <v>56657.484154053047</v>
      </c>
      <c r="AL564" t="s">
        <v>881</v>
      </c>
      <c r="AM564">
        <f t="shared" si="16"/>
        <v>90170.06</v>
      </c>
      <c r="AN564">
        <f>DealsRawTable[[#This Row],[Validated_Annual_Final_Price]]*DealsRawTable[[#This Row],[Contract_Years]]</f>
        <v>90170.06</v>
      </c>
      <c r="AO564">
        <f>DealsRawTable[[#This Row],[Validated_Annual_Final_Price]]-DealsRawTable[[#This Row],[Cost_to_Serve]]</f>
        <v>56698.098355569469</v>
      </c>
      <c r="AP564" s="17">
        <f>DealsRawTable[[#This Row],[Validated_Grossprofit]]/DealsRawTable[[#This Row],[Validated_Annual_Final_Price]]</f>
        <v>0.62879073558972309</v>
      </c>
      <c r="AQ564" s="17">
        <v>90170.06</v>
      </c>
      <c r="AR564" s="17">
        <v>90170.06</v>
      </c>
      <c r="AS564" s="17">
        <v>56698.098355569469</v>
      </c>
      <c r="AT564" s="17">
        <v>0.62879073558972309</v>
      </c>
      <c r="AU564" s="17" t="str">
        <f t="shared" si="17"/>
        <v>0–5%</v>
      </c>
      <c r="AV564" s="17">
        <v>55</v>
      </c>
      <c r="AW564" s="17"/>
    </row>
    <row r="565" spans="1:49">
      <c r="A565" t="s">
        <v>1471</v>
      </c>
      <c r="B565" s="5">
        <v>45414</v>
      </c>
      <c r="C565" t="s">
        <v>372</v>
      </c>
      <c r="D565" t="s">
        <v>373</v>
      </c>
      <c r="E565" t="s">
        <v>795</v>
      </c>
      <c r="F565" t="s">
        <v>445</v>
      </c>
      <c r="G565" t="s">
        <v>47</v>
      </c>
      <c r="H565" t="s">
        <v>48</v>
      </c>
      <c r="I565" t="s">
        <v>49</v>
      </c>
      <c r="J565" t="s">
        <v>56</v>
      </c>
      <c r="K565" t="s">
        <v>38</v>
      </c>
      <c r="L565" s="5">
        <v>44652</v>
      </c>
      <c r="M565">
        <v>80</v>
      </c>
      <c r="N565" t="s">
        <v>433</v>
      </c>
      <c r="O565" t="s">
        <v>891</v>
      </c>
      <c r="Q565">
        <v>1</v>
      </c>
      <c r="R565">
        <v>73</v>
      </c>
      <c r="S565" t="s">
        <v>877</v>
      </c>
      <c r="T565" s="6">
        <v>326438.20394359087</v>
      </c>
      <c r="U565" s="7">
        <f>T565*DealsRawTable[[#This Row],[Contract_Years]]</f>
        <v>326438.20394359087</v>
      </c>
      <c r="V565" s="8">
        <v>0.20499999999999999</v>
      </c>
      <c r="W565" s="8">
        <v>0.14799999999999999</v>
      </c>
      <c r="X565" s="8">
        <v>-4.5999999999999999E-2</v>
      </c>
      <c r="Y565" t="s">
        <v>909</v>
      </c>
      <c r="Z565" t="s">
        <v>889</v>
      </c>
      <c r="AA565" s="6">
        <v>278275.31488446408</v>
      </c>
      <c r="AB565" s="7">
        <f>DealsRawTable[[#This Row],[Final_Price_ACV]]*DealsRawTable[[#This Row],[Contract_Years]]</f>
        <v>278275.31488446408</v>
      </c>
      <c r="AC565" s="6">
        <v>125657.64507061004</v>
      </c>
      <c r="AD565" s="6">
        <v>152617.66981385404</v>
      </c>
      <c r="AE565" s="8">
        <v>0.54844127973485068</v>
      </c>
      <c r="AF565" t="s">
        <v>457</v>
      </c>
      <c r="AI565" t="s">
        <v>38</v>
      </c>
      <c r="AJ565" s="6">
        <v>0</v>
      </c>
      <c r="AK565" s="6">
        <v>0</v>
      </c>
      <c r="AL565" t="s">
        <v>894</v>
      </c>
      <c r="AM565">
        <f t="shared" si="16"/>
        <v>278125.34999999998</v>
      </c>
      <c r="AN565">
        <f>DealsRawTable[[#This Row],[Validated_Annual_Final_Price]]*DealsRawTable[[#This Row],[Contract_Years]]</f>
        <v>278125.34999999998</v>
      </c>
      <c r="AO565">
        <f>DealsRawTable[[#This Row],[Validated_Annual_Final_Price]]-DealsRawTable[[#This Row],[Cost_to_Serve]]</f>
        <v>152467.70492938993</v>
      </c>
      <c r="AP565" s="17">
        <f>DealsRawTable[[#This Row],[Validated_Grossprofit]]/DealsRawTable[[#This Row],[Validated_Annual_Final_Price]]</f>
        <v>0.54819779976686756</v>
      </c>
      <c r="AQ565" s="17">
        <v>0</v>
      </c>
      <c r="AR565" s="17">
        <v>0</v>
      </c>
      <c r="AS565" s="17">
        <v>0</v>
      </c>
      <c r="AT565" s="17">
        <v>0</v>
      </c>
      <c r="AU565" s="17" t="str">
        <f t="shared" si="17"/>
        <v>10–15%</v>
      </c>
      <c r="AV565" s="17">
        <v>113</v>
      </c>
      <c r="AW565" s="17"/>
    </row>
    <row r="566" spans="1:49">
      <c r="A566" t="s">
        <v>1472</v>
      </c>
      <c r="B566" s="5">
        <v>45491</v>
      </c>
      <c r="C566" t="s">
        <v>372</v>
      </c>
      <c r="D566" t="s">
        <v>373</v>
      </c>
      <c r="E566" t="s">
        <v>796</v>
      </c>
      <c r="F566" t="s">
        <v>475</v>
      </c>
      <c r="G566" t="s">
        <v>47</v>
      </c>
      <c r="H566" t="s">
        <v>48</v>
      </c>
      <c r="I566" t="s">
        <v>49</v>
      </c>
      <c r="J566" t="s">
        <v>56</v>
      </c>
      <c r="K566" t="s">
        <v>38</v>
      </c>
      <c r="L566" s="5">
        <v>44652</v>
      </c>
      <c r="M566">
        <v>80</v>
      </c>
      <c r="N566" t="s">
        <v>433</v>
      </c>
      <c r="O566" t="s">
        <v>876</v>
      </c>
      <c r="Q566">
        <v>1</v>
      </c>
      <c r="R566">
        <v>334</v>
      </c>
      <c r="S566" t="s">
        <v>888</v>
      </c>
      <c r="T566" s="6">
        <v>223304.39753568018</v>
      </c>
      <c r="U566" s="7">
        <f>T566*DealsRawTable[[#This Row],[Contract_Years]]</f>
        <v>223304.39753568018</v>
      </c>
      <c r="V566" s="8">
        <v>0.105</v>
      </c>
      <c r="W566" s="8">
        <v>6.0999999999999999E-2</v>
      </c>
      <c r="X566" s="8">
        <v>-7.0000000000000007E-2</v>
      </c>
      <c r="Y566" t="s">
        <v>878</v>
      </c>
      <c r="Z566" t="s">
        <v>879</v>
      </c>
      <c r="AA566" s="6">
        <v>209634.18506205222</v>
      </c>
      <c r="AB566" s="7">
        <f>DealsRawTable[[#This Row],[Final_Price_ACV]]*DealsRawTable[[#This Row],[Contract_Years]]</f>
        <v>209634.18506205222</v>
      </c>
      <c r="AC566" s="6">
        <v>88757.765616217308</v>
      </c>
      <c r="AD566" s="6">
        <v>120876.41944583491</v>
      </c>
      <c r="AE566" s="8">
        <v>0.57660643186632565</v>
      </c>
      <c r="AF566" t="s">
        <v>880</v>
      </c>
      <c r="AG566" t="s">
        <v>44</v>
      </c>
      <c r="AI566" t="s">
        <v>38</v>
      </c>
      <c r="AJ566" s="6">
        <v>209634.18506205222</v>
      </c>
      <c r="AK566" s="6">
        <v>120876.41944583491</v>
      </c>
      <c r="AL566" t="s">
        <v>881</v>
      </c>
      <c r="AM566">
        <f t="shared" si="16"/>
        <v>209682.83</v>
      </c>
      <c r="AN566">
        <f>DealsRawTable[[#This Row],[Validated_Annual_Final_Price]]*DealsRawTable[[#This Row],[Contract_Years]]</f>
        <v>209682.83</v>
      </c>
      <c r="AO566">
        <f>DealsRawTable[[#This Row],[Validated_Annual_Final_Price]]-DealsRawTable[[#This Row],[Cost_to_Serve]]</f>
        <v>120925.06438378268</v>
      </c>
      <c r="AP566" s="17">
        <f>DealsRawTable[[#This Row],[Validated_Grossprofit]]/DealsRawTable[[#This Row],[Validated_Annual_Final_Price]]</f>
        <v>0.57670465618850475</v>
      </c>
      <c r="AQ566" s="17">
        <v>209682.83</v>
      </c>
      <c r="AR566" s="17">
        <v>209682.83</v>
      </c>
      <c r="AS566" s="17">
        <v>120925.06438378268</v>
      </c>
      <c r="AT566" s="17">
        <v>0.57670465618850475</v>
      </c>
      <c r="AU566" s="17" t="str">
        <f t="shared" si="17"/>
        <v>5–10%</v>
      </c>
      <c r="AV566" s="17">
        <v>116</v>
      </c>
      <c r="AW566" s="17"/>
    </row>
    <row r="567" spans="1:49">
      <c r="A567" t="s">
        <v>1473</v>
      </c>
      <c r="B567" s="5">
        <v>45856</v>
      </c>
      <c r="C567" t="s">
        <v>372</v>
      </c>
      <c r="D567" t="s">
        <v>373</v>
      </c>
      <c r="E567" t="s">
        <v>796</v>
      </c>
      <c r="F567" t="s">
        <v>475</v>
      </c>
      <c r="G567" t="s">
        <v>47</v>
      </c>
      <c r="H567" t="s">
        <v>48</v>
      </c>
      <c r="I567" t="s">
        <v>49</v>
      </c>
      <c r="J567" t="s">
        <v>56</v>
      </c>
      <c r="K567" t="s">
        <v>38</v>
      </c>
      <c r="L567" s="5">
        <v>44652</v>
      </c>
      <c r="M567">
        <v>80</v>
      </c>
      <c r="N567" t="s">
        <v>433</v>
      </c>
      <c r="O567" t="s">
        <v>876</v>
      </c>
      <c r="Q567">
        <v>1</v>
      </c>
      <c r="R567">
        <v>334</v>
      </c>
      <c r="S567" t="s">
        <v>896</v>
      </c>
      <c r="T567" s="6">
        <v>231406.33293406779</v>
      </c>
      <c r="U567" s="7">
        <f>T567*DealsRawTable[[#This Row],[Contract_Years]]</f>
        <v>231406.33293406779</v>
      </c>
      <c r="V567" s="8">
        <v>8.4000000000000005E-2</v>
      </c>
      <c r="W567" s="8">
        <v>3.9E-2</v>
      </c>
      <c r="X567" s="8">
        <v>-5.8999999999999997E-2</v>
      </c>
      <c r="Y567" t="s">
        <v>897</v>
      </c>
      <c r="Z567" t="s">
        <v>879</v>
      </c>
      <c r="AA567" s="6">
        <v>222301.68404347342</v>
      </c>
      <c r="AB567" s="7">
        <f>DealsRawTable[[#This Row],[Final_Price_ACV]]*DealsRawTable[[#This Row],[Contract_Years]]</f>
        <v>222301.68404347342</v>
      </c>
      <c r="AC567" s="6">
        <v>91798.698771452371</v>
      </c>
      <c r="AD567" s="6">
        <v>130502.98527202105</v>
      </c>
      <c r="AE567" s="8">
        <v>0.58705351618703805</v>
      </c>
      <c r="AF567" t="s">
        <v>880</v>
      </c>
      <c r="AG567" t="s">
        <v>44</v>
      </c>
      <c r="AI567" t="s">
        <v>38</v>
      </c>
      <c r="AJ567" s="6">
        <v>222301.68404347342</v>
      </c>
      <c r="AK567" s="6">
        <v>130502.98527202105</v>
      </c>
      <c r="AL567" t="s">
        <v>881</v>
      </c>
      <c r="AM567">
        <f t="shared" si="16"/>
        <v>222381.49</v>
      </c>
      <c r="AN567">
        <f>DealsRawTable[[#This Row],[Validated_Annual_Final_Price]]*DealsRawTable[[#This Row],[Contract_Years]]</f>
        <v>222381.49</v>
      </c>
      <c r="AO567">
        <f>DealsRawTable[[#This Row],[Validated_Annual_Final_Price]]-DealsRawTable[[#This Row],[Cost_to_Serve]]</f>
        <v>130582.79122854762</v>
      </c>
      <c r="AP567" s="17">
        <f>DealsRawTable[[#This Row],[Validated_Grossprofit]]/DealsRawTable[[#This Row],[Validated_Annual_Final_Price]]</f>
        <v>0.58720171012680789</v>
      </c>
      <c r="AQ567" s="17">
        <v>222381.49</v>
      </c>
      <c r="AR567" s="17">
        <v>222381.49</v>
      </c>
      <c r="AS567" s="17">
        <v>130582.79122854762</v>
      </c>
      <c r="AT567" s="17">
        <v>0.58720171012680789</v>
      </c>
      <c r="AU567" s="17" t="str">
        <f t="shared" si="17"/>
        <v>0–5%</v>
      </c>
      <c r="AV567" s="17">
        <v>55</v>
      </c>
      <c r="AW567" s="17"/>
    </row>
    <row r="568" spans="1:49">
      <c r="A568" t="s">
        <v>1474</v>
      </c>
      <c r="B568" s="5">
        <v>45607</v>
      </c>
      <c r="C568" t="s">
        <v>374</v>
      </c>
      <c r="D568" t="s">
        <v>375</v>
      </c>
      <c r="E568" t="s">
        <v>797</v>
      </c>
      <c r="F568" t="s">
        <v>466</v>
      </c>
      <c r="G568" t="s">
        <v>69</v>
      </c>
      <c r="H568" t="s">
        <v>70</v>
      </c>
      <c r="I568" t="s">
        <v>71</v>
      </c>
      <c r="J568" t="s">
        <v>56</v>
      </c>
      <c r="K568" t="s">
        <v>38</v>
      </c>
      <c r="L568" s="5">
        <v>43739</v>
      </c>
      <c r="M568">
        <v>42</v>
      </c>
      <c r="N568" t="s">
        <v>431</v>
      </c>
      <c r="O568" t="s">
        <v>891</v>
      </c>
      <c r="Q568">
        <v>1</v>
      </c>
      <c r="R568">
        <v>111</v>
      </c>
      <c r="S568" t="s">
        <v>947</v>
      </c>
      <c r="T568" s="6">
        <v>89240.544063169131</v>
      </c>
      <c r="U568" s="7">
        <f>T568*DealsRawTable[[#This Row],[Contract_Years]]</f>
        <v>89240.544063169131</v>
      </c>
      <c r="V568" s="8">
        <v>0.22600000000000001</v>
      </c>
      <c r="W568" s="8">
        <v>0.187</v>
      </c>
      <c r="X568" s="8">
        <v>1.2999999999999999E-2</v>
      </c>
      <c r="Y568" t="s">
        <v>897</v>
      </c>
      <c r="Z568" t="s">
        <v>889</v>
      </c>
      <c r="AA568" s="6">
        <v>72548.724622170048</v>
      </c>
      <c r="AB568" s="7">
        <f>DealsRawTable[[#This Row],[Final_Price_ACV]]*DealsRawTable[[#This Row],[Contract_Years]]</f>
        <v>72548.724622170048</v>
      </c>
      <c r="AC568" s="6">
        <v>40078.925886123972</v>
      </c>
      <c r="AD568" s="6">
        <v>32469.798736046076</v>
      </c>
      <c r="AE568" s="8">
        <v>0.44755850506190265</v>
      </c>
      <c r="AF568" t="s">
        <v>457</v>
      </c>
      <c r="AI568" t="s">
        <v>38</v>
      </c>
      <c r="AJ568" s="6">
        <v>0</v>
      </c>
      <c r="AK568" s="6">
        <v>0</v>
      </c>
      <c r="AL568" t="s">
        <v>894</v>
      </c>
      <c r="AM568">
        <f t="shared" si="16"/>
        <v>72552.56</v>
      </c>
      <c r="AN568">
        <f>DealsRawTable[[#This Row],[Validated_Annual_Final_Price]]*DealsRawTable[[#This Row],[Contract_Years]]</f>
        <v>72552.56</v>
      </c>
      <c r="AO568">
        <f>DealsRawTable[[#This Row],[Validated_Annual_Final_Price]]-DealsRawTable[[#This Row],[Cost_to_Serve]]</f>
        <v>32473.634113876025</v>
      </c>
      <c r="AP568" s="17">
        <f>DealsRawTable[[#This Row],[Validated_Grossprofit]]/DealsRawTable[[#This Row],[Validated_Annual_Final_Price]]</f>
        <v>0.44758770901917211</v>
      </c>
      <c r="AQ568" s="17">
        <v>0</v>
      </c>
      <c r="AR568" s="17">
        <v>0</v>
      </c>
      <c r="AS568" s="17">
        <v>0</v>
      </c>
      <c r="AT568" s="17">
        <v>0</v>
      </c>
      <c r="AU568" s="17" t="str">
        <f t="shared" si="17"/>
        <v>15–20%</v>
      </c>
      <c r="AV568" s="17">
        <v>108</v>
      </c>
      <c r="AW568" s="17"/>
    </row>
    <row r="569" spans="1:49">
      <c r="A569" t="s">
        <v>1475</v>
      </c>
      <c r="B569" s="5">
        <v>45658</v>
      </c>
      <c r="C569" t="s">
        <v>374</v>
      </c>
      <c r="D569" t="s">
        <v>375</v>
      </c>
      <c r="E569" t="s">
        <v>799</v>
      </c>
      <c r="F569" t="s">
        <v>47</v>
      </c>
      <c r="G569" t="s">
        <v>69</v>
      </c>
      <c r="H569" t="s">
        <v>70</v>
      </c>
      <c r="I569" t="s">
        <v>71</v>
      </c>
      <c r="J569" t="s">
        <v>56</v>
      </c>
      <c r="K569" t="s">
        <v>38</v>
      </c>
      <c r="L569" s="5">
        <v>43739</v>
      </c>
      <c r="M569">
        <v>42</v>
      </c>
      <c r="N569" t="s">
        <v>427</v>
      </c>
      <c r="O569" t="s">
        <v>891</v>
      </c>
      <c r="Q569">
        <v>1</v>
      </c>
      <c r="R569">
        <v>83</v>
      </c>
      <c r="S569" t="s">
        <v>947</v>
      </c>
      <c r="T569" s="6">
        <v>63417.625540595138</v>
      </c>
      <c r="U569" s="7">
        <f>T569*DealsRawTable[[#This Row],[Contract_Years]]</f>
        <v>63417.625540595138</v>
      </c>
      <c r="V569" s="8">
        <v>0.1</v>
      </c>
      <c r="W569" s="8">
        <v>6.6000000000000003E-2</v>
      </c>
      <c r="X569" s="8">
        <v>-0.05</v>
      </c>
      <c r="Y569" t="s">
        <v>902</v>
      </c>
      <c r="Z569" t="s">
        <v>879</v>
      </c>
      <c r="AA569" s="6">
        <v>59236.025404336768</v>
      </c>
      <c r="AB569" s="7">
        <f>DealsRawTable[[#This Row],[Final_Price_ACV]]*DealsRawTable[[#This Row],[Contract_Years]]</f>
        <v>59236.025404336768</v>
      </c>
      <c r="AC569" s="6">
        <v>20746.299952904727</v>
      </c>
      <c r="AD569" s="6">
        <v>38489.725451432038</v>
      </c>
      <c r="AE569" s="8">
        <v>0.64976887272072348</v>
      </c>
      <c r="AF569" t="s">
        <v>457</v>
      </c>
      <c r="AI569" t="s">
        <v>38</v>
      </c>
      <c r="AJ569" s="6">
        <v>0</v>
      </c>
      <c r="AK569" s="6">
        <v>0</v>
      </c>
      <c r="AL569" t="s">
        <v>894</v>
      </c>
      <c r="AM569">
        <f t="shared" si="16"/>
        <v>59232.06</v>
      </c>
      <c r="AN569">
        <f>DealsRawTable[[#This Row],[Validated_Annual_Final_Price]]*DealsRawTable[[#This Row],[Contract_Years]]</f>
        <v>59232.06</v>
      </c>
      <c r="AO569">
        <f>DealsRawTable[[#This Row],[Validated_Annual_Final_Price]]-DealsRawTable[[#This Row],[Cost_to_Serve]]</f>
        <v>38485.760047095275</v>
      </c>
      <c r="AP569" s="17">
        <f>DealsRawTable[[#This Row],[Validated_Grossprofit]]/DealsRawTable[[#This Row],[Validated_Annual_Final_Price]]</f>
        <v>0.64974542582336792</v>
      </c>
      <c r="AQ569" s="17">
        <v>0</v>
      </c>
      <c r="AR569" s="17">
        <v>0</v>
      </c>
      <c r="AS569" s="17">
        <v>0</v>
      </c>
      <c r="AT569" s="17">
        <v>0</v>
      </c>
      <c r="AU569" s="17" t="str">
        <f t="shared" si="17"/>
        <v>5–10%</v>
      </c>
      <c r="AV569" s="17">
        <v>116</v>
      </c>
      <c r="AW569" s="17"/>
    </row>
    <row r="570" spans="1:49">
      <c r="A570" t="s">
        <v>1476</v>
      </c>
      <c r="B570" s="5">
        <v>45423</v>
      </c>
      <c r="C570" t="s">
        <v>374</v>
      </c>
      <c r="D570" t="s">
        <v>375</v>
      </c>
      <c r="E570" t="s">
        <v>800</v>
      </c>
      <c r="F570" t="s">
        <v>466</v>
      </c>
      <c r="G570" t="s">
        <v>69</v>
      </c>
      <c r="H570" t="s">
        <v>70</v>
      </c>
      <c r="I570" t="s">
        <v>71</v>
      </c>
      <c r="J570" t="s">
        <v>56</v>
      </c>
      <c r="K570" t="s">
        <v>38</v>
      </c>
      <c r="L570" s="5">
        <v>43739</v>
      </c>
      <c r="M570">
        <v>42</v>
      </c>
      <c r="N570" t="s">
        <v>427</v>
      </c>
      <c r="O570" t="s">
        <v>883</v>
      </c>
      <c r="P570" t="s">
        <v>951</v>
      </c>
      <c r="Q570">
        <v>1</v>
      </c>
      <c r="R570">
        <v>320</v>
      </c>
      <c r="S570" t="s">
        <v>900</v>
      </c>
      <c r="T570" s="6">
        <v>95106.392221221133</v>
      </c>
      <c r="U570" s="7">
        <f>T570*DealsRawTable[[#This Row],[Contract_Years]]</f>
        <v>95106.392221221133</v>
      </c>
      <c r="V570" s="8">
        <v>0.127</v>
      </c>
      <c r="W570" s="8">
        <v>7.6999999999999999E-2</v>
      </c>
      <c r="X570" s="8">
        <v>-6.0000000000000001E-3</v>
      </c>
      <c r="Y570" t="s">
        <v>885</v>
      </c>
      <c r="Z570" t="s">
        <v>879</v>
      </c>
      <c r="AA570" s="6">
        <v>87747.263553013341</v>
      </c>
      <c r="AB570" s="7">
        <f>DealsRawTable[[#This Row],[Final_Price_ACV]]*DealsRawTable[[#This Row],[Contract_Years]]</f>
        <v>87747.263553013341</v>
      </c>
      <c r="AC570" s="6">
        <v>28863.971128312216</v>
      </c>
      <c r="AD570" s="6">
        <v>58883.292424701125</v>
      </c>
      <c r="AE570" s="8">
        <v>0.67105559809424964</v>
      </c>
      <c r="AF570" t="s">
        <v>880</v>
      </c>
      <c r="AH570" t="s">
        <v>44</v>
      </c>
      <c r="AI570" t="s">
        <v>38</v>
      </c>
      <c r="AJ570" s="6">
        <v>87747.263553013341</v>
      </c>
      <c r="AK570" s="6">
        <v>58883.292424701125</v>
      </c>
      <c r="AL570" t="s">
        <v>886</v>
      </c>
      <c r="AM570">
        <f t="shared" si="16"/>
        <v>87783.2</v>
      </c>
      <c r="AN570">
        <f>DealsRawTable[[#This Row],[Validated_Annual_Final_Price]]*DealsRawTable[[#This Row],[Contract_Years]]</f>
        <v>87783.2</v>
      </c>
      <c r="AO570">
        <f>DealsRawTable[[#This Row],[Validated_Annual_Final_Price]]-DealsRawTable[[#This Row],[Cost_to_Serve]]</f>
        <v>58919.228871687781</v>
      </c>
      <c r="AP570" s="17">
        <f>DealsRawTable[[#This Row],[Validated_Grossprofit]]/DealsRawTable[[#This Row],[Validated_Annual_Final_Price]]</f>
        <v>0.67119026045630348</v>
      </c>
      <c r="AQ570" s="17">
        <v>87783.2</v>
      </c>
      <c r="AR570" s="17">
        <v>87783.2</v>
      </c>
      <c r="AS570" s="17">
        <v>58919.228871687781</v>
      </c>
      <c r="AT570" s="17">
        <v>0.67119026045630348</v>
      </c>
      <c r="AU570" s="17" t="str">
        <f t="shared" si="17"/>
        <v>5–10%</v>
      </c>
      <c r="AV570" s="17">
        <v>116</v>
      </c>
      <c r="AW570" s="17"/>
    </row>
    <row r="571" spans="1:49">
      <c r="A571" t="s">
        <v>1477</v>
      </c>
      <c r="B571" s="5">
        <v>45615</v>
      </c>
      <c r="C571" t="s">
        <v>374</v>
      </c>
      <c r="D571" t="s">
        <v>375</v>
      </c>
      <c r="E571" t="s">
        <v>800</v>
      </c>
      <c r="F571" t="s">
        <v>466</v>
      </c>
      <c r="G571" t="s">
        <v>69</v>
      </c>
      <c r="H571" t="s">
        <v>70</v>
      </c>
      <c r="I571" t="s">
        <v>71</v>
      </c>
      <c r="J571" t="s">
        <v>56</v>
      </c>
      <c r="K571" t="s">
        <v>38</v>
      </c>
      <c r="L571" s="5">
        <v>43739</v>
      </c>
      <c r="M571">
        <v>42</v>
      </c>
      <c r="N571" t="s">
        <v>427</v>
      </c>
      <c r="O571" t="s">
        <v>876</v>
      </c>
      <c r="Q571">
        <v>1</v>
      </c>
      <c r="R571">
        <v>320</v>
      </c>
      <c r="S571" t="s">
        <v>947</v>
      </c>
      <c r="T571" s="6">
        <v>102194.14591535268</v>
      </c>
      <c r="U571" s="7">
        <f>T571*DealsRawTable[[#This Row],[Contract_Years]]</f>
        <v>102194.14591535268</v>
      </c>
      <c r="V571" s="8">
        <v>0.159</v>
      </c>
      <c r="W571" s="8">
        <v>0.151</v>
      </c>
      <c r="X571" s="8">
        <v>-2.9000000000000001E-2</v>
      </c>
      <c r="Y571" t="s">
        <v>878</v>
      </c>
      <c r="Z571" t="s">
        <v>889</v>
      </c>
      <c r="AA571" s="6">
        <v>86760.356804989846</v>
      </c>
      <c r="AB571" s="7">
        <f>DealsRawTable[[#This Row],[Final_Price_ACV]]*DealsRawTable[[#This Row],[Contract_Years]]</f>
        <v>86760.356804989846</v>
      </c>
      <c r="AC571" s="6">
        <v>29881.080324684055</v>
      </c>
      <c r="AD571" s="6">
        <v>56879.276480305794</v>
      </c>
      <c r="AE571" s="8">
        <v>0.65559062427731396</v>
      </c>
      <c r="AF571" t="s">
        <v>880</v>
      </c>
      <c r="AG571" t="s">
        <v>44</v>
      </c>
      <c r="AI571" t="s">
        <v>38</v>
      </c>
      <c r="AJ571" s="6">
        <v>86760.356804989846</v>
      </c>
      <c r="AK571" s="6">
        <v>56879.276480305794</v>
      </c>
      <c r="AL571" t="s">
        <v>881</v>
      </c>
      <c r="AM571">
        <f t="shared" si="16"/>
        <v>86762.83</v>
      </c>
      <c r="AN571">
        <f>DealsRawTable[[#This Row],[Validated_Annual_Final_Price]]*DealsRawTable[[#This Row],[Contract_Years]]</f>
        <v>86762.83</v>
      </c>
      <c r="AO571">
        <f>DealsRawTable[[#This Row],[Validated_Annual_Final_Price]]-DealsRawTable[[#This Row],[Cost_to_Serve]]</f>
        <v>56881.74967531595</v>
      </c>
      <c r="AP571" s="17">
        <f>DealsRawTable[[#This Row],[Validated_Grossprofit]]/DealsRawTable[[#This Row],[Validated_Annual_Final_Price]]</f>
        <v>0.6556004417481075</v>
      </c>
      <c r="AQ571" s="17">
        <v>86762.83</v>
      </c>
      <c r="AR571" s="17">
        <v>86762.83</v>
      </c>
      <c r="AS571" s="17">
        <v>56881.74967531595</v>
      </c>
      <c r="AT571" s="17">
        <v>0.6556004417481075</v>
      </c>
      <c r="AU571" s="17" t="str">
        <f t="shared" si="17"/>
        <v>15–20%</v>
      </c>
      <c r="AV571" s="17">
        <v>108</v>
      </c>
      <c r="AW571" s="17"/>
    </row>
    <row r="572" spans="1:49">
      <c r="A572" t="s">
        <v>1478</v>
      </c>
      <c r="B572" s="5">
        <v>45873</v>
      </c>
      <c r="C572" t="s">
        <v>374</v>
      </c>
      <c r="D572" t="s">
        <v>375</v>
      </c>
      <c r="E572" t="s">
        <v>800</v>
      </c>
      <c r="F572" t="s">
        <v>466</v>
      </c>
      <c r="G572" t="s">
        <v>69</v>
      </c>
      <c r="H572" t="s">
        <v>70</v>
      </c>
      <c r="I572" t="s">
        <v>71</v>
      </c>
      <c r="J572" t="s">
        <v>56</v>
      </c>
      <c r="K572" t="s">
        <v>38</v>
      </c>
      <c r="L572" s="5">
        <v>43739</v>
      </c>
      <c r="M572">
        <v>42</v>
      </c>
      <c r="N572" t="s">
        <v>427</v>
      </c>
      <c r="O572" t="s">
        <v>883</v>
      </c>
      <c r="P572" t="s">
        <v>946</v>
      </c>
      <c r="Q572">
        <v>1</v>
      </c>
      <c r="R572">
        <v>358</v>
      </c>
      <c r="S572" t="s">
        <v>907</v>
      </c>
      <c r="T572" s="6">
        <v>111905.42556711972</v>
      </c>
      <c r="U572" s="7">
        <f>T572*DealsRawTable[[#This Row],[Contract_Years]]</f>
        <v>111905.42556711972</v>
      </c>
      <c r="V572" s="8">
        <v>0.16600000000000001</v>
      </c>
      <c r="W572" s="8">
        <v>0.14299999999999999</v>
      </c>
      <c r="X572" s="8">
        <v>0.02</v>
      </c>
      <c r="Y572" t="s">
        <v>885</v>
      </c>
      <c r="Z572" t="s">
        <v>889</v>
      </c>
      <c r="AA572" s="6">
        <v>95944.21096297678</v>
      </c>
      <c r="AB572" s="7">
        <f>DealsRawTable[[#This Row],[Final_Price_ACV]]*DealsRawTable[[#This Row],[Contract_Years]]</f>
        <v>95944.21096297678</v>
      </c>
      <c r="AC572" s="6">
        <v>36231.409631943054</v>
      </c>
      <c r="AD572" s="6">
        <v>59712.801331033726</v>
      </c>
      <c r="AE572" s="8">
        <v>0.62237002870424218</v>
      </c>
      <c r="AF572" t="s">
        <v>880</v>
      </c>
      <c r="AH572" t="s">
        <v>44</v>
      </c>
      <c r="AI572" t="s">
        <v>38</v>
      </c>
      <c r="AJ572" s="6">
        <v>95944.21096297678</v>
      </c>
      <c r="AK572" s="6">
        <v>59712.801331033726</v>
      </c>
      <c r="AL572" t="s">
        <v>886</v>
      </c>
      <c r="AM572">
        <f t="shared" si="16"/>
        <v>95902.95</v>
      </c>
      <c r="AN572">
        <f>DealsRawTable[[#This Row],[Validated_Annual_Final_Price]]*DealsRawTable[[#This Row],[Contract_Years]]</f>
        <v>95902.95</v>
      </c>
      <c r="AO572">
        <f>DealsRawTable[[#This Row],[Validated_Annual_Final_Price]]-DealsRawTable[[#This Row],[Cost_to_Serve]]</f>
        <v>59671.540368056943</v>
      </c>
      <c r="AP572" s="17">
        <f>DealsRawTable[[#This Row],[Validated_Grossprofit]]/DealsRawTable[[#This Row],[Validated_Annual_Final_Price]]</f>
        <v>0.62220755845421793</v>
      </c>
      <c r="AQ572" s="17">
        <v>95902.95</v>
      </c>
      <c r="AR572" s="17">
        <v>95902.95</v>
      </c>
      <c r="AS572" s="17">
        <v>59671.540368056943</v>
      </c>
      <c r="AT572" s="17">
        <v>0.62220755845421793</v>
      </c>
      <c r="AU572" s="17" t="str">
        <f t="shared" si="17"/>
        <v>10–15%</v>
      </c>
      <c r="AV572" s="17">
        <v>113</v>
      </c>
      <c r="AW572" s="17"/>
    </row>
    <row r="573" spans="1:49">
      <c r="A573" t="s">
        <v>1479</v>
      </c>
      <c r="B573" s="5">
        <v>45980</v>
      </c>
      <c r="C573" t="s">
        <v>374</v>
      </c>
      <c r="D573" t="s">
        <v>375</v>
      </c>
      <c r="E573" t="s">
        <v>800</v>
      </c>
      <c r="F573" t="s">
        <v>466</v>
      </c>
      <c r="G573" t="s">
        <v>69</v>
      </c>
      <c r="H573" t="s">
        <v>70</v>
      </c>
      <c r="I573" t="s">
        <v>71</v>
      </c>
      <c r="J573" t="s">
        <v>56</v>
      </c>
      <c r="K573" t="s">
        <v>38</v>
      </c>
      <c r="L573" s="5">
        <v>43739</v>
      </c>
      <c r="M573">
        <v>42</v>
      </c>
      <c r="N573" t="s">
        <v>427</v>
      </c>
      <c r="O573" t="s">
        <v>876</v>
      </c>
      <c r="Q573">
        <v>1</v>
      </c>
      <c r="R573">
        <v>358</v>
      </c>
      <c r="S573" t="s">
        <v>888</v>
      </c>
      <c r="T573" s="6">
        <v>114865.58820568655</v>
      </c>
      <c r="U573" s="7">
        <f>T573*DealsRawTable[[#This Row],[Contract_Years]]</f>
        <v>114865.58820568655</v>
      </c>
      <c r="V573" s="8">
        <v>0.184</v>
      </c>
      <c r="W573" s="8">
        <v>0.16900000000000001</v>
      </c>
      <c r="X573" s="8">
        <v>-0.03</v>
      </c>
      <c r="Y573" t="s">
        <v>878</v>
      </c>
      <c r="Z573" t="s">
        <v>889</v>
      </c>
      <c r="AA573" s="6">
        <v>95473.05885922692</v>
      </c>
      <c r="AB573" s="7">
        <f>DealsRawTable[[#This Row],[Final_Price_ACV]]*DealsRawTable[[#This Row],[Contract_Years]]</f>
        <v>95473.05885922692</v>
      </c>
      <c r="AC573" s="6">
        <v>35208.422366617233</v>
      </c>
      <c r="AD573" s="6">
        <v>60264.636492609687</v>
      </c>
      <c r="AE573" s="8">
        <v>0.6312213855163965</v>
      </c>
      <c r="AF573" t="s">
        <v>880</v>
      </c>
      <c r="AG573" t="s">
        <v>44</v>
      </c>
      <c r="AI573" t="s">
        <v>38</v>
      </c>
      <c r="AJ573" s="6">
        <v>95473.05885922692</v>
      </c>
      <c r="AK573" s="6">
        <v>60264.636492609687</v>
      </c>
      <c r="AL573" t="s">
        <v>881</v>
      </c>
      <c r="AM573">
        <f t="shared" si="16"/>
        <v>95453.3</v>
      </c>
      <c r="AN573">
        <f>DealsRawTable[[#This Row],[Validated_Annual_Final_Price]]*DealsRawTable[[#This Row],[Contract_Years]]</f>
        <v>95453.3</v>
      </c>
      <c r="AO573">
        <f>DealsRawTable[[#This Row],[Validated_Annual_Final_Price]]-DealsRawTable[[#This Row],[Cost_to_Serve]]</f>
        <v>60244.87763338277</v>
      </c>
      <c r="AP573" s="17">
        <f>DealsRawTable[[#This Row],[Validated_Grossprofit]]/DealsRawTable[[#This Row],[Validated_Annual_Final_Price]]</f>
        <v>0.63114504824225848</v>
      </c>
      <c r="AQ573" s="17">
        <v>95453.3</v>
      </c>
      <c r="AR573" s="17">
        <v>95453.3</v>
      </c>
      <c r="AS573" s="17">
        <v>60244.87763338277</v>
      </c>
      <c r="AT573" s="17">
        <v>0.63114504824225848</v>
      </c>
      <c r="AU573" s="17" t="str">
        <f t="shared" si="17"/>
        <v>15–20%</v>
      </c>
      <c r="AV573" s="17">
        <v>108</v>
      </c>
      <c r="AW573" s="17"/>
    </row>
    <row r="574" spans="1:49">
      <c r="A574" t="s">
        <v>1480</v>
      </c>
      <c r="B574" s="5">
        <v>46003</v>
      </c>
      <c r="C574" t="s">
        <v>376</v>
      </c>
      <c r="D574" t="s">
        <v>377</v>
      </c>
      <c r="E574" t="s">
        <v>802</v>
      </c>
      <c r="F574" t="s">
        <v>466</v>
      </c>
      <c r="G574" t="s">
        <v>47</v>
      </c>
      <c r="H574" t="s">
        <v>48</v>
      </c>
      <c r="I574" t="s">
        <v>49</v>
      </c>
      <c r="J574" t="s">
        <v>56</v>
      </c>
      <c r="K574" t="s">
        <v>38</v>
      </c>
      <c r="L574" s="5">
        <v>43739</v>
      </c>
      <c r="M574">
        <v>66</v>
      </c>
      <c r="N574" t="s">
        <v>429</v>
      </c>
      <c r="O574" t="s">
        <v>876</v>
      </c>
      <c r="Q574">
        <v>2</v>
      </c>
      <c r="R574">
        <v>231</v>
      </c>
      <c r="S574" t="s">
        <v>947</v>
      </c>
      <c r="T574" s="6">
        <v>144725.24552297438</v>
      </c>
      <c r="U574" s="7">
        <f>T574*DealsRawTable[[#This Row],[Contract_Years]]</f>
        <v>289450.49104594876</v>
      </c>
      <c r="V574" s="8">
        <v>0</v>
      </c>
      <c r="W574" s="8">
        <v>0</v>
      </c>
      <c r="X574" s="8">
        <v>-4.7E-2</v>
      </c>
      <c r="Y574" t="s">
        <v>902</v>
      </c>
      <c r="Z574" t="s">
        <v>879</v>
      </c>
      <c r="AA574" s="6">
        <v>144725.24552297438</v>
      </c>
      <c r="AB574" s="7">
        <f>DealsRawTable[[#This Row],[Final_Price_ACV]]*DealsRawTable[[#This Row],[Contract_Years]]</f>
        <v>289450.49104594876</v>
      </c>
      <c r="AC574" s="6">
        <v>48268.780710749015</v>
      </c>
      <c r="AD574" s="6">
        <v>96456.464812225371</v>
      </c>
      <c r="AE574" s="8">
        <v>0.66647988375264777</v>
      </c>
      <c r="AF574" t="s">
        <v>457</v>
      </c>
      <c r="AG574" t="s">
        <v>38</v>
      </c>
      <c r="AI574" t="s">
        <v>38</v>
      </c>
      <c r="AJ574" s="6">
        <v>0</v>
      </c>
      <c r="AK574" s="6">
        <v>0</v>
      </c>
      <c r="AL574" t="s">
        <v>881</v>
      </c>
      <c r="AM574">
        <f t="shared" si="16"/>
        <v>144725.25</v>
      </c>
      <c r="AN574">
        <f>DealsRawTable[[#This Row],[Validated_Annual_Final_Price]]*DealsRawTable[[#This Row],[Contract_Years]]</f>
        <v>289450.5</v>
      </c>
      <c r="AO574">
        <f>DealsRawTable[[#This Row],[Validated_Annual_Final_Price]]-DealsRawTable[[#This Row],[Cost_to_Serve]]</f>
        <v>96456.469289250992</v>
      </c>
      <c r="AP574" s="17">
        <f>DealsRawTable[[#This Row],[Validated_Grossprofit]]/DealsRawTable[[#This Row],[Validated_Annual_Final_Price]]</f>
        <v>0.66647989406997732</v>
      </c>
      <c r="AQ574" s="17">
        <v>0</v>
      </c>
      <c r="AR574" s="17">
        <v>0</v>
      </c>
      <c r="AS574" s="17">
        <v>0</v>
      </c>
      <c r="AT574" s="17">
        <v>0</v>
      </c>
      <c r="AU574" s="17" t="str">
        <f t="shared" si="17"/>
        <v>0–5%</v>
      </c>
      <c r="AV574" s="17">
        <v>55</v>
      </c>
      <c r="AW574" s="17"/>
    </row>
    <row r="575" spans="1:49">
      <c r="A575" t="s">
        <v>1481</v>
      </c>
      <c r="B575" s="5">
        <v>45537</v>
      </c>
      <c r="C575" t="s">
        <v>376</v>
      </c>
      <c r="D575" t="s">
        <v>377</v>
      </c>
      <c r="E575" t="s">
        <v>803</v>
      </c>
      <c r="F575" t="s">
        <v>47</v>
      </c>
      <c r="G575" t="s">
        <v>47</v>
      </c>
      <c r="H575" t="s">
        <v>48</v>
      </c>
      <c r="I575" t="s">
        <v>49</v>
      </c>
      <c r="J575" t="s">
        <v>56</v>
      </c>
      <c r="K575" t="s">
        <v>38</v>
      </c>
      <c r="L575" s="5">
        <v>43739</v>
      </c>
      <c r="M575">
        <v>66</v>
      </c>
      <c r="N575" t="s">
        <v>431</v>
      </c>
      <c r="O575" t="s">
        <v>883</v>
      </c>
      <c r="P575" t="s">
        <v>985</v>
      </c>
      <c r="Q575">
        <v>2</v>
      </c>
      <c r="R575">
        <v>432</v>
      </c>
      <c r="S575" t="s">
        <v>907</v>
      </c>
      <c r="T575" s="6">
        <v>140748.19406979845</v>
      </c>
      <c r="U575" s="7">
        <f>T575*DealsRawTable[[#This Row],[Contract_Years]]</f>
        <v>281496.38813959691</v>
      </c>
      <c r="V575" s="8">
        <v>0.17499999999999999</v>
      </c>
      <c r="W575" s="8">
        <v>0.14899999999999999</v>
      </c>
      <c r="X575" s="8">
        <v>2.5000000000000001E-2</v>
      </c>
      <c r="Y575" t="s">
        <v>885</v>
      </c>
      <c r="Z575" t="s">
        <v>889</v>
      </c>
      <c r="AA575" s="6">
        <v>119791.06573193781</v>
      </c>
      <c r="AB575" s="7">
        <f>DealsRawTable[[#This Row],[Final_Price_ACV]]*DealsRawTable[[#This Row],[Contract_Years]]</f>
        <v>239582.13146387562</v>
      </c>
      <c r="AC575" s="6">
        <v>57970.262022436997</v>
      </c>
      <c r="AD575" s="6">
        <v>61820.803709500811</v>
      </c>
      <c r="AE575" s="8">
        <v>0.51607190679679049</v>
      </c>
      <c r="AF575" t="s">
        <v>880</v>
      </c>
      <c r="AH575" t="s">
        <v>44</v>
      </c>
      <c r="AI575" t="s">
        <v>38</v>
      </c>
      <c r="AJ575" s="6">
        <v>119791.06573193781</v>
      </c>
      <c r="AK575" s="6">
        <v>61820.803709500811</v>
      </c>
      <c r="AL575" t="s">
        <v>886</v>
      </c>
      <c r="AM575">
        <f t="shared" si="16"/>
        <v>119776.71</v>
      </c>
      <c r="AN575">
        <f>DealsRawTable[[#This Row],[Validated_Annual_Final_Price]]*DealsRawTable[[#This Row],[Contract_Years]]</f>
        <v>239553.42</v>
      </c>
      <c r="AO575">
        <f>DealsRawTable[[#This Row],[Validated_Annual_Final_Price]]-DealsRawTable[[#This Row],[Cost_to_Serve]]</f>
        <v>61806.44797756301</v>
      </c>
      <c r="AP575" s="17">
        <f>DealsRawTable[[#This Row],[Validated_Grossprofit]]/DealsRawTable[[#This Row],[Validated_Annual_Final_Price]]</f>
        <v>0.51601390602198882</v>
      </c>
      <c r="AQ575" s="17">
        <v>119776.71</v>
      </c>
      <c r="AR575" s="17">
        <v>239553.42</v>
      </c>
      <c r="AS575" s="17">
        <v>61806.44797756301</v>
      </c>
      <c r="AT575" s="17">
        <v>0.51601390602198882</v>
      </c>
      <c r="AU575" s="17" t="str">
        <f t="shared" si="17"/>
        <v>10–15%</v>
      </c>
      <c r="AV575" s="17">
        <v>113</v>
      </c>
      <c r="AW575" s="17"/>
    </row>
    <row r="576" spans="1:49">
      <c r="A576" t="s">
        <v>1482</v>
      </c>
      <c r="B576" s="5">
        <v>45690</v>
      </c>
      <c r="C576" t="s">
        <v>376</v>
      </c>
      <c r="D576" t="s">
        <v>377</v>
      </c>
      <c r="E576" t="s">
        <v>803</v>
      </c>
      <c r="F576" t="s">
        <v>47</v>
      </c>
      <c r="G576" t="s">
        <v>47</v>
      </c>
      <c r="H576" t="s">
        <v>48</v>
      </c>
      <c r="I576" t="s">
        <v>49</v>
      </c>
      <c r="J576" t="s">
        <v>56</v>
      </c>
      <c r="K576" t="s">
        <v>38</v>
      </c>
      <c r="L576" s="5">
        <v>43739</v>
      </c>
      <c r="M576">
        <v>66</v>
      </c>
      <c r="N576" t="s">
        <v>431</v>
      </c>
      <c r="O576" t="s">
        <v>876</v>
      </c>
      <c r="Q576">
        <v>2</v>
      </c>
      <c r="R576">
        <v>432</v>
      </c>
      <c r="S576" t="s">
        <v>877</v>
      </c>
      <c r="T576" s="6">
        <v>145451.17080199489</v>
      </c>
      <c r="U576" s="7">
        <f>T576*DealsRawTable[[#This Row],[Contract_Years]]</f>
        <v>290902.34160398977</v>
      </c>
      <c r="V576" s="8">
        <v>8.7999999999999995E-2</v>
      </c>
      <c r="W576" s="8">
        <v>8.6999999999999994E-2</v>
      </c>
      <c r="X576" s="8">
        <v>-3.0000000000000001E-3</v>
      </c>
      <c r="Y576" t="s">
        <v>902</v>
      </c>
      <c r="Z576" t="s">
        <v>879</v>
      </c>
      <c r="AA576" s="6">
        <v>132787.00699057628</v>
      </c>
      <c r="AB576" s="7">
        <f>DealsRawTable[[#This Row],[Final_Price_ACV]]*DealsRawTable[[#This Row],[Contract_Years]]</f>
        <v>265574.01398115256</v>
      </c>
      <c r="AC576" s="6">
        <v>58664.411246230651</v>
      </c>
      <c r="AD576" s="6">
        <v>74122.595744345628</v>
      </c>
      <c r="AE576" s="8">
        <v>0.558206690731466</v>
      </c>
      <c r="AF576" t="s">
        <v>457</v>
      </c>
      <c r="AG576" t="s">
        <v>38</v>
      </c>
      <c r="AI576" t="s">
        <v>38</v>
      </c>
      <c r="AJ576" s="6">
        <v>0</v>
      </c>
      <c r="AK576" s="6">
        <v>0</v>
      </c>
      <c r="AL576" t="s">
        <v>881</v>
      </c>
      <c r="AM576">
        <f t="shared" si="16"/>
        <v>132796.92000000001</v>
      </c>
      <c r="AN576">
        <f>DealsRawTable[[#This Row],[Validated_Annual_Final_Price]]*DealsRawTable[[#This Row],[Contract_Years]]</f>
        <v>265593.84000000003</v>
      </c>
      <c r="AO576">
        <f>DealsRawTable[[#This Row],[Validated_Annual_Final_Price]]-DealsRawTable[[#This Row],[Cost_to_Serve]]</f>
        <v>74132.508753769362</v>
      </c>
      <c r="AP576" s="17">
        <f>DealsRawTable[[#This Row],[Validated_Grossprofit]]/DealsRawTable[[#This Row],[Validated_Annual_Final_Price]]</f>
        <v>0.55823966966831273</v>
      </c>
      <c r="AQ576" s="17">
        <v>0</v>
      </c>
      <c r="AR576" s="17">
        <v>0</v>
      </c>
      <c r="AS576" s="17">
        <v>0</v>
      </c>
      <c r="AT576" s="17">
        <v>0</v>
      </c>
      <c r="AU576" s="17" t="str">
        <f t="shared" si="17"/>
        <v>5–10%</v>
      </c>
      <c r="AV576" s="17">
        <v>116</v>
      </c>
      <c r="AW576" s="17"/>
    </row>
    <row r="577" spans="1:49">
      <c r="A577" t="s">
        <v>1483</v>
      </c>
      <c r="B577" s="5">
        <v>45438</v>
      </c>
      <c r="C577" t="s">
        <v>378</v>
      </c>
      <c r="D577" t="s">
        <v>379</v>
      </c>
      <c r="E577" t="s">
        <v>804</v>
      </c>
      <c r="F577" t="s">
        <v>475</v>
      </c>
      <c r="G577" t="s">
        <v>47</v>
      </c>
      <c r="H577" t="s">
        <v>48</v>
      </c>
      <c r="I577" t="s">
        <v>49</v>
      </c>
      <c r="J577" t="s">
        <v>37</v>
      </c>
      <c r="K577" t="s">
        <v>38</v>
      </c>
      <c r="L577" s="5">
        <v>45108</v>
      </c>
      <c r="M577">
        <v>75</v>
      </c>
      <c r="N577" t="s">
        <v>429</v>
      </c>
      <c r="O577" t="s">
        <v>891</v>
      </c>
      <c r="Q577">
        <v>1</v>
      </c>
      <c r="R577">
        <v>62</v>
      </c>
      <c r="S577" t="s">
        <v>947</v>
      </c>
      <c r="T577" s="6">
        <v>88831.305585782829</v>
      </c>
      <c r="U577" s="7">
        <f>T577*DealsRawTable[[#This Row],[Contract_Years]]</f>
        <v>88831.305585782829</v>
      </c>
      <c r="V577" s="8">
        <v>8.6999999999999994E-2</v>
      </c>
      <c r="W577" s="8">
        <v>6.6000000000000003E-2</v>
      </c>
      <c r="X577" s="8">
        <v>-1.4999999999999999E-2</v>
      </c>
      <c r="Y577" t="s">
        <v>911</v>
      </c>
      <c r="Z577" t="s">
        <v>879</v>
      </c>
      <c r="AA577" s="6">
        <v>82952.773485552403</v>
      </c>
      <c r="AB577" s="7">
        <f>DealsRawTable[[#This Row],[Final_Price_ACV]]*DealsRawTable[[#This Row],[Contract_Years]]</f>
        <v>82952.773485552403</v>
      </c>
      <c r="AC577" s="6">
        <v>35266.102074860035</v>
      </c>
      <c r="AD577" s="6">
        <v>47686.671410692368</v>
      </c>
      <c r="AE577" s="8">
        <v>0.57486530476280928</v>
      </c>
      <c r="AF577" t="s">
        <v>880</v>
      </c>
      <c r="AI577" t="s">
        <v>38</v>
      </c>
      <c r="AJ577" s="6">
        <v>82952.773485552403</v>
      </c>
      <c r="AK577" s="6">
        <v>47686.671410692368</v>
      </c>
      <c r="AL577" t="s">
        <v>894</v>
      </c>
      <c r="AM577">
        <f t="shared" si="16"/>
        <v>82968.44</v>
      </c>
      <c r="AN577">
        <f>DealsRawTable[[#This Row],[Validated_Annual_Final_Price]]*DealsRawTable[[#This Row],[Contract_Years]]</f>
        <v>82968.44</v>
      </c>
      <c r="AO577">
        <f>DealsRawTable[[#This Row],[Validated_Annual_Final_Price]]-DealsRawTable[[#This Row],[Cost_to_Serve]]</f>
        <v>47702.337925139967</v>
      </c>
      <c r="AP577" s="17">
        <f>DealsRawTable[[#This Row],[Validated_Grossprofit]]/DealsRawTable[[#This Row],[Validated_Annual_Final_Price]]</f>
        <v>0.57494558081530722</v>
      </c>
      <c r="AQ577" s="17">
        <v>82968.44</v>
      </c>
      <c r="AR577" s="17">
        <v>82968.44</v>
      </c>
      <c r="AS577" s="17">
        <v>47702.337925139967</v>
      </c>
      <c r="AT577" s="17">
        <v>0.57494558081530722</v>
      </c>
      <c r="AU577" s="17" t="str">
        <f t="shared" si="17"/>
        <v>5–10%</v>
      </c>
      <c r="AV577" s="17">
        <v>116</v>
      </c>
      <c r="AW577" s="17"/>
    </row>
    <row r="578" spans="1:49">
      <c r="A578" t="s">
        <v>1484</v>
      </c>
      <c r="B578" s="5">
        <v>45803</v>
      </c>
      <c r="C578" t="s">
        <v>378</v>
      </c>
      <c r="D578" t="s">
        <v>379</v>
      </c>
      <c r="E578" t="s">
        <v>804</v>
      </c>
      <c r="F578" t="s">
        <v>475</v>
      </c>
      <c r="G578" t="s">
        <v>47</v>
      </c>
      <c r="H578" t="s">
        <v>48</v>
      </c>
      <c r="I578" t="s">
        <v>49</v>
      </c>
      <c r="J578" t="s">
        <v>37</v>
      </c>
      <c r="K578" t="s">
        <v>38</v>
      </c>
      <c r="L578" s="5">
        <v>45108</v>
      </c>
      <c r="M578">
        <v>75</v>
      </c>
      <c r="N578" t="s">
        <v>429</v>
      </c>
      <c r="O578" t="s">
        <v>876</v>
      </c>
      <c r="Q578">
        <v>1</v>
      </c>
      <c r="R578">
        <v>62</v>
      </c>
      <c r="S578" t="s">
        <v>947</v>
      </c>
      <c r="T578" s="6">
        <v>90761.752589266427</v>
      </c>
      <c r="U578" s="7">
        <f>T578*DealsRawTable[[#This Row],[Contract_Years]]</f>
        <v>90761.752589266427</v>
      </c>
      <c r="V578" s="8">
        <v>0.12</v>
      </c>
      <c r="W578" s="8">
        <v>8.5000000000000006E-2</v>
      </c>
      <c r="X578" s="8">
        <v>-7.0000000000000007E-2</v>
      </c>
      <c r="Y578" t="s">
        <v>897</v>
      </c>
      <c r="Z578" t="s">
        <v>879</v>
      </c>
      <c r="AA578" s="6">
        <v>83005.508177486714</v>
      </c>
      <c r="AB578" s="7">
        <f>DealsRawTable[[#This Row],[Final_Price_ACV]]*DealsRawTable[[#This Row],[Contract_Years]]</f>
        <v>83005.508177486714</v>
      </c>
      <c r="AC578" s="6">
        <v>27246.624275268194</v>
      </c>
      <c r="AD578" s="6">
        <v>55758.88390221852</v>
      </c>
      <c r="AE578" s="8">
        <v>0.67174920226970913</v>
      </c>
      <c r="AF578" t="s">
        <v>880</v>
      </c>
      <c r="AG578" t="s">
        <v>44</v>
      </c>
      <c r="AI578" t="s">
        <v>38</v>
      </c>
      <c r="AJ578" s="6">
        <v>83005.508177486714</v>
      </c>
      <c r="AK578" s="6">
        <v>55758.88390221852</v>
      </c>
      <c r="AL578" t="s">
        <v>881</v>
      </c>
      <c r="AM578">
        <f t="shared" si="16"/>
        <v>83047</v>
      </c>
      <c r="AN578">
        <f>DealsRawTable[[#This Row],[Validated_Annual_Final_Price]]*DealsRawTable[[#This Row],[Contract_Years]]</f>
        <v>83047</v>
      </c>
      <c r="AO578">
        <f>DealsRawTable[[#This Row],[Validated_Annual_Final_Price]]-DealsRawTable[[#This Row],[Cost_to_Serve]]</f>
        <v>55800.375724731806</v>
      </c>
      <c r="AP578" s="17">
        <f>DealsRawTable[[#This Row],[Validated_Grossprofit]]/DealsRawTable[[#This Row],[Validated_Annual_Final_Price]]</f>
        <v>0.67191320246043573</v>
      </c>
      <c r="AQ578" s="17">
        <v>83047</v>
      </c>
      <c r="AR578" s="17">
        <v>83047</v>
      </c>
      <c r="AS578" s="17">
        <v>55800.375724731806</v>
      </c>
      <c r="AT578" s="17">
        <v>0.67191320246043573</v>
      </c>
      <c r="AU578" s="17" t="str">
        <f t="shared" si="17"/>
        <v>5–10%</v>
      </c>
      <c r="AV578" s="17">
        <v>116</v>
      </c>
      <c r="AW578" s="17"/>
    </row>
    <row r="579" spans="1:49">
      <c r="A579" t="s">
        <v>1485</v>
      </c>
      <c r="B579" s="5">
        <v>45393</v>
      </c>
      <c r="C579" t="s">
        <v>378</v>
      </c>
      <c r="D579" t="s">
        <v>379</v>
      </c>
      <c r="E579" t="s">
        <v>805</v>
      </c>
      <c r="F579" t="s">
        <v>449</v>
      </c>
      <c r="G579" t="s">
        <v>47</v>
      </c>
      <c r="H579" t="s">
        <v>48</v>
      </c>
      <c r="I579" t="s">
        <v>49</v>
      </c>
      <c r="J579" t="s">
        <v>37</v>
      </c>
      <c r="K579" t="s">
        <v>38</v>
      </c>
      <c r="L579" s="5">
        <v>45108</v>
      </c>
      <c r="M579">
        <v>75</v>
      </c>
      <c r="N579" t="s">
        <v>427</v>
      </c>
      <c r="O579" t="s">
        <v>891</v>
      </c>
      <c r="Q579">
        <v>3</v>
      </c>
      <c r="R579">
        <v>18</v>
      </c>
      <c r="S579" t="s">
        <v>907</v>
      </c>
      <c r="T579" s="6">
        <v>47990.781827853796</v>
      </c>
      <c r="U579" s="7">
        <f>T579*DealsRawTable[[#This Row],[Contract_Years]]</f>
        <v>143972.3454835614</v>
      </c>
      <c r="V579" s="8">
        <v>0.24099999999999999</v>
      </c>
      <c r="W579" s="8">
        <v>0.221</v>
      </c>
      <c r="X579" s="8">
        <v>-3.4000000000000002E-2</v>
      </c>
      <c r="Y579" t="s">
        <v>911</v>
      </c>
      <c r="Z579" t="s">
        <v>893</v>
      </c>
      <c r="AA579" s="6">
        <v>37367.46655039808</v>
      </c>
      <c r="AB579" s="7">
        <f>DealsRawTable[[#This Row],[Final_Price_ACV]]*DealsRawTable[[#This Row],[Contract_Years]]</f>
        <v>112102.39965119424</v>
      </c>
      <c r="AC579" s="6">
        <v>15439.241016168999</v>
      </c>
      <c r="AD579" s="6">
        <v>21928.225534229081</v>
      </c>
      <c r="AE579" s="8">
        <v>0.58682665854946692</v>
      </c>
      <c r="AF579" t="s">
        <v>457</v>
      </c>
      <c r="AI579" t="s">
        <v>38</v>
      </c>
      <c r="AJ579" s="6">
        <v>0</v>
      </c>
      <c r="AK579" s="6">
        <v>0</v>
      </c>
      <c r="AL579" t="s">
        <v>894</v>
      </c>
      <c r="AM579">
        <f t="shared" si="16"/>
        <v>37384.82</v>
      </c>
      <c r="AN579">
        <f>DealsRawTable[[#This Row],[Validated_Annual_Final_Price]]*DealsRawTable[[#This Row],[Contract_Years]]</f>
        <v>112154.45999999999</v>
      </c>
      <c r="AO579">
        <f>DealsRawTable[[#This Row],[Validated_Annual_Final_Price]]-DealsRawTable[[#This Row],[Cost_to_Serve]]</f>
        <v>21945.578983831001</v>
      </c>
      <c r="AP579" s="17">
        <f>DealsRawTable[[#This Row],[Validated_Grossprofit]]/DealsRawTable[[#This Row],[Validated_Annual_Final_Price]]</f>
        <v>0.58701844716200324</v>
      </c>
      <c r="AQ579" s="17">
        <v>0</v>
      </c>
      <c r="AR579" s="17">
        <v>0</v>
      </c>
      <c r="AS579" s="17">
        <v>0</v>
      </c>
      <c r="AT579" s="17">
        <v>0</v>
      </c>
      <c r="AU579" s="17" t="str">
        <f t="shared" si="17"/>
        <v>20–25%</v>
      </c>
      <c r="AV579" s="17">
        <v>29</v>
      </c>
      <c r="AW579" s="17"/>
    </row>
    <row r="580" spans="1:49">
      <c r="A580" t="s">
        <v>1486</v>
      </c>
      <c r="B580" s="5">
        <v>45626</v>
      </c>
      <c r="C580" t="s">
        <v>378</v>
      </c>
      <c r="D580" t="s">
        <v>379</v>
      </c>
      <c r="E580" t="s">
        <v>806</v>
      </c>
      <c r="F580" t="s">
        <v>34</v>
      </c>
      <c r="G580" t="s">
        <v>47</v>
      </c>
      <c r="H580" t="s">
        <v>48</v>
      </c>
      <c r="I580" t="s">
        <v>49</v>
      </c>
      <c r="J580" t="s">
        <v>37</v>
      </c>
      <c r="K580" t="s">
        <v>38</v>
      </c>
      <c r="L580" s="5">
        <v>45108</v>
      </c>
      <c r="M580">
        <v>75</v>
      </c>
      <c r="N580" t="s">
        <v>429</v>
      </c>
      <c r="O580" t="s">
        <v>876</v>
      </c>
      <c r="Q580">
        <v>1</v>
      </c>
      <c r="R580">
        <v>18</v>
      </c>
      <c r="S580" t="s">
        <v>877</v>
      </c>
      <c r="T580" s="6">
        <v>70732.069235869276</v>
      </c>
      <c r="U580" s="7">
        <f>T580*DealsRawTable[[#This Row],[Contract_Years]]</f>
        <v>70732.069235869276</v>
      </c>
      <c r="V580" s="8">
        <v>0.17799999999999999</v>
      </c>
      <c r="W580" s="8">
        <v>0.16</v>
      </c>
      <c r="X580" s="8">
        <v>-4.7E-2</v>
      </c>
      <c r="Y580" t="s">
        <v>885</v>
      </c>
      <c r="Z580" t="s">
        <v>889</v>
      </c>
      <c r="AA580" s="6">
        <v>59421.84242603615</v>
      </c>
      <c r="AB580" s="7">
        <f>DealsRawTable[[#This Row],[Final_Price_ACV]]*DealsRawTable[[#This Row],[Contract_Years]]</f>
        <v>59421.84242603615</v>
      </c>
      <c r="AC580" s="6">
        <v>25982.444493109724</v>
      </c>
      <c r="AD580" s="6">
        <v>33439.397932926426</v>
      </c>
      <c r="AE580" s="8">
        <v>0.56274589557786392</v>
      </c>
      <c r="AF580" t="s">
        <v>880</v>
      </c>
      <c r="AG580" t="s">
        <v>44</v>
      </c>
      <c r="AI580" t="s">
        <v>38</v>
      </c>
      <c r="AJ580" s="6">
        <v>59421.84242603615</v>
      </c>
      <c r="AK580" s="6">
        <v>33439.397932926426</v>
      </c>
      <c r="AL580" t="s">
        <v>881</v>
      </c>
      <c r="AM580">
        <f t="shared" si="16"/>
        <v>59414.94</v>
      </c>
      <c r="AN580">
        <f>DealsRawTable[[#This Row],[Validated_Annual_Final_Price]]*DealsRawTable[[#This Row],[Contract_Years]]</f>
        <v>59414.94</v>
      </c>
      <c r="AO580">
        <f>DealsRawTable[[#This Row],[Validated_Annual_Final_Price]]-DealsRawTable[[#This Row],[Cost_to_Serve]]</f>
        <v>33432.495506890278</v>
      </c>
      <c r="AP580" s="17">
        <f>DealsRawTable[[#This Row],[Validated_Grossprofit]]/DealsRawTable[[#This Row],[Validated_Annual_Final_Price]]</f>
        <v>0.56269509835220366</v>
      </c>
      <c r="AQ580" s="17">
        <v>59414.94</v>
      </c>
      <c r="AR580" s="17">
        <v>59414.94</v>
      </c>
      <c r="AS580" s="17">
        <v>33432.495506890278</v>
      </c>
      <c r="AT580" s="17">
        <v>0.56269509835220366</v>
      </c>
      <c r="AU580" s="17" t="str">
        <f t="shared" si="17"/>
        <v>15–20%</v>
      </c>
      <c r="AV580" s="17">
        <v>108</v>
      </c>
      <c r="AW580" s="17"/>
    </row>
    <row r="581" spans="1:49">
      <c r="A581" t="s">
        <v>1487</v>
      </c>
      <c r="B581" s="5">
        <v>45991</v>
      </c>
      <c r="C581" t="s">
        <v>378</v>
      </c>
      <c r="D581" t="s">
        <v>379</v>
      </c>
      <c r="E581" t="s">
        <v>806</v>
      </c>
      <c r="F581" t="s">
        <v>34</v>
      </c>
      <c r="G581" t="s">
        <v>47</v>
      </c>
      <c r="H581" t="s">
        <v>48</v>
      </c>
      <c r="I581" t="s">
        <v>49</v>
      </c>
      <c r="J581" t="s">
        <v>37</v>
      </c>
      <c r="K581" t="s">
        <v>38</v>
      </c>
      <c r="L581" s="5">
        <v>45108</v>
      </c>
      <c r="M581">
        <v>75</v>
      </c>
      <c r="N581" t="s">
        <v>429</v>
      </c>
      <c r="O581" t="s">
        <v>876</v>
      </c>
      <c r="Q581">
        <v>1</v>
      </c>
      <c r="R581">
        <v>18</v>
      </c>
      <c r="S581" t="s">
        <v>907</v>
      </c>
      <c r="T581" s="6">
        <v>74329.69031350709</v>
      </c>
      <c r="U581" s="7">
        <f>T581*DealsRawTable[[#This Row],[Contract_Years]]</f>
        <v>74329.69031350709</v>
      </c>
      <c r="V581" s="8">
        <v>0.111</v>
      </c>
      <c r="W581" s="8">
        <v>6.0999999999999999E-2</v>
      </c>
      <c r="X581" s="8">
        <v>-0.13100000000000001</v>
      </c>
      <c r="Y581" t="s">
        <v>909</v>
      </c>
      <c r="Z581" t="s">
        <v>879</v>
      </c>
      <c r="AA581" s="6">
        <v>69764.433795271776</v>
      </c>
      <c r="AB581" s="7">
        <f>DealsRawTable[[#This Row],[Final_Price_ACV]]*DealsRawTable[[#This Row],[Contract_Years]]</f>
        <v>69764.433795271776</v>
      </c>
      <c r="AC581" s="6">
        <v>26349.960106753624</v>
      </c>
      <c r="AD581" s="6">
        <v>43414.473688518148</v>
      </c>
      <c r="AE581" s="8">
        <v>0.62230095374844896</v>
      </c>
      <c r="AF581" t="s">
        <v>457</v>
      </c>
      <c r="AG581" t="s">
        <v>38</v>
      </c>
      <c r="AI581" t="s">
        <v>38</v>
      </c>
      <c r="AJ581" s="6">
        <v>0</v>
      </c>
      <c r="AK581" s="6">
        <v>0</v>
      </c>
      <c r="AL581" t="s">
        <v>881</v>
      </c>
      <c r="AM581">
        <f t="shared" ref="AM581:AM642" si="18">ROUND(T581*(1-W581),2)</f>
        <v>69795.58</v>
      </c>
      <c r="AN581">
        <f>DealsRawTable[[#This Row],[Validated_Annual_Final_Price]]*DealsRawTable[[#This Row],[Contract_Years]]</f>
        <v>69795.58</v>
      </c>
      <c r="AO581">
        <f>DealsRawTable[[#This Row],[Validated_Annual_Final_Price]]-DealsRawTable[[#This Row],[Cost_to_Serve]]</f>
        <v>43445.619893246374</v>
      </c>
      <c r="AP581" s="17">
        <f>DealsRawTable[[#This Row],[Validated_Grossprofit]]/DealsRawTable[[#This Row],[Validated_Annual_Final_Price]]</f>
        <v>0.62246950155362812</v>
      </c>
      <c r="AQ581" s="17">
        <v>0</v>
      </c>
      <c r="AR581" s="17">
        <v>0</v>
      </c>
      <c r="AS581" s="17">
        <v>0</v>
      </c>
      <c r="AT581" s="17">
        <v>0</v>
      </c>
      <c r="AU581" s="17" t="str">
        <f t="shared" ref="AU581:AU642" si="19">IF(W581&lt;=0.05,"0–5%", IF(W581&lt;=0.1,"5–10%", IF(W581&lt;=0.15,"10–15%", IF(W581&lt;=0.2,"15–20%", IF(W581&lt;=0.25,"20–25%", IF(W581&lt;=0.3,"25–30%","Above 30%"))))))</f>
        <v>5–10%</v>
      </c>
      <c r="AV581" s="17">
        <v>116</v>
      </c>
      <c r="AW581" s="17"/>
    </row>
    <row r="582" spans="1:49">
      <c r="A582" t="s">
        <v>1488</v>
      </c>
      <c r="B582" s="5">
        <v>45626</v>
      </c>
      <c r="C582" t="s">
        <v>380</v>
      </c>
      <c r="D582" t="s">
        <v>381</v>
      </c>
      <c r="E582" t="s">
        <v>807</v>
      </c>
      <c r="F582" t="s">
        <v>449</v>
      </c>
      <c r="G582" t="s">
        <v>47</v>
      </c>
      <c r="H582" t="s">
        <v>70</v>
      </c>
      <c r="I582" t="s">
        <v>71</v>
      </c>
      <c r="J582" t="s">
        <v>37</v>
      </c>
      <c r="K582" t="s">
        <v>38</v>
      </c>
      <c r="L582" s="5">
        <v>44501</v>
      </c>
      <c r="M582">
        <v>53</v>
      </c>
      <c r="N582" t="s">
        <v>429</v>
      </c>
      <c r="O582" t="s">
        <v>876</v>
      </c>
      <c r="Q582">
        <v>1</v>
      </c>
      <c r="R582">
        <v>40</v>
      </c>
      <c r="S582" t="s">
        <v>932</v>
      </c>
      <c r="T582" s="6">
        <v>76505.960552007193</v>
      </c>
      <c r="U582" s="7">
        <f>T582*DealsRawTable[[#This Row],[Contract_Years]]</f>
        <v>76505.960552007193</v>
      </c>
      <c r="V582" s="8">
        <v>9.9000000000000005E-2</v>
      </c>
      <c r="W582" s="8">
        <v>5.8999999999999997E-2</v>
      </c>
      <c r="X582" s="8">
        <v>3.5999999999999997E-2</v>
      </c>
      <c r="Y582" t="s">
        <v>878</v>
      </c>
      <c r="Z582" t="s">
        <v>879</v>
      </c>
      <c r="AA582" s="6">
        <v>71974.003322472898</v>
      </c>
      <c r="AB582" s="7">
        <f>DealsRawTable[[#This Row],[Final_Price_ACV]]*DealsRawTable[[#This Row],[Contract_Years]]</f>
        <v>71974.003322472898</v>
      </c>
      <c r="AC582" s="6">
        <v>22973.703280824917</v>
      </c>
      <c r="AD582" s="6">
        <v>49000.300041647977</v>
      </c>
      <c r="AE582" s="8">
        <v>0.68080553782879971</v>
      </c>
      <c r="AF582" t="s">
        <v>457</v>
      </c>
      <c r="AG582" t="s">
        <v>38</v>
      </c>
      <c r="AI582" t="s">
        <v>38</v>
      </c>
      <c r="AJ582" s="6">
        <v>0</v>
      </c>
      <c r="AK582" s="6">
        <v>0</v>
      </c>
      <c r="AL582" t="s">
        <v>881</v>
      </c>
      <c r="AM582">
        <f t="shared" si="18"/>
        <v>71992.11</v>
      </c>
      <c r="AN582">
        <f>DealsRawTable[[#This Row],[Validated_Annual_Final_Price]]*DealsRawTable[[#This Row],[Contract_Years]]</f>
        <v>71992.11</v>
      </c>
      <c r="AO582">
        <f>DealsRawTable[[#This Row],[Validated_Annual_Final_Price]]-DealsRawTable[[#This Row],[Cost_to_Serve]]</f>
        <v>49018.40671917508</v>
      </c>
      <c r="AP582" s="17">
        <f>DealsRawTable[[#This Row],[Validated_Grossprofit]]/DealsRawTable[[#This Row],[Validated_Annual_Final_Price]]</f>
        <v>0.68088581817056171</v>
      </c>
      <c r="AQ582" s="17">
        <v>0</v>
      </c>
      <c r="AR582" s="17">
        <v>0</v>
      </c>
      <c r="AS582" s="17">
        <v>0</v>
      </c>
      <c r="AT582" s="17">
        <v>0</v>
      </c>
      <c r="AU582" s="17" t="str">
        <f t="shared" si="19"/>
        <v>5–10%</v>
      </c>
      <c r="AV582" s="17">
        <v>116</v>
      </c>
      <c r="AW582" s="17"/>
    </row>
    <row r="583" spans="1:49">
      <c r="A583" t="s">
        <v>1489</v>
      </c>
      <c r="B583" s="5">
        <v>45453</v>
      </c>
      <c r="C583" t="s">
        <v>380</v>
      </c>
      <c r="D583" t="s">
        <v>381</v>
      </c>
      <c r="E583" t="s">
        <v>809</v>
      </c>
      <c r="F583" t="s">
        <v>47</v>
      </c>
      <c r="G583" t="s">
        <v>47</v>
      </c>
      <c r="H583" t="s">
        <v>70</v>
      </c>
      <c r="I583" t="s">
        <v>71</v>
      </c>
      <c r="J583" t="s">
        <v>37</v>
      </c>
      <c r="K583" t="s">
        <v>38</v>
      </c>
      <c r="L583" s="5">
        <v>44501</v>
      </c>
      <c r="M583">
        <v>53</v>
      </c>
      <c r="N583" t="s">
        <v>424</v>
      </c>
      <c r="O583" t="s">
        <v>876</v>
      </c>
      <c r="Q583">
        <v>1</v>
      </c>
      <c r="R583">
        <v>36</v>
      </c>
      <c r="S583" t="s">
        <v>896</v>
      </c>
      <c r="T583" s="6">
        <v>33539.689217828723</v>
      </c>
      <c r="U583" s="7">
        <f>T583*DealsRawTable[[#This Row],[Contract_Years]]</f>
        <v>33539.689217828723</v>
      </c>
      <c r="V583" s="8">
        <v>0.17399999999999999</v>
      </c>
      <c r="W583" s="8">
        <v>0.161</v>
      </c>
      <c r="X583" s="8">
        <v>-4.3999999999999997E-2</v>
      </c>
      <c r="Y583" t="s">
        <v>878</v>
      </c>
      <c r="Z583" t="s">
        <v>889</v>
      </c>
      <c r="AA583" s="6">
        <v>28148.94967683229</v>
      </c>
      <c r="AB583" s="7">
        <f>DealsRawTable[[#This Row],[Final_Price_ACV]]*DealsRawTable[[#This Row],[Contract_Years]]</f>
        <v>28148.94967683229</v>
      </c>
      <c r="AC583" s="6">
        <v>9509.5563078880205</v>
      </c>
      <c r="AD583" s="6">
        <v>18639.393368944271</v>
      </c>
      <c r="AE583" s="8">
        <v>0.66217011941604476</v>
      </c>
      <c r="AF583" t="s">
        <v>880</v>
      </c>
      <c r="AG583" t="s">
        <v>44</v>
      </c>
      <c r="AI583" t="s">
        <v>38</v>
      </c>
      <c r="AJ583" s="6">
        <v>28148.94967683229</v>
      </c>
      <c r="AK583" s="6">
        <v>18639.393368944271</v>
      </c>
      <c r="AL583" t="s">
        <v>881</v>
      </c>
      <c r="AM583">
        <f t="shared" si="18"/>
        <v>28139.8</v>
      </c>
      <c r="AN583">
        <f>DealsRawTable[[#This Row],[Validated_Annual_Final_Price]]*DealsRawTable[[#This Row],[Contract_Years]]</f>
        <v>28139.8</v>
      </c>
      <c r="AO583">
        <f>DealsRawTable[[#This Row],[Validated_Annual_Final_Price]]-DealsRawTable[[#This Row],[Cost_to_Serve]]</f>
        <v>18630.243692111981</v>
      </c>
      <c r="AP583" s="17">
        <f>DealsRawTable[[#This Row],[Validated_Grossprofit]]/DealsRawTable[[#This Row],[Validated_Annual_Final_Price]]</f>
        <v>0.6620602737799125</v>
      </c>
      <c r="AQ583" s="17">
        <v>28139.8</v>
      </c>
      <c r="AR583" s="17">
        <v>28139.8</v>
      </c>
      <c r="AS583" s="17">
        <v>18630.243692111981</v>
      </c>
      <c r="AT583" s="17">
        <v>0.6620602737799125</v>
      </c>
      <c r="AU583" s="17" t="str">
        <f t="shared" si="19"/>
        <v>15–20%</v>
      </c>
      <c r="AV583" s="17">
        <v>108</v>
      </c>
      <c r="AW583" s="17"/>
    </row>
    <row r="584" spans="1:49">
      <c r="A584" t="s">
        <v>1490</v>
      </c>
      <c r="B584" s="5">
        <v>45818</v>
      </c>
      <c r="C584" t="s">
        <v>380</v>
      </c>
      <c r="D584" t="s">
        <v>381</v>
      </c>
      <c r="E584" t="s">
        <v>809</v>
      </c>
      <c r="F584" t="s">
        <v>47</v>
      </c>
      <c r="G584" t="s">
        <v>47</v>
      </c>
      <c r="H584" t="s">
        <v>70</v>
      </c>
      <c r="I584" t="s">
        <v>71</v>
      </c>
      <c r="J584" t="s">
        <v>37</v>
      </c>
      <c r="K584" t="s">
        <v>38</v>
      </c>
      <c r="L584" s="5">
        <v>44501</v>
      </c>
      <c r="M584">
        <v>53</v>
      </c>
      <c r="N584" t="s">
        <v>424</v>
      </c>
      <c r="O584" t="s">
        <v>876</v>
      </c>
      <c r="Q584">
        <v>1</v>
      </c>
      <c r="R584">
        <v>36</v>
      </c>
      <c r="S584" t="s">
        <v>888</v>
      </c>
      <c r="T584" s="6">
        <v>36210.502534255866</v>
      </c>
      <c r="U584" s="7">
        <f>T584*DealsRawTable[[#This Row],[Contract_Years]]</f>
        <v>36210.502534255866</v>
      </c>
      <c r="V584" s="8">
        <v>0.157</v>
      </c>
      <c r="W584" s="8">
        <v>0.155</v>
      </c>
      <c r="X584" s="8">
        <v>-5.7000000000000002E-2</v>
      </c>
      <c r="Y584" t="s">
        <v>878</v>
      </c>
      <c r="Z584" t="s">
        <v>889</v>
      </c>
      <c r="AA584" s="6">
        <v>30589.393903381158</v>
      </c>
      <c r="AB584" s="7">
        <f>DealsRawTable[[#This Row],[Final_Price_ACV]]*DealsRawTable[[#This Row],[Contract_Years]]</f>
        <v>30589.393903381158</v>
      </c>
      <c r="AC584" s="6">
        <v>10988.366519355839</v>
      </c>
      <c r="AD584" s="6">
        <v>19601.027384025321</v>
      </c>
      <c r="AE584" s="8">
        <v>0.64077854716365423</v>
      </c>
      <c r="AF584" t="s">
        <v>457</v>
      </c>
      <c r="AG584" t="s">
        <v>38</v>
      </c>
      <c r="AI584" t="s">
        <v>38</v>
      </c>
      <c r="AJ584" s="6">
        <v>0</v>
      </c>
      <c r="AK584" s="6">
        <v>0</v>
      </c>
      <c r="AL584" t="s">
        <v>881</v>
      </c>
      <c r="AM584">
        <f t="shared" si="18"/>
        <v>30597.87</v>
      </c>
      <c r="AN584">
        <f>DealsRawTable[[#This Row],[Validated_Annual_Final_Price]]*DealsRawTable[[#This Row],[Contract_Years]]</f>
        <v>30597.87</v>
      </c>
      <c r="AO584">
        <f>DealsRawTable[[#This Row],[Validated_Annual_Final_Price]]-DealsRawTable[[#This Row],[Cost_to_Serve]]</f>
        <v>19609.503480644162</v>
      </c>
      <c r="AP584" s="17">
        <f>DealsRawTable[[#This Row],[Validated_Grossprofit]]/DealsRawTable[[#This Row],[Validated_Annual_Final_Price]]</f>
        <v>0.64087805721915159</v>
      </c>
      <c r="AQ584" s="17">
        <v>0</v>
      </c>
      <c r="AR584" s="17">
        <v>0</v>
      </c>
      <c r="AS584" s="17">
        <v>0</v>
      </c>
      <c r="AT584" s="17">
        <v>0</v>
      </c>
      <c r="AU584" s="17" t="str">
        <f t="shared" si="19"/>
        <v>15–20%</v>
      </c>
      <c r="AV584" s="17">
        <v>108</v>
      </c>
      <c r="AW584" s="17"/>
    </row>
    <row r="585" spans="1:49">
      <c r="A585" t="s">
        <v>1491</v>
      </c>
      <c r="B585" s="5">
        <v>45488</v>
      </c>
      <c r="C585" t="s">
        <v>382</v>
      </c>
      <c r="D585" t="s">
        <v>383</v>
      </c>
      <c r="E585" t="s">
        <v>810</v>
      </c>
      <c r="F585" t="s">
        <v>47</v>
      </c>
      <c r="G585" t="s">
        <v>69</v>
      </c>
      <c r="H585" t="s">
        <v>35</v>
      </c>
      <c r="I585" t="s">
        <v>42</v>
      </c>
      <c r="J585" t="s">
        <v>43</v>
      </c>
      <c r="K585" t="s">
        <v>38</v>
      </c>
      <c r="L585" s="5">
        <v>43831</v>
      </c>
      <c r="M585">
        <v>63</v>
      </c>
      <c r="N585" t="s">
        <v>427</v>
      </c>
      <c r="O585" t="s">
        <v>891</v>
      </c>
      <c r="Q585">
        <v>2</v>
      </c>
      <c r="R585">
        <v>1936</v>
      </c>
      <c r="S585" t="s">
        <v>896</v>
      </c>
      <c r="T585" s="6">
        <v>234941.19027556555</v>
      </c>
      <c r="U585" s="7">
        <f>T585*DealsRawTable[[#This Row],[Contract_Years]]</f>
        <v>469882.38055113109</v>
      </c>
      <c r="V585" s="8">
        <v>0.122</v>
      </c>
      <c r="W585" s="8">
        <v>7.2999999999999995E-2</v>
      </c>
      <c r="X585" s="8">
        <v>-9.8000000000000004E-2</v>
      </c>
      <c r="Y585" t="s">
        <v>909</v>
      </c>
      <c r="Z585" t="s">
        <v>879</v>
      </c>
      <c r="AA585" s="6">
        <v>217811.6394048704</v>
      </c>
      <c r="AB585" s="7">
        <f>DealsRawTable[[#This Row],[Final_Price_ACV]]*DealsRawTable[[#This Row],[Contract_Years]]</f>
        <v>435623.27880974079</v>
      </c>
      <c r="AC585" s="6">
        <v>86167.904489345601</v>
      </c>
      <c r="AD585" s="6">
        <v>131643.73491552478</v>
      </c>
      <c r="AE585" s="8">
        <v>0.6043925626528347</v>
      </c>
      <c r="AF585" t="s">
        <v>457</v>
      </c>
      <c r="AI585" t="s">
        <v>38</v>
      </c>
      <c r="AJ585" s="6">
        <v>0</v>
      </c>
      <c r="AK585" s="6">
        <v>0</v>
      </c>
      <c r="AL585" t="s">
        <v>894</v>
      </c>
      <c r="AM585">
        <f t="shared" si="18"/>
        <v>217790.48</v>
      </c>
      <c r="AN585">
        <f>DealsRawTable[[#This Row],[Validated_Annual_Final_Price]]*DealsRawTable[[#This Row],[Contract_Years]]</f>
        <v>435580.96</v>
      </c>
      <c r="AO585">
        <f>DealsRawTable[[#This Row],[Validated_Annual_Final_Price]]-DealsRawTable[[#This Row],[Cost_to_Serve]]</f>
        <v>131622.57551065442</v>
      </c>
      <c r="AP585" s="17">
        <f>DealsRawTable[[#This Row],[Validated_Grossprofit]]/DealsRawTable[[#This Row],[Validated_Annual_Final_Price]]</f>
        <v>0.60435412746532546</v>
      </c>
      <c r="AQ585" s="17">
        <v>0</v>
      </c>
      <c r="AR585" s="17">
        <v>0</v>
      </c>
      <c r="AS585" s="17">
        <v>0</v>
      </c>
      <c r="AT585" s="17">
        <v>0</v>
      </c>
      <c r="AU585" s="17" t="str">
        <f t="shared" si="19"/>
        <v>5–10%</v>
      </c>
      <c r="AV585" s="17">
        <v>116</v>
      </c>
      <c r="AW585" s="17"/>
    </row>
    <row r="586" spans="1:49">
      <c r="A586" t="s">
        <v>1492</v>
      </c>
      <c r="B586" s="5">
        <v>45874</v>
      </c>
      <c r="C586" t="s">
        <v>382</v>
      </c>
      <c r="D586" t="s">
        <v>383</v>
      </c>
      <c r="E586" t="s">
        <v>810</v>
      </c>
      <c r="F586" t="s">
        <v>47</v>
      </c>
      <c r="G586" t="s">
        <v>69</v>
      </c>
      <c r="H586" t="s">
        <v>35</v>
      </c>
      <c r="I586" t="s">
        <v>42</v>
      </c>
      <c r="J586" t="s">
        <v>43</v>
      </c>
      <c r="K586" t="s">
        <v>38</v>
      </c>
      <c r="L586" s="5">
        <v>43831</v>
      </c>
      <c r="M586">
        <v>63</v>
      </c>
      <c r="N586" t="s">
        <v>427</v>
      </c>
      <c r="O586" t="s">
        <v>915</v>
      </c>
      <c r="Q586">
        <v>2</v>
      </c>
      <c r="R586">
        <v>1936</v>
      </c>
      <c r="S586" t="s">
        <v>932</v>
      </c>
      <c r="T586" s="6">
        <v>234941.19027556555</v>
      </c>
      <c r="U586" s="7">
        <f>T586*DealsRawTable[[#This Row],[Contract_Years]]</f>
        <v>469882.38055113109</v>
      </c>
      <c r="V586" s="8">
        <v>0.21099999999999999</v>
      </c>
      <c r="W586" s="8">
        <v>0.187</v>
      </c>
      <c r="X586" s="8">
        <v>-0.1</v>
      </c>
      <c r="Y586" t="s">
        <v>878</v>
      </c>
      <c r="Z586" t="s">
        <v>889</v>
      </c>
      <c r="AA586" s="6">
        <v>191115.61145794124</v>
      </c>
      <c r="AB586" s="7">
        <f>DealsRawTable[[#This Row],[Final_Price_ACV]]*DealsRawTable[[#This Row],[Contract_Years]]</f>
        <v>382231.22291588248</v>
      </c>
      <c r="AC586" s="6">
        <v>82576.092036021713</v>
      </c>
      <c r="AD586" s="6">
        <v>108539.51942191953</v>
      </c>
      <c r="AE586" s="8">
        <v>0.56792597210618656</v>
      </c>
      <c r="AF586" t="s">
        <v>880</v>
      </c>
      <c r="AI586" t="s">
        <v>44</v>
      </c>
      <c r="AJ586" s="6">
        <v>191115.61145794124</v>
      </c>
      <c r="AK586" s="6">
        <v>108539.51942191953</v>
      </c>
      <c r="AL586" t="s">
        <v>934</v>
      </c>
      <c r="AM586">
        <f t="shared" si="18"/>
        <v>191007.19</v>
      </c>
      <c r="AN586">
        <f>DealsRawTable[[#This Row],[Validated_Annual_Final_Price]]*DealsRawTable[[#This Row],[Contract_Years]]</f>
        <v>382014.38</v>
      </c>
      <c r="AO586">
        <f>DealsRawTable[[#This Row],[Validated_Annual_Final_Price]]-DealsRawTable[[#This Row],[Cost_to_Serve]]</f>
        <v>108431.09796397829</v>
      </c>
      <c r="AP586" s="17">
        <f>DealsRawTable[[#This Row],[Validated_Grossprofit]]/DealsRawTable[[#This Row],[Validated_Annual_Final_Price]]</f>
        <v>0.56768071382013574</v>
      </c>
      <c r="AQ586" s="17">
        <v>191007.19</v>
      </c>
      <c r="AR586" s="17">
        <v>382014.38</v>
      </c>
      <c r="AS586" s="17">
        <v>108431.09796397829</v>
      </c>
      <c r="AT586" s="17">
        <v>0.56768071382013574</v>
      </c>
      <c r="AU586" s="17" t="str">
        <f t="shared" si="19"/>
        <v>15–20%</v>
      </c>
      <c r="AV586" s="17">
        <v>108</v>
      </c>
      <c r="AW586" s="17"/>
    </row>
    <row r="587" spans="1:49">
      <c r="A587" t="s">
        <v>1493</v>
      </c>
      <c r="B587" s="5">
        <v>45568</v>
      </c>
      <c r="C587" t="s">
        <v>382</v>
      </c>
      <c r="D587" t="s">
        <v>383</v>
      </c>
      <c r="E587" t="s">
        <v>811</v>
      </c>
      <c r="F587" t="s">
        <v>34</v>
      </c>
      <c r="G587" t="s">
        <v>69</v>
      </c>
      <c r="H587" t="s">
        <v>35</v>
      </c>
      <c r="I587" t="s">
        <v>42</v>
      </c>
      <c r="J587" t="s">
        <v>43</v>
      </c>
      <c r="K587" t="s">
        <v>38</v>
      </c>
      <c r="L587" s="5">
        <v>43831</v>
      </c>
      <c r="M587">
        <v>63</v>
      </c>
      <c r="N587" t="s">
        <v>429</v>
      </c>
      <c r="O587" t="s">
        <v>876</v>
      </c>
      <c r="Q587">
        <v>1</v>
      </c>
      <c r="R587">
        <v>1528</v>
      </c>
      <c r="S587" t="s">
        <v>888</v>
      </c>
      <c r="T587" s="6">
        <v>219820.28158620809</v>
      </c>
      <c r="U587" s="7">
        <f>T587*DealsRawTable[[#This Row],[Contract_Years]]</f>
        <v>219820.28158620809</v>
      </c>
      <c r="V587" s="8">
        <v>7.9000000000000001E-2</v>
      </c>
      <c r="W587" s="8">
        <v>7.5999999999999998E-2</v>
      </c>
      <c r="X587" s="8">
        <v>-0.12</v>
      </c>
      <c r="Y587" t="s">
        <v>878</v>
      </c>
      <c r="Z587" t="s">
        <v>879</v>
      </c>
      <c r="AA587" s="6">
        <v>203163.42518389114</v>
      </c>
      <c r="AB587" s="7">
        <f>DealsRawTable[[#This Row],[Final_Price_ACV]]*DealsRawTable[[#This Row],[Contract_Years]]</f>
        <v>203163.42518389114</v>
      </c>
      <c r="AC587" s="6">
        <v>76366.579563410487</v>
      </c>
      <c r="AD587" s="6">
        <v>126796.84562048066</v>
      </c>
      <c r="AE587" s="8">
        <v>0.62411256113501667</v>
      </c>
      <c r="AF587" t="s">
        <v>880</v>
      </c>
      <c r="AG587" t="s">
        <v>44</v>
      </c>
      <c r="AI587" t="s">
        <v>38</v>
      </c>
      <c r="AJ587" s="6">
        <v>203163.42518389114</v>
      </c>
      <c r="AK587" s="6">
        <v>126796.84562048066</v>
      </c>
      <c r="AL587" t="s">
        <v>881</v>
      </c>
      <c r="AM587">
        <f t="shared" si="18"/>
        <v>203113.94</v>
      </c>
      <c r="AN587">
        <f>DealsRawTable[[#This Row],[Validated_Annual_Final_Price]]*DealsRawTable[[#This Row],[Contract_Years]]</f>
        <v>203113.94</v>
      </c>
      <c r="AO587">
        <f>DealsRawTable[[#This Row],[Validated_Annual_Final_Price]]-DealsRawTable[[#This Row],[Cost_to_Serve]]</f>
        <v>126747.36043658952</v>
      </c>
      <c r="AP587" s="17">
        <f>DealsRawTable[[#This Row],[Validated_Grossprofit]]/DealsRawTable[[#This Row],[Validated_Annual_Final_Price]]</f>
        <v>0.62402098268877815</v>
      </c>
      <c r="AQ587" s="17">
        <v>203113.94</v>
      </c>
      <c r="AR587" s="17">
        <v>203113.94</v>
      </c>
      <c r="AS587" s="17">
        <v>126747.36043658952</v>
      </c>
      <c r="AT587" s="17">
        <v>0.62402098268877815</v>
      </c>
      <c r="AU587" s="17" t="str">
        <f t="shared" si="19"/>
        <v>5–10%</v>
      </c>
      <c r="AV587" s="17">
        <v>116</v>
      </c>
      <c r="AW587" s="17"/>
    </row>
    <row r="588" spans="1:49">
      <c r="A588" t="s">
        <v>1494</v>
      </c>
      <c r="B588" s="5">
        <v>45933</v>
      </c>
      <c r="C588" t="s">
        <v>382</v>
      </c>
      <c r="D588" t="s">
        <v>383</v>
      </c>
      <c r="E588" t="s">
        <v>811</v>
      </c>
      <c r="F588" t="s">
        <v>34</v>
      </c>
      <c r="G588" t="s">
        <v>69</v>
      </c>
      <c r="H588" t="s">
        <v>35</v>
      </c>
      <c r="I588" t="s">
        <v>42</v>
      </c>
      <c r="J588" t="s">
        <v>43</v>
      </c>
      <c r="K588" t="s">
        <v>38</v>
      </c>
      <c r="L588" s="5">
        <v>43831</v>
      </c>
      <c r="M588">
        <v>63</v>
      </c>
      <c r="N588" t="s">
        <v>429</v>
      </c>
      <c r="O588" t="s">
        <v>876</v>
      </c>
      <c r="Q588">
        <v>1</v>
      </c>
      <c r="R588">
        <v>1528</v>
      </c>
      <c r="S588" t="s">
        <v>896</v>
      </c>
      <c r="T588" s="6">
        <v>230781.18099679553</v>
      </c>
      <c r="U588" s="7">
        <f>T588*DealsRawTable[[#This Row],[Contract_Years]]</f>
        <v>230781.18099679553</v>
      </c>
      <c r="V588" s="8">
        <v>0.191</v>
      </c>
      <c r="W588" s="8">
        <v>0.17299999999999999</v>
      </c>
      <c r="X588" s="8">
        <v>-3.4000000000000002E-2</v>
      </c>
      <c r="Y588" t="s">
        <v>878</v>
      </c>
      <c r="Z588" t="s">
        <v>889</v>
      </c>
      <c r="AA588" s="6">
        <v>190857.07658512745</v>
      </c>
      <c r="AB588" s="7">
        <f>DealsRawTable[[#This Row],[Final_Price_ACV]]*DealsRawTable[[#This Row],[Contract_Years]]</f>
        <v>190857.07658512745</v>
      </c>
      <c r="AC588" s="6">
        <v>79038.128710584846</v>
      </c>
      <c r="AD588" s="6">
        <v>111818.9478745426</v>
      </c>
      <c r="AE588" s="8">
        <v>0.58587792433605845</v>
      </c>
      <c r="AF588" t="s">
        <v>880</v>
      </c>
      <c r="AG588" t="s">
        <v>44</v>
      </c>
      <c r="AI588" t="s">
        <v>38</v>
      </c>
      <c r="AJ588" s="6">
        <v>190857.07658512745</v>
      </c>
      <c r="AK588" s="6">
        <v>111818.9478745426</v>
      </c>
      <c r="AL588" t="s">
        <v>881</v>
      </c>
      <c r="AM588">
        <f t="shared" si="18"/>
        <v>190856.04</v>
      </c>
      <c r="AN588">
        <f>DealsRawTable[[#This Row],[Validated_Annual_Final_Price]]*DealsRawTable[[#This Row],[Contract_Years]]</f>
        <v>190856.04</v>
      </c>
      <c r="AO588">
        <f>DealsRawTable[[#This Row],[Validated_Annual_Final_Price]]-DealsRawTable[[#This Row],[Cost_to_Serve]]</f>
        <v>111817.91128941516</v>
      </c>
      <c r="AP588" s="17">
        <f>DealsRawTable[[#This Row],[Validated_Grossprofit]]/DealsRawTable[[#This Row],[Validated_Annual_Final_Price]]</f>
        <v>0.58587567513931005</v>
      </c>
      <c r="AQ588" s="17">
        <v>190856.04</v>
      </c>
      <c r="AR588" s="17">
        <v>190856.04</v>
      </c>
      <c r="AS588" s="17">
        <v>111817.91128941516</v>
      </c>
      <c r="AT588" s="17">
        <v>0.58587567513931005</v>
      </c>
      <c r="AU588" s="17" t="str">
        <f t="shared" si="19"/>
        <v>15–20%</v>
      </c>
      <c r="AV588" s="17">
        <v>108</v>
      </c>
      <c r="AW588" s="17"/>
    </row>
    <row r="589" spans="1:49">
      <c r="A589" t="s">
        <v>1495</v>
      </c>
      <c r="B589" s="5">
        <v>45367</v>
      </c>
      <c r="C589" t="s">
        <v>382</v>
      </c>
      <c r="D589" t="s">
        <v>383</v>
      </c>
      <c r="E589" t="s">
        <v>812</v>
      </c>
      <c r="F589" t="s">
        <v>47</v>
      </c>
      <c r="G589" t="s">
        <v>69</v>
      </c>
      <c r="H589" t="s">
        <v>35</v>
      </c>
      <c r="I589" t="s">
        <v>42</v>
      </c>
      <c r="J589" t="s">
        <v>43</v>
      </c>
      <c r="K589" t="s">
        <v>38</v>
      </c>
      <c r="L589" s="5">
        <v>43831</v>
      </c>
      <c r="M589">
        <v>63</v>
      </c>
      <c r="N589" t="s">
        <v>429</v>
      </c>
      <c r="O589" t="s">
        <v>876</v>
      </c>
      <c r="Q589">
        <v>3</v>
      </c>
      <c r="R589">
        <v>929</v>
      </c>
      <c r="S589" t="s">
        <v>896</v>
      </c>
      <c r="T589" s="6">
        <v>358280.05695615639</v>
      </c>
      <c r="U589" s="7">
        <f>T589*DealsRawTable[[#This Row],[Contract_Years]]</f>
        <v>1074840.1708684692</v>
      </c>
      <c r="V589" s="8">
        <v>0.14299999999999999</v>
      </c>
      <c r="W589" s="8">
        <v>0.11700000000000001</v>
      </c>
      <c r="X589" s="8">
        <v>-7.9000000000000001E-2</v>
      </c>
      <c r="Y589" t="s">
        <v>878</v>
      </c>
      <c r="Z589" t="s">
        <v>889</v>
      </c>
      <c r="AA589" s="6">
        <v>316514.78171219188</v>
      </c>
      <c r="AB589" s="7">
        <f>DealsRawTable[[#This Row],[Final_Price_ACV]]*DealsRawTable[[#This Row],[Contract_Years]]</f>
        <v>949544.34513657563</v>
      </c>
      <c r="AC589" s="6">
        <v>123099.22759517033</v>
      </c>
      <c r="AD589" s="6">
        <v>193415.55411702156</v>
      </c>
      <c r="AE589" s="8">
        <v>0.61107905631053616</v>
      </c>
      <c r="AF589" t="s">
        <v>457</v>
      </c>
      <c r="AG589" t="s">
        <v>38</v>
      </c>
      <c r="AI589" t="s">
        <v>38</v>
      </c>
      <c r="AJ589" s="6">
        <v>0</v>
      </c>
      <c r="AK589" s="6">
        <v>0</v>
      </c>
      <c r="AL589" t="s">
        <v>881</v>
      </c>
      <c r="AM589">
        <f t="shared" si="18"/>
        <v>316361.28999999998</v>
      </c>
      <c r="AN589">
        <f>DealsRawTable[[#This Row],[Validated_Annual_Final_Price]]*DealsRawTable[[#This Row],[Contract_Years]]</f>
        <v>949083.86999999988</v>
      </c>
      <c r="AO589">
        <f>DealsRawTable[[#This Row],[Validated_Annual_Final_Price]]-DealsRawTable[[#This Row],[Cost_to_Serve]]</f>
        <v>193262.06240482966</v>
      </c>
      <c r="AP589" s="17">
        <f>DealsRawTable[[#This Row],[Validated_Grossprofit]]/DealsRawTable[[#This Row],[Validated_Annual_Final_Price]]</f>
        <v>0.61089036021072507</v>
      </c>
      <c r="AQ589" s="17">
        <v>0</v>
      </c>
      <c r="AR589" s="17">
        <v>0</v>
      </c>
      <c r="AS589" s="17">
        <v>0</v>
      </c>
      <c r="AT589" s="17">
        <v>0</v>
      </c>
      <c r="AU589" s="17" t="str">
        <f t="shared" si="19"/>
        <v>10–15%</v>
      </c>
      <c r="AV589" s="17">
        <v>113</v>
      </c>
      <c r="AW589" s="17"/>
    </row>
    <row r="590" spans="1:49">
      <c r="A590" t="s">
        <v>1496</v>
      </c>
      <c r="B590" s="5">
        <v>45654</v>
      </c>
      <c r="C590" t="s">
        <v>384</v>
      </c>
      <c r="D590" t="s">
        <v>385</v>
      </c>
      <c r="E590" t="s">
        <v>813</v>
      </c>
      <c r="F590" t="s">
        <v>466</v>
      </c>
      <c r="G590" t="s">
        <v>69</v>
      </c>
      <c r="H590" t="s">
        <v>48</v>
      </c>
      <c r="I590" t="s">
        <v>49</v>
      </c>
      <c r="J590" t="s">
        <v>56</v>
      </c>
      <c r="K590" t="s">
        <v>38</v>
      </c>
      <c r="L590" s="5">
        <v>44287</v>
      </c>
      <c r="M590">
        <v>56</v>
      </c>
      <c r="N590" t="s">
        <v>429</v>
      </c>
      <c r="O590" t="s">
        <v>891</v>
      </c>
      <c r="Q590">
        <v>1</v>
      </c>
      <c r="R590">
        <v>230</v>
      </c>
      <c r="S590" t="s">
        <v>900</v>
      </c>
      <c r="T590" s="6">
        <v>108957.44636707006</v>
      </c>
      <c r="U590" s="7">
        <f>T590*DealsRawTable[[#This Row],[Contract_Years]]</f>
        <v>108957.44636707006</v>
      </c>
      <c r="V590" s="8">
        <v>0.184</v>
      </c>
      <c r="W590" s="8">
        <v>0.17299999999999999</v>
      </c>
      <c r="X590" s="8">
        <v>6.4000000000000001E-2</v>
      </c>
      <c r="Y590" t="s">
        <v>930</v>
      </c>
      <c r="Z590" t="s">
        <v>889</v>
      </c>
      <c r="AA590" s="6">
        <v>90087.301761012437</v>
      </c>
      <c r="AB590" s="7">
        <f>DealsRawTable[[#This Row],[Final_Price_ACV]]*DealsRawTable[[#This Row],[Contract_Years]]</f>
        <v>90087.301761012437</v>
      </c>
      <c r="AC590" s="6">
        <v>39539.209531649933</v>
      </c>
      <c r="AD590" s="6">
        <v>50548.092229362504</v>
      </c>
      <c r="AE590" s="8">
        <v>0.56110119008180215</v>
      </c>
      <c r="AF590" t="s">
        <v>880</v>
      </c>
      <c r="AI590" t="s">
        <v>38</v>
      </c>
      <c r="AJ590" s="6">
        <v>90087.301761012437</v>
      </c>
      <c r="AK590" s="6">
        <v>50548.092229362504</v>
      </c>
      <c r="AL590" t="s">
        <v>894</v>
      </c>
      <c r="AM590">
        <f t="shared" si="18"/>
        <v>90107.81</v>
      </c>
      <c r="AN590">
        <f>DealsRawTable[[#This Row],[Validated_Annual_Final_Price]]*DealsRawTable[[#This Row],[Contract_Years]]</f>
        <v>90107.81</v>
      </c>
      <c r="AO590">
        <f>DealsRawTable[[#This Row],[Validated_Annual_Final_Price]]-DealsRawTable[[#This Row],[Cost_to_Serve]]</f>
        <v>50568.600468350065</v>
      </c>
      <c r="AP590" s="17">
        <f>DealsRawTable[[#This Row],[Validated_Grossprofit]]/DealsRawTable[[#This Row],[Validated_Annual_Final_Price]]</f>
        <v>0.56120108199666674</v>
      </c>
      <c r="AQ590" s="17">
        <v>90107.81</v>
      </c>
      <c r="AR590" s="17">
        <v>90107.81</v>
      </c>
      <c r="AS590" s="17">
        <v>50568.600468350065</v>
      </c>
      <c r="AT590" s="17">
        <v>0.56120108199666674</v>
      </c>
      <c r="AU590" s="17" t="str">
        <f t="shared" si="19"/>
        <v>15–20%</v>
      </c>
      <c r="AV590" s="17">
        <v>108</v>
      </c>
      <c r="AW590" s="17"/>
    </row>
    <row r="591" spans="1:49">
      <c r="A591" t="s">
        <v>1497</v>
      </c>
      <c r="B591" s="5">
        <v>46019</v>
      </c>
      <c r="C591" t="s">
        <v>384</v>
      </c>
      <c r="D591" t="s">
        <v>385</v>
      </c>
      <c r="E591" t="s">
        <v>813</v>
      </c>
      <c r="F591" t="s">
        <v>466</v>
      </c>
      <c r="G591" t="s">
        <v>69</v>
      </c>
      <c r="H591" t="s">
        <v>48</v>
      </c>
      <c r="I591" t="s">
        <v>49</v>
      </c>
      <c r="J591" t="s">
        <v>56</v>
      </c>
      <c r="K591" t="s">
        <v>38</v>
      </c>
      <c r="L591" s="5">
        <v>44287</v>
      </c>
      <c r="M591">
        <v>56</v>
      </c>
      <c r="N591" t="s">
        <v>429</v>
      </c>
      <c r="O591" t="s">
        <v>876</v>
      </c>
      <c r="Q591">
        <v>1</v>
      </c>
      <c r="R591">
        <v>230</v>
      </c>
      <c r="S591" t="s">
        <v>896</v>
      </c>
      <c r="T591" s="6">
        <v>114316.59138522652</v>
      </c>
      <c r="U591" s="7">
        <f>T591*DealsRawTable[[#This Row],[Contract_Years]]</f>
        <v>114316.59138522652</v>
      </c>
      <c r="V591" s="8">
        <v>0.11799999999999999</v>
      </c>
      <c r="W591" s="8">
        <v>0.106</v>
      </c>
      <c r="X591" s="8">
        <v>2.5999999999999999E-2</v>
      </c>
      <c r="Y591" t="s">
        <v>878</v>
      </c>
      <c r="Z591" t="s">
        <v>889</v>
      </c>
      <c r="AA591" s="6">
        <v>102246.09494648471</v>
      </c>
      <c r="AB591" s="7">
        <f>DealsRawTable[[#This Row],[Final_Price_ACV]]*DealsRawTable[[#This Row],[Contract_Years]]</f>
        <v>102246.09494648471</v>
      </c>
      <c r="AC591" s="6">
        <v>38862.835410475447</v>
      </c>
      <c r="AD591" s="6">
        <v>63383.25953600926</v>
      </c>
      <c r="AE591" s="8">
        <v>0.61990885391939776</v>
      </c>
      <c r="AF591" t="s">
        <v>880</v>
      </c>
      <c r="AG591" t="s">
        <v>44</v>
      </c>
      <c r="AI591" t="s">
        <v>38</v>
      </c>
      <c r="AJ591" s="6">
        <v>102246.09494648471</v>
      </c>
      <c r="AK591" s="6">
        <v>63383.25953600926</v>
      </c>
      <c r="AL591" t="s">
        <v>881</v>
      </c>
      <c r="AM591">
        <f t="shared" si="18"/>
        <v>102199.03</v>
      </c>
      <c r="AN591">
        <f>DealsRawTable[[#This Row],[Validated_Annual_Final_Price]]*DealsRawTable[[#This Row],[Contract_Years]]</f>
        <v>102199.03</v>
      </c>
      <c r="AO591">
        <f>DealsRawTable[[#This Row],[Validated_Annual_Final_Price]]-DealsRawTable[[#This Row],[Cost_to_Serve]]</f>
        <v>63336.194589524552</v>
      </c>
      <c r="AP591" s="17">
        <f>DealsRawTable[[#This Row],[Validated_Grossprofit]]/DealsRawTable[[#This Row],[Validated_Annual_Final_Price]]</f>
        <v>0.61973381341803879</v>
      </c>
      <c r="AQ591" s="17">
        <v>102199.03</v>
      </c>
      <c r="AR591" s="17">
        <v>102199.03</v>
      </c>
      <c r="AS591" s="17">
        <v>63336.194589524552</v>
      </c>
      <c r="AT591" s="17">
        <v>0.61973381341803879</v>
      </c>
      <c r="AU591" s="17" t="str">
        <f t="shared" si="19"/>
        <v>10–15%</v>
      </c>
      <c r="AV591" s="17">
        <v>113</v>
      </c>
      <c r="AW591" s="17"/>
    </row>
    <row r="592" spans="1:49">
      <c r="A592" t="s">
        <v>1498</v>
      </c>
      <c r="B592" s="5">
        <v>45347</v>
      </c>
      <c r="C592" t="s">
        <v>384</v>
      </c>
      <c r="D592" t="s">
        <v>385</v>
      </c>
      <c r="E592" t="s">
        <v>814</v>
      </c>
      <c r="F592" t="s">
        <v>449</v>
      </c>
      <c r="G592" t="s">
        <v>69</v>
      </c>
      <c r="H592" t="s">
        <v>48</v>
      </c>
      <c r="I592" t="s">
        <v>49</v>
      </c>
      <c r="J592" t="s">
        <v>56</v>
      </c>
      <c r="K592" t="s">
        <v>38</v>
      </c>
      <c r="L592" s="5">
        <v>44287</v>
      </c>
      <c r="M592">
        <v>56</v>
      </c>
      <c r="N592" t="s">
        <v>424</v>
      </c>
      <c r="O592" t="s">
        <v>891</v>
      </c>
      <c r="Q592">
        <v>1</v>
      </c>
      <c r="R592">
        <v>142</v>
      </c>
      <c r="S592" t="s">
        <v>907</v>
      </c>
      <c r="T592" s="6">
        <v>63598.126213288066</v>
      </c>
      <c r="U592" s="7">
        <f>T592*DealsRawTable[[#This Row],[Contract_Years]]</f>
        <v>63598.126213288066</v>
      </c>
      <c r="V592" s="8">
        <v>7.6999999999999999E-2</v>
      </c>
      <c r="W592" s="8">
        <v>6.5000000000000002E-2</v>
      </c>
      <c r="X592" s="8">
        <v>-0.04</v>
      </c>
      <c r="Y592" t="s">
        <v>909</v>
      </c>
      <c r="Z592" t="s">
        <v>879</v>
      </c>
      <c r="AA592" s="6">
        <v>59475.554938139794</v>
      </c>
      <c r="AB592" s="7">
        <f>DealsRawTable[[#This Row],[Final_Price_ACV]]*DealsRawTable[[#This Row],[Contract_Years]]</f>
        <v>59475.554938139794</v>
      </c>
      <c r="AC592" s="6">
        <v>17337.62546355242</v>
      </c>
      <c r="AD592" s="6">
        <v>42137.929474587378</v>
      </c>
      <c r="AE592" s="8">
        <v>0.70849157302382149</v>
      </c>
      <c r="AF592" t="s">
        <v>880</v>
      </c>
      <c r="AI592" t="s">
        <v>38</v>
      </c>
      <c r="AJ592" s="6">
        <v>59475.554938139794</v>
      </c>
      <c r="AK592" s="6">
        <v>42137.929474587378</v>
      </c>
      <c r="AL592" t="s">
        <v>894</v>
      </c>
      <c r="AM592">
        <f t="shared" si="18"/>
        <v>59464.25</v>
      </c>
      <c r="AN592">
        <f>DealsRawTable[[#This Row],[Validated_Annual_Final_Price]]*DealsRawTable[[#This Row],[Contract_Years]]</f>
        <v>59464.25</v>
      </c>
      <c r="AO592">
        <f>DealsRawTable[[#This Row],[Validated_Annual_Final_Price]]-DealsRawTable[[#This Row],[Cost_to_Serve]]</f>
        <v>42126.624536447576</v>
      </c>
      <c r="AP592" s="17">
        <f>DealsRawTable[[#This Row],[Validated_Grossprofit]]/DealsRawTable[[#This Row],[Validated_Annual_Final_Price]]</f>
        <v>0.70843615342743882</v>
      </c>
      <c r="AQ592" s="17">
        <v>59464.25</v>
      </c>
      <c r="AR592" s="17">
        <v>59464.25</v>
      </c>
      <c r="AS592" s="17">
        <v>42126.624536447576</v>
      </c>
      <c r="AT592" s="17">
        <v>0.70843615342743882</v>
      </c>
      <c r="AU592" s="17" t="str">
        <f t="shared" si="19"/>
        <v>5–10%</v>
      </c>
      <c r="AV592" s="17">
        <v>116</v>
      </c>
      <c r="AW592" s="17"/>
    </row>
    <row r="593" spans="1:49">
      <c r="A593" t="s">
        <v>1499</v>
      </c>
      <c r="B593" s="5">
        <v>45558</v>
      </c>
      <c r="C593" t="s">
        <v>384</v>
      </c>
      <c r="D593" t="s">
        <v>385</v>
      </c>
      <c r="E593" t="s">
        <v>814</v>
      </c>
      <c r="F593" t="s">
        <v>449</v>
      </c>
      <c r="G593" t="s">
        <v>69</v>
      </c>
      <c r="H593" t="s">
        <v>48</v>
      </c>
      <c r="I593" t="s">
        <v>49</v>
      </c>
      <c r="J593" t="s">
        <v>56</v>
      </c>
      <c r="K593" t="s">
        <v>38</v>
      </c>
      <c r="L593" s="5">
        <v>44287</v>
      </c>
      <c r="M593">
        <v>56</v>
      </c>
      <c r="N593" t="s">
        <v>424</v>
      </c>
      <c r="O593" t="s">
        <v>883</v>
      </c>
      <c r="P593" t="s">
        <v>899</v>
      </c>
      <c r="Q593">
        <v>1</v>
      </c>
      <c r="R593">
        <v>193</v>
      </c>
      <c r="S593" t="s">
        <v>907</v>
      </c>
      <c r="T593" s="6">
        <v>76876.830703889063</v>
      </c>
      <c r="U593" s="7">
        <f>T593*DealsRawTable[[#This Row],[Contract_Years]]</f>
        <v>76876.830703889063</v>
      </c>
      <c r="V593" s="8">
        <v>2.3E-2</v>
      </c>
      <c r="W593" s="8">
        <v>0</v>
      </c>
      <c r="X593" s="8">
        <v>-2.1999999999999999E-2</v>
      </c>
      <c r="Y593" t="s">
        <v>885</v>
      </c>
      <c r="Z593" t="s">
        <v>879</v>
      </c>
      <c r="AA593" s="6">
        <v>76876.830703889063</v>
      </c>
      <c r="AB593" s="7">
        <f>DealsRawTable[[#This Row],[Final_Price_ACV]]*DealsRawTable[[#This Row],[Contract_Years]]</f>
        <v>76876.830703889063</v>
      </c>
      <c r="AC593" s="6">
        <v>22949.996250764194</v>
      </c>
      <c r="AD593" s="6">
        <v>53926.834453124873</v>
      </c>
      <c r="AE593" s="8">
        <v>0.70147057259472601</v>
      </c>
      <c r="AF593" t="s">
        <v>880</v>
      </c>
      <c r="AH593" t="s">
        <v>44</v>
      </c>
      <c r="AI593" t="s">
        <v>38</v>
      </c>
      <c r="AJ593" s="6">
        <v>76876.830703889063</v>
      </c>
      <c r="AK593" s="6">
        <v>53926.834453124873</v>
      </c>
      <c r="AL593" t="s">
        <v>886</v>
      </c>
      <c r="AM593">
        <f t="shared" si="18"/>
        <v>76876.83</v>
      </c>
      <c r="AN593">
        <f>DealsRawTable[[#This Row],[Validated_Annual_Final_Price]]*DealsRawTable[[#This Row],[Contract_Years]]</f>
        <v>76876.83</v>
      </c>
      <c r="AO593">
        <f>DealsRawTable[[#This Row],[Validated_Annual_Final_Price]]-DealsRawTable[[#This Row],[Cost_to_Serve]]</f>
        <v>53926.833749235811</v>
      </c>
      <c r="AP593" s="17">
        <f>DealsRawTable[[#This Row],[Validated_Grossprofit]]/DealsRawTable[[#This Row],[Validated_Annual_Final_Price]]</f>
        <v>0.70147056986137191</v>
      </c>
      <c r="AQ593" s="17">
        <v>76876.83</v>
      </c>
      <c r="AR593" s="17">
        <v>76876.83</v>
      </c>
      <c r="AS593" s="17">
        <v>53926.833749235811</v>
      </c>
      <c r="AT593" s="17">
        <v>0.70147056986137191</v>
      </c>
      <c r="AU593" s="17" t="str">
        <f t="shared" si="19"/>
        <v>0–5%</v>
      </c>
      <c r="AV593" s="17">
        <v>55</v>
      </c>
      <c r="AW593" s="17"/>
    </row>
    <row r="594" spans="1:49">
      <c r="A594" t="s">
        <v>1500</v>
      </c>
      <c r="B594" s="5">
        <v>45712</v>
      </c>
      <c r="C594" t="s">
        <v>384</v>
      </c>
      <c r="D594" t="s">
        <v>385</v>
      </c>
      <c r="E594" t="s">
        <v>814</v>
      </c>
      <c r="F594" t="s">
        <v>449</v>
      </c>
      <c r="G594" t="s">
        <v>69</v>
      </c>
      <c r="H594" t="s">
        <v>48</v>
      </c>
      <c r="I594" t="s">
        <v>49</v>
      </c>
      <c r="J594" t="s">
        <v>56</v>
      </c>
      <c r="K594" t="s">
        <v>38</v>
      </c>
      <c r="L594" s="5">
        <v>44287</v>
      </c>
      <c r="M594">
        <v>56</v>
      </c>
      <c r="N594" t="s">
        <v>424</v>
      </c>
      <c r="O594" t="s">
        <v>876</v>
      </c>
      <c r="Q594">
        <v>1</v>
      </c>
      <c r="R594">
        <v>193</v>
      </c>
      <c r="S594" t="s">
        <v>877</v>
      </c>
      <c r="T594" s="6">
        <v>78525.866271882958</v>
      </c>
      <c r="U594" s="7">
        <f>T594*DealsRawTable[[#This Row],[Contract_Years]]</f>
        <v>78525.866271882958</v>
      </c>
      <c r="V594" s="8">
        <v>0.22500000000000001</v>
      </c>
      <c r="W594" s="8">
        <v>0.20100000000000001</v>
      </c>
      <c r="X594" s="8">
        <v>-4.1000000000000002E-2</v>
      </c>
      <c r="Y594" t="s">
        <v>878</v>
      </c>
      <c r="Z594" t="s">
        <v>893</v>
      </c>
      <c r="AA594" s="6">
        <v>62716.496070299487</v>
      </c>
      <c r="AB594" s="7">
        <f>DealsRawTable[[#This Row],[Final_Price_ACV]]*DealsRawTable[[#This Row],[Contract_Years]]</f>
        <v>62716.496070299487</v>
      </c>
      <c r="AC594" s="6">
        <v>24284.251382853236</v>
      </c>
      <c r="AD594" s="6">
        <v>38432.244687446248</v>
      </c>
      <c r="AE594" s="8">
        <v>0.61279323775306571</v>
      </c>
      <c r="AF594" t="s">
        <v>880</v>
      </c>
      <c r="AG594" t="s">
        <v>44</v>
      </c>
      <c r="AI594" t="s">
        <v>38</v>
      </c>
      <c r="AJ594" s="6">
        <v>62716.496070299487</v>
      </c>
      <c r="AK594" s="6">
        <v>38432.244687446248</v>
      </c>
      <c r="AL594" t="s">
        <v>881</v>
      </c>
      <c r="AM594">
        <f t="shared" si="18"/>
        <v>62742.17</v>
      </c>
      <c r="AN594">
        <f>DealsRawTable[[#This Row],[Validated_Annual_Final_Price]]*DealsRawTable[[#This Row],[Contract_Years]]</f>
        <v>62742.17</v>
      </c>
      <c r="AO594">
        <f>DealsRawTable[[#This Row],[Validated_Annual_Final_Price]]-DealsRawTable[[#This Row],[Cost_to_Serve]]</f>
        <v>38457.918617146759</v>
      </c>
      <c r="AP594" s="17">
        <f>DealsRawTable[[#This Row],[Validated_Grossprofit]]/DealsRawTable[[#This Row],[Validated_Annual_Final_Price]]</f>
        <v>0.61295168173409942</v>
      </c>
      <c r="AQ594" s="17">
        <v>62742.17</v>
      </c>
      <c r="AR594" s="17">
        <v>62742.17</v>
      </c>
      <c r="AS594" s="17">
        <v>38457.918617146759</v>
      </c>
      <c r="AT594" s="17">
        <v>0.61295168173409942</v>
      </c>
      <c r="AU594" s="17" t="str">
        <f t="shared" si="19"/>
        <v>20–25%</v>
      </c>
      <c r="AV594" s="17">
        <v>29</v>
      </c>
      <c r="AW594" s="17"/>
    </row>
    <row r="595" spans="1:49">
      <c r="A595" t="s">
        <v>1501</v>
      </c>
      <c r="B595" s="5">
        <v>45305</v>
      </c>
      <c r="C595" t="s">
        <v>384</v>
      </c>
      <c r="D595" t="s">
        <v>385</v>
      </c>
      <c r="E595" t="s">
        <v>815</v>
      </c>
      <c r="F595" t="s">
        <v>34</v>
      </c>
      <c r="G595" t="s">
        <v>69</v>
      </c>
      <c r="H595" t="s">
        <v>48</v>
      </c>
      <c r="I595" t="s">
        <v>49</v>
      </c>
      <c r="J595" t="s">
        <v>56</v>
      </c>
      <c r="K595" t="s">
        <v>38</v>
      </c>
      <c r="L595" s="5">
        <v>44287</v>
      </c>
      <c r="M595">
        <v>56</v>
      </c>
      <c r="N595" t="s">
        <v>433</v>
      </c>
      <c r="O595" t="s">
        <v>891</v>
      </c>
      <c r="Q595">
        <v>1</v>
      </c>
      <c r="R595">
        <v>154</v>
      </c>
      <c r="S595" t="s">
        <v>900</v>
      </c>
      <c r="T595" s="6">
        <v>285260.15542836662</v>
      </c>
      <c r="U595" s="7">
        <f>T595*DealsRawTable[[#This Row],[Contract_Years]]</f>
        <v>285260.15542836662</v>
      </c>
      <c r="V595" s="8">
        <v>0.246</v>
      </c>
      <c r="W595" s="8">
        <v>0.193</v>
      </c>
      <c r="X595" s="8">
        <v>0.05</v>
      </c>
      <c r="Y595" t="s">
        <v>902</v>
      </c>
      <c r="Z595" t="s">
        <v>889</v>
      </c>
      <c r="AA595" s="6">
        <v>230096.34608312038</v>
      </c>
      <c r="AB595" s="7">
        <f>DealsRawTable[[#This Row],[Final_Price_ACV]]*DealsRawTable[[#This Row],[Contract_Years]]</f>
        <v>230096.34608312038</v>
      </c>
      <c r="AC595" s="6">
        <v>111336.60426703263</v>
      </c>
      <c r="AD595" s="6">
        <v>118759.74181608776</v>
      </c>
      <c r="AE595" s="8">
        <v>0.51613049853988902</v>
      </c>
      <c r="AF595" t="s">
        <v>880</v>
      </c>
      <c r="AI595" t="s">
        <v>38</v>
      </c>
      <c r="AJ595" s="6">
        <v>230096.34608312038</v>
      </c>
      <c r="AK595" s="6">
        <v>118759.74181608776</v>
      </c>
      <c r="AL595" t="s">
        <v>894</v>
      </c>
      <c r="AM595">
        <f t="shared" si="18"/>
        <v>230204.95</v>
      </c>
      <c r="AN595">
        <f>DealsRawTable[[#This Row],[Validated_Annual_Final_Price]]*DealsRawTable[[#This Row],[Contract_Years]]</f>
        <v>230204.95</v>
      </c>
      <c r="AO595">
        <f>DealsRawTable[[#This Row],[Validated_Annual_Final_Price]]-DealsRawTable[[#This Row],[Cost_to_Serve]]</f>
        <v>118868.34573296738</v>
      </c>
      <c r="AP595" s="17">
        <f>DealsRawTable[[#This Row],[Validated_Grossprofit]]/DealsRawTable[[#This Row],[Validated_Annual_Final_Price]]</f>
        <v>0.51635877392283436</v>
      </c>
      <c r="AQ595" s="17">
        <v>230204.95</v>
      </c>
      <c r="AR595" s="17">
        <v>230204.95</v>
      </c>
      <c r="AS595" s="17">
        <v>118868.34573296738</v>
      </c>
      <c r="AT595" s="17">
        <v>0.51635877392283436</v>
      </c>
      <c r="AU595" s="17" t="str">
        <f t="shared" si="19"/>
        <v>15–20%</v>
      </c>
      <c r="AV595" s="17">
        <v>108</v>
      </c>
      <c r="AW595" s="17"/>
    </row>
    <row r="596" spans="1:49">
      <c r="A596" t="s">
        <v>1502</v>
      </c>
      <c r="B596" s="5">
        <v>45574</v>
      </c>
      <c r="C596" t="s">
        <v>384</v>
      </c>
      <c r="D596" t="s">
        <v>385</v>
      </c>
      <c r="E596" t="s">
        <v>815</v>
      </c>
      <c r="F596" t="s">
        <v>34</v>
      </c>
      <c r="G596" t="s">
        <v>69</v>
      </c>
      <c r="H596" t="s">
        <v>48</v>
      </c>
      <c r="I596" t="s">
        <v>49</v>
      </c>
      <c r="J596" t="s">
        <v>56</v>
      </c>
      <c r="K596" t="s">
        <v>38</v>
      </c>
      <c r="L596" s="5">
        <v>44287</v>
      </c>
      <c r="M596">
        <v>56</v>
      </c>
      <c r="N596" t="s">
        <v>433</v>
      </c>
      <c r="O596" t="s">
        <v>883</v>
      </c>
      <c r="P596" t="s">
        <v>884</v>
      </c>
      <c r="Q596">
        <v>1</v>
      </c>
      <c r="R596">
        <v>180</v>
      </c>
      <c r="S596" t="s">
        <v>896</v>
      </c>
      <c r="T596" s="6">
        <v>314769.69106216007</v>
      </c>
      <c r="U596" s="7">
        <f>T596*DealsRawTable[[#This Row],[Contract_Years]]</f>
        <v>314769.69106216007</v>
      </c>
      <c r="V596" s="8">
        <v>0.02</v>
      </c>
      <c r="W596" s="8">
        <v>0</v>
      </c>
      <c r="X596" s="8">
        <v>-8.9999999999999993E-3</v>
      </c>
      <c r="Y596" t="s">
        <v>885</v>
      </c>
      <c r="Z596" t="s">
        <v>879</v>
      </c>
      <c r="AA596" s="6">
        <v>314769.69106216007</v>
      </c>
      <c r="AB596" s="7">
        <f>DealsRawTable[[#This Row],[Final_Price_ACV]]*DealsRawTable[[#This Row],[Contract_Years]]</f>
        <v>314769.69106216007</v>
      </c>
      <c r="AC596" s="6">
        <v>107679.92328906759</v>
      </c>
      <c r="AD596" s="6">
        <v>207089.76777309249</v>
      </c>
      <c r="AE596" s="8">
        <v>0.6579088573435643</v>
      </c>
      <c r="AF596" t="s">
        <v>457</v>
      </c>
      <c r="AH596" t="s">
        <v>38</v>
      </c>
      <c r="AI596" t="s">
        <v>38</v>
      </c>
      <c r="AJ596" s="6">
        <v>0</v>
      </c>
      <c r="AK596" s="6">
        <v>0</v>
      </c>
      <c r="AL596" t="s">
        <v>886</v>
      </c>
      <c r="AM596">
        <f t="shared" si="18"/>
        <v>314769.69</v>
      </c>
      <c r="AN596">
        <f>DealsRawTable[[#This Row],[Validated_Annual_Final_Price]]*DealsRawTable[[#This Row],[Contract_Years]]</f>
        <v>314769.69</v>
      </c>
      <c r="AO596">
        <f>DealsRawTable[[#This Row],[Validated_Annual_Final_Price]]-DealsRawTable[[#This Row],[Cost_to_Serve]]</f>
        <v>207089.76671093242</v>
      </c>
      <c r="AP596" s="17">
        <f>DealsRawTable[[#This Row],[Validated_Grossprofit]]/DealsRawTable[[#This Row],[Validated_Annual_Final_Price]]</f>
        <v>0.65790885618921069</v>
      </c>
      <c r="AQ596" s="17">
        <v>0</v>
      </c>
      <c r="AR596" s="17">
        <v>0</v>
      </c>
      <c r="AS596" s="17">
        <v>0</v>
      </c>
      <c r="AT596" s="17">
        <v>0</v>
      </c>
      <c r="AU596" s="17" t="str">
        <f t="shared" si="19"/>
        <v>0–5%</v>
      </c>
      <c r="AV596" s="17">
        <v>55</v>
      </c>
      <c r="AW596" s="17"/>
    </row>
    <row r="597" spans="1:49">
      <c r="A597" t="s">
        <v>1503</v>
      </c>
      <c r="B597" s="5">
        <v>45670</v>
      </c>
      <c r="C597" t="s">
        <v>384</v>
      </c>
      <c r="D597" t="s">
        <v>385</v>
      </c>
      <c r="E597" t="s">
        <v>815</v>
      </c>
      <c r="F597" t="s">
        <v>34</v>
      </c>
      <c r="G597" t="s">
        <v>69</v>
      </c>
      <c r="H597" t="s">
        <v>48</v>
      </c>
      <c r="I597" t="s">
        <v>49</v>
      </c>
      <c r="J597" t="s">
        <v>56</v>
      </c>
      <c r="K597" t="s">
        <v>38</v>
      </c>
      <c r="L597" s="5">
        <v>44287</v>
      </c>
      <c r="M597">
        <v>56</v>
      </c>
      <c r="N597" t="s">
        <v>433</v>
      </c>
      <c r="O597" t="s">
        <v>876</v>
      </c>
      <c r="Q597">
        <v>1</v>
      </c>
      <c r="R597">
        <v>154</v>
      </c>
      <c r="S597" t="s">
        <v>892</v>
      </c>
      <c r="T597" s="6">
        <v>302413.46047902899</v>
      </c>
      <c r="U597" s="7">
        <f>T597*DealsRawTable[[#This Row],[Contract_Years]]</f>
        <v>302413.46047902899</v>
      </c>
      <c r="V597" s="8">
        <v>0.216</v>
      </c>
      <c r="W597" s="8">
        <v>0.20499999999999999</v>
      </c>
      <c r="X597" s="8">
        <v>0.108</v>
      </c>
      <c r="Y597" t="s">
        <v>878</v>
      </c>
      <c r="Z597" t="s">
        <v>893</v>
      </c>
      <c r="AA597" s="6">
        <v>240290.46970777589</v>
      </c>
      <c r="AB597" s="7">
        <f>DealsRawTable[[#This Row],[Final_Price_ACV]]*DealsRawTable[[#This Row],[Contract_Years]]</f>
        <v>240290.46970777589</v>
      </c>
      <c r="AC597" s="6">
        <v>110570.99606352492</v>
      </c>
      <c r="AD597" s="6">
        <v>129719.47364425097</v>
      </c>
      <c r="AE597" s="8">
        <v>0.53984443828340978</v>
      </c>
      <c r="AF597" t="s">
        <v>880</v>
      </c>
      <c r="AG597" t="s">
        <v>44</v>
      </c>
      <c r="AI597" t="s">
        <v>38</v>
      </c>
      <c r="AJ597" s="6">
        <v>240290.46970777589</v>
      </c>
      <c r="AK597" s="6">
        <v>129719.47364425097</v>
      </c>
      <c r="AL597" t="s">
        <v>881</v>
      </c>
      <c r="AM597">
        <f t="shared" si="18"/>
        <v>240418.7</v>
      </c>
      <c r="AN597">
        <f>DealsRawTable[[#This Row],[Validated_Annual_Final_Price]]*DealsRawTable[[#This Row],[Contract_Years]]</f>
        <v>240418.7</v>
      </c>
      <c r="AO597">
        <f>DealsRawTable[[#This Row],[Validated_Annual_Final_Price]]-DealsRawTable[[#This Row],[Cost_to_Serve]]</f>
        <v>129847.7039364751</v>
      </c>
      <c r="AP597" s="17">
        <f>DealsRawTable[[#This Row],[Validated_Grossprofit]]/DealsRawTable[[#This Row],[Validated_Annual_Final_Price]]</f>
        <v>0.54008986795317959</v>
      </c>
      <c r="AQ597" s="17">
        <v>240418.7</v>
      </c>
      <c r="AR597" s="17">
        <v>240418.7</v>
      </c>
      <c r="AS597" s="17">
        <v>129847.7039364751</v>
      </c>
      <c r="AT597" s="17">
        <v>0.54008986795317959</v>
      </c>
      <c r="AU597" s="17" t="str">
        <f t="shared" si="19"/>
        <v>20–25%</v>
      </c>
      <c r="AV597" s="17">
        <v>29</v>
      </c>
      <c r="AW597" s="17"/>
    </row>
    <row r="598" spans="1:49">
      <c r="A598" t="s">
        <v>1504</v>
      </c>
      <c r="B598" s="5">
        <v>45313</v>
      </c>
      <c r="C598" t="s">
        <v>386</v>
      </c>
      <c r="D598" t="s">
        <v>387</v>
      </c>
      <c r="E598" t="s">
        <v>816</v>
      </c>
      <c r="F598" t="s">
        <v>47</v>
      </c>
      <c r="G598" t="s">
        <v>47</v>
      </c>
      <c r="H598" t="s">
        <v>70</v>
      </c>
      <c r="I598" t="s">
        <v>76</v>
      </c>
      <c r="J598" t="s">
        <v>43</v>
      </c>
      <c r="K598" t="s">
        <v>38</v>
      </c>
      <c r="L598" s="5">
        <v>44348</v>
      </c>
      <c r="M598">
        <v>50</v>
      </c>
      <c r="N598" t="s">
        <v>433</v>
      </c>
      <c r="O598" t="s">
        <v>891</v>
      </c>
      <c r="Q598">
        <v>3</v>
      </c>
      <c r="R598">
        <v>1090</v>
      </c>
      <c r="S598" t="s">
        <v>892</v>
      </c>
      <c r="T598" s="6">
        <v>733107.86877782457</v>
      </c>
      <c r="U598" s="7">
        <f>T598*DealsRawTable[[#This Row],[Contract_Years]]</f>
        <v>2199323.6063334737</v>
      </c>
      <c r="V598" s="8">
        <v>1.6E-2</v>
      </c>
      <c r="W598" s="8">
        <v>0</v>
      </c>
      <c r="X598" s="8">
        <v>0.13400000000000001</v>
      </c>
      <c r="Y598" t="s">
        <v>885</v>
      </c>
      <c r="Z598" t="s">
        <v>879</v>
      </c>
      <c r="AA598" s="6">
        <v>733107.86877782457</v>
      </c>
      <c r="AB598" s="7">
        <f>DealsRawTable[[#This Row],[Final_Price_ACV]]*DealsRawTable[[#This Row],[Contract_Years]]</f>
        <v>2199323.6063334737</v>
      </c>
      <c r="AC598" s="6">
        <v>295154.34898626636</v>
      </c>
      <c r="AD598" s="6">
        <v>437953.51979155821</v>
      </c>
      <c r="AE598" s="8">
        <v>0.59739301464827721</v>
      </c>
      <c r="AF598" t="s">
        <v>457</v>
      </c>
      <c r="AI598" t="s">
        <v>38</v>
      </c>
      <c r="AJ598" s="6">
        <v>0</v>
      </c>
      <c r="AK598" s="6">
        <v>0</v>
      </c>
      <c r="AL598" t="s">
        <v>894</v>
      </c>
      <c r="AM598">
        <f t="shared" si="18"/>
        <v>733107.87</v>
      </c>
      <c r="AN598">
        <f>DealsRawTable[[#This Row],[Validated_Annual_Final_Price]]*DealsRawTable[[#This Row],[Contract_Years]]</f>
        <v>2199323.61</v>
      </c>
      <c r="AO598">
        <f>DealsRawTable[[#This Row],[Validated_Annual_Final_Price]]-DealsRawTable[[#This Row],[Cost_to_Serve]]</f>
        <v>437953.52101373364</v>
      </c>
      <c r="AP598" s="17">
        <f>DealsRawTable[[#This Row],[Validated_Grossprofit]]/DealsRawTable[[#This Row],[Validated_Annual_Final_Price]]</f>
        <v>0.59739301531946953</v>
      </c>
      <c r="AQ598" s="17">
        <v>0</v>
      </c>
      <c r="AR598" s="17">
        <v>0</v>
      </c>
      <c r="AS598" s="17">
        <v>0</v>
      </c>
      <c r="AT598" s="17">
        <v>0</v>
      </c>
      <c r="AU598" s="17" t="str">
        <f t="shared" si="19"/>
        <v>0–5%</v>
      </c>
      <c r="AV598" s="17">
        <v>55</v>
      </c>
      <c r="AW598" s="17"/>
    </row>
    <row r="599" spans="1:49">
      <c r="A599" t="s">
        <v>1505</v>
      </c>
      <c r="B599" s="5">
        <v>45743</v>
      </c>
      <c r="C599" t="s">
        <v>386</v>
      </c>
      <c r="D599" t="s">
        <v>387</v>
      </c>
      <c r="E599" t="s">
        <v>817</v>
      </c>
      <c r="F599" t="s">
        <v>34</v>
      </c>
      <c r="G599" t="s">
        <v>47</v>
      </c>
      <c r="H599" t="s">
        <v>70</v>
      </c>
      <c r="I599" t="s">
        <v>76</v>
      </c>
      <c r="J599" t="s">
        <v>43</v>
      </c>
      <c r="K599" t="s">
        <v>38</v>
      </c>
      <c r="L599" s="5">
        <v>44348</v>
      </c>
      <c r="M599">
        <v>50</v>
      </c>
      <c r="N599" t="s">
        <v>431</v>
      </c>
      <c r="O599" t="s">
        <v>891</v>
      </c>
      <c r="Q599">
        <v>2</v>
      </c>
      <c r="R599">
        <v>1858</v>
      </c>
      <c r="S599" t="s">
        <v>907</v>
      </c>
      <c r="T599" s="6">
        <v>317643.28108914045</v>
      </c>
      <c r="U599" s="7">
        <f>T599*DealsRawTable[[#This Row],[Contract_Years]]</f>
        <v>635286.5621782809</v>
      </c>
      <c r="V599" s="8">
        <v>0.16600000000000001</v>
      </c>
      <c r="W599" s="8">
        <v>0.13900000000000001</v>
      </c>
      <c r="X599" s="8">
        <v>8.7999999999999995E-2</v>
      </c>
      <c r="Y599" t="s">
        <v>902</v>
      </c>
      <c r="Z599" t="s">
        <v>889</v>
      </c>
      <c r="AA599" s="6">
        <v>273344.38005027681</v>
      </c>
      <c r="AB599" s="7">
        <f>DealsRawTable[[#This Row],[Final_Price_ACV]]*DealsRawTable[[#This Row],[Contract_Years]]</f>
        <v>546688.76010055363</v>
      </c>
      <c r="AC599" s="6">
        <v>136672.98466957035</v>
      </c>
      <c r="AD599" s="6">
        <v>136671.39538070647</v>
      </c>
      <c r="AE599" s="8">
        <v>0.49999709288176403</v>
      </c>
      <c r="AF599" t="s">
        <v>880</v>
      </c>
      <c r="AI599" t="s">
        <v>38</v>
      </c>
      <c r="AJ599" s="6">
        <v>273344.38005027681</v>
      </c>
      <c r="AK599" s="6">
        <v>136671.39538070647</v>
      </c>
      <c r="AL599" t="s">
        <v>894</v>
      </c>
      <c r="AM599">
        <f t="shared" si="18"/>
        <v>273490.87</v>
      </c>
      <c r="AN599">
        <f>DealsRawTable[[#This Row],[Validated_Annual_Final_Price]]*DealsRawTable[[#This Row],[Contract_Years]]</f>
        <v>546981.74</v>
      </c>
      <c r="AO599">
        <f>DealsRawTable[[#This Row],[Validated_Annual_Final_Price]]-DealsRawTable[[#This Row],[Cost_to_Serve]]</f>
        <v>136817.88533042965</v>
      </c>
      <c r="AP599" s="17">
        <f>DealsRawTable[[#This Row],[Validated_Grossprofit]]/DealsRawTable[[#This Row],[Validated_Annual_Final_Price]]</f>
        <v>0.50026490950293756</v>
      </c>
      <c r="AQ599" s="17">
        <v>273490.87</v>
      </c>
      <c r="AR599" s="17">
        <v>546981.74</v>
      </c>
      <c r="AS599" s="17">
        <v>136817.88533042965</v>
      </c>
      <c r="AT599" s="17">
        <v>0.50026490950293756</v>
      </c>
      <c r="AU599" s="17" t="str">
        <f t="shared" si="19"/>
        <v>10–15%</v>
      </c>
      <c r="AV599" s="17">
        <v>113</v>
      </c>
      <c r="AW599" s="17"/>
    </row>
    <row r="600" spans="1:49">
      <c r="A600" t="s">
        <v>1506</v>
      </c>
      <c r="B600" s="5">
        <v>45547</v>
      </c>
      <c r="C600" t="s">
        <v>386</v>
      </c>
      <c r="D600" t="s">
        <v>387</v>
      </c>
      <c r="E600" t="s">
        <v>818</v>
      </c>
      <c r="F600" t="s">
        <v>449</v>
      </c>
      <c r="G600" t="s">
        <v>47</v>
      </c>
      <c r="H600" t="s">
        <v>70</v>
      </c>
      <c r="I600" t="s">
        <v>76</v>
      </c>
      <c r="J600" t="s">
        <v>43</v>
      </c>
      <c r="K600" t="s">
        <v>38</v>
      </c>
      <c r="L600" s="5">
        <v>44348</v>
      </c>
      <c r="M600">
        <v>50</v>
      </c>
      <c r="N600" t="s">
        <v>424</v>
      </c>
      <c r="O600" t="s">
        <v>891</v>
      </c>
      <c r="Q600">
        <v>2</v>
      </c>
      <c r="R600">
        <v>906</v>
      </c>
      <c r="S600" t="s">
        <v>932</v>
      </c>
      <c r="T600" s="6">
        <v>164644.60112234112</v>
      </c>
      <c r="U600" s="7">
        <f>T600*DealsRawTable[[#This Row],[Contract_Years]]</f>
        <v>329289.20224468224</v>
      </c>
      <c r="V600" s="8">
        <v>7.2999999999999995E-2</v>
      </c>
      <c r="W600" s="8">
        <v>5.2999999999999999E-2</v>
      </c>
      <c r="X600" s="8">
        <v>0.05</v>
      </c>
      <c r="Y600" t="s">
        <v>897</v>
      </c>
      <c r="Z600" t="s">
        <v>879</v>
      </c>
      <c r="AA600" s="6">
        <v>155919.36017470836</v>
      </c>
      <c r="AB600" s="7">
        <f>DealsRawTable[[#This Row],[Final_Price_ACV]]*DealsRawTable[[#This Row],[Contract_Years]]</f>
        <v>311838.72034941672</v>
      </c>
      <c r="AC600" s="6">
        <v>53939.423456079952</v>
      </c>
      <c r="AD600" s="6">
        <v>101979.93671862841</v>
      </c>
      <c r="AE600" s="8">
        <v>0.65405563878891892</v>
      </c>
      <c r="AF600" t="s">
        <v>880</v>
      </c>
      <c r="AI600" t="s">
        <v>38</v>
      </c>
      <c r="AJ600" s="6">
        <v>155919.36017470836</v>
      </c>
      <c r="AK600" s="6">
        <v>101979.93671862841</v>
      </c>
      <c r="AL600" t="s">
        <v>894</v>
      </c>
      <c r="AM600">
        <f t="shared" si="18"/>
        <v>155918.44</v>
      </c>
      <c r="AN600">
        <f>DealsRawTable[[#This Row],[Validated_Annual_Final_Price]]*DealsRawTable[[#This Row],[Contract_Years]]</f>
        <v>311836.88</v>
      </c>
      <c r="AO600">
        <f>DealsRawTable[[#This Row],[Validated_Annual_Final_Price]]-DealsRawTable[[#This Row],[Cost_to_Serve]]</f>
        <v>101979.01654392005</v>
      </c>
      <c r="AP600" s="17">
        <f>DealsRawTable[[#This Row],[Validated_Grossprofit]]/DealsRawTable[[#This Row],[Validated_Annual_Final_Price]]</f>
        <v>0.65405359714938172</v>
      </c>
      <c r="AQ600" s="17">
        <v>155918.44</v>
      </c>
      <c r="AR600" s="17">
        <v>311836.88</v>
      </c>
      <c r="AS600" s="17">
        <v>101979.01654392005</v>
      </c>
      <c r="AT600" s="17">
        <v>0.65405359714938172</v>
      </c>
      <c r="AU600" s="17" t="str">
        <f t="shared" si="19"/>
        <v>5–10%</v>
      </c>
      <c r="AV600" s="17">
        <v>116</v>
      </c>
      <c r="AW600" s="17"/>
    </row>
    <row r="601" spans="1:49">
      <c r="A601" t="s">
        <v>1507</v>
      </c>
      <c r="B601" s="5">
        <v>45335</v>
      </c>
      <c r="C601" t="s">
        <v>388</v>
      </c>
      <c r="D601" t="s">
        <v>389</v>
      </c>
      <c r="E601" t="s">
        <v>819</v>
      </c>
      <c r="F601" t="s">
        <v>449</v>
      </c>
      <c r="G601" t="s">
        <v>34</v>
      </c>
      <c r="H601" t="s">
        <v>70</v>
      </c>
      <c r="I601" t="s">
        <v>71</v>
      </c>
      <c r="J601" t="s">
        <v>56</v>
      </c>
      <c r="K601" t="s">
        <v>38</v>
      </c>
      <c r="L601" s="5">
        <v>43313</v>
      </c>
      <c r="M601">
        <v>66</v>
      </c>
      <c r="N601" t="s">
        <v>427</v>
      </c>
      <c r="O601" t="s">
        <v>891</v>
      </c>
      <c r="Q601">
        <v>3</v>
      </c>
      <c r="R601">
        <v>249</v>
      </c>
      <c r="S601" t="s">
        <v>947</v>
      </c>
      <c r="T601" s="6">
        <v>99085.081457913198</v>
      </c>
      <c r="U601" s="7">
        <f>T601*DealsRawTable[[#This Row],[Contract_Years]]</f>
        <v>297255.24437373958</v>
      </c>
      <c r="V601" s="8">
        <v>0.159</v>
      </c>
      <c r="W601" s="8">
        <v>0.14899999999999999</v>
      </c>
      <c r="X601" s="8">
        <v>-5.1999999999999998E-2</v>
      </c>
      <c r="Y601" t="s">
        <v>930</v>
      </c>
      <c r="Z601" t="s">
        <v>889</v>
      </c>
      <c r="AA601" s="6">
        <v>84351.178795062428</v>
      </c>
      <c r="AB601" s="7">
        <f>DealsRawTable[[#This Row],[Final_Price_ACV]]*DealsRawTable[[#This Row],[Contract_Years]]</f>
        <v>253053.5363851873</v>
      </c>
      <c r="AC601" s="6">
        <v>35865.793043831545</v>
      </c>
      <c r="AD601" s="6">
        <v>48485.385751230882</v>
      </c>
      <c r="AE601" s="8">
        <v>0.57480389063713977</v>
      </c>
      <c r="AF601" t="s">
        <v>880</v>
      </c>
      <c r="AI601" t="s">
        <v>38</v>
      </c>
      <c r="AJ601" s="6">
        <v>84351.178795062428</v>
      </c>
      <c r="AK601" s="6">
        <v>48485.385751230882</v>
      </c>
      <c r="AL601" t="s">
        <v>894</v>
      </c>
      <c r="AM601">
        <f t="shared" si="18"/>
        <v>84321.4</v>
      </c>
      <c r="AN601">
        <f>DealsRawTable[[#This Row],[Validated_Annual_Final_Price]]*DealsRawTable[[#This Row],[Contract_Years]]</f>
        <v>252964.19999999998</v>
      </c>
      <c r="AO601">
        <f>DealsRawTable[[#This Row],[Validated_Annual_Final_Price]]-DealsRawTable[[#This Row],[Cost_to_Serve]]</f>
        <v>48455.606956168449</v>
      </c>
      <c r="AP601" s="17">
        <f>DealsRawTable[[#This Row],[Validated_Grossprofit]]/DealsRawTable[[#This Row],[Validated_Annual_Final_Price]]</f>
        <v>0.57465372913837354</v>
      </c>
      <c r="AQ601" s="17">
        <v>84321.4</v>
      </c>
      <c r="AR601" s="17">
        <v>252964.19999999998</v>
      </c>
      <c r="AS601" s="17">
        <v>48455.606956168449</v>
      </c>
      <c r="AT601" s="17">
        <v>0.57465372913837354</v>
      </c>
      <c r="AU601" s="17" t="str">
        <f t="shared" si="19"/>
        <v>10–15%</v>
      </c>
      <c r="AV601" s="17">
        <v>113</v>
      </c>
      <c r="AW601" s="17"/>
    </row>
    <row r="602" spans="1:49">
      <c r="A602" t="s">
        <v>1508</v>
      </c>
      <c r="B602" s="5">
        <v>45418</v>
      </c>
      <c r="C602" t="s">
        <v>388</v>
      </c>
      <c r="D602" t="s">
        <v>389</v>
      </c>
      <c r="E602" t="s">
        <v>820</v>
      </c>
      <c r="F602" t="s">
        <v>475</v>
      </c>
      <c r="G602" t="s">
        <v>34</v>
      </c>
      <c r="H602" t="s">
        <v>70</v>
      </c>
      <c r="I602" t="s">
        <v>71</v>
      </c>
      <c r="J602" t="s">
        <v>56</v>
      </c>
      <c r="K602" t="s">
        <v>38</v>
      </c>
      <c r="L602" s="5">
        <v>43313</v>
      </c>
      <c r="M602">
        <v>66</v>
      </c>
      <c r="N602" t="s">
        <v>431</v>
      </c>
      <c r="O602" t="s">
        <v>915</v>
      </c>
      <c r="Q602">
        <v>1</v>
      </c>
      <c r="R602">
        <v>60</v>
      </c>
      <c r="S602" t="s">
        <v>877</v>
      </c>
      <c r="T602" s="6">
        <v>60159.693613858799</v>
      </c>
      <c r="U602" s="7">
        <f>T602*DealsRawTable[[#This Row],[Contract_Years]]</f>
        <v>60159.693613858799</v>
      </c>
      <c r="V602" s="8">
        <v>0.17</v>
      </c>
      <c r="W602" s="8">
        <v>0.155</v>
      </c>
      <c r="X602" s="8">
        <v>-8.5999999999999993E-2</v>
      </c>
      <c r="Y602" t="s">
        <v>878</v>
      </c>
      <c r="Z602" t="s">
        <v>889</v>
      </c>
      <c r="AA602" s="6">
        <v>50837.80996215489</v>
      </c>
      <c r="AB602" s="7">
        <f>DealsRawTable[[#This Row],[Final_Price_ACV]]*DealsRawTable[[#This Row],[Contract_Years]]</f>
        <v>50837.80996215489</v>
      </c>
      <c r="AC602" s="6">
        <v>22822.059538284375</v>
      </c>
      <c r="AD602" s="6">
        <v>28015.750423870515</v>
      </c>
      <c r="AE602" s="8">
        <v>0.55108098568223607</v>
      </c>
      <c r="AF602" t="s">
        <v>880</v>
      </c>
      <c r="AI602" t="s">
        <v>44</v>
      </c>
      <c r="AJ602" s="6">
        <v>50837.80996215489</v>
      </c>
      <c r="AK602" s="6">
        <v>28015.750423870515</v>
      </c>
      <c r="AL602" t="s">
        <v>916</v>
      </c>
      <c r="AM602">
        <f t="shared" si="18"/>
        <v>50834.94</v>
      </c>
      <c r="AN602">
        <f>DealsRawTable[[#This Row],[Validated_Annual_Final_Price]]*DealsRawTable[[#This Row],[Contract_Years]]</f>
        <v>50834.94</v>
      </c>
      <c r="AO602">
        <f>DealsRawTable[[#This Row],[Validated_Annual_Final_Price]]-DealsRawTable[[#This Row],[Cost_to_Serve]]</f>
        <v>28012.880461715627</v>
      </c>
      <c r="AP602" s="17">
        <f>DealsRawTable[[#This Row],[Validated_Grossprofit]]/DealsRawTable[[#This Row],[Validated_Annual_Final_Price]]</f>
        <v>0.55105564129151374</v>
      </c>
      <c r="AQ602" s="17">
        <v>50834.94</v>
      </c>
      <c r="AR602" s="17">
        <v>50834.94</v>
      </c>
      <c r="AS602" s="17">
        <v>28012.880461715627</v>
      </c>
      <c r="AT602" s="17">
        <v>0.55105564129151374</v>
      </c>
      <c r="AU602" s="17" t="str">
        <f t="shared" si="19"/>
        <v>15–20%</v>
      </c>
      <c r="AV602" s="17">
        <v>108</v>
      </c>
      <c r="AW602" s="17"/>
    </row>
    <row r="603" spans="1:49">
      <c r="A603" t="s">
        <v>1509</v>
      </c>
      <c r="B603" s="5">
        <v>45634</v>
      </c>
      <c r="C603" t="s">
        <v>388</v>
      </c>
      <c r="D603" t="s">
        <v>389</v>
      </c>
      <c r="E603" t="s">
        <v>820</v>
      </c>
      <c r="F603" t="s">
        <v>475</v>
      </c>
      <c r="G603" t="s">
        <v>34</v>
      </c>
      <c r="H603" t="s">
        <v>70</v>
      </c>
      <c r="I603" t="s">
        <v>71</v>
      </c>
      <c r="J603" t="s">
        <v>56</v>
      </c>
      <c r="K603" t="s">
        <v>38</v>
      </c>
      <c r="L603" s="5">
        <v>43313</v>
      </c>
      <c r="M603">
        <v>66</v>
      </c>
      <c r="N603" t="s">
        <v>431</v>
      </c>
      <c r="O603" t="s">
        <v>883</v>
      </c>
      <c r="P603" t="s">
        <v>985</v>
      </c>
      <c r="Q603">
        <v>1</v>
      </c>
      <c r="R603">
        <v>74</v>
      </c>
      <c r="S603" t="s">
        <v>896</v>
      </c>
      <c r="T603" s="6">
        <v>71727.358354236087</v>
      </c>
      <c r="U603" s="7">
        <f>T603*DealsRawTable[[#This Row],[Contract_Years]]</f>
        <v>71727.358354236087</v>
      </c>
      <c r="V603" s="8">
        <v>0.12</v>
      </c>
      <c r="W603" s="8">
        <v>8.1000000000000003E-2</v>
      </c>
      <c r="X603" s="8">
        <v>1.9E-2</v>
      </c>
      <c r="Y603" t="s">
        <v>885</v>
      </c>
      <c r="Z603" t="s">
        <v>879</v>
      </c>
      <c r="AA603" s="6">
        <v>65938.30307587373</v>
      </c>
      <c r="AB603" s="7">
        <f>DealsRawTable[[#This Row],[Final_Price_ACV]]*DealsRawTable[[#This Row],[Contract_Years]]</f>
        <v>65938.30307587373</v>
      </c>
      <c r="AC603" s="6">
        <v>28421.899268489531</v>
      </c>
      <c r="AD603" s="6">
        <v>37516.403807384195</v>
      </c>
      <c r="AE603" s="8">
        <v>0.56896222767842397</v>
      </c>
      <c r="AF603" t="s">
        <v>880</v>
      </c>
      <c r="AH603" t="s">
        <v>44</v>
      </c>
      <c r="AI603" t="s">
        <v>38</v>
      </c>
      <c r="AJ603" s="6">
        <v>65938.30307587373</v>
      </c>
      <c r="AK603" s="6">
        <v>37516.403807384195</v>
      </c>
      <c r="AL603" t="s">
        <v>886</v>
      </c>
      <c r="AM603">
        <f t="shared" si="18"/>
        <v>65917.440000000002</v>
      </c>
      <c r="AN603">
        <f>DealsRawTable[[#This Row],[Validated_Annual_Final_Price]]*DealsRawTable[[#This Row],[Contract_Years]]</f>
        <v>65917.440000000002</v>
      </c>
      <c r="AO603">
        <f>DealsRawTable[[#This Row],[Validated_Annual_Final_Price]]-DealsRawTable[[#This Row],[Cost_to_Serve]]</f>
        <v>37495.540731510468</v>
      </c>
      <c r="AP603" s="17">
        <f>DealsRawTable[[#This Row],[Validated_Grossprofit]]/DealsRawTable[[#This Row],[Validated_Annual_Final_Price]]</f>
        <v>0.56882580287569517</v>
      </c>
      <c r="AQ603" s="17">
        <v>65917.440000000002</v>
      </c>
      <c r="AR603" s="17">
        <v>65917.440000000002</v>
      </c>
      <c r="AS603" s="17">
        <v>37495.540731510468</v>
      </c>
      <c r="AT603" s="17">
        <v>0.56882580287569517</v>
      </c>
      <c r="AU603" s="17" t="str">
        <f t="shared" si="19"/>
        <v>5–10%</v>
      </c>
      <c r="AV603" s="17">
        <v>116</v>
      </c>
      <c r="AW603" s="17"/>
    </row>
    <row r="604" spans="1:49">
      <c r="A604" t="s">
        <v>1510</v>
      </c>
      <c r="B604" s="5">
        <v>45783</v>
      </c>
      <c r="C604" t="s">
        <v>388</v>
      </c>
      <c r="D604" t="s">
        <v>389</v>
      </c>
      <c r="E604" t="s">
        <v>820</v>
      </c>
      <c r="F604" t="s">
        <v>475</v>
      </c>
      <c r="G604" t="s">
        <v>34</v>
      </c>
      <c r="H604" t="s">
        <v>70</v>
      </c>
      <c r="I604" t="s">
        <v>71</v>
      </c>
      <c r="J604" t="s">
        <v>56</v>
      </c>
      <c r="K604" t="s">
        <v>38</v>
      </c>
      <c r="L604" s="5">
        <v>43313</v>
      </c>
      <c r="M604">
        <v>66</v>
      </c>
      <c r="N604" t="s">
        <v>431</v>
      </c>
      <c r="O604" t="s">
        <v>876</v>
      </c>
      <c r="Q604">
        <v>1</v>
      </c>
      <c r="R604">
        <v>74</v>
      </c>
      <c r="S604" t="s">
        <v>932</v>
      </c>
      <c r="T604" s="6">
        <v>76954.59722464993</v>
      </c>
      <c r="U604" s="7">
        <f>T604*DealsRawTable[[#This Row],[Contract_Years]]</f>
        <v>76954.59722464993</v>
      </c>
      <c r="V604" s="8">
        <v>0.10299999999999999</v>
      </c>
      <c r="W604" s="8">
        <v>4.2000000000000003E-2</v>
      </c>
      <c r="X604" s="8">
        <v>0.01</v>
      </c>
      <c r="Y604" t="s">
        <v>909</v>
      </c>
      <c r="Z604" t="s">
        <v>879</v>
      </c>
      <c r="AA604" s="6">
        <v>73701.629295466177</v>
      </c>
      <c r="AB604" s="7">
        <f>DealsRawTable[[#This Row],[Final_Price_ACV]]*DealsRawTable[[#This Row],[Contract_Years]]</f>
        <v>73701.629295466177</v>
      </c>
      <c r="AC604" s="6">
        <v>30872.952638178827</v>
      </c>
      <c r="AD604" s="6">
        <v>42828.676657287346</v>
      </c>
      <c r="AE604" s="8">
        <v>0.58110895331213519</v>
      </c>
      <c r="AF604" t="s">
        <v>880</v>
      </c>
      <c r="AG604" t="s">
        <v>44</v>
      </c>
      <c r="AI604" t="s">
        <v>38</v>
      </c>
      <c r="AJ604" s="6">
        <v>73701.629295466177</v>
      </c>
      <c r="AK604" s="6">
        <v>42828.676657287346</v>
      </c>
      <c r="AL604" t="s">
        <v>881</v>
      </c>
      <c r="AM604">
        <f t="shared" si="18"/>
        <v>73722.5</v>
      </c>
      <c r="AN604">
        <f>DealsRawTable[[#This Row],[Validated_Annual_Final_Price]]*DealsRawTable[[#This Row],[Contract_Years]]</f>
        <v>73722.5</v>
      </c>
      <c r="AO604">
        <f>DealsRawTable[[#This Row],[Validated_Annual_Final_Price]]-DealsRawTable[[#This Row],[Cost_to_Serve]]</f>
        <v>42849.547361821169</v>
      </c>
      <c r="AP604" s="17">
        <f>DealsRawTable[[#This Row],[Validated_Grossprofit]]/DealsRawTable[[#This Row],[Validated_Annual_Final_Price]]</f>
        <v>0.58122754059915449</v>
      </c>
      <c r="AQ604" s="17">
        <v>73722.5</v>
      </c>
      <c r="AR604" s="17">
        <v>73722.5</v>
      </c>
      <c r="AS604" s="17">
        <v>42849.547361821169</v>
      </c>
      <c r="AT604" s="17">
        <v>0.58122754059915449</v>
      </c>
      <c r="AU604" s="17" t="str">
        <f t="shared" si="19"/>
        <v>0–5%</v>
      </c>
      <c r="AV604" s="17">
        <v>55</v>
      </c>
      <c r="AW604" s="17"/>
    </row>
    <row r="605" spans="1:49">
      <c r="A605" t="s">
        <v>1511</v>
      </c>
      <c r="B605" s="5">
        <v>45299</v>
      </c>
      <c r="C605" t="s">
        <v>388</v>
      </c>
      <c r="D605" t="s">
        <v>389</v>
      </c>
      <c r="E605" t="s">
        <v>821</v>
      </c>
      <c r="F605" t="s">
        <v>34</v>
      </c>
      <c r="G605" t="s">
        <v>34</v>
      </c>
      <c r="H605" t="s">
        <v>70</v>
      </c>
      <c r="I605" t="s">
        <v>71</v>
      </c>
      <c r="J605" t="s">
        <v>56</v>
      </c>
      <c r="K605" t="s">
        <v>38</v>
      </c>
      <c r="L605" s="5">
        <v>43313</v>
      </c>
      <c r="M605">
        <v>66</v>
      </c>
      <c r="N605" t="s">
        <v>433</v>
      </c>
      <c r="O605" t="s">
        <v>876</v>
      </c>
      <c r="Q605">
        <v>1</v>
      </c>
      <c r="R605">
        <v>116</v>
      </c>
      <c r="S605" t="s">
        <v>892</v>
      </c>
      <c r="T605" s="6">
        <v>353590.17827457457</v>
      </c>
      <c r="U605" s="7">
        <f>T605*DealsRawTable[[#This Row],[Contract_Years]]</f>
        <v>353590.17827457457</v>
      </c>
      <c r="V605" s="8">
        <v>6.2E-2</v>
      </c>
      <c r="W605" s="8">
        <v>2E-3</v>
      </c>
      <c r="X605" s="8">
        <v>-0.09</v>
      </c>
      <c r="Y605" t="s">
        <v>897</v>
      </c>
      <c r="Z605" t="s">
        <v>879</v>
      </c>
      <c r="AA605" s="6">
        <v>352754.51405461197</v>
      </c>
      <c r="AB605" s="7">
        <f>DealsRawTable[[#This Row],[Final_Price_ACV]]*DealsRawTable[[#This Row],[Contract_Years]]</f>
        <v>352754.51405461197</v>
      </c>
      <c r="AC605" s="6">
        <v>124012.06314578978</v>
      </c>
      <c r="AD605" s="6">
        <v>228742.45090882218</v>
      </c>
      <c r="AE605" s="8">
        <v>0.64844655927892458</v>
      </c>
      <c r="AF605" t="s">
        <v>457</v>
      </c>
      <c r="AG605" t="s">
        <v>38</v>
      </c>
      <c r="AI605" t="s">
        <v>38</v>
      </c>
      <c r="AJ605" s="6">
        <v>0</v>
      </c>
      <c r="AK605" s="6">
        <v>0</v>
      </c>
      <c r="AL605" t="s">
        <v>881</v>
      </c>
      <c r="AM605">
        <f t="shared" si="18"/>
        <v>352883</v>
      </c>
      <c r="AN605">
        <f>DealsRawTable[[#This Row],[Validated_Annual_Final_Price]]*DealsRawTable[[#This Row],[Contract_Years]]</f>
        <v>352883</v>
      </c>
      <c r="AO605">
        <f>DealsRawTable[[#This Row],[Validated_Annual_Final_Price]]-DealsRawTable[[#This Row],[Cost_to_Serve]]</f>
        <v>228870.93685421022</v>
      </c>
      <c r="AP605" s="17">
        <f>DealsRawTable[[#This Row],[Validated_Grossprofit]]/DealsRawTable[[#This Row],[Validated_Annual_Final_Price]]</f>
        <v>0.64857456112708811</v>
      </c>
      <c r="AQ605" s="17">
        <v>0</v>
      </c>
      <c r="AR605" s="17">
        <v>0</v>
      </c>
      <c r="AS605" s="17">
        <v>0</v>
      </c>
      <c r="AT605" s="17">
        <v>0</v>
      </c>
      <c r="AU605" s="17" t="str">
        <f t="shared" si="19"/>
        <v>0–5%</v>
      </c>
      <c r="AV605" s="17">
        <v>55</v>
      </c>
      <c r="AW605" s="17"/>
    </row>
    <row r="606" spans="1:49">
      <c r="A606" t="s">
        <v>1512</v>
      </c>
      <c r="B606" s="5">
        <v>45625</v>
      </c>
      <c r="C606" t="s">
        <v>388</v>
      </c>
      <c r="D606" t="s">
        <v>389</v>
      </c>
      <c r="E606" t="s">
        <v>821</v>
      </c>
      <c r="F606" t="s">
        <v>34</v>
      </c>
      <c r="G606" t="s">
        <v>34</v>
      </c>
      <c r="H606" t="s">
        <v>70</v>
      </c>
      <c r="I606" t="s">
        <v>71</v>
      </c>
      <c r="J606" t="s">
        <v>56</v>
      </c>
      <c r="K606" t="s">
        <v>38</v>
      </c>
      <c r="L606" s="5">
        <v>43313</v>
      </c>
      <c r="M606">
        <v>66</v>
      </c>
      <c r="N606" t="s">
        <v>433</v>
      </c>
      <c r="O606" t="s">
        <v>915</v>
      </c>
      <c r="Q606">
        <v>1</v>
      </c>
      <c r="R606">
        <v>116</v>
      </c>
      <c r="S606" t="s">
        <v>907</v>
      </c>
      <c r="T606" s="6">
        <v>353590.17827457457</v>
      </c>
      <c r="U606" s="7">
        <f>T606*DealsRawTable[[#This Row],[Contract_Years]]</f>
        <v>353590.17827457457</v>
      </c>
      <c r="V606" s="8">
        <v>0.182</v>
      </c>
      <c r="W606" s="8">
        <v>0.14599999999999999</v>
      </c>
      <c r="X606" s="8">
        <v>-0.155</v>
      </c>
      <c r="Y606" t="s">
        <v>878</v>
      </c>
      <c r="Z606" t="s">
        <v>889</v>
      </c>
      <c r="AA606" s="6">
        <v>301982.45848538628</v>
      </c>
      <c r="AB606" s="7">
        <f>DealsRawTable[[#This Row],[Final_Price_ACV]]*DealsRawTable[[#This Row],[Contract_Years]]</f>
        <v>301982.45848538628</v>
      </c>
      <c r="AC606" s="6">
        <v>136918.94207232757</v>
      </c>
      <c r="AD606" s="6">
        <v>165063.51641305871</v>
      </c>
      <c r="AE606" s="8">
        <v>0.54659968410399096</v>
      </c>
      <c r="AF606" t="s">
        <v>457</v>
      </c>
      <c r="AI606" t="s">
        <v>44</v>
      </c>
      <c r="AJ606" s="6">
        <v>0</v>
      </c>
      <c r="AK606" s="6">
        <v>0</v>
      </c>
      <c r="AL606" t="s">
        <v>916</v>
      </c>
      <c r="AM606">
        <f t="shared" si="18"/>
        <v>301966.01</v>
      </c>
      <c r="AN606">
        <f>DealsRawTable[[#This Row],[Validated_Annual_Final_Price]]*DealsRawTable[[#This Row],[Contract_Years]]</f>
        <v>301966.01</v>
      </c>
      <c r="AO606">
        <f>DealsRawTable[[#This Row],[Validated_Annual_Final_Price]]-DealsRawTable[[#This Row],[Cost_to_Serve]]</f>
        <v>165047.06792767244</v>
      </c>
      <c r="AP606" s="17">
        <f>DealsRawTable[[#This Row],[Validated_Grossprofit]]/DealsRawTable[[#This Row],[Validated_Annual_Final_Price]]</f>
        <v>0.54657498679295868</v>
      </c>
      <c r="AQ606" s="17">
        <v>0</v>
      </c>
      <c r="AR606" s="17">
        <v>0</v>
      </c>
      <c r="AS606" s="17">
        <v>0</v>
      </c>
      <c r="AT606" s="17">
        <v>0</v>
      </c>
      <c r="AU606" s="17" t="str">
        <f t="shared" si="19"/>
        <v>10–15%</v>
      </c>
      <c r="AV606" s="17">
        <v>113</v>
      </c>
      <c r="AW606" s="17"/>
    </row>
    <row r="607" spans="1:49">
      <c r="A607" t="s">
        <v>1513</v>
      </c>
      <c r="B607" s="5">
        <v>45315</v>
      </c>
      <c r="C607" t="s">
        <v>390</v>
      </c>
      <c r="D607" t="s">
        <v>391</v>
      </c>
      <c r="E607" t="s">
        <v>822</v>
      </c>
      <c r="F607" t="s">
        <v>449</v>
      </c>
      <c r="G607" t="s">
        <v>34</v>
      </c>
      <c r="H607" t="s">
        <v>70</v>
      </c>
      <c r="I607" t="s">
        <v>71</v>
      </c>
      <c r="J607" t="s">
        <v>56</v>
      </c>
      <c r="K607" t="s">
        <v>38</v>
      </c>
      <c r="L607" s="5">
        <v>44228</v>
      </c>
      <c r="M607">
        <v>91</v>
      </c>
      <c r="N607" t="s">
        <v>431</v>
      </c>
      <c r="O607" t="s">
        <v>876</v>
      </c>
      <c r="Q607">
        <v>1</v>
      </c>
      <c r="R607">
        <v>101</v>
      </c>
      <c r="S607" t="s">
        <v>947</v>
      </c>
      <c r="T607" s="6">
        <v>100246.71850117257</v>
      </c>
      <c r="U607" s="7">
        <f>T607*DealsRawTable[[#This Row],[Contract_Years]]</f>
        <v>100246.71850117257</v>
      </c>
      <c r="V607" s="8">
        <v>0.16500000000000001</v>
      </c>
      <c r="W607" s="8">
        <v>0.14000000000000001</v>
      </c>
      <c r="X607" s="8">
        <v>-3.5999999999999997E-2</v>
      </c>
      <c r="Y607" t="s">
        <v>902</v>
      </c>
      <c r="Z607" t="s">
        <v>889</v>
      </c>
      <c r="AA607" s="6">
        <v>86223.190589196762</v>
      </c>
      <c r="AB607" s="7">
        <f>DealsRawTable[[#This Row],[Final_Price_ACV]]*DealsRawTable[[#This Row],[Contract_Years]]</f>
        <v>86223.190589196762</v>
      </c>
      <c r="AC607" s="6">
        <v>38147.56344385058</v>
      </c>
      <c r="AD607" s="6">
        <v>48075.627145346181</v>
      </c>
      <c r="AE607" s="8">
        <v>0.55757188775811506</v>
      </c>
      <c r="AF607" t="s">
        <v>880</v>
      </c>
      <c r="AG607" t="s">
        <v>44</v>
      </c>
      <c r="AI607" t="s">
        <v>38</v>
      </c>
      <c r="AJ607" s="6">
        <v>86223.190589196762</v>
      </c>
      <c r="AK607" s="6">
        <v>48075.627145346181</v>
      </c>
      <c r="AL607" t="s">
        <v>881</v>
      </c>
      <c r="AM607">
        <f t="shared" si="18"/>
        <v>86212.18</v>
      </c>
      <c r="AN607">
        <f>DealsRawTable[[#This Row],[Validated_Annual_Final_Price]]*DealsRawTable[[#This Row],[Contract_Years]]</f>
        <v>86212.18</v>
      </c>
      <c r="AO607">
        <f>DealsRawTable[[#This Row],[Validated_Annual_Final_Price]]-DealsRawTable[[#This Row],[Cost_to_Serve]]</f>
        <v>48064.616556149413</v>
      </c>
      <c r="AP607" s="17">
        <f>DealsRawTable[[#This Row],[Validated_Grossprofit]]/DealsRawTable[[#This Row],[Validated_Annual_Final_Price]]</f>
        <v>0.55751538304853698</v>
      </c>
      <c r="AQ607" s="17">
        <v>86212.18</v>
      </c>
      <c r="AR607" s="17">
        <v>86212.18</v>
      </c>
      <c r="AS607" s="17">
        <v>48064.616556149413</v>
      </c>
      <c r="AT607" s="17">
        <v>0.55751538304853698</v>
      </c>
      <c r="AU607" s="17" t="str">
        <f t="shared" si="19"/>
        <v>10–15%</v>
      </c>
      <c r="AV607" s="17">
        <v>113</v>
      </c>
      <c r="AW607" s="17"/>
    </row>
    <row r="608" spans="1:49">
      <c r="A608" t="s">
        <v>1514</v>
      </c>
      <c r="B608" s="5">
        <v>45486</v>
      </c>
      <c r="C608" t="s">
        <v>390</v>
      </c>
      <c r="D608" t="s">
        <v>391</v>
      </c>
      <c r="E608" t="s">
        <v>822</v>
      </c>
      <c r="F608" t="s">
        <v>449</v>
      </c>
      <c r="G608" t="s">
        <v>34</v>
      </c>
      <c r="H608" t="s">
        <v>70</v>
      </c>
      <c r="I608" t="s">
        <v>71</v>
      </c>
      <c r="J608" t="s">
        <v>56</v>
      </c>
      <c r="K608" t="s">
        <v>38</v>
      </c>
      <c r="L608" s="5">
        <v>44228</v>
      </c>
      <c r="M608">
        <v>91</v>
      </c>
      <c r="N608" t="s">
        <v>431</v>
      </c>
      <c r="O608" t="s">
        <v>883</v>
      </c>
      <c r="P608" t="s">
        <v>978</v>
      </c>
      <c r="Q608">
        <v>1</v>
      </c>
      <c r="R608">
        <v>124</v>
      </c>
      <c r="S608" t="s">
        <v>888</v>
      </c>
      <c r="T608" s="6">
        <v>110314.08326744346</v>
      </c>
      <c r="U608" s="7">
        <f>T608*DealsRawTable[[#This Row],[Contract_Years]]</f>
        <v>110314.08326744346</v>
      </c>
      <c r="V608" s="8">
        <v>0.113</v>
      </c>
      <c r="W608" s="8">
        <v>8.8999999999999996E-2</v>
      </c>
      <c r="X608" s="8">
        <v>-0.11600000000000001</v>
      </c>
      <c r="Y608" t="s">
        <v>885</v>
      </c>
      <c r="Z608" t="s">
        <v>879</v>
      </c>
      <c r="AA608" s="6">
        <v>100539.60591123512</v>
      </c>
      <c r="AB608" s="7">
        <f>DealsRawTable[[#This Row],[Final_Price_ACV]]*DealsRawTable[[#This Row],[Contract_Years]]</f>
        <v>100539.60591123512</v>
      </c>
      <c r="AC608" s="6">
        <v>41723.194958467873</v>
      </c>
      <c r="AD608" s="6">
        <v>58816.410952767248</v>
      </c>
      <c r="AE608" s="8">
        <v>0.58500737515020063</v>
      </c>
      <c r="AF608" t="s">
        <v>457</v>
      </c>
      <c r="AH608" t="s">
        <v>38</v>
      </c>
      <c r="AI608" t="s">
        <v>38</v>
      </c>
      <c r="AJ608" s="6">
        <v>0</v>
      </c>
      <c r="AK608" s="6">
        <v>0</v>
      </c>
      <c r="AL608" t="s">
        <v>886</v>
      </c>
      <c r="AM608">
        <f t="shared" si="18"/>
        <v>100496.13</v>
      </c>
      <c r="AN608">
        <f>DealsRawTable[[#This Row],[Validated_Annual_Final_Price]]*DealsRawTable[[#This Row],[Contract_Years]]</f>
        <v>100496.13</v>
      </c>
      <c r="AO608">
        <f>DealsRawTable[[#This Row],[Validated_Annual_Final_Price]]-DealsRawTable[[#This Row],[Cost_to_Serve]]</f>
        <v>58772.935041532131</v>
      </c>
      <c r="AP608" s="17">
        <f>DealsRawTable[[#This Row],[Validated_Grossprofit]]/DealsRawTable[[#This Row],[Validated_Annual_Final_Price]]</f>
        <v>0.5848278440327217</v>
      </c>
      <c r="AQ608" s="17">
        <v>0</v>
      </c>
      <c r="AR608" s="17">
        <v>0</v>
      </c>
      <c r="AS608" s="17">
        <v>0</v>
      </c>
      <c r="AT608" s="17">
        <v>0</v>
      </c>
      <c r="AU608" s="17" t="str">
        <f t="shared" si="19"/>
        <v>5–10%</v>
      </c>
      <c r="AV608" s="17">
        <v>116</v>
      </c>
      <c r="AW608" s="17"/>
    </row>
    <row r="609" spans="1:49">
      <c r="A609" t="s">
        <v>1515</v>
      </c>
      <c r="B609" s="5">
        <v>45680</v>
      </c>
      <c r="C609" t="s">
        <v>390</v>
      </c>
      <c r="D609" t="s">
        <v>391</v>
      </c>
      <c r="E609" t="s">
        <v>822</v>
      </c>
      <c r="F609" t="s">
        <v>449</v>
      </c>
      <c r="G609" t="s">
        <v>34</v>
      </c>
      <c r="H609" t="s">
        <v>70</v>
      </c>
      <c r="I609" t="s">
        <v>71</v>
      </c>
      <c r="J609" t="s">
        <v>56</v>
      </c>
      <c r="K609" t="s">
        <v>38</v>
      </c>
      <c r="L609" s="5">
        <v>44228</v>
      </c>
      <c r="M609">
        <v>91</v>
      </c>
      <c r="N609" t="s">
        <v>431</v>
      </c>
      <c r="O609" t="s">
        <v>876</v>
      </c>
      <c r="Q609">
        <v>1</v>
      </c>
      <c r="R609">
        <v>101</v>
      </c>
      <c r="S609" t="s">
        <v>892</v>
      </c>
      <c r="T609" s="6">
        <v>102706.6366596725</v>
      </c>
      <c r="U609" s="7">
        <f>T609*DealsRawTable[[#This Row],[Contract_Years]]</f>
        <v>102706.6366596725</v>
      </c>
      <c r="V609" s="8">
        <v>0.20300000000000001</v>
      </c>
      <c r="W609" s="8">
        <v>0.19500000000000001</v>
      </c>
      <c r="X609" s="8">
        <v>-4.5999999999999999E-2</v>
      </c>
      <c r="Y609" t="s">
        <v>902</v>
      </c>
      <c r="Z609" t="s">
        <v>889</v>
      </c>
      <c r="AA609" s="6">
        <v>82683.716033466946</v>
      </c>
      <c r="AB609" s="7">
        <f>DealsRawTable[[#This Row],[Final_Price_ACV]]*DealsRawTable[[#This Row],[Contract_Years]]</f>
        <v>82683.716033466946</v>
      </c>
      <c r="AC609" s="6">
        <v>43385.692595256354</v>
      </c>
      <c r="AD609" s="6">
        <v>39298.023438210592</v>
      </c>
      <c r="AE609" s="8">
        <v>0.47528129265869445</v>
      </c>
      <c r="AF609" t="s">
        <v>880</v>
      </c>
      <c r="AG609" t="s">
        <v>44</v>
      </c>
      <c r="AI609" t="s">
        <v>38</v>
      </c>
      <c r="AJ609" s="6">
        <v>82683.716033466946</v>
      </c>
      <c r="AK609" s="6">
        <v>39298.023438210592</v>
      </c>
      <c r="AL609" t="s">
        <v>881</v>
      </c>
      <c r="AM609">
        <f t="shared" si="18"/>
        <v>82678.84</v>
      </c>
      <c r="AN609">
        <f>DealsRawTable[[#This Row],[Validated_Annual_Final_Price]]*DealsRawTable[[#This Row],[Contract_Years]]</f>
        <v>82678.84</v>
      </c>
      <c r="AO609">
        <f>DealsRawTable[[#This Row],[Validated_Annual_Final_Price]]-DealsRawTable[[#This Row],[Cost_to_Serve]]</f>
        <v>39293.147404743642</v>
      </c>
      <c r="AP609" s="17">
        <f>DealsRawTable[[#This Row],[Validated_Grossprofit]]/DealsRawTable[[#This Row],[Validated_Annual_Final_Price]]</f>
        <v>0.47525034706272662</v>
      </c>
      <c r="AQ609" s="17">
        <v>82678.84</v>
      </c>
      <c r="AR609" s="17">
        <v>82678.84</v>
      </c>
      <c r="AS609" s="17">
        <v>39293.147404743642</v>
      </c>
      <c r="AT609" s="17">
        <v>0.47525034706272662</v>
      </c>
      <c r="AU609" s="17" t="str">
        <f t="shared" si="19"/>
        <v>15–20%</v>
      </c>
      <c r="AV609" s="17">
        <v>108</v>
      </c>
      <c r="AW609" s="17"/>
    </row>
    <row r="610" spans="1:49">
      <c r="A610" t="s">
        <v>1516</v>
      </c>
      <c r="B610" s="5">
        <v>45528</v>
      </c>
      <c r="C610" t="s">
        <v>390</v>
      </c>
      <c r="D610" t="s">
        <v>391</v>
      </c>
      <c r="E610" t="s">
        <v>823</v>
      </c>
      <c r="F610" t="s">
        <v>449</v>
      </c>
      <c r="G610" t="s">
        <v>34</v>
      </c>
      <c r="H610" t="s">
        <v>70</v>
      </c>
      <c r="I610" t="s">
        <v>71</v>
      </c>
      <c r="J610" t="s">
        <v>56</v>
      </c>
      <c r="K610" t="s">
        <v>38</v>
      </c>
      <c r="L610" s="5">
        <v>44228</v>
      </c>
      <c r="M610">
        <v>91</v>
      </c>
      <c r="N610" t="s">
        <v>433</v>
      </c>
      <c r="O610" t="s">
        <v>891</v>
      </c>
      <c r="Q610">
        <v>3</v>
      </c>
      <c r="R610">
        <v>264</v>
      </c>
      <c r="S610" t="s">
        <v>896</v>
      </c>
      <c r="T610" s="6">
        <v>341544.15854768449</v>
      </c>
      <c r="U610" s="7">
        <f>T610*DealsRawTable[[#This Row],[Contract_Years]]</f>
        <v>1024632.4756430534</v>
      </c>
      <c r="V610" s="8">
        <v>0.114</v>
      </c>
      <c r="W610" s="8">
        <v>7.0000000000000007E-2</v>
      </c>
      <c r="X610" s="8">
        <v>0.13600000000000001</v>
      </c>
      <c r="Y610" t="s">
        <v>878</v>
      </c>
      <c r="Z610" t="s">
        <v>879</v>
      </c>
      <c r="AA610" s="6">
        <v>317743.55906282406</v>
      </c>
      <c r="AB610" s="7">
        <f>DealsRawTable[[#This Row],[Final_Price_ACV]]*DealsRawTable[[#This Row],[Contract_Years]]</f>
        <v>953230.67718847212</v>
      </c>
      <c r="AC610" s="6">
        <v>133197.79624858711</v>
      </c>
      <c r="AD610" s="6">
        <v>184545.76281423695</v>
      </c>
      <c r="AE610" s="8">
        <v>0.58080095583542157</v>
      </c>
      <c r="AF610" t="s">
        <v>457</v>
      </c>
      <c r="AI610" t="s">
        <v>38</v>
      </c>
      <c r="AJ610" s="6">
        <v>0</v>
      </c>
      <c r="AK610" s="6">
        <v>0</v>
      </c>
      <c r="AL610" t="s">
        <v>894</v>
      </c>
      <c r="AM610">
        <f t="shared" si="18"/>
        <v>317636.07</v>
      </c>
      <c r="AN610">
        <f>DealsRawTable[[#This Row],[Validated_Annual_Final_Price]]*DealsRawTable[[#This Row],[Contract_Years]]</f>
        <v>952908.21</v>
      </c>
      <c r="AO610">
        <f>DealsRawTable[[#This Row],[Validated_Annual_Final_Price]]-DealsRawTable[[#This Row],[Cost_to_Serve]]</f>
        <v>184438.2737514129</v>
      </c>
      <c r="AP610" s="17">
        <f>DealsRawTable[[#This Row],[Validated_Grossprofit]]/DealsRawTable[[#This Row],[Validated_Annual_Final_Price]]</f>
        <v>0.58065909753704259</v>
      </c>
      <c r="AQ610" s="17">
        <v>0</v>
      </c>
      <c r="AR610" s="17">
        <v>0</v>
      </c>
      <c r="AS610" s="17">
        <v>0</v>
      </c>
      <c r="AT610" s="17">
        <v>0</v>
      </c>
      <c r="AU610" s="17" t="str">
        <f t="shared" si="19"/>
        <v>5–10%</v>
      </c>
      <c r="AV610" s="17">
        <v>116</v>
      </c>
      <c r="AW610" s="17"/>
    </row>
    <row r="611" spans="1:49">
      <c r="A611" t="s">
        <v>1517</v>
      </c>
      <c r="B611" s="5">
        <v>45823</v>
      </c>
      <c r="C611" t="s">
        <v>390</v>
      </c>
      <c r="D611" t="s">
        <v>391</v>
      </c>
      <c r="E611" t="s">
        <v>823</v>
      </c>
      <c r="F611" t="s">
        <v>449</v>
      </c>
      <c r="G611" t="s">
        <v>34</v>
      </c>
      <c r="H611" t="s">
        <v>70</v>
      </c>
      <c r="I611" t="s">
        <v>71</v>
      </c>
      <c r="J611" t="s">
        <v>56</v>
      </c>
      <c r="K611" t="s">
        <v>38</v>
      </c>
      <c r="L611" s="5">
        <v>44228</v>
      </c>
      <c r="M611">
        <v>91</v>
      </c>
      <c r="N611" t="s">
        <v>433</v>
      </c>
      <c r="O611" t="s">
        <v>915</v>
      </c>
      <c r="Q611">
        <v>3</v>
      </c>
      <c r="R611">
        <v>264</v>
      </c>
      <c r="S611" t="s">
        <v>877</v>
      </c>
      <c r="T611" s="6">
        <v>341544.15854768449</v>
      </c>
      <c r="U611" s="7">
        <f>T611*DealsRawTable[[#This Row],[Contract_Years]]</f>
        <v>1024632.4756430534</v>
      </c>
      <c r="V611" s="8">
        <v>0.11600000000000001</v>
      </c>
      <c r="W611" s="8">
        <v>0.11600000000000001</v>
      </c>
      <c r="X611" s="8">
        <v>-8.9999999999999993E-3</v>
      </c>
      <c r="Y611" t="s">
        <v>878</v>
      </c>
      <c r="Z611" t="s">
        <v>889</v>
      </c>
      <c r="AA611" s="6">
        <v>302092.02453953261</v>
      </c>
      <c r="AB611" s="7">
        <f>DealsRawTable[[#This Row],[Final_Price_ACV]]*DealsRawTable[[#This Row],[Contract_Years]]</f>
        <v>906276.07361859782</v>
      </c>
      <c r="AC611" s="6">
        <v>135653.99737954824</v>
      </c>
      <c r="AD611" s="6">
        <v>166438.02715998437</v>
      </c>
      <c r="AE611" s="8">
        <v>0.55095141096054934</v>
      </c>
      <c r="AF611" t="s">
        <v>880</v>
      </c>
      <c r="AI611" t="s">
        <v>44</v>
      </c>
      <c r="AJ611" s="6">
        <v>302092.02453953261</v>
      </c>
      <c r="AK611" s="6">
        <v>166438.02715998437</v>
      </c>
      <c r="AL611" t="s">
        <v>934</v>
      </c>
      <c r="AM611">
        <f t="shared" si="18"/>
        <v>301925.03999999998</v>
      </c>
      <c r="AN611">
        <f>DealsRawTable[[#This Row],[Validated_Annual_Final_Price]]*DealsRawTable[[#This Row],[Contract_Years]]</f>
        <v>905775.11999999988</v>
      </c>
      <c r="AO611">
        <f>DealsRawTable[[#This Row],[Validated_Annual_Final_Price]]-DealsRawTable[[#This Row],[Cost_to_Serve]]</f>
        <v>166271.04262045174</v>
      </c>
      <c r="AP611" s="17">
        <f>DealsRawTable[[#This Row],[Validated_Grossprofit]]/DealsRawTable[[#This Row],[Validated_Annual_Final_Price]]</f>
        <v>0.55070305735639469</v>
      </c>
      <c r="AQ611" s="17">
        <v>301925.03999999998</v>
      </c>
      <c r="AR611" s="17">
        <v>905775.11999999988</v>
      </c>
      <c r="AS611" s="17">
        <v>166271.04262045174</v>
      </c>
      <c r="AT611" s="17">
        <v>0.55070305735639469</v>
      </c>
      <c r="AU611" s="17" t="str">
        <f t="shared" si="19"/>
        <v>10–15%</v>
      </c>
      <c r="AV611" s="17">
        <v>113</v>
      </c>
      <c r="AW611" s="17"/>
    </row>
    <row r="612" spans="1:49">
      <c r="A612" t="s">
        <v>1518</v>
      </c>
      <c r="B612" s="5">
        <v>45320</v>
      </c>
      <c r="C612" t="s">
        <v>392</v>
      </c>
      <c r="D612" t="s">
        <v>393</v>
      </c>
      <c r="E612" t="s">
        <v>824</v>
      </c>
      <c r="F612" t="s">
        <v>475</v>
      </c>
      <c r="G612" t="s">
        <v>69</v>
      </c>
      <c r="H612" t="s">
        <v>70</v>
      </c>
      <c r="I612" t="s">
        <v>71</v>
      </c>
      <c r="J612" t="s">
        <v>37</v>
      </c>
      <c r="K612" t="s">
        <v>38</v>
      </c>
      <c r="L612" s="5">
        <v>45536</v>
      </c>
      <c r="M612">
        <v>73</v>
      </c>
      <c r="N612" t="s">
        <v>427</v>
      </c>
      <c r="O612" t="s">
        <v>891</v>
      </c>
      <c r="Q612">
        <v>3</v>
      </c>
      <c r="R612">
        <v>61</v>
      </c>
      <c r="S612" t="s">
        <v>877</v>
      </c>
      <c r="T612" s="6">
        <v>47970.656356019899</v>
      </c>
      <c r="U612" s="7">
        <f>T612*DealsRawTable[[#This Row],[Contract_Years]]</f>
        <v>143911.9690680597</v>
      </c>
      <c r="V612" s="8">
        <v>0.14000000000000001</v>
      </c>
      <c r="W612" s="8">
        <v>0.104</v>
      </c>
      <c r="X612" s="8">
        <v>-5.0000000000000001E-3</v>
      </c>
      <c r="Y612" t="s">
        <v>905</v>
      </c>
      <c r="Z612" t="s">
        <v>889</v>
      </c>
      <c r="AA612" s="6">
        <v>42966.194853863351</v>
      </c>
      <c r="AB612" s="7">
        <f>DealsRawTable[[#This Row],[Final_Price_ACV]]*DealsRawTable[[#This Row],[Contract_Years]]</f>
        <v>128898.58456159005</v>
      </c>
      <c r="AC612" s="6">
        <v>15916.663279608116</v>
      </c>
      <c r="AD612" s="6">
        <v>27049.531574255234</v>
      </c>
      <c r="AE612" s="8">
        <v>0.6295538077378301</v>
      </c>
      <c r="AF612" t="s">
        <v>457</v>
      </c>
      <c r="AI612" t="s">
        <v>38</v>
      </c>
      <c r="AJ612" s="6">
        <v>0</v>
      </c>
      <c r="AK612" s="6">
        <v>0</v>
      </c>
      <c r="AL612" t="s">
        <v>894</v>
      </c>
      <c r="AM612">
        <f t="shared" si="18"/>
        <v>42981.71</v>
      </c>
      <c r="AN612">
        <f>DealsRawTable[[#This Row],[Validated_Annual_Final_Price]]*DealsRawTable[[#This Row],[Contract_Years]]</f>
        <v>128945.13</v>
      </c>
      <c r="AO612">
        <f>DealsRawTable[[#This Row],[Validated_Annual_Final_Price]]-DealsRawTable[[#This Row],[Cost_to_Serve]]</f>
        <v>27065.046720391882</v>
      </c>
      <c r="AP612" s="17">
        <f>DealsRawTable[[#This Row],[Validated_Grossprofit]]/DealsRawTable[[#This Row],[Validated_Annual_Final_Price]]</f>
        <v>0.62968752802975692</v>
      </c>
      <c r="AQ612" s="17">
        <v>0</v>
      </c>
      <c r="AR612" s="17">
        <v>0</v>
      </c>
      <c r="AS612" s="17">
        <v>0</v>
      </c>
      <c r="AT612" s="17">
        <v>0</v>
      </c>
      <c r="AU612" s="17" t="str">
        <f t="shared" si="19"/>
        <v>10–15%</v>
      </c>
      <c r="AV612" s="17">
        <v>113</v>
      </c>
      <c r="AW612" s="17"/>
    </row>
    <row r="613" spans="1:49">
      <c r="A613" t="s">
        <v>1519</v>
      </c>
      <c r="B613" s="5">
        <v>45353</v>
      </c>
      <c r="C613" t="s">
        <v>392</v>
      </c>
      <c r="D613" t="s">
        <v>393</v>
      </c>
      <c r="E613" t="s">
        <v>825</v>
      </c>
      <c r="F613" t="s">
        <v>34</v>
      </c>
      <c r="G613" t="s">
        <v>69</v>
      </c>
      <c r="H613" t="s">
        <v>70</v>
      </c>
      <c r="I613" t="s">
        <v>71</v>
      </c>
      <c r="J613" t="s">
        <v>37</v>
      </c>
      <c r="K613" t="s">
        <v>38</v>
      </c>
      <c r="L613" s="5">
        <v>45536</v>
      </c>
      <c r="M613">
        <v>73</v>
      </c>
      <c r="N613" t="s">
        <v>427</v>
      </c>
      <c r="O613" t="s">
        <v>891</v>
      </c>
      <c r="Q613">
        <v>1</v>
      </c>
      <c r="R613">
        <v>60</v>
      </c>
      <c r="S613" t="s">
        <v>877</v>
      </c>
      <c r="T613" s="6">
        <v>50516.699331874981</v>
      </c>
      <c r="U613" s="7">
        <f>T613*DealsRawTable[[#This Row],[Contract_Years]]</f>
        <v>50516.699331874981</v>
      </c>
      <c r="V613" s="8">
        <v>4.2999999999999997E-2</v>
      </c>
      <c r="W613" s="8">
        <v>2.5000000000000001E-2</v>
      </c>
      <c r="X613" s="8">
        <v>2E-3</v>
      </c>
      <c r="Y613" t="s">
        <v>885</v>
      </c>
      <c r="Z613" t="s">
        <v>879</v>
      </c>
      <c r="AA613" s="6">
        <v>49246.734269939472</v>
      </c>
      <c r="AB613" s="7">
        <f>DealsRawTable[[#This Row],[Final_Price_ACV]]*DealsRawTable[[#This Row],[Contract_Years]]</f>
        <v>49246.734269939472</v>
      </c>
      <c r="AC613" s="6">
        <v>16457.684117181227</v>
      </c>
      <c r="AD613" s="6">
        <v>32789.050152758246</v>
      </c>
      <c r="AE613" s="8">
        <v>0.66581166525742386</v>
      </c>
      <c r="AF613" t="s">
        <v>880</v>
      </c>
      <c r="AI613" t="s">
        <v>38</v>
      </c>
      <c r="AJ613" s="6">
        <v>49246.734269939472</v>
      </c>
      <c r="AK613" s="6">
        <v>32789.050152758246</v>
      </c>
      <c r="AL613" t="s">
        <v>894</v>
      </c>
      <c r="AM613">
        <f t="shared" si="18"/>
        <v>49253.78</v>
      </c>
      <c r="AN613">
        <f>DealsRawTable[[#This Row],[Validated_Annual_Final_Price]]*DealsRawTable[[#This Row],[Contract_Years]]</f>
        <v>49253.78</v>
      </c>
      <c r="AO613">
        <f>DealsRawTable[[#This Row],[Validated_Annual_Final_Price]]-DealsRawTable[[#This Row],[Cost_to_Serve]]</f>
        <v>32796.095882818772</v>
      </c>
      <c r="AP613" s="17">
        <f>DealsRawTable[[#This Row],[Validated_Grossprofit]]/DealsRawTable[[#This Row],[Validated_Annual_Final_Price]]</f>
        <v>0.66585947074151008</v>
      </c>
      <c r="AQ613" s="17">
        <v>49253.78</v>
      </c>
      <c r="AR613" s="17">
        <v>49253.78</v>
      </c>
      <c r="AS613" s="17">
        <v>32796.095882818772</v>
      </c>
      <c r="AT613" s="17">
        <v>0.66585947074151008</v>
      </c>
      <c r="AU613" s="17" t="str">
        <f t="shared" si="19"/>
        <v>0–5%</v>
      </c>
      <c r="AV613" s="17">
        <v>55</v>
      </c>
      <c r="AW613" s="17"/>
    </row>
    <row r="614" spans="1:49">
      <c r="A614" t="s">
        <v>1520</v>
      </c>
      <c r="B614" s="5">
        <v>45718</v>
      </c>
      <c r="C614" t="s">
        <v>392</v>
      </c>
      <c r="D614" t="s">
        <v>393</v>
      </c>
      <c r="E614" t="s">
        <v>825</v>
      </c>
      <c r="F614" t="s">
        <v>34</v>
      </c>
      <c r="G614" t="s">
        <v>69</v>
      </c>
      <c r="H614" t="s">
        <v>70</v>
      </c>
      <c r="I614" t="s">
        <v>71</v>
      </c>
      <c r="J614" t="s">
        <v>37</v>
      </c>
      <c r="K614" t="s">
        <v>38</v>
      </c>
      <c r="L614" s="5">
        <v>45536</v>
      </c>
      <c r="M614">
        <v>73</v>
      </c>
      <c r="N614" t="s">
        <v>427</v>
      </c>
      <c r="O614" t="s">
        <v>876</v>
      </c>
      <c r="Q614">
        <v>1</v>
      </c>
      <c r="R614">
        <v>60</v>
      </c>
      <c r="S614" t="s">
        <v>900</v>
      </c>
      <c r="T614" s="6">
        <v>53395.175544765378</v>
      </c>
      <c r="U614" s="7">
        <f>T614*DealsRawTable[[#This Row],[Contract_Years]]</f>
        <v>53395.175544765378</v>
      </c>
      <c r="V614" s="8">
        <v>0.115</v>
      </c>
      <c r="W614" s="8">
        <v>0.10299999999999999</v>
      </c>
      <c r="X614" s="8">
        <v>-2.1999999999999999E-2</v>
      </c>
      <c r="Y614" t="s">
        <v>930</v>
      </c>
      <c r="Z614" t="s">
        <v>889</v>
      </c>
      <c r="AA614" s="6">
        <v>47880.8053997073</v>
      </c>
      <c r="AB614" s="7">
        <f>DealsRawTable[[#This Row],[Final_Price_ACV]]*DealsRawTable[[#This Row],[Contract_Years]]</f>
        <v>47880.8053997073</v>
      </c>
      <c r="AC614" s="6">
        <v>15283.560338810281</v>
      </c>
      <c r="AD614" s="6">
        <v>32597.245060897018</v>
      </c>
      <c r="AE614" s="8">
        <v>0.68079984847323161</v>
      </c>
      <c r="AF614" t="s">
        <v>457</v>
      </c>
      <c r="AG614" t="s">
        <v>38</v>
      </c>
      <c r="AI614" t="s">
        <v>38</v>
      </c>
      <c r="AJ614" s="6">
        <v>0</v>
      </c>
      <c r="AK614" s="6">
        <v>0</v>
      </c>
      <c r="AL614" t="s">
        <v>881</v>
      </c>
      <c r="AM614">
        <f t="shared" si="18"/>
        <v>47895.47</v>
      </c>
      <c r="AN614">
        <f>DealsRawTable[[#This Row],[Validated_Annual_Final_Price]]*DealsRawTable[[#This Row],[Contract_Years]]</f>
        <v>47895.47</v>
      </c>
      <c r="AO614">
        <f>DealsRawTable[[#This Row],[Validated_Annual_Final_Price]]-DealsRawTable[[#This Row],[Cost_to_Serve]]</f>
        <v>32611.909661189718</v>
      </c>
      <c r="AP614" s="17">
        <f>DealsRawTable[[#This Row],[Validated_Grossprofit]]/DealsRawTable[[#This Row],[Validated_Annual_Final_Price]]</f>
        <v>0.68089758094428798</v>
      </c>
      <c r="AQ614" s="17">
        <v>0</v>
      </c>
      <c r="AR614" s="17">
        <v>0</v>
      </c>
      <c r="AS614" s="17">
        <v>0</v>
      </c>
      <c r="AT614" s="17">
        <v>0</v>
      </c>
      <c r="AU614" s="17" t="str">
        <f t="shared" si="19"/>
        <v>10–15%</v>
      </c>
      <c r="AV614" s="17">
        <v>113</v>
      </c>
      <c r="AW614" s="17"/>
    </row>
    <row r="615" spans="1:49">
      <c r="A615" t="s">
        <v>1521</v>
      </c>
      <c r="B615" s="5">
        <v>45973</v>
      </c>
      <c r="C615" t="s">
        <v>392</v>
      </c>
      <c r="D615" t="s">
        <v>393</v>
      </c>
      <c r="E615" t="s">
        <v>825</v>
      </c>
      <c r="F615" t="s">
        <v>34</v>
      </c>
      <c r="G615" t="s">
        <v>69</v>
      </c>
      <c r="H615" t="s">
        <v>70</v>
      </c>
      <c r="I615" t="s">
        <v>71</v>
      </c>
      <c r="J615" t="s">
        <v>37</v>
      </c>
      <c r="K615" t="s">
        <v>38</v>
      </c>
      <c r="L615" s="5">
        <v>45536</v>
      </c>
      <c r="M615">
        <v>73</v>
      </c>
      <c r="N615" t="s">
        <v>427</v>
      </c>
      <c r="O615" t="s">
        <v>915</v>
      </c>
      <c r="Q615">
        <v>1</v>
      </c>
      <c r="R615">
        <v>60</v>
      </c>
      <c r="S615" t="s">
        <v>947</v>
      </c>
      <c r="T615" s="6">
        <v>53395.175544765378</v>
      </c>
      <c r="U615" s="7">
        <f>T615*DealsRawTable[[#This Row],[Contract_Years]]</f>
        <v>53395.175544765378</v>
      </c>
      <c r="V615" s="8">
        <v>0.187</v>
      </c>
      <c r="W615" s="8">
        <v>0.185</v>
      </c>
      <c r="X615" s="8">
        <v>-9.9000000000000005E-2</v>
      </c>
      <c r="Y615" t="s">
        <v>878</v>
      </c>
      <c r="Z615" t="s">
        <v>889</v>
      </c>
      <c r="AA615" s="6">
        <v>43503.201210486681</v>
      </c>
      <c r="AB615" s="7">
        <f>DealsRawTable[[#This Row],[Final_Price_ACV]]*DealsRawTable[[#This Row],[Contract_Years]]</f>
        <v>43503.201210486681</v>
      </c>
      <c r="AC615" s="6">
        <v>18449.219799599305</v>
      </c>
      <c r="AD615" s="6">
        <v>25053.981410887376</v>
      </c>
      <c r="AE615" s="8">
        <v>0.57591121374415033</v>
      </c>
      <c r="AF615" t="s">
        <v>880</v>
      </c>
      <c r="AI615" t="s">
        <v>44</v>
      </c>
      <c r="AJ615" s="6">
        <v>43503.201210486681</v>
      </c>
      <c r="AK615" s="6">
        <v>25053.981410887376</v>
      </c>
      <c r="AL615" t="s">
        <v>916</v>
      </c>
      <c r="AM615">
        <f t="shared" si="18"/>
        <v>43517.07</v>
      </c>
      <c r="AN615">
        <f>DealsRawTable[[#This Row],[Validated_Annual_Final_Price]]*DealsRawTable[[#This Row],[Contract_Years]]</f>
        <v>43517.07</v>
      </c>
      <c r="AO615">
        <f>DealsRawTable[[#This Row],[Validated_Annual_Final_Price]]-DealsRawTable[[#This Row],[Cost_to_Serve]]</f>
        <v>25067.850200400695</v>
      </c>
      <c r="AP615" s="17">
        <f>DealsRawTable[[#This Row],[Validated_Grossprofit]]/DealsRawTable[[#This Row],[Validated_Annual_Final_Price]]</f>
        <v>0.57604636985901614</v>
      </c>
      <c r="AQ615" s="17">
        <v>43517.07</v>
      </c>
      <c r="AR615" s="17">
        <v>43517.07</v>
      </c>
      <c r="AS615" s="17">
        <v>25067.850200400695</v>
      </c>
      <c r="AT615" s="17">
        <v>0.57604636985901614</v>
      </c>
      <c r="AU615" s="17" t="str">
        <f t="shared" si="19"/>
        <v>15–20%</v>
      </c>
      <c r="AV615" s="17">
        <v>108</v>
      </c>
      <c r="AW615" s="17"/>
    </row>
    <row r="616" spans="1:49">
      <c r="A616" t="s">
        <v>1522</v>
      </c>
      <c r="B616" s="5">
        <v>45735</v>
      </c>
      <c r="C616" t="s">
        <v>394</v>
      </c>
      <c r="D616" t="s">
        <v>395</v>
      </c>
      <c r="E616" t="s">
        <v>826</v>
      </c>
      <c r="F616" t="s">
        <v>34</v>
      </c>
      <c r="G616" t="s">
        <v>69</v>
      </c>
      <c r="H616" t="s">
        <v>70</v>
      </c>
      <c r="I616" t="s">
        <v>76</v>
      </c>
      <c r="J616" t="s">
        <v>43</v>
      </c>
      <c r="K616" t="s">
        <v>38</v>
      </c>
      <c r="L616" s="5">
        <v>45292</v>
      </c>
      <c r="M616">
        <v>59</v>
      </c>
      <c r="N616" t="s">
        <v>427</v>
      </c>
      <c r="O616" t="s">
        <v>891</v>
      </c>
      <c r="Q616">
        <v>1</v>
      </c>
      <c r="R616">
        <v>436</v>
      </c>
      <c r="S616" t="s">
        <v>900</v>
      </c>
      <c r="T616" s="6">
        <v>135209.28333829989</v>
      </c>
      <c r="U616" s="7">
        <f>T616*DealsRawTable[[#This Row],[Contract_Years]]</f>
        <v>135209.28333829989</v>
      </c>
      <c r="V616" s="8">
        <v>0.187</v>
      </c>
      <c r="W616" s="8">
        <v>0.18099999999999999</v>
      </c>
      <c r="X616" s="8">
        <v>-5.8000000000000003E-2</v>
      </c>
      <c r="Y616" t="s">
        <v>905</v>
      </c>
      <c r="Z616" t="s">
        <v>889</v>
      </c>
      <c r="AA616" s="6">
        <v>110704.77046329225</v>
      </c>
      <c r="AB616" s="7">
        <f>DealsRawTable[[#This Row],[Final_Price_ACV]]*DealsRawTable[[#This Row],[Contract_Years]]</f>
        <v>110704.77046329225</v>
      </c>
      <c r="AC616" s="6">
        <v>47322.752484362005</v>
      </c>
      <c r="AD616" s="6">
        <v>63382.017978930249</v>
      </c>
      <c r="AE616" s="8">
        <v>0.57253194883726</v>
      </c>
      <c r="AF616" t="s">
        <v>880</v>
      </c>
      <c r="AI616" t="s">
        <v>38</v>
      </c>
      <c r="AJ616" s="6">
        <v>110704.77046329225</v>
      </c>
      <c r="AK616" s="6">
        <v>63382.017978930249</v>
      </c>
      <c r="AL616" t="s">
        <v>894</v>
      </c>
      <c r="AM616">
        <f t="shared" si="18"/>
        <v>110736.4</v>
      </c>
      <c r="AN616">
        <f>DealsRawTable[[#This Row],[Validated_Annual_Final_Price]]*DealsRawTable[[#This Row],[Contract_Years]]</f>
        <v>110736.4</v>
      </c>
      <c r="AO616">
        <f>DealsRawTable[[#This Row],[Validated_Annual_Final_Price]]-DealsRawTable[[#This Row],[Cost_to_Serve]]</f>
        <v>63413.647515637989</v>
      </c>
      <c r="AP616" s="17">
        <f>DealsRawTable[[#This Row],[Validated_Grossprofit]]/DealsRawTable[[#This Row],[Validated_Annual_Final_Price]]</f>
        <v>0.5726540461459646</v>
      </c>
      <c r="AQ616" s="17">
        <v>110736.4</v>
      </c>
      <c r="AR616" s="17">
        <v>110736.4</v>
      </c>
      <c r="AS616" s="17">
        <v>63413.647515637989</v>
      </c>
      <c r="AT616" s="17">
        <v>0.5726540461459646</v>
      </c>
      <c r="AU616" s="17" t="str">
        <f t="shared" si="19"/>
        <v>15–20%</v>
      </c>
      <c r="AV616" s="17">
        <v>108</v>
      </c>
      <c r="AW616" s="17"/>
    </row>
    <row r="617" spans="1:49">
      <c r="A617" t="s">
        <v>1523</v>
      </c>
      <c r="B617" s="5">
        <v>45437</v>
      </c>
      <c r="C617" t="s">
        <v>394</v>
      </c>
      <c r="D617" t="s">
        <v>395</v>
      </c>
      <c r="E617" t="s">
        <v>827</v>
      </c>
      <c r="F617" t="s">
        <v>449</v>
      </c>
      <c r="G617" t="s">
        <v>69</v>
      </c>
      <c r="H617" t="s">
        <v>70</v>
      </c>
      <c r="I617" t="s">
        <v>76</v>
      </c>
      <c r="J617" t="s">
        <v>43</v>
      </c>
      <c r="K617" t="s">
        <v>38</v>
      </c>
      <c r="L617" s="5">
        <v>45292</v>
      </c>
      <c r="M617">
        <v>59</v>
      </c>
      <c r="N617" t="s">
        <v>427</v>
      </c>
      <c r="O617" t="s">
        <v>891</v>
      </c>
      <c r="Q617">
        <v>1</v>
      </c>
      <c r="R617">
        <v>1727</v>
      </c>
      <c r="S617" t="s">
        <v>900</v>
      </c>
      <c r="T617" s="6">
        <v>342671.15282458189</v>
      </c>
      <c r="U617" s="7">
        <f>T617*DealsRawTable[[#This Row],[Contract_Years]]</f>
        <v>342671.15282458189</v>
      </c>
      <c r="V617" s="8">
        <v>0.11899999999999999</v>
      </c>
      <c r="W617" s="8">
        <v>7.0999999999999994E-2</v>
      </c>
      <c r="X617" s="8">
        <v>1.4999999999999999E-2</v>
      </c>
      <c r="Y617" t="s">
        <v>905</v>
      </c>
      <c r="Z617" t="s">
        <v>879</v>
      </c>
      <c r="AA617" s="6">
        <v>318211.87614658801</v>
      </c>
      <c r="AB617" s="7">
        <f>DealsRawTable[[#This Row],[Final_Price_ACV]]*DealsRawTable[[#This Row],[Contract_Years]]</f>
        <v>318211.87614658801</v>
      </c>
      <c r="AC617" s="6">
        <v>135022.43028373425</v>
      </c>
      <c r="AD617" s="6">
        <v>183189.44586285375</v>
      </c>
      <c r="AE617" s="8">
        <v>0.57568387478557026</v>
      </c>
      <c r="AF617" t="s">
        <v>880</v>
      </c>
      <c r="AI617" t="s">
        <v>38</v>
      </c>
      <c r="AJ617" s="6">
        <v>318211.87614658801</v>
      </c>
      <c r="AK617" s="6">
        <v>183189.44586285375</v>
      </c>
      <c r="AL617" t="s">
        <v>894</v>
      </c>
      <c r="AM617">
        <f t="shared" si="18"/>
        <v>318341.5</v>
      </c>
      <c r="AN617">
        <f>DealsRawTable[[#This Row],[Validated_Annual_Final_Price]]*DealsRawTable[[#This Row],[Contract_Years]]</f>
        <v>318341.5</v>
      </c>
      <c r="AO617">
        <f>DealsRawTable[[#This Row],[Validated_Annual_Final_Price]]-DealsRawTable[[#This Row],[Cost_to_Serve]]</f>
        <v>183319.06971626575</v>
      </c>
      <c r="AP617" s="17">
        <f>DealsRawTable[[#This Row],[Validated_Grossprofit]]/DealsRawTable[[#This Row],[Validated_Annual_Final_Price]]</f>
        <v>0.57585664990667484</v>
      </c>
      <c r="AQ617" s="17">
        <v>318341.5</v>
      </c>
      <c r="AR617" s="17">
        <v>318341.5</v>
      </c>
      <c r="AS617" s="17">
        <v>183319.06971626575</v>
      </c>
      <c r="AT617" s="17">
        <v>0.57585664990667484</v>
      </c>
      <c r="AU617" s="17" t="str">
        <f t="shared" si="19"/>
        <v>5–10%</v>
      </c>
      <c r="AV617" s="17">
        <v>116</v>
      </c>
      <c r="AW617" s="17"/>
    </row>
    <row r="618" spans="1:49">
      <c r="A618" t="s">
        <v>1524</v>
      </c>
      <c r="B618" s="5">
        <v>45802</v>
      </c>
      <c r="C618" t="s">
        <v>394</v>
      </c>
      <c r="D618" t="s">
        <v>395</v>
      </c>
      <c r="E618" t="s">
        <v>827</v>
      </c>
      <c r="F618" t="s">
        <v>449</v>
      </c>
      <c r="G618" t="s">
        <v>69</v>
      </c>
      <c r="H618" t="s">
        <v>70</v>
      </c>
      <c r="I618" t="s">
        <v>76</v>
      </c>
      <c r="J618" t="s">
        <v>43</v>
      </c>
      <c r="K618" t="s">
        <v>38</v>
      </c>
      <c r="L618" s="5">
        <v>45292</v>
      </c>
      <c r="M618">
        <v>59</v>
      </c>
      <c r="N618" t="s">
        <v>427</v>
      </c>
      <c r="O618" t="s">
        <v>876</v>
      </c>
      <c r="Q618">
        <v>1</v>
      </c>
      <c r="R618">
        <v>1727</v>
      </c>
      <c r="S618" t="s">
        <v>888</v>
      </c>
      <c r="T618" s="6">
        <v>360711.20654745045</v>
      </c>
      <c r="U618" s="7">
        <f>T618*DealsRawTable[[#This Row],[Contract_Years]]</f>
        <v>360711.20654745045</v>
      </c>
      <c r="V618" s="8">
        <v>0.161</v>
      </c>
      <c r="W618" s="8">
        <v>0.13300000000000001</v>
      </c>
      <c r="X618" s="8">
        <v>-1.2E-2</v>
      </c>
      <c r="Y618" t="s">
        <v>878</v>
      </c>
      <c r="Z618" t="s">
        <v>889</v>
      </c>
      <c r="AA618" s="6">
        <v>312735.74112681963</v>
      </c>
      <c r="AB618" s="7">
        <f>DealsRawTable[[#This Row],[Final_Price_ACV]]*DealsRawTable[[#This Row],[Contract_Years]]</f>
        <v>312735.74112681963</v>
      </c>
      <c r="AC618" s="6">
        <v>99687.748103138714</v>
      </c>
      <c r="AD618" s="6">
        <v>213047.99302368093</v>
      </c>
      <c r="AE618" s="8">
        <v>0.68123966981211259</v>
      </c>
      <c r="AF618" t="s">
        <v>880</v>
      </c>
      <c r="AG618" t="s">
        <v>44</v>
      </c>
      <c r="AI618" t="s">
        <v>38</v>
      </c>
      <c r="AJ618" s="6">
        <v>312735.74112681963</v>
      </c>
      <c r="AK618" s="6">
        <v>213047.99302368093</v>
      </c>
      <c r="AL618" t="s">
        <v>881</v>
      </c>
      <c r="AM618">
        <f t="shared" si="18"/>
        <v>312736.62</v>
      </c>
      <c r="AN618">
        <f>DealsRawTable[[#This Row],[Validated_Annual_Final_Price]]*DealsRawTable[[#This Row],[Contract_Years]]</f>
        <v>312736.62</v>
      </c>
      <c r="AO618">
        <f>DealsRawTable[[#This Row],[Validated_Annual_Final_Price]]-DealsRawTable[[#This Row],[Cost_to_Serve]]</f>
        <v>213048.8718968613</v>
      </c>
      <c r="AP618" s="17">
        <f>DealsRawTable[[#This Row],[Validated_Grossprofit]]/DealsRawTable[[#This Row],[Validated_Annual_Final_Price]]</f>
        <v>0.68124056561352264</v>
      </c>
      <c r="AQ618" s="17">
        <v>312736.62</v>
      </c>
      <c r="AR618" s="17">
        <v>312736.62</v>
      </c>
      <c r="AS618" s="17">
        <v>213048.8718968613</v>
      </c>
      <c r="AT618" s="17">
        <v>0.68124056561352264</v>
      </c>
      <c r="AU618" s="17" t="str">
        <f t="shared" si="19"/>
        <v>10–15%</v>
      </c>
      <c r="AV618" s="17">
        <v>113</v>
      </c>
      <c r="AW618" s="17"/>
    </row>
    <row r="619" spans="1:49">
      <c r="A619" t="s">
        <v>1525</v>
      </c>
      <c r="B619" s="5">
        <v>45486</v>
      </c>
      <c r="C619" t="s">
        <v>394</v>
      </c>
      <c r="D619" t="s">
        <v>395</v>
      </c>
      <c r="E619" t="s">
        <v>828</v>
      </c>
      <c r="F619" t="s">
        <v>466</v>
      </c>
      <c r="G619" t="s">
        <v>69</v>
      </c>
      <c r="H619" t="s">
        <v>70</v>
      </c>
      <c r="I619" t="s">
        <v>76</v>
      </c>
      <c r="J619" t="s">
        <v>43</v>
      </c>
      <c r="K619" t="s">
        <v>38</v>
      </c>
      <c r="L619" s="5">
        <v>45292</v>
      </c>
      <c r="M619">
        <v>59</v>
      </c>
      <c r="N619" t="s">
        <v>429</v>
      </c>
      <c r="O619" t="s">
        <v>891</v>
      </c>
      <c r="Q619">
        <v>1</v>
      </c>
      <c r="R619">
        <v>1839</v>
      </c>
      <c r="S619" t="s">
        <v>892</v>
      </c>
      <c r="T619" s="6">
        <v>544252.89785814658</v>
      </c>
      <c r="U619" s="7">
        <f>T619*DealsRawTable[[#This Row],[Contract_Years]]</f>
        <v>544252.89785814658</v>
      </c>
      <c r="V619" s="8">
        <v>8.1000000000000003E-2</v>
      </c>
      <c r="W619" s="8">
        <v>7.0999999999999994E-2</v>
      </c>
      <c r="X619" s="8">
        <v>-0.14099999999999999</v>
      </c>
      <c r="Y619" t="s">
        <v>902</v>
      </c>
      <c r="Z619" t="s">
        <v>879</v>
      </c>
      <c r="AA619" s="6">
        <v>505514.6154378145</v>
      </c>
      <c r="AB619" s="7">
        <f>DealsRawTable[[#This Row],[Final_Price_ACV]]*DealsRawTable[[#This Row],[Contract_Years]]</f>
        <v>505514.6154378145</v>
      </c>
      <c r="AC619" s="6">
        <v>198397.92383694381</v>
      </c>
      <c r="AD619" s="6">
        <v>307116.69160087069</v>
      </c>
      <c r="AE619" s="8">
        <v>0.60753276408217005</v>
      </c>
      <c r="AF619" t="s">
        <v>880</v>
      </c>
      <c r="AI619" t="s">
        <v>38</v>
      </c>
      <c r="AJ619" s="6">
        <v>505514.6154378145</v>
      </c>
      <c r="AK619" s="6">
        <v>307116.69160087069</v>
      </c>
      <c r="AL619" t="s">
        <v>894</v>
      </c>
      <c r="AM619">
        <f t="shared" si="18"/>
        <v>505610.94</v>
      </c>
      <c r="AN619">
        <f>DealsRawTable[[#This Row],[Validated_Annual_Final_Price]]*DealsRawTable[[#This Row],[Contract_Years]]</f>
        <v>505610.94</v>
      </c>
      <c r="AO619">
        <f>DealsRawTable[[#This Row],[Validated_Annual_Final_Price]]-DealsRawTable[[#This Row],[Cost_to_Serve]]</f>
        <v>307213.01616305619</v>
      </c>
      <c r="AP619" s="17">
        <f>DealsRawTable[[#This Row],[Validated_Grossprofit]]/DealsRawTable[[#This Row],[Validated_Annual_Final_Price]]</f>
        <v>0.6076075334981007</v>
      </c>
      <c r="AQ619" s="17">
        <v>505610.94</v>
      </c>
      <c r="AR619" s="17">
        <v>505610.94</v>
      </c>
      <c r="AS619" s="17">
        <v>307213.01616305619</v>
      </c>
      <c r="AT619" s="17">
        <v>0.6076075334981007</v>
      </c>
      <c r="AU619" s="17" t="str">
        <f t="shared" si="19"/>
        <v>5–10%</v>
      </c>
      <c r="AV619" s="17">
        <v>116</v>
      </c>
      <c r="AW619" s="17"/>
    </row>
    <row r="620" spans="1:49">
      <c r="A620" t="s">
        <v>1526</v>
      </c>
      <c r="B620" s="5">
        <v>45703</v>
      </c>
      <c r="C620" t="s">
        <v>394</v>
      </c>
      <c r="D620" t="s">
        <v>395</v>
      </c>
      <c r="E620" t="s">
        <v>828</v>
      </c>
      <c r="F620" t="s">
        <v>466</v>
      </c>
      <c r="G620" t="s">
        <v>69</v>
      </c>
      <c r="H620" t="s">
        <v>70</v>
      </c>
      <c r="I620" t="s">
        <v>76</v>
      </c>
      <c r="J620" t="s">
        <v>43</v>
      </c>
      <c r="K620" t="s">
        <v>38</v>
      </c>
      <c r="L620" s="5">
        <v>45292</v>
      </c>
      <c r="M620">
        <v>59</v>
      </c>
      <c r="N620" t="s">
        <v>429</v>
      </c>
      <c r="O620" t="s">
        <v>883</v>
      </c>
      <c r="P620" t="s">
        <v>985</v>
      </c>
      <c r="Q620">
        <v>1</v>
      </c>
      <c r="R620">
        <v>2301</v>
      </c>
      <c r="S620" t="s">
        <v>932</v>
      </c>
      <c r="T620" s="6">
        <v>598727.9542197265</v>
      </c>
      <c r="U620" s="7">
        <f>T620*DealsRawTable[[#This Row],[Contract_Years]]</f>
        <v>598727.9542197265</v>
      </c>
      <c r="V620" s="8">
        <v>0</v>
      </c>
      <c r="W620" s="8">
        <v>0</v>
      </c>
      <c r="X620" s="8">
        <v>-2.5999999999999999E-2</v>
      </c>
      <c r="Y620" t="s">
        <v>885</v>
      </c>
      <c r="Z620" t="s">
        <v>879</v>
      </c>
      <c r="AA620" s="6">
        <v>598727.9542197265</v>
      </c>
      <c r="AB620" s="7">
        <f>DealsRawTable[[#This Row],[Final_Price_ACV]]*DealsRawTable[[#This Row],[Contract_Years]]</f>
        <v>598727.9542197265</v>
      </c>
      <c r="AC620" s="6">
        <v>205420.93536915132</v>
      </c>
      <c r="AD620" s="6">
        <v>393307.0188505752</v>
      </c>
      <c r="AE620" s="8">
        <v>0.65690438550366381</v>
      </c>
      <c r="AF620" t="s">
        <v>880</v>
      </c>
      <c r="AH620" t="s">
        <v>44</v>
      </c>
      <c r="AI620" t="s">
        <v>38</v>
      </c>
      <c r="AJ620" s="6">
        <v>598727.9542197265</v>
      </c>
      <c r="AK620" s="6">
        <v>393307.0188505752</v>
      </c>
      <c r="AL620" t="s">
        <v>886</v>
      </c>
      <c r="AM620">
        <f t="shared" si="18"/>
        <v>598727.94999999995</v>
      </c>
      <c r="AN620">
        <f>DealsRawTable[[#This Row],[Validated_Annual_Final_Price]]*DealsRawTable[[#This Row],[Contract_Years]]</f>
        <v>598727.94999999995</v>
      </c>
      <c r="AO620">
        <f>DealsRawTable[[#This Row],[Validated_Annual_Final_Price]]-DealsRawTable[[#This Row],[Cost_to_Serve]]</f>
        <v>393307.01463084866</v>
      </c>
      <c r="AP620" s="17">
        <f>DealsRawTable[[#This Row],[Validated_Grossprofit]]/DealsRawTable[[#This Row],[Validated_Annual_Final_Price]]</f>
        <v>0.65690438308558785</v>
      </c>
      <c r="AQ620" s="17">
        <v>598727.94999999995</v>
      </c>
      <c r="AR620" s="17">
        <v>598727.94999999995</v>
      </c>
      <c r="AS620" s="17">
        <v>393307.01463084866</v>
      </c>
      <c r="AT620" s="17">
        <v>0.65690438308558785</v>
      </c>
      <c r="AU620" s="17" t="str">
        <f t="shared" si="19"/>
        <v>0–5%</v>
      </c>
      <c r="AV620" s="17">
        <v>55</v>
      </c>
      <c r="AW620" s="17"/>
    </row>
    <row r="621" spans="1:49">
      <c r="A621" t="s">
        <v>1527</v>
      </c>
      <c r="B621" s="5">
        <v>45851</v>
      </c>
      <c r="C621" t="s">
        <v>394</v>
      </c>
      <c r="D621" t="s">
        <v>395</v>
      </c>
      <c r="E621" t="s">
        <v>828</v>
      </c>
      <c r="F621" t="s">
        <v>466</v>
      </c>
      <c r="G621" t="s">
        <v>69</v>
      </c>
      <c r="H621" t="s">
        <v>70</v>
      </c>
      <c r="I621" t="s">
        <v>76</v>
      </c>
      <c r="J621" t="s">
        <v>43</v>
      </c>
      <c r="K621" t="s">
        <v>38</v>
      </c>
      <c r="L621" s="5">
        <v>45292</v>
      </c>
      <c r="M621">
        <v>59</v>
      </c>
      <c r="N621" t="s">
        <v>429</v>
      </c>
      <c r="O621" t="s">
        <v>876</v>
      </c>
      <c r="Q621">
        <v>1</v>
      </c>
      <c r="R621">
        <v>2301</v>
      </c>
      <c r="S621" t="s">
        <v>877</v>
      </c>
      <c r="T621" s="6">
        <v>615394.90411878051</v>
      </c>
      <c r="U621" s="7">
        <f>T621*DealsRawTable[[#This Row],[Contract_Years]]</f>
        <v>615394.90411878051</v>
      </c>
      <c r="V621" s="8">
        <v>0.129</v>
      </c>
      <c r="W621" s="8">
        <v>0.111</v>
      </c>
      <c r="X621" s="8">
        <v>-4.2000000000000003E-2</v>
      </c>
      <c r="Y621" t="s">
        <v>878</v>
      </c>
      <c r="Z621" t="s">
        <v>889</v>
      </c>
      <c r="AA621" s="6">
        <v>546950.80901625659</v>
      </c>
      <c r="AB621" s="7">
        <f>DealsRawTable[[#This Row],[Final_Price_ACV]]*DealsRawTable[[#This Row],[Contract_Years]]</f>
        <v>546950.80901625659</v>
      </c>
      <c r="AC621" s="6">
        <v>211146.14321753284</v>
      </c>
      <c r="AD621" s="6">
        <v>335804.66579872376</v>
      </c>
      <c r="AE621" s="8">
        <v>0.61395770929144544</v>
      </c>
      <c r="AF621" t="s">
        <v>880</v>
      </c>
      <c r="AG621" t="s">
        <v>44</v>
      </c>
      <c r="AI621" t="s">
        <v>38</v>
      </c>
      <c r="AJ621" s="6">
        <v>546950.80901625659</v>
      </c>
      <c r="AK621" s="6">
        <v>335804.66579872376</v>
      </c>
      <c r="AL621" t="s">
        <v>881</v>
      </c>
      <c r="AM621">
        <f t="shared" si="18"/>
        <v>547086.06999999995</v>
      </c>
      <c r="AN621">
        <f>DealsRawTable[[#This Row],[Validated_Annual_Final_Price]]*DealsRawTable[[#This Row],[Contract_Years]]</f>
        <v>547086.06999999995</v>
      </c>
      <c r="AO621">
        <f>DealsRawTable[[#This Row],[Validated_Annual_Final_Price]]-DealsRawTable[[#This Row],[Cost_to_Serve]]</f>
        <v>335939.92678246711</v>
      </c>
      <c r="AP621" s="17">
        <f>DealsRawTable[[#This Row],[Validated_Grossprofit]]/DealsRawTable[[#This Row],[Validated_Annual_Final_Price]]</f>
        <v>0.61405315398081173</v>
      </c>
      <c r="AQ621" s="17">
        <v>547086.06999999995</v>
      </c>
      <c r="AR621" s="17">
        <v>547086.06999999995</v>
      </c>
      <c r="AS621" s="17">
        <v>335939.92678246711</v>
      </c>
      <c r="AT621" s="17">
        <v>0.61405315398081173</v>
      </c>
      <c r="AU621" s="17" t="str">
        <f t="shared" si="19"/>
        <v>10–15%</v>
      </c>
      <c r="AV621" s="17">
        <v>113</v>
      </c>
      <c r="AW621" s="17"/>
    </row>
    <row r="622" spans="1:49">
      <c r="A622" t="s">
        <v>1528</v>
      </c>
      <c r="B622" s="5">
        <v>45825</v>
      </c>
      <c r="C622" t="s">
        <v>396</v>
      </c>
      <c r="D622" t="s">
        <v>397</v>
      </c>
      <c r="E622" t="s">
        <v>829</v>
      </c>
      <c r="F622" t="s">
        <v>466</v>
      </c>
      <c r="G622" t="s">
        <v>83</v>
      </c>
      <c r="H622" t="s">
        <v>70</v>
      </c>
      <c r="I622" t="s">
        <v>71</v>
      </c>
      <c r="J622" t="s">
        <v>56</v>
      </c>
      <c r="K622" t="s">
        <v>38</v>
      </c>
      <c r="L622" s="5">
        <v>45352</v>
      </c>
      <c r="M622">
        <v>84</v>
      </c>
      <c r="N622" t="s">
        <v>427</v>
      </c>
      <c r="O622" t="s">
        <v>891</v>
      </c>
      <c r="Q622">
        <v>1</v>
      </c>
      <c r="R622">
        <v>220</v>
      </c>
      <c r="S622" t="s">
        <v>877</v>
      </c>
      <c r="T622" s="6">
        <v>131366.83531693221</v>
      </c>
      <c r="U622" s="7">
        <f>T622*DealsRawTable[[#This Row],[Contract_Years]]</f>
        <v>131366.83531693221</v>
      </c>
      <c r="V622" s="8">
        <v>0.222</v>
      </c>
      <c r="W622" s="8">
        <v>0.17499999999999999</v>
      </c>
      <c r="X622" s="8">
        <v>-2.1000000000000001E-2</v>
      </c>
      <c r="Y622" t="s">
        <v>897</v>
      </c>
      <c r="Z622" t="s">
        <v>889</v>
      </c>
      <c r="AA622" s="6">
        <v>108339.6412667308</v>
      </c>
      <c r="AB622" s="7">
        <f>DealsRawTable[[#This Row],[Final_Price_ACV]]*DealsRawTable[[#This Row],[Contract_Years]]</f>
        <v>108339.6412667308</v>
      </c>
      <c r="AC622" s="6">
        <v>44456.838373403807</v>
      </c>
      <c r="AD622" s="6">
        <v>63882.802893326996</v>
      </c>
      <c r="AE622" s="8">
        <v>0.58965307754756502</v>
      </c>
      <c r="AF622" t="s">
        <v>457</v>
      </c>
      <c r="AI622" t="s">
        <v>38</v>
      </c>
      <c r="AJ622" s="6">
        <v>0</v>
      </c>
      <c r="AK622" s="6">
        <v>0</v>
      </c>
      <c r="AL622" t="s">
        <v>894</v>
      </c>
      <c r="AM622">
        <f t="shared" si="18"/>
        <v>108377.64</v>
      </c>
      <c r="AN622">
        <f>DealsRawTable[[#This Row],[Validated_Annual_Final_Price]]*DealsRawTable[[#This Row],[Contract_Years]]</f>
        <v>108377.64</v>
      </c>
      <c r="AO622">
        <f>DealsRawTable[[#This Row],[Validated_Annual_Final_Price]]-DealsRawTable[[#This Row],[Cost_to_Serve]]</f>
        <v>63920.801626596192</v>
      </c>
      <c r="AP622" s="17">
        <f>DealsRawTable[[#This Row],[Validated_Grossprofit]]/DealsRawTable[[#This Row],[Validated_Annual_Final_Price]]</f>
        <v>0.58979695098173568</v>
      </c>
      <c r="AQ622" s="17">
        <v>0</v>
      </c>
      <c r="AR622" s="17">
        <v>0</v>
      </c>
      <c r="AS622" s="17">
        <v>0</v>
      </c>
      <c r="AT622" s="17">
        <v>0</v>
      </c>
      <c r="AU622" s="17" t="str">
        <f t="shared" si="19"/>
        <v>15–20%</v>
      </c>
      <c r="AV622" s="17">
        <v>108</v>
      </c>
      <c r="AW622" s="17"/>
    </row>
    <row r="623" spans="1:49">
      <c r="A623" t="s">
        <v>1529</v>
      </c>
      <c r="B623" s="5">
        <v>45618</v>
      </c>
      <c r="C623" t="s">
        <v>398</v>
      </c>
      <c r="D623" t="s">
        <v>399</v>
      </c>
      <c r="E623" t="s">
        <v>831</v>
      </c>
      <c r="F623" t="s">
        <v>34</v>
      </c>
      <c r="G623" t="s">
        <v>69</v>
      </c>
      <c r="H623" t="s">
        <v>35</v>
      </c>
      <c r="I623" t="s">
        <v>36</v>
      </c>
      <c r="J623" t="s">
        <v>37</v>
      </c>
      <c r="K623" t="s">
        <v>38</v>
      </c>
      <c r="L623" s="5">
        <v>44986</v>
      </c>
      <c r="M623">
        <v>49</v>
      </c>
      <c r="N623" t="s">
        <v>427</v>
      </c>
      <c r="O623" t="s">
        <v>876</v>
      </c>
      <c r="Q623">
        <v>1</v>
      </c>
      <c r="R623">
        <v>64</v>
      </c>
      <c r="S623" t="s">
        <v>892</v>
      </c>
      <c r="T623" s="6">
        <v>47663.573901775708</v>
      </c>
      <c r="U623" s="7">
        <f>T623*DealsRawTable[[#This Row],[Contract_Years]]</f>
        <v>47663.573901775708</v>
      </c>
      <c r="V623" s="8">
        <v>0.19400000000000001</v>
      </c>
      <c r="W623" s="8">
        <v>0.16900000000000001</v>
      </c>
      <c r="X623" s="8">
        <v>-0.122</v>
      </c>
      <c r="Y623" t="s">
        <v>878</v>
      </c>
      <c r="Z623" t="s">
        <v>889</v>
      </c>
      <c r="AA623" s="6">
        <v>39591.755355519817</v>
      </c>
      <c r="AB623" s="7">
        <f>DealsRawTable[[#This Row],[Final_Price_ACV]]*DealsRawTable[[#This Row],[Contract_Years]]</f>
        <v>39591.755355519817</v>
      </c>
      <c r="AC623" s="6">
        <v>15910.797375989599</v>
      </c>
      <c r="AD623" s="6">
        <v>23680.95797953022</v>
      </c>
      <c r="AE623" s="8">
        <v>0.59812851859897798</v>
      </c>
      <c r="AF623" t="s">
        <v>880</v>
      </c>
      <c r="AG623" t="s">
        <v>44</v>
      </c>
      <c r="AI623" t="s">
        <v>38</v>
      </c>
      <c r="AJ623" s="6">
        <v>39591.755355519817</v>
      </c>
      <c r="AK623" s="6">
        <v>23680.95797953022</v>
      </c>
      <c r="AL623" t="s">
        <v>881</v>
      </c>
      <c r="AM623">
        <f t="shared" si="18"/>
        <v>39608.43</v>
      </c>
      <c r="AN623">
        <f>DealsRawTable[[#This Row],[Validated_Annual_Final_Price]]*DealsRawTable[[#This Row],[Contract_Years]]</f>
        <v>39608.43</v>
      </c>
      <c r="AO623">
        <f>DealsRawTable[[#This Row],[Validated_Annual_Final_Price]]-DealsRawTable[[#This Row],[Cost_to_Serve]]</f>
        <v>23697.632624010403</v>
      </c>
      <c r="AP623" s="17">
        <f>DealsRawTable[[#This Row],[Validated_Grossprofit]]/DealsRawTable[[#This Row],[Validated_Annual_Final_Price]]</f>
        <v>0.59829770137342986</v>
      </c>
      <c r="AQ623" s="17">
        <v>39608.43</v>
      </c>
      <c r="AR623" s="17">
        <v>39608.43</v>
      </c>
      <c r="AS623" s="17">
        <v>23697.632624010403</v>
      </c>
      <c r="AT623" s="17">
        <v>0.59829770137342986</v>
      </c>
      <c r="AU623" s="17" t="str">
        <f t="shared" si="19"/>
        <v>15–20%</v>
      </c>
      <c r="AV623" s="17">
        <v>108</v>
      </c>
      <c r="AW623" s="17"/>
    </row>
    <row r="624" spans="1:49">
      <c r="A624" t="s">
        <v>1530</v>
      </c>
      <c r="B624" s="5">
        <v>45983</v>
      </c>
      <c r="C624" t="s">
        <v>398</v>
      </c>
      <c r="D624" t="s">
        <v>399</v>
      </c>
      <c r="E624" t="s">
        <v>831</v>
      </c>
      <c r="F624" t="s">
        <v>34</v>
      </c>
      <c r="G624" t="s">
        <v>69</v>
      </c>
      <c r="H624" t="s">
        <v>35</v>
      </c>
      <c r="I624" t="s">
        <v>36</v>
      </c>
      <c r="J624" t="s">
        <v>37</v>
      </c>
      <c r="K624" t="s">
        <v>38</v>
      </c>
      <c r="L624" s="5">
        <v>44986</v>
      </c>
      <c r="M624">
        <v>49</v>
      </c>
      <c r="N624" t="s">
        <v>427</v>
      </c>
      <c r="O624" t="s">
        <v>876</v>
      </c>
      <c r="Q624">
        <v>1</v>
      </c>
      <c r="R624">
        <v>64</v>
      </c>
      <c r="S624" t="s">
        <v>932</v>
      </c>
      <c r="T624" s="6">
        <v>49724.270669183483</v>
      </c>
      <c r="U624" s="7">
        <f>T624*DealsRawTable[[#This Row],[Contract_Years]]</f>
        <v>49724.270669183483</v>
      </c>
      <c r="V624" s="8">
        <v>0.122</v>
      </c>
      <c r="W624" s="8">
        <v>9.9000000000000005E-2</v>
      </c>
      <c r="X624" s="8">
        <v>-0.17599999999999999</v>
      </c>
      <c r="Y624" t="s">
        <v>878</v>
      </c>
      <c r="Z624" t="s">
        <v>879</v>
      </c>
      <c r="AA624" s="6">
        <v>44825.925652125981</v>
      </c>
      <c r="AB624" s="7">
        <f>DealsRawTable[[#This Row],[Final_Price_ACV]]*DealsRawTable[[#This Row],[Contract_Years]]</f>
        <v>44825.925652125981</v>
      </c>
      <c r="AC624" s="6">
        <v>14566.246682311774</v>
      </c>
      <c r="AD624" s="6">
        <v>30259.678969814209</v>
      </c>
      <c r="AE624" s="8">
        <v>0.67504861371176317</v>
      </c>
      <c r="AF624" t="s">
        <v>457</v>
      </c>
      <c r="AG624" t="s">
        <v>38</v>
      </c>
      <c r="AI624" t="s">
        <v>38</v>
      </c>
      <c r="AJ624" s="6">
        <v>0</v>
      </c>
      <c r="AK624" s="6">
        <v>0</v>
      </c>
      <c r="AL624" t="s">
        <v>881</v>
      </c>
      <c r="AM624">
        <f t="shared" si="18"/>
        <v>44801.57</v>
      </c>
      <c r="AN624">
        <f>DealsRawTable[[#This Row],[Validated_Annual_Final_Price]]*DealsRawTable[[#This Row],[Contract_Years]]</f>
        <v>44801.57</v>
      </c>
      <c r="AO624">
        <f>DealsRawTable[[#This Row],[Validated_Annual_Final_Price]]-DealsRawTable[[#This Row],[Cost_to_Serve]]</f>
        <v>30235.323317688228</v>
      </c>
      <c r="AP624" s="17">
        <f>DealsRawTable[[#This Row],[Validated_Grossprofit]]/DealsRawTable[[#This Row],[Validated_Annual_Final_Price]]</f>
        <v>0.67487195912304476</v>
      </c>
      <c r="AQ624" s="17">
        <v>0</v>
      </c>
      <c r="AR624" s="17">
        <v>0</v>
      </c>
      <c r="AS624" s="17">
        <v>0</v>
      </c>
      <c r="AT624" s="17">
        <v>0</v>
      </c>
      <c r="AU624" s="17" t="str">
        <f t="shared" si="19"/>
        <v>5–10%</v>
      </c>
      <c r="AV624" s="17">
        <v>116</v>
      </c>
      <c r="AW624" s="17"/>
    </row>
    <row r="625" spans="1:49">
      <c r="A625" t="s">
        <v>1531</v>
      </c>
      <c r="B625" s="5">
        <v>45798</v>
      </c>
      <c r="C625" t="s">
        <v>398</v>
      </c>
      <c r="D625" t="s">
        <v>399</v>
      </c>
      <c r="E625" t="s">
        <v>832</v>
      </c>
      <c r="F625" t="s">
        <v>466</v>
      </c>
      <c r="G625" t="s">
        <v>69</v>
      </c>
      <c r="H625" t="s">
        <v>35</v>
      </c>
      <c r="I625" t="s">
        <v>36</v>
      </c>
      <c r="J625" t="s">
        <v>37</v>
      </c>
      <c r="K625" t="s">
        <v>38</v>
      </c>
      <c r="L625" s="5">
        <v>44986</v>
      </c>
      <c r="M625">
        <v>49</v>
      </c>
      <c r="N625" t="s">
        <v>429</v>
      </c>
      <c r="O625" t="s">
        <v>891</v>
      </c>
      <c r="Q625">
        <v>1</v>
      </c>
      <c r="R625">
        <v>78</v>
      </c>
      <c r="S625" t="s">
        <v>907</v>
      </c>
      <c r="T625" s="6">
        <v>59547.136322525272</v>
      </c>
      <c r="U625" s="7">
        <f>T625*DealsRawTable[[#This Row],[Contract_Years]]</f>
        <v>59547.136322525272</v>
      </c>
      <c r="V625" s="8">
        <v>0.16500000000000001</v>
      </c>
      <c r="W625" s="8">
        <v>0.13800000000000001</v>
      </c>
      <c r="X625" s="8">
        <v>0</v>
      </c>
      <c r="Y625" t="s">
        <v>885</v>
      </c>
      <c r="Z625" t="s">
        <v>889</v>
      </c>
      <c r="AA625" s="6">
        <v>51313.062388583123</v>
      </c>
      <c r="AB625" s="7">
        <f>DealsRawTable[[#This Row],[Final_Price_ACV]]*DealsRawTable[[#This Row],[Contract_Years]]</f>
        <v>51313.062388583123</v>
      </c>
      <c r="AC625" s="6">
        <v>21365.141282767519</v>
      </c>
      <c r="AD625" s="6">
        <v>29947.921105815603</v>
      </c>
      <c r="AE625" s="8">
        <v>0.58363152990219602</v>
      </c>
      <c r="AF625" t="s">
        <v>880</v>
      </c>
      <c r="AI625" t="s">
        <v>38</v>
      </c>
      <c r="AJ625" s="6">
        <v>51313.062388583123</v>
      </c>
      <c r="AK625" s="6">
        <v>29947.921105815603</v>
      </c>
      <c r="AL625" t="s">
        <v>894</v>
      </c>
      <c r="AM625">
        <f t="shared" si="18"/>
        <v>51329.63</v>
      </c>
      <c r="AN625">
        <f>DealsRawTable[[#This Row],[Validated_Annual_Final_Price]]*DealsRawTable[[#This Row],[Contract_Years]]</f>
        <v>51329.63</v>
      </c>
      <c r="AO625">
        <f>DealsRawTable[[#This Row],[Validated_Annual_Final_Price]]-DealsRawTable[[#This Row],[Cost_to_Serve]]</f>
        <v>29964.488717232478</v>
      </c>
      <c r="AP625" s="17">
        <f>DealsRawTable[[#This Row],[Validated_Grossprofit]]/DealsRawTable[[#This Row],[Validated_Annual_Final_Price]]</f>
        <v>0.58376592072127698</v>
      </c>
      <c r="AQ625" s="17">
        <v>51329.63</v>
      </c>
      <c r="AR625" s="17">
        <v>51329.63</v>
      </c>
      <c r="AS625" s="17">
        <v>29964.488717232478</v>
      </c>
      <c r="AT625" s="17">
        <v>0.58376592072127698</v>
      </c>
      <c r="AU625" s="17" t="str">
        <f t="shared" si="19"/>
        <v>10–15%</v>
      </c>
      <c r="AV625" s="17">
        <v>113</v>
      </c>
      <c r="AW625" s="17"/>
    </row>
    <row r="626" spans="1:49">
      <c r="A626" t="s">
        <v>1532</v>
      </c>
      <c r="B626" s="5">
        <v>45748</v>
      </c>
      <c r="C626" t="s">
        <v>400</v>
      </c>
      <c r="D626" t="s">
        <v>401</v>
      </c>
      <c r="E626" t="s">
        <v>833</v>
      </c>
      <c r="F626" t="s">
        <v>47</v>
      </c>
      <c r="G626" t="s">
        <v>83</v>
      </c>
      <c r="H626" t="s">
        <v>70</v>
      </c>
      <c r="I626" t="s">
        <v>71</v>
      </c>
      <c r="J626" t="s">
        <v>56</v>
      </c>
      <c r="K626" t="s">
        <v>38</v>
      </c>
      <c r="L626" s="5">
        <v>45231</v>
      </c>
      <c r="M626">
        <v>77</v>
      </c>
      <c r="N626" t="s">
        <v>433</v>
      </c>
      <c r="O626" t="s">
        <v>891</v>
      </c>
      <c r="Q626">
        <v>3</v>
      </c>
      <c r="R626">
        <v>296</v>
      </c>
      <c r="S626" t="s">
        <v>947</v>
      </c>
      <c r="T626" s="6">
        <v>327620.09483944299</v>
      </c>
      <c r="U626" s="7">
        <f>T626*DealsRawTable[[#This Row],[Contract_Years]]</f>
        <v>982860.28451832896</v>
      </c>
      <c r="V626" s="8">
        <v>0.153</v>
      </c>
      <c r="W626" s="8">
        <v>0.13100000000000001</v>
      </c>
      <c r="X626" s="8">
        <v>-0.14899999999999999</v>
      </c>
      <c r="Y626" t="s">
        <v>905</v>
      </c>
      <c r="Z626" t="s">
        <v>889</v>
      </c>
      <c r="AA626" s="6">
        <v>284547.08656969731</v>
      </c>
      <c r="AB626" s="7">
        <f>DealsRawTable[[#This Row],[Final_Price_ACV]]*DealsRawTable[[#This Row],[Contract_Years]]</f>
        <v>853641.25970909186</v>
      </c>
      <c r="AC626" s="6">
        <v>125109.05154186637</v>
      </c>
      <c r="AD626" s="6">
        <v>159438.03502783092</v>
      </c>
      <c r="AE626" s="8">
        <v>0.56032214896277976</v>
      </c>
      <c r="AF626" t="s">
        <v>457</v>
      </c>
      <c r="AI626" t="s">
        <v>38</v>
      </c>
      <c r="AJ626" s="6">
        <v>0</v>
      </c>
      <c r="AK626" s="6">
        <v>0</v>
      </c>
      <c r="AL626" t="s">
        <v>894</v>
      </c>
      <c r="AM626">
        <f t="shared" si="18"/>
        <v>284701.86</v>
      </c>
      <c r="AN626">
        <f>DealsRawTable[[#This Row],[Validated_Annual_Final_Price]]*DealsRawTable[[#This Row],[Contract_Years]]</f>
        <v>854105.58</v>
      </c>
      <c r="AO626">
        <f>DealsRawTable[[#This Row],[Validated_Annual_Final_Price]]-DealsRawTable[[#This Row],[Cost_to_Serve]]</f>
        <v>159592.8084581336</v>
      </c>
      <c r="AP626" s="17">
        <f>DealsRawTable[[#This Row],[Validated_Grossprofit]]/DealsRawTable[[#This Row],[Validated_Annual_Final_Price]]</f>
        <v>0.56056117251265447</v>
      </c>
      <c r="AQ626" s="17">
        <v>0</v>
      </c>
      <c r="AR626" s="17">
        <v>0</v>
      </c>
      <c r="AS626" s="17">
        <v>0</v>
      </c>
      <c r="AT626" s="17">
        <v>0</v>
      </c>
      <c r="AU626" s="17" t="str">
        <f t="shared" si="19"/>
        <v>10–15%</v>
      </c>
      <c r="AV626" s="17">
        <v>113</v>
      </c>
      <c r="AW626" s="17"/>
    </row>
    <row r="627" spans="1:49">
      <c r="A627" t="s">
        <v>1533</v>
      </c>
      <c r="B627" s="5">
        <v>45526</v>
      </c>
      <c r="C627" t="s">
        <v>400</v>
      </c>
      <c r="D627" t="s">
        <v>401</v>
      </c>
      <c r="E627" t="s">
        <v>834</v>
      </c>
      <c r="F627" t="s">
        <v>449</v>
      </c>
      <c r="G627" t="s">
        <v>83</v>
      </c>
      <c r="H627" t="s">
        <v>70</v>
      </c>
      <c r="I627" t="s">
        <v>71</v>
      </c>
      <c r="J627" t="s">
        <v>56</v>
      </c>
      <c r="K627" t="s">
        <v>38</v>
      </c>
      <c r="L627" s="5">
        <v>45231</v>
      </c>
      <c r="M627">
        <v>77</v>
      </c>
      <c r="N627" t="s">
        <v>433</v>
      </c>
      <c r="O627" t="s">
        <v>891</v>
      </c>
      <c r="Q627">
        <v>3</v>
      </c>
      <c r="R627">
        <v>334</v>
      </c>
      <c r="S627" t="s">
        <v>892</v>
      </c>
      <c r="T627" s="6">
        <v>229178.93221824063</v>
      </c>
      <c r="U627" s="7">
        <f>T627*DealsRawTable[[#This Row],[Contract_Years]]</f>
        <v>687536.79665472195</v>
      </c>
      <c r="V627" s="8">
        <v>0.182</v>
      </c>
      <c r="W627" s="8">
        <v>0.13600000000000001</v>
      </c>
      <c r="X627" s="8">
        <v>-8.4000000000000005E-2</v>
      </c>
      <c r="Y627" t="s">
        <v>905</v>
      </c>
      <c r="Z627" t="s">
        <v>889</v>
      </c>
      <c r="AA627" s="6">
        <v>198001.32355710739</v>
      </c>
      <c r="AB627" s="7">
        <f>DealsRawTable[[#This Row],[Final_Price_ACV]]*DealsRawTable[[#This Row],[Contract_Years]]</f>
        <v>594003.9706713222</v>
      </c>
      <c r="AC627" s="6">
        <v>88867.144309777272</v>
      </c>
      <c r="AD627" s="6">
        <v>109134.17924733012</v>
      </c>
      <c r="AE627" s="8">
        <v>0.55117903904240173</v>
      </c>
      <c r="AF627" t="s">
        <v>457</v>
      </c>
      <c r="AI627" t="s">
        <v>38</v>
      </c>
      <c r="AJ627" s="6">
        <v>0</v>
      </c>
      <c r="AK627" s="6">
        <v>0</v>
      </c>
      <c r="AL627" t="s">
        <v>894</v>
      </c>
      <c r="AM627">
        <f t="shared" si="18"/>
        <v>198010.6</v>
      </c>
      <c r="AN627">
        <f>DealsRawTable[[#This Row],[Validated_Annual_Final_Price]]*DealsRawTable[[#This Row],[Contract_Years]]</f>
        <v>594031.80000000005</v>
      </c>
      <c r="AO627">
        <f>DealsRawTable[[#This Row],[Validated_Annual_Final_Price]]-DealsRawTable[[#This Row],[Cost_to_Serve]]</f>
        <v>109143.45569022273</v>
      </c>
      <c r="AP627" s="17">
        <f>DealsRawTable[[#This Row],[Validated_Grossprofit]]/DealsRawTable[[#This Row],[Validated_Annual_Final_Price]]</f>
        <v>0.55120006550266865</v>
      </c>
      <c r="AQ627" s="17">
        <v>0</v>
      </c>
      <c r="AR627" s="17">
        <v>0</v>
      </c>
      <c r="AS627" s="17">
        <v>0</v>
      </c>
      <c r="AT627" s="17">
        <v>0</v>
      </c>
      <c r="AU627" s="17" t="str">
        <f t="shared" si="19"/>
        <v>10–15%</v>
      </c>
      <c r="AV627" s="17">
        <v>113</v>
      </c>
      <c r="AW627" s="17"/>
    </row>
    <row r="628" spans="1:49">
      <c r="A628" t="s">
        <v>1534</v>
      </c>
      <c r="B628" s="5">
        <v>45439</v>
      </c>
      <c r="C628" t="s">
        <v>404</v>
      </c>
      <c r="D628" t="s">
        <v>405</v>
      </c>
      <c r="E628" t="s">
        <v>838</v>
      </c>
      <c r="F628" t="s">
        <v>466</v>
      </c>
      <c r="G628" t="s">
        <v>83</v>
      </c>
      <c r="H628" t="s">
        <v>70</v>
      </c>
      <c r="I628" t="s">
        <v>76</v>
      </c>
      <c r="J628" t="s">
        <v>43</v>
      </c>
      <c r="K628" t="s">
        <v>38</v>
      </c>
      <c r="L628" s="5">
        <v>45231</v>
      </c>
      <c r="M628">
        <v>30</v>
      </c>
      <c r="N628" t="s">
        <v>429</v>
      </c>
      <c r="O628" t="s">
        <v>891</v>
      </c>
      <c r="Q628">
        <v>3</v>
      </c>
      <c r="R628">
        <v>373</v>
      </c>
      <c r="S628" t="s">
        <v>892</v>
      </c>
      <c r="T628" s="6">
        <v>269285.25593962171</v>
      </c>
      <c r="U628" s="7">
        <f>T628*DealsRawTable[[#This Row],[Contract_Years]]</f>
        <v>807855.76781886513</v>
      </c>
      <c r="V628" s="8">
        <v>0.20399999999999999</v>
      </c>
      <c r="W628" s="8">
        <v>0.188</v>
      </c>
      <c r="X628" s="8">
        <v>-4.7E-2</v>
      </c>
      <c r="Y628" t="s">
        <v>909</v>
      </c>
      <c r="Z628" t="s">
        <v>889</v>
      </c>
      <c r="AA628" s="6">
        <v>218677.71371724931</v>
      </c>
      <c r="AB628" s="7">
        <f>DealsRawTable[[#This Row],[Final_Price_ACV]]*DealsRawTable[[#This Row],[Contract_Years]]</f>
        <v>656033.1411517479</v>
      </c>
      <c r="AC628" s="6">
        <v>113477.3151391562</v>
      </c>
      <c r="AD628" s="6">
        <v>105200.39857809311</v>
      </c>
      <c r="AE628" s="8">
        <v>0.4810750798049655</v>
      </c>
      <c r="AF628" t="s">
        <v>457</v>
      </c>
      <c r="AI628" t="s">
        <v>38</v>
      </c>
      <c r="AJ628" s="6">
        <v>0</v>
      </c>
      <c r="AK628" s="6">
        <v>0</v>
      </c>
      <c r="AL628" t="s">
        <v>894</v>
      </c>
      <c r="AM628">
        <f t="shared" si="18"/>
        <v>218659.63</v>
      </c>
      <c r="AN628">
        <f>DealsRawTable[[#This Row],[Validated_Annual_Final_Price]]*DealsRawTable[[#This Row],[Contract_Years]]</f>
        <v>655978.89</v>
      </c>
      <c r="AO628">
        <f>DealsRawTable[[#This Row],[Validated_Annual_Final_Price]]-DealsRawTable[[#This Row],[Cost_to_Serve]]</f>
        <v>105182.31486084381</v>
      </c>
      <c r="AP628" s="17">
        <f>DealsRawTable[[#This Row],[Validated_Grossprofit]]/DealsRawTable[[#This Row],[Validated_Annual_Final_Price]]</f>
        <v>0.48103216337118931</v>
      </c>
      <c r="AQ628" s="17">
        <v>0</v>
      </c>
      <c r="AR628" s="17">
        <v>0</v>
      </c>
      <c r="AS628" s="17">
        <v>0</v>
      </c>
      <c r="AT628" s="17">
        <v>0</v>
      </c>
      <c r="AU628" s="17" t="str">
        <f t="shared" si="19"/>
        <v>15–20%</v>
      </c>
      <c r="AV628" s="17">
        <v>108</v>
      </c>
      <c r="AW628" s="17"/>
    </row>
    <row r="629" spans="1:49">
      <c r="A629" t="s">
        <v>1535</v>
      </c>
      <c r="B629" s="5">
        <v>45760</v>
      </c>
      <c r="C629" t="s">
        <v>404</v>
      </c>
      <c r="D629" t="s">
        <v>405</v>
      </c>
      <c r="E629" t="s">
        <v>839</v>
      </c>
      <c r="F629" t="s">
        <v>475</v>
      </c>
      <c r="G629" t="s">
        <v>83</v>
      </c>
      <c r="H629" t="s">
        <v>70</v>
      </c>
      <c r="I629" t="s">
        <v>76</v>
      </c>
      <c r="J629" t="s">
        <v>43</v>
      </c>
      <c r="K629" t="s">
        <v>38</v>
      </c>
      <c r="L629" s="5">
        <v>45231</v>
      </c>
      <c r="M629">
        <v>30</v>
      </c>
      <c r="N629" t="s">
        <v>424</v>
      </c>
      <c r="O629" t="s">
        <v>891</v>
      </c>
      <c r="Q629">
        <v>1</v>
      </c>
      <c r="R629">
        <v>1853</v>
      </c>
      <c r="S629" t="s">
        <v>892</v>
      </c>
      <c r="T629" s="6">
        <v>68615.868663712565</v>
      </c>
      <c r="U629" s="7">
        <f>T629*DealsRawTable[[#This Row],[Contract_Years]]</f>
        <v>68615.868663712565</v>
      </c>
      <c r="V629" s="8">
        <v>7.5999999999999998E-2</v>
      </c>
      <c r="W629" s="8">
        <v>4.5999999999999999E-2</v>
      </c>
      <c r="X629" s="8">
        <v>0.15</v>
      </c>
      <c r="Y629" t="s">
        <v>909</v>
      </c>
      <c r="Z629" t="s">
        <v>879</v>
      </c>
      <c r="AA629" s="6">
        <v>65448.444268664767</v>
      </c>
      <c r="AB629" s="7">
        <f>DealsRawTable[[#This Row],[Final_Price_ACV]]*DealsRawTable[[#This Row],[Contract_Years]]</f>
        <v>65448.444268664767</v>
      </c>
      <c r="AC629" s="6">
        <v>20433.756380680388</v>
      </c>
      <c r="AD629" s="6">
        <v>45014.687887984379</v>
      </c>
      <c r="AE629" s="8">
        <v>0.68778850881771669</v>
      </c>
      <c r="AF629" t="s">
        <v>457</v>
      </c>
      <c r="AI629" t="s">
        <v>38</v>
      </c>
      <c r="AJ629" s="6">
        <v>0</v>
      </c>
      <c r="AK629" s="6">
        <v>0</v>
      </c>
      <c r="AL629" t="s">
        <v>894</v>
      </c>
      <c r="AM629">
        <f t="shared" si="18"/>
        <v>65459.54</v>
      </c>
      <c r="AN629">
        <f>DealsRawTable[[#This Row],[Validated_Annual_Final_Price]]*DealsRawTable[[#This Row],[Contract_Years]]</f>
        <v>65459.54</v>
      </c>
      <c r="AO629">
        <f>DealsRawTable[[#This Row],[Validated_Annual_Final_Price]]-DealsRawTable[[#This Row],[Cost_to_Serve]]</f>
        <v>45025.783619319613</v>
      </c>
      <c r="AP629" s="17">
        <f>DealsRawTable[[#This Row],[Validated_Grossprofit]]/DealsRawTable[[#This Row],[Validated_Annual_Final_Price]]</f>
        <v>0.68784143028379996</v>
      </c>
      <c r="AQ629" s="17">
        <v>0</v>
      </c>
      <c r="AR629" s="17">
        <v>0</v>
      </c>
      <c r="AS629" s="17">
        <v>0</v>
      </c>
      <c r="AT629" s="17">
        <v>0</v>
      </c>
      <c r="AU629" s="17" t="str">
        <f t="shared" si="19"/>
        <v>0–5%</v>
      </c>
      <c r="AV629" s="17">
        <v>55</v>
      </c>
      <c r="AW629" s="17"/>
    </row>
    <row r="630" spans="1:49">
      <c r="A630" t="s">
        <v>1536</v>
      </c>
      <c r="B630" s="5">
        <v>45804</v>
      </c>
      <c r="C630" t="s">
        <v>406</v>
      </c>
      <c r="D630" t="s">
        <v>407</v>
      </c>
      <c r="E630" t="s">
        <v>840</v>
      </c>
      <c r="F630" t="s">
        <v>445</v>
      </c>
      <c r="G630" t="s">
        <v>60</v>
      </c>
      <c r="H630" t="s">
        <v>54</v>
      </c>
      <c r="I630" t="s">
        <v>94</v>
      </c>
      <c r="J630" t="s">
        <v>43</v>
      </c>
      <c r="K630" t="s">
        <v>44</v>
      </c>
      <c r="L630" s="5">
        <v>44228</v>
      </c>
      <c r="M630">
        <v>78</v>
      </c>
      <c r="N630" t="s">
        <v>424</v>
      </c>
      <c r="O630" t="s">
        <v>891</v>
      </c>
      <c r="Q630">
        <v>1</v>
      </c>
      <c r="R630">
        <v>1752</v>
      </c>
      <c r="S630" t="s">
        <v>932</v>
      </c>
      <c r="T630" s="6">
        <v>154571.37691080695</v>
      </c>
      <c r="U630" s="7">
        <f>T630*DealsRawTable[[#This Row],[Contract_Years]]</f>
        <v>154571.37691080695</v>
      </c>
      <c r="V630" s="8">
        <v>0.17499999999999999</v>
      </c>
      <c r="W630" s="8">
        <v>0.13100000000000001</v>
      </c>
      <c r="X630" s="8">
        <v>9.0999999999999998E-2</v>
      </c>
      <c r="Y630" t="s">
        <v>911</v>
      </c>
      <c r="Z630" t="s">
        <v>889</v>
      </c>
      <c r="AA630" s="6">
        <v>134275.13655296803</v>
      </c>
      <c r="AB630" s="7">
        <f>DealsRawTable[[#This Row],[Final_Price_ACV]]*DealsRawTable[[#This Row],[Contract_Years]]</f>
        <v>134275.13655296803</v>
      </c>
      <c r="AC630" s="6">
        <v>52897.466838757762</v>
      </c>
      <c r="AD630" s="6">
        <v>81377.669714210264</v>
      </c>
      <c r="AE630" s="8">
        <v>0.60605166230539564</v>
      </c>
      <c r="AF630" t="s">
        <v>880</v>
      </c>
      <c r="AI630" t="s">
        <v>38</v>
      </c>
      <c r="AJ630" s="6">
        <v>134275.13655296803</v>
      </c>
      <c r="AK630" s="6">
        <v>81377.669714210264</v>
      </c>
      <c r="AL630" t="s">
        <v>894</v>
      </c>
      <c r="AM630">
        <f t="shared" si="18"/>
        <v>134322.53</v>
      </c>
      <c r="AN630">
        <f>DealsRawTable[[#This Row],[Validated_Annual_Final_Price]]*DealsRawTable[[#This Row],[Contract_Years]]</f>
        <v>134322.53</v>
      </c>
      <c r="AO630">
        <f>DealsRawTable[[#This Row],[Validated_Annual_Final_Price]]-DealsRawTable[[#This Row],[Cost_to_Serve]]</f>
        <v>81425.063161242229</v>
      </c>
      <c r="AP630" s="17">
        <f>DealsRawTable[[#This Row],[Validated_Grossprofit]]/DealsRawTable[[#This Row],[Validated_Annual_Final_Price]]</f>
        <v>0.6061906603549102</v>
      </c>
      <c r="AQ630" s="17">
        <v>134322.53</v>
      </c>
      <c r="AR630" s="17">
        <v>134322.53</v>
      </c>
      <c r="AS630" s="17">
        <v>81425.063161242229</v>
      </c>
      <c r="AT630" s="17">
        <v>0.6061906603549102</v>
      </c>
      <c r="AU630" s="17" t="str">
        <f t="shared" si="19"/>
        <v>10–15%</v>
      </c>
      <c r="AV630" s="17">
        <v>113</v>
      </c>
      <c r="AW630" s="17"/>
    </row>
    <row r="631" spans="1:49">
      <c r="A631" t="s">
        <v>1537</v>
      </c>
      <c r="B631" s="5">
        <v>45604</v>
      </c>
      <c r="C631" t="s">
        <v>406</v>
      </c>
      <c r="D631" t="s">
        <v>407</v>
      </c>
      <c r="E631" t="s">
        <v>841</v>
      </c>
      <c r="F631" t="s">
        <v>449</v>
      </c>
      <c r="G631" t="s">
        <v>60</v>
      </c>
      <c r="H631" t="s">
        <v>54</v>
      </c>
      <c r="I631" t="s">
        <v>94</v>
      </c>
      <c r="J631" t="s">
        <v>43</v>
      </c>
      <c r="K631" t="s">
        <v>44</v>
      </c>
      <c r="L631" s="5">
        <v>44228</v>
      </c>
      <c r="M631">
        <v>78</v>
      </c>
      <c r="N631" t="s">
        <v>429</v>
      </c>
      <c r="O631" t="s">
        <v>876</v>
      </c>
      <c r="Q631">
        <v>1</v>
      </c>
      <c r="R631">
        <v>412</v>
      </c>
      <c r="S631" t="s">
        <v>900</v>
      </c>
      <c r="T631" s="6">
        <v>373689.49508567428</v>
      </c>
      <c r="U631" s="7">
        <f>T631*DealsRawTable[[#This Row],[Contract_Years]]</f>
        <v>373689.49508567428</v>
      </c>
      <c r="V631" s="8">
        <v>6.4000000000000001E-2</v>
      </c>
      <c r="W631" s="8">
        <v>8.0000000000000002E-3</v>
      </c>
      <c r="X631" s="8">
        <v>-1.9E-2</v>
      </c>
      <c r="Y631" t="s">
        <v>885</v>
      </c>
      <c r="Z631" t="s">
        <v>879</v>
      </c>
      <c r="AA631" s="6">
        <v>370839.86833801749</v>
      </c>
      <c r="AB631" s="7">
        <f>DealsRawTable[[#This Row],[Final_Price_ACV]]*DealsRawTable[[#This Row],[Contract_Years]]</f>
        <v>370839.86833801749</v>
      </c>
      <c r="AC631" s="6">
        <v>123503.6309681898</v>
      </c>
      <c r="AD631" s="6">
        <v>247336.23736982769</v>
      </c>
      <c r="AE631" s="8">
        <v>0.6669623697104291</v>
      </c>
      <c r="AF631" t="s">
        <v>880</v>
      </c>
      <c r="AG631" t="s">
        <v>44</v>
      </c>
      <c r="AI631" t="s">
        <v>38</v>
      </c>
      <c r="AJ631" s="6">
        <v>370839.86833801749</v>
      </c>
      <c r="AK631" s="6">
        <v>247336.23736982769</v>
      </c>
      <c r="AL631" t="s">
        <v>881</v>
      </c>
      <c r="AM631">
        <f t="shared" si="18"/>
        <v>370699.98</v>
      </c>
      <c r="AN631">
        <f>DealsRawTable[[#This Row],[Validated_Annual_Final_Price]]*DealsRawTable[[#This Row],[Contract_Years]]</f>
        <v>370699.98</v>
      </c>
      <c r="AO631">
        <f>DealsRawTable[[#This Row],[Validated_Annual_Final_Price]]-DealsRawTable[[#This Row],[Cost_to_Serve]]</f>
        <v>247196.34903181018</v>
      </c>
      <c r="AP631" s="17">
        <f>DealsRawTable[[#This Row],[Validated_Grossprofit]]/DealsRawTable[[#This Row],[Validated_Annual_Final_Price]]</f>
        <v>0.66683669373764254</v>
      </c>
      <c r="AQ631" s="17">
        <v>370699.98</v>
      </c>
      <c r="AR631" s="17">
        <v>370699.98</v>
      </c>
      <c r="AS631" s="17">
        <v>247196.34903181018</v>
      </c>
      <c r="AT631" s="17">
        <v>0.66683669373764254</v>
      </c>
      <c r="AU631" s="17" t="str">
        <f t="shared" si="19"/>
        <v>0–5%</v>
      </c>
      <c r="AV631" s="17">
        <v>55</v>
      </c>
      <c r="AW631" s="17"/>
    </row>
    <row r="632" spans="1:49">
      <c r="A632" t="s">
        <v>1538</v>
      </c>
      <c r="B632" s="5">
        <v>45969</v>
      </c>
      <c r="C632" t="s">
        <v>406</v>
      </c>
      <c r="D632" t="s">
        <v>407</v>
      </c>
      <c r="E632" t="s">
        <v>841</v>
      </c>
      <c r="F632" t="s">
        <v>449</v>
      </c>
      <c r="G632" t="s">
        <v>60</v>
      </c>
      <c r="H632" t="s">
        <v>54</v>
      </c>
      <c r="I632" t="s">
        <v>94</v>
      </c>
      <c r="J632" t="s">
        <v>43</v>
      </c>
      <c r="K632" t="s">
        <v>44</v>
      </c>
      <c r="L632" s="5">
        <v>44228</v>
      </c>
      <c r="M632">
        <v>78</v>
      </c>
      <c r="N632" t="s">
        <v>429</v>
      </c>
      <c r="O632" t="s">
        <v>876</v>
      </c>
      <c r="Q632">
        <v>1</v>
      </c>
      <c r="R632">
        <v>412</v>
      </c>
      <c r="S632" t="s">
        <v>932</v>
      </c>
      <c r="T632" s="6">
        <v>389642.14446826105</v>
      </c>
      <c r="U632" s="7">
        <f>T632*DealsRawTable[[#This Row],[Contract_Years]]</f>
        <v>389642.14446826105</v>
      </c>
      <c r="V632" s="8">
        <v>0.108</v>
      </c>
      <c r="W632" s="8">
        <v>8.7999999999999995E-2</v>
      </c>
      <c r="X632" s="8">
        <v>-1.7999999999999999E-2</v>
      </c>
      <c r="Y632" t="s">
        <v>885</v>
      </c>
      <c r="Z632" t="s">
        <v>879</v>
      </c>
      <c r="AA632" s="6">
        <v>355196.70394361432</v>
      </c>
      <c r="AB632" s="7">
        <f>DealsRawTable[[#This Row],[Final_Price_ACV]]*DealsRawTable[[#This Row],[Contract_Years]]</f>
        <v>355196.70394361432</v>
      </c>
      <c r="AC632" s="6">
        <v>136778.38939760806</v>
      </c>
      <c r="AD632" s="6">
        <v>218418.31454600627</v>
      </c>
      <c r="AE632" s="8">
        <v>0.61492213221854408</v>
      </c>
      <c r="AF632" t="s">
        <v>880</v>
      </c>
      <c r="AG632" t="s">
        <v>44</v>
      </c>
      <c r="AI632" t="s">
        <v>38</v>
      </c>
      <c r="AJ632" s="6">
        <v>355196.70394361432</v>
      </c>
      <c r="AK632" s="6">
        <v>218418.31454600627</v>
      </c>
      <c r="AL632" t="s">
        <v>881</v>
      </c>
      <c r="AM632">
        <f t="shared" si="18"/>
        <v>355353.64</v>
      </c>
      <c r="AN632">
        <f>DealsRawTable[[#This Row],[Validated_Annual_Final_Price]]*DealsRawTable[[#This Row],[Contract_Years]]</f>
        <v>355353.64</v>
      </c>
      <c r="AO632">
        <f>DealsRawTable[[#This Row],[Validated_Annual_Final_Price]]-DealsRawTable[[#This Row],[Cost_to_Serve]]</f>
        <v>218575.25060239196</v>
      </c>
      <c r="AP632" s="17">
        <f>DealsRawTable[[#This Row],[Validated_Grossprofit]]/DealsRawTable[[#This Row],[Validated_Annual_Final_Price]]</f>
        <v>0.61509219548839278</v>
      </c>
      <c r="AQ632" s="17">
        <v>355353.64</v>
      </c>
      <c r="AR632" s="17">
        <v>355353.64</v>
      </c>
      <c r="AS632" s="17">
        <v>218575.25060239196</v>
      </c>
      <c r="AT632" s="17">
        <v>0.61509219548839278</v>
      </c>
      <c r="AU632" s="17" t="str">
        <f t="shared" si="19"/>
        <v>5–10%</v>
      </c>
      <c r="AV632" s="17">
        <v>116</v>
      </c>
      <c r="AW632" s="17"/>
    </row>
    <row r="633" spans="1:49">
      <c r="A633" t="s">
        <v>1539</v>
      </c>
      <c r="B633" s="5">
        <v>45578</v>
      </c>
      <c r="C633" t="s">
        <v>406</v>
      </c>
      <c r="D633" t="s">
        <v>407</v>
      </c>
      <c r="E633" t="s">
        <v>842</v>
      </c>
      <c r="F633" t="s">
        <v>445</v>
      </c>
      <c r="G633" t="s">
        <v>60</v>
      </c>
      <c r="H633" t="s">
        <v>54</v>
      </c>
      <c r="I633" t="s">
        <v>94</v>
      </c>
      <c r="J633" t="s">
        <v>43</v>
      </c>
      <c r="K633" t="s">
        <v>44</v>
      </c>
      <c r="L633" s="5">
        <v>44228</v>
      </c>
      <c r="M633">
        <v>78</v>
      </c>
      <c r="N633" t="s">
        <v>429</v>
      </c>
      <c r="O633" t="s">
        <v>891</v>
      </c>
      <c r="Q633">
        <v>1</v>
      </c>
      <c r="R633">
        <v>769</v>
      </c>
      <c r="S633" t="s">
        <v>896</v>
      </c>
      <c r="T633" s="6">
        <v>370917.99211613234</v>
      </c>
      <c r="U633" s="7">
        <f>T633*DealsRawTable[[#This Row],[Contract_Years]]</f>
        <v>370917.99211613234</v>
      </c>
      <c r="V633" s="8">
        <v>0.187</v>
      </c>
      <c r="W633" s="8">
        <v>0.186</v>
      </c>
      <c r="X633" s="8">
        <v>-0.153</v>
      </c>
      <c r="Y633" t="s">
        <v>930</v>
      </c>
      <c r="Z633" t="s">
        <v>889</v>
      </c>
      <c r="AA633" s="6">
        <v>302053.07299047423</v>
      </c>
      <c r="AB633" s="7">
        <f>DealsRawTable[[#This Row],[Final_Price_ACV]]*DealsRawTable[[#This Row],[Contract_Years]]</f>
        <v>302053.07299047423</v>
      </c>
      <c r="AC633" s="6">
        <v>143189.62884160792</v>
      </c>
      <c r="AD633" s="6">
        <v>158863.44414886631</v>
      </c>
      <c r="AE633" s="8">
        <v>0.52594546572905199</v>
      </c>
      <c r="AF633" t="s">
        <v>880</v>
      </c>
      <c r="AI633" t="s">
        <v>38</v>
      </c>
      <c r="AJ633" s="6">
        <v>302053.07299047423</v>
      </c>
      <c r="AK633" s="6">
        <v>158863.44414886631</v>
      </c>
      <c r="AL633" t="s">
        <v>894</v>
      </c>
      <c r="AM633">
        <f t="shared" si="18"/>
        <v>301927.25</v>
      </c>
      <c r="AN633">
        <f>DealsRawTable[[#This Row],[Validated_Annual_Final_Price]]*DealsRawTable[[#This Row],[Contract_Years]]</f>
        <v>301927.25</v>
      </c>
      <c r="AO633">
        <f>DealsRawTable[[#This Row],[Validated_Annual_Final_Price]]-DealsRawTable[[#This Row],[Cost_to_Serve]]</f>
        <v>158737.62115839208</v>
      </c>
      <c r="AP633" s="17">
        <f>DealsRawTable[[#This Row],[Validated_Grossprofit]]/DealsRawTable[[#This Row],[Validated_Annual_Final_Price]]</f>
        <v>0.52574791165220125</v>
      </c>
      <c r="AQ633" s="17">
        <v>301927.25</v>
      </c>
      <c r="AR633" s="17">
        <v>301927.25</v>
      </c>
      <c r="AS633" s="17">
        <v>158737.62115839208</v>
      </c>
      <c r="AT633" s="17">
        <v>0.52574791165220125</v>
      </c>
      <c r="AU633" s="17" t="str">
        <f t="shared" si="19"/>
        <v>15–20%</v>
      </c>
      <c r="AV633" s="17">
        <v>108</v>
      </c>
      <c r="AW633" s="17"/>
    </row>
    <row r="634" spans="1:49">
      <c r="A634" t="s">
        <v>1540</v>
      </c>
      <c r="B634" s="5">
        <v>45943</v>
      </c>
      <c r="C634" t="s">
        <v>406</v>
      </c>
      <c r="D634" t="s">
        <v>407</v>
      </c>
      <c r="E634" t="s">
        <v>842</v>
      </c>
      <c r="F634" t="s">
        <v>445</v>
      </c>
      <c r="G634" t="s">
        <v>60</v>
      </c>
      <c r="H634" t="s">
        <v>54</v>
      </c>
      <c r="I634" t="s">
        <v>94</v>
      </c>
      <c r="J634" t="s">
        <v>43</v>
      </c>
      <c r="K634" t="s">
        <v>44</v>
      </c>
      <c r="L634" s="5">
        <v>44228</v>
      </c>
      <c r="M634">
        <v>78</v>
      </c>
      <c r="N634" t="s">
        <v>429</v>
      </c>
      <c r="O634" t="s">
        <v>876</v>
      </c>
      <c r="Q634">
        <v>1</v>
      </c>
      <c r="R634">
        <v>769</v>
      </c>
      <c r="S634" t="s">
        <v>896</v>
      </c>
      <c r="T634" s="6">
        <v>389246.53225774283</v>
      </c>
      <c r="U634" s="7">
        <f>T634*DealsRawTable[[#This Row],[Contract_Years]]</f>
        <v>389246.53225774283</v>
      </c>
      <c r="V634" s="8">
        <v>8.7999999999999995E-2</v>
      </c>
      <c r="W634" s="8">
        <v>7.3999999999999996E-2</v>
      </c>
      <c r="X634" s="8">
        <v>5.0000000000000001E-3</v>
      </c>
      <c r="Y634" t="s">
        <v>930</v>
      </c>
      <c r="Z634" t="s">
        <v>879</v>
      </c>
      <c r="AA634" s="6">
        <v>360265.21238723106</v>
      </c>
      <c r="AB634" s="7">
        <f>DealsRawTable[[#This Row],[Final_Price_ACV]]*DealsRawTable[[#This Row],[Contract_Years]]</f>
        <v>360265.21238723106</v>
      </c>
      <c r="AC634" s="6">
        <v>127984.25679967177</v>
      </c>
      <c r="AD634" s="6">
        <v>232280.95558755929</v>
      </c>
      <c r="AE634" s="8">
        <v>0.64474988869558714</v>
      </c>
      <c r="AF634" t="s">
        <v>457</v>
      </c>
      <c r="AG634" t="s">
        <v>38</v>
      </c>
      <c r="AI634" t="s">
        <v>38</v>
      </c>
      <c r="AJ634" s="6">
        <v>0</v>
      </c>
      <c r="AK634" s="6">
        <v>0</v>
      </c>
      <c r="AL634" t="s">
        <v>881</v>
      </c>
      <c r="AM634">
        <f t="shared" si="18"/>
        <v>360442.29</v>
      </c>
      <c r="AN634">
        <f>DealsRawTable[[#This Row],[Validated_Annual_Final_Price]]*DealsRawTable[[#This Row],[Contract_Years]]</f>
        <v>360442.29</v>
      </c>
      <c r="AO634">
        <f>DealsRawTable[[#This Row],[Validated_Annual_Final_Price]]-DealsRawTable[[#This Row],[Cost_to_Serve]]</f>
        <v>232458.03320032821</v>
      </c>
      <c r="AP634" s="17">
        <f>DealsRawTable[[#This Row],[Validated_Grossprofit]]/DealsRawTable[[#This Row],[Validated_Annual_Final_Price]]</f>
        <v>0.64492441550165558</v>
      </c>
      <c r="AQ634" s="17">
        <v>0</v>
      </c>
      <c r="AR634" s="17">
        <v>0</v>
      </c>
      <c r="AS634" s="17">
        <v>0</v>
      </c>
      <c r="AT634" s="17">
        <v>0</v>
      </c>
      <c r="AU634" s="17" t="str">
        <f t="shared" si="19"/>
        <v>5–10%</v>
      </c>
      <c r="AV634" s="17">
        <v>116</v>
      </c>
      <c r="AW634" s="17"/>
    </row>
    <row r="635" spans="1:49">
      <c r="A635" t="s">
        <v>1541</v>
      </c>
      <c r="B635" s="5">
        <v>45697</v>
      </c>
      <c r="C635" t="s">
        <v>408</v>
      </c>
      <c r="D635" t="s">
        <v>409</v>
      </c>
      <c r="E635" t="s">
        <v>843</v>
      </c>
      <c r="F635" t="s">
        <v>475</v>
      </c>
      <c r="G635" t="s">
        <v>69</v>
      </c>
      <c r="H635" t="s">
        <v>70</v>
      </c>
      <c r="I635" t="s">
        <v>71</v>
      </c>
      <c r="J635" t="s">
        <v>56</v>
      </c>
      <c r="K635" t="s">
        <v>38</v>
      </c>
      <c r="L635" s="5">
        <v>43313</v>
      </c>
      <c r="M635">
        <v>74</v>
      </c>
      <c r="N635" t="s">
        <v>427</v>
      </c>
      <c r="O635" t="s">
        <v>876</v>
      </c>
      <c r="Q635">
        <v>3</v>
      </c>
      <c r="R635">
        <v>204</v>
      </c>
      <c r="S635" t="s">
        <v>896</v>
      </c>
      <c r="T635" s="6">
        <v>94878.445410071159</v>
      </c>
      <c r="U635" s="7">
        <f>T635*DealsRawTable[[#This Row],[Contract_Years]]</f>
        <v>284635.33623021346</v>
      </c>
      <c r="V635" s="8">
        <v>0.20599999999999999</v>
      </c>
      <c r="W635" s="8">
        <v>0.17199999999999999</v>
      </c>
      <c r="X635" s="8">
        <v>-0.06</v>
      </c>
      <c r="Y635" t="s">
        <v>885</v>
      </c>
      <c r="Z635" t="s">
        <v>889</v>
      </c>
      <c r="AA635" s="6">
        <v>78559.592314994516</v>
      </c>
      <c r="AB635" s="7">
        <f>DealsRawTable[[#This Row],[Final_Price_ACV]]*DealsRawTable[[#This Row],[Contract_Years]]</f>
        <v>235678.77694498355</v>
      </c>
      <c r="AC635" s="6">
        <v>27668.77154362424</v>
      </c>
      <c r="AD635" s="6">
        <v>50890.820771370272</v>
      </c>
      <c r="AE635" s="8">
        <v>0.64779894181880626</v>
      </c>
      <c r="AF635" t="s">
        <v>880</v>
      </c>
      <c r="AG635" t="s">
        <v>44</v>
      </c>
      <c r="AI635" t="s">
        <v>38</v>
      </c>
      <c r="AJ635" s="6">
        <v>78559.592314994516</v>
      </c>
      <c r="AK635" s="6">
        <v>50890.820771370272</v>
      </c>
      <c r="AL635" t="s">
        <v>881</v>
      </c>
      <c r="AM635">
        <f t="shared" si="18"/>
        <v>78559.350000000006</v>
      </c>
      <c r="AN635">
        <f>DealsRawTable[[#This Row],[Validated_Annual_Final_Price]]*DealsRawTable[[#This Row],[Contract_Years]]</f>
        <v>235678.05000000002</v>
      </c>
      <c r="AO635">
        <f>DealsRawTable[[#This Row],[Validated_Annual_Final_Price]]-DealsRawTable[[#This Row],[Cost_to_Serve]]</f>
        <v>50890.578456375762</v>
      </c>
      <c r="AP635" s="17">
        <f>DealsRawTable[[#This Row],[Validated_Grossprofit]]/DealsRawTable[[#This Row],[Validated_Annual_Final_Price]]</f>
        <v>0.64779785546056268</v>
      </c>
      <c r="AQ635" s="17">
        <v>78559.350000000006</v>
      </c>
      <c r="AR635" s="17">
        <v>235678.05000000002</v>
      </c>
      <c r="AS635" s="17">
        <v>50890.578456375762</v>
      </c>
      <c r="AT635" s="17">
        <v>0.64779785546056268</v>
      </c>
      <c r="AU635" s="17" t="str">
        <f t="shared" si="19"/>
        <v>15–20%</v>
      </c>
      <c r="AV635" s="17">
        <v>108</v>
      </c>
      <c r="AW635" s="17"/>
    </row>
    <row r="636" spans="1:49">
      <c r="A636" t="s">
        <v>1542</v>
      </c>
      <c r="B636" s="5">
        <v>45467</v>
      </c>
      <c r="C636" t="s">
        <v>410</v>
      </c>
      <c r="D636" t="s">
        <v>411</v>
      </c>
      <c r="E636" t="s">
        <v>844</v>
      </c>
      <c r="F636" t="s">
        <v>475</v>
      </c>
      <c r="G636" t="s">
        <v>60</v>
      </c>
      <c r="H636" t="s">
        <v>54</v>
      </c>
      <c r="I636" t="s">
        <v>94</v>
      </c>
      <c r="J636" t="s">
        <v>43</v>
      </c>
      <c r="K636" t="s">
        <v>38</v>
      </c>
      <c r="L636" s="5">
        <v>44621</v>
      </c>
      <c r="M636">
        <v>79</v>
      </c>
      <c r="N636" t="s">
        <v>429</v>
      </c>
      <c r="O636" t="s">
        <v>876</v>
      </c>
      <c r="Q636">
        <v>1</v>
      </c>
      <c r="R636">
        <v>312</v>
      </c>
      <c r="S636" t="s">
        <v>892</v>
      </c>
      <c r="T636" s="6">
        <v>372075.19986271684</v>
      </c>
      <c r="U636" s="7">
        <f>T636*DealsRawTable[[#This Row],[Contract_Years]]</f>
        <v>372075.19986271684</v>
      </c>
      <c r="V636" s="8">
        <v>0.106</v>
      </c>
      <c r="W636" s="8">
        <v>9.9000000000000005E-2</v>
      </c>
      <c r="X636" s="8">
        <v>-1.7000000000000001E-2</v>
      </c>
      <c r="Y636" t="s">
        <v>911</v>
      </c>
      <c r="Z636" t="s">
        <v>879</v>
      </c>
      <c r="AA636" s="6">
        <v>335127.75813309749</v>
      </c>
      <c r="AB636" s="7">
        <f>DealsRawTable[[#This Row],[Final_Price_ACV]]*DealsRawTable[[#This Row],[Contract_Years]]</f>
        <v>335127.75813309749</v>
      </c>
      <c r="AC636" s="6">
        <v>119806.6867443495</v>
      </c>
      <c r="AD636" s="6">
        <v>215321.07138874801</v>
      </c>
      <c r="AE636" s="8">
        <v>0.64250443648189914</v>
      </c>
      <c r="AF636" t="s">
        <v>457</v>
      </c>
      <c r="AG636" t="s">
        <v>38</v>
      </c>
      <c r="AI636" t="s">
        <v>38</v>
      </c>
      <c r="AJ636" s="6">
        <v>0</v>
      </c>
      <c r="AK636" s="6">
        <v>0</v>
      </c>
      <c r="AL636" t="s">
        <v>881</v>
      </c>
      <c r="AM636">
        <f t="shared" si="18"/>
        <v>335239.76</v>
      </c>
      <c r="AN636">
        <f>DealsRawTable[[#This Row],[Validated_Annual_Final_Price]]*DealsRawTable[[#This Row],[Contract_Years]]</f>
        <v>335239.76</v>
      </c>
      <c r="AO636">
        <f>DealsRawTable[[#This Row],[Validated_Annual_Final_Price]]-DealsRawTable[[#This Row],[Cost_to_Serve]]</f>
        <v>215433.07325565052</v>
      </c>
      <c r="AP636" s="17">
        <f>DealsRawTable[[#This Row],[Validated_Grossprofit]]/DealsRawTable[[#This Row],[Validated_Annual_Final_Price]]</f>
        <v>0.64262387389744735</v>
      </c>
      <c r="AQ636" s="17">
        <v>0</v>
      </c>
      <c r="AR636" s="17">
        <v>0</v>
      </c>
      <c r="AS636" s="17">
        <v>0</v>
      </c>
      <c r="AT636" s="17">
        <v>0</v>
      </c>
      <c r="AU636" s="17" t="str">
        <f t="shared" si="19"/>
        <v>5–10%</v>
      </c>
      <c r="AV636" s="17">
        <v>116</v>
      </c>
      <c r="AW636" s="17"/>
    </row>
    <row r="637" spans="1:49">
      <c r="A637" t="s">
        <v>1543</v>
      </c>
      <c r="B637" s="5">
        <v>45641</v>
      </c>
      <c r="C637" t="s">
        <v>410</v>
      </c>
      <c r="D637" t="s">
        <v>411</v>
      </c>
      <c r="E637" t="s">
        <v>844</v>
      </c>
      <c r="F637" t="s">
        <v>475</v>
      </c>
      <c r="G637" t="s">
        <v>60</v>
      </c>
      <c r="H637" t="s">
        <v>54</v>
      </c>
      <c r="I637" t="s">
        <v>94</v>
      </c>
      <c r="J637" t="s">
        <v>43</v>
      </c>
      <c r="K637" t="s">
        <v>38</v>
      </c>
      <c r="L637" s="5">
        <v>44621</v>
      </c>
      <c r="M637">
        <v>79</v>
      </c>
      <c r="N637" t="s">
        <v>429</v>
      </c>
      <c r="O637" t="s">
        <v>915</v>
      </c>
      <c r="Q637">
        <v>1</v>
      </c>
      <c r="R637">
        <v>312</v>
      </c>
      <c r="S637" t="s">
        <v>947</v>
      </c>
      <c r="T637" s="6">
        <v>372075.19986271684</v>
      </c>
      <c r="U637" s="7">
        <f>T637*DealsRawTable[[#This Row],[Contract_Years]]</f>
        <v>372075.19986271684</v>
      </c>
      <c r="V637" s="8">
        <v>0.27400000000000002</v>
      </c>
      <c r="W637" s="8">
        <v>0.253</v>
      </c>
      <c r="X637" s="8">
        <v>-0.151</v>
      </c>
      <c r="Y637" t="s">
        <v>878</v>
      </c>
      <c r="Z637" t="s">
        <v>893</v>
      </c>
      <c r="AA637" s="6">
        <v>277829.58188621438</v>
      </c>
      <c r="AB637" s="7">
        <f>DealsRawTable[[#This Row],[Final_Price_ACV]]*DealsRawTable[[#This Row],[Contract_Years]]</f>
        <v>277829.58188621438</v>
      </c>
      <c r="AC637" s="6">
        <v>122360.82781342439</v>
      </c>
      <c r="AD637" s="6">
        <v>155468.75407278998</v>
      </c>
      <c r="AE637" s="8">
        <v>0.55958315531879721</v>
      </c>
      <c r="AF637" t="s">
        <v>457</v>
      </c>
      <c r="AI637" t="s">
        <v>44</v>
      </c>
      <c r="AJ637" s="6">
        <v>0</v>
      </c>
      <c r="AK637" s="6">
        <v>0</v>
      </c>
      <c r="AL637" t="s">
        <v>916</v>
      </c>
      <c r="AM637">
        <f t="shared" si="18"/>
        <v>277940.17</v>
      </c>
      <c r="AN637">
        <f>DealsRawTable[[#This Row],[Validated_Annual_Final_Price]]*DealsRawTable[[#This Row],[Contract_Years]]</f>
        <v>277940.17</v>
      </c>
      <c r="AO637">
        <f>DealsRawTable[[#This Row],[Validated_Annual_Final_Price]]-DealsRawTable[[#This Row],[Cost_to_Serve]]</f>
        <v>155579.34218657558</v>
      </c>
      <c r="AP637" s="17">
        <f>DealsRawTable[[#This Row],[Validated_Grossprofit]]/DealsRawTable[[#This Row],[Validated_Annual_Final_Price]]</f>
        <v>0.55975839039954389</v>
      </c>
      <c r="AQ637" s="17">
        <v>0</v>
      </c>
      <c r="AR637" s="17">
        <v>0</v>
      </c>
      <c r="AS637" s="17">
        <v>0</v>
      </c>
      <c r="AT637" s="17">
        <v>0</v>
      </c>
      <c r="AU637" s="17" t="str">
        <f t="shared" si="19"/>
        <v>25–30%</v>
      </c>
      <c r="AV637" s="17">
        <v>3</v>
      </c>
      <c r="AW637" s="17"/>
    </row>
    <row r="638" spans="1:49">
      <c r="A638" t="s">
        <v>1544</v>
      </c>
      <c r="B638" s="5">
        <v>45401</v>
      </c>
      <c r="C638" t="s">
        <v>412</v>
      </c>
      <c r="D638" t="s">
        <v>413</v>
      </c>
      <c r="E638" t="s">
        <v>845</v>
      </c>
      <c r="F638" t="s">
        <v>475</v>
      </c>
      <c r="G638" t="s">
        <v>53</v>
      </c>
      <c r="H638" t="s">
        <v>48</v>
      </c>
      <c r="I638" t="s">
        <v>49</v>
      </c>
      <c r="J638" t="s">
        <v>37</v>
      </c>
      <c r="K638" t="s">
        <v>38</v>
      </c>
      <c r="L638" s="5">
        <v>43344</v>
      </c>
      <c r="M638">
        <v>71</v>
      </c>
      <c r="N638" t="s">
        <v>433</v>
      </c>
      <c r="O638" t="s">
        <v>876</v>
      </c>
      <c r="Q638">
        <v>2</v>
      </c>
      <c r="R638">
        <v>33</v>
      </c>
      <c r="S638" t="s">
        <v>900</v>
      </c>
      <c r="T638" s="6">
        <v>196828.54959547959</v>
      </c>
      <c r="U638" s="7">
        <f>T638*DealsRawTable[[#This Row],[Contract_Years]]</f>
        <v>393657.09919095918</v>
      </c>
      <c r="V638" s="8">
        <v>0.17</v>
      </c>
      <c r="W638" s="8">
        <v>0.153</v>
      </c>
      <c r="X638" s="8">
        <v>-6.9000000000000006E-2</v>
      </c>
      <c r="Y638" t="s">
        <v>905</v>
      </c>
      <c r="Z638" t="s">
        <v>889</v>
      </c>
      <c r="AA638" s="6">
        <v>166691.66702453382</v>
      </c>
      <c r="AB638" s="7">
        <f>DealsRawTable[[#This Row],[Final_Price_ACV]]*DealsRawTable[[#This Row],[Contract_Years]]</f>
        <v>333383.33404906763</v>
      </c>
      <c r="AC638" s="6">
        <v>67786.475551610929</v>
      </c>
      <c r="AD638" s="6">
        <v>98905.191472922888</v>
      </c>
      <c r="AE638" s="8">
        <v>0.59334214624157511</v>
      </c>
      <c r="AF638" t="s">
        <v>457</v>
      </c>
      <c r="AG638" t="s">
        <v>38</v>
      </c>
      <c r="AI638" t="s">
        <v>38</v>
      </c>
      <c r="AJ638" s="6">
        <v>0</v>
      </c>
      <c r="AK638" s="6">
        <v>0</v>
      </c>
      <c r="AL638" t="s">
        <v>881</v>
      </c>
      <c r="AM638">
        <f t="shared" si="18"/>
        <v>166713.78</v>
      </c>
      <c r="AN638">
        <f>DealsRawTable[[#This Row],[Validated_Annual_Final_Price]]*DealsRawTable[[#This Row],[Contract_Years]]</f>
        <v>333427.56</v>
      </c>
      <c r="AO638">
        <f>DealsRawTable[[#This Row],[Validated_Annual_Final_Price]]-DealsRawTable[[#This Row],[Cost_to_Serve]]</f>
        <v>98927.30444838907</v>
      </c>
      <c r="AP638" s="17">
        <f>DealsRawTable[[#This Row],[Validated_Grossprofit]]/DealsRawTable[[#This Row],[Validated_Annual_Final_Price]]</f>
        <v>0.59339608548488953</v>
      </c>
      <c r="AQ638" s="17">
        <v>0</v>
      </c>
      <c r="AR638" s="17">
        <v>0</v>
      </c>
      <c r="AS638" s="17">
        <v>0</v>
      </c>
      <c r="AT638" s="17">
        <v>0</v>
      </c>
      <c r="AU638" s="17" t="str">
        <f t="shared" si="19"/>
        <v>15–20%</v>
      </c>
      <c r="AV638" s="17">
        <v>108</v>
      </c>
      <c r="AW638" s="17"/>
    </row>
    <row r="639" spans="1:49">
      <c r="A639" t="s">
        <v>1545</v>
      </c>
      <c r="B639" s="5">
        <v>45647</v>
      </c>
      <c r="C639" t="s">
        <v>412</v>
      </c>
      <c r="D639" t="s">
        <v>413</v>
      </c>
      <c r="E639" t="s">
        <v>845</v>
      </c>
      <c r="F639" t="s">
        <v>475</v>
      </c>
      <c r="G639" t="s">
        <v>53</v>
      </c>
      <c r="H639" t="s">
        <v>48</v>
      </c>
      <c r="I639" t="s">
        <v>49</v>
      </c>
      <c r="J639" t="s">
        <v>37</v>
      </c>
      <c r="K639" t="s">
        <v>38</v>
      </c>
      <c r="L639" s="5">
        <v>43344</v>
      </c>
      <c r="M639">
        <v>71</v>
      </c>
      <c r="N639" t="s">
        <v>433</v>
      </c>
      <c r="O639" t="s">
        <v>915</v>
      </c>
      <c r="Q639">
        <v>2</v>
      </c>
      <c r="R639">
        <v>33</v>
      </c>
      <c r="S639" t="s">
        <v>932</v>
      </c>
      <c r="T639" s="6">
        <v>196828.54959547959</v>
      </c>
      <c r="U639" s="7">
        <f>T639*DealsRawTable[[#This Row],[Contract_Years]]</f>
        <v>393657.09919095918</v>
      </c>
      <c r="V639" s="8">
        <v>0.26400000000000001</v>
      </c>
      <c r="W639" s="8">
        <v>0.22600000000000001</v>
      </c>
      <c r="X639" s="8">
        <v>7.0000000000000001E-3</v>
      </c>
      <c r="Y639" t="s">
        <v>878</v>
      </c>
      <c r="Z639" t="s">
        <v>893</v>
      </c>
      <c r="AA639" s="6">
        <v>152335.31647213074</v>
      </c>
      <c r="AB639" s="7">
        <f>DealsRawTable[[#This Row],[Final_Price_ACV]]*DealsRawTable[[#This Row],[Contract_Years]]</f>
        <v>304670.63294426148</v>
      </c>
      <c r="AC639" s="6">
        <v>79723.675100057488</v>
      </c>
      <c r="AD639" s="6">
        <v>72611.641372073253</v>
      </c>
      <c r="AE639" s="8">
        <v>0.47665664833116567</v>
      </c>
      <c r="AF639" t="s">
        <v>880</v>
      </c>
      <c r="AI639" t="s">
        <v>44</v>
      </c>
      <c r="AJ639" s="6">
        <v>152335.31647213074</v>
      </c>
      <c r="AK639" s="6">
        <v>72611.641372073253</v>
      </c>
      <c r="AL639" t="s">
        <v>916</v>
      </c>
      <c r="AM639">
        <f t="shared" si="18"/>
        <v>152345.29999999999</v>
      </c>
      <c r="AN639">
        <f>DealsRawTable[[#This Row],[Validated_Annual_Final_Price]]*DealsRawTable[[#This Row],[Contract_Years]]</f>
        <v>304690.59999999998</v>
      </c>
      <c r="AO639">
        <f>DealsRawTable[[#This Row],[Validated_Annual_Final_Price]]-DealsRawTable[[#This Row],[Cost_to_Serve]]</f>
        <v>72621.624899942501</v>
      </c>
      <c r="AP639" s="17">
        <f>DealsRawTable[[#This Row],[Validated_Grossprofit]]/DealsRawTable[[#This Row],[Validated_Annual_Final_Price]]</f>
        <v>0.47669094419022118</v>
      </c>
      <c r="AQ639" s="17">
        <v>152345.29999999999</v>
      </c>
      <c r="AR639" s="17">
        <v>304690.59999999998</v>
      </c>
      <c r="AS639" s="17">
        <v>72621.624899942501</v>
      </c>
      <c r="AT639" s="17">
        <v>0.47669094419022118</v>
      </c>
      <c r="AU639" s="17" t="str">
        <f t="shared" si="19"/>
        <v>20–25%</v>
      </c>
      <c r="AV639" s="17">
        <v>29</v>
      </c>
      <c r="AW639" s="17"/>
    </row>
    <row r="640" spans="1:49">
      <c r="A640" t="s">
        <v>1546</v>
      </c>
      <c r="B640" s="5">
        <v>45765</v>
      </c>
      <c r="C640" t="s">
        <v>414</v>
      </c>
      <c r="D640" t="s">
        <v>415</v>
      </c>
      <c r="E640" t="s">
        <v>846</v>
      </c>
      <c r="F640" t="s">
        <v>445</v>
      </c>
      <c r="G640" t="s">
        <v>34</v>
      </c>
      <c r="H640" t="s">
        <v>35</v>
      </c>
      <c r="I640" t="s">
        <v>36</v>
      </c>
      <c r="J640" t="s">
        <v>37</v>
      </c>
      <c r="K640" t="s">
        <v>38</v>
      </c>
      <c r="L640" s="5">
        <v>45383</v>
      </c>
      <c r="M640">
        <v>78</v>
      </c>
      <c r="N640" t="s">
        <v>429</v>
      </c>
      <c r="O640" t="s">
        <v>891</v>
      </c>
      <c r="Q640">
        <v>1</v>
      </c>
      <c r="R640">
        <v>10</v>
      </c>
      <c r="S640" t="s">
        <v>896</v>
      </c>
      <c r="T640" s="6">
        <v>88808.881694914991</v>
      </c>
      <c r="U640" s="7">
        <f>T640*DealsRawTable[[#This Row],[Contract_Years]]</f>
        <v>88808.881694914991</v>
      </c>
      <c r="V640" s="8">
        <v>9.7000000000000003E-2</v>
      </c>
      <c r="W640" s="8">
        <v>7.3999999999999996E-2</v>
      </c>
      <c r="X640" s="8">
        <v>0.10100000000000001</v>
      </c>
      <c r="Y640" t="s">
        <v>897</v>
      </c>
      <c r="Z640" t="s">
        <v>879</v>
      </c>
      <c r="AA640" s="6">
        <v>82214.338042711359</v>
      </c>
      <c r="AB640" s="7">
        <f>DealsRawTable[[#This Row],[Final_Price_ACV]]*DealsRawTable[[#This Row],[Contract_Years]]</f>
        <v>82214.338042711359</v>
      </c>
      <c r="AC640" s="6">
        <v>31967.300147264508</v>
      </c>
      <c r="AD640" s="6">
        <v>50247.037895446847</v>
      </c>
      <c r="AE640" s="8">
        <v>0.61117122744870722</v>
      </c>
      <c r="AF640" t="s">
        <v>457</v>
      </c>
      <c r="AI640" t="s">
        <v>38</v>
      </c>
      <c r="AJ640" s="6">
        <v>0</v>
      </c>
      <c r="AK640" s="6">
        <v>0</v>
      </c>
      <c r="AL640" t="s">
        <v>894</v>
      </c>
      <c r="AM640">
        <f t="shared" si="18"/>
        <v>82237.02</v>
      </c>
      <c r="AN640">
        <f>DealsRawTable[[#This Row],[Validated_Annual_Final_Price]]*DealsRawTable[[#This Row],[Contract_Years]]</f>
        <v>82237.02</v>
      </c>
      <c r="AO640">
        <f>DealsRawTable[[#This Row],[Validated_Annual_Final_Price]]-DealsRawTable[[#This Row],[Cost_to_Serve]]</f>
        <v>50269.719852735492</v>
      </c>
      <c r="AP640" s="17">
        <f>DealsRawTable[[#This Row],[Validated_Grossprofit]]/DealsRawTable[[#This Row],[Validated_Annual_Final_Price]]</f>
        <v>0.61127847109167488</v>
      </c>
      <c r="AQ640" s="17">
        <v>0</v>
      </c>
      <c r="AR640" s="17">
        <v>0</v>
      </c>
      <c r="AS640" s="17">
        <v>0</v>
      </c>
      <c r="AT640" s="17">
        <v>0</v>
      </c>
      <c r="AU640" s="17" t="str">
        <f t="shared" si="19"/>
        <v>5–10%</v>
      </c>
      <c r="AV640" s="17">
        <v>116</v>
      </c>
      <c r="AW640" s="17"/>
    </row>
    <row r="641" spans="1:49">
      <c r="A641" t="s">
        <v>1547</v>
      </c>
      <c r="B641" s="5">
        <v>45940</v>
      </c>
      <c r="C641" t="s">
        <v>416</v>
      </c>
      <c r="D641" t="s">
        <v>417</v>
      </c>
      <c r="E641" t="s">
        <v>848</v>
      </c>
      <c r="F641" t="s">
        <v>475</v>
      </c>
      <c r="G641" t="s">
        <v>47</v>
      </c>
      <c r="H641" t="s">
        <v>54</v>
      </c>
      <c r="I641" t="s">
        <v>55</v>
      </c>
      <c r="J641" t="s">
        <v>37</v>
      </c>
      <c r="K641" t="s">
        <v>38</v>
      </c>
      <c r="L641" s="5">
        <v>43344</v>
      </c>
      <c r="M641">
        <v>71</v>
      </c>
      <c r="N641" t="s">
        <v>429</v>
      </c>
      <c r="O641" t="s">
        <v>876</v>
      </c>
      <c r="Q641">
        <v>3</v>
      </c>
      <c r="R641">
        <v>28</v>
      </c>
      <c r="S641" t="s">
        <v>907</v>
      </c>
      <c r="T641" s="6">
        <v>64120.821558653653</v>
      </c>
      <c r="U641" s="7">
        <f>T641*DealsRawTable[[#This Row],[Contract_Years]]</f>
        <v>192362.46467596095</v>
      </c>
      <c r="V641" s="8">
        <v>1.7000000000000001E-2</v>
      </c>
      <c r="W641" s="8">
        <v>0</v>
      </c>
      <c r="X641" s="8">
        <v>-0.10100000000000001</v>
      </c>
      <c r="Y641" t="s">
        <v>911</v>
      </c>
      <c r="Z641" t="s">
        <v>879</v>
      </c>
      <c r="AA641" s="6">
        <v>64120.821558653653</v>
      </c>
      <c r="AB641" s="7">
        <f>DealsRawTable[[#This Row],[Final_Price_ACV]]*DealsRawTable[[#This Row],[Contract_Years]]</f>
        <v>192362.46467596095</v>
      </c>
      <c r="AC641" s="6">
        <v>23753.701848529367</v>
      </c>
      <c r="AD641" s="6">
        <v>40367.119710124287</v>
      </c>
      <c r="AE641" s="8">
        <v>0.62954776200425022</v>
      </c>
      <c r="AF641" t="s">
        <v>880</v>
      </c>
      <c r="AG641" t="s">
        <v>44</v>
      </c>
      <c r="AI641" t="s">
        <v>38</v>
      </c>
      <c r="AJ641" s="6">
        <v>64120.821558653653</v>
      </c>
      <c r="AK641" s="6">
        <v>40367.119710124287</v>
      </c>
      <c r="AL641" t="s">
        <v>881</v>
      </c>
      <c r="AM641">
        <f t="shared" si="18"/>
        <v>64120.82</v>
      </c>
      <c r="AN641">
        <f>DealsRawTable[[#This Row],[Validated_Annual_Final_Price]]*DealsRawTable[[#This Row],[Contract_Years]]</f>
        <v>192362.46</v>
      </c>
      <c r="AO641">
        <f>DealsRawTable[[#This Row],[Validated_Annual_Final_Price]]-DealsRawTable[[#This Row],[Cost_to_Serve]]</f>
        <v>40367.118151470633</v>
      </c>
      <c r="AP641" s="17">
        <f>DealsRawTable[[#This Row],[Validated_Grossprofit]]/DealsRawTable[[#This Row],[Validated_Annual_Final_Price]]</f>
        <v>0.62954775299926968</v>
      </c>
      <c r="AQ641" s="17">
        <v>64120.82</v>
      </c>
      <c r="AR641" s="17">
        <v>192362.46</v>
      </c>
      <c r="AS641" s="17">
        <v>40367.118151470633</v>
      </c>
      <c r="AT641" s="17">
        <v>0.62954775299926968</v>
      </c>
      <c r="AU641" s="17" t="str">
        <f t="shared" si="19"/>
        <v>0–5%</v>
      </c>
      <c r="AV641" s="17">
        <v>55</v>
      </c>
      <c r="AW641" s="17"/>
    </row>
    <row r="642" spans="1:49">
      <c r="A642" t="s">
        <v>1548</v>
      </c>
      <c r="B642" s="5">
        <v>45831</v>
      </c>
      <c r="C642" t="s">
        <v>416</v>
      </c>
      <c r="D642" t="s">
        <v>417</v>
      </c>
      <c r="E642" t="s">
        <v>849</v>
      </c>
      <c r="F642" t="s">
        <v>34</v>
      </c>
      <c r="G642" t="s">
        <v>47</v>
      </c>
      <c r="H642" t="s">
        <v>54</v>
      </c>
      <c r="I642" t="s">
        <v>55</v>
      </c>
      <c r="J642" t="s">
        <v>37</v>
      </c>
      <c r="K642" t="s">
        <v>38</v>
      </c>
      <c r="L642" s="5">
        <v>43344</v>
      </c>
      <c r="M642">
        <v>71</v>
      </c>
      <c r="N642" t="s">
        <v>427</v>
      </c>
      <c r="O642" t="s">
        <v>891</v>
      </c>
      <c r="Q642">
        <v>1</v>
      </c>
      <c r="R642">
        <v>65</v>
      </c>
      <c r="S642" t="s">
        <v>932</v>
      </c>
      <c r="T642" s="6">
        <v>56101.805522188988</v>
      </c>
      <c r="U642" s="7">
        <f>T642*DealsRawTable[[#This Row],[Contract_Years]]</f>
        <v>56101.805522188988</v>
      </c>
      <c r="V642" s="8">
        <v>0.16200000000000001</v>
      </c>
      <c r="W642" s="8">
        <v>0.129</v>
      </c>
      <c r="X642" s="8">
        <v>-8.5999999999999993E-2</v>
      </c>
      <c r="Y642" t="s">
        <v>902</v>
      </c>
      <c r="Z642" t="s">
        <v>889</v>
      </c>
      <c r="AA642" s="6">
        <v>48886.278876651748</v>
      </c>
      <c r="AB642" s="7">
        <f>DealsRawTable[[#This Row],[Final_Price_ACV]]*DealsRawTable[[#This Row],[Contract_Years]]</f>
        <v>48886.278876651748</v>
      </c>
      <c r="AC642" s="6">
        <v>18811.986893512418</v>
      </c>
      <c r="AD642" s="6">
        <v>30074.29198313933</v>
      </c>
      <c r="AE642" s="8">
        <v>0.61518881523017521</v>
      </c>
      <c r="AF642" t="s">
        <v>457</v>
      </c>
      <c r="AI642" t="s">
        <v>38</v>
      </c>
      <c r="AJ642" s="6">
        <v>0</v>
      </c>
      <c r="AK642" s="6">
        <v>0</v>
      </c>
      <c r="AL642" t="s">
        <v>894</v>
      </c>
      <c r="AM642">
        <f t="shared" si="18"/>
        <v>48864.67</v>
      </c>
      <c r="AN642">
        <f>DealsRawTable[[#This Row],[Validated_Annual_Final_Price]]*DealsRawTable[[#This Row],[Contract_Years]]</f>
        <v>48864.67</v>
      </c>
      <c r="AO642">
        <f>DealsRawTable[[#This Row],[Validated_Annual_Final_Price]]-DealsRawTable[[#This Row],[Cost_to_Serve]]</f>
        <v>30052.683106487581</v>
      </c>
      <c r="AP642" s="17">
        <f>DealsRawTable[[#This Row],[Validated_Grossprofit]]/DealsRawTable[[#This Row],[Validated_Annual_Final_Price]]</f>
        <v>0.61501864448255927</v>
      </c>
      <c r="AQ642" s="17">
        <v>0</v>
      </c>
      <c r="AR642" s="17">
        <v>0</v>
      </c>
      <c r="AS642" s="17">
        <v>0</v>
      </c>
      <c r="AT642" s="17">
        <v>0</v>
      </c>
      <c r="AU642" s="17" t="str">
        <f t="shared" si="19"/>
        <v>10–15%</v>
      </c>
      <c r="AV642" s="17">
        <v>113</v>
      </c>
      <c r="AW642" s="17"/>
    </row>
    <row r="643" spans="1:49">
      <c r="B643" s="5"/>
      <c r="L643" s="5"/>
      <c r="T643" s="6"/>
      <c r="U643" s="7"/>
      <c r="V643" s="8"/>
      <c r="W643" s="8"/>
      <c r="X643" s="8"/>
      <c r="AA643" s="6"/>
      <c r="AB643" s="7"/>
      <c r="AC643" s="6"/>
      <c r="AD643" s="6"/>
      <c r="AE643" s="8"/>
      <c r="AJ643" s="6"/>
      <c r="AK643" s="6"/>
    </row>
  </sheetData>
  <mergeCells count="1">
    <mergeCell ref="A1:AL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topLeftCell="C1" workbookViewId="0">
      <selection activeCell="F12" sqref="F12"/>
    </sheetView>
  </sheetViews>
  <sheetFormatPr defaultColWidth="38" defaultRowHeight="14.25"/>
  <cols>
    <col min="6" max="6" width="43.625" customWidth="1"/>
  </cols>
  <sheetData>
    <row r="1" spans="1:15" ht="60">
      <c r="A1" s="24" t="s">
        <v>1775</v>
      </c>
      <c r="B1" s="24" t="s">
        <v>1776</v>
      </c>
      <c r="C1" s="24" t="s">
        <v>1778</v>
      </c>
      <c r="D1" s="24" t="s">
        <v>1777</v>
      </c>
      <c r="E1" s="24" t="s">
        <v>1779</v>
      </c>
      <c r="F1" s="10" t="s">
        <v>1737</v>
      </c>
      <c r="G1" s="10" t="s">
        <v>1667</v>
      </c>
      <c r="H1" s="10" t="s">
        <v>1662</v>
      </c>
      <c r="I1" s="10" t="s">
        <v>1756</v>
      </c>
      <c r="J1" s="10" t="s">
        <v>1757</v>
      </c>
      <c r="K1" s="10" t="s">
        <v>1758</v>
      </c>
      <c r="L1" s="10" t="s">
        <v>1759</v>
      </c>
      <c r="M1" s="10" t="s">
        <v>1735</v>
      </c>
      <c r="N1" s="10" t="s">
        <v>1760</v>
      </c>
    </row>
    <row r="2" spans="1:15" ht="15">
      <c r="A2" t="s">
        <v>53</v>
      </c>
      <c r="B2" t="s">
        <v>37</v>
      </c>
      <c r="C2">
        <f>COUNTIFS(Deals_Raw!$G2:$G642, A2, Deals_Raw!$J2:$J642, B2)</f>
        <v>14</v>
      </c>
      <c r="D2" t="s">
        <v>44</v>
      </c>
      <c r="E2">
        <f>COUNTIFS(Deals_Raw!$G2:$G642, A2, Deals_Raw!$J2:$J642, B2, Deals_Raw!$K2:K642, D2)</f>
        <v>0</v>
      </c>
      <c r="F2" s="10">
        <f>COUNTIFS(Deals_Raw!$G$5:$G$643,$A2, Deals_Raw!$J$5:$J$643,$B2, Deals_Raw!$K$5:$K$643,$D2)</f>
        <v>0</v>
      </c>
      <c r="G2" s="10">
        <f>COUNTIFS( Deals_Raw!$AF$5:$AF$643,"Won", Deals_Raw!$G$5:$G$643,$A2, Deals_Raw!$J$5:$J$643,$B2, Deals_Raw!$K$5:$K$643,$D2)</f>
        <v>0</v>
      </c>
      <c r="H2">
        <v>0</v>
      </c>
      <c r="I2">
        <v>0</v>
      </c>
      <c r="J2">
        <f>IFERROR(
AVERAGEIFS(
Deals_Raw!$AQ$5:$AQ$643,
Deals_Raw!$AF$5:$AF$643,"Won",
Deals_Raw!$G$5:$G$643,$A2,
Deals_Raw!$J$5:$J$643,$B2,
Deals_Raw!$K$5:$K$643,$D2
),0)</f>
        <v>0</v>
      </c>
      <c r="K2">
        <f>SUMIFS(Deals_Raw!$AQ$5:$AQ$643, Deals_Raw!$AF$5:$AF$643,"Won", Deals_Raw!$G$5:$G$643,$A2, Deals_Raw!$J$5:$J$643,$B2, Deals_Raw!$K$5:$K$643,$D2)</f>
        <v>0</v>
      </c>
      <c r="L2">
        <v>0</v>
      </c>
      <c r="M2">
        <f>SUMIFS(Deals_Raw!$AS$5:$AS$643, Deals_Raw!$AF$5:$AF$643,"Won", Deals_Raw!$G$5:$G$643,$A2, Deals_Raw!$J$5:$J$643,$B2, Deals_Raw!$K$5:$K$643,$D2)</f>
        <v>0</v>
      </c>
      <c r="N2" s="23">
        <f>K2/$O$2</f>
        <v>0</v>
      </c>
      <c r="O2" s="22">
        <v>79196734.290000007</v>
      </c>
    </row>
    <row r="3" spans="1:15" ht="15">
      <c r="A3" t="s">
        <v>53</v>
      </c>
      <c r="B3" t="s">
        <v>56</v>
      </c>
      <c r="C3">
        <f>COUNTIFS(Deals_Raw!$G3:$G643, A3, Deals_Raw!$J3:$J643, B3)</f>
        <v>45</v>
      </c>
      <c r="D3" t="s">
        <v>44</v>
      </c>
      <c r="E3">
        <f>COUNTIFS(Deals_Raw!$G3:$G643, A3, Deals_Raw!$J3:$J643, B3, Deals_Raw!$K3:K643, D3)</f>
        <v>0</v>
      </c>
      <c r="F3" s="10">
        <f>COUNTIFS(
Deals_Raw!$G$5:$G$643,$A3,
Deals_Raw!$J$5:$J$643,$B3,
Deals_Raw!$K$5:$K$643,$D3
)</f>
        <v>0</v>
      </c>
      <c r="G3" s="10">
        <f>COUNTIFS(
Deals_Raw!$AF$5:$AF$643,"Won",
Deals_Raw!$G$5:$G$643,$A3,
Deals_Raw!$J$5:$J$643,$B3,
Deals_Raw!$K$5:$K$643,$D3
)</f>
        <v>0</v>
      </c>
      <c r="H3">
        <v>0</v>
      </c>
      <c r="I3">
        <v>0</v>
      </c>
      <c r="J3">
        <f>IFERROR(
AVERAGEIFS(
Deals_Raw!$AQ$5:$AQ$643,
Deals_Raw!$AF$5:$AF$643,"Won",
Deals_Raw!$G$5:$G$643,$A3,
Deals_Raw!$J$5:$J$643,$B3,
Deals_Raw!$K$5:$K$643,$D3
),0)</f>
        <v>0</v>
      </c>
      <c r="K3">
        <f>SUMIFS(Deals_Raw!$AQ$5:$AQ$643, Deals_Raw!$AF$5:$AF$643,"Won", Deals_Raw!$G$5:$G$643,$A3, Deals_Raw!$J$5:$J$643,$B3, Deals_Raw!$K$5:$K$643,$D3)</f>
        <v>0</v>
      </c>
      <c r="L3">
        <v>0</v>
      </c>
      <c r="M3">
        <f>SUMIFS(Deals_Raw!$AS$5:$AS$643, Deals_Raw!$AF$5:$AF$643,"Won", Deals_Raw!$G$5:$G$643,$A3, Deals_Raw!$J$5:$J$643,$B3, Deals_Raw!$K$5:$K$643,$D3)</f>
        <v>0</v>
      </c>
      <c r="N3" s="23">
        <f t="shared" ref="N3:N19" si="0">K3/$O$2</f>
        <v>0</v>
      </c>
    </row>
    <row r="4" spans="1:15" ht="15">
      <c r="A4" t="s">
        <v>53</v>
      </c>
      <c r="B4" t="s">
        <v>43</v>
      </c>
      <c r="C4">
        <f>COUNTIFS(Deals_Raw!$G4:$G644, A4, Deals_Raw!$J4:$J644, B4)</f>
        <v>16</v>
      </c>
      <c r="D4" t="s">
        <v>44</v>
      </c>
      <c r="E4">
        <f>COUNTIFS(Deals_Raw!$G4:$G644, A4, Deals_Raw!$J4:$J644, B4, Deals_Raw!$K4:K644, D4)</f>
        <v>12</v>
      </c>
      <c r="F4" s="10">
        <f>COUNTIFS(
Deals_Raw!$G$5:$G$643,$A4,
Deals_Raw!$J$5:$J$643,$B4,
Deals_Raw!$K$5:$K$643,$D4
)</f>
        <v>12</v>
      </c>
      <c r="G4" s="10">
        <f>COUNTIFS(
Deals_Raw!$AF$5:$AF$643,"Won",
Deals_Raw!$G$5:$G$643,$A4,
Deals_Raw!$J$5:$J$643,$B4,
Deals_Raw!$K$5:$K$643,$D4
)</f>
        <v>9</v>
      </c>
      <c r="H4">
        <f t="shared" ref="H3:H19" si="1">G4/F4</f>
        <v>0.75</v>
      </c>
      <c r="I4">
        <f>AVERAGEIFS(Deals_Raw!$W$5:$W$643, Deals_Raw!$AF$5:$AF$643,"Won", Deals_Raw!$G$5:$G$643,$A4, Deals_Raw!$J$5:$J$643,$B4, Deals_Raw!$K$5:$K$643,$D4)</f>
        <v>0.11000000000000001</v>
      </c>
      <c r="J4">
        <f>IFERROR(
AVERAGEIFS(
Deals_Raw!$AQ$5:$AQ$643,
Deals_Raw!$AF$5:$AF$643,"Won",
Deals_Raw!$G$5:$G$643,$A4,
Deals_Raw!$J$5:$J$643,$B4,
Deals_Raw!$K$5:$K$643,$D4
),0)</f>
        <v>351516.49444444443</v>
      </c>
      <c r="K4">
        <f>SUMIFS(Deals_Raw!$AQ$5:$AQ$643, Deals_Raw!$AF$5:$AF$643,"Won", Deals_Raw!$G$5:$G$643,$A4, Deals_Raw!$J$5:$J$643,$B4, Deals_Raw!$K$5:$K$643,$D4)</f>
        <v>3163648.4499999997</v>
      </c>
      <c r="L4">
        <f>AVERAGEIFS(Deals_Raw!$AT$5:$AT$643, Deals_Raw!$AF$5:$AF$643,"Won", Deals_Raw!$G$5:$G$643,$A4, Deals_Raw!$J$5:$J$643,$B4, Deals_Raw!$K$5:$K$643,$D4)</f>
        <v>0.61969387037916168</v>
      </c>
      <c r="M4">
        <f>SUMIFS(Deals_Raw!$AS$5:$AS$643, Deals_Raw!$AF$5:$AF$643,"Won", Deals_Raw!$G$5:$G$643,$A4, Deals_Raw!$J$5:$J$643,$B4, Deals_Raw!$K$5:$K$643,$D4)</f>
        <v>1965728.0355224838</v>
      </c>
      <c r="N4" s="23">
        <f t="shared" si="0"/>
        <v>3.9946703337734299E-2</v>
      </c>
    </row>
    <row r="5" spans="1:15" ht="15">
      <c r="A5" t="s">
        <v>34</v>
      </c>
      <c r="B5" t="s">
        <v>37</v>
      </c>
      <c r="C5">
        <f>COUNTIFS(Deals_Raw!$G5:$G645, A5, Deals_Raw!$J5:$J645, B5)</f>
        <v>32</v>
      </c>
      <c r="D5" t="s">
        <v>44</v>
      </c>
      <c r="E5">
        <f>COUNTIFS(Deals_Raw!$G5:$G645, A5, Deals_Raw!$J5:$J645, B5, Deals_Raw!$K5:K645, D5)</f>
        <v>0</v>
      </c>
      <c r="F5" s="10">
        <f>COUNTIFS(
Deals_Raw!$G$5:$G$643,$A5,
Deals_Raw!$J$5:$J$643,$B5,
Deals_Raw!$K$5:$K$643,$D5
)</f>
        <v>0</v>
      </c>
      <c r="G5" s="10">
        <f>COUNTIFS(
Deals_Raw!$AF$5:$AF$643,"Won",
Deals_Raw!$G$5:$G$643,$A5,
Deals_Raw!$J$5:$J$643,$B5,
Deals_Raw!$K$5:$K$643,$D5
)</f>
        <v>0</v>
      </c>
      <c r="H5">
        <v>0</v>
      </c>
      <c r="I5">
        <v>0</v>
      </c>
      <c r="J5">
        <f>IFERROR(
AVERAGEIFS(
Deals_Raw!$AQ$5:$AQ$643,
Deals_Raw!$AF$5:$AF$643,"Won",
Deals_Raw!$G$5:$G$643,$A5,
Deals_Raw!$J$5:$J$643,$B5,
Deals_Raw!$K$5:$K$643,$D5
),0)</f>
        <v>0</v>
      </c>
      <c r="K5">
        <f>SUMIFS(Deals_Raw!$AQ$5:$AQ$643, Deals_Raw!$AF$5:$AF$643,"Won", Deals_Raw!$G$5:$G$643,$A5, Deals_Raw!$J$5:$J$643,$B5, Deals_Raw!$K$5:$K$643,$D5)</f>
        <v>0</v>
      </c>
      <c r="L5">
        <v>0</v>
      </c>
      <c r="M5">
        <f>SUMIFS(Deals_Raw!$AS$5:$AS$643, Deals_Raw!$AF$5:$AF$643,"Won", Deals_Raw!$G$5:$G$643,$A5, Deals_Raw!$J$5:$J$643,$B5, Deals_Raw!$K$5:$K$643,$D5)</f>
        <v>0</v>
      </c>
      <c r="N5" s="23">
        <f t="shared" si="0"/>
        <v>0</v>
      </c>
    </row>
    <row r="6" spans="1:15" ht="15">
      <c r="A6" t="s">
        <v>34</v>
      </c>
      <c r="B6" t="s">
        <v>56</v>
      </c>
      <c r="C6">
        <f>COUNTIFS(Deals_Raw!$G6:$G646, A6, Deals_Raw!$J6:$J646, B6)</f>
        <v>40</v>
      </c>
      <c r="D6" t="s">
        <v>44</v>
      </c>
      <c r="E6">
        <f>COUNTIFS(Deals_Raw!$G6:$G646, A6, Deals_Raw!$J6:$J646, B6, Deals_Raw!$K6:K646, D6)</f>
        <v>2</v>
      </c>
      <c r="F6" s="10">
        <f>COUNTIFS(
Deals_Raw!$G$5:$G$643,$A6,
Deals_Raw!$J$5:$J$643,$B6,
Deals_Raw!$K$5:$K$643,$D6
)</f>
        <v>2</v>
      </c>
      <c r="G6" s="10">
        <f>COUNTIFS( Deals_Raw!$AF$5:$AF$643,"Won", Deals_Raw!$G$5:$G$643,$A6, Deals_Raw!$J$5:$J$643,$B6, Deals_Raw!$K$5:$K$643,$D6)</f>
        <v>1</v>
      </c>
      <c r="H6">
        <f t="shared" si="1"/>
        <v>0.5</v>
      </c>
      <c r="I6">
        <f>AVERAGEIFS(
Deals_Raw!$W$5:$W$643,
Deals_Raw!$AF$5:$AF$643,"Won",
Deals_Raw!$G$5:$G$643,$A6,
Deals_Raw!$J$5:$J$643,$B6,
Deals_Raw!$K$5:$K$643,$D6
)</f>
        <v>7.0999999999999994E-2</v>
      </c>
      <c r="J6">
        <f>IFERROR(
AVERAGEIFS(
Deals_Raw!$AQ$5:$AQ$643,
Deals_Raw!$AF$5:$AF$643,"Won",
Deals_Raw!$G$5:$G$643,$A6,
Deals_Raw!$J$5:$J$643,$B6,
Deals_Raw!$K$5:$K$643,$D6
),0)</f>
        <v>289327.58</v>
      </c>
      <c r="K6">
        <f>SUMIFS(Deals_Raw!$AQ$5:$AQ$643, Deals_Raw!$AF$5:$AF$643,"Won", Deals_Raw!$G$5:$G$643,$A6, Deals_Raw!$J$5:$J$643,$B6, Deals_Raw!$K$5:$K$643,$D6)</f>
        <v>289327.58</v>
      </c>
      <c r="L6">
        <f>AVERAGEIFS(Deals_Raw!$AT$5:$AT$643, Deals_Raw!$AF$5:$AF$643,"Won", Deals_Raw!$G$5:$G$643,$A6, Deals_Raw!$J$5:$J$643,$B6, Deals_Raw!$K$5:$K$643,$D6)</f>
        <v>0.59915164270428878</v>
      </c>
      <c r="M6">
        <f>SUMIFS(Deals_Raw!$AS$5:$AS$643, Deals_Raw!$AF$5:$AF$643,"Won", Deals_Raw!$G$5:$G$643,$A6, Deals_Raw!$J$5:$J$643,$B6, Deals_Raw!$K$5:$K$643,$D6)</f>
        <v>173351.09483665653</v>
      </c>
      <c r="N6" s="23">
        <f t="shared" si="0"/>
        <v>3.6532766482586234E-3</v>
      </c>
    </row>
    <row r="7" spans="1:15" ht="15">
      <c r="A7" t="s">
        <v>34</v>
      </c>
      <c r="B7" t="s">
        <v>43</v>
      </c>
      <c r="C7">
        <f>COUNTIFS(Deals_Raw!$G7:$G647, A7, Deals_Raw!$J7:$J647, B7)</f>
        <v>46</v>
      </c>
      <c r="D7" t="s">
        <v>44</v>
      </c>
      <c r="E7">
        <f>COUNTIFS(Deals_Raw!$G7:$G647, A7, Deals_Raw!$J7:$J647, B7, Deals_Raw!$K7:K647, D7)</f>
        <v>27</v>
      </c>
      <c r="F7" s="10">
        <f>COUNTIFS(
Deals_Raw!$G$5:$G$643,$A7,
Deals_Raw!$J$5:$J$643,$B7,
Deals_Raw!$K$5:$K$643,$D7
)</f>
        <v>27</v>
      </c>
      <c r="G7" s="10">
        <f>COUNTIFS(
Deals_Raw!$AF$5:$AF$643,"Won",
Deals_Raw!$G$5:$G$643,$A7,
Deals_Raw!$J$5:$J$643,$B7,
Deals_Raw!$K$5:$K$643,$D7
)</f>
        <v>19</v>
      </c>
      <c r="H7">
        <f t="shared" si="1"/>
        <v>0.70370370370370372</v>
      </c>
      <c r="I7">
        <f>AVERAGEIFS(
Deals_Raw!$W$5:$W$643,
Deals_Raw!$AF$5:$AF$643,"Won",
Deals_Raw!$G$5:$G$643,$A7,
Deals_Raw!$J$5:$J$643,$B7,
Deals_Raw!$K$5:$K$643,$D7
)</f>
        <v>0.11494736842105265</v>
      </c>
      <c r="J7">
        <f>IFERROR(
AVERAGEIFS(
Deals_Raw!$AQ$5:$AQ$643,
Deals_Raw!$AF$5:$AF$643,"Won",
Deals_Raw!$G$5:$G$643,$A7,
Deals_Raw!$J$5:$J$643,$B7,
Deals_Raw!$K$5:$K$643,$D7
),0)</f>
        <v>507192.99631578947</v>
      </c>
      <c r="K7">
        <f>SUMIFS(Deals_Raw!$AQ$5:$AQ$643, Deals_Raw!$AF$5:$AF$643,"Won", Deals_Raw!$G$5:$G$643,$A7, Deals_Raw!$J$5:$J$643,$B7, Deals_Raw!$K$5:$K$643,$D7)</f>
        <v>9636666.9299999997</v>
      </c>
      <c r="L7">
        <f>AVERAGEIFS(Deals_Raw!$AT$5:$AT$643, Deals_Raw!$AF$5:$AF$643,"Won", Deals_Raw!$G$5:$G$643,$A7, Deals_Raw!$J$5:$J$643,$B7, Deals_Raw!$K$5:$K$643,$D7)</f>
        <v>0.62066096531878523</v>
      </c>
      <c r="M7">
        <f>SUMIFS(Deals_Raw!$AS$5:$AS$643, Deals_Raw!$AF$5:$AF$643,"Won", Deals_Raw!$G$5:$G$643,$A7, Deals_Raw!$J$5:$J$643,$B7, Deals_Raw!$K$5:$K$643,$D7)</f>
        <v>5797155.7135291072</v>
      </c>
      <c r="N7" s="23">
        <f t="shared" si="0"/>
        <v>0.12168010482241311</v>
      </c>
    </row>
    <row r="8" spans="1:15" ht="15">
      <c r="A8" t="s">
        <v>60</v>
      </c>
      <c r="B8" t="s">
        <v>37</v>
      </c>
      <c r="C8">
        <f>COUNTIFS(Deals_Raw!$G8:$G648, A8, Deals_Raw!$J8:$J648, B8)</f>
        <v>35</v>
      </c>
      <c r="D8" t="s">
        <v>44</v>
      </c>
      <c r="E8">
        <f>COUNTIFS(Deals_Raw!$G8:$G648, A8, Deals_Raw!$J8:$J648, B8, Deals_Raw!$K8:K648, D8)</f>
        <v>0</v>
      </c>
      <c r="F8" s="10">
        <f>COUNTIFS(
Deals_Raw!$G$5:$G$643,$A8,
Deals_Raw!$J$5:$J$643,$B8,
Deals_Raw!$K$5:$K$643,$D8
)</f>
        <v>0</v>
      </c>
      <c r="G8" s="10">
        <f>COUNTIFS(
Deals_Raw!$AF$5:$AF$643,"Won",
Deals_Raw!$G$5:$G$643,$A8,
Deals_Raw!$J$5:$J$643,$B8,
Deals_Raw!$K$5:$K$643,$D8
)</f>
        <v>0</v>
      </c>
      <c r="H8">
        <v>0</v>
      </c>
      <c r="I8">
        <v>0</v>
      </c>
      <c r="J8">
        <f>IFERROR(
AVERAGEIFS(
Deals_Raw!$AQ$5:$AQ$643,
Deals_Raw!$AF$5:$AF$643,"Won",
Deals_Raw!$G$5:$G$643,$A8,
Deals_Raw!$J$5:$J$643,$B8,
Deals_Raw!$K$5:$K$643,$D8
),0)</f>
        <v>0</v>
      </c>
      <c r="K8">
        <f>SUMIFS(Deals_Raw!$AQ$5:$AQ$643, Deals_Raw!$AF$5:$AF$643,"Won", Deals_Raw!$G$5:$G$643,$A8, Deals_Raw!$J$5:$J$643,$B8, Deals_Raw!$K$5:$K$643,$D8)</f>
        <v>0</v>
      </c>
      <c r="L8">
        <v>0</v>
      </c>
      <c r="M8">
        <f>SUMIFS(Deals_Raw!$AS$5:$AS$643, Deals_Raw!$AF$5:$AF$643,"Won", Deals_Raw!$G$5:$G$643,$A8, Deals_Raw!$J$5:$J$643,$B8, Deals_Raw!$K$5:$K$643,$D8)</f>
        <v>0</v>
      </c>
      <c r="N8" s="23">
        <f t="shared" si="0"/>
        <v>0</v>
      </c>
    </row>
    <row r="9" spans="1:15" ht="15">
      <c r="A9" t="s">
        <v>60</v>
      </c>
      <c r="B9" t="s">
        <v>56</v>
      </c>
      <c r="C9">
        <f>COUNTIFS(Deals_Raw!$G9:$G649, A9, Deals_Raw!$J9:$J649, B9)</f>
        <v>26</v>
      </c>
      <c r="D9" t="s">
        <v>44</v>
      </c>
      <c r="E9">
        <f>COUNTIFS(Deals_Raw!$G9:$G649, A9, Deals_Raw!$J9:$J649, B9, Deals_Raw!$K9:K649, D9)</f>
        <v>0</v>
      </c>
      <c r="F9" s="10">
        <f>COUNTIFS(
Deals_Raw!$G$5:$G$643,$A9,
Deals_Raw!$J$5:$J$643,$B9,
Deals_Raw!$K$5:$K$643,$D9
)</f>
        <v>0</v>
      </c>
      <c r="G9" s="10">
        <f>COUNTIFS(
Deals_Raw!$AF$5:$AF$643,"Won",
Deals_Raw!$G$5:$G$643,$A9,
Deals_Raw!$J$5:$J$643,$B9,
Deals_Raw!$K$5:$K$643,$D9
)</f>
        <v>0</v>
      </c>
      <c r="H9">
        <v>0</v>
      </c>
      <c r="I9">
        <v>0</v>
      </c>
      <c r="J9">
        <f>IFERROR(
AVERAGEIFS(
Deals_Raw!$AQ$5:$AQ$643,
Deals_Raw!$AF$5:$AF$643,"Won",
Deals_Raw!$G$5:$G$643,$A9,
Deals_Raw!$J$5:$J$643,$B9,
Deals_Raw!$K$5:$K$643,$D9
),0)</f>
        <v>0</v>
      </c>
      <c r="K9">
        <f>SUMIFS(Deals_Raw!$AQ$5:$AQ$643, Deals_Raw!$AF$5:$AF$643,"Won", Deals_Raw!$G$5:$G$643,$A9, Deals_Raw!$J$5:$J$643,$B9, Deals_Raw!$K$5:$K$643,$D9)</f>
        <v>0</v>
      </c>
      <c r="L9">
        <v>0</v>
      </c>
      <c r="M9">
        <f>SUMIFS(Deals_Raw!$AS$5:$AS$643, Deals_Raw!$AF$5:$AF$643,"Won", Deals_Raw!$G$5:$G$643,$A9, Deals_Raw!$J$5:$J$643,$B9, Deals_Raw!$K$5:$K$643,$D9)</f>
        <v>0</v>
      </c>
      <c r="N9" s="23">
        <f t="shared" si="0"/>
        <v>0</v>
      </c>
    </row>
    <row r="10" spans="1:15" ht="15">
      <c r="A10" t="s">
        <v>60</v>
      </c>
      <c r="B10" t="s">
        <v>43</v>
      </c>
      <c r="C10">
        <f>COUNTIFS(Deals_Raw!$G10:$G650, A10, Deals_Raw!$J10:$J650, B10)</f>
        <v>36</v>
      </c>
      <c r="D10" t="s">
        <v>44</v>
      </c>
      <c r="E10">
        <f>COUNTIFS(Deals_Raw!$G10:$G650, A10, Deals_Raw!$J10:$J650, B10, Deals_Raw!$K10:K650, D10)</f>
        <v>17</v>
      </c>
      <c r="F10" s="10">
        <f>COUNTIFS(
Deals_Raw!$G$5:$G$643,$A10,
Deals_Raw!$J$5:$J$643,$B10,
Deals_Raw!$K$5:$K$643,$D10
)</f>
        <v>17</v>
      </c>
      <c r="G10" s="10">
        <f>COUNTIFS( Deals_Raw!$AF$5:$AF$643,"Won", Deals_Raw!$G$5:$G$643,$A10, Deals_Raw!$J$5:$J$643,$B10, Deals_Raw!$K$5:$K$643,$D10)</f>
        <v>12</v>
      </c>
      <c r="H10">
        <f t="shared" si="1"/>
        <v>0.70588235294117652</v>
      </c>
      <c r="I10">
        <f>AVERAGEIFS(
Deals_Raw!$W$5:$W$643,
Deals_Raw!$AF$5:$AF$643,"Won",
Deals_Raw!$G$5:$G$643,$A10,
Deals_Raw!$J$5:$J$643,$B10,
Deals_Raw!$K$5:$K$643,$D10
)</f>
        <v>0.11541666666666667</v>
      </c>
      <c r="J10">
        <f>IFERROR(
AVERAGEIFS(
Deals_Raw!$AQ$5:$AQ$643,
Deals_Raw!$AF$5:$AF$643,"Won",
Deals_Raw!$G$5:$G$643,$A10,
Deals_Raw!$J$5:$J$643,$B10,
Deals_Raw!$K$5:$K$643,$D10
),0)</f>
        <v>445968.86499999999</v>
      </c>
      <c r="K10">
        <f>SUMIFS(Deals_Raw!$AQ$5:$AQ$643, Deals_Raw!$AF$5:$AF$643,"Won", Deals_Raw!$G$5:$G$643,$A10, Deals_Raw!$J$5:$J$643,$B10, Deals_Raw!$K$5:$K$643,$D10)</f>
        <v>5351626.38</v>
      </c>
      <c r="L10">
        <f>AVERAGEIFS(Deals_Raw!$AT$5:$AT$643, Deals_Raw!$AF$5:$AF$643,"Won", Deals_Raw!$G$5:$G$643,$A10, Deals_Raw!$J$5:$J$643,$B10, Deals_Raw!$K$5:$K$643,$D10)</f>
        <v>0.62022111990957596</v>
      </c>
      <c r="M10">
        <f>SUMIFS(Deals_Raw!$AS$5:$AS$643, Deals_Raw!$AF$5:$AF$643,"Won", Deals_Raw!$G$5:$G$643,$A10, Deals_Raw!$J$5:$J$643,$B10, Deals_Raw!$K$5:$K$643,$D10)</f>
        <v>3359894.3884508749</v>
      </c>
      <c r="N10" s="23">
        <f t="shared" si="0"/>
        <v>6.7573826471222787E-2</v>
      </c>
    </row>
    <row r="11" spans="1:15" ht="15">
      <c r="A11" t="s">
        <v>69</v>
      </c>
      <c r="B11" t="s">
        <v>37</v>
      </c>
      <c r="C11">
        <f>COUNTIFS(Deals_Raw!$G11:$G651, A11, Deals_Raw!$J11:$J651, B11)</f>
        <v>24</v>
      </c>
      <c r="D11" t="s">
        <v>44</v>
      </c>
      <c r="E11">
        <f>COUNTIFS(Deals_Raw!$G11:$G651, A11, Deals_Raw!$J11:$J651, B11, Deals_Raw!$K11:K651, D11)</f>
        <v>6</v>
      </c>
      <c r="F11" s="10">
        <f>COUNTIFS(
Deals_Raw!$G$5:$G$643,$A11,
Deals_Raw!$J$5:$J$643,$B11,
Deals_Raw!$K$5:$K$643,$D11
)</f>
        <v>6</v>
      </c>
      <c r="G11" s="10">
        <f>COUNTIFS(
Deals_Raw!$AF$5:$AF$643,"Won",
Deals_Raw!$G$5:$G$643,$A11,
Deals_Raw!$J$5:$J$643,$B11,
Deals_Raw!$K$5:$K$643,$D11
)</f>
        <v>5</v>
      </c>
      <c r="H11">
        <f t="shared" si="1"/>
        <v>0.83333333333333337</v>
      </c>
      <c r="I11">
        <f>AVERAGEIFS(
Deals_Raw!$W$5:$W$643,
Deals_Raw!$AF$5:$AF$643,"Won",
Deals_Raw!$G$5:$G$643,$A11,
Deals_Raw!$J$5:$J$643,$B11,
Deals_Raw!$K$5:$K$643,$D11
)</f>
        <v>0.10980000000000001</v>
      </c>
      <c r="J11">
        <f>IFERROR(
AVERAGEIFS(
Deals_Raw!$AQ$5:$AQ$643,
Deals_Raw!$AF$5:$AF$643,"Won",
Deals_Raw!$G$5:$G$643,$A11,
Deals_Raw!$J$5:$J$643,$B11,
Deals_Raw!$K$5:$K$643,$D11
),0)</f>
        <v>131560.07</v>
      </c>
      <c r="K11">
        <f>SUMIFS(Deals_Raw!$AQ$5:$AQ$643, Deals_Raw!$AF$5:$AF$643,"Won", Deals_Raw!$G$5:$G$643,$A11, Deals_Raw!$J$5:$J$643,$B11, Deals_Raw!$K$5:$K$643,$D11)</f>
        <v>657800.35</v>
      </c>
      <c r="L11">
        <f>AVERAGEIFS(Deals_Raw!$AT$5:$AT$643, Deals_Raw!$AF$5:$AF$643,"Won", Deals_Raw!$G$5:$G$643,$A11, Deals_Raw!$J$5:$J$643,$B11, Deals_Raw!$K$5:$K$643,$D11)</f>
        <v>0.60644682042940079</v>
      </c>
      <c r="M11">
        <f>SUMIFS(Deals_Raw!$AS$5:$AS$643, Deals_Raw!$AF$5:$AF$643,"Won", Deals_Raw!$G$5:$G$643,$A11, Deals_Raw!$J$5:$J$643,$B11, Deals_Raw!$K$5:$K$643,$D11)</f>
        <v>400151.68075001513</v>
      </c>
      <c r="N11" s="23">
        <f t="shared" si="0"/>
        <v>8.3059024579383318E-3</v>
      </c>
    </row>
    <row r="12" spans="1:15" ht="15">
      <c r="A12" t="s">
        <v>69</v>
      </c>
      <c r="B12" t="s">
        <v>56</v>
      </c>
      <c r="C12">
        <f>COUNTIFS(Deals_Raw!$G12:$G652, A12, Deals_Raw!$J12:$J652, B12)</f>
        <v>41</v>
      </c>
      <c r="D12" t="s">
        <v>44</v>
      </c>
      <c r="E12">
        <f>COUNTIFS(Deals_Raw!$G12:$G652, A12, Deals_Raw!$J12:$J652, B12, Deals_Raw!$K12:K652, D12)</f>
        <v>4</v>
      </c>
      <c r="F12" s="10">
        <f>COUNTIFS(
Deals_Raw!$G$5:$G$643,$A12,
Deals_Raw!$J$5:$J$643,$B12,
Deals_Raw!$K$5:$K$643,$D12
)</f>
        <v>4</v>
      </c>
      <c r="G12" s="10">
        <f>COUNTIFS(
Deals_Raw!$AF$5:$AF$643,"Won",
Deals_Raw!$G$5:$G$643,$A12,
Deals_Raw!$J$5:$J$643,$B12,
Deals_Raw!$K$5:$K$643,$D12
)</f>
        <v>4</v>
      </c>
      <c r="H12">
        <f t="shared" si="1"/>
        <v>1</v>
      </c>
      <c r="I12">
        <f>AVERAGEIFS(
Deals_Raw!$W$5:$W$643,
Deals_Raw!$AF$5:$AF$643,"Won",
Deals_Raw!$G$5:$G$643,$A12,
Deals_Raw!$J$5:$J$643,$B12,
Deals_Raw!$K$5:$K$643,$D12
)</f>
        <v>0.17899999999999999</v>
      </c>
      <c r="J12">
        <f>IFERROR(
AVERAGEIFS(
Deals_Raw!$AQ$5:$AQ$643,
Deals_Raw!$AF$5:$AF$643,"Won",
Deals_Raw!$G$5:$G$643,$A12,
Deals_Raw!$J$5:$J$643,$B12,
Deals_Raw!$K$5:$K$643,$D12
),0)</f>
        <v>159086.74249999999</v>
      </c>
      <c r="K12">
        <f>SUMIFS(Deals_Raw!$AQ$5:$AQ$643, Deals_Raw!$AF$5:$AF$643,"Won", Deals_Raw!$G$5:$G$643,$A12, Deals_Raw!$J$5:$J$643,$B12, Deals_Raw!$K$5:$K$643,$D12)</f>
        <v>636346.97</v>
      </c>
      <c r="L12">
        <f>AVERAGEIFS(Deals_Raw!$AT$5:$AT$643, Deals_Raw!$AF$5:$AF$643,"Won", Deals_Raw!$G$5:$G$643,$A12, Deals_Raw!$J$5:$J$643,$B12, Deals_Raw!$K$5:$K$643,$D12)</f>
        <v>0.60791131544539212</v>
      </c>
      <c r="M12">
        <f>SUMIFS(Deals_Raw!$AS$5:$AS$643, Deals_Raw!$AF$5:$AF$643,"Won", Deals_Raw!$G$5:$G$643,$A12, Deals_Raw!$J$5:$J$643,$B12, Deals_Raw!$K$5:$K$643,$D12)</f>
        <v>373292.62355071091</v>
      </c>
      <c r="N12" s="23">
        <f t="shared" si="0"/>
        <v>8.0350152781533332E-3</v>
      </c>
    </row>
    <row r="13" spans="1:15" ht="15">
      <c r="A13" t="s">
        <v>69</v>
      </c>
      <c r="B13" t="s">
        <v>43</v>
      </c>
      <c r="C13">
        <f>COUNTIFS(Deals_Raw!$G13:$G653, A13, Deals_Raw!$J13:$J653, B13)</f>
        <v>24</v>
      </c>
      <c r="D13" t="s">
        <v>44</v>
      </c>
      <c r="E13">
        <f>COUNTIFS(Deals_Raw!$G13:$G653, A13, Deals_Raw!$J13:$J653, B13, Deals_Raw!$K13:K653, D13)</f>
        <v>5</v>
      </c>
      <c r="F13" s="10">
        <f>COUNTIFS(
Deals_Raw!$G$5:$G$643,$A13,
Deals_Raw!$J$5:$J$643,$B13,
Deals_Raw!$K$5:$K$643,$D13
)</f>
        <v>5</v>
      </c>
      <c r="G13" s="10">
        <f>COUNTIFS(
Deals_Raw!$AF$5:$AF$643,"Won",
Deals_Raw!$G$5:$G$643,$A13,
Deals_Raw!$J$5:$J$643,$B13,
Deals_Raw!$K$5:$K$643,$D13
)</f>
        <v>4</v>
      </c>
      <c r="H13">
        <f t="shared" si="1"/>
        <v>0.8</v>
      </c>
      <c r="I13">
        <f>AVERAGEIFS(
Deals_Raw!$W$5:$W$643,
Deals_Raw!$AF$5:$AF$643,"Won",
Deals_Raw!$G$5:$G$643,$A13,
Deals_Raw!$J$5:$J$643,$B13,
Deals_Raw!$K$5:$K$643,$D13
)</f>
        <v>0.16275000000000001</v>
      </c>
      <c r="J13">
        <f>IFERROR(
AVERAGEIFS(
Deals_Raw!$AQ$5:$AQ$643,
Deals_Raw!$AF$5:$AF$643,"Won",
Deals_Raw!$G$5:$G$643,$A13,
Deals_Raw!$J$5:$J$643,$B13,
Deals_Raw!$K$5:$K$643,$D13
),0)</f>
        <v>290999.28249999997</v>
      </c>
      <c r="K13">
        <f>SUMIFS(Deals_Raw!$AQ$5:$AQ$643, Deals_Raw!$AF$5:$AF$643,"Won", Deals_Raw!$G$5:$G$643,$A13, Deals_Raw!$J$5:$J$643,$B13, Deals_Raw!$K$5:$K$643,$D13)</f>
        <v>1163997.1299999999</v>
      </c>
      <c r="L13">
        <f>AVERAGEIFS(Deals_Raw!$AT$5:$AT$643, Deals_Raw!$AF$5:$AF$643,"Won", Deals_Raw!$G$5:$G$643,$A13, Deals_Raw!$J$5:$J$643,$B13, Deals_Raw!$K$5:$K$643,$D13)</f>
        <v>0.56428091679502024</v>
      </c>
      <c r="M13">
        <f>SUMIFS(Deals_Raw!$AS$5:$AS$643, Deals_Raw!$AF$5:$AF$643,"Won", Deals_Raw!$G$5:$G$643,$A13, Deals_Raw!$J$5:$J$643,$B13, Deals_Raw!$K$5:$K$643,$D13)</f>
        <v>665769.31903345999</v>
      </c>
      <c r="N13" s="23">
        <f t="shared" si="0"/>
        <v>1.469753949370833E-2</v>
      </c>
    </row>
    <row r="14" spans="1:15" ht="15">
      <c r="A14" t="s">
        <v>83</v>
      </c>
      <c r="B14" t="s">
        <v>37</v>
      </c>
      <c r="C14">
        <f>COUNTIFS(Deals_Raw!$G14:$G654, A14, Deals_Raw!$J14:$J654, B14)</f>
        <v>37</v>
      </c>
      <c r="D14" t="s">
        <v>44</v>
      </c>
      <c r="E14">
        <f>COUNTIFS(Deals_Raw!$G14:$G654, A14, Deals_Raw!$J14:$J654, B14, Deals_Raw!$K14:K654, D14)</f>
        <v>8</v>
      </c>
      <c r="F14" s="10">
        <f>COUNTIFS(
Deals_Raw!$G$5:$G$643,$A14,
Deals_Raw!$J$5:$J$643,$B14,
Deals_Raw!$K$5:$K$643,$D14
)</f>
        <v>8</v>
      </c>
      <c r="G14" s="10">
        <f>COUNTIFS( Deals_Raw!$AF$5:$AF$643,"Won", Deals_Raw!$G$5:$G$643,$A14, Deals_Raw!$J$5:$J$643,$B14, Deals_Raw!$K$5:$K$643,$D14)</f>
        <v>6</v>
      </c>
      <c r="H14">
        <f t="shared" si="1"/>
        <v>0.75</v>
      </c>
      <c r="I14">
        <f>AVERAGEIFS(
Deals_Raw!$W$5:$W$643,
Deals_Raw!$AF$5:$AF$643,"Won",
Deals_Raw!$G$5:$G$643,$A14,
Deals_Raw!$J$5:$J$643,$B14,
Deals_Raw!$K$5:$K$643,$D14
)</f>
        <v>9.0500000000000011E-2</v>
      </c>
      <c r="J14">
        <f>IFERROR(
AVERAGEIFS(
Deals_Raw!$AQ$5:$AQ$643,
Deals_Raw!$AF$5:$AF$643,"Won",
Deals_Raw!$G$5:$G$643,$A14,
Deals_Raw!$J$5:$J$643,$B14,
Deals_Raw!$K$5:$K$643,$D14
),0)</f>
        <v>128114.27166666667</v>
      </c>
      <c r="K14">
        <f>SUMIFS(Deals_Raw!$AQ$5:$AQ$643, Deals_Raw!$AF$5:$AF$643,"Won", Deals_Raw!$G$5:$G$643,$A14, Deals_Raw!$J$5:$J$643,$B14, Deals_Raw!$K$5:$K$643,$D14)</f>
        <v>768685.63</v>
      </c>
      <c r="L14">
        <f>AVERAGEIFS(Deals_Raw!$AT$5:$AT$643, Deals_Raw!$AF$5:$AF$643,"Won", Deals_Raw!$G$5:$G$643,$A14, Deals_Raw!$J$5:$J$643,$B14, Deals_Raw!$K$5:$K$643,$D14)</f>
        <v>0.62203984207124452</v>
      </c>
      <c r="M14">
        <f>SUMIFS(Deals_Raw!$AS$5:$AS$643, Deals_Raw!$AF$5:$AF$643,"Won", Deals_Raw!$G$5:$G$643,$A14, Deals_Raw!$J$5:$J$643,$B14, Deals_Raw!$K$5:$K$643,$D14)</f>
        <v>472887.40039582638</v>
      </c>
      <c r="N14" s="23">
        <f t="shared" si="0"/>
        <v>9.7060268569314004E-3</v>
      </c>
    </row>
    <row r="15" spans="1:15" ht="15">
      <c r="A15" t="s">
        <v>83</v>
      </c>
      <c r="B15" t="s">
        <v>56</v>
      </c>
      <c r="C15">
        <f>COUNTIFS(Deals_Raw!$G15:$G655, A15, Deals_Raw!$J15:$J655, B15)</f>
        <v>54</v>
      </c>
      <c r="D15" t="s">
        <v>44</v>
      </c>
      <c r="E15">
        <f>COUNTIFS(Deals_Raw!$G15:$G655, A15, Deals_Raw!$J15:$J655, B15, Deals_Raw!$K15:K655, D15)</f>
        <v>8</v>
      </c>
      <c r="F15" s="10">
        <f>COUNTIFS(
Deals_Raw!$G$5:$G$643,$A15,
Deals_Raw!$J$5:$J$643,$B15,
Deals_Raw!$K$5:$K$643,$D15
)</f>
        <v>8</v>
      </c>
      <c r="G15" s="10">
        <f>COUNTIFS(
Deals_Raw!$AF$5:$AF$643,"Won",
Deals_Raw!$G$5:$G$643,$A15,
Deals_Raw!$J$5:$J$643,$B15,
Deals_Raw!$K$5:$K$643,$D15
)</f>
        <v>6</v>
      </c>
      <c r="H15">
        <f t="shared" si="1"/>
        <v>0.75</v>
      </c>
      <c r="I15">
        <f>AVERAGEIFS(
Deals_Raw!$W$5:$W$643,
Deals_Raw!$AF$5:$AF$643,"Won",
Deals_Raw!$G$5:$G$643,$A15,
Deals_Raw!$J$5:$J$643,$B15,
Deals_Raw!$K$5:$K$643,$D15
)</f>
        <v>9.8333333333333342E-2</v>
      </c>
      <c r="J15">
        <f>IFERROR(
AVERAGEIFS(
Deals_Raw!$AQ$5:$AQ$643,
Deals_Raw!$AF$5:$AF$643,"Won",
Deals_Raw!$G$5:$G$643,$A15,
Deals_Raw!$J$5:$J$643,$B15,
Deals_Raw!$K$5:$K$643,$D15
),0)</f>
        <v>165469.43833333332</v>
      </c>
      <c r="K15">
        <f>SUMIFS(Deals_Raw!$AQ$5:$AQ$643, Deals_Raw!$AF$5:$AF$643,"Won", Deals_Raw!$G$5:$G$643,$A15, Deals_Raw!$J$5:$J$643,$B15, Deals_Raw!$K$5:$K$643,$D15)</f>
        <v>992816.63</v>
      </c>
      <c r="L15">
        <f>AVERAGEIFS(Deals_Raw!$AT$5:$AT$643, Deals_Raw!$AF$5:$AF$643,"Won", Deals_Raw!$G$5:$G$643,$A15, Deals_Raw!$J$5:$J$643,$B15, Deals_Raw!$K$5:$K$643,$D15)</f>
        <v>0.62112928012345692</v>
      </c>
      <c r="M15">
        <f>SUMIFS(Deals_Raw!$AS$5:$AS$643, Deals_Raw!$AF$5:$AF$643,"Won", Deals_Raw!$G$5:$G$643,$A15, Deals_Raw!$J$5:$J$643,$B15, Deals_Raw!$K$5:$K$643,$D15)</f>
        <v>607641.30865989602</v>
      </c>
      <c r="N15" s="23">
        <f t="shared" si="0"/>
        <v>1.2536080419232144E-2</v>
      </c>
    </row>
    <row r="16" spans="1:15" ht="15">
      <c r="A16" t="s">
        <v>83</v>
      </c>
      <c r="B16" t="s">
        <v>43</v>
      </c>
      <c r="C16">
        <f>COUNTIFS(Deals_Raw!$G16:$G656, A16, Deals_Raw!$J16:$J656, B16)</f>
        <v>19</v>
      </c>
      <c r="D16" t="s">
        <v>44</v>
      </c>
      <c r="E16">
        <f>COUNTIFS(Deals_Raw!$G16:$G656, A16, Deals_Raw!$J16:$J656, B16, Deals_Raw!$K16:K656, D16)</f>
        <v>7</v>
      </c>
      <c r="F16" s="10">
        <f>COUNTIFS(
Deals_Raw!$G$5:$G$643,$A16,
Deals_Raw!$J$5:$J$643,$B16,
Deals_Raw!$K$5:$K$643,$D16
)</f>
        <v>7</v>
      </c>
      <c r="G16" s="10">
        <f>COUNTIFS(
Deals_Raw!$AF$5:$AF$643,"Won",
Deals_Raw!$G$5:$G$643,$A16,
Deals_Raw!$J$5:$J$643,$B16,
Deals_Raw!$K$5:$K$643,$D16
)</f>
        <v>3</v>
      </c>
      <c r="H16">
        <f t="shared" si="1"/>
        <v>0.42857142857142855</v>
      </c>
      <c r="I16">
        <f>AVERAGEIFS(
Deals_Raw!$W$5:$W$643,
Deals_Raw!$AF$5:$AF$643,"Won",
Deals_Raw!$G$5:$G$643,$A16,
Deals_Raw!$J$5:$J$643,$B16,
Deals_Raw!$K$5:$K$643,$D16
)</f>
        <v>8.666666666666667E-2</v>
      </c>
      <c r="J16">
        <f>IFERROR(
AVERAGEIFS(
Deals_Raw!$AQ$5:$AQ$643,
Deals_Raw!$AF$5:$AF$643,"Won",
Deals_Raw!$G$5:$G$643,$A16,
Deals_Raw!$J$5:$J$643,$B16,
Deals_Raw!$K$5:$K$643,$D16
),0)</f>
        <v>291514.49333333335</v>
      </c>
      <c r="K16">
        <f>SUMIFS(Deals_Raw!$AQ$5:$AQ$643, Deals_Raw!$AF$5:$AF$643,"Won", Deals_Raw!$G$5:$G$643,$A16, Deals_Raw!$J$5:$J$643,$B16, Deals_Raw!$K$5:$K$643,$D16)</f>
        <v>874543.48</v>
      </c>
      <c r="L16">
        <f>AVERAGEIFS(Deals_Raw!$AT$5:$AT$643, Deals_Raw!$AF$5:$AF$643,"Won", Deals_Raw!$G$5:$G$643,$A16, Deals_Raw!$J$5:$J$643,$B16, Deals_Raw!$K$5:$K$643,$D16)</f>
        <v>0.55185257785131647</v>
      </c>
      <c r="M16">
        <f>SUMIFS(Deals_Raw!$AS$5:$AS$643, Deals_Raw!$AF$5:$AF$643,"Won", Deals_Raw!$G$5:$G$643,$A16, Deals_Raw!$J$5:$J$643,$B16, Deals_Raw!$K$5:$K$643,$D16)</f>
        <v>492688.65650239179</v>
      </c>
      <c r="N16" s="23">
        <f t="shared" si="0"/>
        <v>1.1042670986882178E-2</v>
      </c>
    </row>
    <row r="17" spans="1:14" ht="15">
      <c r="A17" t="s">
        <v>47</v>
      </c>
      <c r="B17" t="s">
        <v>37</v>
      </c>
      <c r="C17">
        <f>COUNTIFS(Deals_Raw!$G17:$G657, A17, Deals_Raw!$J17:$J657, B17)</f>
        <v>26</v>
      </c>
      <c r="D17" t="s">
        <v>44</v>
      </c>
      <c r="E17">
        <f>COUNTIFS(Deals_Raw!$G17:$G657, A17, Deals_Raw!$J17:$J657, B17, Deals_Raw!$K17:K657, D17)</f>
        <v>0</v>
      </c>
      <c r="F17" s="10">
        <f>COUNTIFS(
Deals_Raw!$G$5:$G$643,$A17,
Deals_Raw!$J$5:$J$643,$B17,
Deals_Raw!$K$5:$K$643,$D17
)</f>
        <v>0</v>
      </c>
      <c r="G17" s="10">
        <f>COUNTIFS(
Deals_Raw!$AF$5:$AF$643,"Won",
Deals_Raw!$G$5:$G$643,$A17,
Deals_Raw!$J$5:$J$643,$B17,
Deals_Raw!$K$5:$K$643,$D17
)</f>
        <v>0</v>
      </c>
      <c r="H17">
        <v>0</v>
      </c>
      <c r="I17">
        <v>0</v>
      </c>
      <c r="J17">
        <f>IFERROR(
AVERAGEIFS(
Deals_Raw!$AQ$5:$AQ$643,
Deals_Raw!$AF$5:$AF$643,"Won",
Deals_Raw!$G$5:$G$643,$A17,
Deals_Raw!$J$5:$J$643,$B17,
Deals_Raw!$K$5:$K$643,$D17
),0)</f>
        <v>0</v>
      </c>
      <c r="K17">
        <f>SUMIFS(Deals_Raw!$AQ$5:$AQ$643, Deals_Raw!$AF$5:$AF$643,"Won", Deals_Raw!$G$5:$G$643,$A17, Deals_Raw!$J$5:$J$643,$B17, Deals_Raw!$K$5:$K$643,$D17)</f>
        <v>0</v>
      </c>
      <c r="L17">
        <v>0</v>
      </c>
      <c r="M17">
        <f>SUMIFS(Deals_Raw!$AS$5:$AS$643, Deals_Raw!$AF$5:$AF$643,"Won", Deals_Raw!$G$5:$G$643,$A17, Deals_Raw!$J$5:$J$643,$B17, Deals_Raw!$K$5:$K$643,$D17)</f>
        <v>0</v>
      </c>
      <c r="N17" s="23">
        <f t="shared" si="0"/>
        <v>0</v>
      </c>
    </row>
    <row r="18" spans="1:14" ht="15">
      <c r="A18" t="s">
        <v>47</v>
      </c>
      <c r="B18" t="s">
        <v>56</v>
      </c>
      <c r="C18">
        <f>COUNTIFS(Deals_Raw!$G18:$G658, A18, Deals_Raw!$J18:$J658, B18)</f>
        <v>77</v>
      </c>
      <c r="D18" t="s">
        <v>44</v>
      </c>
      <c r="E18">
        <f>COUNTIFS(Deals_Raw!$G18:$G658, A18, Deals_Raw!$J18:$J658, B18, Deals_Raw!$K18:K658, D18)</f>
        <v>11</v>
      </c>
      <c r="F18" s="10">
        <f>COUNTIFS(
Deals_Raw!$G$5:$G$643,$A18,
Deals_Raw!$J$5:$J$643,$B18,
Deals_Raw!$K$5:$K$643,$D18
)</f>
        <v>11</v>
      </c>
      <c r="G18" s="10">
        <f>COUNTIFS( Deals_Raw!$AF$5:$AF$643,"Won", Deals_Raw!$G$5:$G$643,$A18, Deals_Raw!$J$5:$J$643,$B18, Deals_Raw!$K$5:$K$643,$D18)</f>
        <v>8</v>
      </c>
      <c r="H18">
        <f t="shared" si="1"/>
        <v>0.72727272727272729</v>
      </c>
      <c r="I18">
        <f>AVERAGEIFS(
Deals_Raw!$W$5:$W$643,
Deals_Raw!$AF$5:$AF$643,"Won",
Deals_Raw!$G$5:$G$643,$A18,
Deals_Raw!$J$5:$J$643,$B18,
Deals_Raw!$K$5:$K$643,$D18
)</f>
        <v>0.13100000000000001</v>
      </c>
      <c r="J18">
        <f>IFERROR(
AVERAGEIFS(
Deals_Raw!$AQ$5:$AQ$643,
Deals_Raw!$AF$5:$AF$643,"Won",
Deals_Raw!$G$5:$G$643,$A18,
Deals_Raw!$J$5:$J$643,$B18,
Deals_Raw!$K$5:$K$643,$D18
),0)</f>
        <v>261881.19375000003</v>
      </c>
      <c r="K18">
        <f>SUMIFS(Deals_Raw!$AQ$5:$AQ$643, Deals_Raw!$AF$5:$AF$643,"Won", Deals_Raw!$G$5:$G$643,$A18, Deals_Raw!$J$5:$J$643,$B18, Deals_Raw!$K$5:$K$643,$D18)</f>
        <v>2095049.5500000003</v>
      </c>
      <c r="L18">
        <f>AVERAGEIFS(Deals_Raw!$AT$5:$AT$643, Deals_Raw!$AF$5:$AF$643,"Won", Deals_Raw!$G$5:$G$643,$A18, Deals_Raw!$J$5:$J$643,$B18, Deals_Raw!$K$5:$K$643,$D18)</f>
        <v>0.61045894715085713</v>
      </c>
      <c r="M18">
        <f>SUMIFS(Deals_Raw!$AS$5:$AS$643, Deals_Raw!$AF$5:$AF$643,"Won", Deals_Raw!$G$5:$G$643,$A18, Deals_Raw!$J$5:$J$643,$B18, Deals_Raw!$K$5:$K$643,$D18)</f>
        <v>1232770.7078324426</v>
      </c>
      <c r="N18" s="23">
        <f t="shared" si="0"/>
        <v>2.6453736619093615E-2</v>
      </c>
    </row>
    <row r="19" spans="1:14" ht="15">
      <c r="A19" t="s">
        <v>47</v>
      </c>
      <c r="B19" t="s">
        <v>43</v>
      </c>
      <c r="C19">
        <f>COUNTIFS(Deals_Raw!$G19:$G659, A19, Deals_Raw!$J19:$J659, B19)</f>
        <v>44</v>
      </c>
      <c r="D19" t="s">
        <v>44</v>
      </c>
      <c r="E19">
        <f>COUNTIFS(Deals_Raw!$G19:$G659, A19, Deals_Raw!$J19:$J659, B19, Deals_Raw!$K19:K659, D19)</f>
        <v>31</v>
      </c>
      <c r="F19" s="10">
        <f>COUNTIFS(
Deals_Raw!$G$5:$G$643,$A19,
Deals_Raw!$J$5:$J$643,$B19,
Deals_Raw!$K$5:$K$643,$D19
)</f>
        <v>31</v>
      </c>
      <c r="G19" s="10">
        <f>COUNTIFS(
Deals_Raw!$AF$5:$AF$643,"Won",
Deals_Raw!$G$5:$G$643,$A19,
Deals_Raw!$J$5:$J$643,$B19,
Deals_Raw!$K$5:$K$643,$D19
)</f>
        <v>20</v>
      </c>
      <c r="H19">
        <f t="shared" si="1"/>
        <v>0.64516129032258063</v>
      </c>
      <c r="I19">
        <f>AVERAGEIFS(
Deals_Raw!$W$5:$W$643,
Deals_Raw!$AF$5:$AF$643,"Won",
Deals_Raw!$G$5:$G$643,$A19,
Deals_Raw!$J$5:$J$643,$B19,
Deals_Raw!$K$5:$K$643,$D19
)</f>
        <v>0.12709999999999999</v>
      </c>
      <c r="J19">
        <f>IFERROR(
AVERAGEIFS(
Deals_Raw!$AQ$5:$AQ$643,
Deals_Raw!$AF$5:$AF$643,"Won",
Deals_Raw!$G$5:$G$643,$A19,
Deals_Raw!$J$5:$J$643,$B19,
Deals_Raw!$K$5:$K$643,$D19
),0)</f>
        <v>392232.04449999996</v>
      </c>
      <c r="K19">
        <f>SUMIFS(Deals_Raw!$AQ$5:$AQ$643, Deals_Raw!$AF$5:$AF$643,"Won", Deals_Raw!$G$5:$G$643,$A19, Deals_Raw!$J$5:$J$643,$B19, Deals_Raw!$K$5:$K$643,$D19)</f>
        <v>7844640.8899999997</v>
      </c>
      <c r="L19">
        <f>AVERAGEIFS(Deals_Raw!$AT$5:$AT$643, Deals_Raw!$AF$5:$AF$643,"Won", Deals_Raw!$G$5:$G$643,$A19, Deals_Raw!$J$5:$J$643,$B19, Deals_Raw!$K$5:$K$643,$D19)</f>
        <v>0.60265918738311097</v>
      </c>
      <c r="M19">
        <f>SUMIFS(Deals_Raw!$AS$5:$AS$643, Deals_Raw!$AF$5:$AF$643,"Won", Deals_Raw!$G$5:$G$643,$A19, Deals_Raw!$J$5:$J$643,$B19, Deals_Raw!$K$5:$K$643,$D19)</f>
        <v>4718963.4630871732</v>
      </c>
      <c r="N19" s="23">
        <f t="shared" si="0"/>
        <v>9.9052580391443296E-2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40"/>
  <sheetViews>
    <sheetView workbookViewId="0">
      <selection activeCell="C19" sqref="C19"/>
    </sheetView>
  </sheetViews>
  <sheetFormatPr defaultRowHeight="14.25"/>
  <cols>
    <col min="1" max="1" width="18" customWidth="1"/>
    <col min="4" max="4" width="15" customWidth="1"/>
    <col min="5" max="5" width="16.25" customWidth="1"/>
    <col min="6" max="6" width="18.375" customWidth="1"/>
    <col min="7" max="7" width="15.75" customWidth="1"/>
    <col min="9" max="9" width="23.375" customWidth="1"/>
  </cols>
  <sheetData>
    <row r="1" spans="1:9" ht="30">
      <c r="D1" s="3" t="s">
        <v>860</v>
      </c>
      <c r="E1" t="s">
        <v>1736</v>
      </c>
      <c r="F1" s="11" t="s">
        <v>1737</v>
      </c>
      <c r="G1" t="s">
        <v>1667</v>
      </c>
      <c r="H1" t="s">
        <v>1662</v>
      </c>
      <c r="I1" s="11" t="s">
        <v>1738</v>
      </c>
    </row>
    <row r="2" spans="1:9">
      <c r="A2" t="s">
        <v>1734</v>
      </c>
      <c r="B2">
        <v>79196734.290000007</v>
      </c>
      <c r="D2" s="8">
        <v>0.06</v>
      </c>
      <c r="E2" t="str">
        <f>Deals_Raw!AU5</f>
        <v>5–10%</v>
      </c>
      <c r="F2" s="11">
        <f t="shared" ref="F2:F65" si="0">COUNTIF($E:$E,E2)</f>
        <v>171</v>
      </c>
      <c r="G2" s="14">
        <f>COUNTIFS($E:$E,E2, Deals_Raw!AF:AF, "Won")</f>
        <v>116</v>
      </c>
      <c r="H2">
        <f>G2/F2</f>
        <v>0.67836257309941517</v>
      </c>
      <c r="I2">
        <f>AVERAGEIFS(Deals_Raw!$AT:$AT, $E:$E, E2, Deals_Raw!$AF:$AF, "Won")</f>
        <v>0.6077878084656495</v>
      </c>
    </row>
    <row r="3" spans="1:9">
      <c r="A3" t="s">
        <v>1735</v>
      </c>
      <c r="B3">
        <v>47724181.399999999</v>
      </c>
      <c r="D3" s="8">
        <v>1.2E-2</v>
      </c>
      <c r="E3" t="str">
        <f>Deals_Raw!AU6</f>
        <v>0–5%</v>
      </c>
      <c r="F3" s="11">
        <f t="shared" si="0"/>
        <v>79</v>
      </c>
      <c r="G3" s="14">
        <f>COUNTIFS($E:$E,E3, Deals_Raw!AF:AF, "Won")</f>
        <v>55</v>
      </c>
      <c r="H3">
        <f t="shared" ref="H3:H66" si="1">G3/F3</f>
        <v>0.69620253164556967</v>
      </c>
      <c r="I3">
        <f>AVERAGEIFS(Deals_Raw!$AT:$AT, $E:$E, E3, Deals_Raw!$AF:$AF, "Won")</f>
        <v>0.61352612210738522</v>
      </c>
    </row>
    <row r="4" spans="1:9">
      <c r="D4" s="8">
        <v>0.14799999999999999</v>
      </c>
      <c r="E4" t="str">
        <f>Deals_Raw!AU7</f>
        <v>10–15%</v>
      </c>
      <c r="F4" s="11">
        <f t="shared" si="0"/>
        <v>189</v>
      </c>
      <c r="G4" s="14">
        <f>COUNTIFS($E:$E,E4, Deals_Raw!AF:AF, "Won")</f>
        <v>113</v>
      </c>
      <c r="H4">
        <f t="shared" si="1"/>
        <v>0.59788359788359791</v>
      </c>
      <c r="I4">
        <f>AVERAGEIFS(Deals_Raw!$AT:$AT, $E:$E, E4, Deals_Raw!$AF:$AF, "Won")</f>
        <v>0.6036615079947677</v>
      </c>
    </row>
    <row r="5" spans="1:9">
      <c r="D5" s="8">
        <v>0.2</v>
      </c>
      <c r="E5" t="str">
        <f>Deals_Raw!AU8</f>
        <v>15–20%</v>
      </c>
      <c r="F5" s="11">
        <f t="shared" si="0"/>
        <v>149</v>
      </c>
      <c r="G5" s="14">
        <f>COUNTIFS($E:$E,E5, Deals_Raw!AF:AF, "Won")</f>
        <v>108</v>
      </c>
      <c r="H5">
        <f t="shared" si="1"/>
        <v>0.72483221476510062</v>
      </c>
      <c r="I5">
        <f>AVERAGEIFS(Deals_Raw!$AT:$AT, $E:$E, E5, Deals_Raw!$AF:$AF, "Won")</f>
        <v>0.61267442628905355</v>
      </c>
    </row>
    <row r="6" spans="1:9">
      <c r="D6" s="8">
        <v>8.8999999999999996E-2</v>
      </c>
      <c r="E6" t="str">
        <f>Deals_Raw!AU9</f>
        <v>5–10%</v>
      </c>
      <c r="F6" s="11">
        <f t="shared" si="0"/>
        <v>171</v>
      </c>
      <c r="G6" s="14">
        <f>COUNTIFS($E:$E,E6, Deals_Raw!AF:AF, "Won")</f>
        <v>116</v>
      </c>
      <c r="H6">
        <f t="shared" si="1"/>
        <v>0.67836257309941517</v>
      </c>
      <c r="I6">
        <f>AVERAGEIFS(Deals_Raw!$AT:$AT, $E:$E, E6, Deals_Raw!$AF:$AF, "Won")</f>
        <v>0.6077878084656495</v>
      </c>
    </row>
    <row r="7" spans="1:9">
      <c r="D7" s="8">
        <v>0.13700000000000001</v>
      </c>
      <c r="E7" t="str">
        <f>Deals_Raw!AU10</f>
        <v>10–15%</v>
      </c>
      <c r="F7" s="11">
        <f t="shared" si="0"/>
        <v>189</v>
      </c>
      <c r="G7" s="14">
        <f>COUNTIFS($E:$E,E7, Deals_Raw!AF:AF, "Won")</f>
        <v>113</v>
      </c>
      <c r="H7">
        <f t="shared" si="1"/>
        <v>0.59788359788359791</v>
      </c>
      <c r="I7">
        <f>AVERAGEIFS(Deals_Raw!$AT:$AT, $E:$E, E7, Deals_Raw!$AF:$AF, "Won")</f>
        <v>0.6036615079947677</v>
      </c>
    </row>
    <row r="8" spans="1:9">
      <c r="D8" s="8">
        <v>0.12</v>
      </c>
      <c r="E8" t="str">
        <f>Deals_Raw!AU11</f>
        <v>10–15%</v>
      </c>
      <c r="F8" s="11">
        <f t="shared" si="0"/>
        <v>189</v>
      </c>
      <c r="G8" s="14">
        <f>COUNTIFS($E:$E,E8, Deals_Raw!AF:AF, "Won")</f>
        <v>113</v>
      </c>
      <c r="H8">
        <f t="shared" si="1"/>
        <v>0.59788359788359791</v>
      </c>
      <c r="I8">
        <f>AVERAGEIFS(Deals_Raw!$AT:$AT, $E:$E, E8, Deals_Raw!$AF:$AF, "Won")</f>
        <v>0.6036615079947677</v>
      </c>
    </row>
    <row r="9" spans="1:9">
      <c r="D9" s="8">
        <v>0.188</v>
      </c>
      <c r="E9" t="str">
        <f>Deals_Raw!AU12</f>
        <v>15–20%</v>
      </c>
      <c r="F9" s="11">
        <f t="shared" si="0"/>
        <v>149</v>
      </c>
      <c r="G9" s="14">
        <f>COUNTIFS($E:$E,E9, Deals_Raw!AF:AF, "Won")</f>
        <v>108</v>
      </c>
      <c r="H9">
        <f t="shared" si="1"/>
        <v>0.72483221476510062</v>
      </c>
      <c r="I9">
        <f>AVERAGEIFS(Deals_Raw!$AT:$AT, $E:$E, E9, Deals_Raw!$AF:$AF, "Won")</f>
        <v>0.61267442628905355</v>
      </c>
    </row>
    <row r="10" spans="1:9">
      <c r="D10" s="8">
        <v>0.11899999999999999</v>
      </c>
      <c r="E10" t="str">
        <f>Deals_Raw!AU13</f>
        <v>10–15%</v>
      </c>
      <c r="F10" s="11">
        <f t="shared" si="0"/>
        <v>189</v>
      </c>
      <c r="G10" s="14">
        <f>COUNTIFS($E:$E,E10, Deals_Raw!AF:AF, "Won")</f>
        <v>113</v>
      </c>
      <c r="H10">
        <f t="shared" si="1"/>
        <v>0.59788359788359791</v>
      </c>
      <c r="I10">
        <f>AVERAGEIFS(Deals_Raw!$AT:$AT, $E:$E, E10, Deals_Raw!$AF:$AF, "Won")</f>
        <v>0.6036615079947677</v>
      </c>
    </row>
    <row r="11" spans="1:9">
      <c r="D11" s="8">
        <v>0.13</v>
      </c>
      <c r="E11" t="str">
        <f>Deals_Raw!AU14</f>
        <v>10–15%</v>
      </c>
      <c r="F11" s="11">
        <f t="shared" si="0"/>
        <v>189</v>
      </c>
      <c r="G11" s="14">
        <f>COUNTIFS($E:$E,E11, Deals_Raw!AF:AF, "Won")</f>
        <v>113</v>
      </c>
      <c r="H11">
        <f t="shared" si="1"/>
        <v>0.59788359788359791</v>
      </c>
      <c r="I11">
        <f>AVERAGEIFS(Deals_Raw!$AT:$AT, $E:$E, E11, Deals_Raw!$AF:$AF, "Won")</f>
        <v>0.6036615079947677</v>
      </c>
    </row>
    <row r="12" spans="1:9">
      <c r="D12" s="8">
        <v>0.188</v>
      </c>
      <c r="E12" t="str">
        <f>Deals_Raw!AU15</f>
        <v>15–20%</v>
      </c>
      <c r="F12" s="11">
        <f t="shared" si="0"/>
        <v>149</v>
      </c>
      <c r="G12" s="14">
        <f>COUNTIFS($E:$E,E12, Deals_Raw!AF:AF, "Won")</f>
        <v>108</v>
      </c>
      <c r="H12">
        <f t="shared" si="1"/>
        <v>0.72483221476510062</v>
      </c>
      <c r="I12">
        <f>AVERAGEIFS(Deals_Raw!$AT:$AT, $E:$E, E12, Deals_Raw!$AF:$AF, "Won")</f>
        <v>0.61267442628905355</v>
      </c>
    </row>
    <row r="13" spans="1:9">
      <c r="D13" s="8">
        <v>0.16800000000000001</v>
      </c>
      <c r="E13" t="str">
        <f>Deals_Raw!AU16</f>
        <v>15–20%</v>
      </c>
      <c r="F13" s="11">
        <f t="shared" si="0"/>
        <v>149</v>
      </c>
      <c r="G13" s="14">
        <f>COUNTIFS($E:$E,E13, Deals_Raw!AF:AF, "Won")</f>
        <v>108</v>
      </c>
      <c r="H13">
        <f t="shared" si="1"/>
        <v>0.72483221476510062</v>
      </c>
      <c r="I13">
        <f>AVERAGEIFS(Deals_Raw!$AT:$AT, $E:$E, E13, Deals_Raw!$AF:$AF, "Won")</f>
        <v>0.61267442628905355</v>
      </c>
    </row>
    <row r="14" spans="1:9">
      <c r="D14" s="8">
        <v>0.115</v>
      </c>
      <c r="E14" t="str">
        <f>Deals_Raw!AU17</f>
        <v>10–15%</v>
      </c>
      <c r="F14" s="11">
        <f t="shared" si="0"/>
        <v>189</v>
      </c>
      <c r="G14" s="14">
        <f>COUNTIFS($E:$E,E14, Deals_Raw!AF:AF, "Won")</f>
        <v>113</v>
      </c>
      <c r="H14">
        <f t="shared" si="1"/>
        <v>0.59788359788359791</v>
      </c>
      <c r="I14">
        <f>AVERAGEIFS(Deals_Raw!$AT:$AT, $E:$E, E14, Deals_Raw!$AF:$AF, "Won")</f>
        <v>0.6036615079947677</v>
      </c>
    </row>
    <row r="15" spans="1:9">
      <c r="D15" s="8">
        <v>0.21199999999999999</v>
      </c>
      <c r="E15" t="str">
        <f>Deals_Raw!AU18</f>
        <v>20–25%</v>
      </c>
      <c r="F15" s="11">
        <f t="shared" si="0"/>
        <v>41</v>
      </c>
      <c r="G15" s="14">
        <f>COUNTIFS($E:$E,E15, Deals_Raw!AF:AF, "Won")</f>
        <v>29</v>
      </c>
      <c r="H15">
        <f t="shared" si="1"/>
        <v>0.70731707317073167</v>
      </c>
      <c r="I15">
        <f>AVERAGEIFS(Deals_Raw!$AT:$AT, $E:$E, E15, Deals_Raw!$AF:$AF, "Won")</f>
        <v>0.6163731005984544</v>
      </c>
    </row>
    <row r="16" spans="1:9">
      <c r="D16" s="8">
        <v>0.26400000000000001</v>
      </c>
      <c r="E16" t="str">
        <f>Deals_Raw!AU19</f>
        <v>25–30%</v>
      </c>
      <c r="F16" s="11">
        <f t="shared" si="0"/>
        <v>7</v>
      </c>
      <c r="G16" s="14">
        <f>COUNTIFS($E:$E,E16, Deals_Raw!AF:AF, "Won")</f>
        <v>3</v>
      </c>
      <c r="H16">
        <f t="shared" si="1"/>
        <v>0.42857142857142855</v>
      </c>
      <c r="I16">
        <f>AVERAGEIFS(Deals_Raw!$AT:$AT, $E:$E, E16, Deals_Raw!$AF:$AF, "Won")</f>
        <v>0.60970059861072146</v>
      </c>
    </row>
    <row r="17" spans="4:9">
      <c r="D17" s="8">
        <v>9.9000000000000005E-2</v>
      </c>
      <c r="E17" t="str">
        <f>Deals_Raw!AU20</f>
        <v>5–10%</v>
      </c>
      <c r="F17" s="11">
        <f t="shared" si="0"/>
        <v>171</v>
      </c>
      <c r="G17" s="14">
        <f>COUNTIFS($E:$E,E17, Deals_Raw!AF:AF, "Won")</f>
        <v>116</v>
      </c>
      <c r="H17">
        <f t="shared" si="1"/>
        <v>0.67836257309941517</v>
      </c>
      <c r="I17">
        <f>AVERAGEIFS(Deals_Raw!$AT:$AT, $E:$E, E17, Deals_Raw!$AF:$AF, "Won")</f>
        <v>0.6077878084656495</v>
      </c>
    </row>
    <row r="18" spans="4:9">
      <c r="D18" s="8">
        <v>0.10299999999999999</v>
      </c>
      <c r="E18" t="str">
        <f>Deals_Raw!AU21</f>
        <v>10–15%</v>
      </c>
      <c r="F18" s="11">
        <f t="shared" si="0"/>
        <v>189</v>
      </c>
      <c r="G18" s="14">
        <f>COUNTIFS($E:$E,E18, Deals_Raw!AF:AF, "Won")</f>
        <v>113</v>
      </c>
      <c r="H18">
        <f t="shared" si="1"/>
        <v>0.59788359788359791</v>
      </c>
      <c r="I18">
        <f>AVERAGEIFS(Deals_Raw!$AT:$AT, $E:$E, E18, Deals_Raw!$AF:$AF, "Won")</f>
        <v>0.6036615079947677</v>
      </c>
    </row>
    <row r="19" spans="4:9">
      <c r="D19" s="8">
        <v>3.3000000000000002E-2</v>
      </c>
      <c r="E19" t="str">
        <f>Deals_Raw!AU22</f>
        <v>0–5%</v>
      </c>
      <c r="F19" s="11">
        <f t="shared" si="0"/>
        <v>79</v>
      </c>
      <c r="G19" s="14">
        <f>COUNTIFS($E:$E,E19, Deals_Raw!AF:AF, "Won")</f>
        <v>55</v>
      </c>
      <c r="H19">
        <f t="shared" si="1"/>
        <v>0.69620253164556967</v>
      </c>
      <c r="I19">
        <f>AVERAGEIFS(Deals_Raw!$AT:$AT, $E:$E, E19, Deals_Raw!$AF:$AF, "Won")</f>
        <v>0.61352612210738522</v>
      </c>
    </row>
    <row r="20" spans="4:9">
      <c r="D20" s="8">
        <v>0.19500000000000001</v>
      </c>
      <c r="E20" t="str">
        <f>Deals_Raw!AU23</f>
        <v>15–20%</v>
      </c>
      <c r="F20" s="11">
        <f t="shared" si="0"/>
        <v>149</v>
      </c>
      <c r="G20" s="14">
        <f>COUNTIFS($E:$E,E20, Deals_Raw!AF:AF, "Won")</f>
        <v>108</v>
      </c>
      <c r="H20">
        <f t="shared" si="1"/>
        <v>0.72483221476510062</v>
      </c>
      <c r="I20">
        <f>AVERAGEIFS(Deals_Raw!$AT:$AT, $E:$E, E20, Deals_Raw!$AF:$AF, "Won")</f>
        <v>0.61267442628905355</v>
      </c>
    </row>
    <row r="21" spans="4:9">
      <c r="D21" s="8">
        <v>0.14899999999999999</v>
      </c>
      <c r="E21" t="str">
        <f>Deals_Raw!AU24</f>
        <v>10–15%</v>
      </c>
      <c r="F21" s="11">
        <f t="shared" si="0"/>
        <v>189</v>
      </c>
      <c r="G21" s="14">
        <f>COUNTIFS($E:$E,E21, Deals_Raw!AF:AF, "Won")</f>
        <v>113</v>
      </c>
      <c r="H21">
        <f t="shared" si="1"/>
        <v>0.59788359788359791</v>
      </c>
      <c r="I21">
        <f>AVERAGEIFS(Deals_Raw!$AT:$AT, $E:$E, E21, Deals_Raw!$AF:$AF, "Won")</f>
        <v>0.6036615079947677</v>
      </c>
    </row>
    <row r="22" spans="4:9">
      <c r="D22" s="8">
        <v>0.19500000000000001</v>
      </c>
      <c r="E22" t="str">
        <f>Deals_Raw!AU25</f>
        <v>15–20%</v>
      </c>
      <c r="F22" s="11">
        <f t="shared" si="0"/>
        <v>149</v>
      </c>
      <c r="G22" s="14">
        <f>COUNTIFS($E:$E,E22, Deals_Raw!AF:AF, "Won")</f>
        <v>108</v>
      </c>
      <c r="H22">
        <f t="shared" si="1"/>
        <v>0.72483221476510062</v>
      </c>
      <c r="I22">
        <f>AVERAGEIFS(Deals_Raw!$AT:$AT, $E:$E, E22, Deals_Raw!$AF:$AF, "Won")</f>
        <v>0.61267442628905355</v>
      </c>
    </row>
    <row r="23" spans="4:9">
      <c r="D23" s="8">
        <v>0.17699999999999999</v>
      </c>
      <c r="E23" t="str">
        <f>Deals_Raw!AU26</f>
        <v>15–20%</v>
      </c>
      <c r="F23" s="11">
        <f t="shared" si="0"/>
        <v>149</v>
      </c>
      <c r="G23" s="14">
        <f>COUNTIFS($E:$E,E23, Deals_Raw!AF:AF, "Won")</f>
        <v>108</v>
      </c>
      <c r="H23">
        <f t="shared" si="1"/>
        <v>0.72483221476510062</v>
      </c>
      <c r="I23">
        <f>AVERAGEIFS(Deals_Raw!$AT:$AT, $E:$E, E23, Deals_Raw!$AF:$AF, "Won")</f>
        <v>0.61267442628905355</v>
      </c>
    </row>
    <row r="24" spans="4:9">
      <c r="D24" s="8">
        <v>0.112</v>
      </c>
      <c r="E24" t="str">
        <f>Deals_Raw!AU27</f>
        <v>10–15%</v>
      </c>
      <c r="F24" s="11">
        <f t="shared" si="0"/>
        <v>189</v>
      </c>
      <c r="G24" s="14">
        <f>COUNTIFS($E:$E,E24, Deals_Raw!AF:AF, "Won")</f>
        <v>113</v>
      </c>
      <c r="H24">
        <f t="shared" si="1"/>
        <v>0.59788359788359791</v>
      </c>
      <c r="I24">
        <f>AVERAGEIFS(Deals_Raw!$AT:$AT, $E:$E, E24, Deals_Raw!$AF:$AF, "Won")</f>
        <v>0.6036615079947677</v>
      </c>
    </row>
    <row r="25" spans="4:9">
      <c r="D25" s="8">
        <v>0.23400000000000001</v>
      </c>
      <c r="E25" t="str">
        <f>Deals_Raw!AU28</f>
        <v>20–25%</v>
      </c>
      <c r="F25" s="11">
        <f t="shared" si="0"/>
        <v>41</v>
      </c>
      <c r="G25" s="14">
        <f>COUNTIFS($E:$E,E25, Deals_Raw!AF:AF, "Won")</f>
        <v>29</v>
      </c>
      <c r="H25">
        <f t="shared" si="1"/>
        <v>0.70731707317073167</v>
      </c>
      <c r="I25">
        <f>AVERAGEIFS(Deals_Raw!$AT:$AT, $E:$E, E25, Deals_Raw!$AF:$AF, "Won")</f>
        <v>0.6163731005984544</v>
      </c>
    </row>
    <row r="26" spans="4:9">
      <c r="D26" s="8">
        <v>0.1</v>
      </c>
      <c r="E26" t="str">
        <f>Deals_Raw!AU29</f>
        <v>5–10%</v>
      </c>
      <c r="F26" s="11">
        <f t="shared" si="0"/>
        <v>171</v>
      </c>
      <c r="G26" s="14">
        <f>COUNTIFS($E:$E,E26, Deals_Raw!AF:AF, "Won")</f>
        <v>116</v>
      </c>
      <c r="H26">
        <f t="shared" si="1"/>
        <v>0.67836257309941517</v>
      </c>
      <c r="I26">
        <f>AVERAGEIFS(Deals_Raw!$AT:$AT, $E:$E, E26, Deals_Raw!$AF:$AF, "Won")</f>
        <v>0.6077878084656495</v>
      </c>
    </row>
    <row r="27" spans="4:9">
      <c r="D27" s="8">
        <v>0.184</v>
      </c>
      <c r="E27" t="str">
        <f>Deals_Raw!AU30</f>
        <v>15–20%</v>
      </c>
      <c r="F27" s="11">
        <f t="shared" si="0"/>
        <v>149</v>
      </c>
      <c r="G27" s="14">
        <f>COUNTIFS($E:$E,E27, Deals_Raw!AF:AF, "Won")</f>
        <v>108</v>
      </c>
      <c r="H27">
        <f t="shared" si="1"/>
        <v>0.72483221476510062</v>
      </c>
      <c r="I27">
        <f>AVERAGEIFS(Deals_Raw!$AT:$AT, $E:$E, E27, Deals_Raw!$AF:$AF, "Won")</f>
        <v>0.61267442628905355</v>
      </c>
    </row>
    <row r="28" spans="4:9">
      <c r="D28" s="8">
        <v>0.156</v>
      </c>
      <c r="E28" t="str">
        <f>Deals_Raw!AU31</f>
        <v>15–20%</v>
      </c>
      <c r="F28" s="11">
        <f t="shared" si="0"/>
        <v>149</v>
      </c>
      <c r="G28" s="14">
        <f>COUNTIFS($E:$E,E28, Deals_Raw!AF:AF, "Won")</f>
        <v>108</v>
      </c>
      <c r="H28">
        <f t="shared" si="1"/>
        <v>0.72483221476510062</v>
      </c>
      <c r="I28">
        <f>AVERAGEIFS(Deals_Raw!$AT:$AT, $E:$E, E28, Deals_Raw!$AF:$AF, "Won")</f>
        <v>0.61267442628905355</v>
      </c>
    </row>
    <row r="29" spans="4:9">
      <c r="D29" s="8">
        <v>0.13400000000000001</v>
      </c>
      <c r="E29" t="str">
        <f>Deals_Raw!AU32</f>
        <v>10–15%</v>
      </c>
      <c r="F29" s="11">
        <f t="shared" si="0"/>
        <v>189</v>
      </c>
      <c r="G29" s="14">
        <f>COUNTIFS($E:$E,E29, Deals_Raw!AF:AF, "Won")</f>
        <v>113</v>
      </c>
      <c r="H29">
        <f t="shared" si="1"/>
        <v>0.59788359788359791</v>
      </c>
      <c r="I29">
        <f>AVERAGEIFS(Deals_Raw!$AT:$AT, $E:$E, E29, Deals_Raw!$AF:$AF, "Won")</f>
        <v>0.6036615079947677</v>
      </c>
    </row>
    <row r="30" spans="4:9">
      <c r="D30" s="8">
        <v>0.152</v>
      </c>
      <c r="E30" t="str">
        <f>Deals_Raw!AU33</f>
        <v>15–20%</v>
      </c>
      <c r="F30" s="11">
        <f t="shared" si="0"/>
        <v>149</v>
      </c>
      <c r="G30" s="14">
        <f>COUNTIFS($E:$E,E30, Deals_Raw!AF:AF, "Won")</f>
        <v>108</v>
      </c>
      <c r="H30">
        <f t="shared" si="1"/>
        <v>0.72483221476510062</v>
      </c>
      <c r="I30">
        <f>AVERAGEIFS(Deals_Raw!$AT:$AT, $E:$E, E30, Deals_Raw!$AF:$AF, "Won")</f>
        <v>0.61267442628905355</v>
      </c>
    </row>
    <row r="31" spans="4:9">
      <c r="D31" s="8">
        <v>0.17100000000000001</v>
      </c>
      <c r="E31" t="str">
        <f>Deals_Raw!AU34</f>
        <v>15–20%</v>
      </c>
      <c r="F31" s="11">
        <f t="shared" si="0"/>
        <v>149</v>
      </c>
      <c r="G31" s="14">
        <f>COUNTIFS($E:$E,E31, Deals_Raw!AF:AF, "Won")</f>
        <v>108</v>
      </c>
      <c r="H31">
        <f t="shared" si="1"/>
        <v>0.72483221476510062</v>
      </c>
      <c r="I31">
        <f>AVERAGEIFS(Deals_Raw!$AT:$AT, $E:$E, E31, Deals_Raw!$AF:$AF, "Won")</f>
        <v>0.61267442628905355</v>
      </c>
    </row>
    <row r="32" spans="4:9">
      <c r="D32" s="8">
        <v>7.9000000000000001E-2</v>
      </c>
      <c r="E32" t="str">
        <f>Deals_Raw!AU35</f>
        <v>5–10%</v>
      </c>
      <c r="F32" s="11">
        <f t="shared" si="0"/>
        <v>171</v>
      </c>
      <c r="G32" s="14">
        <f>COUNTIFS($E:$E,E32, Deals_Raw!AF:AF, "Won")</f>
        <v>116</v>
      </c>
      <c r="H32">
        <f t="shared" si="1"/>
        <v>0.67836257309941517</v>
      </c>
      <c r="I32">
        <f>AVERAGEIFS(Deals_Raw!$AT:$AT, $E:$E, E32, Deals_Raw!$AF:$AF, "Won")</f>
        <v>0.6077878084656495</v>
      </c>
    </row>
    <row r="33" spans="4:9">
      <c r="D33" s="8">
        <v>5.6000000000000001E-2</v>
      </c>
      <c r="E33" t="str">
        <f>Deals_Raw!AU36</f>
        <v>5–10%</v>
      </c>
      <c r="F33" s="11">
        <f t="shared" si="0"/>
        <v>171</v>
      </c>
      <c r="G33" s="14">
        <f>COUNTIFS($E:$E,E33, Deals_Raw!AF:AF, "Won")</f>
        <v>116</v>
      </c>
      <c r="H33">
        <f t="shared" si="1"/>
        <v>0.67836257309941517</v>
      </c>
      <c r="I33">
        <f>AVERAGEIFS(Deals_Raw!$AT:$AT, $E:$E, E33, Deals_Raw!$AF:$AF, "Won")</f>
        <v>0.6077878084656495</v>
      </c>
    </row>
    <row r="34" spans="4:9">
      <c r="D34" s="8">
        <v>0.17799999999999999</v>
      </c>
      <c r="E34" t="str">
        <f>Deals_Raw!AU37</f>
        <v>15–20%</v>
      </c>
      <c r="F34" s="11">
        <f t="shared" si="0"/>
        <v>149</v>
      </c>
      <c r="G34" s="14">
        <f>COUNTIFS($E:$E,E34, Deals_Raw!AF:AF, "Won")</f>
        <v>108</v>
      </c>
      <c r="H34">
        <f t="shared" si="1"/>
        <v>0.72483221476510062</v>
      </c>
      <c r="I34">
        <f>AVERAGEIFS(Deals_Raw!$AT:$AT, $E:$E, E34, Deals_Raw!$AF:$AF, "Won")</f>
        <v>0.61267442628905355</v>
      </c>
    </row>
    <row r="35" spans="4:9">
      <c r="D35" s="8">
        <v>0.16500000000000001</v>
      </c>
      <c r="E35" t="str">
        <f>Deals_Raw!AU38</f>
        <v>15–20%</v>
      </c>
      <c r="F35" s="11">
        <f t="shared" si="0"/>
        <v>149</v>
      </c>
      <c r="G35" s="14">
        <f>COUNTIFS($E:$E,E35, Deals_Raw!AF:AF, "Won")</f>
        <v>108</v>
      </c>
      <c r="H35">
        <f t="shared" si="1"/>
        <v>0.72483221476510062</v>
      </c>
      <c r="I35">
        <f>AVERAGEIFS(Deals_Raw!$AT:$AT, $E:$E, E35, Deals_Raw!$AF:$AF, "Won")</f>
        <v>0.61267442628905355</v>
      </c>
    </row>
    <row r="36" spans="4:9">
      <c r="D36" s="8">
        <v>3.4000000000000002E-2</v>
      </c>
      <c r="E36" t="str">
        <f>Deals_Raw!AU39</f>
        <v>0–5%</v>
      </c>
      <c r="F36" s="11">
        <f t="shared" si="0"/>
        <v>79</v>
      </c>
      <c r="G36" s="14">
        <f>COUNTIFS($E:$E,E36, Deals_Raw!AF:AF, "Won")</f>
        <v>55</v>
      </c>
      <c r="H36">
        <f t="shared" si="1"/>
        <v>0.69620253164556967</v>
      </c>
      <c r="I36">
        <f>AVERAGEIFS(Deals_Raw!$AT:$AT, $E:$E, E36, Deals_Raw!$AF:$AF, "Won")</f>
        <v>0.61352612210738522</v>
      </c>
    </row>
    <row r="37" spans="4:9">
      <c r="D37" s="8">
        <v>5.0999999999999997E-2</v>
      </c>
      <c r="E37" t="str">
        <f>Deals_Raw!AU40</f>
        <v>5–10%</v>
      </c>
      <c r="F37" s="11">
        <f t="shared" si="0"/>
        <v>171</v>
      </c>
      <c r="G37" s="14">
        <f>COUNTIFS($E:$E,E37, Deals_Raw!AF:AF, "Won")</f>
        <v>116</v>
      </c>
      <c r="H37">
        <f t="shared" si="1"/>
        <v>0.67836257309941517</v>
      </c>
      <c r="I37">
        <f>AVERAGEIFS(Deals_Raw!$AT:$AT, $E:$E, E37, Deals_Raw!$AF:$AF, "Won")</f>
        <v>0.6077878084656495</v>
      </c>
    </row>
    <row r="38" spans="4:9">
      <c r="D38" s="8">
        <v>0.19700000000000001</v>
      </c>
      <c r="E38" t="str">
        <f>Deals_Raw!AU41</f>
        <v>15–20%</v>
      </c>
      <c r="F38" s="11">
        <f t="shared" si="0"/>
        <v>149</v>
      </c>
      <c r="G38" s="14">
        <f>COUNTIFS($E:$E,E38, Deals_Raw!AF:AF, "Won")</f>
        <v>108</v>
      </c>
      <c r="H38">
        <f t="shared" si="1"/>
        <v>0.72483221476510062</v>
      </c>
      <c r="I38">
        <f>AVERAGEIFS(Deals_Raw!$AT:$AT, $E:$E, E38, Deals_Raw!$AF:$AF, "Won")</f>
        <v>0.61267442628905355</v>
      </c>
    </row>
    <row r="39" spans="4:9">
      <c r="D39" s="8">
        <v>6.7000000000000004E-2</v>
      </c>
      <c r="E39" t="str">
        <f>Deals_Raw!AU42</f>
        <v>5–10%</v>
      </c>
      <c r="F39" s="11">
        <f t="shared" si="0"/>
        <v>171</v>
      </c>
      <c r="G39" s="14">
        <f>COUNTIFS($E:$E,E39, Deals_Raw!AF:AF, "Won")</f>
        <v>116</v>
      </c>
      <c r="H39">
        <f t="shared" si="1"/>
        <v>0.67836257309941517</v>
      </c>
      <c r="I39">
        <f>AVERAGEIFS(Deals_Raw!$AT:$AT, $E:$E, E39, Deals_Raw!$AF:$AF, "Won")</f>
        <v>0.6077878084656495</v>
      </c>
    </row>
    <row r="40" spans="4:9">
      <c r="D40" s="8">
        <v>7.0000000000000001E-3</v>
      </c>
      <c r="E40" t="str">
        <f>Deals_Raw!AU43</f>
        <v>0–5%</v>
      </c>
      <c r="F40" s="11">
        <f t="shared" si="0"/>
        <v>79</v>
      </c>
      <c r="G40" s="14">
        <f>COUNTIFS($E:$E,E40, Deals_Raw!AF:AF, "Won")</f>
        <v>55</v>
      </c>
      <c r="H40">
        <f t="shared" si="1"/>
        <v>0.69620253164556967</v>
      </c>
      <c r="I40">
        <f>AVERAGEIFS(Deals_Raw!$AT:$AT, $E:$E, E40, Deals_Raw!$AF:$AF, "Won")</f>
        <v>0.61352612210738522</v>
      </c>
    </row>
    <row r="41" spans="4:9">
      <c r="D41" s="8">
        <v>8.2000000000000003E-2</v>
      </c>
      <c r="E41" t="str">
        <f>Deals_Raw!AU44</f>
        <v>5–10%</v>
      </c>
      <c r="F41" s="11">
        <f t="shared" si="0"/>
        <v>171</v>
      </c>
      <c r="G41" s="14">
        <f>COUNTIFS($E:$E,E41, Deals_Raw!AF:AF, "Won")</f>
        <v>116</v>
      </c>
      <c r="H41">
        <f t="shared" si="1"/>
        <v>0.67836257309941517</v>
      </c>
      <c r="I41">
        <f>AVERAGEIFS(Deals_Raw!$AT:$AT, $E:$E, E41, Deals_Raw!$AF:$AF, "Won")</f>
        <v>0.6077878084656495</v>
      </c>
    </row>
    <row r="42" spans="4:9">
      <c r="D42" s="8">
        <v>3.5999999999999997E-2</v>
      </c>
      <c r="E42" t="str">
        <f>Deals_Raw!AU45</f>
        <v>0–5%</v>
      </c>
      <c r="F42" s="11">
        <f t="shared" si="0"/>
        <v>79</v>
      </c>
      <c r="G42" s="14">
        <f>COUNTIFS($E:$E,E42, Deals_Raw!AF:AF, "Won")</f>
        <v>55</v>
      </c>
      <c r="H42">
        <f t="shared" si="1"/>
        <v>0.69620253164556967</v>
      </c>
      <c r="I42">
        <f>AVERAGEIFS(Deals_Raw!$AT:$AT, $E:$E, E42, Deals_Raw!$AF:$AF, "Won")</f>
        <v>0.61352612210738522</v>
      </c>
    </row>
    <row r="43" spans="4:9">
      <c r="D43" s="8">
        <v>3.1E-2</v>
      </c>
      <c r="E43" t="str">
        <f>Deals_Raw!AU46</f>
        <v>0–5%</v>
      </c>
      <c r="F43" s="11">
        <f t="shared" si="0"/>
        <v>79</v>
      </c>
      <c r="G43" s="14">
        <f>COUNTIFS($E:$E,E43, Deals_Raw!AF:AF, "Won")</f>
        <v>55</v>
      </c>
      <c r="H43">
        <f t="shared" si="1"/>
        <v>0.69620253164556967</v>
      </c>
      <c r="I43">
        <f>AVERAGEIFS(Deals_Raw!$AT:$AT, $E:$E, E43, Deals_Raw!$AF:$AF, "Won")</f>
        <v>0.61352612210738522</v>
      </c>
    </row>
    <row r="44" spans="4:9">
      <c r="D44" s="8">
        <v>0.13300000000000001</v>
      </c>
      <c r="E44" t="str">
        <f>Deals_Raw!AU47</f>
        <v>10–15%</v>
      </c>
      <c r="F44" s="11">
        <f t="shared" si="0"/>
        <v>189</v>
      </c>
      <c r="G44" s="14">
        <f>COUNTIFS($E:$E,E44, Deals_Raw!AF:AF, "Won")</f>
        <v>113</v>
      </c>
      <c r="H44">
        <f t="shared" si="1"/>
        <v>0.59788359788359791</v>
      </c>
      <c r="I44">
        <f>AVERAGEIFS(Deals_Raw!$AT:$AT, $E:$E, E44, Deals_Raw!$AF:$AF, "Won")</f>
        <v>0.6036615079947677</v>
      </c>
    </row>
    <row r="45" spans="4:9">
      <c r="D45" s="8">
        <v>0.127</v>
      </c>
      <c r="E45" t="str">
        <f>Deals_Raw!AU48</f>
        <v>10–15%</v>
      </c>
      <c r="F45" s="11">
        <f t="shared" si="0"/>
        <v>189</v>
      </c>
      <c r="G45" s="14">
        <f>COUNTIFS($E:$E,E45, Deals_Raw!AF:AF, "Won")</f>
        <v>113</v>
      </c>
      <c r="H45">
        <f t="shared" si="1"/>
        <v>0.59788359788359791</v>
      </c>
      <c r="I45">
        <f>AVERAGEIFS(Deals_Raw!$AT:$AT, $E:$E, E45, Deals_Raw!$AF:$AF, "Won")</f>
        <v>0.6036615079947677</v>
      </c>
    </row>
    <row r="46" spans="4:9">
      <c r="D46" s="8">
        <v>0.158</v>
      </c>
      <c r="E46" t="str">
        <f>Deals_Raw!AU49</f>
        <v>15–20%</v>
      </c>
      <c r="F46" s="11">
        <f t="shared" si="0"/>
        <v>149</v>
      </c>
      <c r="G46" s="14">
        <f>COUNTIFS($E:$E,E46, Deals_Raw!AF:AF, "Won")</f>
        <v>108</v>
      </c>
      <c r="H46">
        <f t="shared" si="1"/>
        <v>0.72483221476510062</v>
      </c>
      <c r="I46">
        <f>AVERAGEIFS(Deals_Raw!$AT:$AT, $E:$E, E46, Deals_Raw!$AF:$AF, "Won")</f>
        <v>0.61267442628905355</v>
      </c>
    </row>
    <row r="47" spans="4:9">
      <c r="D47" s="8">
        <v>0.218</v>
      </c>
      <c r="E47" t="str">
        <f>Deals_Raw!AU50</f>
        <v>20–25%</v>
      </c>
      <c r="F47" s="11">
        <f t="shared" si="0"/>
        <v>41</v>
      </c>
      <c r="G47" s="14">
        <f>COUNTIFS($E:$E,E47, Deals_Raw!AF:AF, "Won")</f>
        <v>29</v>
      </c>
      <c r="H47">
        <f t="shared" si="1"/>
        <v>0.70731707317073167</v>
      </c>
      <c r="I47">
        <f>AVERAGEIFS(Deals_Raw!$AT:$AT, $E:$E, E47, Deals_Raw!$AF:$AF, "Won")</f>
        <v>0.6163731005984544</v>
      </c>
    </row>
    <row r="48" spans="4:9">
      <c r="D48" s="8">
        <v>0.16900000000000001</v>
      </c>
      <c r="E48" t="str">
        <f>Deals_Raw!AU51</f>
        <v>15–20%</v>
      </c>
      <c r="F48" s="11">
        <f t="shared" si="0"/>
        <v>149</v>
      </c>
      <c r="G48" s="14">
        <f>COUNTIFS($E:$E,E48, Deals_Raw!AF:AF, "Won")</f>
        <v>108</v>
      </c>
      <c r="H48">
        <f t="shared" si="1"/>
        <v>0.72483221476510062</v>
      </c>
      <c r="I48">
        <f>AVERAGEIFS(Deals_Raw!$AT:$AT, $E:$E, E48, Deals_Raw!$AF:$AF, "Won")</f>
        <v>0.61267442628905355</v>
      </c>
    </row>
    <row r="49" spans="4:9">
      <c r="D49" s="8">
        <v>2.1000000000000001E-2</v>
      </c>
      <c r="E49" t="str">
        <f>Deals_Raw!AU52</f>
        <v>0–5%</v>
      </c>
      <c r="F49" s="11">
        <f t="shared" si="0"/>
        <v>79</v>
      </c>
      <c r="G49" s="14">
        <f>COUNTIFS($E:$E,E49, Deals_Raw!AF:AF, "Won")</f>
        <v>55</v>
      </c>
      <c r="H49">
        <f t="shared" si="1"/>
        <v>0.69620253164556967</v>
      </c>
      <c r="I49">
        <f>AVERAGEIFS(Deals_Raw!$AT:$AT, $E:$E, E49, Deals_Raw!$AF:$AF, "Won")</f>
        <v>0.61352612210738522</v>
      </c>
    </row>
    <row r="50" spans="4:9">
      <c r="D50" s="8">
        <v>0.05</v>
      </c>
      <c r="E50" t="str">
        <f>Deals_Raw!AU53</f>
        <v>0–5%</v>
      </c>
      <c r="F50" s="11">
        <f t="shared" si="0"/>
        <v>79</v>
      </c>
      <c r="G50" s="14">
        <f>COUNTIFS($E:$E,E50, Deals_Raw!AF:AF, "Won")</f>
        <v>55</v>
      </c>
      <c r="H50">
        <f t="shared" si="1"/>
        <v>0.69620253164556967</v>
      </c>
      <c r="I50">
        <f>AVERAGEIFS(Deals_Raw!$AT:$AT, $E:$E, E50, Deals_Raw!$AF:$AF, "Won")</f>
        <v>0.61352612210738522</v>
      </c>
    </row>
    <row r="51" spans="4:9">
      <c r="D51" s="8">
        <v>3.7999999999999999E-2</v>
      </c>
      <c r="E51" t="str">
        <f>Deals_Raw!AU54</f>
        <v>0–5%</v>
      </c>
      <c r="F51" s="11">
        <f t="shared" si="0"/>
        <v>79</v>
      </c>
      <c r="G51" s="14">
        <f>COUNTIFS($E:$E,E51, Deals_Raw!AF:AF, "Won")</f>
        <v>55</v>
      </c>
      <c r="H51">
        <f t="shared" si="1"/>
        <v>0.69620253164556967</v>
      </c>
      <c r="I51">
        <f>AVERAGEIFS(Deals_Raw!$AT:$AT, $E:$E, E51, Deals_Raw!$AF:$AF, "Won")</f>
        <v>0.61352612210738522</v>
      </c>
    </row>
    <row r="52" spans="4:9">
      <c r="D52" s="8">
        <v>3.1E-2</v>
      </c>
      <c r="E52" t="str">
        <f>Deals_Raw!AU55</f>
        <v>0–5%</v>
      </c>
      <c r="F52" s="11">
        <f t="shared" si="0"/>
        <v>79</v>
      </c>
      <c r="G52" s="14">
        <f>COUNTIFS($E:$E,E52, Deals_Raw!AF:AF, "Won")</f>
        <v>55</v>
      </c>
      <c r="H52">
        <f t="shared" si="1"/>
        <v>0.69620253164556967</v>
      </c>
      <c r="I52">
        <f>AVERAGEIFS(Deals_Raw!$AT:$AT, $E:$E, E52, Deals_Raw!$AF:$AF, "Won")</f>
        <v>0.61352612210738522</v>
      </c>
    </row>
    <row r="53" spans="4:9">
      <c r="D53" s="8">
        <v>0</v>
      </c>
      <c r="E53" t="str">
        <f>Deals_Raw!AU56</f>
        <v>0–5%</v>
      </c>
      <c r="F53" s="11">
        <f t="shared" si="0"/>
        <v>79</v>
      </c>
      <c r="G53" s="14">
        <f>COUNTIFS($E:$E,E53, Deals_Raw!AF:AF, "Won")</f>
        <v>55</v>
      </c>
      <c r="H53">
        <f t="shared" si="1"/>
        <v>0.69620253164556967</v>
      </c>
      <c r="I53">
        <f>AVERAGEIFS(Deals_Raw!$AT:$AT, $E:$E, E53, Deals_Raw!$AF:$AF, "Won")</f>
        <v>0.61352612210738522</v>
      </c>
    </row>
    <row r="54" spans="4:9">
      <c r="D54" s="8">
        <v>0.19700000000000001</v>
      </c>
      <c r="E54" t="str">
        <f>Deals_Raw!AU57</f>
        <v>15–20%</v>
      </c>
      <c r="F54" s="11">
        <f t="shared" si="0"/>
        <v>149</v>
      </c>
      <c r="G54" s="14">
        <f>COUNTIFS($E:$E,E54, Deals_Raw!AF:AF, "Won")</f>
        <v>108</v>
      </c>
      <c r="H54">
        <f t="shared" si="1"/>
        <v>0.72483221476510062</v>
      </c>
      <c r="I54">
        <f>AVERAGEIFS(Deals_Raw!$AT:$AT, $E:$E, E54, Deals_Raw!$AF:$AF, "Won")</f>
        <v>0.61267442628905355</v>
      </c>
    </row>
    <row r="55" spans="4:9">
      <c r="D55" s="8">
        <v>0.13400000000000001</v>
      </c>
      <c r="E55" t="str">
        <f>Deals_Raw!AU58</f>
        <v>10–15%</v>
      </c>
      <c r="F55" s="11">
        <f t="shared" si="0"/>
        <v>189</v>
      </c>
      <c r="G55" s="14">
        <f>COUNTIFS($E:$E,E55, Deals_Raw!AF:AF, "Won")</f>
        <v>113</v>
      </c>
      <c r="H55">
        <f t="shared" si="1"/>
        <v>0.59788359788359791</v>
      </c>
      <c r="I55">
        <f>AVERAGEIFS(Deals_Raw!$AT:$AT, $E:$E, E55, Deals_Raw!$AF:$AF, "Won")</f>
        <v>0.6036615079947677</v>
      </c>
    </row>
    <row r="56" spans="4:9">
      <c r="D56" s="8">
        <v>0.03</v>
      </c>
      <c r="E56" t="str">
        <f>Deals_Raw!AU59</f>
        <v>0–5%</v>
      </c>
      <c r="F56" s="11">
        <f t="shared" si="0"/>
        <v>79</v>
      </c>
      <c r="G56" s="14">
        <f>COUNTIFS($E:$E,E56, Deals_Raw!AF:AF, "Won")</f>
        <v>55</v>
      </c>
      <c r="H56">
        <f t="shared" si="1"/>
        <v>0.69620253164556967</v>
      </c>
      <c r="I56">
        <f>AVERAGEIFS(Deals_Raw!$AT:$AT, $E:$E, E56, Deals_Raw!$AF:$AF, "Won")</f>
        <v>0.61352612210738522</v>
      </c>
    </row>
    <row r="57" spans="4:9">
      <c r="D57" s="8">
        <v>0.17699999999999999</v>
      </c>
      <c r="E57" t="str">
        <f>Deals_Raw!AU60</f>
        <v>15–20%</v>
      </c>
      <c r="F57" s="11">
        <f t="shared" si="0"/>
        <v>149</v>
      </c>
      <c r="G57" s="14">
        <f>COUNTIFS($E:$E,E57, Deals_Raw!AF:AF, "Won")</f>
        <v>108</v>
      </c>
      <c r="H57">
        <f t="shared" si="1"/>
        <v>0.72483221476510062</v>
      </c>
      <c r="I57">
        <f>AVERAGEIFS(Deals_Raw!$AT:$AT, $E:$E, E57, Deals_Raw!$AF:$AF, "Won")</f>
        <v>0.61267442628905355</v>
      </c>
    </row>
    <row r="58" spans="4:9">
      <c r="D58" s="8">
        <v>0.16600000000000001</v>
      </c>
      <c r="E58" t="str">
        <f>Deals_Raw!AU61</f>
        <v>15–20%</v>
      </c>
      <c r="F58" s="11">
        <f t="shared" si="0"/>
        <v>149</v>
      </c>
      <c r="G58" s="14">
        <f>COUNTIFS($E:$E,E58, Deals_Raw!AF:AF, "Won")</f>
        <v>108</v>
      </c>
      <c r="H58">
        <f t="shared" si="1"/>
        <v>0.72483221476510062</v>
      </c>
      <c r="I58">
        <f>AVERAGEIFS(Deals_Raw!$AT:$AT, $E:$E, E58, Deals_Raw!$AF:$AF, "Won")</f>
        <v>0.61267442628905355</v>
      </c>
    </row>
    <row r="59" spans="4:9">
      <c r="D59" s="8">
        <v>0.121</v>
      </c>
      <c r="E59" t="str">
        <f>Deals_Raw!AU62</f>
        <v>10–15%</v>
      </c>
      <c r="F59" s="11">
        <f t="shared" si="0"/>
        <v>189</v>
      </c>
      <c r="G59" s="14">
        <f>COUNTIFS($E:$E,E59, Deals_Raw!AF:AF, "Won")</f>
        <v>113</v>
      </c>
      <c r="H59">
        <f t="shared" si="1"/>
        <v>0.59788359788359791</v>
      </c>
      <c r="I59">
        <f>AVERAGEIFS(Deals_Raw!$AT:$AT, $E:$E, E59, Deals_Raw!$AF:$AF, "Won")</f>
        <v>0.6036615079947677</v>
      </c>
    </row>
    <row r="60" spans="4:9">
      <c r="D60" s="8">
        <v>0.10199999999999999</v>
      </c>
      <c r="E60" t="str">
        <f>Deals_Raw!AU63</f>
        <v>10–15%</v>
      </c>
      <c r="F60" s="11">
        <f t="shared" si="0"/>
        <v>189</v>
      </c>
      <c r="G60" s="14">
        <f>COUNTIFS($E:$E,E60, Deals_Raw!AF:AF, "Won")</f>
        <v>113</v>
      </c>
      <c r="H60">
        <f t="shared" si="1"/>
        <v>0.59788359788359791</v>
      </c>
      <c r="I60">
        <f>AVERAGEIFS(Deals_Raw!$AT:$AT, $E:$E, E60, Deals_Raw!$AF:$AF, "Won")</f>
        <v>0.6036615079947677</v>
      </c>
    </row>
    <row r="61" spans="4:9">
      <c r="D61" s="8">
        <v>9.8000000000000004E-2</v>
      </c>
      <c r="E61" t="str">
        <f>Deals_Raw!AU64</f>
        <v>5–10%</v>
      </c>
      <c r="F61" s="11">
        <f t="shared" si="0"/>
        <v>171</v>
      </c>
      <c r="G61" s="14">
        <f>COUNTIFS($E:$E,E61, Deals_Raw!AF:AF, "Won")</f>
        <v>116</v>
      </c>
      <c r="H61">
        <f t="shared" si="1"/>
        <v>0.67836257309941517</v>
      </c>
      <c r="I61">
        <f>AVERAGEIFS(Deals_Raw!$AT:$AT, $E:$E, E61, Deals_Raw!$AF:$AF, "Won")</f>
        <v>0.6077878084656495</v>
      </c>
    </row>
    <row r="62" spans="4:9">
      <c r="D62" s="8">
        <v>7.8E-2</v>
      </c>
      <c r="E62" t="str">
        <f>Deals_Raw!AU65</f>
        <v>5–10%</v>
      </c>
      <c r="F62" s="11">
        <f t="shared" si="0"/>
        <v>171</v>
      </c>
      <c r="G62" s="14">
        <f>COUNTIFS($E:$E,E62, Deals_Raw!AF:AF, "Won")</f>
        <v>116</v>
      </c>
      <c r="H62">
        <f t="shared" si="1"/>
        <v>0.67836257309941517</v>
      </c>
      <c r="I62">
        <f>AVERAGEIFS(Deals_Raw!$AT:$AT, $E:$E, E62, Deals_Raw!$AF:$AF, "Won")</f>
        <v>0.6077878084656495</v>
      </c>
    </row>
    <row r="63" spans="4:9">
      <c r="D63" s="8">
        <v>0.21099999999999999</v>
      </c>
      <c r="E63" t="str">
        <f>Deals_Raw!AU66</f>
        <v>20–25%</v>
      </c>
      <c r="F63" s="11">
        <f t="shared" si="0"/>
        <v>41</v>
      </c>
      <c r="G63" s="14">
        <f>COUNTIFS($E:$E,E63, Deals_Raw!AF:AF, "Won")</f>
        <v>29</v>
      </c>
      <c r="H63">
        <f t="shared" si="1"/>
        <v>0.70731707317073167</v>
      </c>
      <c r="I63">
        <f>AVERAGEIFS(Deals_Raw!$AT:$AT, $E:$E, E63, Deals_Raw!$AF:$AF, "Won")</f>
        <v>0.6163731005984544</v>
      </c>
    </row>
    <row r="64" spans="4:9">
      <c r="D64" s="8">
        <v>0.08</v>
      </c>
      <c r="E64" t="str">
        <f>Deals_Raw!AU67</f>
        <v>5–10%</v>
      </c>
      <c r="F64" s="11">
        <f t="shared" si="0"/>
        <v>171</v>
      </c>
      <c r="G64" s="14">
        <f>COUNTIFS($E:$E,E64, Deals_Raw!AF:AF, "Won")</f>
        <v>116</v>
      </c>
      <c r="H64">
        <f t="shared" si="1"/>
        <v>0.67836257309941517</v>
      </c>
      <c r="I64">
        <f>AVERAGEIFS(Deals_Raw!$AT:$AT, $E:$E, E64, Deals_Raw!$AF:$AF, "Won")</f>
        <v>0.6077878084656495</v>
      </c>
    </row>
    <row r="65" spans="4:9">
      <c r="D65" s="8">
        <v>0.19800000000000001</v>
      </c>
      <c r="E65" t="str">
        <f>Deals_Raw!AU68</f>
        <v>15–20%</v>
      </c>
      <c r="F65" s="11">
        <f t="shared" si="0"/>
        <v>149</v>
      </c>
      <c r="G65" s="14">
        <f>COUNTIFS($E:$E,E65, Deals_Raw!AF:AF, "Won")</f>
        <v>108</v>
      </c>
      <c r="H65">
        <f t="shared" si="1"/>
        <v>0.72483221476510062</v>
      </c>
      <c r="I65">
        <f>AVERAGEIFS(Deals_Raw!$AT:$AT, $E:$E, E65, Deals_Raw!$AF:$AF, "Won")</f>
        <v>0.61267442628905355</v>
      </c>
    </row>
    <row r="66" spans="4:9">
      <c r="D66" s="8">
        <v>0.18</v>
      </c>
      <c r="E66" t="str">
        <f>Deals_Raw!AU69</f>
        <v>15–20%</v>
      </c>
      <c r="F66" s="11">
        <f t="shared" ref="F66:F129" si="2">COUNTIF($E:$E,E66)</f>
        <v>149</v>
      </c>
      <c r="G66" s="14">
        <f>COUNTIFS($E:$E,E66, Deals_Raw!AF:AF, "Won")</f>
        <v>108</v>
      </c>
      <c r="H66">
        <f t="shared" si="1"/>
        <v>0.72483221476510062</v>
      </c>
      <c r="I66">
        <f>AVERAGEIFS(Deals_Raw!$AT:$AT, $E:$E, E66, Deals_Raw!$AF:$AF, "Won")</f>
        <v>0.61267442628905355</v>
      </c>
    </row>
    <row r="67" spans="4:9">
      <c r="D67" s="8">
        <v>0.1</v>
      </c>
      <c r="E67" t="str">
        <f>Deals_Raw!AU70</f>
        <v>5–10%</v>
      </c>
      <c r="F67" s="11">
        <f t="shared" si="2"/>
        <v>171</v>
      </c>
      <c r="G67" s="14">
        <f>COUNTIFS($E:$E,E67, Deals_Raw!AF:AF, "Won")</f>
        <v>116</v>
      </c>
      <c r="H67">
        <f t="shared" ref="H67:H130" si="3">G67/F67</f>
        <v>0.67836257309941517</v>
      </c>
      <c r="I67">
        <f>AVERAGEIFS(Deals_Raw!$AT:$AT, $E:$E, E67, Deals_Raw!$AF:$AF, "Won")</f>
        <v>0.6077878084656495</v>
      </c>
    </row>
    <row r="68" spans="4:9">
      <c r="D68" s="8">
        <v>9.8000000000000004E-2</v>
      </c>
      <c r="E68" t="str">
        <f>Deals_Raw!AU71</f>
        <v>5–10%</v>
      </c>
      <c r="F68" s="11">
        <f t="shared" si="2"/>
        <v>171</v>
      </c>
      <c r="G68" s="14">
        <f>COUNTIFS($E:$E,E68, Deals_Raw!AF:AF, "Won")</f>
        <v>116</v>
      </c>
      <c r="H68">
        <f t="shared" si="3"/>
        <v>0.67836257309941517</v>
      </c>
      <c r="I68">
        <f>AVERAGEIFS(Deals_Raw!$AT:$AT, $E:$E, E68, Deals_Raw!$AF:$AF, "Won")</f>
        <v>0.6077878084656495</v>
      </c>
    </row>
    <row r="69" spans="4:9">
      <c r="D69" s="8">
        <v>7.0000000000000007E-2</v>
      </c>
      <c r="E69" t="str">
        <f>Deals_Raw!AU72</f>
        <v>5–10%</v>
      </c>
      <c r="F69" s="11">
        <f t="shared" si="2"/>
        <v>171</v>
      </c>
      <c r="G69" s="14">
        <f>COUNTIFS($E:$E,E69, Deals_Raw!AF:AF, "Won")</f>
        <v>116</v>
      </c>
      <c r="H69">
        <f t="shared" si="3"/>
        <v>0.67836257309941517</v>
      </c>
      <c r="I69">
        <f>AVERAGEIFS(Deals_Raw!$AT:$AT, $E:$E, E69, Deals_Raw!$AF:$AF, "Won")</f>
        <v>0.6077878084656495</v>
      </c>
    </row>
    <row r="70" spans="4:9">
      <c r="D70" s="8">
        <v>6.8000000000000005E-2</v>
      </c>
      <c r="E70" t="str">
        <f>Deals_Raw!AU73</f>
        <v>5–10%</v>
      </c>
      <c r="F70" s="11">
        <f t="shared" si="2"/>
        <v>171</v>
      </c>
      <c r="G70" s="14">
        <f>COUNTIFS($E:$E,E70, Deals_Raw!AF:AF, "Won")</f>
        <v>116</v>
      </c>
      <c r="H70">
        <f t="shared" si="3"/>
        <v>0.67836257309941517</v>
      </c>
      <c r="I70">
        <f>AVERAGEIFS(Deals_Raw!$AT:$AT, $E:$E, E70, Deals_Raw!$AF:$AF, "Won")</f>
        <v>0.6077878084656495</v>
      </c>
    </row>
    <row r="71" spans="4:9">
      <c r="D71" s="8">
        <v>8.6999999999999994E-2</v>
      </c>
      <c r="E71" t="str">
        <f>Deals_Raw!AU74</f>
        <v>5–10%</v>
      </c>
      <c r="F71" s="11">
        <f t="shared" si="2"/>
        <v>171</v>
      </c>
      <c r="G71" s="14">
        <f>COUNTIFS($E:$E,E71, Deals_Raw!AF:AF, "Won")</f>
        <v>116</v>
      </c>
      <c r="H71">
        <f t="shared" si="3"/>
        <v>0.67836257309941517</v>
      </c>
      <c r="I71">
        <f>AVERAGEIFS(Deals_Raw!$AT:$AT, $E:$E, E71, Deals_Raw!$AF:$AF, "Won")</f>
        <v>0.6077878084656495</v>
      </c>
    </row>
    <row r="72" spans="4:9">
      <c r="D72" s="8">
        <v>7.6999999999999999E-2</v>
      </c>
      <c r="E72" t="str">
        <f>Deals_Raw!AU75</f>
        <v>5–10%</v>
      </c>
      <c r="F72" s="11">
        <f t="shared" si="2"/>
        <v>171</v>
      </c>
      <c r="G72" s="14">
        <f>COUNTIFS($E:$E,E72, Deals_Raw!AF:AF, "Won")</f>
        <v>116</v>
      </c>
      <c r="H72">
        <f t="shared" si="3"/>
        <v>0.67836257309941517</v>
      </c>
      <c r="I72">
        <f>AVERAGEIFS(Deals_Raw!$AT:$AT, $E:$E, E72, Deals_Raw!$AF:$AF, "Won")</f>
        <v>0.6077878084656495</v>
      </c>
    </row>
    <row r="73" spans="4:9">
      <c r="D73" s="8">
        <v>0.17899999999999999</v>
      </c>
      <c r="E73" t="str">
        <f>Deals_Raw!AU76</f>
        <v>15–20%</v>
      </c>
      <c r="F73" s="11">
        <f t="shared" si="2"/>
        <v>149</v>
      </c>
      <c r="G73" s="14">
        <f>COUNTIFS($E:$E,E73, Deals_Raw!AF:AF, "Won")</f>
        <v>108</v>
      </c>
      <c r="H73">
        <f t="shared" si="3"/>
        <v>0.72483221476510062</v>
      </c>
      <c r="I73">
        <f>AVERAGEIFS(Deals_Raw!$AT:$AT, $E:$E, E73, Deals_Raw!$AF:$AF, "Won")</f>
        <v>0.61267442628905355</v>
      </c>
    </row>
    <row r="74" spans="4:9">
      <c r="D74" s="8">
        <v>6.9000000000000006E-2</v>
      </c>
      <c r="E74" t="str">
        <f>Deals_Raw!AU77</f>
        <v>5–10%</v>
      </c>
      <c r="F74" s="11">
        <f t="shared" si="2"/>
        <v>171</v>
      </c>
      <c r="G74" s="14">
        <f>COUNTIFS($E:$E,E74, Deals_Raw!AF:AF, "Won")</f>
        <v>116</v>
      </c>
      <c r="H74">
        <f t="shared" si="3"/>
        <v>0.67836257309941517</v>
      </c>
      <c r="I74">
        <f>AVERAGEIFS(Deals_Raw!$AT:$AT, $E:$E, E74, Deals_Raw!$AF:$AF, "Won")</f>
        <v>0.6077878084656495</v>
      </c>
    </row>
    <row r="75" spans="4:9">
      <c r="D75" s="8">
        <v>0.1</v>
      </c>
      <c r="E75" t="str">
        <f>Deals_Raw!AU78</f>
        <v>5–10%</v>
      </c>
      <c r="F75" s="11">
        <f t="shared" si="2"/>
        <v>171</v>
      </c>
      <c r="G75" s="14">
        <f>COUNTIFS($E:$E,E75, Deals_Raw!AF:AF, "Won")</f>
        <v>116</v>
      </c>
      <c r="H75">
        <f t="shared" si="3"/>
        <v>0.67836257309941517</v>
      </c>
      <c r="I75">
        <f>AVERAGEIFS(Deals_Raw!$AT:$AT, $E:$E, E75, Deals_Raw!$AF:$AF, "Won")</f>
        <v>0.6077878084656495</v>
      </c>
    </row>
    <row r="76" spans="4:9">
      <c r="D76" s="8">
        <v>4.3999999999999997E-2</v>
      </c>
      <c r="E76" t="str">
        <f>Deals_Raw!AU79</f>
        <v>0–5%</v>
      </c>
      <c r="F76" s="11">
        <f t="shared" si="2"/>
        <v>79</v>
      </c>
      <c r="G76" s="14">
        <f>COUNTIFS($E:$E,E76, Deals_Raw!AF:AF, "Won")</f>
        <v>55</v>
      </c>
      <c r="H76">
        <f t="shared" si="3"/>
        <v>0.69620253164556967</v>
      </c>
      <c r="I76">
        <f>AVERAGEIFS(Deals_Raw!$AT:$AT, $E:$E, E76, Deals_Raw!$AF:$AF, "Won")</f>
        <v>0.61352612210738522</v>
      </c>
    </row>
    <row r="77" spans="4:9">
      <c r="D77" s="8">
        <v>8.2000000000000003E-2</v>
      </c>
      <c r="E77" t="str">
        <f>Deals_Raw!AU80</f>
        <v>5–10%</v>
      </c>
      <c r="F77" s="11">
        <f t="shared" si="2"/>
        <v>171</v>
      </c>
      <c r="G77" s="14">
        <f>COUNTIFS($E:$E,E77, Deals_Raw!AF:AF, "Won")</f>
        <v>116</v>
      </c>
      <c r="H77">
        <f t="shared" si="3"/>
        <v>0.67836257309941517</v>
      </c>
      <c r="I77">
        <f>AVERAGEIFS(Deals_Raw!$AT:$AT, $E:$E, E77, Deals_Raw!$AF:$AF, "Won")</f>
        <v>0.6077878084656495</v>
      </c>
    </row>
    <row r="78" spans="4:9">
      <c r="D78" s="8">
        <v>0.108</v>
      </c>
      <c r="E78" t="str">
        <f>Deals_Raw!AU81</f>
        <v>10–15%</v>
      </c>
      <c r="F78" s="11">
        <f t="shared" si="2"/>
        <v>189</v>
      </c>
      <c r="G78" s="14">
        <f>COUNTIFS($E:$E,E78, Deals_Raw!AF:AF, "Won")</f>
        <v>113</v>
      </c>
      <c r="H78">
        <f t="shared" si="3"/>
        <v>0.59788359788359791</v>
      </c>
      <c r="I78">
        <f>AVERAGEIFS(Deals_Raw!$AT:$AT, $E:$E, E78, Deals_Raw!$AF:$AF, "Won")</f>
        <v>0.6036615079947677</v>
      </c>
    </row>
    <row r="79" spans="4:9">
      <c r="D79" s="8">
        <v>0.104</v>
      </c>
      <c r="E79" t="str">
        <f>Deals_Raw!AU82</f>
        <v>10–15%</v>
      </c>
      <c r="F79" s="11">
        <f t="shared" si="2"/>
        <v>189</v>
      </c>
      <c r="G79" s="14">
        <f>COUNTIFS($E:$E,E79, Deals_Raw!AF:AF, "Won")</f>
        <v>113</v>
      </c>
      <c r="H79">
        <f t="shared" si="3"/>
        <v>0.59788359788359791</v>
      </c>
      <c r="I79">
        <f>AVERAGEIFS(Deals_Raw!$AT:$AT, $E:$E, E79, Deals_Raw!$AF:$AF, "Won")</f>
        <v>0.6036615079947677</v>
      </c>
    </row>
    <row r="80" spans="4:9">
      <c r="D80" s="8">
        <v>0.13600000000000001</v>
      </c>
      <c r="E80" t="str">
        <f>Deals_Raw!AU83</f>
        <v>10–15%</v>
      </c>
      <c r="F80" s="11">
        <f t="shared" si="2"/>
        <v>189</v>
      </c>
      <c r="G80" s="14">
        <f>COUNTIFS($E:$E,E80, Deals_Raw!AF:AF, "Won")</f>
        <v>113</v>
      </c>
      <c r="H80">
        <f t="shared" si="3"/>
        <v>0.59788359788359791</v>
      </c>
      <c r="I80">
        <f>AVERAGEIFS(Deals_Raw!$AT:$AT, $E:$E, E80, Deals_Raw!$AF:$AF, "Won")</f>
        <v>0.6036615079947677</v>
      </c>
    </row>
    <row r="81" spans="4:9">
      <c r="D81" s="8">
        <v>0.14099999999999999</v>
      </c>
      <c r="E81" t="str">
        <f>Deals_Raw!AU84</f>
        <v>10–15%</v>
      </c>
      <c r="F81" s="11">
        <f t="shared" si="2"/>
        <v>189</v>
      </c>
      <c r="G81" s="14">
        <f>COUNTIFS($E:$E,E81, Deals_Raw!AF:AF, "Won")</f>
        <v>113</v>
      </c>
      <c r="H81">
        <f t="shared" si="3"/>
        <v>0.59788359788359791</v>
      </c>
      <c r="I81">
        <f>AVERAGEIFS(Deals_Raw!$AT:$AT, $E:$E, E81, Deals_Raw!$AF:$AF, "Won")</f>
        <v>0.6036615079947677</v>
      </c>
    </row>
    <row r="82" spans="4:9">
      <c r="D82" s="8">
        <v>0.17299999999999999</v>
      </c>
      <c r="E82" t="str">
        <f>Deals_Raw!AU85</f>
        <v>15–20%</v>
      </c>
      <c r="F82" s="11">
        <f t="shared" si="2"/>
        <v>149</v>
      </c>
      <c r="G82" s="14">
        <f>COUNTIFS($E:$E,E82, Deals_Raw!AF:AF, "Won")</f>
        <v>108</v>
      </c>
      <c r="H82">
        <f t="shared" si="3"/>
        <v>0.72483221476510062</v>
      </c>
      <c r="I82">
        <f>AVERAGEIFS(Deals_Raw!$AT:$AT, $E:$E, E82, Deals_Raw!$AF:$AF, "Won")</f>
        <v>0.61267442628905355</v>
      </c>
    </row>
    <row r="83" spans="4:9">
      <c r="D83" s="8">
        <v>0.16200000000000001</v>
      </c>
      <c r="E83" t="str">
        <f>Deals_Raw!AU86</f>
        <v>15–20%</v>
      </c>
      <c r="F83" s="11">
        <f t="shared" si="2"/>
        <v>149</v>
      </c>
      <c r="G83" s="14">
        <f>COUNTIFS($E:$E,E83, Deals_Raw!AF:AF, "Won")</f>
        <v>108</v>
      </c>
      <c r="H83">
        <f t="shared" si="3"/>
        <v>0.72483221476510062</v>
      </c>
      <c r="I83">
        <f>AVERAGEIFS(Deals_Raw!$AT:$AT, $E:$E, E83, Deals_Raw!$AF:$AF, "Won")</f>
        <v>0.61267442628905355</v>
      </c>
    </row>
    <row r="84" spans="4:9">
      <c r="D84" s="8">
        <v>0.17699999999999999</v>
      </c>
      <c r="E84" t="str">
        <f>Deals_Raw!AU87</f>
        <v>15–20%</v>
      </c>
      <c r="F84" s="11">
        <f t="shared" si="2"/>
        <v>149</v>
      </c>
      <c r="G84" s="14">
        <f>COUNTIFS($E:$E,E84, Deals_Raw!AF:AF, "Won")</f>
        <v>108</v>
      </c>
      <c r="H84">
        <f t="shared" si="3"/>
        <v>0.72483221476510062</v>
      </c>
      <c r="I84">
        <f>AVERAGEIFS(Deals_Raw!$AT:$AT, $E:$E, E84, Deals_Raw!$AF:$AF, "Won")</f>
        <v>0.61267442628905355</v>
      </c>
    </row>
    <row r="85" spans="4:9">
      <c r="D85" s="8">
        <v>9.4E-2</v>
      </c>
      <c r="E85" t="str">
        <f>Deals_Raw!AU88</f>
        <v>5–10%</v>
      </c>
      <c r="F85" s="11">
        <f t="shared" si="2"/>
        <v>171</v>
      </c>
      <c r="G85" s="14">
        <f>COUNTIFS($E:$E,E85, Deals_Raw!AF:AF, "Won")</f>
        <v>116</v>
      </c>
      <c r="H85">
        <f t="shared" si="3"/>
        <v>0.67836257309941517</v>
      </c>
      <c r="I85">
        <f>AVERAGEIFS(Deals_Raw!$AT:$AT, $E:$E, E85, Deals_Raw!$AF:$AF, "Won")</f>
        <v>0.6077878084656495</v>
      </c>
    </row>
    <row r="86" spans="4:9">
      <c r="D86" s="8">
        <v>5.8999999999999997E-2</v>
      </c>
      <c r="E86" t="str">
        <f>Deals_Raw!AU89</f>
        <v>5–10%</v>
      </c>
      <c r="F86" s="11">
        <f t="shared" si="2"/>
        <v>171</v>
      </c>
      <c r="G86" s="14">
        <f>COUNTIFS($E:$E,E86, Deals_Raw!AF:AF, "Won")</f>
        <v>116</v>
      </c>
      <c r="H86">
        <f t="shared" si="3"/>
        <v>0.67836257309941517</v>
      </c>
      <c r="I86">
        <f>AVERAGEIFS(Deals_Raw!$AT:$AT, $E:$E, E86, Deals_Raw!$AF:$AF, "Won")</f>
        <v>0.6077878084656495</v>
      </c>
    </row>
    <row r="87" spans="4:9">
      <c r="D87" s="8">
        <v>9.0999999999999998E-2</v>
      </c>
      <c r="E87" t="str">
        <f>Deals_Raw!AU90</f>
        <v>5–10%</v>
      </c>
      <c r="F87" s="11">
        <f t="shared" si="2"/>
        <v>171</v>
      </c>
      <c r="G87" s="14">
        <f>COUNTIFS($E:$E,E87, Deals_Raw!AF:AF, "Won")</f>
        <v>116</v>
      </c>
      <c r="H87">
        <f t="shared" si="3"/>
        <v>0.67836257309941517</v>
      </c>
      <c r="I87">
        <f>AVERAGEIFS(Deals_Raw!$AT:$AT, $E:$E, E87, Deals_Raw!$AF:$AF, "Won")</f>
        <v>0.6077878084656495</v>
      </c>
    </row>
    <row r="88" spans="4:9">
      <c r="D88" s="8">
        <v>0.13200000000000001</v>
      </c>
      <c r="E88" t="str">
        <f>Deals_Raw!AU91</f>
        <v>10–15%</v>
      </c>
      <c r="F88" s="11">
        <f t="shared" si="2"/>
        <v>189</v>
      </c>
      <c r="G88" s="14">
        <f>COUNTIFS($E:$E,E88, Deals_Raw!AF:AF, "Won")</f>
        <v>113</v>
      </c>
      <c r="H88">
        <f t="shared" si="3"/>
        <v>0.59788359788359791</v>
      </c>
      <c r="I88">
        <f>AVERAGEIFS(Deals_Raw!$AT:$AT, $E:$E, E88, Deals_Raw!$AF:$AF, "Won")</f>
        <v>0.6036615079947677</v>
      </c>
    </row>
    <row r="89" spans="4:9">
      <c r="D89" s="8">
        <v>0.14099999999999999</v>
      </c>
      <c r="E89" t="str">
        <f>Deals_Raw!AU92</f>
        <v>10–15%</v>
      </c>
      <c r="F89" s="11">
        <f t="shared" si="2"/>
        <v>189</v>
      </c>
      <c r="G89" s="14">
        <f>COUNTIFS($E:$E,E89, Deals_Raw!AF:AF, "Won")</f>
        <v>113</v>
      </c>
      <c r="H89">
        <f t="shared" si="3"/>
        <v>0.59788359788359791</v>
      </c>
      <c r="I89">
        <f>AVERAGEIFS(Deals_Raw!$AT:$AT, $E:$E, E89, Deals_Raw!$AF:$AF, "Won")</f>
        <v>0.6036615079947677</v>
      </c>
    </row>
    <row r="90" spans="4:9">
      <c r="D90" s="8">
        <v>7.0999999999999994E-2</v>
      </c>
      <c r="E90" t="str">
        <f>Deals_Raw!AU93</f>
        <v>5–10%</v>
      </c>
      <c r="F90" s="11">
        <f t="shared" si="2"/>
        <v>171</v>
      </c>
      <c r="G90" s="14">
        <f>COUNTIFS($E:$E,E90, Deals_Raw!AF:AF, "Won")</f>
        <v>116</v>
      </c>
      <c r="H90">
        <f t="shared" si="3"/>
        <v>0.67836257309941517</v>
      </c>
      <c r="I90">
        <f>AVERAGEIFS(Deals_Raw!$AT:$AT, $E:$E, E90, Deals_Raw!$AF:$AF, "Won")</f>
        <v>0.6077878084656495</v>
      </c>
    </row>
    <row r="91" spans="4:9">
      <c r="D91" s="8">
        <v>0.19900000000000001</v>
      </c>
      <c r="E91" t="str">
        <f>Deals_Raw!AU94</f>
        <v>15–20%</v>
      </c>
      <c r="F91" s="11">
        <f t="shared" si="2"/>
        <v>149</v>
      </c>
      <c r="G91" s="14">
        <f>COUNTIFS($E:$E,E91, Deals_Raw!AF:AF, "Won")</f>
        <v>108</v>
      </c>
      <c r="H91">
        <f t="shared" si="3"/>
        <v>0.72483221476510062</v>
      </c>
      <c r="I91">
        <f>AVERAGEIFS(Deals_Raw!$AT:$AT, $E:$E, E91, Deals_Raw!$AF:$AF, "Won")</f>
        <v>0.61267442628905355</v>
      </c>
    </row>
    <row r="92" spans="4:9">
      <c r="D92" s="8">
        <v>0.187</v>
      </c>
      <c r="E92" t="str">
        <f>Deals_Raw!AU95</f>
        <v>15–20%</v>
      </c>
      <c r="F92" s="11">
        <f t="shared" si="2"/>
        <v>149</v>
      </c>
      <c r="G92" s="14">
        <f>COUNTIFS($E:$E,E92, Deals_Raw!AF:AF, "Won")</f>
        <v>108</v>
      </c>
      <c r="H92">
        <f t="shared" si="3"/>
        <v>0.72483221476510062</v>
      </c>
      <c r="I92">
        <f>AVERAGEIFS(Deals_Raw!$AT:$AT, $E:$E, E92, Deals_Raw!$AF:$AF, "Won")</f>
        <v>0.61267442628905355</v>
      </c>
    </row>
    <row r="93" spans="4:9">
      <c r="D93" s="8">
        <v>0.14899999999999999</v>
      </c>
      <c r="E93" t="str">
        <f>Deals_Raw!AU96</f>
        <v>10–15%</v>
      </c>
      <c r="F93" s="11">
        <f t="shared" si="2"/>
        <v>189</v>
      </c>
      <c r="G93" s="14">
        <f>COUNTIFS($E:$E,E93, Deals_Raw!AF:AF, "Won")</f>
        <v>113</v>
      </c>
      <c r="H93">
        <f t="shared" si="3"/>
        <v>0.59788359788359791</v>
      </c>
      <c r="I93">
        <f>AVERAGEIFS(Deals_Raw!$AT:$AT, $E:$E, E93, Deals_Raw!$AF:$AF, "Won")</f>
        <v>0.6036615079947677</v>
      </c>
    </row>
    <row r="94" spans="4:9">
      <c r="D94" s="8">
        <v>0.16800000000000001</v>
      </c>
      <c r="E94" t="str">
        <f>Deals_Raw!AU97</f>
        <v>15–20%</v>
      </c>
      <c r="F94" s="11">
        <f t="shared" si="2"/>
        <v>149</v>
      </c>
      <c r="G94" s="14">
        <f>COUNTIFS($E:$E,E94, Deals_Raw!AF:AF, "Won")</f>
        <v>108</v>
      </c>
      <c r="H94">
        <f t="shared" si="3"/>
        <v>0.72483221476510062</v>
      </c>
      <c r="I94">
        <f>AVERAGEIFS(Deals_Raw!$AT:$AT, $E:$E, E94, Deals_Raw!$AF:$AF, "Won")</f>
        <v>0.61267442628905355</v>
      </c>
    </row>
    <row r="95" spans="4:9">
      <c r="D95" s="8">
        <v>9.9000000000000005E-2</v>
      </c>
      <c r="E95" t="str">
        <f>Deals_Raw!AU98</f>
        <v>5–10%</v>
      </c>
      <c r="F95" s="11">
        <f t="shared" si="2"/>
        <v>171</v>
      </c>
      <c r="G95" s="14">
        <f>COUNTIFS($E:$E,E95, Deals_Raw!AF:AF, "Won")</f>
        <v>116</v>
      </c>
      <c r="H95">
        <f t="shared" si="3"/>
        <v>0.67836257309941517</v>
      </c>
      <c r="I95">
        <f>AVERAGEIFS(Deals_Raw!$AT:$AT, $E:$E, E95, Deals_Raw!$AF:$AF, "Won")</f>
        <v>0.6077878084656495</v>
      </c>
    </row>
    <row r="96" spans="4:9">
      <c r="D96" s="8">
        <v>0.14399999999999999</v>
      </c>
      <c r="E96" t="str">
        <f>Deals_Raw!AU99</f>
        <v>10–15%</v>
      </c>
      <c r="F96" s="11">
        <f t="shared" si="2"/>
        <v>189</v>
      </c>
      <c r="G96" s="14">
        <f>COUNTIFS($E:$E,E96, Deals_Raw!AF:AF, "Won")</f>
        <v>113</v>
      </c>
      <c r="H96">
        <f t="shared" si="3"/>
        <v>0.59788359788359791</v>
      </c>
      <c r="I96">
        <f>AVERAGEIFS(Deals_Raw!$AT:$AT, $E:$E, E96, Deals_Raw!$AF:$AF, "Won")</f>
        <v>0.6036615079947677</v>
      </c>
    </row>
    <row r="97" spans="4:9">
      <c r="D97" s="8">
        <v>0.158</v>
      </c>
      <c r="E97" t="str">
        <f>Deals_Raw!AU100</f>
        <v>15–20%</v>
      </c>
      <c r="F97" s="11">
        <f t="shared" si="2"/>
        <v>149</v>
      </c>
      <c r="G97" s="14">
        <f>COUNTIFS($E:$E,E97, Deals_Raw!AF:AF, "Won")</f>
        <v>108</v>
      </c>
      <c r="H97">
        <f t="shared" si="3"/>
        <v>0.72483221476510062</v>
      </c>
      <c r="I97">
        <f>AVERAGEIFS(Deals_Raw!$AT:$AT, $E:$E, E97, Deals_Raw!$AF:$AF, "Won")</f>
        <v>0.61267442628905355</v>
      </c>
    </row>
    <row r="98" spans="4:9">
      <c r="D98" s="8">
        <v>0.20899999999999999</v>
      </c>
      <c r="E98" t="str">
        <f>Deals_Raw!AU101</f>
        <v>20–25%</v>
      </c>
      <c r="F98" s="11">
        <f t="shared" si="2"/>
        <v>41</v>
      </c>
      <c r="G98" s="14">
        <f>COUNTIFS($E:$E,E98, Deals_Raw!AF:AF, "Won")</f>
        <v>29</v>
      </c>
      <c r="H98">
        <f t="shared" si="3"/>
        <v>0.70731707317073167</v>
      </c>
      <c r="I98">
        <f>AVERAGEIFS(Deals_Raw!$AT:$AT, $E:$E, E98, Deals_Raw!$AF:$AF, "Won")</f>
        <v>0.6163731005984544</v>
      </c>
    </row>
    <row r="99" spans="4:9">
      <c r="D99" s="8">
        <v>0.17599999999999999</v>
      </c>
      <c r="E99" t="str">
        <f>Deals_Raw!AU102</f>
        <v>15–20%</v>
      </c>
      <c r="F99" s="11">
        <f t="shared" si="2"/>
        <v>149</v>
      </c>
      <c r="G99" s="14">
        <f>COUNTIFS($E:$E,E99, Deals_Raw!AF:AF, "Won")</f>
        <v>108</v>
      </c>
      <c r="H99">
        <f t="shared" si="3"/>
        <v>0.72483221476510062</v>
      </c>
      <c r="I99">
        <f>AVERAGEIFS(Deals_Raw!$AT:$AT, $E:$E, E99, Deals_Raw!$AF:$AF, "Won")</f>
        <v>0.61267442628905355</v>
      </c>
    </row>
    <row r="100" spans="4:9">
      <c r="D100" s="8">
        <v>9.2999999999999999E-2</v>
      </c>
      <c r="E100" t="str">
        <f>Deals_Raw!AU103</f>
        <v>5–10%</v>
      </c>
      <c r="F100" s="11">
        <f t="shared" si="2"/>
        <v>171</v>
      </c>
      <c r="G100" s="14">
        <f>COUNTIFS($E:$E,E100, Deals_Raw!AF:AF, "Won")</f>
        <v>116</v>
      </c>
      <c r="H100">
        <f t="shared" si="3"/>
        <v>0.67836257309941517</v>
      </c>
      <c r="I100">
        <f>AVERAGEIFS(Deals_Raw!$AT:$AT, $E:$E, E100, Deals_Raw!$AF:$AF, "Won")</f>
        <v>0.6077878084656495</v>
      </c>
    </row>
    <row r="101" spans="4:9">
      <c r="D101" s="8">
        <v>0.19800000000000001</v>
      </c>
      <c r="E101" t="str">
        <f>Deals_Raw!AU104</f>
        <v>15–20%</v>
      </c>
      <c r="F101" s="11">
        <f t="shared" si="2"/>
        <v>149</v>
      </c>
      <c r="G101" s="14">
        <f>COUNTIFS($E:$E,E101, Deals_Raw!AF:AF, "Won")</f>
        <v>108</v>
      </c>
      <c r="H101">
        <f t="shared" si="3"/>
        <v>0.72483221476510062</v>
      </c>
      <c r="I101">
        <f>AVERAGEIFS(Deals_Raw!$AT:$AT, $E:$E, E101, Deals_Raw!$AF:$AF, "Won")</f>
        <v>0.61267442628905355</v>
      </c>
    </row>
    <row r="102" spans="4:9">
      <c r="D102" s="8">
        <v>0.183</v>
      </c>
      <c r="E102" t="str">
        <f>Deals_Raw!AU105</f>
        <v>15–20%</v>
      </c>
      <c r="F102" s="11">
        <f t="shared" si="2"/>
        <v>149</v>
      </c>
      <c r="G102" s="14">
        <f>COUNTIFS($E:$E,E102, Deals_Raw!AF:AF, "Won")</f>
        <v>108</v>
      </c>
      <c r="H102">
        <f t="shared" si="3"/>
        <v>0.72483221476510062</v>
      </c>
      <c r="I102">
        <f>AVERAGEIFS(Deals_Raw!$AT:$AT, $E:$E, E102, Deals_Raw!$AF:$AF, "Won")</f>
        <v>0.61267442628905355</v>
      </c>
    </row>
    <row r="103" spans="4:9">
      <c r="D103" s="8">
        <v>0.16200000000000001</v>
      </c>
      <c r="E103" t="str">
        <f>Deals_Raw!AU106</f>
        <v>15–20%</v>
      </c>
      <c r="F103" s="11">
        <f t="shared" si="2"/>
        <v>149</v>
      </c>
      <c r="G103" s="14">
        <f>COUNTIFS($E:$E,E103, Deals_Raw!AF:AF, "Won")</f>
        <v>108</v>
      </c>
      <c r="H103">
        <f t="shared" si="3"/>
        <v>0.72483221476510062</v>
      </c>
      <c r="I103">
        <f>AVERAGEIFS(Deals_Raw!$AT:$AT, $E:$E, E103, Deals_Raw!$AF:$AF, "Won")</f>
        <v>0.61267442628905355</v>
      </c>
    </row>
    <row r="104" spans="4:9">
      <c r="D104" s="8">
        <v>0.16200000000000001</v>
      </c>
      <c r="E104" t="str">
        <f>Deals_Raw!AU107</f>
        <v>15–20%</v>
      </c>
      <c r="F104" s="11">
        <f t="shared" si="2"/>
        <v>149</v>
      </c>
      <c r="G104" s="14">
        <f>COUNTIFS($E:$E,E104, Deals_Raw!AF:AF, "Won")</f>
        <v>108</v>
      </c>
      <c r="H104">
        <f t="shared" si="3"/>
        <v>0.72483221476510062</v>
      </c>
      <c r="I104">
        <f>AVERAGEIFS(Deals_Raw!$AT:$AT, $E:$E, E104, Deals_Raw!$AF:$AF, "Won")</f>
        <v>0.61267442628905355</v>
      </c>
    </row>
    <row r="105" spans="4:9">
      <c r="D105" s="8">
        <v>0.17399999999999999</v>
      </c>
      <c r="E105" t="str">
        <f>Deals_Raw!AU108</f>
        <v>15–20%</v>
      </c>
      <c r="F105" s="11">
        <f t="shared" si="2"/>
        <v>149</v>
      </c>
      <c r="G105" s="14">
        <f>COUNTIFS($E:$E,E105, Deals_Raw!AF:AF, "Won")</f>
        <v>108</v>
      </c>
      <c r="H105">
        <f t="shared" si="3"/>
        <v>0.72483221476510062</v>
      </c>
      <c r="I105">
        <f>AVERAGEIFS(Deals_Raw!$AT:$AT, $E:$E, E105, Deals_Raw!$AF:$AF, "Won")</f>
        <v>0.61267442628905355</v>
      </c>
    </row>
    <row r="106" spans="4:9">
      <c r="D106" s="8">
        <v>0.20499999999999999</v>
      </c>
      <c r="E106" t="str">
        <f>Deals_Raw!AU109</f>
        <v>20–25%</v>
      </c>
      <c r="F106" s="11">
        <f t="shared" si="2"/>
        <v>41</v>
      </c>
      <c r="G106" s="14">
        <f>COUNTIFS($E:$E,E106, Deals_Raw!AF:AF, "Won")</f>
        <v>29</v>
      </c>
      <c r="H106">
        <f t="shared" si="3"/>
        <v>0.70731707317073167</v>
      </c>
      <c r="I106">
        <f>AVERAGEIFS(Deals_Raw!$AT:$AT, $E:$E, E106, Deals_Raw!$AF:$AF, "Won")</f>
        <v>0.6163731005984544</v>
      </c>
    </row>
    <row r="107" spans="4:9">
      <c r="D107" s="8">
        <v>0.13100000000000001</v>
      </c>
      <c r="E107" t="str">
        <f>Deals_Raw!AU110</f>
        <v>10–15%</v>
      </c>
      <c r="F107" s="11">
        <f t="shared" si="2"/>
        <v>189</v>
      </c>
      <c r="G107" s="14">
        <f>COUNTIFS($E:$E,E107, Deals_Raw!AF:AF, "Won")</f>
        <v>113</v>
      </c>
      <c r="H107">
        <f t="shared" si="3"/>
        <v>0.59788359788359791</v>
      </c>
      <c r="I107">
        <f>AVERAGEIFS(Deals_Raw!$AT:$AT, $E:$E, E107, Deals_Raw!$AF:$AF, "Won")</f>
        <v>0.6036615079947677</v>
      </c>
    </row>
    <row r="108" spans="4:9">
      <c r="D108" s="8">
        <v>0.104</v>
      </c>
      <c r="E108" t="str">
        <f>Deals_Raw!AU111</f>
        <v>10–15%</v>
      </c>
      <c r="F108" s="11">
        <f t="shared" si="2"/>
        <v>189</v>
      </c>
      <c r="G108" s="14">
        <f>COUNTIFS($E:$E,E108, Deals_Raw!AF:AF, "Won")</f>
        <v>113</v>
      </c>
      <c r="H108">
        <f t="shared" si="3"/>
        <v>0.59788359788359791</v>
      </c>
      <c r="I108">
        <f>AVERAGEIFS(Deals_Raw!$AT:$AT, $E:$E, E108, Deals_Raw!$AF:$AF, "Won")</f>
        <v>0.6036615079947677</v>
      </c>
    </row>
    <row r="109" spans="4:9">
      <c r="D109" s="8">
        <v>1.4E-2</v>
      </c>
      <c r="E109" t="str">
        <f>Deals_Raw!AU112</f>
        <v>0–5%</v>
      </c>
      <c r="F109" s="11">
        <f t="shared" si="2"/>
        <v>79</v>
      </c>
      <c r="G109" s="14">
        <f>COUNTIFS($E:$E,E109, Deals_Raw!AF:AF, "Won")</f>
        <v>55</v>
      </c>
      <c r="H109">
        <f t="shared" si="3"/>
        <v>0.69620253164556967</v>
      </c>
      <c r="I109">
        <f>AVERAGEIFS(Deals_Raw!$AT:$AT, $E:$E, E109, Deals_Raw!$AF:$AF, "Won")</f>
        <v>0.61352612210738522</v>
      </c>
    </row>
    <row r="110" spans="4:9">
      <c r="D110" s="8">
        <v>0.222</v>
      </c>
      <c r="E110" t="str">
        <f>Deals_Raw!AU113</f>
        <v>20–25%</v>
      </c>
      <c r="F110" s="11">
        <f t="shared" si="2"/>
        <v>41</v>
      </c>
      <c r="G110" s="14">
        <f>COUNTIFS($E:$E,E110, Deals_Raw!AF:AF, "Won")</f>
        <v>29</v>
      </c>
      <c r="H110">
        <f t="shared" si="3"/>
        <v>0.70731707317073167</v>
      </c>
      <c r="I110">
        <f>AVERAGEIFS(Deals_Raw!$AT:$AT, $E:$E, E110, Deals_Raw!$AF:$AF, "Won")</f>
        <v>0.6163731005984544</v>
      </c>
    </row>
    <row r="111" spans="4:9">
      <c r="D111" s="8">
        <v>0.128</v>
      </c>
      <c r="E111" t="str">
        <f>Deals_Raw!AU114</f>
        <v>10–15%</v>
      </c>
      <c r="F111" s="11">
        <f t="shared" si="2"/>
        <v>189</v>
      </c>
      <c r="G111" s="14">
        <f>COUNTIFS($E:$E,E111, Deals_Raw!AF:AF, "Won")</f>
        <v>113</v>
      </c>
      <c r="H111">
        <f t="shared" si="3"/>
        <v>0.59788359788359791</v>
      </c>
      <c r="I111">
        <f>AVERAGEIFS(Deals_Raw!$AT:$AT, $E:$E, E111, Deals_Raw!$AF:$AF, "Won")</f>
        <v>0.6036615079947677</v>
      </c>
    </row>
    <row r="112" spans="4:9">
      <c r="D112" s="8">
        <v>7.1999999999999995E-2</v>
      </c>
      <c r="E112" t="str">
        <f>Deals_Raw!AU115</f>
        <v>5–10%</v>
      </c>
      <c r="F112" s="11">
        <f t="shared" si="2"/>
        <v>171</v>
      </c>
      <c r="G112" s="14">
        <f>COUNTIFS($E:$E,E112, Deals_Raw!AF:AF, "Won")</f>
        <v>116</v>
      </c>
      <c r="H112">
        <f t="shared" si="3"/>
        <v>0.67836257309941517</v>
      </c>
      <c r="I112">
        <f>AVERAGEIFS(Deals_Raw!$AT:$AT, $E:$E, E112, Deals_Raw!$AF:$AF, "Won")</f>
        <v>0.6077878084656495</v>
      </c>
    </row>
    <row r="113" spans="4:9">
      <c r="D113" s="8">
        <v>9.0999999999999998E-2</v>
      </c>
      <c r="E113" t="str">
        <f>Deals_Raw!AU116</f>
        <v>5–10%</v>
      </c>
      <c r="F113" s="11">
        <f t="shared" si="2"/>
        <v>171</v>
      </c>
      <c r="G113" s="14">
        <f>COUNTIFS($E:$E,E113, Deals_Raw!AF:AF, "Won")</f>
        <v>116</v>
      </c>
      <c r="H113">
        <f t="shared" si="3"/>
        <v>0.67836257309941517</v>
      </c>
      <c r="I113">
        <f>AVERAGEIFS(Deals_Raw!$AT:$AT, $E:$E, E113, Deals_Raw!$AF:$AF, "Won")</f>
        <v>0.6077878084656495</v>
      </c>
    </row>
    <row r="114" spans="4:9">
      <c r="D114" s="8">
        <v>0.221</v>
      </c>
      <c r="E114" t="str">
        <f>Deals_Raw!AU117</f>
        <v>20–25%</v>
      </c>
      <c r="F114" s="11">
        <f t="shared" si="2"/>
        <v>41</v>
      </c>
      <c r="G114" s="14">
        <f>COUNTIFS($E:$E,E114, Deals_Raw!AF:AF, "Won")</f>
        <v>29</v>
      </c>
      <c r="H114">
        <f t="shared" si="3"/>
        <v>0.70731707317073167</v>
      </c>
      <c r="I114">
        <f>AVERAGEIFS(Deals_Raw!$AT:$AT, $E:$E, E114, Deals_Raw!$AF:$AF, "Won")</f>
        <v>0.6163731005984544</v>
      </c>
    </row>
    <row r="115" spans="4:9">
      <c r="D115" s="8">
        <v>6.7000000000000004E-2</v>
      </c>
      <c r="E115" t="str">
        <f>Deals_Raw!AU118</f>
        <v>5–10%</v>
      </c>
      <c r="F115" s="11">
        <f t="shared" si="2"/>
        <v>171</v>
      </c>
      <c r="G115" s="14">
        <f>COUNTIFS($E:$E,E115, Deals_Raw!AF:AF, "Won")</f>
        <v>116</v>
      </c>
      <c r="H115">
        <f t="shared" si="3"/>
        <v>0.67836257309941517</v>
      </c>
      <c r="I115">
        <f>AVERAGEIFS(Deals_Raw!$AT:$AT, $E:$E, E115, Deals_Raw!$AF:$AF, "Won")</f>
        <v>0.6077878084656495</v>
      </c>
    </row>
    <row r="116" spans="4:9">
      <c r="D116" s="8">
        <v>5.0999999999999997E-2</v>
      </c>
      <c r="E116" t="str">
        <f>Deals_Raw!AU119</f>
        <v>5–10%</v>
      </c>
      <c r="F116" s="11">
        <f t="shared" si="2"/>
        <v>171</v>
      </c>
      <c r="G116" s="14">
        <f>COUNTIFS($E:$E,E116, Deals_Raw!AF:AF, "Won")</f>
        <v>116</v>
      </c>
      <c r="H116">
        <f t="shared" si="3"/>
        <v>0.67836257309941517</v>
      </c>
      <c r="I116">
        <f>AVERAGEIFS(Deals_Raw!$AT:$AT, $E:$E, E116, Deals_Raw!$AF:$AF, "Won")</f>
        <v>0.6077878084656495</v>
      </c>
    </row>
    <row r="117" spans="4:9">
      <c r="D117" s="8">
        <v>6.0000000000000001E-3</v>
      </c>
      <c r="E117" t="str">
        <f>Deals_Raw!AU120</f>
        <v>0–5%</v>
      </c>
      <c r="F117" s="11">
        <f t="shared" si="2"/>
        <v>79</v>
      </c>
      <c r="G117" s="14">
        <f>COUNTIFS($E:$E,E117, Deals_Raw!AF:AF, "Won")</f>
        <v>55</v>
      </c>
      <c r="H117">
        <f t="shared" si="3"/>
        <v>0.69620253164556967</v>
      </c>
      <c r="I117">
        <f>AVERAGEIFS(Deals_Raw!$AT:$AT, $E:$E, E117, Deals_Raw!$AF:$AF, "Won")</f>
        <v>0.61352612210738522</v>
      </c>
    </row>
    <row r="118" spans="4:9">
      <c r="D118" s="8">
        <v>5.1999999999999998E-2</v>
      </c>
      <c r="E118" t="str">
        <f>Deals_Raw!AU121</f>
        <v>5–10%</v>
      </c>
      <c r="F118" s="11">
        <f t="shared" si="2"/>
        <v>171</v>
      </c>
      <c r="G118" s="14">
        <f>COUNTIFS($E:$E,E118, Deals_Raw!AF:AF, "Won")</f>
        <v>116</v>
      </c>
      <c r="H118">
        <f t="shared" si="3"/>
        <v>0.67836257309941517</v>
      </c>
      <c r="I118">
        <f>AVERAGEIFS(Deals_Raw!$AT:$AT, $E:$E, E118, Deals_Raw!$AF:$AF, "Won")</f>
        <v>0.6077878084656495</v>
      </c>
    </row>
    <row r="119" spans="4:9">
      <c r="D119" s="8">
        <v>0.17399999999999999</v>
      </c>
      <c r="E119" t="str">
        <f>Deals_Raw!AU122</f>
        <v>15–20%</v>
      </c>
      <c r="F119" s="11">
        <f t="shared" si="2"/>
        <v>149</v>
      </c>
      <c r="G119" s="14">
        <f>COUNTIFS($E:$E,E119, Deals_Raw!AF:AF, "Won")</f>
        <v>108</v>
      </c>
      <c r="H119">
        <f t="shared" si="3"/>
        <v>0.72483221476510062</v>
      </c>
      <c r="I119">
        <f>AVERAGEIFS(Deals_Raw!$AT:$AT, $E:$E, E119, Deals_Raw!$AF:$AF, "Won")</f>
        <v>0.61267442628905355</v>
      </c>
    </row>
    <row r="120" spans="4:9">
      <c r="D120" s="8">
        <v>3.9E-2</v>
      </c>
      <c r="E120" t="str">
        <f>Deals_Raw!AU123</f>
        <v>0–5%</v>
      </c>
      <c r="F120" s="11">
        <f t="shared" si="2"/>
        <v>79</v>
      </c>
      <c r="G120" s="14">
        <f>COUNTIFS($E:$E,E120, Deals_Raw!AF:AF, "Won")</f>
        <v>55</v>
      </c>
      <c r="H120">
        <f t="shared" si="3"/>
        <v>0.69620253164556967</v>
      </c>
      <c r="I120">
        <f>AVERAGEIFS(Deals_Raw!$AT:$AT, $E:$E, E120, Deals_Raw!$AF:$AF, "Won")</f>
        <v>0.61352612210738522</v>
      </c>
    </row>
    <row r="121" spans="4:9">
      <c r="D121" s="8">
        <v>0.10100000000000001</v>
      </c>
      <c r="E121" t="str">
        <f>Deals_Raw!AU124</f>
        <v>10–15%</v>
      </c>
      <c r="F121" s="11">
        <f t="shared" si="2"/>
        <v>189</v>
      </c>
      <c r="G121" s="14">
        <f>COUNTIFS($E:$E,E121, Deals_Raw!AF:AF, "Won")</f>
        <v>113</v>
      </c>
      <c r="H121">
        <f t="shared" si="3"/>
        <v>0.59788359788359791</v>
      </c>
      <c r="I121">
        <f>AVERAGEIFS(Deals_Raw!$AT:$AT, $E:$E, E121, Deals_Raw!$AF:$AF, "Won")</f>
        <v>0.6036615079947677</v>
      </c>
    </row>
    <row r="122" spans="4:9">
      <c r="D122" s="8">
        <v>8.2000000000000003E-2</v>
      </c>
      <c r="E122" t="str">
        <f>Deals_Raw!AU125</f>
        <v>5–10%</v>
      </c>
      <c r="F122" s="11">
        <f t="shared" si="2"/>
        <v>171</v>
      </c>
      <c r="G122" s="14">
        <f>COUNTIFS($E:$E,E122, Deals_Raw!AF:AF, "Won")</f>
        <v>116</v>
      </c>
      <c r="H122">
        <f t="shared" si="3"/>
        <v>0.67836257309941517</v>
      </c>
      <c r="I122">
        <f>AVERAGEIFS(Deals_Raw!$AT:$AT, $E:$E, E122, Deals_Raw!$AF:$AF, "Won")</f>
        <v>0.6077878084656495</v>
      </c>
    </row>
    <row r="123" spans="4:9">
      <c r="D123" s="8">
        <v>0.114</v>
      </c>
      <c r="E123" t="str">
        <f>Deals_Raw!AU126</f>
        <v>10–15%</v>
      </c>
      <c r="F123" s="11">
        <f t="shared" si="2"/>
        <v>189</v>
      </c>
      <c r="G123" s="14">
        <f>COUNTIFS($E:$E,E123, Deals_Raw!AF:AF, "Won")</f>
        <v>113</v>
      </c>
      <c r="H123">
        <f t="shared" si="3"/>
        <v>0.59788359788359791</v>
      </c>
      <c r="I123">
        <f>AVERAGEIFS(Deals_Raw!$AT:$AT, $E:$E, E123, Deals_Raw!$AF:$AF, "Won")</f>
        <v>0.6036615079947677</v>
      </c>
    </row>
    <row r="124" spans="4:9">
      <c r="D124" s="8">
        <v>9.9000000000000005E-2</v>
      </c>
      <c r="E124" t="str">
        <f>Deals_Raw!AU127</f>
        <v>5–10%</v>
      </c>
      <c r="F124" s="11">
        <f t="shared" si="2"/>
        <v>171</v>
      </c>
      <c r="G124" s="14">
        <f>COUNTIFS($E:$E,E124, Deals_Raw!AF:AF, "Won")</f>
        <v>116</v>
      </c>
      <c r="H124">
        <f t="shared" si="3"/>
        <v>0.67836257309941517</v>
      </c>
      <c r="I124">
        <f>AVERAGEIFS(Deals_Raw!$AT:$AT, $E:$E, E124, Deals_Raw!$AF:$AF, "Won")</f>
        <v>0.6077878084656495</v>
      </c>
    </row>
    <row r="125" spans="4:9">
      <c r="D125" s="8">
        <v>0.129</v>
      </c>
      <c r="E125" t="str">
        <f>Deals_Raw!AU128</f>
        <v>10–15%</v>
      </c>
      <c r="F125" s="11">
        <f t="shared" si="2"/>
        <v>189</v>
      </c>
      <c r="G125" s="14">
        <f>COUNTIFS($E:$E,E125, Deals_Raw!AF:AF, "Won")</f>
        <v>113</v>
      </c>
      <c r="H125">
        <f t="shared" si="3"/>
        <v>0.59788359788359791</v>
      </c>
      <c r="I125">
        <f>AVERAGEIFS(Deals_Raw!$AT:$AT, $E:$E, E125, Deals_Raw!$AF:$AF, "Won")</f>
        <v>0.6036615079947677</v>
      </c>
    </row>
    <row r="126" spans="4:9">
      <c r="D126" s="8">
        <v>2.9000000000000001E-2</v>
      </c>
      <c r="E126" t="str">
        <f>Deals_Raw!AU129</f>
        <v>0–5%</v>
      </c>
      <c r="F126" s="11">
        <f t="shared" si="2"/>
        <v>79</v>
      </c>
      <c r="G126" s="14">
        <f>COUNTIFS($E:$E,E126, Deals_Raw!AF:AF, "Won")</f>
        <v>55</v>
      </c>
      <c r="H126">
        <f t="shared" si="3"/>
        <v>0.69620253164556967</v>
      </c>
      <c r="I126">
        <f>AVERAGEIFS(Deals_Raw!$AT:$AT, $E:$E, E126, Deals_Raw!$AF:$AF, "Won")</f>
        <v>0.61352612210738522</v>
      </c>
    </row>
    <row r="127" spans="4:9">
      <c r="D127" s="8">
        <v>4.3999999999999997E-2</v>
      </c>
      <c r="E127" t="str">
        <f>Deals_Raw!AU130</f>
        <v>0–5%</v>
      </c>
      <c r="F127" s="11">
        <f t="shared" si="2"/>
        <v>79</v>
      </c>
      <c r="G127" s="14">
        <f>COUNTIFS($E:$E,E127, Deals_Raw!AF:AF, "Won")</f>
        <v>55</v>
      </c>
      <c r="H127">
        <f t="shared" si="3"/>
        <v>0.69620253164556967</v>
      </c>
      <c r="I127">
        <f>AVERAGEIFS(Deals_Raw!$AT:$AT, $E:$E, E127, Deals_Raw!$AF:$AF, "Won")</f>
        <v>0.61352612210738522</v>
      </c>
    </row>
    <row r="128" spans="4:9">
      <c r="D128" s="8">
        <v>0.112</v>
      </c>
      <c r="E128" t="str">
        <f>Deals_Raw!AU131</f>
        <v>10–15%</v>
      </c>
      <c r="F128" s="11">
        <f t="shared" si="2"/>
        <v>189</v>
      </c>
      <c r="G128" s="14">
        <f>COUNTIFS($E:$E,E128, Deals_Raw!AF:AF, "Won")</f>
        <v>113</v>
      </c>
      <c r="H128">
        <f t="shared" si="3"/>
        <v>0.59788359788359791</v>
      </c>
      <c r="I128">
        <f>AVERAGEIFS(Deals_Raw!$AT:$AT, $E:$E, E128, Deals_Raw!$AF:$AF, "Won")</f>
        <v>0.6036615079947677</v>
      </c>
    </row>
    <row r="129" spans="4:9">
      <c r="D129" s="8">
        <v>0.113</v>
      </c>
      <c r="E129" t="str">
        <f>Deals_Raw!AU132</f>
        <v>10–15%</v>
      </c>
      <c r="F129" s="11">
        <f t="shared" si="2"/>
        <v>189</v>
      </c>
      <c r="G129" s="14">
        <f>COUNTIFS($E:$E,E129, Deals_Raw!AF:AF, "Won")</f>
        <v>113</v>
      </c>
      <c r="H129">
        <f t="shared" si="3"/>
        <v>0.59788359788359791</v>
      </c>
      <c r="I129">
        <f>AVERAGEIFS(Deals_Raw!$AT:$AT, $E:$E, E129, Deals_Raw!$AF:$AF, "Won")</f>
        <v>0.6036615079947677</v>
      </c>
    </row>
    <row r="130" spans="4:9">
      <c r="D130" s="8">
        <v>0.23</v>
      </c>
      <c r="E130" t="str">
        <f>Deals_Raw!AU133</f>
        <v>20–25%</v>
      </c>
      <c r="F130" s="11">
        <f t="shared" ref="F130:F193" si="4">COUNTIF($E:$E,E130)</f>
        <v>41</v>
      </c>
      <c r="G130" s="14">
        <f>COUNTIFS($E:$E,E130, Deals_Raw!AF:AF, "Won")</f>
        <v>29</v>
      </c>
      <c r="H130">
        <f t="shared" si="3"/>
        <v>0.70731707317073167</v>
      </c>
      <c r="I130">
        <f>AVERAGEIFS(Deals_Raw!$AT:$AT, $E:$E, E130, Deals_Raw!$AF:$AF, "Won")</f>
        <v>0.6163731005984544</v>
      </c>
    </row>
    <row r="131" spans="4:9">
      <c r="D131" s="8">
        <v>0.10199999999999999</v>
      </c>
      <c r="E131" t="str">
        <f>Deals_Raw!AU134</f>
        <v>10–15%</v>
      </c>
      <c r="F131" s="11">
        <f t="shared" si="4"/>
        <v>189</v>
      </c>
      <c r="G131" s="14">
        <f>COUNTIFS($E:$E,E131, Deals_Raw!AF:AF, "Won")</f>
        <v>113</v>
      </c>
      <c r="H131">
        <f t="shared" ref="H131:H194" si="5">G131/F131</f>
        <v>0.59788359788359791</v>
      </c>
      <c r="I131">
        <f>AVERAGEIFS(Deals_Raw!$AT:$AT, $E:$E, E131, Deals_Raw!$AF:$AF, "Won")</f>
        <v>0.6036615079947677</v>
      </c>
    </row>
    <row r="132" spans="4:9">
      <c r="D132" s="8">
        <v>7.9000000000000001E-2</v>
      </c>
      <c r="E132" t="str">
        <f>Deals_Raw!AU135</f>
        <v>5–10%</v>
      </c>
      <c r="F132" s="11">
        <f t="shared" si="4"/>
        <v>171</v>
      </c>
      <c r="G132" s="14">
        <f>COUNTIFS($E:$E,E132, Deals_Raw!AF:AF, "Won")</f>
        <v>116</v>
      </c>
      <c r="H132">
        <f t="shared" si="5"/>
        <v>0.67836257309941517</v>
      </c>
      <c r="I132">
        <f>AVERAGEIFS(Deals_Raw!$AT:$AT, $E:$E, E132, Deals_Raw!$AF:$AF, "Won")</f>
        <v>0.6077878084656495</v>
      </c>
    </row>
    <row r="133" spans="4:9">
      <c r="D133" s="8">
        <v>9.7000000000000003E-2</v>
      </c>
      <c r="E133" t="str">
        <f>Deals_Raw!AU136</f>
        <v>5–10%</v>
      </c>
      <c r="F133" s="11">
        <f t="shared" si="4"/>
        <v>171</v>
      </c>
      <c r="G133" s="14">
        <f>COUNTIFS($E:$E,E133, Deals_Raw!AF:AF, "Won")</f>
        <v>116</v>
      </c>
      <c r="H133">
        <f t="shared" si="5"/>
        <v>0.67836257309941517</v>
      </c>
      <c r="I133">
        <f>AVERAGEIFS(Deals_Raw!$AT:$AT, $E:$E, E133, Deals_Raw!$AF:$AF, "Won")</f>
        <v>0.6077878084656495</v>
      </c>
    </row>
    <row r="134" spans="4:9">
      <c r="D134" s="8">
        <v>5.0000000000000001E-3</v>
      </c>
      <c r="E134" t="str">
        <f>Deals_Raw!AU137</f>
        <v>0–5%</v>
      </c>
      <c r="F134" s="11">
        <f t="shared" si="4"/>
        <v>79</v>
      </c>
      <c r="G134" s="14">
        <f>COUNTIFS($E:$E,E134, Deals_Raw!AF:AF, "Won")</f>
        <v>55</v>
      </c>
      <c r="H134">
        <f t="shared" si="5"/>
        <v>0.69620253164556967</v>
      </c>
      <c r="I134">
        <f>AVERAGEIFS(Deals_Raw!$AT:$AT, $E:$E, E134, Deals_Raw!$AF:$AF, "Won")</f>
        <v>0.61352612210738522</v>
      </c>
    </row>
    <row r="135" spans="4:9">
      <c r="D135" s="8">
        <v>0.21</v>
      </c>
      <c r="E135" t="str">
        <f>Deals_Raw!AU138</f>
        <v>20–25%</v>
      </c>
      <c r="F135" s="11">
        <f t="shared" si="4"/>
        <v>41</v>
      </c>
      <c r="G135" s="14">
        <f>COUNTIFS($E:$E,E135, Deals_Raw!AF:AF, "Won")</f>
        <v>29</v>
      </c>
      <c r="H135">
        <f t="shared" si="5"/>
        <v>0.70731707317073167</v>
      </c>
      <c r="I135">
        <f>AVERAGEIFS(Deals_Raw!$AT:$AT, $E:$E, E135, Deals_Raw!$AF:$AF, "Won")</f>
        <v>0.6163731005984544</v>
      </c>
    </row>
    <row r="136" spans="4:9">
      <c r="D136" s="8">
        <v>4.8000000000000001E-2</v>
      </c>
      <c r="E136" t="str">
        <f>Deals_Raw!AU139</f>
        <v>0–5%</v>
      </c>
      <c r="F136" s="11">
        <f t="shared" si="4"/>
        <v>79</v>
      </c>
      <c r="G136" s="14">
        <f>COUNTIFS($E:$E,E136, Deals_Raw!AF:AF, "Won")</f>
        <v>55</v>
      </c>
      <c r="H136">
        <f t="shared" si="5"/>
        <v>0.69620253164556967</v>
      </c>
      <c r="I136">
        <f>AVERAGEIFS(Deals_Raw!$AT:$AT, $E:$E, E136, Deals_Raw!$AF:$AF, "Won")</f>
        <v>0.61352612210738522</v>
      </c>
    </row>
    <row r="137" spans="4:9">
      <c r="D137" s="8">
        <v>0.106</v>
      </c>
      <c r="E137" t="str">
        <f>Deals_Raw!AU140</f>
        <v>10–15%</v>
      </c>
      <c r="F137" s="11">
        <f t="shared" si="4"/>
        <v>189</v>
      </c>
      <c r="G137" s="14">
        <f>COUNTIFS($E:$E,E137, Deals_Raw!AF:AF, "Won")</f>
        <v>113</v>
      </c>
      <c r="H137">
        <f t="shared" si="5"/>
        <v>0.59788359788359791</v>
      </c>
      <c r="I137">
        <f>AVERAGEIFS(Deals_Raw!$AT:$AT, $E:$E, E137, Deals_Raw!$AF:$AF, "Won")</f>
        <v>0.6036615079947677</v>
      </c>
    </row>
    <row r="138" spans="4:9">
      <c r="D138" s="8">
        <v>0.12</v>
      </c>
      <c r="E138" t="str">
        <f>Deals_Raw!AU141</f>
        <v>10–15%</v>
      </c>
      <c r="F138" s="11">
        <f t="shared" si="4"/>
        <v>189</v>
      </c>
      <c r="G138" s="14">
        <f>COUNTIFS($E:$E,E138, Deals_Raw!AF:AF, "Won")</f>
        <v>113</v>
      </c>
      <c r="H138">
        <f t="shared" si="5"/>
        <v>0.59788359788359791</v>
      </c>
      <c r="I138">
        <f>AVERAGEIFS(Deals_Raw!$AT:$AT, $E:$E, E138, Deals_Raw!$AF:$AF, "Won")</f>
        <v>0.6036615079947677</v>
      </c>
    </row>
    <row r="139" spans="4:9">
      <c r="D139" s="8">
        <v>0.14199999999999999</v>
      </c>
      <c r="E139" t="str">
        <f>Deals_Raw!AU142</f>
        <v>10–15%</v>
      </c>
      <c r="F139" s="11">
        <f t="shared" si="4"/>
        <v>189</v>
      </c>
      <c r="G139" s="14">
        <f>COUNTIFS($E:$E,E139, Deals_Raw!AF:AF, "Won")</f>
        <v>113</v>
      </c>
      <c r="H139">
        <f t="shared" si="5"/>
        <v>0.59788359788359791</v>
      </c>
      <c r="I139">
        <f>AVERAGEIFS(Deals_Raw!$AT:$AT, $E:$E, E139, Deals_Raw!$AF:$AF, "Won")</f>
        <v>0.6036615079947677</v>
      </c>
    </row>
    <row r="140" spans="4:9">
      <c r="D140" s="8">
        <v>0.11</v>
      </c>
      <c r="E140" t="str">
        <f>Deals_Raw!AU143</f>
        <v>10–15%</v>
      </c>
      <c r="F140" s="11">
        <f t="shared" si="4"/>
        <v>189</v>
      </c>
      <c r="G140" s="14">
        <f>COUNTIFS($E:$E,E140, Deals_Raw!AF:AF, "Won")</f>
        <v>113</v>
      </c>
      <c r="H140">
        <f t="shared" si="5"/>
        <v>0.59788359788359791</v>
      </c>
      <c r="I140">
        <f>AVERAGEIFS(Deals_Raw!$AT:$AT, $E:$E, E140, Deals_Raw!$AF:$AF, "Won")</f>
        <v>0.6036615079947677</v>
      </c>
    </row>
    <row r="141" spans="4:9">
      <c r="D141" s="8">
        <v>0.17399999999999999</v>
      </c>
      <c r="E141" t="str">
        <f>Deals_Raw!AU144</f>
        <v>15–20%</v>
      </c>
      <c r="F141" s="11">
        <f t="shared" si="4"/>
        <v>149</v>
      </c>
      <c r="G141" s="14">
        <f>COUNTIFS($E:$E,E141, Deals_Raw!AF:AF, "Won")</f>
        <v>108</v>
      </c>
      <c r="H141">
        <f t="shared" si="5"/>
        <v>0.72483221476510062</v>
      </c>
      <c r="I141">
        <f>AVERAGEIFS(Deals_Raw!$AT:$AT, $E:$E, E141, Deals_Raw!$AF:$AF, "Won")</f>
        <v>0.61267442628905355</v>
      </c>
    </row>
    <row r="142" spans="4:9">
      <c r="D142" s="8">
        <v>0.158</v>
      </c>
      <c r="E142" t="str">
        <f>Deals_Raw!AU145</f>
        <v>15–20%</v>
      </c>
      <c r="F142" s="11">
        <f t="shared" si="4"/>
        <v>149</v>
      </c>
      <c r="G142" s="14">
        <f>COUNTIFS($E:$E,E142, Deals_Raw!AF:AF, "Won")</f>
        <v>108</v>
      </c>
      <c r="H142">
        <f t="shared" si="5"/>
        <v>0.72483221476510062</v>
      </c>
      <c r="I142">
        <f>AVERAGEIFS(Deals_Raw!$AT:$AT, $E:$E, E142, Deals_Raw!$AF:$AF, "Won")</f>
        <v>0.61267442628905355</v>
      </c>
    </row>
    <row r="143" spans="4:9">
      <c r="D143" s="8">
        <v>0.16200000000000001</v>
      </c>
      <c r="E143" t="str">
        <f>Deals_Raw!AU146</f>
        <v>15–20%</v>
      </c>
      <c r="F143" s="11">
        <f t="shared" si="4"/>
        <v>149</v>
      </c>
      <c r="G143" s="14">
        <f>COUNTIFS($E:$E,E143, Deals_Raw!AF:AF, "Won")</f>
        <v>108</v>
      </c>
      <c r="H143">
        <f t="shared" si="5"/>
        <v>0.72483221476510062</v>
      </c>
      <c r="I143">
        <f>AVERAGEIFS(Deals_Raw!$AT:$AT, $E:$E, E143, Deals_Raw!$AF:$AF, "Won")</f>
        <v>0.61267442628905355</v>
      </c>
    </row>
    <row r="144" spans="4:9">
      <c r="D144" s="8">
        <v>0.16700000000000001</v>
      </c>
      <c r="E144" t="str">
        <f>Deals_Raw!AU147</f>
        <v>15–20%</v>
      </c>
      <c r="F144" s="11">
        <f t="shared" si="4"/>
        <v>149</v>
      </c>
      <c r="G144" s="14">
        <f>COUNTIFS($E:$E,E144, Deals_Raw!AF:AF, "Won")</f>
        <v>108</v>
      </c>
      <c r="H144">
        <f t="shared" si="5"/>
        <v>0.72483221476510062</v>
      </c>
      <c r="I144">
        <f>AVERAGEIFS(Deals_Raw!$AT:$AT, $E:$E, E144, Deals_Raw!$AF:$AF, "Won")</f>
        <v>0.61267442628905355</v>
      </c>
    </row>
    <row r="145" spans="4:9">
      <c r="D145" s="8">
        <v>0.112</v>
      </c>
      <c r="E145" t="str">
        <f>Deals_Raw!AU148</f>
        <v>10–15%</v>
      </c>
      <c r="F145" s="11">
        <f t="shared" si="4"/>
        <v>189</v>
      </c>
      <c r="G145" s="14">
        <f>COUNTIFS($E:$E,E145, Deals_Raw!AF:AF, "Won")</f>
        <v>113</v>
      </c>
      <c r="H145">
        <f t="shared" si="5"/>
        <v>0.59788359788359791</v>
      </c>
      <c r="I145">
        <f>AVERAGEIFS(Deals_Raw!$AT:$AT, $E:$E, E145, Deals_Raw!$AF:$AF, "Won")</f>
        <v>0.6036615079947677</v>
      </c>
    </row>
    <row r="146" spans="4:9">
      <c r="D146" s="8">
        <v>6.8000000000000005E-2</v>
      </c>
      <c r="E146" t="str">
        <f>Deals_Raw!AU149</f>
        <v>5–10%</v>
      </c>
      <c r="F146" s="11">
        <f t="shared" si="4"/>
        <v>171</v>
      </c>
      <c r="G146" s="14">
        <f>COUNTIFS($E:$E,E146, Deals_Raw!AF:AF, "Won")</f>
        <v>116</v>
      </c>
      <c r="H146">
        <f t="shared" si="5"/>
        <v>0.67836257309941517</v>
      </c>
      <c r="I146">
        <f>AVERAGEIFS(Deals_Raw!$AT:$AT, $E:$E, E146, Deals_Raw!$AF:$AF, "Won")</f>
        <v>0.6077878084656495</v>
      </c>
    </row>
    <row r="147" spans="4:9">
      <c r="D147" s="8">
        <v>0.17100000000000001</v>
      </c>
      <c r="E147" t="str">
        <f>Deals_Raw!AU150</f>
        <v>15–20%</v>
      </c>
      <c r="F147" s="11">
        <f t="shared" si="4"/>
        <v>149</v>
      </c>
      <c r="G147" s="14">
        <f>COUNTIFS($E:$E,E147, Deals_Raw!AF:AF, "Won")</f>
        <v>108</v>
      </c>
      <c r="H147">
        <f t="shared" si="5"/>
        <v>0.72483221476510062</v>
      </c>
      <c r="I147">
        <f>AVERAGEIFS(Deals_Raw!$AT:$AT, $E:$E, E147, Deals_Raw!$AF:$AF, "Won")</f>
        <v>0.61267442628905355</v>
      </c>
    </row>
    <row r="148" spans="4:9">
      <c r="D148" s="8">
        <v>0.14599999999999999</v>
      </c>
      <c r="E148" t="str">
        <f>Deals_Raw!AU151</f>
        <v>10–15%</v>
      </c>
      <c r="F148" s="11">
        <f t="shared" si="4"/>
        <v>189</v>
      </c>
      <c r="G148" s="14">
        <f>COUNTIFS($E:$E,E148, Deals_Raw!AF:AF, "Won")</f>
        <v>113</v>
      </c>
      <c r="H148">
        <f t="shared" si="5"/>
        <v>0.59788359788359791</v>
      </c>
      <c r="I148">
        <f>AVERAGEIFS(Deals_Raw!$AT:$AT, $E:$E, E148, Deals_Raw!$AF:$AF, "Won")</f>
        <v>0.6036615079947677</v>
      </c>
    </row>
    <row r="149" spans="4:9">
      <c r="D149" s="8">
        <v>0.153</v>
      </c>
      <c r="E149" t="str">
        <f>Deals_Raw!AU152</f>
        <v>15–20%</v>
      </c>
      <c r="F149" s="11">
        <f t="shared" si="4"/>
        <v>149</v>
      </c>
      <c r="G149" s="14">
        <f>COUNTIFS($E:$E,E149, Deals_Raw!AF:AF, "Won")</f>
        <v>108</v>
      </c>
      <c r="H149">
        <f t="shared" si="5"/>
        <v>0.72483221476510062</v>
      </c>
      <c r="I149">
        <f>AVERAGEIFS(Deals_Raw!$AT:$AT, $E:$E, E149, Deals_Raw!$AF:$AF, "Won")</f>
        <v>0.61267442628905355</v>
      </c>
    </row>
    <row r="150" spans="4:9">
      <c r="D150" s="8">
        <v>0.20300000000000001</v>
      </c>
      <c r="E150" t="str">
        <f>Deals_Raw!AU153</f>
        <v>20–25%</v>
      </c>
      <c r="F150" s="11">
        <f t="shared" si="4"/>
        <v>41</v>
      </c>
      <c r="G150" s="14">
        <f>COUNTIFS($E:$E,E150, Deals_Raw!AF:AF, "Won")</f>
        <v>29</v>
      </c>
      <c r="H150">
        <f t="shared" si="5"/>
        <v>0.70731707317073167</v>
      </c>
      <c r="I150">
        <f>AVERAGEIFS(Deals_Raw!$AT:$AT, $E:$E, E150, Deals_Raw!$AF:$AF, "Won")</f>
        <v>0.6163731005984544</v>
      </c>
    </row>
    <row r="151" spans="4:9">
      <c r="D151" s="8">
        <v>9.9000000000000005E-2</v>
      </c>
      <c r="E151" t="str">
        <f>Deals_Raw!AU154</f>
        <v>5–10%</v>
      </c>
      <c r="F151" s="11">
        <f t="shared" si="4"/>
        <v>171</v>
      </c>
      <c r="G151" s="14">
        <f>COUNTIFS($E:$E,E151, Deals_Raw!AF:AF, "Won")</f>
        <v>116</v>
      </c>
      <c r="H151">
        <f t="shared" si="5"/>
        <v>0.67836257309941517</v>
      </c>
      <c r="I151">
        <f>AVERAGEIFS(Deals_Raw!$AT:$AT, $E:$E, E151, Deals_Raw!$AF:$AF, "Won")</f>
        <v>0.6077878084656495</v>
      </c>
    </row>
    <row r="152" spans="4:9">
      <c r="D152" s="8">
        <v>0.13200000000000001</v>
      </c>
      <c r="E152" t="str">
        <f>Deals_Raw!AU155</f>
        <v>10–15%</v>
      </c>
      <c r="F152" s="11">
        <f t="shared" si="4"/>
        <v>189</v>
      </c>
      <c r="G152" s="14">
        <f>COUNTIFS($E:$E,E152, Deals_Raw!AF:AF, "Won")</f>
        <v>113</v>
      </c>
      <c r="H152">
        <f t="shared" si="5"/>
        <v>0.59788359788359791</v>
      </c>
      <c r="I152">
        <f>AVERAGEIFS(Deals_Raw!$AT:$AT, $E:$E, E152, Deals_Raw!$AF:$AF, "Won")</f>
        <v>0.6036615079947677</v>
      </c>
    </row>
    <row r="153" spans="4:9">
      <c r="D153" s="8">
        <v>7.9000000000000001E-2</v>
      </c>
      <c r="E153" t="str">
        <f>Deals_Raw!AU156</f>
        <v>5–10%</v>
      </c>
      <c r="F153" s="11">
        <f t="shared" si="4"/>
        <v>171</v>
      </c>
      <c r="G153" s="14">
        <f>COUNTIFS($E:$E,E153, Deals_Raw!AF:AF, "Won")</f>
        <v>116</v>
      </c>
      <c r="H153">
        <f t="shared" si="5"/>
        <v>0.67836257309941517</v>
      </c>
      <c r="I153">
        <f>AVERAGEIFS(Deals_Raw!$AT:$AT, $E:$E, E153, Deals_Raw!$AF:$AF, "Won")</f>
        <v>0.6077878084656495</v>
      </c>
    </row>
    <row r="154" spans="4:9">
      <c r="D154" s="8">
        <v>0.17599999999999999</v>
      </c>
      <c r="E154" t="str">
        <f>Deals_Raw!AU157</f>
        <v>15–20%</v>
      </c>
      <c r="F154" s="11">
        <f t="shared" si="4"/>
        <v>149</v>
      </c>
      <c r="G154" s="14">
        <f>COUNTIFS($E:$E,E154, Deals_Raw!AF:AF, "Won")</f>
        <v>108</v>
      </c>
      <c r="H154">
        <f t="shared" si="5"/>
        <v>0.72483221476510062</v>
      </c>
      <c r="I154">
        <f>AVERAGEIFS(Deals_Raw!$AT:$AT, $E:$E, E154, Deals_Raw!$AF:$AF, "Won")</f>
        <v>0.61267442628905355</v>
      </c>
    </row>
    <row r="155" spans="4:9">
      <c r="D155" s="8">
        <v>3.2000000000000001E-2</v>
      </c>
      <c r="E155" t="str">
        <f>Deals_Raw!AU158</f>
        <v>0–5%</v>
      </c>
      <c r="F155" s="11">
        <f t="shared" si="4"/>
        <v>79</v>
      </c>
      <c r="G155" s="14">
        <f>COUNTIFS($E:$E,E155, Deals_Raw!AF:AF, "Won")</f>
        <v>55</v>
      </c>
      <c r="H155">
        <f t="shared" si="5"/>
        <v>0.69620253164556967</v>
      </c>
      <c r="I155">
        <f>AVERAGEIFS(Deals_Raw!$AT:$AT, $E:$E, E155, Deals_Raw!$AF:$AF, "Won")</f>
        <v>0.61352612210738522</v>
      </c>
    </row>
    <row r="156" spans="4:9">
      <c r="D156" s="8">
        <v>6.0999999999999999E-2</v>
      </c>
      <c r="E156" t="str">
        <f>Deals_Raw!AU159</f>
        <v>5–10%</v>
      </c>
      <c r="F156" s="11">
        <f t="shared" si="4"/>
        <v>171</v>
      </c>
      <c r="G156" s="14">
        <f>COUNTIFS($E:$E,E156, Deals_Raw!AF:AF, "Won")</f>
        <v>116</v>
      </c>
      <c r="H156">
        <f t="shared" si="5"/>
        <v>0.67836257309941517</v>
      </c>
      <c r="I156">
        <f>AVERAGEIFS(Deals_Raw!$AT:$AT, $E:$E, E156, Deals_Raw!$AF:$AF, "Won")</f>
        <v>0.6077878084656495</v>
      </c>
    </row>
    <row r="157" spans="4:9">
      <c r="D157" s="8">
        <v>0.107</v>
      </c>
      <c r="E157" t="str">
        <f>Deals_Raw!AU160</f>
        <v>10–15%</v>
      </c>
      <c r="F157" s="11">
        <f t="shared" si="4"/>
        <v>189</v>
      </c>
      <c r="G157" s="14">
        <f>COUNTIFS($E:$E,E157, Deals_Raw!AF:AF, "Won")</f>
        <v>113</v>
      </c>
      <c r="H157">
        <f t="shared" si="5"/>
        <v>0.59788359788359791</v>
      </c>
      <c r="I157">
        <f>AVERAGEIFS(Deals_Raw!$AT:$AT, $E:$E, E157, Deals_Raw!$AF:$AF, "Won")</f>
        <v>0.6036615079947677</v>
      </c>
    </row>
    <row r="158" spans="4:9">
      <c r="D158" s="8">
        <v>0.13100000000000001</v>
      </c>
      <c r="E158" t="str">
        <f>Deals_Raw!AU161</f>
        <v>10–15%</v>
      </c>
      <c r="F158" s="11">
        <f t="shared" si="4"/>
        <v>189</v>
      </c>
      <c r="G158" s="14">
        <f>COUNTIFS($E:$E,E158, Deals_Raw!AF:AF, "Won")</f>
        <v>113</v>
      </c>
      <c r="H158">
        <f t="shared" si="5"/>
        <v>0.59788359788359791</v>
      </c>
      <c r="I158">
        <f>AVERAGEIFS(Deals_Raw!$AT:$AT, $E:$E, E158, Deals_Raw!$AF:$AF, "Won")</f>
        <v>0.6036615079947677</v>
      </c>
    </row>
    <row r="159" spans="4:9">
      <c r="D159" s="8">
        <v>0.14199999999999999</v>
      </c>
      <c r="E159" t="str">
        <f>Deals_Raw!AU162</f>
        <v>10–15%</v>
      </c>
      <c r="F159" s="11">
        <f t="shared" si="4"/>
        <v>189</v>
      </c>
      <c r="G159" s="14">
        <f>COUNTIFS($E:$E,E159, Deals_Raw!AF:AF, "Won")</f>
        <v>113</v>
      </c>
      <c r="H159">
        <f t="shared" si="5"/>
        <v>0.59788359788359791</v>
      </c>
      <c r="I159">
        <f>AVERAGEIFS(Deals_Raw!$AT:$AT, $E:$E, E159, Deals_Raw!$AF:$AF, "Won")</f>
        <v>0.6036615079947677</v>
      </c>
    </row>
    <row r="160" spans="4:9">
      <c r="D160" s="8">
        <v>4.4999999999999998E-2</v>
      </c>
      <c r="E160" t="str">
        <f>Deals_Raw!AU163</f>
        <v>0–5%</v>
      </c>
      <c r="F160" s="11">
        <f t="shared" si="4"/>
        <v>79</v>
      </c>
      <c r="G160" s="14">
        <f>COUNTIFS($E:$E,E160, Deals_Raw!AF:AF, "Won")</f>
        <v>55</v>
      </c>
      <c r="H160">
        <f t="shared" si="5"/>
        <v>0.69620253164556967</v>
      </c>
      <c r="I160">
        <f>AVERAGEIFS(Deals_Raw!$AT:$AT, $E:$E, E160, Deals_Raw!$AF:$AF, "Won")</f>
        <v>0.61352612210738522</v>
      </c>
    </row>
    <row r="161" spans="4:9">
      <c r="D161" s="8">
        <v>6.2E-2</v>
      </c>
      <c r="E161" t="str">
        <f>Deals_Raw!AU164</f>
        <v>5–10%</v>
      </c>
      <c r="F161" s="11">
        <f t="shared" si="4"/>
        <v>171</v>
      </c>
      <c r="G161" s="14">
        <f>COUNTIFS($E:$E,E161, Deals_Raw!AF:AF, "Won")</f>
        <v>116</v>
      </c>
      <c r="H161">
        <f t="shared" si="5"/>
        <v>0.67836257309941517</v>
      </c>
      <c r="I161">
        <f>AVERAGEIFS(Deals_Raw!$AT:$AT, $E:$E, E161, Deals_Raw!$AF:$AF, "Won")</f>
        <v>0.6077878084656495</v>
      </c>
    </row>
    <row r="162" spans="4:9">
      <c r="D162" s="8">
        <v>0.16300000000000001</v>
      </c>
      <c r="E162" t="str">
        <f>Deals_Raw!AU165</f>
        <v>15–20%</v>
      </c>
      <c r="F162" s="11">
        <f t="shared" si="4"/>
        <v>149</v>
      </c>
      <c r="G162" s="14">
        <f>COUNTIFS($E:$E,E162, Deals_Raw!AF:AF, "Won")</f>
        <v>108</v>
      </c>
      <c r="H162">
        <f t="shared" si="5"/>
        <v>0.72483221476510062</v>
      </c>
      <c r="I162">
        <f>AVERAGEIFS(Deals_Raw!$AT:$AT, $E:$E, E162, Deals_Raw!$AF:$AF, "Won")</f>
        <v>0.61267442628905355</v>
      </c>
    </row>
    <row r="163" spans="4:9">
      <c r="D163" s="8">
        <v>0.154</v>
      </c>
      <c r="E163" t="str">
        <f>Deals_Raw!AU166</f>
        <v>15–20%</v>
      </c>
      <c r="F163" s="11">
        <f t="shared" si="4"/>
        <v>149</v>
      </c>
      <c r="G163" s="14">
        <f>COUNTIFS($E:$E,E163, Deals_Raw!AF:AF, "Won")</f>
        <v>108</v>
      </c>
      <c r="H163">
        <f t="shared" si="5"/>
        <v>0.72483221476510062</v>
      </c>
      <c r="I163">
        <f>AVERAGEIFS(Deals_Raw!$AT:$AT, $E:$E, E163, Deals_Raw!$AF:$AF, "Won")</f>
        <v>0.61267442628905355</v>
      </c>
    </row>
    <row r="164" spans="4:9">
      <c r="D164" s="8">
        <v>7.6999999999999999E-2</v>
      </c>
      <c r="E164" t="str">
        <f>Deals_Raw!AU167</f>
        <v>5–10%</v>
      </c>
      <c r="F164" s="11">
        <f t="shared" si="4"/>
        <v>171</v>
      </c>
      <c r="G164" s="14">
        <f>COUNTIFS($E:$E,E164, Deals_Raw!AF:AF, "Won")</f>
        <v>116</v>
      </c>
      <c r="H164">
        <f t="shared" si="5"/>
        <v>0.67836257309941517</v>
      </c>
      <c r="I164">
        <f>AVERAGEIFS(Deals_Raw!$AT:$AT, $E:$E, E164, Deals_Raw!$AF:$AF, "Won")</f>
        <v>0.6077878084656495</v>
      </c>
    </row>
    <row r="165" spans="4:9">
      <c r="D165" s="8">
        <v>0.13300000000000001</v>
      </c>
      <c r="E165" t="str">
        <f>Deals_Raw!AU168</f>
        <v>10–15%</v>
      </c>
      <c r="F165" s="11">
        <f t="shared" si="4"/>
        <v>189</v>
      </c>
      <c r="G165" s="14">
        <f>COUNTIFS($E:$E,E165, Deals_Raw!AF:AF, "Won")</f>
        <v>113</v>
      </c>
      <c r="H165">
        <f t="shared" si="5"/>
        <v>0.59788359788359791</v>
      </c>
      <c r="I165">
        <f>AVERAGEIFS(Deals_Raw!$AT:$AT, $E:$E, E165, Deals_Raw!$AF:$AF, "Won")</f>
        <v>0.6036615079947677</v>
      </c>
    </row>
    <row r="166" spans="4:9">
      <c r="D166" s="8">
        <v>0.14699999999999999</v>
      </c>
      <c r="E166" t="str">
        <f>Deals_Raw!AU169</f>
        <v>10–15%</v>
      </c>
      <c r="F166" s="11">
        <f t="shared" si="4"/>
        <v>189</v>
      </c>
      <c r="G166" s="14">
        <f>COUNTIFS($E:$E,E166, Deals_Raw!AF:AF, "Won")</f>
        <v>113</v>
      </c>
      <c r="H166">
        <f t="shared" si="5"/>
        <v>0.59788359788359791</v>
      </c>
      <c r="I166">
        <f>AVERAGEIFS(Deals_Raw!$AT:$AT, $E:$E, E166, Deals_Raw!$AF:$AF, "Won")</f>
        <v>0.6036615079947677</v>
      </c>
    </row>
    <row r="167" spans="4:9">
      <c r="D167" s="8">
        <v>0.153</v>
      </c>
      <c r="E167" t="str">
        <f>Deals_Raw!AU170</f>
        <v>15–20%</v>
      </c>
      <c r="F167" s="11">
        <f t="shared" si="4"/>
        <v>149</v>
      </c>
      <c r="G167" s="14">
        <f>COUNTIFS($E:$E,E167, Deals_Raw!AF:AF, "Won")</f>
        <v>108</v>
      </c>
      <c r="H167">
        <f t="shared" si="5"/>
        <v>0.72483221476510062</v>
      </c>
      <c r="I167">
        <f>AVERAGEIFS(Deals_Raw!$AT:$AT, $E:$E, E167, Deals_Raw!$AF:$AF, "Won")</f>
        <v>0.61267442628905355</v>
      </c>
    </row>
    <row r="168" spans="4:9">
      <c r="D168" s="8">
        <v>0.155</v>
      </c>
      <c r="E168" t="str">
        <f>Deals_Raw!AU171</f>
        <v>15–20%</v>
      </c>
      <c r="F168" s="11">
        <f t="shared" si="4"/>
        <v>149</v>
      </c>
      <c r="G168" s="14">
        <f>COUNTIFS($E:$E,E168, Deals_Raw!AF:AF, "Won")</f>
        <v>108</v>
      </c>
      <c r="H168">
        <f t="shared" si="5"/>
        <v>0.72483221476510062</v>
      </c>
      <c r="I168">
        <f>AVERAGEIFS(Deals_Raw!$AT:$AT, $E:$E, E168, Deals_Raw!$AF:$AF, "Won")</f>
        <v>0.61267442628905355</v>
      </c>
    </row>
    <row r="169" spans="4:9">
      <c r="D169" s="8">
        <v>0.108</v>
      </c>
      <c r="E169" t="str">
        <f>Deals_Raw!AU172</f>
        <v>10–15%</v>
      </c>
      <c r="F169" s="11">
        <f t="shared" si="4"/>
        <v>189</v>
      </c>
      <c r="G169" s="14">
        <f>COUNTIFS($E:$E,E169, Deals_Raw!AF:AF, "Won")</f>
        <v>113</v>
      </c>
      <c r="H169">
        <f t="shared" si="5"/>
        <v>0.59788359788359791</v>
      </c>
      <c r="I169">
        <f>AVERAGEIFS(Deals_Raw!$AT:$AT, $E:$E, E169, Deals_Raw!$AF:$AF, "Won")</f>
        <v>0.6036615079947677</v>
      </c>
    </row>
    <row r="170" spans="4:9">
      <c r="D170" s="8">
        <v>4.7E-2</v>
      </c>
      <c r="E170" t="str">
        <f>Deals_Raw!AU173</f>
        <v>0–5%</v>
      </c>
      <c r="F170" s="11">
        <f t="shared" si="4"/>
        <v>79</v>
      </c>
      <c r="G170" s="14">
        <f>COUNTIFS($E:$E,E170, Deals_Raw!AF:AF, "Won")</f>
        <v>55</v>
      </c>
      <c r="H170">
        <f t="shared" si="5"/>
        <v>0.69620253164556967</v>
      </c>
      <c r="I170">
        <f>AVERAGEIFS(Deals_Raw!$AT:$AT, $E:$E, E170, Deals_Raw!$AF:$AF, "Won")</f>
        <v>0.61352612210738522</v>
      </c>
    </row>
    <row r="171" spans="4:9">
      <c r="D171" s="8">
        <v>0.128</v>
      </c>
      <c r="E171" t="str">
        <f>Deals_Raw!AU174</f>
        <v>10–15%</v>
      </c>
      <c r="F171" s="11">
        <f t="shared" si="4"/>
        <v>189</v>
      </c>
      <c r="G171" s="14">
        <f>COUNTIFS($E:$E,E171, Deals_Raw!AF:AF, "Won")</f>
        <v>113</v>
      </c>
      <c r="H171">
        <f t="shared" si="5"/>
        <v>0.59788359788359791</v>
      </c>
      <c r="I171">
        <f>AVERAGEIFS(Deals_Raw!$AT:$AT, $E:$E, E171, Deals_Raw!$AF:$AF, "Won")</f>
        <v>0.6036615079947677</v>
      </c>
    </row>
    <row r="172" spans="4:9">
      <c r="D172" s="8">
        <v>8.7999999999999995E-2</v>
      </c>
      <c r="E172" t="str">
        <f>Deals_Raw!AU175</f>
        <v>5–10%</v>
      </c>
      <c r="F172" s="11">
        <f t="shared" si="4"/>
        <v>171</v>
      </c>
      <c r="G172" s="14">
        <f>COUNTIFS($E:$E,E172, Deals_Raw!AF:AF, "Won")</f>
        <v>116</v>
      </c>
      <c r="H172">
        <f t="shared" si="5"/>
        <v>0.67836257309941517</v>
      </c>
      <c r="I172">
        <f>AVERAGEIFS(Deals_Raw!$AT:$AT, $E:$E, E172, Deals_Raw!$AF:$AF, "Won")</f>
        <v>0.6077878084656495</v>
      </c>
    </row>
    <row r="173" spans="4:9">
      <c r="D173" s="8">
        <v>0.17199999999999999</v>
      </c>
      <c r="E173" t="str">
        <f>Deals_Raw!AU176</f>
        <v>15–20%</v>
      </c>
      <c r="F173" s="11">
        <f t="shared" si="4"/>
        <v>149</v>
      </c>
      <c r="G173" s="14">
        <f>COUNTIFS($E:$E,E173, Deals_Raw!AF:AF, "Won")</f>
        <v>108</v>
      </c>
      <c r="H173">
        <f t="shared" si="5"/>
        <v>0.72483221476510062</v>
      </c>
      <c r="I173">
        <f>AVERAGEIFS(Deals_Raw!$AT:$AT, $E:$E, E173, Deals_Raw!$AF:$AF, "Won")</f>
        <v>0.61267442628905355</v>
      </c>
    </row>
    <row r="174" spans="4:9">
      <c r="D174" s="8">
        <v>0.107</v>
      </c>
      <c r="E174" t="str">
        <f>Deals_Raw!AU177</f>
        <v>10–15%</v>
      </c>
      <c r="F174" s="11">
        <f t="shared" si="4"/>
        <v>189</v>
      </c>
      <c r="G174" s="14">
        <f>COUNTIFS($E:$E,E174, Deals_Raw!AF:AF, "Won")</f>
        <v>113</v>
      </c>
      <c r="H174">
        <f t="shared" si="5"/>
        <v>0.59788359788359791</v>
      </c>
      <c r="I174">
        <f>AVERAGEIFS(Deals_Raw!$AT:$AT, $E:$E, E174, Deals_Raw!$AF:$AF, "Won")</f>
        <v>0.6036615079947677</v>
      </c>
    </row>
    <row r="175" spans="4:9">
      <c r="D175" s="8">
        <v>0.108</v>
      </c>
      <c r="E175" t="str">
        <f>Deals_Raw!AU178</f>
        <v>10–15%</v>
      </c>
      <c r="F175" s="11">
        <f t="shared" si="4"/>
        <v>189</v>
      </c>
      <c r="G175" s="14">
        <f>COUNTIFS($E:$E,E175, Deals_Raw!AF:AF, "Won")</f>
        <v>113</v>
      </c>
      <c r="H175">
        <f t="shared" si="5"/>
        <v>0.59788359788359791</v>
      </c>
      <c r="I175">
        <f>AVERAGEIFS(Deals_Raw!$AT:$AT, $E:$E, E175, Deals_Raw!$AF:$AF, "Won")</f>
        <v>0.6036615079947677</v>
      </c>
    </row>
    <row r="176" spans="4:9">
      <c r="D176" s="8">
        <v>8.8999999999999996E-2</v>
      </c>
      <c r="E176" t="str">
        <f>Deals_Raw!AU179</f>
        <v>5–10%</v>
      </c>
      <c r="F176" s="11">
        <f t="shared" si="4"/>
        <v>171</v>
      </c>
      <c r="G176" s="14">
        <f>COUNTIFS($E:$E,E176, Deals_Raw!AF:AF, "Won")</f>
        <v>116</v>
      </c>
      <c r="H176">
        <f t="shared" si="5"/>
        <v>0.67836257309941517</v>
      </c>
      <c r="I176">
        <f>AVERAGEIFS(Deals_Raw!$AT:$AT, $E:$E, E176, Deals_Raw!$AF:$AF, "Won")</f>
        <v>0.6077878084656495</v>
      </c>
    </row>
    <row r="177" spans="4:9">
      <c r="D177" s="8">
        <v>0.14000000000000001</v>
      </c>
      <c r="E177" t="str">
        <f>Deals_Raw!AU180</f>
        <v>10–15%</v>
      </c>
      <c r="F177" s="11">
        <f t="shared" si="4"/>
        <v>189</v>
      </c>
      <c r="G177" s="14">
        <f>COUNTIFS($E:$E,E177, Deals_Raw!AF:AF, "Won")</f>
        <v>113</v>
      </c>
      <c r="H177">
        <f t="shared" si="5"/>
        <v>0.59788359788359791</v>
      </c>
      <c r="I177">
        <f>AVERAGEIFS(Deals_Raw!$AT:$AT, $E:$E, E177, Deals_Raw!$AF:$AF, "Won")</f>
        <v>0.6036615079947677</v>
      </c>
    </row>
    <row r="178" spans="4:9">
      <c r="D178" s="8">
        <v>0.25900000000000001</v>
      </c>
      <c r="E178" t="str">
        <f>Deals_Raw!AU181</f>
        <v>25–30%</v>
      </c>
      <c r="F178" s="11">
        <f t="shared" si="4"/>
        <v>7</v>
      </c>
      <c r="G178" s="14">
        <f>COUNTIFS($E:$E,E178, Deals_Raw!AF:AF, "Won")</f>
        <v>3</v>
      </c>
      <c r="H178">
        <f t="shared" si="5"/>
        <v>0.42857142857142855</v>
      </c>
      <c r="I178">
        <f>AVERAGEIFS(Deals_Raw!$AT:$AT, $E:$E, E178, Deals_Raw!$AF:$AF, "Won")</f>
        <v>0.60970059861072146</v>
      </c>
    </row>
    <row r="179" spans="4:9">
      <c r="D179" s="8">
        <v>1.2999999999999999E-2</v>
      </c>
      <c r="E179" t="str">
        <f>Deals_Raw!AU182</f>
        <v>0–5%</v>
      </c>
      <c r="F179" s="11">
        <f t="shared" si="4"/>
        <v>79</v>
      </c>
      <c r="G179" s="14">
        <f>COUNTIFS($E:$E,E179, Deals_Raw!AF:AF, "Won")</f>
        <v>55</v>
      </c>
      <c r="H179">
        <f t="shared" si="5"/>
        <v>0.69620253164556967</v>
      </c>
      <c r="I179">
        <f>AVERAGEIFS(Deals_Raw!$AT:$AT, $E:$E, E179, Deals_Raw!$AF:$AF, "Won")</f>
        <v>0.61352612210738522</v>
      </c>
    </row>
    <row r="180" spans="4:9">
      <c r="D180" s="8">
        <v>9.4E-2</v>
      </c>
      <c r="E180" t="str">
        <f>Deals_Raw!AU183</f>
        <v>5–10%</v>
      </c>
      <c r="F180" s="11">
        <f t="shared" si="4"/>
        <v>171</v>
      </c>
      <c r="G180" s="14">
        <f>COUNTIFS($E:$E,E180, Deals_Raw!AF:AF, "Won")</f>
        <v>116</v>
      </c>
      <c r="H180">
        <f t="shared" si="5"/>
        <v>0.67836257309941517</v>
      </c>
      <c r="I180">
        <f>AVERAGEIFS(Deals_Raw!$AT:$AT, $E:$E, E180, Deals_Raw!$AF:$AF, "Won")</f>
        <v>0.6077878084656495</v>
      </c>
    </row>
    <row r="181" spans="4:9">
      <c r="D181" s="8">
        <v>8.3000000000000004E-2</v>
      </c>
      <c r="E181" t="str">
        <f>Deals_Raw!AU184</f>
        <v>5–10%</v>
      </c>
      <c r="F181" s="11">
        <f t="shared" si="4"/>
        <v>171</v>
      </c>
      <c r="G181" s="14">
        <f>COUNTIFS($E:$E,E181, Deals_Raw!AF:AF, "Won")</f>
        <v>116</v>
      </c>
      <c r="H181">
        <f t="shared" si="5"/>
        <v>0.67836257309941517</v>
      </c>
      <c r="I181">
        <f>AVERAGEIFS(Deals_Raw!$AT:$AT, $E:$E, E181, Deals_Raw!$AF:$AF, "Won")</f>
        <v>0.6077878084656495</v>
      </c>
    </row>
    <row r="182" spans="4:9">
      <c r="D182" s="8">
        <v>0.123</v>
      </c>
      <c r="E182" t="str">
        <f>Deals_Raw!AU185</f>
        <v>10–15%</v>
      </c>
      <c r="F182" s="11">
        <f t="shared" si="4"/>
        <v>189</v>
      </c>
      <c r="G182" s="14">
        <f>COUNTIFS($E:$E,E182, Deals_Raw!AF:AF, "Won")</f>
        <v>113</v>
      </c>
      <c r="H182">
        <f t="shared" si="5"/>
        <v>0.59788359788359791</v>
      </c>
      <c r="I182">
        <f>AVERAGEIFS(Deals_Raw!$AT:$AT, $E:$E, E182, Deals_Raw!$AF:$AF, "Won")</f>
        <v>0.6036615079947677</v>
      </c>
    </row>
    <row r="183" spans="4:9">
      <c r="D183" s="8">
        <v>5.6000000000000001E-2</v>
      </c>
      <c r="E183" t="str">
        <f>Deals_Raw!AU186</f>
        <v>5–10%</v>
      </c>
      <c r="F183" s="11">
        <f t="shared" si="4"/>
        <v>171</v>
      </c>
      <c r="G183" s="14">
        <f>COUNTIFS($E:$E,E183, Deals_Raw!AF:AF, "Won")</f>
        <v>116</v>
      </c>
      <c r="H183">
        <f t="shared" si="5"/>
        <v>0.67836257309941517</v>
      </c>
      <c r="I183">
        <f>AVERAGEIFS(Deals_Raw!$AT:$AT, $E:$E, E183, Deals_Raw!$AF:$AF, "Won")</f>
        <v>0.6077878084656495</v>
      </c>
    </row>
    <row r="184" spans="4:9">
      <c r="D184" s="8">
        <v>0.16400000000000001</v>
      </c>
      <c r="E184" t="str">
        <f>Deals_Raw!AU187</f>
        <v>15–20%</v>
      </c>
      <c r="F184" s="11">
        <f t="shared" si="4"/>
        <v>149</v>
      </c>
      <c r="G184" s="14">
        <f>COUNTIFS($E:$E,E184, Deals_Raw!AF:AF, "Won")</f>
        <v>108</v>
      </c>
      <c r="H184">
        <f t="shared" si="5"/>
        <v>0.72483221476510062</v>
      </c>
      <c r="I184">
        <f>AVERAGEIFS(Deals_Raw!$AT:$AT, $E:$E, E184, Deals_Raw!$AF:$AF, "Won")</f>
        <v>0.61267442628905355</v>
      </c>
    </row>
    <row r="185" spans="4:9">
      <c r="D185" s="8">
        <v>7.4999999999999997E-2</v>
      </c>
      <c r="E185" t="str">
        <f>Deals_Raw!AU188</f>
        <v>5–10%</v>
      </c>
      <c r="F185" s="11">
        <f t="shared" si="4"/>
        <v>171</v>
      </c>
      <c r="G185" s="14">
        <f>COUNTIFS($E:$E,E185, Deals_Raw!AF:AF, "Won")</f>
        <v>116</v>
      </c>
      <c r="H185">
        <f t="shared" si="5"/>
        <v>0.67836257309941517</v>
      </c>
      <c r="I185">
        <f>AVERAGEIFS(Deals_Raw!$AT:$AT, $E:$E, E185, Deals_Raw!$AF:$AF, "Won")</f>
        <v>0.6077878084656495</v>
      </c>
    </row>
    <row r="186" spans="4:9">
      <c r="D186" s="8">
        <v>0.11899999999999999</v>
      </c>
      <c r="E186" t="str">
        <f>Deals_Raw!AU189</f>
        <v>10–15%</v>
      </c>
      <c r="F186" s="11">
        <f t="shared" si="4"/>
        <v>189</v>
      </c>
      <c r="G186" s="14">
        <f>COUNTIFS($E:$E,E186, Deals_Raw!AF:AF, "Won")</f>
        <v>113</v>
      </c>
      <c r="H186">
        <f t="shared" si="5"/>
        <v>0.59788359788359791</v>
      </c>
      <c r="I186">
        <f>AVERAGEIFS(Deals_Raw!$AT:$AT, $E:$E, E186, Deals_Raw!$AF:$AF, "Won")</f>
        <v>0.6036615079947677</v>
      </c>
    </row>
    <row r="187" spans="4:9">
      <c r="D187" s="8">
        <v>0.17699999999999999</v>
      </c>
      <c r="E187" t="str">
        <f>Deals_Raw!AU190</f>
        <v>15–20%</v>
      </c>
      <c r="F187" s="11">
        <f t="shared" si="4"/>
        <v>149</v>
      </c>
      <c r="G187" s="14">
        <f>COUNTIFS($E:$E,E187, Deals_Raw!AF:AF, "Won")</f>
        <v>108</v>
      </c>
      <c r="H187">
        <f t="shared" si="5"/>
        <v>0.72483221476510062</v>
      </c>
      <c r="I187">
        <f>AVERAGEIFS(Deals_Raw!$AT:$AT, $E:$E, E187, Deals_Raw!$AF:$AF, "Won")</f>
        <v>0.61267442628905355</v>
      </c>
    </row>
    <row r="188" spans="4:9">
      <c r="D188" s="8">
        <v>0.158</v>
      </c>
      <c r="E188" t="str">
        <f>Deals_Raw!AU191</f>
        <v>15–20%</v>
      </c>
      <c r="F188" s="11">
        <f t="shared" si="4"/>
        <v>149</v>
      </c>
      <c r="G188" s="14">
        <f>COUNTIFS($E:$E,E188, Deals_Raw!AF:AF, "Won")</f>
        <v>108</v>
      </c>
      <c r="H188">
        <f t="shared" si="5"/>
        <v>0.72483221476510062</v>
      </c>
      <c r="I188">
        <f>AVERAGEIFS(Deals_Raw!$AT:$AT, $E:$E, E188, Deals_Raw!$AF:$AF, "Won")</f>
        <v>0.61267442628905355</v>
      </c>
    </row>
    <row r="189" spans="4:9">
      <c r="D189" s="8">
        <v>0.23</v>
      </c>
      <c r="E189" t="str">
        <f>Deals_Raw!AU192</f>
        <v>20–25%</v>
      </c>
      <c r="F189" s="11">
        <f t="shared" si="4"/>
        <v>41</v>
      </c>
      <c r="G189" s="14">
        <f>COUNTIFS($E:$E,E189, Deals_Raw!AF:AF, "Won")</f>
        <v>29</v>
      </c>
      <c r="H189">
        <f t="shared" si="5"/>
        <v>0.70731707317073167</v>
      </c>
      <c r="I189">
        <f>AVERAGEIFS(Deals_Raw!$AT:$AT, $E:$E, E189, Deals_Raw!$AF:$AF, "Won")</f>
        <v>0.6163731005984544</v>
      </c>
    </row>
    <row r="190" spans="4:9">
      <c r="D190" s="8">
        <v>0.111</v>
      </c>
      <c r="E190" t="str">
        <f>Deals_Raw!AU193</f>
        <v>10–15%</v>
      </c>
      <c r="F190" s="11">
        <f t="shared" si="4"/>
        <v>189</v>
      </c>
      <c r="G190" s="14">
        <f>COUNTIFS($E:$E,E190, Deals_Raw!AF:AF, "Won")</f>
        <v>113</v>
      </c>
      <c r="H190">
        <f t="shared" si="5"/>
        <v>0.59788359788359791</v>
      </c>
      <c r="I190">
        <f>AVERAGEIFS(Deals_Raw!$AT:$AT, $E:$E, E190, Deals_Raw!$AF:$AF, "Won")</f>
        <v>0.6036615079947677</v>
      </c>
    </row>
    <row r="191" spans="4:9">
      <c r="D191" s="8">
        <v>0.18099999999999999</v>
      </c>
      <c r="E191" t="str">
        <f>Deals_Raw!AU194</f>
        <v>15–20%</v>
      </c>
      <c r="F191" s="11">
        <f t="shared" si="4"/>
        <v>149</v>
      </c>
      <c r="G191" s="14">
        <f>COUNTIFS($E:$E,E191, Deals_Raw!AF:AF, "Won")</f>
        <v>108</v>
      </c>
      <c r="H191">
        <f t="shared" si="5"/>
        <v>0.72483221476510062</v>
      </c>
      <c r="I191">
        <f>AVERAGEIFS(Deals_Raw!$AT:$AT, $E:$E, E191, Deals_Raw!$AF:$AF, "Won")</f>
        <v>0.61267442628905355</v>
      </c>
    </row>
    <row r="192" spans="4:9">
      <c r="D192" s="8">
        <v>5.3999999999999999E-2</v>
      </c>
      <c r="E192" t="str">
        <f>Deals_Raw!AU195</f>
        <v>5–10%</v>
      </c>
      <c r="F192" s="11">
        <f t="shared" si="4"/>
        <v>171</v>
      </c>
      <c r="G192" s="14">
        <f>COUNTIFS($E:$E,E192, Deals_Raw!AF:AF, "Won")</f>
        <v>116</v>
      </c>
      <c r="H192">
        <f t="shared" si="5"/>
        <v>0.67836257309941517</v>
      </c>
      <c r="I192">
        <f>AVERAGEIFS(Deals_Raw!$AT:$AT, $E:$E, E192, Deals_Raw!$AF:$AF, "Won")</f>
        <v>0.6077878084656495</v>
      </c>
    </row>
    <row r="193" spans="4:9">
      <c r="D193" s="8">
        <v>0.15</v>
      </c>
      <c r="E193" t="str">
        <f>Deals_Raw!AU196</f>
        <v>10–15%</v>
      </c>
      <c r="F193" s="11">
        <f t="shared" si="4"/>
        <v>189</v>
      </c>
      <c r="G193" s="14">
        <f>COUNTIFS($E:$E,E193, Deals_Raw!AF:AF, "Won")</f>
        <v>113</v>
      </c>
      <c r="H193">
        <f t="shared" si="5"/>
        <v>0.59788359788359791</v>
      </c>
      <c r="I193">
        <f>AVERAGEIFS(Deals_Raw!$AT:$AT, $E:$E, E193, Deals_Raw!$AF:$AF, "Won")</f>
        <v>0.6036615079947677</v>
      </c>
    </row>
    <row r="194" spans="4:9">
      <c r="D194" s="8">
        <v>0.189</v>
      </c>
      <c r="E194" t="str">
        <f>Deals_Raw!AU197</f>
        <v>15–20%</v>
      </c>
      <c r="F194" s="11">
        <f t="shared" ref="F194:F257" si="6">COUNTIF($E:$E,E194)</f>
        <v>149</v>
      </c>
      <c r="G194" s="14">
        <f>COUNTIFS($E:$E,E194, Deals_Raw!AF:AF, "Won")</f>
        <v>108</v>
      </c>
      <c r="H194">
        <f t="shared" si="5"/>
        <v>0.72483221476510062</v>
      </c>
      <c r="I194">
        <f>AVERAGEIFS(Deals_Raw!$AT:$AT, $E:$E, E194, Deals_Raw!$AF:$AF, "Won")</f>
        <v>0.61267442628905355</v>
      </c>
    </row>
    <row r="195" spans="4:9">
      <c r="D195" s="8">
        <v>0.10299999999999999</v>
      </c>
      <c r="E195" t="str">
        <f>Deals_Raw!AU198</f>
        <v>10–15%</v>
      </c>
      <c r="F195" s="11">
        <f t="shared" si="6"/>
        <v>189</v>
      </c>
      <c r="G195" s="14">
        <f>COUNTIFS($E:$E,E195, Deals_Raw!AF:AF, "Won")</f>
        <v>113</v>
      </c>
      <c r="H195">
        <f t="shared" ref="H195:H258" si="7">G195/F195</f>
        <v>0.59788359788359791</v>
      </c>
      <c r="I195">
        <f>AVERAGEIFS(Deals_Raw!$AT:$AT, $E:$E, E195, Deals_Raw!$AF:$AF, "Won")</f>
        <v>0.6036615079947677</v>
      </c>
    </row>
    <row r="196" spans="4:9">
      <c r="D196" s="8">
        <v>0.25900000000000001</v>
      </c>
      <c r="E196" t="str">
        <f>Deals_Raw!AU199</f>
        <v>25–30%</v>
      </c>
      <c r="F196" s="11">
        <f t="shared" si="6"/>
        <v>7</v>
      </c>
      <c r="G196" s="14">
        <f>COUNTIFS($E:$E,E196, Deals_Raw!AF:AF, "Won")</f>
        <v>3</v>
      </c>
      <c r="H196">
        <f t="shared" si="7"/>
        <v>0.42857142857142855</v>
      </c>
      <c r="I196">
        <f>AVERAGEIFS(Deals_Raw!$AT:$AT, $E:$E, E196, Deals_Raw!$AF:$AF, "Won")</f>
        <v>0.60970059861072146</v>
      </c>
    </row>
    <row r="197" spans="4:9">
      <c r="D197" s="8">
        <v>0.158</v>
      </c>
      <c r="E197" t="str">
        <f>Deals_Raw!AU200</f>
        <v>15–20%</v>
      </c>
      <c r="F197" s="11">
        <f t="shared" si="6"/>
        <v>149</v>
      </c>
      <c r="G197" s="14">
        <f>COUNTIFS($E:$E,E197, Deals_Raw!AF:AF, "Won")</f>
        <v>108</v>
      </c>
      <c r="H197">
        <f t="shared" si="7"/>
        <v>0.72483221476510062</v>
      </c>
      <c r="I197">
        <f>AVERAGEIFS(Deals_Raw!$AT:$AT, $E:$E, E197, Deals_Raw!$AF:$AF, "Won")</f>
        <v>0.61267442628905355</v>
      </c>
    </row>
    <row r="198" spans="4:9">
      <c r="D198" s="8">
        <v>0.19600000000000001</v>
      </c>
      <c r="E198" t="str">
        <f>Deals_Raw!AU201</f>
        <v>15–20%</v>
      </c>
      <c r="F198" s="11">
        <f t="shared" si="6"/>
        <v>149</v>
      </c>
      <c r="G198" s="14">
        <f>COUNTIFS($E:$E,E198, Deals_Raw!AF:AF, "Won")</f>
        <v>108</v>
      </c>
      <c r="H198">
        <f t="shared" si="7"/>
        <v>0.72483221476510062</v>
      </c>
      <c r="I198">
        <f>AVERAGEIFS(Deals_Raw!$AT:$AT, $E:$E, E198, Deals_Raw!$AF:$AF, "Won")</f>
        <v>0.61267442628905355</v>
      </c>
    </row>
    <row r="199" spans="4:9">
      <c r="D199" s="8">
        <v>0.15</v>
      </c>
      <c r="E199" t="str">
        <f>Deals_Raw!AU202</f>
        <v>10–15%</v>
      </c>
      <c r="F199" s="11">
        <f t="shared" si="6"/>
        <v>189</v>
      </c>
      <c r="G199" s="14">
        <f>COUNTIFS($E:$E,E199, Deals_Raw!AF:AF, "Won")</f>
        <v>113</v>
      </c>
      <c r="H199">
        <f t="shared" si="7"/>
        <v>0.59788359788359791</v>
      </c>
      <c r="I199">
        <f>AVERAGEIFS(Deals_Raw!$AT:$AT, $E:$E, E199, Deals_Raw!$AF:$AF, "Won")</f>
        <v>0.6036615079947677</v>
      </c>
    </row>
    <row r="200" spans="4:9">
      <c r="D200" s="8">
        <v>9.5000000000000001E-2</v>
      </c>
      <c r="E200" t="str">
        <f>Deals_Raw!AU203</f>
        <v>5–10%</v>
      </c>
      <c r="F200" s="11">
        <f t="shared" si="6"/>
        <v>171</v>
      </c>
      <c r="G200" s="14">
        <f>COUNTIFS($E:$E,E200, Deals_Raw!AF:AF, "Won")</f>
        <v>116</v>
      </c>
      <c r="H200">
        <f t="shared" si="7"/>
        <v>0.67836257309941517</v>
      </c>
      <c r="I200">
        <f>AVERAGEIFS(Deals_Raw!$AT:$AT, $E:$E, E200, Deals_Raw!$AF:$AF, "Won")</f>
        <v>0.6077878084656495</v>
      </c>
    </row>
    <row r="201" spans="4:9">
      <c r="D201" s="8">
        <v>2.1999999999999999E-2</v>
      </c>
      <c r="E201" t="str">
        <f>Deals_Raw!AU204</f>
        <v>0–5%</v>
      </c>
      <c r="F201" s="11">
        <f t="shared" si="6"/>
        <v>79</v>
      </c>
      <c r="G201" s="14">
        <f>COUNTIFS($E:$E,E201, Deals_Raw!AF:AF, "Won")</f>
        <v>55</v>
      </c>
      <c r="H201">
        <f t="shared" si="7"/>
        <v>0.69620253164556967</v>
      </c>
      <c r="I201">
        <f>AVERAGEIFS(Deals_Raw!$AT:$AT, $E:$E, E201, Deals_Raw!$AF:$AF, "Won")</f>
        <v>0.61352612210738522</v>
      </c>
    </row>
    <row r="202" spans="4:9">
      <c r="D202" s="8">
        <v>0.09</v>
      </c>
      <c r="E202" t="str">
        <f>Deals_Raw!AU205</f>
        <v>5–10%</v>
      </c>
      <c r="F202" s="11">
        <f t="shared" si="6"/>
        <v>171</v>
      </c>
      <c r="G202" s="14">
        <f>COUNTIFS($E:$E,E202, Deals_Raw!AF:AF, "Won")</f>
        <v>116</v>
      </c>
      <c r="H202">
        <f t="shared" si="7"/>
        <v>0.67836257309941517</v>
      </c>
      <c r="I202">
        <f>AVERAGEIFS(Deals_Raw!$AT:$AT, $E:$E, E202, Deals_Raw!$AF:$AF, "Won")</f>
        <v>0.6077878084656495</v>
      </c>
    </row>
    <row r="203" spans="4:9">
      <c r="D203" s="8">
        <v>0.16400000000000001</v>
      </c>
      <c r="E203" t="str">
        <f>Deals_Raw!AU206</f>
        <v>15–20%</v>
      </c>
      <c r="F203" s="11">
        <f t="shared" si="6"/>
        <v>149</v>
      </c>
      <c r="G203" s="14">
        <f>COUNTIFS($E:$E,E203, Deals_Raw!AF:AF, "Won")</f>
        <v>108</v>
      </c>
      <c r="H203">
        <f t="shared" si="7"/>
        <v>0.72483221476510062</v>
      </c>
      <c r="I203">
        <f>AVERAGEIFS(Deals_Raw!$AT:$AT, $E:$E, E203, Deals_Raw!$AF:$AF, "Won")</f>
        <v>0.61267442628905355</v>
      </c>
    </row>
    <row r="204" spans="4:9">
      <c r="D204" s="8">
        <v>0.13700000000000001</v>
      </c>
      <c r="E204" t="str">
        <f>Deals_Raw!AU207</f>
        <v>10–15%</v>
      </c>
      <c r="F204" s="11">
        <f t="shared" si="6"/>
        <v>189</v>
      </c>
      <c r="G204" s="14">
        <f>COUNTIFS($E:$E,E204, Deals_Raw!AF:AF, "Won")</f>
        <v>113</v>
      </c>
      <c r="H204">
        <f t="shared" si="7"/>
        <v>0.59788359788359791</v>
      </c>
      <c r="I204">
        <f>AVERAGEIFS(Deals_Raw!$AT:$AT, $E:$E, E204, Deals_Raw!$AF:$AF, "Won")</f>
        <v>0.6036615079947677</v>
      </c>
    </row>
    <row r="205" spans="4:9">
      <c r="D205" s="8">
        <v>0.23899999999999999</v>
      </c>
      <c r="E205" t="str">
        <f>Deals_Raw!AU208</f>
        <v>20–25%</v>
      </c>
      <c r="F205" s="11">
        <f t="shared" si="6"/>
        <v>41</v>
      </c>
      <c r="G205" s="14">
        <f>COUNTIFS($E:$E,E205, Deals_Raw!AF:AF, "Won")</f>
        <v>29</v>
      </c>
      <c r="H205">
        <f t="shared" si="7"/>
        <v>0.70731707317073167</v>
      </c>
      <c r="I205">
        <f>AVERAGEIFS(Deals_Raw!$AT:$AT, $E:$E, E205, Deals_Raw!$AF:$AF, "Won")</f>
        <v>0.6163731005984544</v>
      </c>
    </row>
    <row r="206" spans="4:9">
      <c r="D206" s="8">
        <v>0.16800000000000001</v>
      </c>
      <c r="E206" t="str">
        <f>Deals_Raw!AU209</f>
        <v>15–20%</v>
      </c>
      <c r="F206" s="11">
        <f t="shared" si="6"/>
        <v>149</v>
      </c>
      <c r="G206" s="14">
        <f>COUNTIFS($E:$E,E206, Deals_Raw!AF:AF, "Won")</f>
        <v>108</v>
      </c>
      <c r="H206">
        <f t="shared" si="7"/>
        <v>0.72483221476510062</v>
      </c>
      <c r="I206">
        <f>AVERAGEIFS(Deals_Raw!$AT:$AT, $E:$E, E206, Deals_Raw!$AF:$AF, "Won")</f>
        <v>0.61267442628905355</v>
      </c>
    </row>
    <row r="207" spans="4:9">
      <c r="D207" s="8">
        <v>0.11799999999999999</v>
      </c>
      <c r="E207" t="str">
        <f>Deals_Raw!AU210</f>
        <v>10–15%</v>
      </c>
      <c r="F207" s="11">
        <f t="shared" si="6"/>
        <v>189</v>
      </c>
      <c r="G207" s="14">
        <f>COUNTIFS($E:$E,E207, Deals_Raw!AF:AF, "Won")</f>
        <v>113</v>
      </c>
      <c r="H207">
        <f t="shared" si="7"/>
        <v>0.59788359788359791</v>
      </c>
      <c r="I207">
        <f>AVERAGEIFS(Deals_Raw!$AT:$AT, $E:$E, E207, Deals_Raw!$AF:$AF, "Won")</f>
        <v>0.6036615079947677</v>
      </c>
    </row>
    <row r="208" spans="4:9">
      <c r="D208" s="8">
        <v>0.16800000000000001</v>
      </c>
      <c r="E208" t="str">
        <f>Deals_Raw!AU211</f>
        <v>15–20%</v>
      </c>
      <c r="F208" s="11">
        <f t="shared" si="6"/>
        <v>149</v>
      </c>
      <c r="G208" s="14">
        <f>COUNTIFS($E:$E,E208, Deals_Raw!AF:AF, "Won")</f>
        <v>108</v>
      </c>
      <c r="H208">
        <f t="shared" si="7"/>
        <v>0.72483221476510062</v>
      </c>
      <c r="I208">
        <f>AVERAGEIFS(Deals_Raw!$AT:$AT, $E:$E, E208, Deals_Raw!$AF:$AF, "Won")</f>
        <v>0.61267442628905355</v>
      </c>
    </row>
    <row r="209" spans="4:9">
      <c r="D209" s="8">
        <v>0.13200000000000001</v>
      </c>
      <c r="E209" t="str">
        <f>Deals_Raw!AU212</f>
        <v>10–15%</v>
      </c>
      <c r="F209" s="11">
        <f t="shared" si="6"/>
        <v>189</v>
      </c>
      <c r="G209" s="14">
        <f>COUNTIFS($E:$E,E209, Deals_Raw!AF:AF, "Won")</f>
        <v>113</v>
      </c>
      <c r="H209">
        <f t="shared" si="7"/>
        <v>0.59788359788359791</v>
      </c>
      <c r="I209">
        <f>AVERAGEIFS(Deals_Raw!$AT:$AT, $E:$E, E209, Deals_Raw!$AF:$AF, "Won")</f>
        <v>0.6036615079947677</v>
      </c>
    </row>
    <row r="210" spans="4:9">
      <c r="D210" s="8">
        <v>0.113</v>
      </c>
      <c r="E210" t="str">
        <f>Deals_Raw!AU213</f>
        <v>10–15%</v>
      </c>
      <c r="F210" s="11">
        <f t="shared" si="6"/>
        <v>189</v>
      </c>
      <c r="G210" s="14">
        <f>COUNTIFS($E:$E,E210, Deals_Raw!AF:AF, "Won")</f>
        <v>113</v>
      </c>
      <c r="H210">
        <f t="shared" si="7"/>
        <v>0.59788359788359791</v>
      </c>
      <c r="I210">
        <f>AVERAGEIFS(Deals_Raw!$AT:$AT, $E:$E, E210, Deals_Raw!$AF:$AF, "Won")</f>
        <v>0.6036615079947677</v>
      </c>
    </row>
    <row r="211" spans="4:9">
      <c r="D211" s="8">
        <v>6.6000000000000003E-2</v>
      </c>
      <c r="E211" t="str">
        <f>Deals_Raw!AU214</f>
        <v>5–10%</v>
      </c>
      <c r="F211" s="11">
        <f t="shared" si="6"/>
        <v>171</v>
      </c>
      <c r="G211" s="14">
        <f>COUNTIFS($E:$E,E211, Deals_Raw!AF:AF, "Won")</f>
        <v>116</v>
      </c>
      <c r="H211">
        <f t="shared" si="7"/>
        <v>0.67836257309941517</v>
      </c>
      <c r="I211">
        <f>AVERAGEIFS(Deals_Raw!$AT:$AT, $E:$E, E211, Deals_Raw!$AF:$AF, "Won")</f>
        <v>0.6077878084656495</v>
      </c>
    </row>
    <row r="212" spans="4:9">
      <c r="D212" s="8">
        <v>9.8000000000000004E-2</v>
      </c>
      <c r="E212" t="str">
        <f>Deals_Raw!AU215</f>
        <v>5–10%</v>
      </c>
      <c r="F212" s="11">
        <f t="shared" si="6"/>
        <v>171</v>
      </c>
      <c r="G212" s="14">
        <f>COUNTIFS($E:$E,E212, Deals_Raw!AF:AF, "Won")</f>
        <v>116</v>
      </c>
      <c r="H212">
        <f t="shared" si="7"/>
        <v>0.67836257309941517</v>
      </c>
      <c r="I212">
        <f>AVERAGEIFS(Deals_Raw!$AT:$AT, $E:$E, E212, Deals_Raw!$AF:$AF, "Won")</f>
        <v>0.6077878084656495</v>
      </c>
    </row>
    <row r="213" spans="4:9">
      <c r="D213" s="8">
        <v>0.17899999999999999</v>
      </c>
      <c r="E213" t="str">
        <f>Deals_Raw!AU216</f>
        <v>15–20%</v>
      </c>
      <c r="F213" s="11">
        <f t="shared" si="6"/>
        <v>149</v>
      </c>
      <c r="G213" s="14">
        <f>COUNTIFS($E:$E,E213, Deals_Raw!AF:AF, "Won")</f>
        <v>108</v>
      </c>
      <c r="H213">
        <f t="shared" si="7"/>
        <v>0.72483221476510062</v>
      </c>
      <c r="I213">
        <f>AVERAGEIFS(Deals_Raw!$AT:$AT, $E:$E, E213, Deals_Raw!$AF:$AF, "Won")</f>
        <v>0.61267442628905355</v>
      </c>
    </row>
    <row r="214" spans="4:9">
      <c r="D214" s="8">
        <v>0.14499999999999999</v>
      </c>
      <c r="E214" t="str">
        <f>Deals_Raw!AU217</f>
        <v>10–15%</v>
      </c>
      <c r="F214" s="11">
        <f t="shared" si="6"/>
        <v>189</v>
      </c>
      <c r="G214" s="14">
        <f>COUNTIFS($E:$E,E214, Deals_Raw!AF:AF, "Won")</f>
        <v>113</v>
      </c>
      <c r="H214">
        <f t="shared" si="7"/>
        <v>0.59788359788359791</v>
      </c>
      <c r="I214">
        <f>AVERAGEIFS(Deals_Raw!$AT:$AT, $E:$E, E214, Deals_Raw!$AF:$AF, "Won")</f>
        <v>0.6036615079947677</v>
      </c>
    </row>
    <row r="215" spans="4:9">
      <c r="D215" s="8">
        <v>0.11</v>
      </c>
      <c r="E215" t="str">
        <f>Deals_Raw!AU218</f>
        <v>10–15%</v>
      </c>
      <c r="F215" s="11">
        <f t="shared" si="6"/>
        <v>189</v>
      </c>
      <c r="G215" s="14">
        <f>COUNTIFS($E:$E,E215, Deals_Raw!AF:AF, "Won")</f>
        <v>113</v>
      </c>
      <c r="H215">
        <f t="shared" si="7"/>
        <v>0.59788359788359791</v>
      </c>
      <c r="I215">
        <f>AVERAGEIFS(Deals_Raw!$AT:$AT, $E:$E, E215, Deals_Raw!$AF:$AF, "Won")</f>
        <v>0.6036615079947677</v>
      </c>
    </row>
    <row r="216" spans="4:9">
      <c r="D216" s="8">
        <v>7.3999999999999996E-2</v>
      </c>
      <c r="E216" t="str">
        <f>Deals_Raw!AU219</f>
        <v>5–10%</v>
      </c>
      <c r="F216" s="11">
        <f t="shared" si="6"/>
        <v>171</v>
      </c>
      <c r="G216" s="14">
        <f>COUNTIFS($E:$E,E216, Deals_Raw!AF:AF, "Won")</f>
        <v>116</v>
      </c>
      <c r="H216">
        <f t="shared" si="7"/>
        <v>0.67836257309941517</v>
      </c>
      <c r="I216">
        <f>AVERAGEIFS(Deals_Raw!$AT:$AT, $E:$E, E216, Deals_Raw!$AF:$AF, "Won")</f>
        <v>0.6077878084656495</v>
      </c>
    </row>
    <row r="217" spans="4:9">
      <c r="D217" s="8">
        <v>6.8000000000000005E-2</v>
      </c>
      <c r="E217" t="str">
        <f>Deals_Raw!AU220</f>
        <v>5–10%</v>
      </c>
      <c r="F217" s="11">
        <f t="shared" si="6"/>
        <v>171</v>
      </c>
      <c r="G217" s="14">
        <f>COUNTIFS($E:$E,E217, Deals_Raw!AF:AF, "Won")</f>
        <v>116</v>
      </c>
      <c r="H217">
        <f t="shared" si="7"/>
        <v>0.67836257309941517</v>
      </c>
      <c r="I217">
        <f>AVERAGEIFS(Deals_Raw!$AT:$AT, $E:$E, E217, Deals_Raw!$AF:$AF, "Won")</f>
        <v>0.6077878084656495</v>
      </c>
    </row>
    <row r="218" spans="4:9">
      <c r="D218" s="8">
        <v>0.156</v>
      </c>
      <c r="E218" t="str">
        <f>Deals_Raw!AU221</f>
        <v>15–20%</v>
      </c>
      <c r="F218" s="11">
        <f t="shared" si="6"/>
        <v>149</v>
      </c>
      <c r="G218" s="14">
        <f>COUNTIFS($E:$E,E218, Deals_Raw!AF:AF, "Won")</f>
        <v>108</v>
      </c>
      <c r="H218">
        <f t="shared" si="7"/>
        <v>0.72483221476510062</v>
      </c>
      <c r="I218">
        <f>AVERAGEIFS(Deals_Raw!$AT:$AT, $E:$E, E218, Deals_Raw!$AF:$AF, "Won")</f>
        <v>0.61267442628905355</v>
      </c>
    </row>
    <row r="219" spans="4:9">
      <c r="D219" s="8">
        <v>0.186</v>
      </c>
      <c r="E219" t="str">
        <f>Deals_Raw!AU222</f>
        <v>15–20%</v>
      </c>
      <c r="F219" s="11">
        <f t="shared" si="6"/>
        <v>149</v>
      </c>
      <c r="G219" s="14">
        <f>COUNTIFS($E:$E,E219, Deals_Raw!AF:AF, "Won")</f>
        <v>108</v>
      </c>
      <c r="H219">
        <f t="shared" si="7"/>
        <v>0.72483221476510062</v>
      </c>
      <c r="I219">
        <f>AVERAGEIFS(Deals_Raw!$AT:$AT, $E:$E, E219, Deals_Raw!$AF:$AF, "Won")</f>
        <v>0.61267442628905355</v>
      </c>
    </row>
    <row r="220" spans="4:9">
      <c r="D220" s="8">
        <v>0.10299999999999999</v>
      </c>
      <c r="E220" t="str">
        <f>Deals_Raw!AU223</f>
        <v>10–15%</v>
      </c>
      <c r="F220" s="11">
        <f t="shared" si="6"/>
        <v>189</v>
      </c>
      <c r="G220" s="14">
        <f>COUNTIFS($E:$E,E220, Deals_Raw!AF:AF, "Won")</f>
        <v>113</v>
      </c>
      <c r="H220">
        <f t="shared" si="7"/>
        <v>0.59788359788359791</v>
      </c>
      <c r="I220">
        <f>AVERAGEIFS(Deals_Raw!$AT:$AT, $E:$E, E220, Deals_Raw!$AF:$AF, "Won")</f>
        <v>0.6036615079947677</v>
      </c>
    </row>
    <row r="221" spans="4:9">
      <c r="D221" s="8">
        <v>0.12</v>
      </c>
      <c r="E221" t="str">
        <f>Deals_Raw!AU224</f>
        <v>10–15%</v>
      </c>
      <c r="F221" s="11">
        <f t="shared" si="6"/>
        <v>189</v>
      </c>
      <c r="G221" s="14">
        <f>COUNTIFS($E:$E,E221, Deals_Raw!AF:AF, "Won")</f>
        <v>113</v>
      </c>
      <c r="H221">
        <f t="shared" si="7"/>
        <v>0.59788359788359791</v>
      </c>
      <c r="I221">
        <f>AVERAGEIFS(Deals_Raw!$AT:$AT, $E:$E, E221, Deals_Raw!$AF:$AF, "Won")</f>
        <v>0.6036615079947677</v>
      </c>
    </row>
    <row r="222" spans="4:9">
      <c r="D222" s="8">
        <v>5.8999999999999997E-2</v>
      </c>
      <c r="E222" t="str">
        <f>Deals_Raw!AU225</f>
        <v>5–10%</v>
      </c>
      <c r="F222" s="11">
        <f t="shared" si="6"/>
        <v>171</v>
      </c>
      <c r="G222" s="14">
        <f>COUNTIFS($E:$E,E222, Deals_Raw!AF:AF, "Won")</f>
        <v>116</v>
      </c>
      <c r="H222">
        <f t="shared" si="7"/>
        <v>0.67836257309941517</v>
      </c>
      <c r="I222">
        <f>AVERAGEIFS(Deals_Raw!$AT:$AT, $E:$E, E222, Deals_Raw!$AF:$AF, "Won")</f>
        <v>0.6077878084656495</v>
      </c>
    </row>
    <row r="223" spans="4:9">
      <c r="D223" s="8">
        <v>6.5000000000000002E-2</v>
      </c>
      <c r="E223" t="str">
        <f>Deals_Raw!AU226</f>
        <v>5–10%</v>
      </c>
      <c r="F223" s="11">
        <f t="shared" si="6"/>
        <v>171</v>
      </c>
      <c r="G223" s="14">
        <f>COUNTIFS($E:$E,E223, Deals_Raw!AF:AF, "Won")</f>
        <v>116</v>
      </c>
      <c r="H223">
        <f t="shared" si="7"/>
        <v>0.67836257309941517</v>
      </c>
      <c r="I223">
        <f>AVERAGEIFS(Deals_Raw!$AT:$AT, $E:$E, E223, Deals_Raw!$AF:$AF, "Won")</f>
        <v>0.6077878084656495</v>
      </c>
    </row>
    <row r="224" spans="4:9">
      <c r="D224" s="8">
        <v>0.06</v>
      </c>
      <c r="E224" t="str">
        <f>Deals_Raw!AU227</f>
        <v>5–10%</v>
      </c>
      <c r="F224" s="11">
        <f t="shared" si="6"/>
        <v>171</v>
      </c>
      <c r="G224" s="14">
        <f>COUNTIFS($E:$E,E224, Deals_Raw!AF:AF, "Won")</f>
        <v>116</v>
      </c>
      <c r="H224">
        <f t="shared" si="7"/>
        <v>0.67836257309941517</v>
      </c>
      <c r="I224">
        <f>AVERAGEIFS(Deals_Raw!$AT:$AT, $E:$E, E224, Deals_Raw!$AF:$AF, "Won")</f>
        <v>0.6077878084656495</v>
      </c>
    </row>
    <row r="225" spans="4:9">
      <c r="D225" s="8">
        <v>0.154</v>
      </c>
      <c r="E225" t="str">
        <f>Deals_Raw!AU228</f>
        <v>15–20%</v>
      </c>
      <c r="F225" s="11">
        <f t="shared" si="6"/>
        <v>149</v>
      </c>
      <c r="G225" s="14">
        <f>COUNTIFS($E:$E,E225, Deals_Raw!AF:AF, "Won")</f>
        <v>108</v>
      </c>
      <c r="H225">
        <f t="shared" si="7"/>
        <v>0.72483221476510062</v>
      </c>
      <c r="I225">
        <f>AVERAGEIFS(Deals_Raw!$AT:$AT, $E:$E, E225, Deals_Raw!$AF:$AF, "Won")</f>
        <v>0.61267442628905355</v>
      </c>
    </row>
    <row r="226" spans="4:9">
      <c r="D226" s="8">
        <v>0.182</v>
      </c>
      <c r="E226" t="str">
        <f>Deals_Raw!AU229</f>
        <v>15–20%</v>
      </c>
      <c r="F226" s="11">
        <f t="shared" si="6"/>
        <v>149</v>
      </c>
      <c r="G226" s="14">
        <f>COUNTIFS($E:$E,E226, Deals_Raw!AF:AF, "Won")</f>
        <v>108</v>
      </c>
      <c r="H226">
        <f t="shared" si="7"/>
        <v>0.72483221476510062</v>
      </c>
      <c r="I226">
        <f>AVERAGEIFS(Deals_Raw!$AT:$AT, $E:$E, E226, Deals_Raw!$AF:$AF, "Won")</f>
        <v>0.61267442628905355</v>
      </c>
    </row>
    <row r="227" spans="4:9">
      <c r="D227" s="8">
        <v>0.04</v>
      </c>
      <c r="E227" t="str">
        <f>Deals_Raw!AU230</f>
        <v>0–5%</v>
      </c>
      <c r="F227" s="11">
        <f t="shared" si="6"/>
        <v>79</v>
      </c>
      <c r="G227" s="14">
        <f>COUNTIFS($E:$E,E227, Deals_Raw!AF:AF, "Won")</f>
        <v>55</v>
      </c>
      <c r="H227">
        <f t="shared" si="7"/>
        <v>0.69620253164556967</v>
      </c>
      <c r="I227">
        <f>AVERAGEIFS(Deals_Raw!$AT:$AT, $E:$E, E227, Deals_Raw!$AF:$AF, "Won")</f>
        <v>0.61352612210738522</v>
      </c>
    </row>
    <row r="228" spans="4:9">
      <c r="D228" s="8">
        <v>0.16400000000000001</v>
      </c>
      <c r="E228" t="str">
        <f>Deals_Raw!AU231</f>
        <v>15–20%</v>
      </c>
      <c r="F228" s="11">
        <f t="shared" si="6"/>
        <v>149</v>
      </c>
      <c r="G228" s="14">
        <f>COUNTIFS($E:$E,E228, Deals_Raw!AF:AF, "Won")</f>
        <v>108</v>
      </c>
      <c r="H228">
        <f t="shared" si="7"/>
        <v>0.72483221476510062</v>
      </c>
      <c r="I228">
        <f>AVERAGEIFS(Deals_Raw!$AT:$AT, $E:$E, E228, Deals_Raw!$AF:$AF, "Won")</f>
        <v>0.61267442628905355</v>
      </c>
    </row>
    <row r="229" spans="4:9">
      <c r="D229" s="8">
        <v>0.14599999999999999</v>
      </c>
      <c r="E229" t="str">
        <f>Deals_Raw!AU232</f>
        <v>10–15%</v>
      </c>
      <c r="F229" s="11">
        <f t="shared" si="6"/>
        <v>189</v>
      </c>
      <c r="G229" s="14">
        <f>COUNTIFS($E:$E,E229, Deals_Raw!AF:AF, "Won")</f>
        <v>113</v>
      </c>
      <c r="H229">
        <f t="shared" si="7"/>
        <v>0.59788359788359791</v>
      </c>
      <c r="I229">
        <f>AVERAGEIFS(Deals_Raw!$AT:$AT, $E:$E, E229, Deals_Raw!$AF:$AF, "Won")</f>
        <v>0.6036615079947677</v>
      </c>
    </row>
    <row r="230" spans="4:9">
      <c r="D230" s="8">
        <v>0.06</v>
      </c>
      <c r="E230" t="str">
        <f>Deals_Raw!AU233</f>
        <v>5–10%</v>
      </c>
      <c r="F230" s="11">
        <f t="shared" si="6"/>
        <v>171</v>
      </c>
      <c r="G230" s="14">
        <f>COUNTIFS($E:$E,E230, Deals_Raw!AF:AF, "Won")</f>
        <v>116</v>
      </c>
      <c r="H230">
        <f t="shared" si="7"/>
        <v>0.67836257309941517</v>
      </c>
      <c r="I230">
        <f>AVERAGEIFS(Deals_Raw!$AT:$AT, $E:$E, E230, Deals_Raw!$AF:$AF, "Won")</f>
        <v>0.6077878084656495</v>
      </c>
    </row>
    <row r="231" spans="4:9">
      <c r="D231" s="8">
        <v>1.7000000000000001E-2</v>
      </c>
      <c r="E231" t="str">
        <f>Deals_Raw!AU234</f>
        <v>0–5%</v>
      </c>
      <c r="F231" s="11">
        <f t="shared" si="6"/>
        <v>79</v>
      </c>
      <c r="G231" s="14">
        <f>COUNTIFS($E:$E,E231, Deals_Raw!AF:AF, "Won")</f>
        <v>55</v>
      </c>
      <c r="H231">
        <f t="shared" si="7"/>
        <v>0.69620253164556967</v>
      </c>
      <c r="I231">
        <f>AVERAGEIFS(Deals_Raw!$AT:$AT, $E:$E, E231, Deals_Raw!$AF:$AF, "Won")</f>
        <v>0.61352612210738522</v>
      </c>
    </row>
    <row r="232" spans="4:9">
      <c r="D232" s="8">
        <v>0.25800000000000001</v>
      </c>
      <c r="E232" t="str">
        <f>Deals_Raw!AU235</f>
        <v>25–30%</v>
      </c>
      <c r="F232" s="11">
        <f t="shared" si="6"/>
        <v>7</v>
      </c>
      <c r="G232" s="14">
        <f>COUNTIFS($E:$E,E232, Deals_Raw!AF:AF, "Won")</f>
        <v>3</v>
      </c>
      <c r="H232">
        <f t="shared" si="7"/>
        <v>0.42857142857142855</v>
      </c>
      <c r="I232">
        <f>AVERAGEIFS(Deals_Raw!$AT:$AT, $E:$E, E232, Deals_Raw!$AF:$AF, "Won")</f>
        <v>0.60970059861072146</v>
      </c>
    </row>
    <row r="233" spans="4:9">
      <c r="D233" s="8">
        <v>0.14699999999999999</v>
      </c>
      <c r="E233" t="str">
        <f>Deals_Raw!AU236</f>
        <v>10–15%</v>
      </c>
      <c r="F233" s="11">
        <f t="shared" si="6"/>
        <v>189</v>
      </c>
      <c r="G233" s="14">
        <f>COUNTIFS($E:$E,E233, Deals_Raw!AF:AF, "Won")</f>
        <v>113</v>
      </c>
      <c r="H233">
        <f t="shared" si="7"/>
        <v>0.59788359788359791</v>
      </c>
      <c r="I233">
        <f>AVERAGEIFS(Deals_Raw!$AT:$AT, $E:$E, E233, Deals_Raw!$AF:$AF, "Won")</f>
        <v>0.6036615079947677</v>
      </c>
    </row>
    <row r="234" spans="4:9">
      <c r="D234" s="8">
        <v>8.2000000000000003E-2</v>
      </c>
      <c r="E234" t="str">
        <f>Deals_Raw!AU237</f>
        <v>5–10%</v>
      </c>
      <c r="F234" s="11">
        <f t="shared" si="6"/>
        <v>171</v>
      </c>
      <c r="G234" s="14">
        <f>COUNTIFS($E:$E,E234, Deals_Raw!AF:AF, "Won")</f>
        <v>116</v>
      </c>
      <c r="H234">
        <f t="shared" si="7"/>
        <v>0.67836257309941517</v>
      </c>
      <c r="I234">
        <f>AVERAGEIFS(Deals_Raw!$AT:$AT, $E:$E, E234, Deals_Raw!$AF:$AF, "Won")</f>
        <v>0.6077878084656495</v>
      </c>
    </row>
    <row r="235" spans="4:9">
      <c r="D235" s="8">
        <v>0.189</v>
      </c>
      <c r="E235" t="str">
        <f>Deals_Raw!AU238</f>
        <v>15–20%</v>
      </c>
      <c r="F235" s="11">
        <f t="shared" si="6"/>
        <v>149</v>
      </c>
      <c r="G235" s="14">
        <f>COUNTIFS($E:$E,E235, Deals_Raw!AF:AF, "Won")</f>
        <v>108</v>
      </c>
      <c r="H235">
        <f t="shared" si="7"/>
        <v>0.72483221476510062</v>
      </c>
      <c r="I235">
        <f>AVERAGEIFS(Deals_Raw!$AT:$AT, $E:$E, E235, Deals_Raw!$AF:$AF, "Won")</f>
        <v>0.61267442628905355</v>
      </c>
    </row>
    <row r="236" spans="4:9">
      <c r="D236" s="8">
        <v>0.14099999999999999</v>
      </c>
      <c r="E236" t="str">
        <f>Deals_Raw!AU239</f>
        <v>10–15%</v>
      </c>
      <c r="F236" s="11">
        <f t="shared" si="6"/>
        <v>189</v>
      </c>
      <c r="G236" s="14">
        <f>COUNTIFS($E:$E,E236, Deals_Raw!AF:AF, "Won")</f>
        <v>113</v>
      </c>
      <c r="H236">
        <f t="shared" si="7"/>
        <v>0.59788359788359791</v>
      </c>
      <c r="I236">
        <f>AVERAGEIFS(Deals_Raw!$AT:$AT, $E:$E, E236, Deals_Raw!$AF:$AF, "Won")</f>
        <v>0.6036615079947677</v>
      </c>
    </row>
    <row r="237" spans="4:9">
      <c r="D237" s="8">
        <v>0.158</v>
      </c>
      <c r="E237" t="str">
        <f>Deals_Raw!AU240</f>
        <v>15–20%</v>
      </c>
      <c r="F237" s="11">
        <f t="shared" si="6"/>
        <v>149</v>
      </c>
      <c r="G237" s="14">
        <f>COUNTIFS($E:$E,E237, Deals_Raw!AF:AF, "Won")</f>
        <v>108</v>
      </c>
      <c r="H237">
        <f t="shared" si="7"/>
        <v>0.72483221476510062</v>
      </c>
      <c r="I237">
        <f>AVERAGEIFS(Deals_Raw!$AT:$AT, $E:$E, E237, Deals_Raw!$AF:$AF, "Won")</f>
        <v>0.61267442628905355</v>
      </c>
    </row>
    <row r="238" spans="4:9">
      <c r="D238" s="8">
        <v>1.9E-2</v>
      </c>
      <c r="E238" t="str">
        <f>Deals_Raw!AU241</f>
        <v>0–5%</v>
      </c>
      <c r="F238" s="11">
        <f t="shared" si="6"/>
        <v>79</v>
      </c>
      <c r="G238" s="14">
        <f>COUNTIFS($E:$E,E238, Deals_Raw!AF:AF, "Won")</f>
        <v>55</v>
      </c>
      <c r="H238">
        <f t="shared" si="7"/>
        <v>0.69620253164556967</v>
      </c>
      <c r="I238">
        <f>AVERAGEIFS(Deals_Raw!$AT:$AT, $E:$E, E238, Deals_Raw!$AF:$AF, "Won")</f>
        <v>0.61352612210738522</v>
      </c>
    </row>
    <row r="239" spans="4:9">
      <c r="D239" s="8">
        <v>0.122</v>
      </c>
      <c r="E239" t="str">
        <f>Deals_Raw!AU242</f>
        <v>10–15%</v>
      </c>
      <c r="F239" s="11">
        <f t="shared" si="6"/>
        <v>189</v>
      </c>
      <c r="G239" s="14">
        <f>COUNTIFS($E:$E,E239, Deals_Raw!AF:AF, "Won")</f>
        <v>113</v>
      </c>
      <c r="H239">
        <f t="shared" si="7"/>
        <v>0.59788359788359791</v>
      </c>
      <c r="I239">
        <f>AVERAGEIFS(Deals_Raw!$AT:$AT, $E:$E, E239, Deals_Raw!$AF:$AF, "Won")</f>
        <v>0.6036615079947677</v>
      </c>
    </row>
    <row r="240" spans="4:9">
      <c r="D240" s="8">
        <v>0.129</v>
      </c>
      <c r="E240" t="str">
        <f>Deals_Raw!AU243</f>
        <v>10–15%</v>
      </c>
      <c r="F240" s="11">
        <f t="shared" si="6"/>
        <v>189</v>
      </c>
      <c r="G240" s="14">
        <f>COUNTIFS($E:$E,E240, Deals_Raw!AF:AF, "Won")</f>
        <v>113</v>
      </c>
      <c r="H240">
        <f t="shared" si="7"/>
        <v>0.59788359788359791</v>
      </c>
      <c r="I240">
        <f>AVERAGEIFS(Deals_Raw!$AT:$AT, $E:$E, E240, Deals_Raw!$AF:$AF, "Won")</f>
        <v>0.6036615079947677</v>
      </c>
    </row>
    <row r="241" spans="4:9">
      <c r="D241" s="8">
        <v>0.115</v>
      </c>
      <c r="E241" t="str">
        <f>Deals_Raw!AU244</f>
        <v>10–15%</v>
      </c>
      <c r="F241" s="11">
        <f t="shared" si="6"/>
        <v>189</v>
      </c>
      <c r="G241" s="14">
        <f>COUNTIFS($E:$E,E241, Deals_Raw!AF:AF, "Won")</f>
        <v>113</v>
      </c>
      <c r="H241">
        <f t="shared" si="7"/>
        <v>0.59788359788359791</v>
      </c>
      <c r="I241">
        <f>AVERAGEIFS(Deals_Raw!$AT:$AT, $E:$E, E241, Deals_Raw!$AF:$AF, "Won")</f>
        <v>0.6036615079947677</v>
      </c>
    </row>
    <row r="242" spans="4:9">
      <c r="D242" s="8">
        <v>0.13300000000000001</v>
      </c>
      <c r="E242" t="str">
        <f>Deals_Raw!AU245</f>
        <v>10–15%</v>
      </c>
      <c r="F242" s="11">
        <f t="shared" si="6"/>
        <v>189</v>
      </c>
      <c r="G242" s="14">
        <f>COUNTIFS($E:$E,E242, Deals_Raw!AF:AF, "Won")</f>
        <v>113</v>
      </c>
      <c r="H242">
        <f t="shared" si="7"/>
        <v>0.59788359788359791</v>
      </c>
      <c r="I242">
        <f>AVERAGEIFS(Deals_Raw!$AT:$AT, $E:$E, E242, Deals_Raw!$AF:$AF, "Won")</f>
        <v>0.6036615079947677</v>
      </c>
    </row>
    <row r="243" spans="4:9">
      <c r="D243" s="8">
        <v>3.9E-2</v>
      </c>
      <c r="E243" t="str">
        <f>Deals_Raw!AU246</f>
        <v>0–5%</v>
      </c>
      <c r="F243" s="11">
        <f t="shared" si="6"/>
        <v>79</v>
      </c>
      <c r="G243" s="14">
        <f>COUNTIFS($E:$E,E243, Deals_Raw!AF:AF, "Won")</f>
        <v>55</v>
      </c>
      <c r="H243">
        <f t="shared" si="7"/>
        <v>0.69620253164556967</v>
      </c>
      <c r="I243">
        <f>AVERAGEIFS(Deals_Raw!$AT:$AT, $E:$E, E243, Deals_Raw!$AF:$AF, "Won")</f>
        <v>0.61352612210738522</v>
      </c>
    </row>
    <row r="244" spans="4:9">
      <c r="D244" s="8">
        <v>0.20699999999999999</v>
      </c>
      <c r="E244" t="str">
        <f>Deals_Raw!AU247</f>
        <v>20–25%</v>
      </c>
      <c r="F244" s="11">
        <f t="shared" si="6"/>
        <v>41</v>
      </c>
      <c r="G244" s="14">
        <f>COUNTIFS($E:$E,E244, Deals_Raw!AF:AF, "Won")</f>
        <v>29</v>
      </c>
      <c r="H244">
        <f t="shared" si="7"/>
        <v>0.70731707317073167</v>
      </c>
      <c r="I244">
        <f>AVERAGEIFS(Deals_Raw!$AT:$AT, $E:$E, E244, Deals_Raw!$AF:$AF, "Won")</f>
        <v>0.6163731005984544</v>
      </c>
    </row>
    <row r="245" spans="4:9">
      <c r="D245" s="8">
        <v>5.7000000000000002E-2</v>
      </c>
      <c r="E245" t="str">
        <f>Deals_Raw!AU248</f>
        <v>5–10%</v>
      </c>
      <c r="F245" s="11">
        <f t="shared" si="6"/>
        <v>171</v>
      </c>
      <c r="G245" s="14">
        <f>COUNTIFS($E:$E,E245, Deals_Raw!AF:AF, "Won")</f>
        <v>116</v>
      </c>
      <c r="H245">
        <f t="shared" si="7"/>
        <v>0.67836257309941517</v>
      </c>
      <c r="I245">
        <f>AVERAGEIFS(Deals_Raw!$AT:$AT, $E:$E, E245, Deals_Raw!$AF:$AF, "Won")</f>
        <v>0.6077878084656495</v>
      </c>
    </row>
    <row r="246" spans="4:9">
      <c r="D246" s="8">
        <v>0.123</v>
      </c>
      <c r="E246" t="str">
        <f>Deals_Raw!AU249</f>
        <v>10–15%</v>
      </c>
      <c r="F246" s="11">
        <f t="shared" si="6"/>
        <v>189</v>
      </c>
      <c r="G246" s="14">
        <f>COUNTIFS($E:$E,E246, Deals_Raw!AF:AF, "Won")</f>
        <v>113</v>
      </c>
      <c r="H246">
        <f t="shared" si="7"/>
        <v>0.59788359788359791</v>
      </c>
      <c r="I246">
        <f>AVERAGEIFS(Deals_Raw!$AT:$AT, $E:$E, E246, Deals_Raw!$AF:$AF, "Won")</f>
        <v>0.6036615079947677</v>
      </c>
    </row>
    <row r="247" spans="4:9">
      <c r="D247" s="8">
        <v>8.5000000000000006E-2</v>
      </c>
      <c r="E247" t="str">
        <f>Deals_Raw!AU250</f>
        <v>5–10%</v>
      </c>
      <c r="F247" s="11">
        <f t="shared" si="6"/>
        <v>171</v>
      </c>
      <c r="G247" s="14">
        <f>COUNTIFS($E:$E,E247, Deals_Raw!AF:AF, "Won")</f>
        <v>116</v>
      </c>
      <c r="H247">
        <f t="shared" si="7"/>
        <v>0.67836257309941517</v>
      </c>
      <c r="I247">
        <f>AVERAGEIFS(Deals_Raw!$AT:$AT, $E:$E, E247, Deals_Raw!$AF:$AF, "Won")</f>
        <v>0.6077878084656495</v>
      </c>
    </row>
    <row r="248" spans="4:9">
      <c r="D248" s="8">
        <v>0.115</v>
      </c>
      <c r="E248" t="str">
        <f>Deals_Raw!AU251</f>
        <v>10–15%</v>
      </c>
      <c r="F248" s="11">
        <f t="shared" si="6"/>
        <v>189</v>
      </c>
      <c r="G248" s="14">
        <f>COUNTIFS($E:$E,E248, Deals_Raw!AF:AF, "Won")</f>
        <v>113</v>
      </c>
      <c r="H248">
        <f t="shared" si="7"/>
        <v>0.59788359788359791</v>
      </c>
      <c r="I248">
        <f>AVERAGEIFS(Deals_Raw!$AT:$AT, $E:$E, E248, Deals_Raw!$AF:$AF, "Won")</f>
        <v>0.6036615079947677</v>
      </c>
    </row>
    <row r="249" spans="4:9">
      <c r="D249" s="8">
        <v>0.10199999999999999</v>
      </c>
      <c r="E249" t="str">
        <f>Deals_Raw!AU252</f>
        <v>10–15%</v>
      </c>
      <c r="F249" s="11">
        <f t="shared" si="6"/>
        <v>189</v>
      </c>
      <c r="G249" s="14">
        <f>COUNTIFS($E:$E,E249, Deals_Raw!AF:AF, "Won")</f>
        <v>113</v>
      </c>
      <c r="H249">
        <f t="shared" si="7"/>
        <v>0.59788359788359791</v>
      </c>
      <c r="I249">
        <f>AVERAGEIFS(Deals_Raw!$AT:$AT, $E:$E, E249, Deals_Raw!$AF:$AF, "Won")</f>
        <v>0.6036615079947677</v>
      </c>
    </row>
    <row r="250" spans="4:9">
      <c r="D250" s="8">
        <v>0.106</v>
      </c>
      <c r="E250" t="str">
        <f>Deals_Raw!AU253</f>
        <v>10–15%</v>
      </c>
      <c r="F250" s="11">
        <f t="shared" si="6"/>
        <v>189</v>
      </c>
      <c r="G250" s="14">
        <f>COUNTIFS($E:$E,E250, Deals_Raw!AF:AF, "Won")</f>
        <v>113</v>
      </c>
      <c r="H250">
        <f t="shared" si="7"/>
        <v>0.59788359788359791</v>
      </c>
      <c r="I250">
        <f>AVERAGEIFS(Deals_Raw!$AT:$AT, $E:$E, E250, Deals_Raw!$AF:$AF, "Won")</f>
        <v>0.6036615079947677</v>
      </c>
    </row>
    <row r="251" spans="4:9">
      <c r="D251" s="8">
        <v>0.111</v>
      </c>
      <c r="E251" t="str">
        <f>Deals_Raw!AU254</f>
        <v>10–15%</v>
      </c>
      <c r="F251" s="11">
        <f t="shared" si="6"/>
        <v>189</v>
      </c>
      <c r="G251" s="14">
        <f>COUNTIFS($E:$E,E251, Deals_Raw!AF:AF, "Won")</f>
        <v>113</v>
      </c>
      <c r="H251">
        <f t="shared" si="7"/>
        <v>0.59788359788359791</v>
      </c>
      <c r="I251">
        <f>AVERAGEIFS(Deals_Raw!$AT:$AT, $E:$E, E251, Deals_Raw!$AF:$AF, "Won")</f>
        <v>0.6036615079947677</v>
      </c>
    </row>
    <row r="252" spans="4:9">
      <c r="D252" s="8">
        <v>0.125</v>
      </c>
      <c r="E252" t="str">
        <f>Deals_Raw!AU255</f>
        <v>10–15%</v>
      </c>
      <c r="F252" s="11">
        <f t="shared" si="6"/>
        <v>189</v>
      </c>
      <c r="G252" s="14">
        <f>COUNTIFS($E:$E,E252, Deals_Raw!AF:AF, "Won")</f>
        <v>113</v>
      </c>
      <c r="H252">
        <f t="shared" si="7"/>
        <v>0.59788359788359791</v>
      </c>
      <c r="I252">
        <f>AVERAGEIFS(Deals_Raw!$AT:$AT, $E:$E, E252, Deals_Raw!$AF:$AF, "Won")</f>
        <v>0.6036615079947677</v>
      </c>
    </row>
    <row r="253" spans="4:9">
      <c r="D253" s="8">
        <v>0.109</v>
      </c>
      <c r="E253" t="str">
        <f>Deals_Raw!AU256</f>
        <v>10–15%</v>
      </c>
      <c r="F253" s="11">
        <f t="shared" si="6"/>
        <v>189</v>
      </c>
      <c r="G253" s="14">
        <f>COUNTIFS($E:$E,E253, Deals_Raw!AF:AF, "Won")</f>
        <v>113</v>
      </c>
      <c r="H253">
        <f t="shared" si="7"/>
        <v>0.59788359788359791</v>
      </c>
      <c r="I253">
        <f>AVERAGEIFS(Deals_Raw!$AT:$AT, $E:$E, E253, Deals_Raw!$AF:$AF, "Won")</f>
        <v>0.6036615079947677</v>
      </c>
    </row>
    <row r="254" spans="4:9">
      <c r="D254" s="8">
        <v>0.155</v>
      </c>
      <c r="E254" t="str">
        <f>Deals_Raw!AU257</f>
        <v>15–20%</v>
      </c>
      <c r="F254" s="11">
        <f t="shared" si="6"/>
        <v>149</v>
      </c>
      <c r="G254" s="14">
        <f>COUNTIFS($E:$E,E254, Deals_Raw!AF:AF, "Won")</f>
        <v>108</v>
      </c>
      <c r="H254">
        <f t="shared" si="7"/>
        <v>0.72483221476510062</v>
      </c>
      <c r="I254">
        <f>AVERAGEIFS(Deals_Raw!$AT:$AT, $E:$E, E254, Deals_Raw!$AF:$AF, "Won")</f>
        <v>0.61267442628905355</v>
      </c>
    </row>
    <row r="255" spans="4:9">
      <c r="D255" s="8">
        <v>0</v>
      </c>
      <c r="E255" t="str">
        <f>Deals_Raw!AU258</f>
        <v>0–5%</v>
      </c>
      <c r="F255" s="11">
        <f t="shared" si="6"/>
        <v>79</v>
      </c>
      <c r="G255" s="14">
        <f>COUNTIFS($E:$E,E255, Deals_Raw!AF:AF, "Won")</f>
        <v>55</v>
      </c>
      <c r="H255">
        <f t="shared" si="7"/>
        <v>0.69620253164556967</v>
      </c>
      <c r="I255">
        <f>AVERAGEIFS(Deals_Raw!$AT:$AT, $E:$E, E255, Deals_Raw!$AF:$AF, "Won")</f>
        <v>0.61352612210738522</v>
      </c>
    </row>
    <row r="256" spans="4:9">
      <c r="D256" s="8">
        <v>0.14899999999999999</v>
      </c>
      <c r="E256" t="str">
        <f>Deals_Raw!AU259</f>
        <v>10–15%</v>
      </c>
      <c r="F256" s="11">
        <f t="shared" si="6"/>
        <v>189</v>
      </c>
      <c r="G256" s="14">
        <f>COUNTIFS($E:$E,E256, Deals_Raw!AF:AF, "Won")</f>
        <v>113</v>
      </c>
      <c r="H256">
        <f t="shared" si="7"/>
        <v>0.59788359788359791</v>
      </c>
      <c r="I256">
        <f>AVERAGEIFS(Deals_Raw!$AT:$AT, $E:$E, E256, Deals_Raw!$AF:$AF, "Won")</f>
        <v>0.6036615079947677</v>
      </c>
    </row>
    <row r="257" spans="4:9">
      <c r="D257" s="8">
        <v>0.14399999999999999</v>
      </c>
      <c r="E257" t="str">
        <f>Deals_Raw!AU260</f>
        <v>10–15%</v>
      </c>
      <c r="F257" s="11">
        <f t="shared" si="6"/>
        <v>189</v>
      </c>
      <c r="G257" s="14">
        <f>COUNTIFS($E:$E,E257, Deals_Raw!AF:AF, "Won")</f>
        <v>113</v>
      </c>
      <c r="H257">
        <f t="shared" si="7"/>
        <v>0.59788359788359791</v>
      </c>
      <c r="I257">
        <f>AVERAGEIFS(Deals_Raw!$AT:$AT, $E:$E, E257, Deals_Raw!$AF:$AF, "Won")</f>
        <v>0.6036615079947677</v>
      </c>
    </row>
    <row r="258" spans="4:9">
      <c r="D258" s="8">
        <v>0.21199999999999999</v>
      </c>
      <c r="E258" t="str">
        <f>Deals_Raw!AU261</f>
        <v>20–25%</v>
      </c>
      <c r="F258" s="11">
        <f t="shared" ref="F258:F321" si="8">COUNTIF($E:$E,E258)</f>
        <v>41</v>
      </c>
      <c r="G258" s="14">
        <f>COUNTIFS($E:$E,E258, Deals_Raw!AF:AF, "Won")</f>
        <v>29</v>
      </c>
      <c r="H258">
        <f t="shared" si="7"/>
        <v>0.70731707317073167</v>
      </c>
      <c r="I258">
        <f>AVERAGEIFS(Deals_Raw!$AT:$AT, $E:$E, E258, Deals_Raw!$AF:$AF, "Won")</f>
        <v>0.6163731005984544</v>
      </c>
    </row>
    <row r="259" spans="4:9">
      <c r="D259" s="8">
        <v>0.12</v>
      </c>
      <c r="E259" t="str">
        <f>Deals_Raw!AU262</f>
        <v>10–15%</v>
      </c>
      <c r="F259" s="11">
        <f t="shared" si="8"/>
        <v>189</v>
      </c>
      <c r="G259" s="14">
        <f>COUNTIFS($E:$E,E259, Deals_Raw!AF:AF, "Won")</f>
        <v>113</v>
      </c>
      <c r="H259">
        <f t="shared" ref="H259:H322" si="9">G259/F259</f>
        <v>0.59788359788359791</v>
      </c>
      <c r="I259">
        <f>AVERAGEIFS(Deals_Raw!$AT:$AT, $E:$E, E259, Deals_Raw!$AF:$AF, "Won")</f>
        <v>0.6036615079947677</v>
      </c>
    </row>
    <row r="260" spans="4:9">
      <c r="D260" s="8">
        <v>5.0999999999999997E-2</v>
      </c>
      <c r="E260" t="str">
        <f>Deals_Raw!AU263</f>
        <v>5–10%</v>
      </c>
      <c r="F260" s="11">
        <f t="shared" si="8"/>
        <v>171</v>
      </c>
      <c r="G260" s="14">
        <f>COUNTIFS($E:$E,E260, Deals_Raw!AF:AF, "Won")</f>
        <v>116</v>
      </c>
      <c r="H260">
        <f t="shared" si="9"/>
        <v>0.67836257309941517</v>
      </c>
      <c r="I260">
        <f>AVERAGEIFS(Deals_Raw!$AT:$AT, $E:$E, E260, Deals_Raw!$AF:$AF, "Won")</f>
        <v>0.6077878084656495</v>
      </c>
    </row>
    <row r="261" spans="4:9">
      <c r="D261" s="8">
        <v>8.5999999999999993E-2</v>
      </c>
      <c r="E261" t="str">
        <f>Deals_Raw!AU264</f>
        <v>5–10%</v>
      </c>
      <c r="F261" s="11">
        <f t="shared" si="8"/>
        <v>171</v>
      </c>
      <c r="G261" s="14">
        <f>COUNTIFS($E:$E,E261, Deals_Raw!AF:AF, "Won")</f>
        <v>116</v>
      </c>
      <c r="H261">
        <f t="shared" si="9"/>
        <v>0.67836257309941517</v>
      </c>
      <c r="I261">
        <f>AVERAGEIFS(Deals_Raw!$AT:$AT, $E:$E, E261, Deals_Raw!$AF:$AF, "Won")</f>
        <v>0.6077878084656495</v>
      </c>
    </row>
    <row r="262" spans="4:9">
      <c r="D262" s="8">
        <v>0.17</v>
      </c>
      <c r="E262" t="str">
        <f>Deals_Raw!AU265</f>
        <v>15–20%</v>
      </c>
      <c r="F262" s="11">
        <f t="shared" si="8"/>
        <v>149</v>
      </c>
      <c r="G262" s="14">
        <f>COUNTIFS($E:$E,E262, Deals_Raw!AF:AF, "Won")</f>
        <v>108</v>
      </c>
      <c r="H262">
        <f t="shared" si="9"/>
        <v>0.72483221476510062</v>
      </c>
      <c r="I262">
        <f>AVERAGEIFS(Deals_Raw!$AT:$AT, $E:$E, E262, Deals_Raw!$AF:$AF, "Won")</f>
        <v>0.61267442628905355</v>
      </c>
    </row>
    <row r="263" spans="4:9">
      <c r="D263" s="8">
        <v>0.123</v>
      </c>
      <c r="E263" t="str">
        <f>Deals_Raw!AU266</f>
        <v>10–15%</v>
      </c>
      <c r="F263" s="11">
        <f t="shared" si="8"/>
        <v>189</v>
      </c>
      <c r="G263" s="14">
        <f>COUNTIFS($E:$E,E263, Deals_Raw!AF:AF, "Won")</f>
        <v>113</v>
      </c>
      <c r="H263">
        <f t="shared" si="9"/>
        <v>0.59788359788359791</v>
      </c>
      <c r="I263">
        <f>AVERAGEIFS(Deals_Raw!$AT:$AT, $E:$E, E263, Deals_Raw!$AF:$AF, "Won")</f>
        <v>0.6036615079947677</v>
      </c>
    </row>
    <row r="264" spans="4:9">
      <c r="D264" s="8">
        <v>0.122</v>
      </c>
      <c r="E264" t="str">
        <f>Deals_Raw!AU267</f>
        <v>10–15%</v>
      </c>
      <c r="F264" s="11">
        <f t="shared" si="8"/>
        <v>189</v>
      </c>
      <c r="G264" s="14">
        <f>COUNTIFS($E:$E,E264, Deals_Raw!AF:AF, "Won")</f>
        <v>113</v>
      </c>
      <c r="H264">
        <f t="shared" si="9"/>
        <v>0.59788359788359791</v>
      </c>
      <c r="I264">
        <f>AVERAGEIFS(Deals_Raw!$AT:$AT, $E:$E, E264, Deals_Raw!$AF:$AF, "Won")</f>
        <v>0.6036615079947677</v>
      </c>
    </row>
    <row r="265" spans="4:9">
      <c r="D265" s="8">
        <v>0.11799999999999999</v>
      </c>
      <c r="E265" t="str">
        <f>Deals_Raw!AU268</f>
        <v>10–15%</v>
      </c>
      <c r="F265" s="11">
        <f t="shared" si="8"/>
        <v>189</v>
      </c>
      <c r="G265" s="14">
        <f>COUNTIFS($E:$E,E265, Deals_Raw!AF:AF, "Won")</f>
        <v>113</v>
      </c>
      <c r="H265">
        <f t="shared" si="9"/>
        <v>0.59788359788359791</v>
      </c>
      <c r="I265">
        <f>AVERAGEIFS(Deals_Raw!$AT:$AT, $E:$E, E265, Deals_Raw!$AF:$AF, "Won")</f>
        <v>0.6036615079947677</v>
      </c>
    </row>
    <row r="266" spans="4:9">
      <c r="D266" s="8">
        <v>9.7000000000000003E-2</v>
      </c>
      <c r="E266" t="str">
        <f>Deals_Raw!AU269</f>
        <v>5–10%</v>
      </c>
      <c r="F266" s="11">
        <f t="shared" si="8"/>
        <v>171</v>
      </c>
      <c r="G266" s="14">
        <f>COUNTIFS($E:$E,E266, Deals_Raw!AF:AF, "Won")</f>
        <v>116</v>
      </c>
      <c r="H266">
        <f t="shared" si="9"/>
        <v>0.67836257309941517</v>
      </c>
      <c r="I266">
        <f>AVERAGEIFS(Deals_Raw!$AT:$AT, $E:$E, E266, Deals_Raw!$AF:$AF, "Won")</f>
        <v>0.6077878084656495</v>
      </c>
    </row>
    <row r="267" spans="4:9">
      <c r="D267" s="8">
        <v>0</v>
      </c>
      <c r="E267" t="str">
        <f>Deals_Raw!AU270</f>
        <v>0–5%</v>
      </c>
      <c r="F267" s="11">
        <f t="shared" si="8"/>
        <v>79</v>
      </c>
      <c r="G267" s="14">
        <f>COUNTIFS($E:$E,E267, Deals_Raw!AF:AF, "Won")</f>
        <v>55</v>
      </c>
      <c r="H267">
        <f t="shared" si="9"/>
        <v>0.69620253164556967</v>
      </c>
      <c r="I267">
        <f>AVERAGEIFS(Deals_Raw!$AT:$AT, $E:$E, E267, Deals_Raw!$AF:$AF, "Won")</f>
        <v>0.61352612210738522</v>
      </c>
    </row>
    <row r="268" spans="4:9">
      <c r="D268" s="8">
        <v>7.2999999999999995E-2</v>
      </c>
      <c r="E268" t="str">
        <f>Deals_Raw!AU271</f>
        <v>5–10%</v>
      </c>
      <c r="F268" s="11">
        <f t="shared" si="8"/>
        <v>171</v>
      </c>
      <c r="G268" s="14">
        <f>COUNTIFS($E:$E,E268, Deals_Raw!AF:AF, "Won")</f>
        <v>116</v>
      </c>
      <c r="H268">
        <f t="shared" si="9"/>
        <v>0.67836257309941517</v>
      </c>
      <c r="I268">
        <f>AVERAGEIFS(Deals_Raw!$AT:$AT, $E:$E, E268, Deals_Raw!$AF:$AF, "Won")</f>
        <v>0.6077878084656495</v>
      </c>
    </row>
    <row r="269" spans="4:9">
      <c r="D269" s="8">
        <v>3.5000000000000003E-2</v>
      </c>
      <c r="E269" t="str">
        <f>Deals_Raw!AU272</f>
        <v>0–5%</v>
      </c>
      <c r="F269" s="11">
        <f t="shared" si="8"/>
        <v>79</v>
      </c>
      <c r="G269" s="14">
        <f>COUNTIFS($E:$E,E269, Deals_Raw!AF:AF, "Won")</f>
        <v>55</v>
      </c>
      <c r="H269">
        <f t="shared" si="9"/>
        <v>0.69620253164556967</v>
      </c>
      <c r="I269">
        <f>AVERAGEIFS(Deals_Raw!$AT:$AT, $E:$E, E269, Deals_Raw!$AF:$AF, "Won")</f>
        <v>0.61352612210738522</v>
      </c>
    </row>
    <row r="270" spans="4:9">
      <c r="D270" s="8">
        <v>0.17</v>
      </c>
      <c r="E270" t="str">
        <f>Deals_Raw!AU273</f>
        <v>15–20%</v>
      </c>
      <c r="F270" s="11">
        <f t="shared" si="8"/>
        <v>149</v>
      </c>
      <c r="G270" s="14">
        <f>COUNTIFS($E:$E,E270, Deals_Raw!AF:AF, "Won")</f>
        <v>108</v>
      </c>
      <c r="H270">
        <f t="shared" si="9"/>
        <v>0.72483221476510062</v>
      </c>
      <c r="I270">
        <f>AVERAGEIFS(Deals_Raw!$AT:$AT, $E:$E, E270, Deals_Raw!$AF:$AF, "Won")</f>
        <v>0.61267442628905355</v>
      </c>
    </row>
    <row r="271" spans="4:9">
      <c r="D271" s="8">
        <v>0.108</v>
      </c>
      <c r="E271" t="str">
        <f>Deals_Raw!AU274</f>
        <v>10–15%</v>
      </c>
      <c r="F271" s="11">
        <f t="shared" si="8"/>
        <v>189</v>
      </c>
      <c r="G271" s="14">
        <f>COUNTIFS($E:$E,E271, Deals_Raw!AF:AF, "Won")</f>
        <v>113</v>
      </c>
      <c r="H271">
        <f t="shared" si="9"/>
        <v>0.59788359788359791</v>
      </c>
      <c r="I271">
        <f>AVERAGEIFS(Deals_Raw!$AT:$AT, $E:$E, E271, Deals_Raw!$AF:$AF, "Won")</f>
        <v>0.6036615079947677</v>
      </c>
    </row>
    <row r="272" spans="4:9">
      <c r="D272" s="8">
        <v>3.4000000000000002E-2</v>
      </c>
      <c r="E272" t="str">
        <f>Deals_Raw!AU275</f>
        <v>0–5%</v>
      </c>
      <c r="F272" s="11">
        <f t="shared" si="8"/>
        <v>79</v>
      </c>
      <c r="G272" s="14">
        <f>COUNTIFS($E:$E,E272, Deals_Raw!AF:AF, "Won")</f>
        <v>55</v>
      </c>
      <c r="H272">
        <f t="shared" si="9"/>
        <v>0.69620253164556967</v>
      </c>
      <c r="I272">
        <f>AVERAGEIFS(Deals_Raw!$AT:$AT, $E:$E, E272, Deals_Raw!$AF:$AF, "Won")</f>
        <v>0.61352612210738522</v>
      </c>
    </row>
    <row r="273" spans="4:9">
      <c r="D273" s="8">
        <v>0</v>
      </c>
      <c r="E273" t="str">
        <f>Deals_Raw!AU276</f>
        <v>0–5%</v>
      </c>
      <c r="F273" s="11">
        <f t="shared" si="8"/>
        <v>79</v>
      </c>
      <c r="G273" s="14">
        <f>COUNTIFS($E:$E,E273, Deals_Raw!AF:AF, "Won")</f>
        <v>55</v>
      </c>
      <c r="H273">
        <f t="shared" si="9"/>
        <v>0.69620253164556967</v>
      </c>
      <c r="I273">
        <f>AVERAGEIFS(Deals_Raw!$AT:$AT, $E:$E, E273, Deals_Raw!$AF:$AF, "Won")</f>
        <v>0.61352612210738522</v>
      </c>
    </row>
    <row r="274" spans="4:9">
      <c r="D274" s="8">
        <v>0.105</v>
      </c>
      <c r="E274" t="str">
        <f>Deals_Raw!AU277</f>
        <v>10–15%</v>
      </c>
      <c r="F274" s="11">
        <f t="shared" si="8"/>
        <v>189</v>
      </c>
      <c r="G274" s="14">
        <f>COUNTIFS($E:$E,E274, Deals_Raw!AF:AF, "Won")</f>
        <v>113</v>
      </c>
      <c r="H274">
        <f t="shared" si="9"/>
        <v>0.59788359788359791</v>
      </c>
      <c r="I274">
        <f>AVERAGEIFS(Deals_Raw!$AT:$AT, $E:$E, E274, Deals_Raw!$AF:$AF, "Won")</f>
        <v>0.6036615079947677</v>
      </c>
    </row>
    <row r="275" spans="4:9">
      <c r="D275" s="8">
        <v>0.115</v>
      </c>
      <c r="E275" t="str">
        <f>Deals_Raw!AU278</f>
        <v>10–15%</v>
      </c>
      <c r="F275" s="11">
        <f t="shared" si="8"/>
        <v>189</v>
      </c>
      <c r="G275" s="14">
        <f>COUNTIFS($E:$E,E275, Deals_Raw!AF:AF, "Won")</f>
        <v>113</v>
      </c>
      <c r="H275">
        <f t="shared" si="9"/>
        <v>0.59788359788359791</v>
      </c>
      <c r="I275">
        <f>AVERAGEIFS(Deals_Raw!$AT:$AT, $E:$E, E275, Deals_Raw!$AF:$AF, "Won")</f>
        <v>0.6036615079947677</v>
      </c>
    </row>
    <row r="276" spans="4:9">
      <c r="D276" s="8">
        <v>0.159</v>
      </c>
      <c r="E276" t="str">
        <f>Deals_Raw!AU279</f>
        <v>15–20%</v>
      </c>
      <c r="F276" s="11">
        <f t="shared" si="8"/>
        <v>149</v>
      </c>
      <c r="G276" s="14">
        <f>COUNTIFS($E:$E,E276, Deals_Raw!AF:AF, "Won")</f>
        <v>108</v>
      </c>
      <c r="H276">
        <f t="shared" si="9"/>
        <v>0.72483221476510062</v>
      </c>
      <c r="I276">
        <f>AVERAGEIFS(Deals_Raw!$AT:$AT, $E:$E, E276, Deals_Raw!$AF:$AF, "Won")</f>
        <v>0.61267442628905355</v>
      </c>
    </row>
    <row r="277" spans="4:9">
      <c r="D277" s="8">
        <v>0.1</v>
      </c>
      <c r="E277" t="str">
        <f>Deals_Raw!AU280</f>
        <v>5–10%</v>
      </c>
      <c r="F277" s="11">
        <f t="shared" si="8"/>
        <v>171</v>
      </c>
      <c r="G277" s="14">
        <f>COUNTIFS($E:$E,E277, Deals_Raw!AF:AF, "Won")</f>
        <v>116</v>
      </c>
      <c r="H277">
        <f t="shared" si="9"/>
        <v>0.67836257309941517</v>
      </c>
      <c r="I277">
        <f>AVERAGEIFS(Deals_Raw!$AT:$AT, $E:$E, E277, Deals_Raw!$AF:$AF, "Won")</f>
        <v>0.6077878084656495</v>
      </c>
    </row>
    <row r="278" spans="4:9">
      <c r="D278" s="8">
        <v>0.17599999999999999</v>
      </c>
      <c r="E278" t="str">
        <f>Deals_Raw!AU281</f>
        <v>15–20%</v>
      </c>
      <c r="F278" s="11">
        <f t="shared" si="8"/>
        <v>149</v>
      </c>
      <c r="G278" s="14">
        <f>COUNTIFS($E:$E,E278, Deals_Raw!AF:AF, "Won")</f>
        <v>108</v>
      </c>
      <c r="H278">
        <f t="shared" si="9"/>
        <v>0.72483221476510062</v>
      </c>
      <c r="I278">
        <f>AVERAGEIFS(Deals_Raw!$AT:$AT, $E:$E, E278, Deals_Raw!$AF:$AF, "Won")</f>
        <v>0.61267442628905355</v>
      </c>
    </row>
    <row r="279" spans="4:9">
      <c r="D279" s="8">
        <v>0.125</v>
      </c>
      <c r="E279" t="str">
        <f>Deals_Raw!AU282</f>
        <v>10–15%</v>
      </c>
      <c r="F279" s="11">
        <f t="shared" si="8"/>
        <v>189</v>
      </c>
      <c r="G279" s="14">
        <f>COUNTIFS($E:$E,E279, Deals_Raw!AF:AF, "Won")</f>
        <v>113</v>
      </c>
      <c r="H279">
        <f t="shared" si="9"/>
        <v>0.59788359788359791</v>
      </c>
      <c r="I279">
        <f>AVERAGEIFS(Deals_Raw!$AT:$AT, $E:$E, E279, Deals_Raw!$AF:$AF, "Won")</f>
        <v>0.6036615079947677</v>
      </c>
    </row>
    <row r="280" spans="4:9">
      <c r="D280" s="8">
        <v>0.13400000000000001</v>
      </c>
      <c r="E280" t="str">
        <f>Deals_Raw!AU283</f>
        <v>10–15%</v>
      </c>
      <c r="F280" s="11">
        <f t="shared" si="8"/>
        <v>189</v>
      </c>
      <c r="G280" s="14">
        <f>COUNTIFS($E:$E,E280, Deals_Raw!AF:AF, "Won")</f>
        <v>113</v>
      </c>
      <c r="H280">
        <f t="shared" si="9"/>
        <v>0.59788359788359791</v>
      </c>
      <c r="I280">
        <f>AVERAGEIFS(Deals_Raw!$AT:$AT, $E:$E, E280, Deals_Raw!$AF:$AF, "Won")</f>
        <v>0.6036615079947677</v>
      </c>
    </row>
    <row r="281" spans="4:9">
      <c r="D281" s="8">
        <v>0.115</v>
      </c>
      <c r="E281" t="str">
        <f>Deals_Raw!AU284</f>
        <v>10–15%</v>
      </c>
      <c r="F281" s="11">
        <f t="shared" si="8"/>
        <v>189</v>
      </c>
      <c r="G281" s="14">
        <f>COUNTIFS($E:$E,E281, Deals_Raw!AF:AF, "Won")</f>
        <v>113</v>
      </c>
      <c r="H281">
        <f t="shared" si="9"/>
        <v>0.59788359788359791</v>
      </c>
      <c r="I281">
        <f>AVERAGEIFS(Deals_Raw!$AT:$AT, $E:$E, E281, Deals_Raw!$AF:$AF, "Won")</f>
        <v>0.6036615079947677</v>
      </c>
    </row>
    <row r="282" spans="4:9">
      <c r="D282" s="8">
        <v>6.2E-2</v>
      </c>
      <c r="E282" t="str">
        <f>Deals_Raw!AU285</f>
        <v>5–10%</v>
      </c>
      <c r="F282" s="11">
        <f t="shared" si="8"/>
        <v>171</v>
      </c>
      <c r="G282" s="14">
        <f>COUNTIFS($E:$E,E282, Deals_Raw!AF:AF, "Won")</f>
        <v>116</v>
      </c>
      <c r="H282">
        <f t="shared" si="9"/>
        <v>0.67836257309941517</v>
      </c>
      <c r="I282">
        <f>AVERAGEIFS(Deals_Raw!$AT:$AT, $E:$E, E282, Deals_Raw!$AF:$AF, "Won")</f>
        <v>0.6077878084656495</v>
      </c>
    </row>
    <row r="283" spans="4:9">
      <c r="D283" s="8">
        <v>0.113</v>
      </c>
      <c r="E283" t="str">
        <f>Deals_Raw!AU286</f>
        <v>10–15%</v>
      </c>
      <c r="F283" s="11">
        <f t="shared" si="8"/>
        <v>189</v>
      </c>
      <c r="G283" s="14">
        <f>COUNTIFS($E:$E,E283, Deals_Raw!AF:AF, "Won")</f>
        <v>113</v>
      </c>
      <c r="H283">
        <f t="shared" si="9"/>
        <v>0.59788359788359791</v>
      </c>
      <c r="I283">
        <f>AVERAGEIFS(Deals_Raw!$AT:$AT, $E:$E, E283, Deals_Raw!$AF:$AF, "Won")</f>
        <v>0.6036615079947677</v>
      </c>
    </row>
    <row r="284" spans="4:9">
      <c r="D284" s="8">
        <v>0.155</v>
      </c>
      <c r="E284" t="str">
        <f>Deals_Raw!AU287</f>
        <v>15–20%</v>
      </c>
      <c r="F284" s="11">
        <f t="shared" si="8"/>
        <v>149</v>
      </c>
      <c r="G284" s="14">
        <f>COUNTIFS($E:$E,E284, Deals_Raw!AF:AF, "Won")</f>
        <v>108</v>
      </c>
      <c r="H284">
        <f t="shared" si="9"/>
        <v>0.72483221476510062</v>
      </c>
      <c r="I284">
        <f>AVERAGEIFS(Deals_Raw!$AT:$AT, $E:$E, E284, Deals_Raw!$AF:$AF, "Won")</f>
        <v>0.61267442628905355</v>
      </c>
    </row>
    <row r="285" spans="4:9">
      <c r="D285" s="8">
        <v>0.183</v>
      </c>
      <c r="E285" t="str">
        <f>Deals_Raw!AU288</f>
        <v>15–20%</v>
      </c>
      <c r="F285" s="11">
        <f t="shared" si="8"/>
        <v>149</v>
      </c>
      <c r="G285" s="14">
        <f>COUNTIFS($E:$E,E285, Deals_Raw!AF:AF, "Won")</f>
        <v>108</v>
      </c>
      <c r="H285">
        <f t="shared" si="9"/>
        <v>0.72483221476510062</v>
      </c>
      <c r="I285">
        <f>AVERAGEIFS(Deals_Raw!$AT:$AT, $E:$E, E285, Deals_Raw!$AF:$AF, "Won")</f>
        <v>0.61267442628905355</v>
      </c>
    </row>
    <row r="286" spans="4:9">
      <c r="D286" s="8">
        <v>4.9000000000000002E-2</v>
      </c>
      <c r="E286" t="str">
        <f>Deals_Raw!AU289</f>
        <v>0–5%</v>
      </c>
      <c r="F286" s="11">
        <f t="shared" si="8"/>
        <v>79</v>
      </c>
      <c r="G286" s="14">
        <f>COUNTIFS($E:$E,E286, Deals_Raw!AF:AF, "Won")</f>
        <v>55</v>
      </c>
      <c r="H286">
        <f t="shared" si="9"/>
        <v>0.69620253164556967</v>
      </c>
      <c r="I286">
        <f>AVERAGEIFS(Deals_Raw!$AT:$AT, $E:$E, E286, Deals_Raw!$AF:$AF, "Won")</f>
        <v>0.61352612210738522</v>
      </c>
    </row>
    <row r="287" spans="4:9">
      <c r="D287" s="8">
        <v>0.05</v>
      </c>
      <c r="E287" t="str">
        <f>Deals_Raw!AU290</f>
        <v>0–5%</v>
      </c>
      <c r="F287" s="11">
        <f t="shared" si="8"/>
        <v>79</v>
      </c>
      <c r="G287" s="14">
        <f>COUNTIFS($E:$E,E287, Deals_Raw!AF:AF, "Won")</f>
        <v>55</v>
      </c>
      <c r="H287">
        <f t="shared" si="9"/>
        <v>0.69620253164556967</v>
      </c>
      <c r="I287">
        <f>AVERAGEIFS(Deals_Raw!$AT:$AT, $E:$E, E287, Deals_Raw!$AF:$AF, "Won")</f>
        <v>0.61352612210738522</v>
      </c>
    </row>
    <row r="288" spans="4:9">
      <c r="D288" s="8">
        <v>0.10299999999999999</v>
      </c>
      <c r="E288" t="str">
        <f>Deals_Raw!AU291</f>
        <v>10–15%</v>
      </c>
      <c r="F288" s="11">
        <f t="shared" si="8"/>
        <v>189</v>
      </c>
      <c r="G288" s="14">
        <f>COUNTIFS($E:$E,E288, Deals_Raw!AF:AF, "Won")</f>
        <v>113</v>
      </c>
      <c r="H288">
        <f t="shared" si="9"/>
        <v>0.59788359788359791</v>
      </c>
      <c r="I288">
        <f>AVERAGEIFS(Deals_Raw!$AT:$AT, $E:$E, E288, Deals_Raw!$AF:$AF, "Won")</f>
        <v>0.6036615079947677</v>
      </c>
    </row>
    <row r="289" spans="4:9">
      <c r="D289" s="8">
        <v>0.20499999999999999</v>
      </c>
      <c r="E289" t="str">
        <f>Deals_Raw!AU292</f>
        <v>20–25%</v>
      </c>
      <c r="F289" s="11">
        <f t="shared" si="8"/>
        <v>41</v>
      </c>
      <c r="G289" s="14">
        <f>COUNTIFS($E:$E,E289, Deals_Raw!AF:AF, "Won")</f>
        <v>29</v>
      </c>
      <c r="H289">
        <f t="shared" si="9"/>
        <v>0.70731707317073167</v>
      </c>
      <c r="I289">
        <f>AVERAGEIFS(Deals_Raw!$AT:$AT, $E:$E, E289, Deals_Raw!$AF:$AF, "Won")</f>
        <v>0.6163731005984544</v>
      </c>
    </row>
    <row r="290" spans="4:9">
      <c r="D290" s="8">
        <v>7.1999999999999995E-2</v>
      </c>
      <c r="E290" t="str">
        <f>Deals_Raw!AU293</f>
        <v>5–10%</v>
      </c>
      <c r="F290" s="11">
        <f t="shared" si="8"/>
        <v>171</v>
      </c>
      <c r="G290" s="14">
        <f>COUNTIFS($E:$E,E290, Deals_Raw!AF:AF, "Won")</f>
        <v>116</v>
      </c>
      <c r="H290">
        <f t="shared" si="9"/>
        <v>0.67836257309941517</v>
      </c>
      <c r="I290">
        <f>AVERAGEIFS(Deals_Raw!$AT:$AT, $E:$E, E290, Deals_Raw!$AF:$AF, "Won")</f>
        <v>0.6077878084656495</v>
      </c>
    </row>
    <row r="291" spans="4:9">
      <c r="D291" s="8">
        <v>0.17100000000000001</v>
      </c>
      <c r="E291" t="str">
        <f>Deals_Raw!AU294</f>
        <v>15–20%</v>
      </c>
      <c r="F291" s="11">
        <f t="shared" si="8"/>
        <v>149</v>
      </c>
      <c r="G291" s="14">
        <f>COUNTIFS($E:$E,E291, Deals_Raw!AF:AF, "Won")</f>
        <v>108</v>
      </c>
      <c r="H291">
        <f t="shared" si="9"/>
        <v>0.72483221476510062</v>
      </c>
      <c r="I291">
        <f>AVERAGEIFS(Deals_Raw!$AT:$AT, $E:$E, E291, Deals_Raw!$AF:$AF, "Won")</f>
        <v>0.61267442628905355</v>
      </c>
    </row>
    <row r="292" spans="4:9">
      <c r="D292" s="8">
        <v>5.3999999999999999E-2</v>
      </c>
      <c r="E292" t="str">
        <f>Deals_Raw!AU295</f>
        <v>5–10%</v>
      </c>
      <c r="F292" s="11">
        <f t="shared" si="8"/>
        <v>171</v>
      </c>
      <c r="G292" s="14">
        <f>COUNTIFS($E:$E,E292, Deals_Raw!AF:AF, "Won")</f>
        <v>116</v>
      </c>
      <c r="H292">
        <f t="shared" si="9"/>
        <v>0.67836257309941517</v>
      </c>
      <c r="I292">
        <f>AVERAGEIFS(Deals_Raw!$AT:$AT, $E:$E, E292, Deals_Raw!$AF:$AF, "Won")</f>
        <v>0.6077878084656495</v>
      </c>
    </row>
    <row r="293" spans="4:9">
      <c r="D293" s="8">
        <v>8.8999999999999996E-2</v>
      </c>
      <c r="E293" t="str">
        <f>Deals_Raw!AU296</f>
        <v>5–10%</v>
      </c>
      <c r="F293" s="11">
        <f t="shared" si="8"/>
        <v>171</v>
      </c>
      <c r="G293" s="14">
        <f>COUNTIFS($E:$E,E293, Deals_Raw!AF:AF, "Won")</f>
        <v>116</v>
      </c>
      <c r="H293">
        <f t="shared" si="9"/>
        <v>0.67836257309941517</v>
      </c>
      <c r="I293">
        <f>AVERAGEIFS(Deals_Raw!$AT:$AT, $E:$E, E293, Deals_Raw!$AF:$AF, "Won")</f>
        <v>0.6077878084656495</v>
      </c>
    </row>
    <row r="294" spans="4:9">
      <c r="D294" s="8">
        <v>0.14599999999999999</v>
      </c>
      <c r="E294" t="str">
        <f>Deals_Raw!AU297</f>
        <v>10–15%</v>
      </c>
      <c r="F294" s="11">
        <f t="shared" si="8"/>
        <v>189</v>
      </c>
      <c r="G294" s="14">
        <f>COUNTIFS($E:$E,E294, Deals_Raw!AF:AF, "Won")</f>
        <v>113</v>
      </c>
      <c r="H294">
        <f t="shared" si="9"/>
        <v>0.59788359788359791</v>
      </c>
      <c r="I294">
        <f>AVERAGEIFS(Deals_Raw!$AT:$AT, $E:$E, E294, Deals_Raw!$AF:$AF, "Won")</f>
        <v>0.6036615079947677</v>
      </c>
    </row>
    <row r="295" spans="4:9">
      <c r="D295" s="8">
        <v>0.20499999999999999</v>
      </c>
      <c r="E295" t="str">
        <f>Deals_Raw!AU298</f>
        <v>20–25%</v>
      </c>
      <c r="F295" s="11">
        <f t="shared" si="8"/>
        <v>41</v>
      </c>
      <c r="G295" s="14">
        <f>COUNTIFS($E:$E,E295, Deals_Raw!AF:AF, "Won")</f>
        <v>29</v>
      </c>
      <c r="H295">
        <f t="shared" si="9"/>
        <v>0.70731707317073167</v>
      </c>
      <c r="I295">
        <f>AVERAGEIFS(Deals_Raw!$AT:$AT, $E:$E, E295, Deals_Raw!$AF:$AF, "Won")</f>
        <v>0.6163731005984544</v>
      </c>
    </row>
    <row r="296" spans="4:9">
      <c r="D296" s="8">
        <v>0.125</v>
      </c>
      <c r="E296" t="str">
        <f>Deals_Raw!AU299</f>
        <v>10–15%</v>
      </c>
      <c r="F296" s="11">
        <f t="shared" si="8"/>
        <v>189</v>
      </c>
      <c r="G296" s="14">
        <f>COUNTIFS($E:$E,E296, Deals_Raw!AF:AF, "Won")</f>
        <v>113</v>
      </c>
      <c r="H296">
        <f t="shared" si="9"/>
        <v>0.59788359788359791</v>
      </c>
      <c r="I296">
        <f>AVERAGEIFS(Deals_Raw!$AT:$AT, $E:$E, E296, Deals_Raw!$AF:$AF, "Won")</f>
        <v>0.6036615079947677</v>
      </c>
    </row>
    <row r="297" spans="4:9">
      <c r="D297" s="8">
        <v>4.1000000000000002E-2</v>
      </c>
      <c r="E297" t="str">
        <f>Deals_Raw!AU300</f>
        <v>0–5%</v>
      </c>
      <c r="F297" s="11">
        <f t="shared" si="8"/>
        <v>79</v>
      </c>
      <c r="G297" s="14">
        <f>COUNTIFS($E:$E,E297, Deals_Raw!AF:AF, "Won")</f>
        <v>55</v>
      </c>
      <c r="H297">
        <f t="shared" si="9"/>
        <v>0.69620253164556967</v>
      </c>
      <c r="I297">
        <f>AVERAGEIFS(Deals_Raw!$AT:$AT, $E:$E, E297, Deals_Raw!$AF:$AF, "Won")</f>
        <v>0.61352612210738522</v>
      </c>
    </row>
    <row r="298" spans="4:9">
      <c r="D298" s="8">
        <v>2.8000000000000001E-2</v>
      </c>
      <c r="E298" t="str">
        <f>Deals_Raw!AU301</f>
        <v>0–5%</v>
      </c>
      <c r="F298" s="11">
        <f t="shared" si="8"/>
        <v>79</v>
      </c>
      <c r="G298" s="14">
        <f>COUNTIFS($E:$E,E298, Deals_Raw!AF:AF, "Won")</f>
        <v>55</v>
      </c>
      <c r="H298">
        <f t="shared" si="9"/>
        <v>0.69620253164556967</v>
      </c>
      <c r="I298">
        <f>AVERAGEIFS(Deals_Raw!$AT:$AT, $E:$E, E298, Deals_Raw!$AF:$AF, "Won")</f>
        <v>0.61352612210738522</v>
      </c>
    </row>
    <row r="299" spans="4:9">
      <c r="D299" s="8">
        <v>0.11799999999999999</v>
      </c>
      <c r="E299" t="str">
        <f>Deals_Raw!AU302</f>
        <v>10–15%</v>
      </c>
      <c r="F299" s="11">
        <f t="shared" si="8"/>
        <v>189</v>
      </c>
      <c r="G299" s="14">
        <f>COUNTIFS($E:$E,E299, Deals_Raw!AF:AF, "Won")</f>
        <v>113</v>
      </c>
      <c r="H299">
        <f t="shared" si="9"/>
        <v>0.59788359788359791</v>
      </c>
      <c r="I299">
        <f>AVERAGEIFS(Deals_Raw!$AT:$AT, $E:$E, E299, Deals_Raw!$AF:$AF, "Won")</f>
        <v>0.6036615079947677</v>
      </c>
    </row>
    <row r="300" spans="4:9">
      <c r="D300" s="8">
        <v>0.14199999999999999</v>
      </c>
      <c r="E300" t="str">
        <f>Deals_Raw!AU303</f>
        <v>10–15%</v>
      </c>
      <c r="F300" s="11">
        <f t="shared" si="8"/>
        <v>189</v>
      </c>
      <c r="G300" s="14">
        <f>COUNTIFS($E:$E,E300, Deals_Raw!AF:AF, "Won")</f>
        <v>113</v>
      </c>
      <c r="H300">
        <f t="shared" si="9"/>
        <v>0.59788359788359791</v>
      </c>
      <c r="I300">
        <f>AVERAGEIFS(Deals_Raw!$AT:$AT, $E:$E, E300, Deals_Raw!$AF:$AF, "Won")</f>
        <v>0.6036615079947677</v>
      </c>
    </row>
    <row r="301" spans="4:9">
      <c r="D301" s="8">
        <v>6.7000000000000004E-2</v>
      </c>
      <c r="E301" t="str">
        <f>Deals_Raw!AU304</f>
        <v>5–10%</v>
      </c>
      <c r="F301" s="11">
        <f t="shared" si="8"/>
        <v>171</v>
      </c>
      <c r="G301" s="14">
        <f>COUNTIFS($E:$E,E301, Deals_Raw!AF:AF, "Won")</f>
        <v>116</v>
      </c>
      <c r="H301">
        <f t="shared" si="9"/>
        <v>0.67836257309941517</v>
      </c>
      <c r="I301">
        <f>AVERAGEIFS(Deals_Raw!$AT:$AT, $E:$E, E301, Deals_Raw!$AF:$AF, "Won")</f>
        <v>0.6077878084656495</v>
      </c>
    </row>
    <row r="302" spans="4:9">
      <c r="D302" s="8">
        <v>0.214</v>
      </c>
      <c r="E302" t="str">
        <f>Deals_Raw!AU305</f>
        <v>20–25%</v>
      </c>
      <c r="F302" s="11">
        <f t="shared" si="8"/>
        <v>41</v>
      </c>
      <c r="G302" s="14">
        <f>COUNTIFS($E:$E,E302, Deals_Raw!AF:AF, "Won")</f>
        <v>29</v>
      </c>
      <c r="H302">
        <f t="shared" si="9"/>
        <v>0.70731707317073167</v>
      </c>
      <c r="I302">
        <f>AVERAGEIFS(Deals_Raw!$AT:$AT, $E:$E, E302, Deals_Raw!$AF:$AF, "Won")</f>
        <v>0.6163731005984544</v>
      </c>
    </row>
    <row r="303" spans="4:9">
      <c r="D303" s="8">
        <v>0.184</v>
      </c>
      <c r="E303" t="str">
        <f>Deals_Raw!AU306</f>
        <v>15–20%</v>
      </c>
      <c r="F303" s="11">
        <f t="shared" si="8"/>
        <v>149</v>
      </c>
      <c r="G303" s="14">
        <f>COUNTIFS($E:$E,E303, Deals_Raw!AF:AF, "Won")</f>
        <v>108</v>
      </c>
      <c r="H303">
        <f t="shared" si="9"/>
        <v>0.72483221476510062</v>
      </c>
      <c r="I303">
        <f>AVERAGEIFS(Deals_Raw!$AT:$AT, $E:$E, E303, Deals_Raw!$AF:$AF, "Won")</f>
        <v>0.61267442628905355</v>
      </c>
    </row>
    <row r="304" spans="4:9">
      <c r="D304" s="8">
        <v>0.19400000000000001</v>
      </c>
      <c r="E304" t="str">
        <f>Deals_Raw!AU307</f>
        <v>15–20%</v>
      </c>
      <c r="F304" s="11">
        <f t="shared" si="8"/>
        <v>149</v>
      </c>
      <c r="G304" s="14">
        <f>COUNTIFS($E:$E,E304, Deals_Raw!AF:AF, "Won")</f>
        <v>108</v>
      </c>
      <c r="H304">
        <f t="shared" si="9"/>
        <v>0.72483221476510062</v>
      </c>
      <c r="I304">
        <f>AVERAGEIFS(Deals_Raw!$AT:$AT, $E:$E, E304, Deals_Raw!$AF:$AF, "Won")</f>
        <v>0.61267442628905355</v>
      </c>
    </row>
    <row r="305" spans="4:9">
      <c r="D305" s="8">
        <v>7.9000000000000001E-2</v>
      </c>
      <c r="E305" t="str">
        <f>Deals_Raw!AU308</f>
        <v>5–10%</v>
      </c>
      <c r="F305" s="11">
        <f t="shared" si="8"/>
        <v>171</v>
      </c>
      <c r="G305" s="14">
        <f>COUNTIFS($E:$E,E305, Deals_Raw!AF:AF, "Won")</f>
        <v>116</v>
      </c>
      <c r="H305">
        <f t="shared" si="9"/>
        <v>0.67836257309941517</v>
      </c>
      <c r="I305">
        <f>AVERAGEIFS(Deals_Raw!$AT:$AT, $E:$E, E305, Deals_Raw!$AF:$AF, "Won")</f>
        <v>0.6077878084656495</v>
      </c>
    </row>
    <row r="306" spans="4:9">
      <c r="D306" s="8">
        <v>0.128</v>
      </c>
      <c r="E306" t="str">
        <f>Deals_Raw!AU309</f>
        <v>10–15%</v>
      </c>
      <c r="F306" s="11">
        <f t="shared" si="8"/>
        <v>189</v>
      </c>
      <c r="G306" s="14">
        <f>COUNTIFS($E:$E,E306, Deals_Raw!AF:AF, "Won")</f>
        <v>113</v>
      </c>
      <c r="H306">
        <f t="shared" si="9"/>
        <v>0.59788359788359791</v>
      </c>
      <c r="I306">
        <f>AVERAGEIFS(Deals_Raw!$AT:$AT, $E:$E, E306, Deals_Raw!$AF:$AF, "Won")</f>
        <v>0.6036615079947677</v>
      </c>
    </row>
    <row r="307" spans="4:9">
      <c r="D307" s="8">
        <v>0.16800000000000001</v>
      </c>
      <c r="E307" t="str">
        <f>Deals_Raw!AU310</f>
        <v>15–20%</v>
      </c>
      <c r="F307" s="11">
        <f t="shared" si="8"/>
        <v>149</v>
      </c>
      <c r="G307" s="14">
        <f>COUNTIFS($E:$E,E307, Deals_Raw!AF:AF, "Won")</f>
        <v>108</v>
      </c>
      <c r="H307">
        <f t="shared" si="9"/>
        <v>0.72483221476510062</v>
      </c>
      <c r="I307">
        <f>AVERAGEIFS(Deals_Raw!$AT:$AT, $E:$E, E307, Deals_Raw!$AF:$AF, "Won")</f>
        <v>0.61267442628905355</v>
      </c>
    </row>
    <row r="308" spans="4:9">
      <c r="D308" s="8">
        <v>0.14099999999999999</v>
      </c>
      <c r="E308" t="str">
        <f>Deals_Raw!AU311</f>
        <v>10–15%</v>
      </c>
      <c r="F308" s="11">
        <f t="shared" si="8"/>
        <v>189</v>
      </c>
      <c r="G308" s="14">
        <f>COUNTIFS($E:$E,E308, Deals_Raw!AF:AF, "Won")</f>
        <v>113</v>
      </c>
      <c r="H308">
        <f t="shared" si="9"/>
        <v>0.59788359788359791</v>
      </c>
      <c r="I308">
        <f>AVERAGEIFS(Deals_Raw!$AT:$AT, $E:$E, E308, Deals_Raw!$AF:$AF, "Won")</f>
        <v>0.6036615079947677</v>
      </c>
    </row>
    <row r="309" spans="4:9">
      <c r="D309" s="8">
        <v>0.17499999999999999</v>
      </c>
      <c r="E309" t="str">
        <f>Deals_Raw!AU312</f>
        <v>15–20%</v>
      </c>
      <c r="F309" s="11">
        <f t="shared" si="8"/>
        <v>149</v>
      </c>
      <c r="G309" s="14">
        <f>COUNTIFS($E:$E,E309, Deals_Raw!AF:AF, "Won")</f>
        <v>108</v>
      </c>
      <c r="H309">
        <f t="shared" si="9"/>
        <v>0.72483221476510062</v>
      </c>
      <c r="I309">
        <f>AVERAGEIFS(Deals_Raw!$AT:$AT, $E:$E, E309, Deals_Raw!$AF:$AF, "Won")</f>
        <v>0.61267442628905355</v>
      </c>
    </row>
    <row r="310" spans="4:9">
      <c r="D310" s="8">
        <v>0.157</v>
      </c>
      <c r="E310" t="str">
        <f>Deals_Raw!AU313</f>
        <v>15–20%</v>
      </c>
      <c r="F310" s="11">
        <f t="shared" si="8"/>
        <v>149</v>
      </c>
      <c r="G310" s="14">
        <f>COUNTIFS($E:$E,E310, Deals_Raw!AF:AF, "Won")</f>
        <v>108</v>
      </c>
      <c r="H310">
        <f t="shared" si="9"/>
        <v>0.72483221476510062</v>
      </c>
      <c r="I310">
        <f>AVERAGEIFS(Deals_Raw!$AT:$AT, $E:$E, E310, Deals_Raw!$AF:$AF, "Won")</f>
        <v>0.61267442628905355</v>
      </c>
    </row>
    <row r="311" spans="4:9">
      <c r="D311" s="8">
        <v>0.215</v>
      </c>
      <c r="E311" t="str">
        <f>Deals_Raw!AU314</f>
        <v>20–25%</v>
      </c>
      <c r="F311" s="11">
        <f t="shared" si="8"/>
        <v>41</v>
      </c>
      <c r="G311" s="14">
        <f>COUNTIFS($E:$E,E311, Deals_Raw!AF:AF, "Won")</f>
        <v>29</v>
      </c>
      <c r="H311">
        <f t="shared" si="9"/>
        <v>0.70731707317073167</v>
      </c>
      <c r="I311">
        <f>AVERAGEIFS(Deals_Raw!$AT:$AT, $E:$E, E311, Deals_Raw!$AF:$AF, "Won")</f>
        <v>0.6163731005984544</v>
      </c>
    </row>
    <row r="312" spans="4:9">
      <c r="D312" s="8">
        <v>9.1999999999999998E-2</v>
      </c>
      <c r="E312" t="str">
        <f>Deals_Raw!AU315</f>
        <v>5–10%</v>
      </c>
      <c r="F312" s="11">
        <f t="shared" si="8"/>
        <v>171</v>
      </c>
      <c r="G312" s="14">
        <f>COUNTIFS($E:$E,E312, Deals_Raw!AF:AF, "Won")</f>
        <v>116</v>
      </c>
      <c r="H312">
        <f t="shared" si="9"/>
        <v>0.67836257309941517</v>
      </c>
      <c r="I312">
        <f>AVERAGEIFS(Deals_Raw!$AT:$AT, $E:$E, E312, Deals_Raw!$AF:$AF, "Won")</f>
        <v>0.6077878084656495</v>
      </c>
    </row>
    <row r="313" spans="4:9">
      <c r="D313" s="8">
        <v>0.127</v>
      </c>
      <c r="E313" t="str">
        <f>Deals_Raw!AU316</f>
        <v>10–15%</v>
      </c>
      <c r="F313" s="11">
        <f t="shared" si="8"/>
        <v>189</v>
      </c>
      <c r="G313" s="14">
        <f>COUNTIFS($E:$E,E313, Deals_Raw!AF:AF, "Won")</f>
        <v>113</v>
      </c>
      <c r="H313">
        <f t="shared" si="9"/>
        <v>0.59788359788359791</v>
      </c>
      <c r="I313">
        <f>AVERAGEIFS(Deals_Raw!$AT:$AT, $E:$E, E313, Deals_Raw!$AF:$AF, "Won")</f>
        <v>0.6036615079947677</v>
      </c>
    </row>
    <row r="314" spans="4:9">
      <c r="D314" s="8">
        <v>4.2000000000000003E-2</v>
      </c>
      <c r="E314" t="str">
        <f>Deals_Raw!AU317</f>
        <v>0–5%</v>
      </c>
      <c r="F314" s="11">
        <f t="shared" si="8"/>
        <v>79</v>
      </c>
      <c r="G314" s="14">
        <f>COUNTIFS($E:$E,E314, Deals_Raw!AF:AF, "Won")</f>
        <v>55</v>
      </c>
      <c r="H314">
        <f t="shared" si="9"/>
        <v>0.69620253164556967</v>
      </c>
      <c r="I314">
        <f>AVERAGEIFS(Deals_Raw!$AT:$AT, $E:$E, E314, Deals_Raw!$AF:$AF, "Won")</f>
        <v>0.61352612210738522</v>
      </c>
    </row>
    <row r="315" spans="4:9">
      <c r="D315" s="8">
        <v>0.121</v>
      </c>
      <c r="E315" t="str">
        <f>Deals_Raw!AU318</f>
        <v>10–15%</v>
      </c>
      <c r="F315" s="11">
        <f t="shared" si="8"/>
        <v>189</v>
      </c>
      <c r="G315" s="14">
        <f>COUNTIFS($E:$E,E315, Deals_Raw!AF:AF, "Won")</f>
        <v>113</v>
      </c>
      <c r="H315">
        <f t="shared" si="9"/>
        <v>0.59788359788359791</v>
      </c>
      <c r="I315">
        <f>AVERAGEIFS(Deals_Raw!$AT:$AT, $E:$E, E315, Deals_Raw!$AF:$AF, "Won")</f>
        <v>0.6036615079947677</v>
      </c>
    </row>
    <row r="316" spans="4:9">
      <c r="D316" s="8">
        <v>0.23</v>
      </c>
      <c r="E316" t="str">
        <f>Deals_Raw!AU319</f>
        <v>20–25%</v>
      </c>
      <c r="F316" s="11">
        <f t="shared" si="8"/>
        <v>41</v>
      </c>
      <c r="G316" s="14">
        <f>COUNTIFS($E:$E,E316, Deals_Raw!AF:AF, "Won")</f>
        <v>29</v>
      </c>
      <c r="H316">
        <f t="shared" si="9"/>
        <v>0.70731707317073167</v>
      </c>
      <c r="I316">
        <f>AVERAGEIFS(Deals_Raw!$AT:$AT, $E:$E, E316, Deals_Raw!$AF:$AF, "Won")</f>
        <v>0.6163731005984544</v>
      </c>
    </row>
    <row r="317" spans="4:9">
      <c r="D317" s="8">
        <v>8.8999999999999996E-2</v>
      </c>
      <c r="E317" t="str">
        <f>Deals_Raw!AU320</f>
        <v>5–10%</v>
      </c>
      <c r="F317" s="11">
        <f t="shared" si="8"/>
        <v>171</v>
      </c>
      <c r="G317" s="14">
        <f>COUNTIFS($E:$E,E317, Deals_Raw!AF:AF, "Won")</f>
        <v>116</v>
      </c>
      <c r="H317">
        <f t="shared" si="9"/>
        <v>0.67836257309941517</v>
      </c>
      <c r="I317">
        <f>AVERAGEIFS(Deals_Raw!$AT:$AT, $E:$E, E317, Deals_Raw!$AF:$AF, "Won")</f>
        <v>0.6077878084656495</v>
      </c>
    </row>
    <row r="318" spans="4:9">
      <c r="D318" s="8">
        <v>0.156</v>
      </c>
      <c r="E318" t="str">
        <f>Deals_Raw!AU321</f>
        <v>15–20%</v>
      </c>
      <c r="F318" s="11">
        <f t="shared" si="8"/>
        <v>149</v>
      </c>
      <c r="G318" s="14">
        <f>COUNTIFS($E:$E,E318, Deals_Raw!AF:AF, "Won")</f>
        <v>108</v>
      </c>
      <c r="H318">
        <f t="shared" si="9"/>
        <v>0.72483221476510062</v>
      </c>
      <c r="I318">
        <f>AVERAGEIFS(Deals_Raw!$AT:$AT, $E:$E, E318, Deals_Raw!$AF:$AF, "Won")</f>
        <v>0.61267442628905355</v>
      </c>
    </row>
    <row r="319" spans="4:9">
      <c r="D319" s="8">
        <v>0.16900000000000001</v>
      </c>
      <c r="E319" t="str">
        <f>Deals_Raw!AU322</f>
        <v>15–20%</v>
      </c>
      <c r="F319" s="11">
        <f t="shared" si="8"/>
        <v>149</v>
      </c>
      <c r="G319" s="14">
        <f>COUNTIFS($E:$E,E319, Deals_Raw!AF:AF, "Won")</f>
        <v>108</v>
      </c>
      <c r="H319">
        <f t="shared" si="9"/>
        <v>0.72483221476510062</v>
      </c>
      <c r="I319">
        <f>AVERAGEIFS(Deals_Raw!$AT:$AT, $E:$E, E319, Deals_Raw!$AF:$AF, "Won")</f>
        <v>0.61267442628905355</v>
      </c>
    </row>
    <row r="320" spans="4:9">
      <c r="D320" s="8">
        <v>7.5999999999999998E-2</v>
      </c>
      <c r="E320" t="str">
        <f>Deals_Raw!AU323</f>
        <v>5–10%</v>
      </c>
      <c r="F320" s="11">
        <f t="shared" si="8"/>
        <v>171</v>
      </c>
      <c r="G320" s="14">
        <f>COUNTIFS($E:$E,E320, Deals_Raw!AF:AF, "Won")</f>
        <v>116</v>
      </c>
      <c r="H320">
        <f t="shared" si="9"/>
        <v>0.67836257309941517</v>
      </c>
      <c r="I320">
        <f>AVERAGEIFS(Deals_Raw!$AT:$AT, $E:$E, E320, Deals_Raw!$AF:$AF, "Won")</f>
        <v>0.6077878084656495</v>
      </c>
    </row>
    <row r="321" spans="4:9">
      <c r="D321" s="8">
        <v>0.22700000000000001</v>
      </c>
      <c r="E321" t="str">
        <f>Deals_Raw!AU324</f>
        <v>20–25%</v>
      </c>
      <c r="F321" s="11">
        <f t="shared" si="8"/>
        <v>41</v>
      </c>
      <c r="G321" s="14">
        <f>COUNTIFS($E:$E,E321, Deals_Raw!AF:AF, "Won")</f>
        <v>29</v>
      </c>
      <c r="H321">
        <f t="shared" si="9"/>
        <v>0.70731707317073167</v>
      </c>
      <c r="I321">
        <f>AVERAGEIFS(Deals_Raw!$AT:$AT, $E:$E, E321, Deals_Raw!$AF:$AF, "Won")</f>
        <v>0.6163731005984544</v>
      </c>
    </row>
    <row r="322" spans="4:9">
      <c r="D322" s="8">
        <v>7.2999999999999995E-2</v>
      </c>
      <c r="E322" t="str">
        <f>Deals_Raw!AU325</f>
        <v>5–10%</v>
      </c>
      <c r="F322" s="11">
        <f t="shared" ref="F322:F385" si="10">COUNTIF($E:$E,E322)</f>
        <v>171</v>
      </c>
      <c r="G322" s="14">
        <f>COUNTIFS($E:$E,E322, Deals_Raw!AF:AF, "Won")</f>
        <v>116</v>
      </c>
      <c r="H322">
        <f t="shared" si="9"/>
        <v>0.67836257309941517</v>
      </c>
      <c r="I322">
        <f>AVERAGEIFS(Deals_Raw!$AT:$AT, $E:$E, E322, Deals_Raw!$AF:$AF, "Won")</f>
        <v>0.6077878084656495</v>
      </c>
    </row>
    <row r="323" spans="4:9">
      <c r="D323" s="8">
        <v>8.2000000000000003E-2</v>
      </c>
      <c r="E323" t="str">
        <f>Deals_Raw!AU326</f>
        <v>5–10%</v>
      </c>
      <c r="F323" s="11">
        <f t="shared" si="10"/>
        <v>171</v>
      </c>
      <c r="G323" s="14">
        <f>COUNTIFS($E:$E,E323, Deals_Raw!AF:AF, "Won")</f>
        <v>116</v>
      </c>
      <c r="H323">
        <f t="shared" ref="H323:H386" si="11">G323/F323</f>
        <v>0.67836257309941517</v>
      </c>
      <c r="I323">
        <f>AVERAGEIFS(Deals_Raw!$AT:$AT, $E:$E, E323, Deals_Raw!$AF:$AF, "Won")</f>
        <v>0.6077878084656495</v>
      </c>
    </row>
    <row r="324" spans="4:9">
      <c r="D324" s="8">
        <v>6.6000000000000003E-2</v>
      </c>
      <c r="E324" t="str">
        <f>Deals_Raw!AU327</f>
        <v>5–10%</v>
      </c>
      <c r="F324" s="11">
        <f t="shared" si="10"/>
        <v>171</v>
      </c>
      <c r="G324" s="14">
        <f>COUNTIFS($E:$E,E324, Deals_Raw!AF:AF, "Won")</f>
        <v>116</v>
      </c>
      <c r="H324">
        <f t="shared" si="11"/>
        <v>0.67836257309941517</v>
      </c>
      <c r="I324">
        <f>AVERAGEIFS(Deals_Raw!$AT:$AT, $E:$E, E324, Deals_Raw!$AF:$AF, "Won")</f>
        <v>0.6077878084656495</v>
      </c>
    </row>
    <row r="325" spans="4:9">
      <c r="D325" s="8">
        <v>0.115</v>
      </c>
      <c r="E325" t="str">
        <f>Deals_Raw!AU328</f>
        <v>10–15%</v>
      </c>
      <c r="F325" s="11">
        <f t="shared" si="10"/>
        <v>189</v>
      </c>
      <c r="G325" s="14">
        <f>COUNTIFS($E:$E,E325, Deals_Raw!AF:AF, "Won")</f>
        <v>113</v>
      </c>
      <c r="H325">
        <f t="shared" si="11"/>
        <v>0.59788359788359791</v>
      </c>
      <c r="I325">
        <f>AVERAGEIFS(Deals_Raw!$AT:$AT, $E:$E, E325, Deals_Raw!$AF:$AF, "Won")</f>
        <v>0.6036615079947677</v>
      </c>
    </row>
    <row r="326" spans="4:9">
      <c r="D326" s="8">
        <v>0.1</v>
      </c>
      <c r="E326" t="str">
        <f>Deals_Raw!AU329</f>
        <v>5–10%</v>
      </c>
      <c r="F326" s="11">
        <f t="shared" si="10"/>
        <v>171</v>
      </c>
      <c r="G326" s="14">
        <f>COUNTIFS($E:$E,E326, Deals_Raw!AF:AF, "Won")</f>
        <v>116</v>
      </c>
      <c r="H326">
        <f t="shared" si="11"/>
        <v>0.67836257309941517</v>
      </c>
      <c r="I326">
        <f>AVERAGEIFS(Deals_Raw!$AT:$AT, $E:$E, E326, Deals_Raw!$AF:$AF, "Won")</f>
        <v>0.6077878084656495</v>
      </c>
    </row>
    <row r="327" spans="4:9">
      <c r="D327" s="8">
        <v>0.14000000000000001</v>
      </c>
      <c r="E327" t="str">
        <f>Deals_Raw!AU330</f>
        <v>10–15%</v>
      </c>
      <c r="F327" s="11">
        <f t="shared" si="10"/>
        <v>189</v>
      </c>
      <c r="G327" s="14">
        <f>COUNTIFS($E:$E,E327, Deals_Raw!AF:AF, "Won")</f>
        <v>113</v>
      </c>
      <c r="H327">
        <f t="shared" si="11"/>
        <v>0.59788359788359791</v>
      </c>
      <c r="I327">
        <f>AVERAGEIFS(Deals_Raw!$AT:$AT, $E:$E, E327, Deals_Raw!$AF:$AF, "Won")</f>
        <v>0.6036615079947677</v>
      </c>
    </row>
    <row r="328" spans="4:9">
      <c r="D328" s="8">
        <v>0.16200000000000001</v>
      </c>
      <c r="E328" t="str">
        <f>Deals_Raw!AU331</f>
        <v>15–20%</v>
      </c>
      <c r="F328" s="11">
        <f t="shared" si="10"/>
        <v>149</v>
      </c>
      <c r="G328" s="14">
        <f>COUNTIFS($E:$E,E328, Deals_Raw!AF:AF, "Won")</f>
        <v>108</v>
      </c>
      <c r="H328">
        <f t="shared" si="11"/>
        <v>0.72483221476510062</v>
      </c>
      <c r="I328">
        <f>AVERAGEIFS(Deals_Raw!$AT:$AT, $E:$E, E328, Deals_Raw!$AF:$AF, "Won")</f>
        <v>0.61267442628905355</v>
      </c>
    </row>
    <row r="329" spans="4:9">
      <c r="D329" s="8">
        <v>9.4E-2</v>
      </c>
      <c r="E329" t="str">
        <f>Deals_Raw!AU332</f>
        <v>5–10%</v>
      </c>
      <c r="F329" s="11">
        <f t="shared" si="10"/>
        <v>171</v>
      </c>
      <c r="G329" s="14">
        <f>COUNTIFS($E:$E,E329, Deals_Raw!AF:AF, "Won")</f>
        <v>116</v>
      </c>
      <c r="H329">
        <f t="shared" si="11"/>
        <v>0.67836257309941517</v>
      </c>
      <c r="I329">
        <f>AVERAGEIFS(Deals_Raw!$AT:$AT, $E:$E, E329, Deals_Raw!$AF:$AF, "Won")</f>
        <v>0.6077878084656495</v>
      </c>
    </row>
    <row r="330" spans="4:9">
      <c r="D330" s="8">
        <v>5.1999999999999998E-2</v>
      </c>
      <c r="E330" t="str">
        <f>Deals_Raw!AU333</f>
        <v>5–10%</v>
      </c>
      <c r="F330" s="11">
        <f t="shared" si="10"/>
        <v>171</v>
      </c>
      <c r="G330" s="14">
        <f>COUNTIFS($E:$E,E330, Deals_Raw!AF:AF, "Won")</f>
        <v>116</v>
      </c>
      <c r="H330">
        <f t="shared" si="11"/>
        <v>0.67836257309941517</v>
      </c>
      <c r="I330">
        <f>AVERAGEIFS(Deals_Raw!$AT:$AT, $E:$E, E330, Deals_Raw!$AF:$AF, "Won")</f>
        <v>0.6077878084656495</v>
      </c>
    </row>
    <row r="331" spans="4:9">
      <c r="D331" s="8">
        <v>0.215</v>
      </c>
      <c r="E331" t="str">
        <f>Deals_Raw!AU334</f>
        <v>20–25%</v>
      </c>
      <c r="F331" s="11">
        <f t="shared" si="10"/>
        <v>41</v>
      </c>
      <c r="G331" s="14">
        <f>COUNTIFS($E:$E,E331, Deals_Raw!AF:AF, "Won")</f>
        <v>29</v>
      </c>
      <c r="H331">
        <f t="shared" si="11"/>
        <v>0.70731707317073167</v>
      </c>
      <c r="I331">
        <f>AVERAGEIFS(Deals_Raw!$AT:$AT, $E:$E, E331, Deals_Raw!$AF:$AF, "Won")</f>
        <v>0.6163731005984544</v>
      </c>
    </row>
    <row r="332" spans="4:9">
      <c r="D332" s="8">
        <v>9.7000000000000003E-2</v>
      </c>
      <c r="E332" t="str">
        <f>Deals_Raw!AU335</f>
        <v>5–10%</v>
      </c>
      <c r="F332" s="11">
        <f t="shared" si="10"/>
        <v>171</v>
      </c>
      <c r="G332" s="14">
        <f>COUNTIFS($E:$E,E332, Deals_Raw!AF:AF, "Won")</f>
        <v>116</v>
      </c>
      <c r="H332">
        <f t="shared" si="11"/>
        <v>0.67836257309941517</v>
      </c>
      <c r="I332">
        <f>AVERAGEIFS(Deals_Raw!$AT:$AT, $E:$E, E332, Deals_Raw!$AF:$AF, "Won")</f>
        <v>0.6077878084656495</v>
      </c>
    </row>
    <row r="333" spans="4:9">
      <c r="D333" s="8">
        <v>0.11899999999999999</v>
      </c>
      <c r="E333" t="str">
        <f>Deals_Raw!AU336</f>
        <v>10–15%</v>
      </c>
      <c r="F333" s="11">
        <f t="shared" si="10"/>
        <v>189</v>
      </c>
      <c r="G333" s="14">
        <f>COUNTIFS($E:$E,E333, Deals_Raw!AF:AF, "Won")</f>
        <v>113</v>
      </c>
      <c r="H333">
        <f t="shared" si="11"/>
        <v>0.59788359788359791</v>
      </c>
      <c r="I333">
        <f>AVERAGEIFS(Deals_Raw!$AT:$AT, $E:$E, E333, Deals_Raw!$AF:$AF, "Won")</f>
        <v>0.6036615079947677</v>
      </c>
    </row>
    <row r="334" spans="4:9">
      <c r="D334" s="8">
        <v>0.15</v>
      </c>
      <c r="E334" t="str">
        <f>Deals_Raw!AU337</f>
        <v>10–15%</v>
      </c>
      <c r="F334" s="11">
        <f t="shared" si="10"/>
        <v>189</v>
      </c>
      <c r="G334" s="14">
        <f>COUNTIFS($E:$E,E334, Deals_Raw!AF:AF, "Won")</f>
        <v>113</v>
      </c>
      <c r="H334">
        <f t="shared" si="11"/>
        <v>0.59788359788359791</v>
      </c>
      <c r="I334">
        <f>AVERAGEIFS(Deals_Raw!$AT:$AT, $E:$E, E334, Deals_Raw!$AF:$AF, "Won")</f>
        <v>0.6036615079947677</v>
      </c>
    </row>
    <row r="335" spans="4:9">
      <c r="D335" s="8">
        <v>0.06</v>
      </c>
      <c r="E335" t="str">
        <f>Deals_Raw!AU338</f>
        <v>5–10%</v>
      </c>
      <c r="F335" s="11">
        <f t="shared" si="10"/>
        <v>171</v>
      </c>
      <c r="G335" s="14">
        <f>COUNTIFS($E:$E,E335, Deals_Raw!AF:AF, "Won")</f>
        <v>116</v>
      </c>
      <c r="H335">
        <f t="shared" si="11"/>
        <v>0.67836257309941517</v>
      </c>
      <c r="I335">
        <f>AVERAGEIFS(Deals_Raw!$AT:$AT, $E:$E, E335, Deals_Raw!$AF:$AF, "Won")</f>
        <v>0.6077878084656495</v>
      </c>
    </row>
    <row r="336" spans="4:9">
      <c r="D336" s="8">
        <v>5.7000000000000002E-2</v>
      </c>
      <c r="E336" t="str">
        <f>Deals_Raw!AU339</f>
        <v>5–10%</v>
      </c>
      <c r="F336" s="11">
        <f t="shared" si="10"/>
        <v>171</v>
      </c>
      <c r="G336" s="14">
        <f>COUNTIFS($E:$E,E336, Deals_Raw!AF:AF, "Won")</f>
        <v>116</v>
      </c>
      <c r="H336">
        <f t="shared" si="11"/>
        <v>0.67836257309941517</v>
      </c>
      <c r="I336">
        <f>AVERAGEIFS(Deals_Raw!$AT:$AT, $E:$E, E336, Deals_Raw!$AF:$AF, "Won")</f>
        <v>0.6077878084656495</v>
      </c>
    </row>
    <row r="337" spans="4:9">
      <c r="D337" s="8">
        <v>0.104</v>
      </c>
      <c r="E337" t="str">
        <f>Deals_Raw!AU340</f>
        <v>10–15%</v>
      </c>
      <c r="F337" s="11">
        <f t="shared" si="10"/>
        <v>189</v>
      </c>
      <c r="G337" s="14">
        <f>COUNTIFS($E:$E,E337, Deals_Raw!AF:AF, "Won")</f>
        <v>113</v>
      </c>
      <c r="H337">
        <f t="shared" si="11"/>
        <v>0.59788359788359791</v>
      </c>
      <c r="I337">
        <f>AVERAGEIFS(Deals_Raw!$AT:$AT, $E:$E, E337, Deals_Raw!$AF:$AF, "Won")</f>
        <v>0.6036615079947677</v>
      </c>
    </row>
    <row r="338" spans="4:9">
      <c r="D338" s="8">
        <v>0.129</v>
      </c>
      <c r="E338" t="str">
        <f>Deals_Raw!AU341</f>
        <v>10–15%</v>
      </c>
      <c r="F338" s="11">
        <f t="shared" si="10"/>
        <v>189</v>
      </c>
      <c r="G338" s="14">
        <f>COUNTIFS($E:$E,E338, Deals_Raw!AF:AF, "Won")</f>
        <v>113</v>
      </c>
      <c r="H338">
        <f t="shared" si="11"/>
        <v>0.59788359788359791</v>
      </c>
      <c r="I338">
        <f>AVERAGEIFS(Deals_Raw!$AT:$AT, $E:$E, E338, Deals_Raw!$AF:$AF, "Won")</f>
        <v>0.6036615079947677</v>
      </c>
    </row>
    <row r="339" spans="4:9">
      <c r="D339" s="8">
        <v>8.5999999999999993E-2</v>
      </c>
      <c r="E339" t="str">
        <f>Deals_Raw!AU342</f>
        <v>5–10%</v>
      </c>
      <c r="F339" s="11">
        <f t="shared" si="10"/>
        <v>171</v>
      </c>
      <c r="G339" s="14">
        <f>COUNTIFS($E:$E,E339, Deals_Raw!AF:AF, "Won")</f>
        <v>116</v>
      </c>
      <c r="H339">
        <f t="shared" si="11"/>
        <v>0.67836257309941517</v>
      </c>
      <c r="I339">
        <f>AVERAGEIFS(Deals_Raw!$AT:$AT, $E:$E, E339, Deals_Raw!$AF:$AF, "Won")</f>
        <v>0.6077878084656495</v>
      </c>
    </row>
    <row r="340" spans="4:9">
      <c r="D340" s="8">
        <v>1E-3</v>
      </c>
      <c r="E340" t="str">
        <f>Deals_Raw!AU343</f>
        <v>0–5%</v>
      </c>
      <c r="F340" s="11">
        <f t="shared" si="10"/>
        <v>79</v>
      </c>
      <c r="G340" s="14">
        <f>COUNTIFS($E:$E,E340, Deals_Raw!AF:AF, "Won")</f>
        <v>55</v>
      </c>
      <c r="H340">
        <f t="shared" si="11"/>
        <v>0.69620253164556967</v>
      </c>
      <c r="I340">
        <f>AVERAGEIFS(Deals_Raw!$AT:$AT, $E:$E, E340, Deals_Raw!$AF:$AF, "Won")</f>
        <v>0.61352612210738522</v>
      </c>
    </row>
    <row r="341" spans="4:9">
      <c r="D341" s="8">
        <v>0</v>
      </c>
      <c r="E341" t="str">
        <f>Deals_Raw!AU344</f>
        <v>0–5%</v>
      </c>
      <c r="F341" s="11">
        <f t="shared" si="10"/>
        <v>79</v>
      </c>
      <c r="G341" s="14">
        <f>COUNTIFS($E:$E,E341, Deals_Raw!AF:AF, "Won")</f>
        <v>55</v>
      </c>
      <c r="H341">
        <f t="shared" si="11"/>
        <v>0.69620253164556967</v>
      </c>
      <c r="I341">
        <f>AVERAGEIFS(Deals_Raw!$AT:$AT, $E:$E, E341, Deals_Raw!$AF:$AF, "Won")</f>
        <v>0.61352612210738522</v>
      </c>
    </row>
    <row r="342" spans="4:9">
      <c r="D342" s="8">
        <v>2.3E-2</v>
      </c>
      <c r="E342" t="str">
        <f>Deals_Raw!AU345</f>
        <v>0–5%</v>
      </c>
      <c r="F342" s="11">
        <f t="shared" si="10"/>
        <v>79</v>
      </c>
      <c r="G342" s="14">
        <f>COUNTIFS($E:$E,E342, Deals_Raw!AF:AF, "Won")</f>
        <v>55</v>
      </c>
      <c r="H342">
        <f t="shared" si="11"/>
        <v>0.69620253164556967</v>
      </c>
      <c r="I342">
        <f>AVERAGEIFS(Deals_Raw!$AT:$AT, $E:$E, E342, Deals_Raw!$AF:$AF, "Won")</f>
        <v>0.61352612210738522</v>
      </c>
    </row>
    <row r="343" spans="4:9">
      <c r="D343" s="8">
        <v>0</v>
      </c>
      <c r="E343" t="str">
        <f>Deals_Raw!AU346</f>
        <v>0–5%</v>
      </c>
      <c r="F343" s="11">
        <f t="shared" si="10"/>
        <v>79</v>
      </c>
      <c r="G343" s="14">
        <f>COUNTIFS($E:$E,E343, Deals_Raw!AF:AF, "Won")</f>
        <v>55</v>
      </c>
      <c r="H343">
        <f t="shared" si="11"/>
        <v>0.69620253164556967</v>
      </c>
      <c r="I343">
        <f>AVERAGEIFS(Deals_Raw!$AT:$AT, $E:$E, E343, Deals_Raw!$AF:$AF, "Won")</f>
        <v>0.61352612210738522</v>
      </c>
    </row>
    <row r="344" spans="4:9">
      <c r="D344" s="8">
        <v>8.2000000000000003E-2</v>
      </c>
      <c r="E344" t="str">
        <f>Deals_Raw!AU347</f>
        <v>5–10%</v>
      </c>
      <c r="F344" s="11">
        <f t="shared" si="10"/>
        <v>171</v>
      </c>
      <c r="G344" s="14">
        <f>COUNTIFS($E:$E,E344, Deals_Raw!AF:AF, "Won")</f>
        <v>116</v>
      </c>
      <c r="H344">
        <f t="shared" si="11"/>
        <v>0.67836257309941517</v>
      </c>
      <c r="I344">
        <f>AVERAGEIFS(Deals_Raw!$AT:$AT, $E:$E, E344, Deals_Raw!$AF:$AF, "Won")</f>
        <v>0.6077878084656495</v>
      </c>
    </row>
    <row r="345" spans="4:9">
      <c r="D345" s="8">
        <v>0.123</v>
      </c>
      <c r="E345" t="str">
        <f>Deals_Raw!AU348</f>
        <v>10–15%</v>
      </c>
      <c r="F345" s="11">
        <f t="shared" si="10"/>
        <v>189</v>
      </c>
      <c r="G345" s="14">
        <f>COUNTIFS($E:$E,E345, Deals_Raw!AF:AF, "Won")</f>
        <v>113</v>
      </c>
      <c r="H345">
        <f t="shared" si="11"/>
        <v>0.59788359788359791</v>
      </c>
      <c r="I345">
        <f>AVERAGEIFS(Deals_Raw!$AT:$AT, $E:$E, E345, Deals_Raw!$AF:$AF, "Won")</f>
        <v>0.6036615079947677</v>
      </c>
    </row>
    <row r="346" spans="4:9">
      <c r="D346" s="8">
        <v>7.8E-2</v>
      </c>
      <c r="E346" t="str">
        <f>Deals_Raw!AU349</f>
        <v>5–10%</v>
      </c>
      <c r="F346" s="11">
        <f t="shared" si="10"/>
        <v>171</v>
      </c>
      <c r="G346" s="14">
        <f>COUNTIFS($E:$E,E346, Deals_Raw!AF:AF, "Won")</f>
        <v>116</v>
      </c>
      <c r="H346">
        <f t="shared" si="11"/>
        <v>0.67836257309941517</v>
      </c>
      <c r="I346">
        <f>AVERAGEIFS(Deals_Raw!$AT:$AT, $E:$E, E346, Deals_Raw!$AF:$AF, "Won")</f>
        <v>0.6077878084656495</v>
      </c>
    </row>
    <row r="347" spans="4:9">
      <c r="D347" s="8">
        <v>0.1</v>
      </c>
      <c r="E347" t="str">
        <f>Deals_Raw!AU350</f>
        <v>5–10%</v>
      </c>
      <c r="F347" s="11">
        <f t="shared" si="10"/>
        <v>171</v>
      </c>
      <c r="G347" s="14">
        <f>COUNTIFS($E:$E,E347, Deals_Raw!AF:AF, "Won")</f>
        <v>116</v>
      </c>
      <c r="H347">
        <f t="shared" si="11"/>
        <v>0.67836257309941517</v>
      </c>
      <c r="I347">
        <f>AVERAGEIFS(Deals_Raw!$AT:$AT, $E:$E, E347, Deals_Raw!$AF:$AF, "Won")</f>
        <v>0.6077878084656495</v>
      </c>
    </row>
    <row r="348" spans="4:9">
      <c r="D348" s="8">
        <v>0.16</v>
      </c>
      <c r="E348" t="str">
        <f>Deals_Raw!AU351</f>
        <v>15–20%</v>
      </c>
      <c r="F348" s="11">
        <f t="shared" si="10"/>
        <v>149</v>
      </c>
      <c r="G348" s="14">
        <f>COUNTIFS($E:$E,E348, Deals_Raw!AF:AF, "Won")</f>
        <v>108</v>
      </c>
      <c r="H348">
        <f t="shared" si="11"/>
        <v>0.72483221476510062</v>
      </c>
      <c r="I348">
        <f>AVERAGEIFS(Deals_Raw!$AT:$AT, $E:$E, E348, Deals_Raw!$AF:$AF, "Won")</f>
        <v>0.61267442628905355</v>
      </c>
    </row>
    <row r="349" spans="4:9">
      <c r="D349" s="8">
        <v>5.3999999999999999E-2</v>
      </c>
      <c r="E349" t="str">
        <f>Deals_Raw!AU352</f>
        <v>5–10%</v>
      </c>
      <c r="F349" s="11">
        <f t="shared" si="10"/>
        <v>171</v>
      </c>
      <c r="G349" s="14">
        <f>COUNTIFS($E:$E,E349, Deals_Raw!AF:AF, "Won")</f>
        <v>116</v>
      </c>
      <c r="H349">
        <f t="shared" si="11"/>
        <v>0.67836257309941517</v>
      </c>
      <c r="I349">
        <f>AVERAGEIFS(Deals_Raw!$AT:$AT, $E:$E, E349, Deals_Raw!$AF:$AF, "Won")</f>
        <v>0.6077878084656495</v>
      </c>
    </row>
    <row r="350" spans="4:9">
      <c r="D350" s="8">
        <v>5.5E-2</v>
      </c>
      <c r="E350" t="str">
        <f>Deals_Raw!AU353</f>
        <v>5–10%</v>
      </c>
      <c r="F350" s="11">
        <f t="shared" si="10"/>
        <v>171</v>
      </c>
      <c r="G350" s="14">
        <f>COUNTIFS($E:$E,E350, Deals_Raw!AF:AF, "Won")</f>
        <v>116</v>
      </c>
      <c r="H350">
        <f t="shared" si="11"/>
        <v>0.67836257309941517</v>
      </c>
      <c r="I350">
        <f>AVERAGEIFS(Deals_Raw!$AT:$AT, $E:$E, E350, Deals_Raw!$AF:$AF, "Won")</f>
        <v>0.6077878084656495</v>
      </c>
    </row>
    <row r="351" spans="4:9">
      <c r="D351" s="8">
        <v>6.8000000000000005E-2</v>
      </c>
      <c r="E351" t="str">
        <f>Deals_Raw!AU354</f>
        <v>5–10%</v>
      </c>
      <c r="F351" s="11">
        <f t="shared" si="10"/>
        <v>171</v>
      </c>
      <c r="G351" s="14">
        <f>COUNTIFS($E:$E,E351, Deals_Raw!AF:AF, "Won")</f>
        <v>116</v>
      </c>
      <c r="H351">
        <f t="shared" si="11"/>
        <v>0.67836257309941517</v>
      </c>
      <c r="I351">
        <f>AVERAGEIFS(Deals_Raw!$AT:$AT, $E:$E, E351, Deals_Raw!$AF:$AF, "Won")</f>
        <v>0.6077878084656495</v>
      </c>
    </row>
    <row r="352" spans="4:9">
      <c r="D352" s="8">
        <v>0.22800000000000001</v>
      </c>
      <c r="E352" t="str">
        <f>Deals_Raw!AU355</f>
        <v>20–25%</v>
      </c>
      <c r="F352" s="11">
        <f t="shared" si="10"/>
        <v>41</v>
      </c>
      <c r="G352" s="14">
        <f>COUNTIFS($E:$E,E352, Deals_Raw!AF:AF, "Won")</f>
        <v>29</v>
      </c>
      <c r="H352">
        <f t="shared" si="11"/>
        <v>0.70731707317073167</v>
      </c>
      <c r="I352">
        <f>AVERAGEIFS(Deals_Raw!$AT:$AT, $E:$E, E352, Deals_Raw!$AF:$AF, "Won")</f>
        <v>0.6163731005984544</v>
      </c>
    </row>
    <row r="353" spans="4:9">
      <c r="D353" s="8">
        <v>0.13900000000000001</v>
      </c>
      <c r="E353" t="str">
        <f>Deals_Raw!AU356</f>
        <v>10–15%</v>
      </c>
      <c r="F353" s="11">
        <f t="shared" si="10"/>
        <v>189</v>
      </c>
      <c r="G353" s="14">
        <f>COUNTIFS($E:$E,E353, Deals_Raw!AF:AF, "Won")</f>
        <v>113</v>
      </c>
      <c r="H353">
        <f t="shared" si="11"/>
        <v>0.59788359788359791</v>
      </c>
      <c r="I353">
        <f>AVERAGEIFS(Deals_Raw!$AT:$AT, $E:$E, E353, Deals_Raw!$AF:$AF, "Won")</f>
        <v>0.6036615079947677</v>
      </c>
    </row>
    <row r="354" spans="4:9">
      <c r="D354" s="8">
        <v>6.4000000000000001E-2</v>
      </c>
      <c r="E354" t="str">
        <f>Deals_Raw!AU357</f>
        <v>5–10%</v>
      </c>
      <c r="F354" s="11">
        <f t="shared" si="10"/>
        <v>171</v>
      </c>
      <c r="G354" s="14">
        <f>COUNTIFS($E:$E,E354, Deals_Raw!AF:AF, "Won")</f>
        <v>116</v>
      </c>
      <c r="H354">
        <f t="shared" si="11"/>
        <v>0.67836257309941517</v>
      </c>
      <c r="I354">
        <f>AVERAGEIFS(Deals_Raw!$AT:$AT, $E:$E, E354, Deals_Raw!$AF:$AF, "Won")</f>
        <v>0.6077878084656495</v>
      </c>
    </row>
    <row r="355" spans="4:9">
      <c r="D355" s="8">
        <v>0.16500000000000001</v>
      </c>
      <c r="E355" t="str">
        <f>Deals_Raw!AU358</f>
        <v>15–20%</v>
      </c>
      <c r="F355" s="11">
        <f t="shared" si="10"/>
        <v>149</v>
      </c>
      <c r="G355" s="14">
        <f>COUNTIFS($E:$E,E355, Deals_Raw!AF:AF, "Won")</f>
        <v>108</v>
      </c>
      <c r="H355">
        <f t="shared" si="11"/>
        <v>0.72483221476510062</v>
      </c>
      <c r="I355">
        <f>AVERAGEIFS(Deals_Raw!$AT:$AT, $E:$E, E355, Deals_Raw!$AF:$AF, "Won")</f>
        <v>0.61267442628905355</v>
      </c>
    </row>
    <row r="356" spans="4:9">
      <c r="D356" s="8">
        <v>0.14699999999999999</v>
      </c>
      <c r="E356" t="str">
        <f>Deals_Raw!AU359</f>
        <v>10–15%</v>
      </c>
      <c r="F356" s="11">
        <f t="shared" si="10"/>
        <v>189</v>
      </c>
      <c r="G356" s="14">
        <f>COUNTIFS($E:$E,E356, Deals_Raw!AF:AF, "Won")</f>
        <v>113</v>
      </c>
      <c r="H356">
        <f t="shared" si="11"/>
        <v>0.59788359788359791</v>
      </c>
      <c r="I356">
        <f>AVERAGEIFS(Deals_Raw!$AT:$AT, $E:$E, E356, Deals_Raw!$AF:$AF, "Won")</f>
        <v>0.6036615079947677</v>
      </c>
    </row>
    <row r="357" spans="4:9">
      <c r="D357" s="8">
        <v>4.8000000000000001E-2</v>
      </c>
      <c r="E357" t="str">
        <f>Deals_Raw!AU360</f>
        <v>0–5%</v>
      </c>
      <c r="F357" s="11">
        <f t="shared" si="10"/>
        <v>79</v>
      </c>
      <c r="G357" s="14">
        <f>COUNTIFS($E:$E,E357, Deals_Raw!AF:AF, "Won")</f>
        <v>55</v>
      </c>
      <c r="H357">
        <f t="shared" si="11"/>
        <v>0.69620253164556967</v>
      </c>
      <c r="I357">
        <f>AVERAGEIFS(Deals_Raw!$AT:$AT, $E:$E, E357, Deals_Raw!$AF:$AF, "Won")</f>
        <v>0.61352612210738522</v>
      </c>
    </row>
    <row r="358" spans="4:9">
      <c r="D358" s="8">
        <v>0.16700000000000001</v>
      </c>
      <c r="E358" t="str">
        <f>Deals_Raw!AU361</f>
        <v>15–20%</v>
      </c>
      <c r="F358" s="11">
        <f t="shared" si="10"/>
        <v>149</v>
      </c>
      <c r="G358" s="14">
        <f>COUNTIFS($E:$E,E358, Deals_Raw!AF:AF, "Won")</f>
        <v>108</v>
      </c>
      <c r="H358">
        <f t="shared" si="11"/>
        <v>0.72483221476510062</v>
      </c>
      <c r="I358">
        <f>AVERAGEIFS(Deals_Raw!$AT:$AT, $E:$E, E358, Deals_Raw!$AF:$AF, "Won")</f>
        <v>0.61267442628905355</v>
      </c>
    </row>
    <row r="359" spans="4:9">
      <c r="D359" s="8">
        <v>9.8000000000000004E-2</v>
      </c>
      <c r="E359" t="str">
        <f>Deals_Raw!AU362</f>
        <v>5–10%</v>
      </c>
      <c r="F359" s="11">
        <f t="shared" si="10"/>
        <v>171</v>
      </c>
      <c r="G359" s="14">
        <f>COUNTIFS($E:$E,E359, Deals_Raw!AF:AF, "Won")</f>
        <v>116</v>
      </c>
      <c r="H359">
        <f t="shared" si="11"/>
        <v>0.67836257309941517</v>
      </c>
      <c r="I359">
        <f>AVERAGEIFS(Deals_Raw!$AT:$AT, $E:$E, E359, Deals_Raw!$AF:$AF, "Won")</f>
        <v>0.6077878084656495</v>
      </c>
    </row>
    <row r="360" spans="4:9">
      <c r="D360" s="8">
        <v>4.4999999999999998E-2</v>
      </c>
      <c r="E360" t="str">
        <f>Deals_Raw!AU363</f>
        <v>0–5%</v>
      </c>
      <c r="F360" s="11">
        <f t="shared" si="10"/>
        <v>79</v>
      </c>
      <c r="G360" s="14">
        <f>COUNTIFS($E:$E,E360, Deals_Raw!AF:AF, "Won")</f>
        <v>55</v>
      </c>
      <c r="H360">
        <f t="shared" si="11"/>
        <v>0.69620253164556967</v>
      </c>
      <c r="I360">
        <f>AVERAGEIFS(Deals_Raw!$AT:$AT, $E:$E, E360, Deals_Raw!$AF:$AF, "Won")</f>
        <v>0.61352612210738522</v>
      </c>
    </row>
    <row r="361" spans="4:9">
      <c r="D361" s="8">
        <v>0.22600000000000001</v>
      </c>
      <c r="E361" t="str">
        <f>Deals_Raw!AU364</f>
        <v>20–25%</v>
      </c>
      <c r="F361" s="11">
        <f t="shared" si="10"/>
        <v>41</v>
      </c>
      <c r="G361" s="14">
        <f>COUNTIFS($E:$E,E361, Deals_Raw!AF:AF, "Won")</f>
        <v>29</v>
      </c>
      <c r="H361">
        <f t="shared" si="11"/>
        <v>0.70731707317073167</v>
      </c>
      <c r="I361">
        <f>AVERAGEIFS(Deals_Raw!$AT:$AT, $E:$E, E361, Deals_Raw!$AF:$AF, "Won")</f>
        <v>0.6163731005984544</v>
      </c>
    </row>
    <row r="362" spans="4:9">
      <c r="D362" s="8">
        <v>5.5E-2</v>
      </c>
      <c r="E362" t="str">
        <f>Deals_Raw!AU365</f>
        <v>5–10%</v>
      </c>
      <c r="F362" s="11">
        <f t="shared" si="10"/>
        <v>171</v>
      </c>
      <c r="G362" s="14">
        <f>COUNTIFS($E:$E,E362, Deals_Raw!AF:AF, "Won")</f>
        <v>116</v>
      </c>
      <c r="H362">
        <f t="shared" si="11"/>
        <v>0.67836257309941517</v>
      </c>
      <c r="I362">
        <f>AVERAGEIFS(Deals_Raw!$AT:$AT, $E:$E, E362, Deals_Raw!$AF:$AF, "Won")</f>
        <v>0.6077878084656495</v>
      </c>
    </row>
    <row r="363" spans="4:9">
      <c r="D363" s="8">
        <v>3.5999999999999997E-2</v>
      </c>
      <c r="E363" t="str">
        <f>Deals_Raw!AU366</f>
        <v>0–5%</v>
      </c>
      <c r="F363" s="11">
        <f t="shared" si="10"/>
        <v>79</v>
      </c>
      <c r="G363" s="14">
        <f>COUNTIFS($E:$E,E363, Deals_Raw!AF:AF, "Won")</f>
        <v>55</v>
      </c>
      <c r="H363">
        <f t="shared" si="11"/>
        <v>0.69620253164556967</v>
      </c>
      <c r="I363">
        <f>AVERAGEIFS(Deals_Raw!$AT:$AT, $E:$E, E363, Deals_Raw!$AF:$AF, "Won")</f>
        <v>0.61352612210738522</v>
      </c>
    </row>
    <row r="364" spans="4:9">
      <c r="D364" s="8">
        <v>0.11700000000000001</v>
      </c>
      <c r="E364" t="str">
        <f>Deals_Raw!AU367</f>
        <v>10–15%</v>
      </c>
      <c r="F364" s="11">
        <f t="shared" si="10"/>
        <v>189</v>
      </c>
      <c r="G364" s="14">
        <f>COUNTIFS($E:$E,E364, Deals_Raw!AF:AF, "Won")</f>
        <v>113</v>
      </c>
      <c r="H364">
        <f t="shared" si="11"/>
        <v>0.59788359788359791</v>
      </c>
      <c r="I364">
        <f>AVERAGEIFS(Deals_Raw!$AT:$AT, $E:$E, E364, Deals_Raw!$AF:$AF, "Won")</f>
        <v>0.6036615079947677</v>
      </c>
    </row>
    <row r="365" spans="4:9">
      <c r="D365" s="8">
        <v>9.2999999999999999E-2</v>
      </c>
      <c r="E365" t="str">
        <f>Deals_Raw!AU368</f>
        <v>5–10%</v>
      </c>
      <c r="F365" s="11">
        <f t="shared" si="10"/>
        <v>171</v>
      </c>
      <c r="G365" s="14">
        <f>COUNTIFS($E:$E,E365, Deals_Raw!AF:AF, "Won")</f>
        <v>116</v>
      </c>
      <c r="H365">
        <f t="shared" si="11"/>
        <v>0.67836257309941517</v>
      </c>
      <c r="I365">
        <f>AVERAGEIFS(Deals_Raw!$AT:$AT, $E:$E, E365, Deals_Raw!$AF:$AF, "Won")</f>
        <v>0.6077878084656495</v>
      </c>
    </row>
    <row r="366" spans="4:9">
      <c r="D366" s="8">
        <v>0.17299999999999999</v>
      </c>
      <c r="E366" t="str">
        <f>Deals_Raw!AU369</f>
        <v>15–20%</v>
      </c>
      <c r="F366" s="11">
        <f t="shared" si="10"/>
        <v>149</v>
      </c>
      <c r="G366" s="14">
        <f>COUNTIFS($E:$E,E366, Deals_Raw!AF:AF, "Won")</f>
        <v>108</v>
      </c>
      <c r="H366">
        <f t="shared" si="11"/>
        <v>0.72483221476510062</v>
      </c>
      <c r="I366">
        <f>AVERAGEIFS(Deals_Raw!$AT:$AT, $E:$E, E366, Deals_Raw!$AF:$AF, "Won")</f>
        <v>0.61267442628905355</v>
      </c>
    </row>
    <row r="367" spans="4:9">
      <c r="D367" s="8">
        <v>0.19700000000000001</v>
      </c>
      <c r="E367" t="str">
        <f>Deals_Raw!AU370</f>
        <v>15–20%</v>
      </c>
      <c r="F367" s="11">
        <f t="shared" si="10"/>
        <v>149</v>
      </c>
      <c r="G367" s="14">
        <f>COUNTIFS($E:$E,E367, Deals_Raw!AF:AF, "Won")</f>
        <v>108</v>
      </c>
      <c r="H367">
        <f t="shared" si="11"/>
        <v>0.72483221476510062</v>
      </c>
      <c r="I367">
        <f>AVERAGEIFS(Deals_Raw!$AT:$AT, $E:$E, E367, Deals_Raw!$AF:$AF, "Won")</f>
        <v>0.61267442628905355</v>
      </c>
    </row>
    <row r="368" spans="4:9">
      <c r="D368" s="8">
        <v>0.17100000000000001</v>
      </c>
      <c r="E368" t="str">
        <f>Deals_Raw!AU371</f>
        <v>15–20%</v>
      </c>
      <c r="F368" s="11">
        <f t="shared" si="10"/>
        <v>149</v>
      </c>
      <c r="G368" s="14">
        <f>COUNTIFS($E:$E,E368, Deals_Raw!AF:AF, "Won")</f>
        <v>108</v>
      </c>
      <c r="H368">
        <f t="shared" si="11"/>
        <v>0.72483221476510062</v>
      </c>
      <c r="I368">
        <f>AVERAGEIFS(Deals_Raw!$AT:$AT, $E:$E, E368, Deals_Raw!$AF:$AF, "Won")</f>
        <v>0.61267442628905355</v>
      </c>
    </row>
    <row r="369" spans="4:9">
      <c r="D369" s="8">
        <v>7.9000000000000001E-2</v>
      </c>
      <c r="E369" t="str">
        <f>Deals_Raw!AU372</f>
        <v>5–10%</v>
      </c>
      <c r="F369" s="11">
        <f t="shared" si="10"/>
        <v>171</v>
      </c>
      <c r="G369" s="14">
        <f>COUNTIFS($E:$E,E369, Deals_Raw!AF:AF, "Won")</f>
        <v>116</v>
      </c>
      <c r="H369">
        <f t="shared" si="11"/>
        <v>0.67836257309941517</v>
      </c>
      <c r="I369">
        <f>AVERAGEIFS(Deals_Raw!$AT:$AT, $E:$E, E369, Deals_Raw!$AF:$AF, "Won")</f>
        <v>0.6077878084656495</v>
      </c>
    </row>
    <row r="370" spans="4:9">
      <c r="D370" s="8">
        <v>0.185</v>
      </c>
      <c r="E370" t="str">
        <f>Deals_Raw!AU373</f>
        <v>15–20%</v>
      </c>
      <c r="F370" s="11">
        <f t="shared" si="10"/>
        <v>149</v>
      </c>
      <c r="G370" s="14">
        <f>COUNTIFS($E:$E,E370, Deals_Raw!AF:AF, "Won")</f>
        <v>108</v>
      </c>
      <c r="H370">
        <f t="shared" si="11"/>
        <v>0.72483221476510062</v>
      </c>
      <c r="I370">
        <f>AVERAGEIFS(Deals_Raw!$AT:$AT, $E:$E, E370, Deals_Raw!$AF:$AF, "Won")</f>
        <v>0.61267442628905355</v>
      </c>
    </row>
    <row r="371" spans="4:9">
      <c r="D371" s="8">
        <v>2.9000000000000001E-2</v>
      </c>
      <c r="E371" t="str">
        <f>Deals_Raw!AU374</f>
        <v>0–5%</v>
      </c>
      <c r="F371" s="11">
        <f t="shared" si="10"/>
        <v>79</v>
      </c>
      <c r="G371" s="14">
        <f>COUNTIFS($E:$E,E371, Deals_Raw!AF:AF, "Won")</f>
        <v>55</v>
      </c>
      <c r="H371">
        <f t="shared" si="11"/>
        <v>0.69620253164556967</v>
      </c>
      <c r="I371">
        <f>AVERAGEIFS(Deals_Raw!$AT:$AT, $E:$E, E371, Deals_Raw!$AF:$AF, "Won")</f>
        <v>0.61352612210738522</v>
      </c>
    </row>
    <row r="372" spans="4:9">
      <c r="D372" s="8">
        <v>7.8E-2</v>
      </c>
      <c r="E372" t="str">
        <f>Deals_Raw!AU375</f>
        <v>5–10%</v>
      </c>
      <c r="F372" s="11">
        <f t="shared" si="10"/>
        <v>171</v>
      </c>
      <c r="G372" s="14">
        <f>COUNTIFS($E:$E,E372, Deals_Raw!AF:AF, "Won")</f>
        <v>116</v>
      </c>
      <c r="H372">
        <f t="shared" si="11"/>
        <v>0.67836257309941517</v>
      </c>
      <c r="I372">
        <f>AVERAGEIFS(Deals_Raw!$AT:$AT, $E:$E, E372, Deals_Raw!$AF:$AF, "Won")</f>
        <v>0.6077878084656495</v>
      </c>
    </row>
    <row r="373" spans="4:9">
      <c r="D373" s="8">
        <v>0.19700000000000001</v>
      </c>
      <c r="E373" t="str">
        <f>Deals_Raw!AU376</f>
        <v>15–20%</v>
      </c>
      <c r="F373" s="11">
        <f t="shared" si="10"/>
        <v>149</v>
      </c>
      <c r="G373" s="14">
        <f>COUNTIFS($E:$E,E373, Deals_Raw!AF:AF, "Won")</f>
        <v>108</v>
      </c>
      <c r="H373">
        <f t="shared" si="11"/>
        <v>0.72483221476510062</v>
      </c>
      <c r="I373">
        <f>AVERAGEIFS(Deals_Raw!$AT:$AT, $E:$E, E373, Deals_Raw!$AF:$AF, "Won")</f>
        <v>0.61267442628905355</v>
      </c>
    </row>
    <row r="374" spans="4:9">
      <c r="D374" s="8">
        <v>0.124</v>
      </c>
      <c r="E374" t="str">
        <f>Deals_Raw!AU377</f>
        <v>10–15%</v>
      </c>
      <c r="F374" s="11">
        <f t="shared" si="10"/>
        <v>189</v>
      </c>
      <c r="G374" s="14">
        <f>COUNTIFS($E:$E,E374, Deals_Raw!AF:AF, "Won")</f>
        <v>113</v>
      </c>
      <c r="H374">
        <f t="shared" si="11"/>
        <v>0.59788359788359791</v>
      </c>
      <c r="I374">
        <f>AVERAGEIFS(Deals_Raw!$AT:$AT, $E:$E, E374, Deals_Raw!$AF:$AF, "Won")</f>
        <v>0.6036615079947677</v>
      </c>
    </row>
    <row r="375" spans="4:9">
      <c r="D375" s="8">
        <v>5.1999999999999998E-2</v>
      </c>
      <c r="E375" t="str">
        <f>Deals_Raw!AU378</f>
        <v>5–10%</v>
      </c>
      <c r="F375" s="11">
        <f t="shared" si="10"/>
        <v>171</v>
      </c>
      <c r="G375" s="14">
        <f>COUNTIFS($E:$E,E375, Deals_Raw!AF:AF, "Won")</f>
        <v>116</v>
      </c>
      <c r="H375">
        <f t="shared" si="11"/>
        <v>0.67836257309941517</v>
      </c>
      <c r="I375">
        <f>AVERAGEIFS(Deals_Raw!$AT:$AT, $E:$E, E375, Deals_Raw!$AF:$AF, "Won")</f>
        <v>0.6077878084656495</v>
      </c>
    </row>
    <row r="376" spans="4:9">
      <c r="D376" s="8">
        <v>0.24</v>
      </c>
      <c r="E376" t="str">
        <f>Deals_Raw!AU379</f>
        <v>20–25%</v>
      </c>
      <c r="F376" s="11">
        <f t="shared" si="10"/>
        <v>41</v>
      </c>
      <c r="G376" s="14">
        <f>COUNTIFS($E:$E,E376, Deals_Raw!AF:AF, "Won")</f>
        <v>29</v>
      </c>
      <c r="H376">
        <f t="shared" si="11"/>
        <v>0.70731707317073167</v>
      </c>
      <c r="I376">
        <f>AVERAGEIFS(Deals_Raw!$AT:$AT, $E:$E, E376, Deals_Raw!$AF:$AF, "Won")</f>
        <v>0.6163731005984544</v>
      </c>
    </row>
    <row r="377" spans="4:9">
      <c r="D377" s="8">
        <v>0.10100000000000001</v>
      </c>
      <c r="E377" t="str">
        <f>Deals_Raw!AU380</f>
        <v>10–15%</v>
      </c>
      <c r="F377" s="11">
        <f t="shared" si="10"/>
        <v>189</v>
      </c>
      <c r="G377" s="14">
        <f>COUNTIFS($E:$E,E377, Deals_Raw!AF:AF, "Won")</f>
        <v>113</v>
      </c>
      <c r="H377">
        <f t="shared" si="11"/>
        <v>0.59788359788359791</v>
      </c>
      <c r="I377">
        <f>AVERAGEIFS(Deals_Raw!$AT:$AT, $E:$E, E377, Deals_Raw!$AF:$AF, "Won")</f>
        <v>0.6036615079947677</v>
      </c>
    </row>
    <row r="378" spans="4:9">
      <c r="D378" s="8">
        <v>9.5000000000000001E-2</v>
      </c>
      <c r="E378" t="str">
        <f>Deals_Raw!AU381</f>
        <v>5–10%</v>
      </c>
      <c r="F378" s="11">
        <f t="shared" si="10"/>
        <v>171</v>
      </c>
      <c r="G378" s="14">
        <f>COUNTIFS($E:$E,E378, Deals_Raw!AF:AF, "Won")</f>
        <v>116</v>
      </c>
      <c r="H378">
        <f t="shared" si="11"/>
        <v>0.67836257309941517</v>
      </c>
      <c r="I378">
        <f>AVERAGEIFS(Deals_Raw!$AT:$AT, $E:$E, E378, Deals_Raw!$AF:$AF, "Won")</f>
        <v>0.6077878084656495</v>
      </c>
    </row>
    <row r="379" spans="4:9">
      <c r="D379" s="8">
        <v>0.105</v>
      </c>
      <c r="E379" t="str">
        <f>Deals_Raw!AU382</f>
        <v>10–15%</v>
      </c>
      <c r="F379" s="11">
        <f t="shared" si="10"/>
        <v>189</v>
      </c>
      <c r="G379" s="14">
        <f>COUNTIFS($E:$E,E379, Deals_Raw!AF:AF, "Won")</f>
        <v>113</v>
      </c>
      <c r="H379">
        <f t="shared" si="11"/>
        <v>0.59788359788359791</v>
      </c>
      <c r="I379">
        <f>AVERAGEIFS(Deals_Raw!$AT:$AT, $E:$E, E379, Deals_Raw!$AF:$AF, "Won")</f>
        <v>0.6036615079947677</v>
      </c>
    </row>
    <row r="380" spans="4:9">
      <c r="D380" s="8">
        <v>0.13200000000000001</v>
      </c>
      <c r="E380" t="str">
        <f>Deals_Raw!AU383</f>
        <v>10–15%</v>
      </c>
      <c r="F380" s="11">
        <f t="shared" si="10"/>
        <v>189</v>
      </c>
      <c r="G380" s="14">
        <f>COUNTIFS($E:$E,E380, Deals_Raw!AF:AF, "Won")</f>
        <v>113</v>
      </c>
      <c r="H380">
        <f t="shared" si="11"/>
        <v>0.59788359788359791</v>
      </c>
      <c r="I380">
        <f>AVERAGEIFS(Deals_Raw!$AT:$AT, $E:$E, E380, Deals_Raw!$AF:$AF, "Won")</f>
        <v>0.6036615079947677</v>
      </c>
    </row>
    <row r="381" spans="4:9">
      <c r="D381" s="8">
        <v>0.17100000000000001</v>
      </c>
      <c r="E381" t="str">
        <f>Deals_Raw!AU384</f>
        <v>15–20%</v>
      </c>
      <c r="F381" s="11">
        <f t="shared" si="10"/>
        <v>149</v>
      </c>
      <c r="G381" s="14">
        <f>COUNTIFS($E:$E,E381, Deals_Raw!AF:AF, "Won")</f>
        <v>108</v>
      </c>
      <c r="H381">
        <f t="shared" si="11"/>
        <v>0.72483221476510062</v>
      </c>
      <c r="I381">
        <f>AVERAGEIFS(Deals_Raw!$AT:$AT, $E:$E, E381, Deals_Raw!$AF:$AF, "Won")</f>
        <v>0.61267442628905355</v>
      </c>
    </row>
    <row r="382" spans="4:9">
      <c r="D382" s="8">
        <v>0.13</v>
      </c>
      <c r="E382" t="str">
        <f>Deals_Raw!AU385</f>
        <v>10–15%</v>
      </c>
      <c r="F382" s="11">
        <f t="shared" si="10"/>
        <v>189</v>
      </c>
      <c r="G382" s="14">
        <f>COUNTIFS($E:$E,E382, Deals_Raw!AF:AF, "Won")</f>
        <v>113</v>
      </c>
      <c r="H382">
        <f t="shared" si="11"/>
        <v>0.59788359788359791</v>
      </c>
      <c r="I382">
        <f>AVERAGEIFS(Deals_Raw!$AT:$AT, $E:$E, E382, Deals_Raw!$AF:$AF, "Won")</f>
        <v>0.6036615079947677</v>
      </c>
    </row>
    <row r="383" spans="4:9">
      <c r="D383" s="8">
        <v>0</v>
      </c>
      <c r="E383" t="str">
        <f>Deals_Raw!AU386</f>
        <v>0–5%</v>
      </c>
      <c r="F383" s="11">
        <f t="shared" si="10"/>
        <v>79</v>
      </c>
      <c r="G383" s="14">
        <f>COUNTIFS($E:$E,E383, Deals_Raw!AF:AF, "Won")</f>
        <v>55</v>
      </c>
      <c r="H383">
        <f t="shared" si="11"/>
        <v>0.69620253164556967</v>
      </c>
      <c r="I383">
        <f>AVERAGEIFS(Deals_Raw!$AT:$AT, $E:$E, E383, Deals_Raw!$AF:$AF, "Won")</f>
        <v>0.61352612210738522</v>
      </c>
    </row>
    <row r="384" spans="4:9">
      <c r="D384" s="8">
        <v>0.13700000000000001</v>
      </c>
      <c r="E384" t="str">
        <f>Deals_Raw!AU387</f>
        <v>10–15%</v>
      </c>
      <c r="F384" s="11">
        <f t="shared" si="10"/>
        <v>189</v>
      </c>
      <c r="G384" s="14">
        <f>COUNTIFS($E:$E,E384, Deals_Raw!AF:AF, "Won")</f>
        <v>113</v>
      </c>
      <c r="H384">
        <f t="shared" si="11"/>
        <v>0.59788359788359791</v>
      </c>
      <c r="I384">
        <f>AVERAGEIFS(Deals_Raw!$AT:$AT, $E:$E, E384, Deals_Raw!$AF:$AF, "Won")</f>
        <v>0.6036615079947677</v>
      </c>
    </row>
    <row r="385" spans="4:9">
      <c r="D385" s="8">
        <v>0.221</v>
      </c>
      <c r="E385" t="str">
        <f>Deals_Raw!AU388</f>
        <v>20–25%</v>
      </c>
      <c r="F385" s="11">
        <f t="shared" si="10"/>
        <v>41</v>
      </c>
      <c r="G385" s="14">
        <f>COUNTIFS($E:$E,E385, Deals_Raw!AF:AF, "Won")</f>
        <v>29</v>
      </c>
      <c r="H385">
        <f t="shared" si="11"/>
        <v>0.70731707317073167</v>
      </c>
      <c r="I385">
        <f>AVERAGEIFS(Deals_Raw!$AT:$AT, $E:$E, E385, Deals_Raw!$AF:$AF, "Won")</f>
        <v>0.6163731005984544</v>
      </c>
    </row>
    <row r="386" spans="4:9">
      <c r="D386" s="8">
        <v>0.188</v>
      </c>
      <c r="E386" t="str">
        <f>Deals_Raw!AU389</f>
        <v>15–20%</v>
      </c>
      <c r="F386" s="11">
        <f t="shared" ref="F386:F449" si="12">COUNTIF($E:$E,E386)</f>
        <v>149</v>
      </c>
      <c r="G386" s="14">
        <f>COUNTIFS($E:$E,E386, Deals_Raw!AF:AF, "Won")</f>
        <v>108</v>
      </c>
      <c r="H386">
        <f t="shared" si="11"/>
        <v>0.72483221476510062</v>
      </c>
      <c r="I386">
        <f>AVERAGEIFS(Deals_Raw!$AT:$AT, $E:$E, E386, Deals_Raw!$AF:$AF, "Won")</f>
        <v>0.61267442628905355</v>
      </c>
    </row>
    <row r="387" spans="4:9">
      <c r="D387" s="8">
        <v>6.2E-2</v>
      </c>
      <c r="E387" t="str">
        <f>Deals_Raw!AU390</f>
        <v>5–10%</v>
      </c>
      <c r="F387" s="11">
        <f t="shared" si="12"/>
        <v>171</v>
      </c>
      <c r="G387" s="14">
        <f>COUNTIFS($E:$E,E387, Deals_Raw!AF:AF, "Won")</f>
        <v>116</v>
      </c>
      <c r="H387">
        <f t="shared" ref="H387:H450" si="13">G387/F387</f>
        <v>0.67836257309941517</v>
      </c>
      <c r="I387">
        <f>AVERAGEIFS(Deals_Raw!$AT:$AT, $E:$E, E387, Deals_Raw!$AF:$AF, "Won")</f>
        <v>0.6077878084656495</v>
      </c>
    </row>
    <row r="388" spans="4:9">
      <c r="D388" s="8">
        <v>0.187</v>
      </c>
      <c r="E388" t="str">
        <f>Deals_Raw!AU391</f>
        <v>15–20%</v>
      </c>
      <c r="F388" s="11">
        <f t="shared" si="12"/>
        <v>149</v>
      </c>
      <c r="G388" s="14">
        <f>COUNTIFS($E:$E,E388, Deals_Raw!AF:AF, "Won")</f>
        <v>108</v>
      </c>
      <c r="H388">
        <f t="shared" si="13"/>
        <v>0.72483221476510062</v>
      </c>
      <c r="I388">
        <f>AVERAGEIFS(Deals_Raw!$AT:$AT, $E:$E, E388, Deals_Raw!$AF:$AF, "Won")</f>
        <v>0.61267442628905355</v>
      </c>
    </row>
    <row r="389" spans="4:9">
      <c r="D389" s="8">
        <v>6.7000000000000004E-2</v>
      </c>
      <c r="E389" t="str">
        <f>Deals_Raw!AU392</f>
        <v>5–10%</v>
      </c>
      <c r="F389" s="11">
        <f t="shared" si="12"/>
        <v>171</v>
      </c>
      <c r="G389" s="14">
        <f>COUNTIFS($E:$E,E389, Deals_Raw!AF:AF, "Won")</f>
        <v>116</v>
      </c>
      <c r="H389">
        <f t="shared" si="13"/>
        <v>0.67836257309941517</v>
      </c>
      <c r="I389">
        <f>AVERAGEIFS(Deals_Raw!$AT:$AT, $E:$E, E389, Deals_Raw!$AF:$AF, "Won")</f>
        <v>0.6077878084656495</v>
      </c>
    </row>
    <row r="390" spans="4:9">
      <c r="D390" s="8">
        <v>7.1999999999999995E-2</v>
      </c>
      <c r="E390" t="str">
        <f>Deals_Raw!AU393</f>
        <v>5–10%</v>
      </c>
      <c r="F390" s="11">
        <f t="shared" si="12"/>
        <v>171</v>
      </c>
      <c r="G390" s="14">
        <f>COUNTIFS($E:$E,E390, Deals_Raw!AF:AF, "Won")</f>
        <v>116</v>
      </c>
      <c r="H390">
        <f t="shared" si="13"/>
        <v>0.67836257309941517</v>
      </c>
      <c r="I390">
        <f>AVERAGEIFS(Deals_Raw!$AT:$AT, $E:$E, E390, Deals_Raw!$AF:$AF, "Won")</f>
        <v>0.6077878084656495</v>
      </c>
    </row>
    <row r="391" spans="4:9">
      <c r="D391" s="8">
        <v>0.254</v>
      </c>
      <c r="E391" t="str">
        <f>Deals_Raw!AU394</f>
        <v>25–30%</v>
      </c>
      <c r="F391" s="11">
        <f t="shared" si="12"/>
        <v>7</v>
      </c>
      <c r="G391" s="14">
        <f>COUNTIFS($E:$E,E391, Deals_Raw!AF:AF, "Won")</f>
        <v>3</v>
      </c>
      <c r="H391">
        <f t="shared" si="13"/>
        <v>0.42857142857142855</v>
      </c>
      <c r="I391">
        <f>AVERAGEIFS(Deals_Raw!$AT:$AT, $E:$E, E391, Deals_Raw!$AF:$AF, "Won")</f>
        <v>0.60970059861072146</v>
      </c>
    </row>
    <row r="392" spans="4:9">
      <c r="D392" s="8">
        <v>0.17799999999999999</v>
      </c>
      <c r="E392" t="str">
        <f>Deals_Raw!AU395</f>
        <v>15–20%</v>
      </c>
      <c r="F392" s="11">
        <f t="shared" si="12"/>
        <v>149</v>
      </c>
      <c r="G392" s="14">
        <f>COUNTIFS($E:$E,E392, Deals_Raw!AF:AF, "Won")</f>
        <v>108</v>
      </c>
      <c r="H392">
        <f t="shared" si="13"/>
        <v>0.72483221476510062</v>
      </c>
      <c r="I392">
        <f>AVERAGEIFS(Deals_Raw!$AT:$AT, $E:$E, E392, Deals_Raw!$AF:$AF, "Won")</f>
        <v>0.61267442628905355</v>
      </c>
    </row>
    <row r="393" spans="4:9">
      <c r="D393" s="8">
        <v>0.13500000000000001</v>
      </c>
      <c r="E393" t="str">
        <f>Deals_Raw!AU396</f>
        <v>10–15%</v>
      </c>
      <c r="F393" s="11">
        <f t="shared" si="12"/>
        <v>189</v>
      </c>
      <c r="G393" s="14">
        <f>COUNTIFS($E:$E,E393, Deals_Raw!AF:AF, "Won")</f>
        <v>113</v>
      </c>
      <c r="H393">
        <f t="shared" si="13"/>
        <v>0.59788359788359791</v>
      </c>
      <c r="I393">
        <f>AVERAGEIFS(Deals_Raw!$AT:$AT, $E:$E, E393, Deals_Raw!$AF:$AF, "Won")</f>
        <v>0.6036615079947677</v>
      </c>
    </row>
    <row r="394" spans="4:9">
      <c r="D394" s="8">
        <v>0.02</v>
      </c>
      <c r="E394" t="str">
        <f>Deals_Raw!AU397</f>
        <v>0–5%</v>
      </c>
      <c r="F394" s="11">
        <f t="shared" si="12"/>
        <v>79</v>
      </c>
      <c r="G394" s="14">
        <f>COUNTIFS($E:$E,E394, Deals_Raw!AF:AF, "Won")</f>
        <v>55</v>
      </c>
      <c r="H394">
        <f t="shared" si="13"/>
        <v>0.69620253164556967</v>
      </c>
      <c r="I394">
        <f>AVERAGEIFS(Deals_Raw!$AT:$AT, $E:$E, E394, Deals_Raw!$AF:$AF, "Won")</f>
        <v>0.61352612210738522</v>
      </c>
    </row>
    <row r="395" spans="4:9">
      <c r="D395" s="8">
        <v>0.25</v>
      </c>
      <c r="E395" t="str">
        <f>Deals_Raw!AU398</f>
        <v>20–25%</v>
      </c>
      <c r="F395" s="11">
        <f t="shared" si="12"/>
        <v>41</v>
      </c>
      <c r="G395" s="14">
        <f>COUNTIFS($E:$E,E395, Deals_Raw!AF:AF, "Won")</f>
        <v>29</v>
      </c>
      <c r="H395">
        <f t="shared" si="13"/>
        <v>0.70731707317073167</v>
      </c>
      <c r="I395">
        <f>AVERAGEIFS(Deals_Raw!$AT:$AT, $E:$E, E395, Deals_Raw!$AF:$AF, "Won")</f>
        <v>0.6163731005984544</v>
      </c>
    </row>
    <row r="396" spans="4:9">
      <c r="D396" s="8">
        <v>0.10199999999999999</v>
      </c>
      <c r="E396" t="str">
        <f>Deals_Raw!AU399</f>
        <v>10–15%</v>
      </c>
      <c r="F396" s="11">
        <f t="shared" si="12"/>
        <v>189</v>
      </c>
      <c r="G396" s="14">
        <f>COUNTIFS($E:$E,E396, Deals_Raw!AF:AF, "Won")</f>
        <v>113</v>
      </c>
      <c r="H396">
        <f t="shared" si="13"/>
        <v>0.59788359788359791</v>
      </c>
      <c r="I396">
        <f>AVERAGEIFS(Deals_Raw!$AT:$AT, $E:$E, E396, Deals_Raw!$AF:$AF, "Won")</f>
        <v>0.6036615079947677</v>
      </c>
    </row>
    <row r="397" spans="4:9">
      <c r="D397" s="8">
        <v>0.115</v>
      </c>
      <c r="E397" t="str">
        <f>Deals_Raw!AU400</f>
        <v>10–15%</v>
      </c>
      <c r="F397" s="11">
        <f t="shared" si="12"/>
        <v>189</v>
      </c>
      <c r="G397" s="14">
        <f>COUNTIFS($E:$E,E397, Deals_Raw!AF:AF, "Won")</f>
        <v>113</v>
      </c>
      <c r="H397">
        <f t="shared" si="13"/>
        <v>0.59788359788359791</v>
      </c>
      <c r="I397">
        <f>AVERAGEIFS(Deals_Raw!$AT:$AT, $E:$E, E397, Deals_Raw!$AF:$AF, "Won")</f>
        <v>0.6036615079947677</v>
      </c>
    </row>
    <row r="398" spans="4:9">
      <c r="D398" s="8">
        <v>0.16800000000000001</v>
      </c>
      <c r="E398" t="str">
        <f>Deals_Raw!AU401</f>
        <v>15–20%</v>
      </c>
      <c r="F398" s="11">
        <f t="shared" si="12"/>
        <v>149</v>
      </c>
      <c r="G398" s="14">
        <f>COUNTIFS($E:$E,E398, Deals_Raw!AF:AF, "Won")</f>
        <v>108</v>
      </c>
      <c r="H398">
        <f t="shared" si="13"/>
        <v>0.72483221476510062</v>
      </c>
      <c r="I398">
        <f>AVERAGEIFS(Deals_Raw!$AT:$AT, $E:$E, E398, Deals_Raw!$AF:$AF, "Won")</f>
        <v>0.61267442628905355</v>
      </c>
    </row>
    <row r="399" spans="4:9">
      <c r="D399" s="8">
        <v>0.14099999999999999</v>
      </c>
      <c r="E399" t="str">
        <f>Deals_Raw!AU402</f>
        <v>10–15%</v>
      </c>
      <c r="F399" s="11">
        <f t="shared" si="12"/>
        <v>189</v>
      </c>
      <c r="G399" s="14">
        <f>COUNTIFS($E:$E,E399, Deals_Raw!AF:AF, "Won")</f>
        <v>113</v>
      </c>
      <c r="H399">
        <f t="shared" si="13"/>
        <v>0.59788359788359791</v>
      </c>
      <c r="I399">
        <f>AVERAGEIFS(Deals_Raw!$AT:$AT, $E:$E, E399, Deals_Raw!$AF:$AF, "Won")</f>
        <v>0.6036615079947677</v>
      </c>
    </row>
    <row r="400" spans="4:9">
      <c r="D400" s="8">
        <v>0.13900000000000001</v>
      </c>
      <c r="E400" t="str">
        <f>Deals_Raw!AU403</f>
        <v>10–15%</v>
      </c>
      <c r="F400" s="11">
        <f t="shared" si="12"/>
        <v>189</v>
      </c>
      <c r="G400" s="14">
        <f>COUNTIFS($E:$E,E400, Deals_Raw!AF:AF, "Won")</f>
        <v>113</v>
      </c>
      <c r="H400">
        <f t="shared" si="13"/>
        <v>0.59788359788359791</v>
      </c>
      <c r="I400">
        <f>AVERAGEIFS(Deals_Raw!$AT:$AT, $E:$E, E400, Deals_Raw!$AF:$AF, "Won")</f>
        <v>0.6036615079947677</v>
      </c>
    </row>
    <row r="401" spans="4:9">
      <c r="D401" s="8">
        <v>8.5999999999999993E-2</v>
      </c>
      <c r="E401" t="str">
        <f>Deals_Raw!AU404</f>
        <v>5–10%</v>
      </c>
      <c r="F401" s="11">
        <f t="shared" si="12"/>
        <v>171</v>
      </c>
      <c r="G401" s="14">
        <f>COUNTIFS($E:$E,E401, Deals_Raw!AF:AF, "Won")</f>
        <v>116</v>
      </c>
      <c r="H401">
        <f t="shared" si="13"/>
        <v>0.67836257309941517</v>
      </c>
      <c r="I401">
        <f>AVERAGEIFS(Deals_Raw!$AT:$AT, $E:$E, E401, Deals_Raw!$AF:$AF, "Won")</f>
        <v>0.6077878084656495</v>
      </c>
    </row>
    <row r="402" spans="4:9">
      <c r="D402" s="8">
        <v>7.0999999999999994E-2</v>
      </c>
      <c r="E402" t="str">
        <f>Deals_Raw!AU405</f>
        <v>5–10%</v>
      </c>
      <c r="F402" s="11">
        <f t="shared" si="12"/>
        <v>171</v>
      </c>
      <c r="G402" s="14">
        <f>COUNTIFS($E:$E,E402, Deals_Raw!AF:AF, "Won")</f>
        <v>116</v>
      </c>
      <c r="H402">
        <f t="shared" si="13"/>
        <v>0.67836257309941517</v>
      </c>
      <c r="I402">
        <f>AVERAGEIFS(Deals_Raw!$AT:$AT, $E:$E, E402, Deals_Raw!$AF:$AF, "Won")</f>
        <v>0.6077878084656495</v>
      </c>
    </row>
    <row r="403" spans="4:9">
      <c r="D403" s="8">
        <v>0.108</v>
      </c>
      <c r="E403" t="str">
        <f>Deals_Raw!AU406</f>
        <v>10–15%</v>
      </c>
      <c r="F403" s="11">
        <f t="shared" si="12"/>
        <v>189</v>
      </c>
      <c r="G403" s="14">
        <f>COUNTIFS($E:$E,E403, Deals_Raw!AF:AF, "Won")</f>
        <v>113</v>
      </c>
      <c r="H403">
        <f t="shared" si="13"/>
        <v>0.59788359788359791</v>
      </c>
      <c r="I403">
        <f>AVERAGEIFS(Deals_Raw!$AT:$AT, $E:$E, E403, Deals_Raw!$AF:$AF, "Won")</f>
        <v>0.6036615079947677</v>
      </c>
    </row>
    <row r="404" spans="4:9">
      <c r="D404" s="8">
        <v>0.113</v>
      </c>
      <c r="E404" t="str">
        <f>Deals_Raw!AU407</f>
        <v>10–15%</v>
      </c>
      <c r="F404" s="11">
        <f t="shared" si="12"/>
        <v>189</v>
      </c>
      <c r="G404" s="14">
        <f>COUNTIFS($E:$E,E404, Deals_Raw!AF:AF, "Won")</f>
        <v>113</v>
      </c>
      <c r="H404">
        <f t="shared" si="13"/>
        <v>0.59788359788359791</v>
      </c>
      <c r="I404">
        <f>AVERAGEIFS(Deals_Raw!$AT:$AT, $E:$E, E404, Deals_Raw!$AF:$AF, "Won")</f>
        <v>0.6036615079947677</v>
      </c>
    </row>
    <row r="405" spans="4:9">
      <c r="D405" s="8">
        <v>0.04</v>
      </c>
      <c r="E405" t="str">
        <f>Deals_Raw!AU408</f>
        <v>0–5%</v>
      </c>
      <c r="F405" s="11">
        <f t="shared" si="12"/>
        <v>79</v>
      </c>
      <c r="G405" s="14">
        <f>COUNTIFS($E:$E,E405, Deals_Raw!AF:AF, "Won")</f>
        <v>55</v>
      </c>
      <c r="H405">
        <f t="shared" si="13"/>
        <v>0.69620253164556967</v>
      </c>
      <c r="I405">
        <f>AVERAGEIFS(Deals_Raw!$AT:$AT, $E:$E, E405, Deals_Raw!$AF:$AF, "Won")</f>
        <v>0.61352612210738522</v>
      </c>
    </row>
    <row r="406" spans="4:9">
      <c r="D406" s="8">
        <v>0.192</v>
      </c>
      <c r="E406" t="str">
        <f>Deals_Raw!AU409</f>
        <v>15–20%</v>
      </c>
      <c r="F406" s="11">
        <f t="shared" si="12"/>
        <v>149</v>
      </c>
      <c r="G406" s="14">
        <f>COUNTIFS($E:$E,E406, Deals_Raw!AF:AF, "Won")</f>
        <v>108</v>
      </c>
      <c r="H406">
        <f t="shared" si="13"/>
        <v>0.72483221476510062</v>
      </c>
      <c r="I406">
        <f>AVERAGEIFS(Deals_Raw!$AT:$AT, $E:$E, E406, Deals_Raw!$AF:$AF, "Won")</f>
        <v>0.61267442628905355</v>
      </c>
    </row>
    <row r="407" spans="4:9">
      <c r="D407" s="8">
        <v>0.14299999999999999</v>
      </c>
      <c r="E407" t="str">
        <f>Deals_Raw!AU410</f>
        <v>10–15%</v>
      </c>
      <c r="F407" s="11">
        <f t="shared" si="12"/>
        <v>189</v>
      </c>
      <c r="G407" s="14">
        <f>COUNTIFS($E:$E,E407, Deals_Raw!AF:AF, "Won")</f>
        <v>113</v>
      </c>
      <c r="H407">
        <f t="shared" si="13"/>
        <v>0.59788359788359791</v>
      </c>
      <c r="I407">
        <f>AVERAGEIFS(Deals_Raw!$AT:$AT, $E:$E, E407, Deals_Raw!$AF:$AF, "Won")</f>
        <v>0.6036615079947677</v>
      </c>
    </row>
    <row r="408" spans="4:9">
      <c r="D408" s="8">
        <v>0.189</v>
      </c>
      <c r="E408" t="str">
        <f>Deals_Raw!AU411</f>
        <v>15–20%</v>
      </c>
      <c r="F408" s="11">
        <f t="shared" si="12"/>
        <v>149</v>
      </c>
      <c r="G408" s="14">
        <f>COUNTIFS($E:$E,E408, Deals_Raw!AF:AF, "Won")</f>
        <v>108</v>
      </c>
      <c r="H408">
        <f t="shared" si="13"/>
        <v>0.72483221476510062</v>
      </c>
      <c r="I408">
        <f>AVERAGEIFS(Deals_Raw!$AT:$AT, $E:$E, E408, Deals_Raw!$AF:$AF, "Won")</f>
        <v>0.61267442628905355</v>
      </c>
    </row>
    <row r="409" spans="4:9">
      <c r="D409" s="8">
        <v>9.5000000000000001E-2</v>
      </c>
      <c r="E409" t="str">
        <f>Deals_Raw!AU412</f>
        <v>5–10%</v>
      </c>
      <c r="F409" s="11">
        <f t="shared" si="12"/>
        <v>171</v>
      </c>
      <c r="G409" s="14">
        <f>COUNTIFS($E:$E,E409, Deals_Raw!AF:AF, "Won")</f>
        <v>116</v>
      </c>
      <c r="H409">
        <f t="shared" si="13"/>
        <v>0.67836257309941517</v>
      </c>
      <c r="I409">
        <f>AVERAGEIFS(Deals_Raw!$AT:$AT, $E:$E, E409, Deals_Raw!$AF:$AF, "Won")</f>
        <v>0.6077878084656495</v>
      </c>
    </row>
    <row r="410" spans="4:9">
      <c r="D410" s="8">
        <v>0.02</v>
      </c>
      <c r="E410" t="str">
        <f>Deals_Raw!AU413</f>
        <v>0–5%</v>
      </c>
      <c r="F410" s="11">
        <f t="shared" si="12"/>
        <v>79</v>
      </c>
      <c r="G410" s="14">
        <f>COUNTIFS($E:$E,E410, Deals_Raw!AF:AF, "Won")</f>
        <v>55</v>
      </c>
      <c r="H410">
        <f t="shared" si="13"/>
        <v>0.69620253164556967</v>
      </c>
      <c r="I410">
        <f>AVERAGEIFS(Deals_Raw!$AT:$AT, $E:$E, E410, Deals_Raw!$AF:$AF, "Won")</f>
        <v>0.61352612210738522</v>
      </c>
    </row>
    <row r="411" spans="4:9">
      <c r="D411" s="8">
        <v>2.5000000000000001E-2</v>
      </c>
      <c r="E411" t="str">
        <f>Deals_Raw!AU414</f>
        <v>0–5%</v>
      </c>
      <c r="F411" s="11">
        <f t="shared" si="12"/>
        <v>79</v>
      </c>
      <c r="G411" s="14">
        <f>COUNTIFS($E:$E,E411, Deals_Raw!AF:AF, "Won")</f>
        <v>55</v>
      </c>
      <c r="H411">
        <f t="shared" si="13"/>
        <v>0.69620253164556967</v>
      </c>
      <c r="I411">
        <f>AVERAGEIFS(Deals_Raw!$AT:$AT, $E:$E, E411, Deals_Raw!$AF:$AF, "Won")</f>
        <v>0.61352612210738522</v>
      </c>
    </row>
    <row r="412" spans="4:9">
      <c r="D412" s="8">
        <v>5.6000000000000001E-2</v>
      </c>
      <c r="E412" t="str">
        <f>Deals_Raw!AU415</f>
        <v>5–10%</v>
      </c>
      <c r="F412" s="11">
        <f t="shared" si="12"/>
        <v>171</v>
      </c>
      <c r="G412" s="14">
        <f>COUNTIFS($E:$E,E412, Deals_Raw!AF:AF, "Won")</f>
        <v>116</v>
      </c>
      <c r="H412">
        <f t="shared" si="13"/>
        <v>0.67836257309941517</v>
      </c>
      <c r="I412">
        <f>AVERAGEIFS(Deals_Raw!$AT:$AT, $E:$E, E412, Deals_Raw!$AF:$AF, "Won")</f>
        <v>0.6077878084656495</v>
      </c>
    </row>
    <row r="413" spans="4:9">
      <c r="D413" s="8">
        <v>0.16900000000000001</v>
      </c>
      <c r="E413" t="str">
        <f>Deals_Raw!AU416</f>
        <v>15–20%</v>
      </c>
      <c r="F413" s="11">
        <f t="shared" si="12"/>
        <v>149</v>
      </c>
      <c r="G413" s="14">
        <f>COUNTIFS($E:$E,E413, Deals_Raw!AF:AF, "Won")</f>
        <v>108</v>
      </c>
      <c r="H413">
        <f t="shared" si="13"/>
        <v>0.72483221476510062</v>
      </c>
      <c r="I413">
        <f>AVERAGEIFS(Deals_Raw!$AT:$AT, $E:$E, E413, Deals_Raw!$AF:$AF, "Won")</f>
        <v>0.61267442628905355</v>
      </c>
    </row>
    <row r="414" spans="4:9">
      <c r="D414" s="8">
        <v>7.9000000000000001E-2</v>
      </c>
      <c r="E414" t="str">
        <f>Deals_Raw!AU417</f>
        <v>5–10%</v>
      </c>
      <c r="F414" s="11">
        <f t="shared" si="12"/>
        <v>171</v>
      </c>
      <c r="G414" s="14">
        <f>COUNTIFS($E:$E,E414, Deals_Raw!AF:AF, "Won")</f>
        <v>116</v>
      </c>
      <c r="H414">
        <f t="shared" si="13"/>
        <v>0.67836257309941517</v>
      </c>
      <c r="I414">
        <f>AVERAGEIFS(Deals_Raw!$AT:$AT, $E:$E, E414, Deals_Raw!$AF:$AF, "Won")</f>
        <v>0.6077878084656495</v>
      </c>
    </row>
    <row r="415" spans="4:9">
      <c r="D415" s="8">
        <v>0.14799999999999999</v>
      </c>
      <c r="E415" t="str">
        <f>Deals_Raw!AU418</f>
        <v>10–15%</v>
      </c>
      <c r="F415" s="11">
        <f t="shared" si="12"/>
        <v>189</v>
      </c>
      <c r="G415" s="14">
        <f>COUNTIFS($E:$E,E415, Deals_Raw!AF:AF, "Won")</f>
        <v>113</v>
      </c>
      <c r="H415">
        <f t="shared" si="13"/>
        <v>0.59788359788359791</v>
      </c>
      <c r="I415">
        <f>AVERAGEIFS(Deals_Raw!$AT:$AT, $E:$E, E415, Deals_Raw!$AF:$AF, "Won")</f>
        <v>0.6036615079947677</v>
      </c>
    </row>
    <row r="416" spans="4:9">
      <c r="D416" s="8">
        <v>0</v>
      </c>
      <c r="E416" t="str">
        <f>Deals_Raw!AU419</f>
        <v>0–5%</v>
      </c>
      <c r="F416" s="11">
        <f t="shared" si="12"/>
        <v>79</v>
      </c>
      <c r="G416" s="14">
        <f>COUNTIFS($E:$E,E416, Deals_Raw!AF:AF, "Won")</f>
        <v>55</v>
      </c>
      <c r="H416">
        <f t="shared" si="13"/>
        <v>0.69620253164556967</v>
      </c>
      <c r="I416">
        <f>AVERAGEIFS(Deals_Raw!$AT:$AT, $E:$E, E416, Deals_Raw!$AF:$AF, "Won")</f>
        <v>0.61352612210738522</v>
      </c>
    </row>
    <row r="417" spans="4:9">
      <c r="D417" s="8">
        <v>0.17499999999999999</v>
      </c>
      <c r="E417" t="str">
        <f>Deals_Raw!AU420</f>
        <v>15–20%</v>
      </c>
      <c r="F417" s="11">
        <f t="shared" si="12"/>
        <v>149</v>
      </c>
      <c r="G417" s="14">
        <f>COUNTIFS($E:$E,E417, Deals_Raw!AF:AF, "Won")</f>
        <v>108</v>
      </c>
      <c r="H417">
        <f t="shared" si="13"/>
        <v>0.72483221476510062</v>
      </c>
      <c r="I417">
        <f>AVERAGEIFS(Deals_Raw!$AT:$AT, $E:$E, E417, Deals_Raw!$AF:$AF, "Won")</f>
        <v>0.61267442628905355</v>
      </c>
    </row>
    <row r="418" spans="4:9">
      <c r="D418" s="8">
        <v>9.8000000000000004E-2</v>
      </c>
      <c r="E418" t="str">
        <f>Deals_Raw!AU421</f>
        <v>5–10%</v>
      </c>
      <c r="F418" s="11">
        <f t="shared" si="12"/>
        <v>171</v>
      </c>
      <c r="G418" s="14">
        <f>COUNTIFS($E:$E,E418, Deals_Raw!AF:AF, "Won")</f>
        <v>116</v>
      </c>
      <c r="H418">
        <f t="shared" si="13"/>
        <v>0.67836257309941517</v>
      </c>
      <c r="I418">
        <f>AVERAGEIFS(Deals_Raw!$AT:$AT, $E:$E, E418, Deals_Raw!$AF:$AF, "Won")</f>
        <v>0.6077878084656495</v>
      </c>
    </row>
    <row r="419" spans="4:9">
      <c r="D419" s="8">
        <v>0.123</v>
      </c>
      <c r="E419" t="str">
        <f>Deals_Raw!AU422</f>
        <v>10–15%</v>
      </c>
      <c r="F419" s="11">
        <f t="shared" si="12"/>
        <v>189</v>
      </c>
      <c r="G419" s="14">
        <f>COUNTIFS($E:$E,E419, Deals_Raw!AF:AF, "Won")</f>
        <v>113</v>
      </c>
      <c r="H419">
        <f t="shared" si="13"/>
        <v>0.59788359788359791</v>
      </c>
      <c r="I419">
        <f>AVERAGEIFS(Deals_Raw!$AT:$AT, $E:$E, E419, Deals_Raw!$AF:$AF, "Won")</f>
        <v>0.6036615079947677</v>
      </c>
    </row>
    <row r="420" spans="4:9">
      <c r="D420" s="8">
        <v>0.159</v>
      </c>
      <c r="E420" t="str">
        <f>Deals_Raw!AU423</f>
        <v>15–20%</v>
      </c>
      <c r="F420" s="11">
        <f t="shared" si="12"/>
        <v>149</v>
      </c>
      <c r="G420" s="14">
        <f>COUNTIFS($E:$E,E420, Deals_Raw!AF:AF, "Won")</f>
        <v>108</v>
      </c>
      <c r="H420">
        <f t="shared" si="13"/>
        <v>0.72483221476510062</v>
      </c>
      <c r="I420">
        <f>AVERAGEIFS(Deals_Raw!$AT:$AT, $E:$E, E420, Deals_Raw!$AF:$AF, "Won")</f>
        <v>0.61267442628905355</v>
      </c>
    </row>
    <row r="421" spans="4:9">
      <c r="D421" s="8">
        <v>7.4999999999999997E-2</v>
      </c>
      <c r="E421" t="str">
        <f>Deals_Raw!AU424</f>
        <v>5–10%</v>
      </c>
      <c r="F421" s="11">
        <f t="shared" si="12"/>
        <v>171</v>
      </c>
      <c r="G421" s="14">
        <f>COUNTIFS($E:$E,E421, Deals_Raw!AF:AF, "Won")</f>
        <v>116</v>
      </c>
      <c r="H421">
        <f t="shared" si="13"/>
        <v>0.67836257309941517</v>
      </c>
      <c r="I421">
        <f>AVERAGEIFS(Deals_Raw!$AT:$AT, $E:$E, E421, Deals_Raw!$AF:$AF, "Won")</f>
        <v>0.6077878084656495</v>
      </c>
    </row>
    <row r="422" spans="4:9">
      <c r="D422" s="8">
        <v>5.6000000000000001E-2</v>
      </c>
      <c r="E422" t="str">
        <f>Deals_Raw!AU425</f>
        <v>5–10%</v>
      </c>
      <c r="F422" s="11">
        <f t="shared" si="12"/>
        <v>171</v>
      </c>
      <c r="G422" s="14">
        <f>COUNTIFS($E:$E,E422, Deals_Raw!AF:AF, "Won")</f>
        <v>116</v>
      </c>
      <c r="H422">
        <f t="shared" si="13"/>
        <v>0.67836257309941517</v>
      </c>
      <c r="I422">
        <f>AVERAGEIFS(Deals_Raw!$AT:$AT, $E:$E, E422, Deals_Raw!$AF:$AF, "Won")</f>
        <v>0.6077878084656495</v>
      </c>
    </row>
    <row r="423" spans="4:9">
      <c r="D423" s="8">
        <v>0.10199999999999999</v>
      </c>
      <c r="E423" t="str">
        <f>Deals_Raw!AU426</f>
        <v>10–15%</v>
      </c>
      <c r="F423" s="11">
        <f t="shared" si="12"/>
        <v>189</v>
      </c>
      <c r="G423" s="14">
        <f>COUNTIFS($E:$E,E423, Deals_Raw!AF:AF, "Won")</f>
        <v>113</v>
      </c>
      <c r="H423">
        <f t="shared" si="13"/>
        <v>0.59788359788359791</v>
      </c>
      <c r="I423">
        <f>AVERAGEIFS(Deals_Raw!$AT:$AT, $E:$E, E423, Deals_Raw!$AF:$AF, "Won")</f>
        <v>0.6036615079947677</v>
      </c>
    </row>
    <row r="424" spans="4:9">
      <c r="D424" s="8">
        <v>0.109</v>
      </c>
      <c r="E424" t="str">
        <f>Deals_Raw!AU427</f>
        <v>10–15%</v>
      </c>
      <c r="F424" s="11">
        <f t="shared" si="12"/>
        <v>189</v>
      </c>
      <c r="G424" s="14">
        <f>COUNTIFS($E:$E,E424, Deals_Raw!AF:AF, "Won")</f>
        <v>113</v>
      </c>
      <c r="H424">
        <f t="shared" si="13"/>
        <v>0.59788359788359791</v>
      </c>
      <c r="I424">
        <f>AVERAGEIFS(Deals_Raw!$AT:$AT, $E:$E, E424, Deals_Raw!$AF:$AF, "Won")</f>
        <v>0.6036615079947677</v>
      </c>
    </row>
    <row r="425" spans="4:9">
      <c r="D425" s="8">
        <v>0.114</v>
      </c>
      <c r="E425" t="str">
        <f>Deals_Raw!AU428</f>
        <v>10–15%</v>
      </c>
      <c r="F425" s="11">
        <f t="shared" si="12"/>
        <v>189</v>
      </c>
      <c r="G425" s="14">
        <f>COUNTIFS($E:$E,E425, Deals_Raw!AF:AF, "Won")</f>
        <v>113</v>
      </c>
      <c r="H425">
        <f t="shared" si="13"/>
        <v>0.59788359788359791</v>
      </c>
      <c r="I425">
        <f>AVERAGEIFS(Deals_Raw!$AT:$AT, $E:$E, E425, Deals_Raw!$AF:$AF, "Won")</f>
        <v>0.6036615079947677</v>
      </c>
    </row>
    <row r="426" spans="4:9">
      <c r="D426" s="8">
        <v>0.16200000000000001</v>
      </c>
      <c r="E426" t="str">
        <f>Deals_Raw!AU429</f>
        <v>15–20%</v>
      </c>
      <c r="F426" s="11">
        <f t="shared" si="12"/>
        <v>149</v>
      </c>
      <c r="G426" s="14">
        <f>COUNTIFS($E:$E,E426, Deals_Raw!AF:AF, "Won")</f>
        <v>108</v>
      </c>
      <c r="H426">
        <f t="shared" si="13"/>
        <v>0.72483221476510062</v>
      </c>
      <c r="I426">
        <f>AVERAGEIFS(Deals_Raw!$AT:$AT, $E:$E, E426, Deals_Raw!$AF:$AF, "Won")</f>
        <v>0.61267442628905355</v>
      </c>
    </row>
    <row r="427" spans="4:9">
      <c r="D427" s="8">
        <v>0.22800000000000001</v>
      </c>
      <c r="E427" t="str">
        <f>Deals_Raw!AU430</f>
        <v>20–25%</v>
      </c>
      <c r="F427" s="11">
        <f t="shared" si="12"/>
        <v>41</v>
      </c>
      <c r="G427" s="14">
        <f>COUNTIFS($E:$E,E427, Deals_Raw!AF:AF, "Won")</f>
        <v>29</v>
      </c>
      <c r="H427">
        <f t="shared" si="13"/>
        <v>0.70731707317073167</v>
      </c>
      <c r="I427">
        <f>AVERAGEIFS(Deals_Raw!$AT:$AT, $E:$E, E427, Deals_Raw!$AF:$AF, "Won")</f>
        <v>0.6163731005984544</v>
      </c>
    </row>
    <row r="428" spans="4:9">
      <c r="D428" s="8">
        <v>0.11799999999999999</v>
      </c>
      <c r="E428" t="str">
        <f>Deals_Raw!AU431</f>
        <v>10–15%</v>
      </c>
      <c r="F428" s="11">
        <f t="shared" si="12"/>
        <v>189</v>
      </c>
      <c r="G428" s="14">
        <f>COUNTIFS($E:$E,E428, Deals_Raw!AF:AF, "Won")</f>
        <v>113</v>
      </c>
      <c r="H428">
        <f t="shared" si="13"/>
        <v>0.59788359788359791</v>
      </c>
      <c r="I428">
        <f>AVERAGEIFS(Deals_Raw!$AT:$AT, $E:$E, E428, Deals_Raw!$AF:$AF, "Won")</f>
        <v>0.6036615079947677</v>
      </c>
    </row>
    <row r="429" spans="4:9">
      <c r="D429" s="8">
        <v>0.224</v>
      </c>
      <c r="E429" t="str">
        <f>Deals_Raw!AU432</f>
        <v>20–25%</v>
      </c>
      <c r="F429" s="11">
        <f t="shared" si="12"/>
        <v>41</v>
      </c>
      <c r="G429" s="14">
        <f>COUNTIFS($E:$E,E429, Deals_Raw!AF:AF, "Won")</f>
        <v>29</v>
      </c>
      <c r="H429">
        <f t="shared" si="13"/>
        <v>0.70731707317073167</v>
      </c>
      <c r="I429">
        <f>AVERAGEIFS(Deals_Raw!$AT:$AT, $E:$E, E429, Deals_Raw!$AF:$AF, "Won")</f>
        <v>0.6163731005984544</v>
      </c>
    </row>
    <row r="430" spans="4:9">
      <c r="D430" s="8">
        <v>0.19600000000000001</v>
      </c>
      <c r="E430" t="str">
        <f>Deals_Raw!AU433</f>
        <v>15–20%</v>
      </c>
      <c r="F430" s="11">
        <f t="shared" si="12"/>
        <v>149</v>
      </c>
      <c r="G430" s="14">
        <f>COUNTIFS($E:$E,E430, Deals_Raw!AF:AF, "Won")</f>
        <v>108</v>
      </c>
      <c r="H430">
        <f t="shared" si="13"/>
        <v>0.72483221476510062</v>
      </c>
      <c r="I430">
        <f>AVERAGEIFS(Deals_Raw!$AT:$AT, $E:$E, E430, Deals_Raw!$AF:$AF, "Won")</f>
        <v>0.61267442628905355</v>
      </c>
    </row>
    <row r="431" spans="4:9">
      <c r="D431" s="8">
        <v>0.107</v>
      </c>
      <c r="E431" t="str">
        <f>Deals_Raw!AU434</f>
        <v>10–15%</v>
      </c>
      <c r="F431" s="11">
        <f t="shared" si="12"/>
        <v>189</v>
      </c>
      <c r="G431" s="14">
        <f>COUNTIFS($E:$E,E431, Deals_Raw!AF:AF, "Won")</f>
        <v>113</v>
      </c>
      <c r="H431">
        <f t="shared" si="13"/>
        <v>0.59788359788359791</v>
      </c>
      <c r="I431">
        <f>AVERAGEIFS(Deals_Raw!$AT:$AT, $E:$E, E431, Deals_Raw!$AF:$AF, "Won")</f>
        <v>0.6036615079947677</v>
      </c>
    </row>
    <row r="432" spans="4:9">
      <c r="D432" s="8">
        <v>0.104</v>
      </c>
      <c r="E432" t="str">
        <f>Deals_Raw!AU435</f>
        <v>10–15%</v>
      </c>
      <c r="F432" s="11">
        <f t="shared" si="12"/>
        <v>189</v>
      </c>
      <c r="G432" s="14">
        <f>COUNTIFS($E:$E,E432, Deals_Raw!AF:AF, "Won")</f>
        <v>113</v>
      </c>
      <c r="H432">
        <f t="shared" si="13"/>
        <v>0.59788359788359791</v>
      </c>
      <c r="I432">
        <f>AVERAGEIFS(Deals_Raw!$AT:$AT, $E:$E, E432, Deals_Raw!$AF:$AF, "Won")</f>
        <v>0.6036615079947677</v>
      </c>
    </row>
    <row r="433" spans="4:9">
      <c r="D433" s="8">
        <v>0.107</v>
      </c>
      <c r="E433" t="str">
        <f>Deals_Raw!AU436</f>
        <v>10–15%</v>
      </c>
      <c r="F433" s="11">
        <f t="shared" si="12"/>
        <v>189</v>
      </c>
      <c r="G433" s="14">
        <f>COUNTIFS($E:$E,E433, Deals_Raw!AF:AF, "Won")</f>
        <v>113</v>
      </c>
      <c r="H433">
        <f t="shared" si="13"/>
        <v>0.59788359788359791</v>
      </c>
      <c r="I433">
        <f>AVERAGEIFS(Deals_Raw!$AT:$AT, $E:$E, E433, Deals_Raw!$AF:$AF, "Won")</f>
        <v>0.6036615079947677</v>
      </c>
    </row>
    <row r="434" spans="4:9">
      <c r="D434" s="8">
        <v>5.8000000000000003E-2</v>
      </c>
      <c r="E434" t="str">
        <f>Deals_Raw!AU437</f>
        <v>5–10%</v>
      </c>
      <c r="F434" s="11">
        <f t="shared" si="12"/>
        <v>171</v>
      </c>
      <c r="G434" s="14">
        <f>COUNTIFS($E:$E,E434, Deals_Raw!AF:AF, "Won")</f>
        <v>116</v>
      </c>
      <c r="H434">
        <f t="shared" si="13"/>
        <v>0.67836257309941517</v>
      </c>
      <c r="I434">
        <f>AVERAGEIFS(Deals_Raw!$AT:$AT, $E:$E, E434, Deals_Raw!$AF:$AF, "Won")</f>
        <v>0.6077878084656495</v>
      </c>
    </row>
    <row r="435" spans="4:9">
      <c r="D435" s="8">
        <v>5.8000000000000003E-2</v>
      </c>
      <c r="E435" t="str">
        <f>Deals_Raw!AU438</f>
        <v>5–10%</v>
      </c>
      <c r="F435" s="11">
        <f t="shared" si="12"/>
        <v>171</v>
      </c>
      <c r="G435" s="14">
        <f>COUNTIFS($E:$E,E435, Deals_Raw!AF:AF, "Won")</f>
        <v>116</v>
      </c>
      <c r="H435">
        <f t="shared" si="13"/>
        <v>0.67836257309941517</v>
      </c>
      <c r="I435">
        <f>AVERAGEIFS(Deals_Raw!$AT:$AT, $E:$E, E435, Deals_Raw!$AF:$AF, "Won")</f>
        <v>0.6077878084656495</v>
      </c>
    </row>
    <row r="436" spans="4:9">
      <c r="D436" s="8">
        <v>0.11</v>
      </c>
      <c r="E436" t="str">
        <f>Deals_Raw!AU439</f>
        <v>10–15%</v>
      </c>
      <c r="F436" s="11">
        <f t="shared" si="12"/>
        <v>189</v>
      </c>
      <c r="G436" s="14">
        <f>COUNTIFS($E:$E,E436, Deals_Raw!AF:AF, "Won")</f>
        <v>113</v>
      </c>
      <c r="H436">
        <f t="shared" si="13"/>
        <v>0.59788359788359791</v>
      </c>
      <c r="I436">
        <f>AVERAGEIFS(Deals_Raw!$AT:$AT, $E:$E, E436, Deals_Raw!$AF:$AF, "Won")</f>
        <v>0.6036615079947677</v>
      </c>
    </row>
    <row r="437" spans="4:9">
      <c r="D437" s="8">
        <v>0.214</v>
      </c>
      <c r="E437" t="str">
        <f>Deals_Raw!AU440</f>
        <v>20–25%</v>
      </c>
      <c r="F437" s="11">
        <f t="shared" si="12"/>
        <v>41</v>
      </c>
      <c r="G437" s="14">
        <f>COUNTIFS($E:$E,E437, Deals_Raw!AF:AF, "Won")</f>
        <v>29</v>
      </c>
      <c r="H437">
        <f t="shared" si="13"/>
        <v>0.70731707317073167</v>
      </c>
      <c r="I437">
        <f>AVERAGEIFS(Deals_Raw!$AT:$AT, $E:$E, E437, Deals_Raw!$AF:$AF, "Won")</f>
        <v>0.6163731005984544</v>
      </c>
    </row>
    <row r="438" spans="4:9">
      <c r="D438" s="8">
        <v>0.17100000000000001</v>
      </c>
      <c r="E438" t="str">
        <f>Deals_Raw!AU441</f>
        <v>15–20%</v>
      </c>
      <c r="F438" s="11">
        <f t="shared" si="12"/>
        <v>149</v>
      </c>
      <c r="G438" s="14">
        <f>COUNTIFS($E:$E,E438, Deals_Raw!AF:AF, "Won")</f>
        <v>108</v>
      </c>
      <c r="H438">
        <f t="shared" si="13"/>
        <v>0.72483221476510062</v>
      </c>
      <c r="I438">
        <f>AVERAGEIFS(Deals_Raw!$AT:$AT, $E:$E, E438, Deals_Raw!$AF:$AF, "Won")</f>
        <v>0.61267442628905355</v>
      </c>
    </row>
    <row r="439" spans="4:9">
      <c r="D439" s="8">
        <v>0.112</v>
      </c>
      <c r="E439" t="str">
        <f>Deals_Raw!AU442</f>
        <v>10–15%</v>
      </c>
      <c r="F439" s="11">
        <f t="shared" si="12"/>
        <v>189</v>
      </c>
      <c r="G439" s="14">
        <f>COUNTIFS($E:$E,E439, Deals_Raw!AF:AF, "Won")</f>
        <v>113</v>
      </c>
      <c r="H439">
        <f t="shared" si="13"/>
        <v>0.59788359788359791</v>
      </c>
      <c r="I439">
        <f>AVERAGEIFS(Deals_Raw!$AT:$AT, $E:$E, E439, Deals_Raw!$AF:$AF, "Won")</f>
        <v>0.6036615079947677</v>
      </c>
    </row>
    <row r="440" spans="4:9">
      <c r="D440" s="8">
        <v>0.13600000000000001</v>
      </c>
      <c r="E440" t="str">
        <f>Deals_Raw!AU443</f>
        <v>10–15%</v>
      </c>
      <c r="F440" s="11">
        <f t="shared" si="12"/>
        <v>189</v>
      </c>
      <c r="G440" s="14">
        <f>COUNTIFS($E:$E,E440, Deals_Raw!AF:AF, "Won")</f>
        <v>113</v>
      </c>
      <c r="H440">
        <f t="shared" si="13"/>
        <v>0.59788359788359791</v>
      </c>
      <c r="I440">
        <f>AVERAGEIFS(Deals_Raw!$AT:$AT, $E:$E, E440, Deals_Raw!$AF:$AF, "Won")</f>
        <v>0.6036615079947677</v>
      </c>
    </row>
    <row r="441" spans="4:9">
      <c r="D441" s="8">
        <v>0.108</v>
      </c>
      <c r="E441" t="str">
        <f>Deals_Raw!AU444</f>
        <v>10–15%</v>
      </c>
      <c r="F441" s="11">
        <f t="shared" si="12"/>
        <v>189</v>
      </c>
      <c r="G441" s="14">
        <f>COUNTIFS($E:$E,E441, Deals_Raw!AF:AF, "Won")</f>
        <v>113</v>
      </c>
      <c r="H441">
        <f t="shared" si="13"/>
        <v>0.59788359788359791</v>
      </c>
      <c r="I441">
        <f>AVERAGEIFS(Deals_Raw!$AT:$AT, $E:$E, E441, Deals_Raw!$AF:$AF, "Won")</f>
        <v>0.6036615079947677</v>
      </c>
    </row>
    <row r="442" spans="4:9">
      <c r="D442" s="8">
        <v>3.7999999999999999E-2</v>
      </c>
      <c r="E442" t="str">
        <f>Deals_Raw!AU445</f>
        <v>0–5%</v>
      </c>
      <c r="F442" s="11">
        <f t="shared" si="12"/>
        <v>79</v>
      </c>
      <c r="G442" s="14">
        <f>COUNTIFS($E:$E,E442, Deals_Raw!AF:AF, "Won")</f>
        <v>55</v>
      </c>
      <c r="H442">
        <f t="shared" si="13"/>
        <v>0.69620253164556967</v>
      </c>
      <c r="I442">
        <f>AVERAGEIFS(Deals_Raw!$AT:$AT, $E:$E, E442, Deals_Raw!$AF:$AF, "Won")</f>
        <v>0.61352612210738522</v>
      </c>
    </row>
    <row r="443" spans="4:9">
      <c r="D443" s="8">
        <v>0.14399999999999999</v>
      </c>
      <c r="E443" t="str">
        <f>Deals_Raw!AU446</f>
        <v>10–15%</v>
      </c>
      <c r="F443" s="11">
        <f t="shared" si="12"/>
        <v>189</v>
      </c>
      <c r="G443" s="14">
        <f>COUNTIFS($E:$E,E443, Deals_Raw!AF:AF, "Won")</f>
        <v>113</v>
      </c>
      <c r="H443">
        <f t="shared" si="13"/>
        <v>0.59788359788359791</v>
      </c>
      <c r="I443">
        <f>AVERAGEIFS(Deals_Raw!$AT:$AT, $E:$E, E443, Deals_Raw!$AF:$AF, "Won")</f>
        <v>0.6036615079947677</v>
      </c>
    </row>
    <row r="444" spans="4:9">
      <c r="D444" s="8">
        <v>0.1</v>
      </c>
      <c r="E444" t="str">
        <f>Deals_Raw!AU447</f>
        <v>5–10%</v>
      </c>
      <c r="F444" s="11">
        <f t="shared" si="12"/>
        <v>171</v>
      </c>
      <c r="G444" s="14">
        <f>COUNTIFS($E:$E,E444, Deals_Raw!AF:AF, "Won")</f>
        <v>116</v>
      </c>
      <c r="H444">
        <f t="shared" si="13"/>
        <v>0.67836257309941517</v>
      </c>
      <c r="I444">
        <f>AVERAGEIFS(Deals_Raw!$AT:$AT, $E:$E, E444, Deals_Raw!$AF:$AF, "Won")</f>
        <v>0.6077878084656495</v>
      </c>
    </row>
    <row r="445" spans="4:9">
      <c r="D445" s="8">
        <v>6.4000000000000001E-2</v>
      </c>
      <c r="E445" t="str">
        <f>Deals_Raw!AU448</f>
        <v>5–10%</v>
      </c>
      <c r="F445" s="11">
        <f t="shared" si="12"/>
        <v>171</v>
      </c>
      <c r="G445" s="14">
        <f>COUNTIFS($E:$E,E445, Deals_Raw!AF:AF, "Won")</f>
        <v>116</v>
      </c>
      <c r="H445">
        <f t="shared" si="13"/>
        <v>0.67836257309941517</v>
      </c>
      <c r="I445">
        <f>AVERAGEIFS(Deals_Raw!$AT:$AT, $E:$E, E445, Deals_Raw!$AF:$AF, "Won")</f>
        <v>0.6077878084656495</v>
      </c>
    </row>
    <row r="446" spans="4:9">
      <c r="D446" s="8">
        <v>0.13400000000000001</v>
      </c>
      <c r="E446" t="str">
        <f>Deals_Raw!AU449</f>
        <v>10–15%</v>
      </c>
      <c r="F446" s="11">
        <f t="shared" si="12"/>
        <v>189</v>
      </c>
      <c r="G446" s="14">
        <f>COUNTIFS($E:$E,E446, Deals_Raw!AF:AF, "Won")</f>
        <v>113</v>
      </c>
      <c r="H446">
        <f t="shared" si="13"/>
        <v>0.59788359788359791</v>
      </c>
      <c r="I446">
        <f>AVERAGEIFS(Deals_Raw!$AT:$AT, $E:$E, E446, Deals_Raw!$AF:$AF, "Won")</f>
        <v>0.6036615079947677</v>
      </c>
    </row>
    <row r="447" spans="4:9">
      <c r="D447" s="8">
        <v>7.1999999999999995E-2</v>
      </c>
      <c r="E447" t="str">
        <f>Deals_Raw!AU450</f>
        <v>5–10%</v>
      </c>
      <c r="F447" s="11">
        <f t="shared" si="12"/>
        <v>171</v>
      </c>
      <c r="G447" s="14">
        <f>COUNTIFS($E:$E,E447, Deals_Raw!AF:AF, "Won")</f>
        <v>116</v>
      </c>
      <c r="H447">
        <f t="shared" si="13"/>
        <v>0.67836257309941517</v>
      </c>
      <c r="I447">
        <f>AVERAGEIFS(Deals_Raw!$AT:$AT, $E:$E, E447, Deals_Raw!$AF:$AF, "Won")</f>
        <v>0.6077878084656495</v>
      </c>
    </row>
    <row r="448" spans="4:9">
      <c r="D448" s="8">
        <v>0.20799999999999999</v>
      </c>
      <c r="E448" t="str">
        <f>Deals_Raw!AU451</f>
        <v>20–25%</v>
      </c>
      <c r="F448" s="11">
        <f t="shared" si="12"/>
        <v>41</v>
      </c>
      <c r="G448" s="14">
        <f>COUNTIFS($E:$E,E448, Deals_Raw!AF:AF, "Won")</f>
        <v>29</v>
      </c>
      <c r="H448">
        <f t="shared" si="13"/>
        <v>0.70731707317073167</v>
      </c>
      <c r="I448">
        <f>AVERAGEIFS(Deals_Raw!$AT:$AT, $E:$E, E448, Deals_Raw!$AF:$AF, "Won")</f>
        <v>0.6163731005984544</v>
      </c>
    </row>
    <row r="449" spans="4:9">
      <c r="D449" s="8">
        <v>9.6000000000000002E-2</v>
      </c>
      <c r="E449" t="str">
        <f>Deals_Raw!AU452</f>
        <v>5–10%</v>
      </c>
      <c r="F449" s="11">
        <f t="shared" si="12"/>
        <v>171</v>
      </c>
      <c r="G449" s="14">
        <f>COUNTIFS($E:$E,E449, Deals_Raw!AF:AF, "Won")</f>
        <v>116</v>
      </c>
      <c r="H449">
        <f t="shared" si="13"/>
        <v>0.67836257309941517</v>
      </c>
      <c r="I449">
        <f>AVERAGEIFS(Deals_Raw!$AT:$AT, $E:$E, E449, Deals_Raw!$AF:$AF, "Won")</f>
        <v>0.6077878084656495</v>
      </c>
    </row>
    <row r="450" spans="4:9">
      <c r="D450" s="8">
        <v>8.0000000000000002E-3</v>
      </c>
      <c r="E450" t="str">
        <f>Deals_Raw!AU453</f>
        <v>0–5%</v>
      </c>
      <c r="F450" s="11">
        <f t="shared" ref="F450:F513" si="14">COUNTIF($E:$E,E450)</f>
        <v>79</v>
      </c>
      <c r="G450" s="14">
        <f>COUNTIFS($E:$E,E450, Deals_Raw!AF:AF, "Won")</f>
        <v>55</v>
      </c>
      <c r="H450">
        <f t="shared" si="13"/>
        <v>0.69620253164556967</v>
      </c>
      <c r="I450">
        <f>AVERAGEIFS(Deals_Raw!$AT:$AT, $E:$E, E450, Deals_Raw!$AF:$AF, "Won")</f>
        <v>0.61352612210738522</v>
      </c>
    </row>
    <row r="451" spans="4:9">
      <c r="D451" s="8">
        <v>0.14399999999999999</v>
      </c>
      <c r="E451" t="str">
        <f>Deals_Raw!AU454</f>
        <v>10–15%</v>
      </c>
      <c r="F451" s="11">
        <f t="shared" si="14"/>
        <v>189</v>
      </c>
      <c r="G451" s="14">
        <f>COUNTIFS($E:$E,E451, Deals_Raw!AF:AF, "Won")</f>
        <v>113</v>
      </c>
      <c r="H451">
        <f t="shared" ref="H451:H514" si="15">G451/F451</f>
        <v>0.59788359788359791</v>
      </c>
      <c r="I451">
        <f>AVERAGEIFS(Deals_Raw!$AT:$AT, $E:$E, E451, Deals_Raw!$AF:$AF, "Won")</f>
        <v>0.6036615079947677</v>
      </c>
    </row>
    <row r="452" spans="4:9">
      <c r="D452" s="8">
        <v>0.182</v>
      </c>
      <c r="E452" t="str">
        <f>Deals_Raw!AU455</f>
        <v>15–20%</v>
      </c>
      <c r="F452" s="11">
        <f t="shared" si="14"/>
        <v>149</v>
      </c>
      <c r="G452" s="14">
        <f>COUNTIFS($E:$E,E452, Deals_Raw!AF:AF, "Won")</f>
        <v>108</v>
      </c>
      <c r="H452">
        <f t="shared" si="15"/>
        <v>0.72483221476510062</v>
      </c>
      <c r="I452">
        <f>AVERAGEIFS(Deals_Raw!$AT:$AT, $E:$E, E452, Deals_Raw!$AF:$AF, "Won")</f>
        <v>0.61267442628905355</v>
      </c>
    </row>
    <row r="453" spans="4:9">
      <c r="D453" s="8">
        <v>8.7999999999999995E-2</v>
      </c>
      <c r="E453" t="str">
        <f>Deals_Raw!AU456</f>
        <v>5–10%</v>
      </c>
      <c r="F453" s="11">
        <f t="shared" si="14"/>
        <v>171</v>
      </c>
      <c r="G453" s="14">
        <f>COUNTIFS($E:$E,E453, Deals_Raw!AF:AF, "Won")</f>
        <v>116</v>
      </c>
      <c r="H453">
        <f t="shared" si="15"/>
        <v>0.67836257309941517</v>
      </c>
      <c r="I453">
        <f>AVERAGEIFS(Deals_Raw!$AT:$AT, $E:$E, E453, Deals_Raw!$AF:$AF, "Won")</f>
        <v>0.6077878084656495</v>
      </c>
    </row>
    <row r="454" spans="4:9">
      <c r="D454" s="8">
        <v>0.16</v>
      </c>
      <c r="E454" t="str">
        <f>Deals_Raw!AU457</f>
        <v>15–20%</v>
      </c>
      <c r="F454" s="11">
        <f t="shared" si="14"/>
        <v>149</v>
      </c>
      <c r="G454" s="14">
        <f>COUNTIFS($E:$E,E454, Deals_Raw!AF:AF, "Won")</f>
        <v>108</v>
      </c>
      <c r="H454">
        <f t="shared" si="15"/>
        <v>0.72483221476510062</v>
      </c>
      <c r="I454">
        <f>AVERAGEIFS(Deals_Raw!$AT:$AT, $E:$E, E454, Deals_Raw!$AF:$AF, "Won")</f>
        <v>0.61267442628905355</v>
      </c>
    </row>
    <row r="455" spans="4:9">
      <c r="D455" s="8">
        <v>0.13500000000000001</v>
      </c>
      <c r="E455" t="str">
        <f>Deals_Raw!AU458</f>
        <v>10–15%</v>
      </c>
      <c r="F455" s="11">
        <f t="shared" si="14"/>
        <v>189</v>
      </c>
      <c r="G455" s="14">
        <f>COUNTIFS($E:$E,E455, Deals_Raw!AF:AF, "Won")</f>
        <v>113</v>
      </c>
      <c r="H455">
        <f t="shared" si="15"/>
        <v>0.59788359788359791</v>
      </c>
      <c r="I455">
        <f>AVERAGEIFS(Deals_Raw!$AT:$AT, $E:$E, E455, Deals_Raw!$AF:$AF, "Won")</f>
        <v>0.6036615079947677</v>
      </c>
    </row>
    <row r="456" spans="4:9">
      <c r="D456" s="8">
        <v>0.23300000000000001</v>
      </c>
      <c r="E456" t="str">
        <f>Deals_Raw!AU459</f>
        <v>20–25%</v>
      </c>
      <c r="F456" s="11">
        <f t="shared" si="14"/>
        <v>41</v>
      </c>
      <c r="G456" s="14">
        <f>COUNTIFS($E:$E,E456, Deals_Raw!AF:AF, "Won")</f>
        <v>29</v>
      </c>
      <c r="H456">
        <f t="shared" si="15"/>
        <v>0.70731707317073167</v>
      </c>
      <c r="I456">
        <f>AVERAGEIFS(Deals_Raw!$AT:$AT, $E:$E, E456, Deals_Raw!$AF:$AF, "Won")</f>
        <v>0.6163731005984544</v>
      </c>
    </row>
    <row r="457" spans="4:9">
      <c r="D457" s="8">
        <v>0.1</v>
      </c>
      <c r="E457" t="str">
        <f>Deals_Raw!AU460</f>
        <v>5–10%</v>
      </c>
      <c r="F457" s="11">
        <f t="shared" si="14"/>
        <v>171</v>
      </c>
      <c r="G457" s="14">
        <f>COUNTIFS($E:$E,E457, Deals_Raw!AF:AF, "Won")</f>
        <v>116</v>
      </c>
      <c r="H457">
        <f t="shared" si="15"/>
        <v>0.67836257309941517</v>
      </c>
      <c r="I457">
        <f>AVERAGEIFS(Deals_Raw!$AT:$AT, $E:$E, E457, Deals_Raw!$AF:$AF, "Won")</f>
        <v>0.6077878084656495</v>
      </c>
    </row>
    <row r="458" spans="4:9">
      <c r="D458" s="8">
        <v>1.4E-2</v>
      </c>
      <c r="E458" t="str">
        <f>Deals_Raw!AU461</f>
        <v>0–5%</v>
      </c>
      <c r="F458" s="11">
        <f t="shared" si="14"/>
        <v>79</v>
      </c>
      <c r="G458" s="14">
        <f>COUNTIFS($E:$E,E458, Deals_Raw!AF:AF, "Won")</f>
        <v>55</v>
      </c>
      <c r="H458">
        <f t="shared" si="15"/>
        <v>0.69620253164556967</v>
      </c>
      <c r="I458">
        <f>AVERAGEIFS(Deals_Raw!$AT:$AT, $E:$E, E458, Deals_Raw!$AF:$AF, "Won")</f>
        <v>0.61352612210738522</v>
      </c>
    </row>
    <row r="459" spans="4:9">
      <c r="D459" s="8">
        <v>0.115</v>
      </c>
      <c r="E459" t="str">
        <f>Deals_Raw!AU462</f>
        <v>10–15%</v>
      </c>
      <c r="F459" s="11">
        <f t="shared" si="14"/>
        <v>189</v>
      </c>
      <c r="G459" s="14">
        <f>COUNTIFS($E:$E,E459, Deals_Raw!AF:AF, "Won")</f>
        <v>113</v>
      </c>
      <c r="H459">
        <f t="shared" si="15"/>
        <v>0.59788359788359791</v>
      </c>
      <c r="I459">
        <f>AVERAGEIFS(Deals_Raw!$AT:$AT, $E:$E, E459, Deals_Raw!$AF:$AF, "Won")</f>
        <v>0.6036615079947677</v>
      </c>
    </row>
    <row r="460" spans="4:9">
      <c r="D460" s="8">
        <v>0.20100000000000001</v>
      </c>
      <c r="E460" t="str">
        <f>Deals_Raw!AU463</f>
        <v>20–25%</v>
      </c>
      <c r="F460" s="11">
        <f t="shared" si="14"/>
        <v>41</v>
      </c>
      <c r="G460" s="14">
        <f>COUNTIFS($E:$E,E460, Deals_Raw!AF:AF, "Won")</f>
        <v>29</v>
      </c>
      <c r="H460">
        <f t="shared" si="15"/>
        <v>0.70731707317073167</v>
      </c>
      <c r="I460">
        <f>AVERAGEIFS(Deals_Raw!$AT:$AT, $E:$E, E460, Deals_Raw!$AF:$AF, "Won")</f>
        <v>0.6163731005984544</v>
      </c>
    </row>
    <row r="461" spans="4:9">
      <c r="D461" s="8">
        <v>0.128</v>
      </c>
      <c r="E461" t="str">
        <f>Deals_Raw!AU464</f>
        <v>10–15%</v>
      </c>
      <c r="F461" s="11">
        <f t="shared" si="14"/>
        <v>189</v>
      </c>
      <c r="G461" s="14">
        <f>COUNTIFS($E:$E,E461, Deals_Raw!AF:AF, "Won")</f>
        <v>113</v>
      </c>
      <c r="H461">
        <f t="shared" si="15"/>
        <v>0.59788359788359791</v>
      </c>
      <c r="I461">
        <f>AVERAGEIFS(Deals_Raw!$AT:$AT, $E:$E, E461, Deals_Raw!$AF:$AF, "Won")</f>
        <v>0.6036615079947677</v>
      </c>
    </row>
    <row r="462" spans="4:9">
      <c r="D462" s="8">
        <v>5.8999999999999997E-2</v>
      </c>
      <c r="E462" t="str">
        <f>Deals_Raw!AU465</f>
        <v>5–10%</v>
      </c>
      <c r="F462" s="11">
        <f t="shared" si="14"/>
        <v>171</v>
      </c>
      <c r="G462" s="14">
        <f>COUNTIFS($E:$E,E462, Deals_Raw!AF:AF, "Won")</f>
        <v>116</v>
      </c>
      <c r="H462">
        <f t="shared" si="15"/>
        <v>0.67836257309941517</v>
      </c>
      <c r="I462">
        <f>AVERAGEIFS(Deals_Raw!$AT:$AT, $E:$E, E462, Deals_Raw!$AF:$AF, "Won")</f>
        <v>0.6077878084656495</v>
      </c>
    </row>
    <row r="463" spans="4:9">
      <c r="D463" s="8">
        <v>0.222</v>
      </c>
      <c r="E463" t="str">
        <f>Deals_Raw!AU466</f>
        <v>20–25%</v>
      </c>
      <c r="F463" s="11">
        <f t="shared" si="14"/>
        <v>41</v>
      </c>
      <c r="G463" s="14">
        <f>COUNTIFS($E:$E,E463, Deals_Raw!AF:AF, "Won")</f>
        <v>29</v>
      </c>
      <c r="H463">
        <f t="shared" si="15"/>
        <v>0.70731707317073167</v>
      </c>
      <c r="I463">
        <f>AVERAGEIFS(Deals_Raw!$AT:$AT, $E:$E, E463, Deals_Raw!$AF:$AF, "Won")</f>
        <v>0.6163731005984544</v>
      </c>
    </row>
    <row r="464" spans="4:9">
      <c r="D464" s="8">
        <v>0.221</v>
      </c>
      <c r="E464" t="str">
        <f>Deals_Raw!AU467</f>
        <v>20–25%</v>
      </c>
      <c r="F464" s="11">
        <f t="shared" si="14"/>
        <v>41</v>
      </c>
      <c r="G464" s="14">
        <f>COUNTIFS($E:$E,E464, Deals_Raw!AF:AF, "Won")</f>
        <v>29</v>
      </c>
      <c r="H464">
        <f t="shared" si="15"/>
        <v>0.70731707317073167</v>
      </c>
      <c r="I464">
        <f>AVERAGEIFS(Deals_Raw!$AT:$AT, $E:$E, E464, Deals_Raw!$AF:$AF, "Won")</f>
        <v>0.6163731005984544</v>
      </c>
    </row>
    <row r="465" spans="4:9">
      <c r="D465" s="8">
        <v>5.7000000000000002E-2</v>
      </c>
      <c r="E465" t="str">
        <f>Deals_Raw!AU468</f>
        <v>5–10%</v>
      </c>
      <c r="F465" s="11">
        <f t="shared" si="14"/>
        <v>171</v>
      </c>
      <c r="G465" s="14">
        <f>COUNTIFS($E:$E,E465, Deals_Raw!AF:AF, "Won")</f>
        <v>116</v>
      </c>
      <c r="H465">
        <f t="shared" si="15"/>
        <v>0.67836257309941517</v>
      </c>
      <c r="I465">
        <f>AVERAGEIFS(Deals_Raw!$AT:$AT, $E:$E, E465, Deals_Raw!$AF:$AF, "Won")</f>
        <v>0.6077878084656495</v>
      </c>
    </row>
    <row r="466" spans="4:9">
      <c r="D466" s="8">
        <v>0.13500000000000001</v>
      </c>
      <c r="E466" t="str">
        <f>Deals_Raw!AU469</f>
        <v>10–15%</v>
      </c>
      <c r="F466" s="11">
        <f t="shared" si="14"/>
        <v>189</v>
      </c>
      <c r="G466" s="14">
        <f>COUNTIFS($E:$E,E466, Deals_Raw!AF:AF, "Won")</f>
        <v>113</v>
      </c>
      <c r="H466">
        <f t="shared" si="15"/>
        <v>0.59788359788359791</v>
      </c>
      <c r="I466">
        <f>AVERAGEIFS(Deals_Raw!$AT:$AT, $E:$E, E466, Deals_Raw!$AF:$AF, "Won")</f>
        <v>0.6036615079947677</v>
      </c>
    </row>
    <row r="467" spans="4:9">
      <c r="D467" s="8">
        <v>0.19600000000000001</v>
      </c>
      <c r="E467" t="str">
        <f>Deals_Raw!AU470</f>
        <v>15–20%</v>
      </c>
      <c r="F467" s="11">
        <f t="shared" si="14"/>
        <v>149</v>
      </c>
      <c r="G467" s="14">
        <f>COUNTIFS($E:$E,E467, Deals_Raw!AF:AF, "Won")</f>
        <v>108</v>
      </c>
      <c r="H467">
        <f t="shared" si="15"/>
        <v>0.72483221476510062</v>
      </c>
      <c r="I467">
        <f>AVERAGEIFS(Deals_Raw!$AT:$AT, $E:$E, E467, Deals_Raw!$AF:$AF, "Won")</f>
        <v>0.61267442628905355</v>
      </c>
    </row>
    <row r="468" spans="4:9">
      <c r="D468" s="8">
        <v>5.0999999999999997E-2</v>
      </c>
      <c r="E468" t="str">
        <f>Deals_Raw!AU471</f>
        <v>5–10%</v>
      </c>
      <c r="F468" s="11">
        <f t="shared" si="14"/>
        <v>171</v>
      </c>
      <c r="G468" s="14">
        <f>COUNTIFS($E:$E,E468, Deals_Raw!AF:AF, "Won")</f>
        <v>116</v>
      </c>
      <c r="H468">
        <f t="shared" si="15"/>
        <v>0.67836257309941517</v>
      </c>
      <c r="I468">
        <f>AVERAGEIFS(Deals_Raw!$AT:$AT, $E:$E, E468, Deals_Raw!$AF:$AF, "Won")</f>
        <v>0.6077878084656495</v>
      </c>
    </row>
    <row r="469" spans="4:9">
      <c r="D469" s="8">
        <v>0.182</v>
      </c>
      <c r="E469" t="str">
        <f>Deals_Raw!AU472</f>
        <v>15–20%</v>
      </c>
      <c r="F469" s="11">
        <f t="shared" si="14"/>
        <v>149</v>
      </c>
      <c r="G469" s="14">
        <f>COUNTIFS($E:$E,E469, Deals_Raw!AF:AF, "Won")</f>
        <v>108</v>
      </c>
      <c r="H469">
        <f t="shared" si="15"/>
        <v>0.72483221476510062</v>
      </c>
      <c r="I469">
        <f>AVERAGEIFS(Deals_Raw!$AT:$AT, $E:$E, E469, Deals_Raw!$AF:$AF, "Won")</f>
        <v>0.61267442628905355</v>
      </c>
    </row>
    <row r="470" spans="4:9">
      <c r="D470" s="8">
        <v>5.1999999999999998E-2</v>
      </c>
      <c r="E470" t="str">
        <f>Deals_Raw!AU473</f>
        <v>5–10%</v>
      </c>
      <c r="F470" s="11">
        <f t="shared" si="14"/>
        <v>171</v>
      </c>
      <c r="G470" s="14">
        <f>COUNTIFS($E:$E,E470, Deals_Raw!AF:AF, "Won")</f>
        <v>116</v>
      </c>
      <c r="H470">
        <f t="shared" si="15"/>
        <v>0.67836257309941517</v>
      </c>
      <c r="I470">
        <f>AVERAGEIFS(Deals_Raw!$AT:$AT, $E:$E, E470, Deals_Raw!$AF:$AF, "Won")</f>
        <v>0.6077878084656495</v>
      </c>
    </row>
    <row r="471" spans="4:9">
      <c r="D471" s="8">
        <v>2.3E-2</v>
      </c>
      <c r="E471" t="str">
        <f>Deals_Raw!AU474</f>
        <v>0–5%</v>
      </c>
      <c r="F471" s="11">
        <f t="shared" si="14"/>
        <v>79</v>
      </c>
      <c r="G471" s="14">
        <f>COUNTIFS($E:$E,E471, Deals_Raw!AF:AF, "Won")</f>
        <v>55</v>
      </c>
      <c r="H471">
        <f t="shared" si="15"/>
        <v>0.69620253164556967</v>
      </c>
      <c r="I471">
        <f>AVERAGEIFS(Deals_Raw!$AT:$AT, $E:$E, E471, Deals_Raw!$AF:$AF, "Won")</f>
        <v>0.61352612210738522</v>
      </c>
    </row>
    <row r="472" spans="4:9">
      <c r="D472" s="8">
        <v>0.184</v>
      </c>
      <c r="E472" t="str">
        <f>Deals_Raw!AU475</f>
        <v>15–20%</v>
      </c>
      <c r="F472" s="11">
        <f t="shared" si="14"/>
        <v>149</v>
      </c>
      <c r="G472" s="14">
        <f>COUNTIFS($E:$E,E472, Deals_Raw!AF:AF, "Won")</f>
        <v>108</v>
      </c>
      <c r="H472">
        <f t="shared" si="15"/>
        <v>0.72483221476510062</v>
      </c>
      <c r="I472">
        <f>AVERAGEIFS(Deals_Raw!$AT:$AT, $E:$E, E472, Deals_Raw!$AF:$AF, "Won")</f>
        <v>0.61267442628905355</v>
      </c>
    </row>
    <row r="473" spans="4:9">
      <c r="D473" s="8">
        <v>8.7999999999999995E-2</v>
      </c>
      <c r="E473" t="str">
        <f>Deals_Raw!AU476</f>
        <v>5–10%</v>
      </c>
      <c r="F473" s="11">
        <f t="shared" si="14"/>
        <v>171</v>
      </c>
      <c r="G473" s="14">
        <f>COUNTIFS($E:$E,E473, Deals_Raw!AF:AF, "Won")</f>
        <v>116</v>
      </c>
      <c r="H473">
        <f t="shared" si="15"/>
        <v>0.67836257309941517</v>
      </c>
      <c r="I473">
        <f>AVERAGEIFS(Deals_Raw!$AT:$AT, $E:$E, E473, Deals_Raw!$AF:$AF, "Won")</f>
        <v>0.6077878084656495</v>
      </c>
    </row>
    <row r="474" spans="4:9">
      <c r="D474" s="8">
        <v>8.1000000000000003E-2</v>
      </c>
      <c r="E474" t="str">
        <f>Deals_Raw!AU477</f>
        <v>5–10%</v>
      </c>
      <c r="F474" s="11">
        <f t="shared" si="14"/>
        <v>171</v>
      </c>
      <c r="G474" s="14">
        <f>COUNTIFS($E:$E,E474, Deals_Raw!AF:AF, "Won")</f>
        <v>116</v>
      </c>
      <c r="H474">
        <f t="shared" si="15"/>
        <v>0.67836257309941517</v>
      </c>
      <c r="I474">
        <f>AVERAGEIFS(Deals_Raw!$AT:$AT, $E:$E, E474, Deals_Raw!$AF:$AF, "Won")</f>
        <v>0.6077878084656495</v>
      </c>
    </row>
    <row r="475" spans="4:9">
      <c r="D475" s="8">
        <v>0.151</v>
      </c>
      <c r="E475" t="str">
        <f>Deals_Raw!AU478</f>
        <v>15–20%</v>
      </c>
      <c r="F475" s="11">
        <f t="shared" si="14"/>
        <v>149</v>
      </c>
      <c r="G475" s="14">
        <f>COUNTIFS($E:$E,E475, Deals_Raw!AF:AF, "Won")</f>
        <v>108</v>
      </c>
      <c r="H475">
        <f t="shared" si="15"/>
        <v>0.72483221476510062</v>
      </c>
      <c r="I475">
        <f>AVERAGEIFS(Deals_Raw!$AT:$AT, $E:$E, E475, Deals_Raw!$AF:$AF, "Won")</f>
        <v>0.61267442628905355</v>
      </c>
    </row>
    <row r="476" spans="4:9">
      <c r="D476" s="8">
        <v>0.121</v>
      </c>
      <c r="E476" t="str">
        <f>Deals_Raw!AU479</f>
        <v>10–15%</v>
      </c>
      <c r="F476" s="11">
        <f t="shared" si="14"/>
        <v>189</v>
      </c>
      <c r="G476" s="14">
        <f>COUNTIFS($E:$E,E476, Deals_Raw!AF:AF, "Won")</f>
        <v>113</v>
      </c>
      <c r="H476">
        <f t="shared" si="15"/>
        <v>0.59788359788359791</v>
      </c>
      <c r="I476">
        <f>AVERAGEIFS(Deals_Raw!$AT:$AT, $E:$E, E476, Deals_Raw!$AF:$AF, "Won")</f>
        <v>0.6036615079947677</v>
      </c>
    </row>
    <row r="477" spans="4:9">
      <c r="D477" s="8">
        <v>0.105</v>
      </c>
      <c r="E477" t="str">
        <f>Deals_Raw!AU480</f>
        <v>10–15%</v>
      </c>
      <c r="F477" s="11">
        <f t="shared" si="14"/>
        <v>189</v>
      </c>
      <c r="G477" s="14">
        <f>COUNTIFS($E:$E,E477, Deals_Raw!AF:AF, "Won")</f>
        <v>113</v>
      </c>
      <c r="H477">
        <f t="shared" si="15"/>
        <v>0.59788359788359791</v>
      </c>
      <c r="I477">
        <f>AVERAGEIFS(Deals_Raw!$AT:$AT, $E:$E, E477, Deals_Raw!$AF:$AF, "Won")</f>
        <v>0.6036615079947677</v>
      </c>
    </row>
    <row r="478" spans="4:9">
      <c r="D478" s="8">
        <v>9.7000000000000003E-2</v>
      </c>
      <c r="E478" t="str">
        <f>Deals_Raw!AU481</f>
        <v>5–10%</v>
      </c>
      <c r="F478" s="11">
        <f t="shared" si="14"/>
        <v>171</v>
      </c>
      <c r="G478" s="14">
        <f>COUNTIFS($E:$E,E478, Deals_Raw!AF:AF, "Won")</f>
        <v>116</v>
      </c>
      <c r="H478">
        <f t="shared" si="15"/>
        <v>0.67836257309941517</v>
      </c>
      <c r="I478">
        <f>AVERAGEIFS(Deals_Raw!$AT:$AT, $E:$E, E478, Deals_Raw!$AF:$AF, "Won")</f>
        <v>0.6077878084656495</v>
      </c>
    </row>
    <row r="479" spans="4:9">
      <c r="D479" s="8">
        <v>0.17299999999999999</v>
      </c>
      <c r="E479" t="str">
        <f>Deals_Raw!AU482</f>
        <v>15–20%</v>
      </c>
      <c r="F479" s="11">
        <f t="shared" si="14"/>
        <v>149</v>
      </c>
      <c r="G479" s="14">
        <f>COUNTIFS($E:$E,E479, Deals_Raw!AF:AF, "Won")</f>
        <v>108</v>
      </c>
      <c r="H479">
        <f t="shared" si="15"/>
        <v>0.72483221476510062</v>
      </c>
      <c r="I479">
        <f>AVERAGEIFS(Deals_Raw!$AT:$AT, $E:$E, E479, Deals_Raw!$AF:$AF, "Won")</f>
        <v>0.61267442628905355</v>
      </c>
    </row>
    <row r="480" spans="4:9">
      <c r="D480" s="8">
        <v>1.7000000000000001E-2</v>
      </c>
      <c r="E480" t="str">
        <f>Deals_Raw!AU483</f>
        <v>0–5%</v>
      </c>
      <c r="F480" s="11">
        <f t="shared" si="14"/>
        <v>79</v>
      </c>
      <c r="G480" s="14">
        <f>COUNTIFS($E:$E,E480, Deals_Raw!AF:AF, "Won")</f>
        <v>55</v>
      </c>
      <c r="H480">
        <f t="shared" si="15"/>
        <v>0.69620253164556967</v>
      </c>
      <c r="I480">
        <f>AVERAGEIFS(Deals_Raw!$AT:$AT, $E:$E, E480, Deals_Raw!$AF:$AF, "Won")</f>
        <v>0.61352612210738522</v>
      </c>
    </row>
    <row r="481" spans="4:9">
      <c r="D481" s="8">
        <v>0.113</v>
      </c>
      <c r="E481" t="str">
        <f>Deals_Raw!AU484</f>
        <v>10–15%</v>
      </c>
      <c r="F481" s="11">
        <f t="shared" si="14"/>
        <v>189</v>
      </c>
      <c r="G481" s="14">
        <f>COUNTIFS($E:$E,E481, Deals_Raw!AF:AF, "Won")</f>
        <v>113</v>
      </c>
      <c r="H481">
        <f t="shared" si="15"/>
        <v>0.59788359788359791</v>
      </c>
      <c r="I481">
        <f>AVERAGEIFS(Deals_Raw!$AT:$AT, $E:$E, E481, Deals_Raw!$AF:$AF, "Won")</f>
        <v>0.6036615079947677</v>
      </c>
    </row>
    <row r="482" spans="4:9">
      <c r="D482" s="8">
        <v>0.114</v>
      </c>
      <c r="E482" t="str">
        <f>Deals_Raw!AU485</f>
        <v>10–15%</v>
      </c>
      <c r="F482" s="11">
        <f t="shared" si="14"/>
        <v>189</v>
      </c>
      <c r="G482" s="14">
        <f>COUNTIFS($E:$E,E482, Deals_Raw!AF:AF, "Won")</f>
        <v>113</v>
      </c>
      <c r="H482">
        <f t="shared" si="15"/>
        <v>0.59788359788359791</v>
      </c>
      <c r="I482">
        <f>AVERAGEIFS(Deals_Raw!$AT:$AT, $E:$E, E482, Deals_Raw!$AF:$AF, "Won")</f>
        <v>0.6036615079947677</v>
      </c>
    </row>
    <row r="483" spans="4:9">
      <c r="D483" s="8">
        <v>0.17299999999999999</v>
      </c>
      <c r="E483" t="str">
        <f>Deals_Raw!AU486</f>
        <v>15–20%</v>
      </c>
      <c r="F483" s="11">
        <f t="shared" si="14"/>
        <v>149</v>
      </c>
      <c r="G483" s="14">
        <f>COUNTIFS($E:$E,E483, Deals_Raw!AF:AF, "Won")</f>
        <v>108</v>
      </c>
      <c r="H483">
        <f t="shared" si="15"/>
        <v>0.72483221476510062</v>
      </c>
      <c r="I483">
        <f>AVERAGEIFS(Deals_Raw!$AT:$AT, $E:$E, E483, Deals_Raw!$AF:$AF, "Won")</f>
        <v>0.61267442628905355</v>
      </c>
    </row>
    <row r="484" spans="4:9">
      <c r="D484" s="8">
        <v>0.105</v>
      </c>
      <c r="E484" t="str">
        <f>Deals_Raw!AU487</f>
        <v>10–15%</v>
      </c>
      <c r="F484" s="11">
        <f t="shared" si="14"/>
        <v>189</v>
      </c>
      <c r="G484" s="14">
        <f>COUNTIFS($E:$E,E484, Deals_Raw!AF:AF, "Won")</f>
        <v>113</v>
      </c>
      <c r="H484">
        <f t="shared" si="15"/>
        <v>0.59788359788359791</v>
      </c>
      <c r="I484">
        <f>AVERAGEIFS(Deals_Raw!$AT:$AT, $E:$E, E484, Deals_Raw!$AF:$AF, "Won")</f>
        <v>0.6036615079947677</v>
      </c>
    </row>
    <row r="485" spans="4:9">
      <c r="D485" s="8">
        <v>6.2E-2</v>
      </c>
      <c r="E485" t="str">
        <f>Deals_Raw!AU488</f>
        <v>5–10%</v>
      </c>
      <c r="F485" s="11">
        <f t="shared" si="14"/>
        <v>171</v>
      </c>
      <c r="G485" s="14">
        <f>COUNTIFS($E:$E,E485, Deals_Raw!AF:AF, "Won")</f>
        <v>116</v>
      </c>
      <c r="H485">
        <f t="shared" si="15"/>
        <v>0.67836257309941517</v>
      </c>
      <c r="I485">
        <f>AVERAGEIFS(Deals_Raw!$AT:$AT, $E:$E, E485, Deals_Raw!$AF:$AF, "Won")</f>
        <v>0.6077878084656495</v>
      </c>
    </row>
    <row r="486" spans="4:9">
      <c r="D486" s="8">
        <v>0.10199999999999999</v>
      </c>
      <c r="E486" t="str">
        <f>Deals_Raw!AU489</f>
        <v>10–15%</v>
      </c>
      <c r="F486" s="11">
        <f t="shared" si="14"/>
        <v>189</v>
      </c>
      <c r="G486" s="14">
        <f>COUNTIFS($E:$E,E486, Deals_Raw!AF:AF, "Won")</f>
        <v>113</v>
      </c>
      <c r="H486">
        <f t="shared" si="15"/>
        <v>0.59788359788359791</v>
      </c>
      <c r="I486">
        <f>AVERAGEIFS(Deals_Raw!$AT:$AT, $E:$E, E486, Deals_Raw!$AF:$AF, "Won")</f>
        <v>0.6036615079947677</v>
      </c>
    </row>
    <row r="487" spans="4:9">
      <c r="D487" s="8">
        <v>0.113</v>
      </c>
      <c r="E487" t="str">
        <f>Deals_Raw!AU490</f>
        <v>10–15%</v>
      </c>
      <c r="F487" s="11">
        <f t="shared" si="14"/>
        <v>189</v>
      </c>
      <c r="G487" s="14">
        <f>COUNTIFS($E:$E,E487, Deals_Raw!AF:AF, "Won")</f>
        <v>113</v>
      </c>
      <c r="H487">
        <f t="shared" si="15"/>
        <v>0.59788359788359791</v>
      </c>
      <c r="I487">
        <f>AVERAGEIFS(Deals_Raw!$AT:$AT, $E:$E, E487, Deals_Raw!$AF:$AF, "Won")</f>
        <v>0.6036615079947677</v>
      </c>
    </row>
    <row r="488" spans="4:9">
      <c r="D488" s="8">
        <v>0.114</v>
      </c>
      <c r="E488" t="str">
        <f>Deals_Raw!AU491</f>
        <v>10–15%</v>
      </c>
      <c r="F488" s="11">
        <f t="shared" si="14"/>
        <v>189</v>
      </c>
      <c r="G488" s="14">
        <f>COUNTIFS($E:$E,E488, Deals_Raw!AF:AF, "Won")</f>
        <v>113</v>
      </c>
      <c r="H488">
        <f t="shared" si="15"/>
        <v>0.59788359788359791</v>
      </c>
      <c r="I488">
        <f>AVERAGEIFS(Deals_Raw!$AT:$AT, $E:$E, E488, Deals_Raw!$AF:$AF, "Won")</f>
        <v>0.6036615079947677</v>
      </c>
    </row>
    <row r="489" spans="4:9">
      <c r="D489" s="8">
        <v>7.6999999999999999E-2</v>
      </c>
      <c r="E489" t="str">
        <f>Deals_Raw!AU492</f>
        <v>5–10%</v>
      </c>
      <c r="F489" s="11">
        <f t="shared" si="14"/>
        <v>171</v>
      </c>
      <c r="G489" s="14">
        <f>COUNTIFS($E:$E,E489, Deals_Raw!AF:AF, "Won")</f>
        <v>116</v>
      </c>
      <c r="H489">
        <f t="shared" si="15"/>
        <v>0.67836257309941517</v>
      </c>
      <c r="I489">
        <f>AVERAGEIFS(Deals_Raw!$AT:$AT, $E:$E, E489, Deals_Raw!$AF:$AF, "Won")</f>
        <v>0.6077878084656495</v>
      </c>
    </row>
    <row r="490" spans="4:9">
      <c r="D490" s="8">
        <v>0.123</v>
      </c>
      <c r="E490" t="str">
        <f>Deals_Raw!AU493</f>
        <v>10–15%</v>
      </c>
      <c r="F490" s="11">
        <f t="shared" si="14"/>
        <v>189</v>
      </c>
      <c r="G490" s="14">
        <f>COUNTIFS($E:$E,E490, Deals_Raw!AF:AF, "Won")</f>
        <v>113</v>
      </c>
      <c r="H490">
        <f t="shared" si="15"/>
        <v>0.59788359788359791</v>
      </c>
      <c r="I490">
        <f>AVERAGEIFS(Deals_Raw!$AT:$AT, $E:$E, E490, Deals_Raw!$AF:$AF, "Won")</f>
        <v>0.6036615079947677</v>
      </c>
    </row>
    <row r="491" spans="4:9">
      <c r="D491" s="8">
        <v>7.0999999999999994E-2</v>
      </c>
      <c r="E491" t="str">
        <f>Deals_Raw!AU494</f>
        <v>5–10%</v>
      </c>
      <c r="F491" s="11">
        <f t="shared" si="14"/>
        <v>171</v>
      </c>
      <c r="G491" s="14">
        <f>COUNTIFS($E:$E,E491, Deals_Raw!AF:AF, "Won")</f>
        <v>116</v>
      </c>
      <c r="H491">
        <f t="shared" si="15"/>
        <v>0.67836257309941517</v>
      </c>
      <c r="I491">
        <f>AVERAGEIFS(Deals_Raw!$AT:$AT, $E:$E, E491, Deals_Raw!$AF:$AF, "Won")</f>
        <v>0.6077878084656495</v>
      </c>
    </row>
    <row r="492" spans="4:9">
      <c r="D492" s="8">
        <v>4.2999999999999997E-2</v>
      </c>
      <c r="E492" t="str">
        <f>Deals_Raw!AU495</f>
        <v>0–5%</v>
      </c>
      <c r="F492" s="11">
        <f t="shared" si="14"/>
        <v>79</v>
      </c>
      <c r="G492" s="14">
        <f>COUNTIFS($E:$E,E492, Deals_Raw!AF:AF, "Won")</f>
        <v>55</v>
      </c>
      <c r="H492">
        <f t="shared" si="15"/>
        <v>0.69620253164556967</v>
      </c>
      <c r="I492">
        <f>AVERAGEIFS(Deals_Raw!$AT:$AT, $E:$E, E492, Deals_Raw!$AF:$AF, "Won")</f>
        <v>0.61352612210738522</v>
      </c>
    </row>
    <row r="493" spans="4:9">
      <c r="D493" s="8">
        <v>0.17499999999999999</v>
      </c>
      <c r="E493" t="str">
        <f>Deals_Raw!AU496</f>
        <v>15–20%</v>
      </c>
      <c r="F493" s="11">
        <f t="shared" si="14"/>
        <v>149</v>
      </c>
      <c r="G493" s="14">
        <f>COUNTIFS($E:$E,E493, Deals_Raw!AF:AF, "Won")</f>
        <v>108</v>
      </c>
      <c r="H493">
        <f t="shared" si="15"/>
        <v>0.72483221476510062</v>
      </c>
      <c r="I493">
        <f>AVERAGEIFS(Deals_Raw!$AT:$AT, $E:$E, E493, Deals_Raw!$AF:$AF, "Won")</f>
        <v>0.61267442628905355</v>
      </c>
    </row>
    <row r="494" spans="4:9">
      <c r="D494" s="8">
        <v>0.20899999999999999</v>
      </c>
      <c r="E494" t="str">
        <f>Deals_Raw!AU497</f>
        <v>20–25%</v>
      </c>
      <c r="F494" s="11">
        <f t="shared" si="14"/>
        <v>41</v>
      </c>
      <c r="G494" s="14">
        <f>COUNTIFS($E:$E,E494, Deals_Raw!AF:AF, "Won")</f>
        <v>29</v>
      </c>
      <c r="H494">
        <f t="shared" si="15"/>
        <v>0.70731707317073167</v>
      </c>
      <c r="I494">
        <f>AVERAGEIFS(Deals_Raw!$AT:$AT, $E:$E, E494, Deals_Raw!$AF:$AF, "Won")</f>
        <v>0.6163731005984544</v>
      </c>
    </row>
    <row r="495" spans="4:9">
      <c r="D495" s="8">
        <v>6.5000000000000002E-2</v>
      </c>
      <c r="E495" t="str">
        <f>Deals_Raw!AU498</f>
        <v>5–10%</v>
      </c>
      <c r="F495" s="11">
        <f t="shared" si="14"/>
        <v>171</v>
      </c>
      <c r="G495" s="14">
        <f>COUNTIFS($E:$E,E495, Deals_Raw!AF:AF, "Won")</f>
        <v>116</v>
      </c>
      <c r="H495">
        <f t="shared" si="15"/>
        <v>0.67836257309941517</v>
      </c>
      <c r="I495">
        <f>AVERAGEIFS(Deals_Raw!$AT:$AT, $E:$E, E495, Deals_Raw!$AF:$AF, "Won")</f>
        <v>0.6077878084656495</v>
      </c>
    </row>
    <row r="496" spans="4:9">
      <c r="D496" s="8">
        <v>0.14000000000000001</v>
      </c>
      <c r="E496" t="str">
        <f>Deals_Raw!AU499</f>
        <v>10–15%</v>
      </c>
      <c r="F496" s="11">
        <f t="shared" si="14"/>
        <v>189</v>
      </c>
      <c r="G496" s="14">
        <f>COUNTIFS($E:$E,E496, Deals_Raw!AF:AF, "Won")</f>
        <v>113</v>
      </c>
      <c r="H496">
        <f t="shared" si="15"/>
        <v>0.59788359788359791</v>
      </c>
      <c r="I496">
        <f>AVERAGEIFS(Deals_Raw!$AT:$AT, $E:$E, E496, Deals_Raw!$AF:$AF, "Won")</f>
        <v>0.6036615079947677</v>
      </c>
    </row>
    <row r="497" spans="4:9">
      <c r="D497" s="8">
        <v>0.17199999999999999</v>
      </c>
      <c r="E497" t="str">
        <f>Deals_Raw!AU500</f>
        <v>15–20%</v>
      </c>
      <c r="F497" s="11">
        <f t="shared" si="14"/>
        <v>149</v>
      </c>
      <c r="G497" s="14">
        <f>COUNTIFS($E:$E,E497, Deals_Raw!AF:AF, "Won")</f>
        <v>108</v>
      </c>
      <c r="H497">
        <f t="shared" si="15"/>
        <v>0.72483221476510062</v>
      </c>
      <c r="I497">
        <f>AVERAGEIFS(Deals_Raw!$AT:$AT, $E:$E, E497, Deals_Raw!$AF:$AF, "Won")</f>
        <v>0.61267442628905355</v>
      </c>
    </row>
    <row r="498" spans="4:9">
      <c r="D498" s="8">
        <v>0.13900000000000001</v>
      </c>
      <c r="E498" t="str">
        <f>Deals_Raw!AU501</f>
        <v>10–15%</v>
      </c>
      <c r="F498" s="11">
        <f t="shared" si="14"/>
        <v>189</v>
      </c>
      <c r="G498" s="14">
        <f>COUNTIFS($E:$E,E498, Deals_Raw!AF:AF, "Won")</f>
        <v>113</v>
      </c>
      <c r="H498">
        <f t="shared" si="15"/>
        <v>0.59788359788359791</v>
      </c>
      <c r="I498">
        <f>AVERAGEIFS(Deals_Raw!$AT:$AT, $E:$E, E498, Deals_Raw!$AF:$AF, "Won")</f>
        <v>0.6036615079947677</v>
      </c>
    </row>
    <row r="499" spans="4:9">
      <c r="D499" s="8">
        <v>0.17199999999999999</v>
      </c>
      <c r="E499" t="str">
        <f>Deals_Raw!AU502</f>
        <v>15–20%</v>
      </c>
      <c r="F499" s="11">
        <f t="shared" si="14"/>
        <v>149</v>
      </c>
      <c r="G499" s="14">
        <f>COUNTIFS($E:$E,E499, Deals_Raw!AF:AF, "Won")</f>
        <v>108</v>
      </c>
      <c r="H499">
        <f t="shared" si="15"/>
        <v>0.72483221476510062</v>
      </c>
      <c r="I499">
        <f>AVERAGEIFS(Deals_Raw!$AT:$AT, $E:$E, E499, Deals_Raw!$AF:$AF, "Won")</f>
        <v>0.61267442628905355</v>
      </c>
    </row>
    <row r="500" spans="4:9">
      <c r="D500" s="8">
        <v>0.08</v>
      </c>
      <c r="E500" t="str">
        <f>Deals_Raw!AU503</f>
        <v>5–10%</v>
      </c>
      <c r="F500" s="11">
        <f t="shared" si="14"/>
        <v>171</v>
      </c>
      <c r="G500" s="14">
        <f>COUNTIFS($E:$E,E500, Deals_Raw!AF:AF, "Won")</f>
        <v>116</v>
      </c>
      <c r="H500">
        <f t="shared" si="15"/>
        <v>0.67836257309941517</v>
      </c>
      <c r="I500">
        <f>AVERAGEIFS(Deals_Raw!$AT:$AT, $E:$E, E500, Deals_Raw!$AF:$AF, "Won")</f>
        <v>0.6077878084656495</v>
      </c>
    </row>
    <row r="501" spans="4:9">
      <c r="D501" s="8">
        <v>0.14199999999999999</v>
      </c>
      <c r="E501" t="str">
        <f>Deals_Raw!AU504</f>
        <v>10–15%</v>
      </c>
      <c r="F501" s="11">
        <f t="shared" si="14"/>
        <v>189</v>
      </c>
      <c r="G501" s="14">
        <f>COUNTIFS($E:$E,E501, Deals_Raw!AF:AF, "Won")</f>
        <v>113</v>
      </c>
      <c r="H501">
        <f t="shared" si="15"/>
        <v>0.59788359788359791</v>
      </c>
      <c r="I501">
        <f>AVERAGEIFS(Deals_Raw!$AT:$AT, $E:$E, E501, Deals_Raw!$AF:$AF, "Won")</f>
        <v>0.6036615079947677</v>
      </c>
    </row>
    <row r="502" spans="4:9">
      <c r="D502" s="8">
        <v>7.0000000000000007E-2</v>
      </c>
      <c r="E502" t="str">
        <f>Deals_Raw!AU505</f>
        <v>5–10%</v>
      </c>
      <c r="F502" s="11">
        <f t="shared" si="14"/>
        <v>171</v>
      </c>
      <c r="G502" s="14">
        <f>COUNTIFS($E:$E,E502, Deals_Raw!AF:AF, "Won")</f>
        <v>116</v>
      </c>
      <c r="H502">
        <f t="shared" si="15"/>
        <v>0.67836257309941517</v>
      </c>
      <c r="I502">
        <f>AVERAGEIFS(Deals_Raw!$AT:$AT, $E:$E, E502, Deals_Raw!$AF:$AF, "Won")</f>
        <v>0.6077878084656495</v>
      </c>
    </row>
    <row r="503" spans="4:9">
      <c r="D503" s="8">
        <v>0.11799999999999999</v>
      </c>
      <c r="E503" t="str">
        <f>Deals_Raw!AU506</f>
        <v>10–15%</v>
      </c>
      <c r="F503" s="11">
        <f t="shared" si="14"/>
        <v>189</v>
      </c>
      <c r="G503" s="14">
        <f>COUNTIFS($E:$E,E503, Deals_Raw!AF:AF, "Won")</f>
        <v>113</v>
      </c>
      <c r="H503">
        <f t="shared" si="15"/>
        <v>0.59788359788359791</v>
      </c>
      <c r="I503">
        <f>AVERAGEIFS(Deals_Raw!$AT:$AT, $E:$E, E503, Deals_Raw!$AF:$AF, "Won")</f>
        <v>0.6036615079947677</v>
      </c>
    </row>
    <row r="504" spans="4:9">
      <c r="D504" s="8">
        <v>6.0999999999999999E-2</v>
      </c>
      <c r="E504" t="str">
        <f>Deals_Raw!AU507</f>
        <v>5–10%</v>
      </c>
      <c r="F504" s="11">
        <f t="shared" si="14"/>
        <v>171</v>
      </c>
      <c r="G504" s="14">
        <f>COUNTIFS($E:$E,E504, Deals_Raw!AF:AF, "Won")</f>
        <v>116</v>
      </c>
      <c r="H504">
        <f t="shared" si="15"/>
        <v>0.67836257309941517</v>
      </c>
      <c r="I504">
        <f>AVERAGEIFS(Deals_Raw!$AT:$AT, $E:$E, E504, Deals_Raw!$AF:$AF, "Won")</f>
        <v>0.6077878084656495</v>
      </c>
    </row>
    <row r="505" spans="4:9">
      <c r="D505" s="8">
        <v>2.5000000000000001E-2</v>
      </c>
      <c r="E505" t="str">
        <f>Deals_Raw!AU508</f>
        <v>0–5%</v>
      </c>
      <c r="F505" s="11">
        <f t="shared" si="14"/>
        <v>79</v>
      </c>
      <c r="G505" s="14">
        <f>COUNTIFS($E:$E,E505, Deals_Raw!AF:AF, "Won")</f>
        <v>55</v>
      </c>
      <c r="H505">
        <f t="shared" si="15"/>
        <v>0.69620253164556967</v>
      </c>
      <c r="I505">
        <f>AVERAGEIFS(Deals_Raw!$AT:$AT, $E:$E, E505, Deals_Raw!$AF:$AF, "Won")</f>
        <v>0.61352612210738522</v>
      </c>
    </row>
    <row r="506" spans="4:9">
      <c r="D506" s="8">
        <v>0.17899999999999999</v>
      </c>
      <c r="E506" t="str">
        <f>Deals_Raw!AU509</f>
        <v>15–20%</v>
      </c>
      <c r="F506" s="11">
        <f t="shared" si="14"/>
        <v>149</v>
      </c>
      <c r="G506" s="14">
        <f>COUNTIFS($E:$E,E506, Deals_Raw!AF:AF, "Won")</f>
        <v>108</v>
      </c>
      <c r="H506">
        <f t="shared" si="15"/>
        <v>0.72483221476510062</v>
      </c>
      <c r="I506">
        <f>AVERAGEIFS(Deals_Raw!$AT:$AT, $E:$E, E506, Deals_Raw!$AF:$AF, "Won")</f>
        <v>0.61267442628905355</v>
      </c>
    </row>
    <row r="507" spans="4:9">
      <c r="D507" s="8">
        <v>0.23400000000000001</v>
      </c>
      <c r="E507" t="str">
        <f>Deals_Raw!AU510</f>
        <v>20–25%</v>
      </c>
      <c r="F507" s="11">
        <f t="shared" si="14"/>
        <v>41</v>
      </c>
      <c r="G507" s="14">
        <f>COUNTIFS($E:$E,E507, Deals_Raw!AF:AF, "Won")</f>
        <v>29</v>
      </c>
      <c r="H507">
        <f t="shared" si="15"/>
        <v>0.70731707317073167</v>
      </c>
      <c r="I507">
        <f>AVERAGEIFS(Deals_Raw!$AT:$AT, $E:$E, E507, Deals_Raw!$AF:$AF, "Won")</f>
        <v>0.6163731005984544</v>
      </c>
    </row>
    <row r="508" spans="4:9">
      <c r="D508" s="8">
        <v>0.115</v>
      </c>
      <c r="E508" t="str">
        <f>Deals_Raw!AU511</f>
        <v>10–15%</v>
      </c>
      <c r="F508" s="11">
        <f t="shared" si="14"/>
        <v>189</v>
      </c>
      <c r="G508" s="14">
        <f>COUNTIFS($E:$E,E508, Deals_Raw!AF:AF, "Won")</f>
        <v>113</v>
      </c>
      <c r="H508">
        <f t="shared" si="15"/>
        <v>0.59788359788359791</v>
      </c>
      <c r="I508">
        <f>AVERAGEIFS(Deals_Raw!$AT:$AT, $E:$E, E508, Deals_Raw!$AF:$AF, "Won")</f>
        <v>0.6036615079947677</v>
      </c>
    </row>
    <row r="509" spans="4:9">
      <c r="D509" s="8">
        <v>8.8999999999999996E-2</v>
      </c>
      <c r="E509" t="str">
        <f>Deals_Raw!AU512</f>
        <v>5–10%</v>
      </c>
      <c r="F509" s="11">
        <f t="shared" si="14"/>
        <v>171</v>
      </c>
      <c r="G509" s="14">
        <f>COUNTIFS($E:$E,E509, Deals_Raw!AF:AF, "Won")</f>
        <v>116</v>
      </c>
      <c r="H509">
        <f t="shared" si="15"/>
        <v>0.67836257309941517</v>
      </c>
      <c r="I509">
        <f>AVERAGEIFS(Deals_Raw!$AT:$AT, $E:$E, E509, Deals_Raw!$AF:$AF, "Won")</f>
        <v>0.6077878084656495</v>
      </c>
    </row>
    <row r="510" spans="4:9">
      <c r="D510" s="8">
        <v>0.13900000000000001</v>
      </c>
      <c r="E510" t="str">
        <f>Deals_Raw!AU513</f>
        <v>10–15%</v>
      </c>
      <c r="F510" s="11">
        <f t="shared" si="14"/>
        <v>189</v>
      </c>
      <c r="G510" s="14">
        <f>COUNTIFS($E:$E,E510, Deals_Raw!AF:AF, "Won")</f>
        <v>113</v>
      </c>
      <c r="H510">
        <f t="shared" si="15"/>
        <v>0.59788359788359791</v>
      </c>
      <c r="I510">
        <f>AVERAGEIFS(Deals_Raw!$AT:$AT, $E:$E, E510, Deals_Raw!$AF:$AF, "Won")</f>
        <v>0.6036615079947677</v>
      </c>
    </row>
    <row r="511" spans="4:9">
      <c r="D511" s="8">
        <v>6.3E-2</v>
      </c>
      <c r="E511" t="str">
        <f>Deals_Raw!AU514</f>
        <v>5–10%</v>
      </c>
      <c r="F511" s="11">
        <f t="shared" si="14"/>
        <v>171</v>
      </c>
      <c r="G511" s="14">
        <f>COUNTIFS($E:$E,E511, Deals_Raw!AF:AF, "Won")</f>
        <v>116</v>
      </c>
      <c r="H511">
        <f t="shared" si="15"/>
        <v>0.67836257309941517</v>
      </c>
      <c r="I511">
        <f>AVERAGEIFS(Deals_Raw!$AT:$AT, $E:$E, E511, Deals_Raw!$AF:$AF, "Won")</f>
        <v>0.6077878084656495</v>
      </c>
    </row>
    <row r="512" spans="4:9">
      <c r="D512" s="8">
        <v>0.127</v>
      </c>
      <c r="E512" t="str">
        <f>Deals_Raw!AU515</f>
        <v>10–15%</v>
      </c>
      <c r="F512" s="11">
        <f t="shared" si="14"/>
        <v>189</v>
      </c>
      <c r="G512" s="14">
        <f>COUNTIFS($E:$E,E512, Deals_Raw!AF:AF, "Won")</f>
        <v>113</v>
      </c>
      <c r="H512">
        <f t="shared" si="15"/>
        <v>0.59788359788359791</v>
      </c>
      <c r="I512">
        <f>AVERAGEIFS(Deals_Raw!$AT:$AT, $E:$E, E512, Deals_Raw!$AF:$AF, "Won")</f>
        <v>0.6036615079947677</v>
      </c>
    </row>
    <row r="513" spans="4:9">
      <c r="D513" s="8">
        <v>2.5999999999999999E-2</v>
      </c>
      <c r="E513" t="str">
        <f>Deals_Raw!AU516</f>
        <v>0–5%</v>
      </c>
      <c r="F513" s="11">
        <f t="shared" si="14"/>
        <v>79</v>
      </c>
      <c r="G513" s="14">
        <f>COUNTIFS($E:$E,E513, Deals_Raw!AF:AF, "Won")</f>
        <v>55</v>
      </c>
      <c r="H513">
        <f t="shared" si="15"/>
        <v>0.69620253164556967</v>
      </c>
      <c r="I513">
        <f>AVERAGEIFS(Deals_Raw!$AT:$AT, $E:$E, E513, Deals_Raw!$AF:$AF, "Won")</f>
        <v>0.61352612210738522</v>
      </c>
    </row>
    <row r="514" spans="4:9">
      <c r="D514" s="8">
        <v>0.11899999999999999</v>
      </c>
      <c r="E514" t="str">
        <f>Deals_Raw!AU517</f>
        <v>10–15%</v>
      </c>
      <c r="F514" s="11">
        <f t="shared" ref="F514:F577" si="16">COUNTIF($E:$E,E514)</f>
        <v>189</v>
      </c>
      <c r="G514" s="14">
        <f>COUNTIFS($E:$E,E514, Deals_Raw!AF:AF, "Won")</f>
        <v>113</v>
      </c>
      <c r="H514">
        <f t="shared" si="15"/>
        <v>0.59788359788359791</v>
      </c>
      <c r="I514">
        <f>AVERAGEIFS(Deals_Raw!$AT:$AT, $E:$E, E514, Deals_Raw!$AF:$AF, "Won")</f>
        <v>0.6036615079947677</v>
      </c>
    </row>
    <row r="515" spans="4:9">
      <c r="D515" s="8">
        <v>7.3999999999999996E-2</v>
      </c>
      <c r="E515" t="str">
        <f>Deals_Raw!AU518</f>
        <v>5–10%</v>
      </c>
      <c r="F515" s="11">
        <f t="shared" si="16"/>
        <v>171</v>
      </c>
      <c r="G515" s="14">
        <f>COUNTIFS($E:$E,E515, Deals_Raw!AF:AF, "Won")</f>
        <v>116</v>
      </c>
      <c r="H515">
        <f t="shared" ref="H515:H578" si="17">G515/F515</f>
        <v>0.67836257309941517</v>
      </c>
      <c r="I515">
        <f>AVERAGEIFS(Deals_Raw!$AT:$AT, $E:$E, E515, Deals_Raw!$AF:$AF, "Won")</f>
        <v>0.6077878084656495</v>
      </c>
    </row>
    <row r="516" spans="4:9">
      <c r="D516" s="8">
        <v>0.17499999999999999</v>
      </c>
      <c r="E516" t="str">
        <f>Deals_Raw!AU519</f>
        <v>15–20%</v>
      </c>
      <c r="F516" s="11">
        <f t="shared" si="16"/>
        <v>149</v>
      </c>
      <c r="G516" s="14">
        <f>COUNTIFS($E:$E,E516, Deals_Raw!AF:AF, "Won")</f>
        <v>108</v>
      </c>
      <c r="H516">
        <f t="shared" si="17"/>
        <v>0.72483221476510062</v>
      </c>
      <c r="I516">
        <f>AVERAGEIFS(Deals_Raw!$AT:$AT, $E:$E, E516, Deals_Raw!$AF:$AF, "Won")</f>
        <v>0.61267442628905355</v>
      </c>
    </row>
    <row r="517" spans="4:9">
      <c r="D517" s="8">
        <v>0.33900000000000002</v>
      </c>
      <c r="E517" t="str">
        <f>Deals_Raw!AU520</f>
        <v>Above 30%</v>
      </c>
      <c r="F517" s="11">
        <f t="shared" si="16"/>
        <v>2</v>
      </c>
      <c r="G517" s="14">
        <f>COUNTIFS($E:$E,E517, Deals_Raw!AF:AF, "Won")</f>
        <v>2</v>
      </c>
      <c r="H517">
        <f t="shared" si="17"/>
        <v>1</v>
      </c>
      <c r="I517">
        <f>AVERAGEIFS(Deals_Raw!$AT:$AT, $E:$E, E517, Deals_Raw!$AF:$AF, "Won")</f>
        <v>0.59216544262898663</v>
      </c>
    </row>
    <row r="518" spans="4:9">
      <c r="D518" s="8">
        <v>0.13700000000000001</v>
      </c>
      <c r="E518" t="str">
        <f>Deals_Raw!AU521</f>
        <v>10–15%</v>
      </c>
      <c r="F518" s="11">
        <f t="shared" si="16"/>
        <v>189</v>
      </c>
      <c r="G518" s="14">
        <f>COUNTIFS($E:$E,E518, Deals_Raw!AF:AF, "Won")</f>
        <v>113</v>
      </c>
      <c r="H518">
        <f t="shared" si="17"/>
        <v>0.59788359788359791</v>
      </c>
      <c r="I518">
        <f>AVERAGEIFS(Deals_Raw!$AT:$AT, $E:$E, E518, Deals_Raw!$AF:$AF, "Won")</f>
        <v>0.6036615079947677</v>
      </c>
    </row>
    <row r="519" spans="4:9">
      <c r="D519" s="8">
        <v>5.8999999999999997E-2</v>
      </c>
      <c r="E519" t="str">
        <f>Deals_Raw!AU522</f>
        <v>5–10%</v>
      </c>
      <c r="F519" s="11">
        <f t="shared" si="16"/>
        <v>171</v>
      </c>
      <c r="G519" s="14">
        <f>COUNTIFS($E:$E,E519, Deals_Raw!AF:AF, "Won")</f>
        <v>116</v>
      </c>
      <c r="H519">
        <f t="shared" si="17"/>
        <v>0.67836257309941517</v>
      </c>
      <c r="I519">
        <f>AVERAGEIFS(Deals_Raw!$AT:$AT, $E:$E, E519, Deals_Raw!$AF:$AF, "Won")</f>
        <v>0.6077878084656495</v>
      </c>
    </row>
    <row r="520" spans="4:9">
      <c r="D520" s="8">
        <v>7.9000000000000001E-2</v>
      </c>
      <c r="E520" t="str">
        <f>Deals_Raw!AU523</f>
        <v>5–10%</v>
      </c>
      <c r="F520" s="11">
        <f t="shared" si="16"/>
        <v>171</v>
      </c>
      <c r="G520" s="14">
        <f>COUNTIFS($E:$E,E520, Deals_Raw!AF:AF, "Won")</f>
        <v>116</v>
      </c>
      <c r="H520">
        <f t="shared" si="17"/>
        <v>0.67836257309941517</v>
      </c>
      <c r="I520">
        <f>AVERAGEIFS(Deals_Raw!$AT:$AT, $E:$E, E520, Deals_Raw!$AF:$AF, "Won")</f>
        <v>0.6077878084656495</v>
      </c>
    </row>
    <row r="521" spans="4:9">
      <c r="D521" s="8">
        <v>0.13300000000000001</v>
      </c>
      <c r="E521" t="str">
        <f>Deals_Raw!AU524</f>
        <v>10–15%</v>
      </c>
      <c r="F521" s="11">
        <f t="shared" si="16"/>
        <v>189</v>
      </c>
      <c r="G521" s="14">
        <f>COUNTIFS($E:$E,E521, Deals_Raw!AF:AF, "Won")</f>
        <v>113</v>
      </c>
      <c r="H521">
        <f t="shared" si="17"/>
        <v>0.59788359788359791</v>
      </c>
      <c r="I521">
        <f>AVERAGEIFS(Deals_Raw!$AT:$AT, $E:$E, E521, Deals_Raw!$AF:$AF, "Won")</f>
        <v>0.6036615079947677</v>
      </c>
    </row>
    <row r="522" spans="4:9">
      <c r="D522" s="8">
        <v>0.11899999999999999</v>
      </c>
      <c r="E522" t="str">
        <f>Deals_Raw!AU525</f>
        <v>10–15%</v>
      </c>
      <c r="F522" s="11">
        <f t="shared" si="16"/>
        <v>189</v>
      </c>
      <c r="G522" s="14">
        <f>COUNTIFS($E:$E,E522, Deals_Raw!AF:AF, "Won")</f>
        <v>113</v>
      </c>
      <c r="H522">
        <f t="shared" si="17"/>
        <v>0.59788359788359791</v>
      </c>
      <c r="I522">
        <f>AVERAGEIFS(Deals_Raw!$AT:$AT, $E:$E, E522, Deals_Raw!$AF:$AF, "Won")</f>
        <v>0.6036615079947677</v>
      </c>
    </row>
    <row r="523" spans="4:9">
      <c r="D523" s="8">
        <v>0.123</v>
      </c>
      <c r="E523" t="str">
        <f>Deals_Raw!AU526</f>
        <v>10–15%</v>
      </c>
      <c r="F523" s="11">
        <f t="shared" si="16"/>
        <v>189</v>
      </c>
      <c r="G523" s="14">
        <f>COUNTIFS($E:$E,E523, Deals_Raw!AF:AF, "Won")</f>
        <v>113</v>
      </c>
      <c r="H523">
        <f t="shared" si="17"/>
        <v>0.59788359788359791</v>
      </c>
      <c r="I523">
        <f>AVERAGEIFS(Deals_Raw!$AT:$AT, $E:$E, E523, Deals_Raw!$AF:$AF, "Won")</f>
        <v>0.6036615079947677</v>
      </c>
    </row>
    <row r="524" spans="4:9">
      <c r="D524" s="8">
        <v>9.2999999999999999E-2</v>
      </c>
      <c r="E524" t="str">
        <f>Deals_Raw!AU527</f>
        <v>5–10%</v>
      </c>
      <c r="F524" s="11">
        <f t="shared" si="16"/>
        <v>171</v>
      </c>
      <c r="G524" s="14">
        <f>COUNTIFS($E:$E,E524, Deals_Raw!AF:AF, "Won")</f>
        <v>116</v>
      </c>
      <c r="H524">
        <f t="shared" si="17"/>
        <v>0.67836257309941517</v>
      </c>
      <c r="I524">
        <f>AVERAGEIFS(Deals_Raw!$AT:$AT, $E:$E, E524, Deals_Raw!$AF:$AF, "Won")</f>
        <v>0.6077878084656495</v>
      </c>
    </row>
    <row r="525" spans="4:9">
      <c r="D525" s="8">
        <v>0.16800000000000001</v>
      </c>
      <c r="E525" t="str">
        <f>Deals_Raw!AU528</f>
        <v>15–20%</v>
      </c>
      <c r="F525" s="11">
        <f t="shared" si="16"/>
        <v>149</v>
      </c>
      <c r="G525" s="14">
        <f>COUNTIFS($E:$E,E525, Deals_Raw!AF:AF, "Won")</f>
        <v>108</v>
      </c>
      <c r="H525">
        <f t="shared" si="17"/>
        <v>0.72483221476510062</v>
      </c>
      <c r="I525">
        <f>AVERAGEIFS(Deals_Raw!$AT:$AT, $E:$E, E525, Deals_Raw!$AF:$AF, "Won")</f>
        <v>0.61267442628905355</v>
      </c>
    </row>
    <row r="526" spans="4:9">
      <c r="D526" s="8">
        <v>5.6000000000000001E-2</v>
      </c>
      <c r="E526" t="str">
        <f>Deals_Raw!AU529</f>
        <v>5–10%</v>
      </c>
      <c r="F526" s="11">
        <f t="shared" si="16"/>
        <v>171</v>
      </c>
      <c r="G526" s="14">
        <f>COUNTIFS($E:$E,E526, Deals_Raw!AF:AF, "Won")</f>
        <v>116</v>
      </c>
      <c r="H526">
        <f t="shared" si="17"/>
        <v>0.67836257309941517</v>
      </c>
      <c r="I526">
        <f>AVERAGEIFS(Deals_Raw!$AT:$AT, $E:$E, E526, Deals_Raw!$AF:$AF, "Won")</f>
        <v>0.6077878084656495</v>
      </c>
    </row>
    <row r="527" spans="4:9">
      <c r="D527" s="8">
        <v>3.5999999999999997E-2</v>
      </c>
      <c r="E527" t="str">
        <f>Deals_Raw!AU530</f>
        <v>0–5%</v>
      </c>
      <c r="F527" s="11">
        <f t="shared" si="16"/>
        <v>79</v>
      </c>
      <c r="G527" s="14">
        <f>COUNTIFS($E:$E,E527, Deals_Raw!AF:AF, "Won")</f>
        <v>55</v>
      </c>
      <c r="H527">
        <f t="shared" si="17"/>
        <v>0.69620253164556967</v>
      </c>
      <c r="I527">
        <f>AVERAGEIFS(Deals_Raw!$AT:$AT, $E:$E, E527, Deals_Raw!$AF:$AF, "Won")</f>
        <v>0.61352612210738522</v>
      </c>
    </row>
    <row r="528" spans="4:9">
      <c r="D528" s="8">
        <v>0.34100000000000003</v>
      </c>
      <c r="E528" t="str">
        <f>Deals_Raw!AU531</f>
        <v>Above 30%</v>
      </c>
      <c r="F528" s="11">
        <f t="shared" si="16"/>
        <v>2</v>
      </c>
      <c r="G528" s="14">
        <f>COUNTIFS($E:$E,E528, Deals_Raw!AF:AF, "Won")</f>
        <v>2</v>
      </c>
      <c r="H528">
        <f t="shared" si="17"/>
        <v>1</v>
      </c>
      <c r="I528">
        <f>AVERAGEIFS(Deals_Raw!$AT:$AT, $E:$E, E528, Deals_Raw!$AF:$AF, "Won")</f>
        <v>0.59216544262898663</v>
      </c>
    </row>
    <row r="529" spans="4:9">
      <c r="D529" s="8">
        <v>9.9000000000000005E-2</v>
      </c>
      <c r="E529" t="str">
        <f>Deals_Raw!AU532</f>
        <v>5–10%</v>
      </c>
      <c r="F529" s="11">
        <f t="shared" si="16"/>
        <v>171</v>
      </c>
      <c r="G529" s="14">
        <f>COUNTIFS($E:$E,E529, Deals_Raw!AF:AF, "Won")</f>
        <v>116</v>
      </c>
      <c r="H529">
        <f t="shared" si="17"/>
        <v>0.67836257309941517</v>
      </c>
      <c r="I529">
        <f>AVERAGEIFS(Deals_Raw!$AT:$AT, $E:$E, E529, Deals_Raw!$AF:$AF, "Won")</f>
        <v>0.6077878084656495</v>
      </c>
    </row>
    <row r="530" spans="4:9">
      <c r="D530" s="8">
        <v>6.9000000000000006E-2</v>
      </c>
      <c r="E530" t="str">
        <f>Deals_Raw!AU533</f>
        <v>5–10%</v>
      </c>
      <c r="F530" s="11">
        <f t="shared" si="16"/>
        <v>171</v>
      </c>
      <c r="G530" s="14">
        <f>COUNTIFS($E:$E,E530, Deals_Raw!AF:AF, "Won")</f>
        <v>116</v>
      </c>
      <c r="H530">
        <f t="shared" si="17"/>
        <v>0.67836257309941517</v>
      </c>
      <c r="I530">
        <f>AVERAGEIFS(Deals_Raw!$AT:$AT, $E:$E, E530, Deals_Raw!$AF:$AF, "Won")</f>
        <v>0.6077878084656495</v>
      </c>
    </row>
    <row r="531" spans="4:9">
      <c r="D531" s="8">
        <v>4.2000000000000003E-2</v>
      </c>
      <c r="E531" t="str">
        <f>Deals_Raw!AU534</f>
        <v>0–5%</v>
      </c>
      <c r="F531" s="11">
        <f t="shared" si="16"/>
        <v>79</v>
      </c>
      <c r="G531" s="14">
        <f>COUNTIFS($E:$E,E531, Deals_Raw!AF:AF, "Won")</f>
        <v>55</v>
      </c>
      <c r="H531">
        <f t="shared" si="17"/>
        <v>0.69620253164556967</v>
      </c>
      <c r="I531">
        <f>AVERAGEIFS(Deals_Raw!$AT:$AT, $E:$E, E531, Deals_Raw!$AF:$AF, "Won")</f>
        <v>0.61352612210738522</v>
      </c>
    </row>
    <row r="532" spans="4:9">
      <c r="D532" s="8">
        <v>0.1</v>
      </c>
      <c r="E532" t="str">
        <f>Deals_Raw!AU535</f>
        <v>5–10%</v>
      </c>
      <c r="F532" s="11">
        <f t="shared" si="16"/>
        <v>171</v>
      </c>
      <c r="G532" s="14">
        <f>COUNTIFS($E:$E,E532, Deals_Raw!AF:AF, "Won")</f>
        <v>116</v>
      </c>
      <c r="H532">
        <f t="shared" si="17"/>
        <v>0.67836257309941517</v>
      </c>
      <c r="I532">
        <f>AVERAGEIFS(Deals_Raw!$AT:$AT, $E:$E, E532, Deals_Raw!$AF:$AF, "Won")</f>
        <v>0.6077878084656495</v>
      </c>
    </row>
    <row r="533" spans="4:9">
      <c r="D533" s="8">
        <v>0.10100000000000001</v>
      </c>
      <c r="E533" t="str">
        <f>Deals_Raw!AU536</f>
        <v>10–15%</v>
      </c>
      <c r="F533" s="11">
        <f t="shared" si="16"/>
        <v>189</v>
      </c>
      <c r="G533" s="14">
        <f>COUNTIFS($E:$E,E533, Deals_Raw!AF:AF, "Won")</f>
        <v>113</v>
      </c>
      <c r="H533">
        <f t="shared" si="17"/>
        <v>0.59788359788359791</v>
      </c>
      <c r="I533">
        <f>AVERAGEIFS(Deals_Raw!$AT:$AT, $E:$E, E533, Deals_Raw!$AF:$AF, "Won")</f>
        <v>0.6036615079947677</v>
      </c>
    </row>
    <row r="534" spans="4:9">
      <c r="D534" s="8">
        <v>0.253</v>
      </c>
      <c r="E534" t="str">
        <f>Deals_Raw!AU537</f>
        <v>25–30%</v>
      </c>
      <c r="F534" s="11">
        <f t="shared" si="16"/>
        <v>7</v>
      </c>
      <c r="G534" s="14">
        <f>COUNTIFS($E:$E,E534, Deals_Raw!AF:AF, "Won")</f>
        <v>3</v>
      </c>
      <c r="H534">
        <f t="shared" si="17"/>
        <v>0.42857142857142855</v>
      </c>
      <c r="I534">
        <f>AVERAGEIFS(Deals_Raw!$AT:$AT, $E:$E, E534, Deals_Raw!$AF:$AF, "Won")</f>
        <v>0.60970059861072146</v>
      </c>
    </row>
    <row r="535" spans="4:9">
      <c r="D535" s="8">
        <v>1.7999999999999999E-2</v>
      </c>
      <c r="E535" t="str">
        <f>Deals_Raw!AU538</f>
        <v>0–5%</v>
      </c>
      <c r="F535" s="11">
        <f t="shared" si="16"/>
        <v>79</v>
      </c>
      <c r="G535" s="14">
        <f>COUNTIFS($E:$E,E535, Deals_Raw!AF:AF, "Won")</f>
        <v>55</v>
      </c>
      <c r="H535">
        <f t="shared" si="17"/>
        <v>0.69620253164556967</v>
      </c>
      <c r="I535">
        <f>AVERAGEIFS(Deals_Raw!$AT:$AT, $E:$E, E535, Deals_Raw!$AF:$AF, "Won")</f>
        <v>0.61352612210738522</v>
      </c>
    </row>
    <row r="536" spans="4:9">
      <c r="D536" s="8">
        <v>8.6999999999999994E-2</v>
      </c>
      <c r="E536" t="str">
        <f>Deals_Raw!AU539</f>
        <v>5–10%</v>
      </c>
      <c r="F536" s="11">
        <f t="shared" si="16"/>
        <v>171</v>
      </c>
      <c r="G536" s="14">
        <f>COUNTIFS($E:$E,E536, Deals_Raw!AF:AF, "Won")</f>
        <v>116</v>
      </c>
      <c r="H536">
        <f t="shared" si="17"/>
        <v>0.67836257309941517</v>
      </c>
      <c r="I536">
        <f>AVERAGEIFS(Deals_Raw!$AT:$AT, $E:$E, E536, Deals_Raw!$AF:$AF, "Won")</f>
        <v>0.6077878084656495</v>
      </c>
    </row>
    <row r="537" spans="4:9">
      <c r="D537" s="8">
        <v>0.13100000000000001</v>
      </c>
      <c r="E537" t="str">
        <f>Deals_Raw!AU540</f>
        <v>10–15%</v>
      </c>
      <c r="F537" s="11">
        <f t="shared" si="16"/>
        <v>189</v>
      </c>
      <c r="G537" s="14">
        <f>COUNTIFS($E:$E,E537, Deals_Raw!AF:AF, "Won")</f>
        <v>113</v>
      </c>
      <c r="H537">
        <f t="shared" si="17"/>
        <v>0.59788359788359791</v>
      </c>
      <c r="I537">
        <f>AVERAGEIFS(Deals_Raw!$AT:$AT, $E:$E, E537, Deals_Raw!$AF:$AF, "Won")</f>
        <v>0.6036615079947677</v>
      </c>
    </row>
    <row r="538" spans="4:9">
      <c r="D538" s="8">
        <v>0</v>
      </c>
      <c r="E538" t="str">
        <f>Deals_Raw!AU541</f>
        <v>0–5%</v>
      </c>
      <c r="F538" s="11">
        <f t="shared" si="16"/>
        <v>79</v>
      </c>
      <c r="G538" s="14">
        <f>COUNTIFS($E:$E,E538, Deals_Raw!AF:AF, "Won")</f>
        <v>55</v>
      </c>
      <c r="H538">
        <f t="shared" si="17"/>
        <v>0.69620253164556967</v>
      </c>
      <c r="I538">
        <f>AVERAGEIFS(Deals_Raw!$AT:$AT, $E:$E, E538, Deals_Raw!$AF:$AF, "Won")</f>
        <v>0.61352612210738522</v>
      </c>
    </row>
    <row r="539" spans="4:9">
      <c r="D539" s="8">
        <v>0.16</v>
      </c>
      <c r="E539" t="str">
        <f>Deals_Raw!AU542</f>
        <v>15–20%</v>
      </c>
      <c r="F539" s="11">
        <f t="shared" si="16"/>
        <v>149</v>
      </c>
      <c r="G539" s="14">
        <f>COUNTIFS($E:$E,E539, Deals_Raw!AF:AF, "Won")</f>
        <v>108</v>
      </c>
      <c r="H539">
        <f t="shared" si="17"/>
        <v>0.72483221476510062</v>
      </c>
      <c r="I539">
        <f>AVERAGEIFS(Deals_Raw!$AT:$AT, $E:$E, E539, Deals_Raw!$AF:$AF, "Won")</f>
        <v>0.61267442628905355</v>
      </c>
    </row>
    <row r="540" spans="4:9">
      <c r="D540" s="8">
        <v>9.6000000000000002E-2</v>
      </c>
      <c r="E540" t="str">
        <f>Deals_Raw!AU543</f>
        <v>5–10%</v>
      </c>
      <c r="F540" s="11">
        <f t="shared" si="16"/>
        <v>171</v>
      </c>
      <c r="G540" s="14">
        <f>COUNTIFS($E:$E,E540, Deals_Raw!AF:AF, "Won")</f>
        <v>116</v>
      </c>
      <c r="H540">
        <f t="shared" si="17"/>
        <v>0.67836257309941517</v>
      </c>
      <c r="I540">
        <f>AVERAGEIFS(Deals_Raw!$AT:$AT, $E:$E, E540, Deals_Raw!$AF:$AF, "Won")</f>
        <v>0.6077878084656495</v>
      </c>
    </row>
    <row r="541" spans="4:9">
      <c r="D541" s="8">
        <v>8.1000000000000003E-2</v>
      </c>
      <c r="E541" t="str">
        <f>Deals_Raw!AU544</f>
        <v>5–10%</v>
      </c>
      <c r="F541" s="11">
        <f t="shared" si="16"/>
        <v>171</v>
      </c>
      <c r="G541" s="14">
        <f>COUNTIFS($E:$E,E541, Deals_Raw!AF:AF, "Won")</f>
        <v>116</v>
      </c>
      <c r="H541">
        <f t="shared" si="17"/>
        <v>0.67836257309941517</v>
      </c>
      <c r="I541">
        <f>AVERAGEIFS(Deals_Raw!$AT:$AT, $E:$E, E541, Deals_Raw!$AF:$AF, "Won")</f>
        <v>0.6077878084656495</v>
      </c>
    </row>
    <row r="542" spans="4:9">
      <c r="D542" s="8">
        <v>0.122</v>
      </c>
      <c r="E542" t="str">
        <f>Deals_Raw!AU545</f>
        <v>10–15%</v>
      </c>
      <c r="F542" s="11">
        <f t="shared" si="16"/>
        <v>189</v>
      </c>
      <c r="G542" s="14">
        <f>COUNTIFS($E:$E,E542, Deals_Raw!AF:AF, "Won")</f>
        <v>113</v>
      </c>
      <c r="H542">
        <f t="shared" si="17"/>
        <v>0.59788359788359791</v>
      </c>
      <c r="I542">
        <f>AVERAGEIFS(Deals_Raw!$AT:$AT, $E:$E, E542, Deals_Raw!$AF:$AF, "Won")</f>
        <v>0.6036615079947677</v>
      </c>
    </row>
    <row r="543" spans="4:9">
      <c r="D543" s="8">
        <v>8.9999999999999993E-3</v>
      </c>
      <c r="E543" t="str">
        <f>Deals_Raw!AU546</f>
        <v>0–5%</v>
      </c>
      <c r="F543" s="11">
        <f t="shared" si="16"/>
        <v>79</v>
      </c>
      <c r="G543" s="14">
        <f>COUNTIFS($E:$E,E543, Deals_Raw!AF:AF, "Won")</f>
        <v>55</v>
      </c>
      <c r="H543">
        <f t="shared" si="17"/>
        <v>0.69620253164556967</v>
      </c>
      <c r="I543">
        <f>AVERAGEIFS(Deals_Raw!$AT:$AT, $E:$E, E543, Deals_Raw!$AF:$AF, "Won")</f>
        <v>0.61352612210738522</v>
      </c>
    </row>
    <row r="544" spans="4:9">
      <c r="D544" s="8">
        <v>0.121</v>
      </c>
      <c r="E544" t="str">
        <f>Deals_Raw!AU547</f>
        <v>10–15%</v>
      </c>
      <c r="F544" s="11">
        <f t="shared" si="16"/>
        <v>189</v>
      </c>
      <c r="G544" s="14">
        <f>COUNTIFS($E:$E,E544, Deals_Raw!AF:AF, "Won")</f>
        <v>113</v>
      </c>
      <c r="H544">
        <f t="shared" si="17"/>
        <v>0.59788359788359791</v>
      </c>
      <c r="I544">
        <f>AVERAGEIFS(Deals_Raw!$AT:$AT, $E:$E, E544, Deals_Raw!$AF:$AF, "Won")</f>
        <v>0.6036615079947677</v>
      </c>
    </row>
    <row r="545" spans="4:9">
      <c r="D545" s="8">
        <v>0.151</v>
      </c>
      <c r="E545" t="str">
        <f>Deals_Raw!AU548</f>
        <v>15–20%</v>
      </c>
      <c r="F545" s="11">
        <f t="shared" si="16"/>
        <v>149</v>
      </c>
      <c r="G545" s="14">
        <f>COUNTIFS($E:$E,E545, Deals_Raw!AF:AF, "Won")</f>
        <v>108</v>
      </c>
      <c r="H545">
        <f t="shared" si="17"/>
        <v>0.72483221476510062</v>
      </c>
      <c r="I545">
        <f>AVERAGEIFS(Deals_Raw!$AT:$AT, $E:$E, E545, Deals_Raw!$AF:$AF, "Won")</f>
        <v>0.61267442628905355</v>
      </c>
    </row>
    <row r="546" spans="4:9">
      <c r="D546" s="8">
        <v>0.192</v>
      </c>
      <c r="E546" t="str">
        <f>Deals_Raw!AU549</f>
        <v>15–20%</v>
      </c>
      <c r="F546" s="11">
        <f t="shared" si="16"/>
        <v>149</v>
      </c>
      <c r="G546" s="14">
        <f>COUNTIFS($E:$E,E546, Deals_Raw!AF:AF, "Won")</f>
        <v>108</v>
      </c>
      <c r="H546">
        <f t="shared" si="17"/>
        <v>0.72483221476510062</v>
      </c>
      <c r="I546">
        <f>AVERAGEIFS(Deals_Raw!$AT:$AT, $E:$E, E546, Deals_Raw!$AF:$AF, "Won")</f>
        <v>0.61267442628905355</v>
      </c>
    </row>
    <row r="547" spans="4:9">
      <c r="D547" s="8">
        <v>0.151</v>
      </c>
      <c r="E547" t="str">
        <f>Deals_Raw!AU550</f>
        <v>15–20%</v>
      </c>
      <c r="F547" s="11">
        <f t="shared" si="16"/>
        <v>149</v>
      </c>
      <c r="G547" s="14">
        <f>COUNTIFS($E:$E,E547, Deals_Raw!AF:AF, "Won")</f>
        <v>108</v>
      </c>
      <c r="H547">
        <f t="shared" si="17"/>
        <v>0.72483221476510062</v>
      </c>
      <c r="I547">
        <f>AVERAGEIFS(Deals_Raw!$AT:$AT, $E:$E, E547, Deals_Raw!$AF:$AF, "Won")</f>
        <v>0.61267442628905355</v>
      </c>
    </row>
    <row r="548" spans="4:9">
      <c r="D548" s="8">
        <v>0.16500000000000001</v>
      </c>
      <c r="E548" t="str">
        <f>Deals_Raw!AU551</f>
        <v>15–20%</v>
      </c>
      <c r="F548" s="11">
        <f t="shared" si="16"/>
        <v>149</v>
      </c>
      <c r="G548" s="14">
        <f>COUNTIFS($E:$E,E548, Deals_Raw!AF:AF, "Won")</f>
        <v>108</v>
      </c>
      <c r="H548">
        <f t="shared" si="17"/>
        <v>0.72483221476510062</v>
      </c>
      <c r="I548">
        <f>AVERAGEIFS(Deals_Raw!$AT:$AT, $E:$E, E548, Deals_Raw!$AF:$AF, "Won")</f>
        <v>0.61267442628905355</v>
      </c>
    </row>
    <row r="549" spans="4:9">
      <c r="D549" s="8">
        <v>0.123</v>
      </c>
      <c r="E549" t="str">
        <f>Deals_Raw!AU552</f>
        <v>10–15%</v>
      </c>
      <c r="F549" s="11">
        <f t="shared" si="16"/>
        <v>189</v>
      </c>
      <c r="G549" s="14">
        <f>COUNTIFS($E:$E,E549, Deals_Raw!AF:AF, "Won")</f>
        <v>113</v>
      </c>
      <c r="H549">
        <f t="shared" si="17"/>
        <v>0.59788359788359791</v>
      </c>
      <c r="I549">
        <f>AVERAGEIFS(Deals_Raw!$AT:$AT, $E:$E, E549, Deals_Raw!$AF:$AF, "Won")</f>
        <v>0.6036615079947677</v>
      </c>
    </row>
    <row r="550" spans="4:9">
      <c r="D550" s="8">
        <v>0.185</v>
      </c>
      <c r="E550" t="str">
        <f>Deals_Raw!AU553</f>
        <v>15–20%</v>
      </c>
      <c r="F550" s="11">
        <f t="shared" si="16"/>
        <v>149</v>
      </c>
      <c r="G550" s="14">
        <f>COUNTIFS($E:$E,E550, Deals_Raw!AF:AF, "Won")</f>
        <v>108</v>
      </c>
      <c r="H550">
        <f t="shared" si="17"/>
        <v>0.72483221476510062</v>
      </c>
      <c r="I550">
        <f>AVERAGEIFS(Deals_Raw!$AT:$AT, $E:$E, E550, Deals_Raw!$AF:$AF, "Won")</f>
        <v>0.61267442628905355</v>
      </c>
    </row>
    <row r="551" spans="4:9">
      <c r="D551" s="8">
        <v>0.158</v>
      </c>
      <c r="E551" t="str">
        <f>Deals_Raw!AU554</f>
        <v>15–20%</v>
      </c>
      <c r="F551" s="11">
        <f t="shared" si="16"/>
        <v>149</v>
      </c>
      <c r="G551" s="14">
        <f>COUNTIFS($E:$E,E551, Deals_Raw!AF:AF, "Won")</f>
        <v>108</v>
      </c>
      <c r="H551">
        <f t="shared" si="17"/>
        <v>0.72483221476510062</v>
      </c>
      <c r="I551">
        <f>AVERAGEIFS(Deals_Raw!$AT:$AT, $E:$E, E551, Deals_Raw!$AF:$AF, "Won")</f>
        <v>0.61267442628905355</v>
      </c>
    </row>
    <row r="552" spans="4:9">
      <c r="D552" s="8">
        <v>6.3E-2</v>
      </c>
      <c r="E552" t="str">
        <f>Deals_Raw!AU555</f>
        <v>5–10%</v>
      </c>
      <c r="F552" s="11">
        <f t="shared" si="16"/>
        <v>171</v>
      </c>
      <c r="G552" s="14">
        <f>COUNTIFS($E:$E,E552, Deals_Raw!AF:AF, "Won")</f>
        <v>116</v>
      </c>
      <c r="H552">
        <f t="shared" si="17"/>
        <v>0.67836257309941517</v>
      </c>
      <c r="I552">
        <f>AVERAGEIFS(Deals_Raw!$AT:$AT, $E:$E, E552, Deals_Raw!$AF:$AF, "Won")</f>
        <v>0.6077878084656495</v>
      </c>
    </row>
    <row r="553" spans="4:9">
      <c r="D553" s="8">
        <v>0.16200000000000001</v>
      </c>
      <c r="E553" t="str">
        <f>Deals_Raw!AU556</f>
        <v>15–20%</v>
      </c>
      <c r="F553" s="11">
        <f t="shared" si="16"/>
        <v>149</v>
      </c>
      <c r="G553" s="14">
        <f>COUNTIFS($E:$E,E553, Deals_Raw!AF:AF, "Won")</f>
        <v>108</v>
      </c>
      <c r="H553">
        <f t="shared" si="17"/>
        <v>0.72483221476510062</v>
      </c>
      <c r="I553">
        <f>AVERAGEIFS(Deals_Raw!$AT:$AT, $E:$E, E553, Deals_Raw!$AF:$AF, "Won")</f>
        <v>0.61267442628905355</v>
      </c>
    </row>
    <row r="554" spans="4:9">
      <c r="D554" s="8">
        <v>0.159</v>
      </c>
      <c r="E554" t="str">
        <f>Deals_Raw!AU557</f>
        <v>15–20%</v>
      </c>
      <c r="F554" s="11">
        <f t="shared" si="16"/>
        <v>149</v>
      </c>
      <c r="G554" s="14">
        <f>COUNTIFS($E:$E,E554, Deals_Raw!AF:AF, "Won")</f>
        <v>108</v>
      </c>
      <c r="H554">
        <f t="shared" si="17"/>
        <v>0.72483221476510062</v>
      </c>
      <c r="I554">
        <f>AVERAGEIFS(Deals_Raw!$AT:$AT, $E:$E, E554, Deals_Raw!$AF:$AF, "Won")</f>
        <v>0.61267442628905355</v>
      </c>
    </row>
    <row r="555" spans="4:9">
      <c r="D555" s="8">
        <v>8.6999999999999994E-2</v>
      </c>
      <c r="E555" t="str">
        <f>Deals_Raw!AU558</f>
        <v>5–10%</v>
      </c>
      <c r="F555" s="11">
        <f t="shared" si="16"/>
        <v>171</v>
      </c>
      <c r="G555" s="14">
        <f>COUNTIFS($E:$E,E555, Deals_Raw!AF:AF, "Won")</f>
        <v>116</v>
      </c>
      <c r="H555">
        <f t="shared" si="17"/>
        <v>0.67836257309941517</v>
      </c>
      <c r="I555">
        <f>AVERAGEIFS(Deals_Raw!$AT:$AT, $E:$E, E555, Deals_Raw!$AF:$AF, "Won")</f>
        <v>0.6077878084656495</v>
      </c>
    </row>
    <row r="556" spans="4:9">
      <c r="D556" s="8">
        <v>0.19900000000000001</v>
      </c>
      <c r="E556" t="str">
        <f>Deals_Raw!AU559</f>
        <v>15–20%</v>
      </c>
      <c r="F556" s="11">
        <f t="shared" si="16"/>
        <v>149</v>
      </c>
      <c r="G556" s="14">
        <f>COUNTIFS($E:$E,E556, Deals_Raw!AF:AF, "Won")</f>
        <v>108</v>
      </c>
      <c r="H556">
        <f t="shared" si="17"/>
        <v>0.72483221476510062</v>
      </c>
      <c r="I556">
        <f>AVERAGEIFS(Deals_Raw!$AT:$AT, $E:$E, E556, Deals_Raw!$AF:$AF, "Won")</f>
        <v>0.61267442628905355</v>
      </c>
    </row>
    <row r="557" spans="4:9">
      <c r="D557" s="8">
        <v>0.188</v>
      </c>
      <c r="E557" t="str">
        <f>Deals_Raw!AU560</f>
        <v>15–20%</v>
      </c>
      <c r="F557" s="11">
        <f t="shared" si="16"/>
        <v>149</v>
      </c>
      <c r="G557" s="14">
        <f>COUNTIFS($E:$E,E557, Deals_Raw!AF:AF, "Won")</f>
        <v>108</v>
      </c>
      <c r="H557">
        <f t="shared" si="17"/>
        <v>0.72483221476510062</v>
      </c>
      <c r="I557">
        <f>AVERAGEIFS(Deals_Raw!$AT:$AT, $E:$E, E557, Deals_Raw!$AF:$AF, "Won")</f>
        <v>0.61267442628905355</v>
      </c>
    </row>
    <row r="558" spans="4:9">
      <c r="D558" s="8">
        <v>7.0999999999999994E-2</v>
      </c>
      <c r="E558" t="str">
        <f>Deals_Raw!AU561</f>
        <v>5–10%</v>
      </c>
      <c r="F558" s="11">
        <f t="shared" si="16"/>
        <v>171</v>
      </c>
      <c r="G558" s="14">
        <f>COUNTIFS($E:$E,E558, Deals_Raw!AF:AF, "Won")</f>
        <v>116</v>
      </c>
      <c r="H558">
        <f t="shared" si="17"/>
        <v>0.67836257309941517</v>
      </c>
      <c r="I558">
        <f>AVERAGEIFS(Deals_Raw!$AT:$AT, $E:$E, E558, Deals_Raw!$AF:$AF, "Won")</f>
        <v>0.6077878084656495</v>
      </c>
    </row>
    <row r="559" spans="4:9">
      <c r="D559" s="8">
        <v>0.13600000000000001</v>
      </c>
      <c r="E559" t="str">
        <f>Deals_Raw!AU562</f>
        <v>10–15%</v>
      </c>
      <c r="F559" s="11">
        <f t="shared" si="16"/>
        <v>189</v>
      </c>
      <c r="G559" s="14">
        <f>COUNTIFS($E:$E,E559, Deals_Raw!AF:AF, "Won")</f>
        <v>113</v>
      </c>
      <c r="H559">
        <f t="shared" si="17"/>
        <v>0.59788359788359791</v>
      </c>
      <c r="I559">
        <f>AVERAGEIFS(Deals_Raw!$AT:$AT, $E:$E, E559, Deals_Raw!$AF:$AF, "Won")</f>
        <v>0.6036615079947677</v>
      </c>
    </row>
    <row r="560" spans="4:9">
      <c r="D560" s="8">
        <v>0.16200000000000001</v>
      </c>
      <c r="E560" t="str">
        <f>Deals_Raw!AU563</f>
        <v>15–20%</v>
      </c>
      <c r="F560" s="11">
        <f t="shared" si="16"/>
        <v>149</v>
      </c>
      <c r="G560" s="14">
        <f>COUNTIFS($E:$E,E560, Deals_Raw!AF:AF, "Won")</f>
        <v>108</v>
      </c>
      <c r="H560">
        <f t="shared" si="17"/>
        <v>0.72483221476510062</v>
      </c>
      <c r="I560">
        <f>AVERAGEIFS(Deals_Raw!$AT:$AT, $E:$E, E560, Deals_Raw!$AF:$AF, "Won")</f>
        <v>0.61267442628905355</v>
      </c>
    </row>
    <row r="561" spans="4:9">
      <c r="D561" s="8">
        <v>2.1000000000000001E-2</v>
      </c>
      <c r="E561" t="str">
        <f>Deals_Raw!AU564</f>
        <v>0–5%</v>
      </c>
      <c r="F561" s="11">
        <f t="shared" si="16"/>
        <v>79</v>
      </c>
      <c r="G561" s="14">
        <f>COUNTIFS($E:$E,E561, Deals_Raw!AF:AF, "Won")</f>
        <v>55</v>
      </c>
      <c r="H561">
        <f t="shared" si="17"/>
        <v>0.69620253164556967</v>
      </c>
      <c r="I561">
        <f>AVERAGEIFS(Deals_Raw!$AT:$AT, $E:$E, E561, Deals_Raw!$AF:$AF, "Won")</f>
        <v>0.61352612210738522</v>
      </c>
    </row>
    <row r="562" spans="4:9">
      <c r="D562" s="8">
        <v>0.14799999999999999</v>
      </c>
      <c r="E562" t="str">
        <f>Deals_Raw!AU565</f>
        <v>10–15%</v>
      </c>
      <c r="F562" s="11">
        <f t="shared" si="16"/>
        <v>189</v>
      </c>
      <c r="G562" s="14">
        <f>COUNTIFS($E:$E,E562, Deals_Raw!AF:AF, "Won")</f>
        <v>113</v>
      </c>
      <c r="H562">
        <f t="shared" si="17"/>
        <v>0.59788359788359791</v>
      </c>
      <c r="I562">
        <f>AVERAGEIFS(Deals_Raw!$AT:$AT, $E:$E, E562, Deals_Raw!$AF:$AF, "Won")</f>
        <v>0.6036615079947677</v>
      </c>
    </row>
    <row r="563" spans="4:9">
      <c r="D563" s="8">
        <v>6.0999999999999999E-2</v>
      </c>
      <c r="E563" t="str">
        <f>Deals_Raw!AU566</f>
        <v>5–10%</v>
      </c>
      <c r="F563" s="11">
        <f t="shared" si="16"/>
        <v>171</v>
      </c>
      <c r="G563" s="14">
        <f>COUNTIFS($E:$E,E563, Deals_Raw!AF:AF, "Won")</f>
        <v>116</v>
      </c>
      <c r="H563">
        <f t="shared" si="17"/>
        <v>0.67836257309941517</v>
      </c>
      <c r="I563">
        <f>AVERAGEIFS(Deals_Raw!$AT:$AT, $E:$E, E563, Deals_Raw!$AF:$AF, "Won")</f>
        <v>0.6077878084656495</v>
      </c>
    </row>
    <row r="564" spans="4:9">
      <c r="D564" s="8">
        <v>3.9E-2</v>
      </c>
      <c r="E564" t="str">
        <f>Deals_Raw!AU567</f>
        <v>0–5%</v>
      </c>
      <c r="F564" s="11">
        <f t="shared" si="16"/>
        <v>79</v>
      </c>
      <c r="G564" s="14">
        <f>COUNTIFS($E:$E,E564, Deals_Raw!AF:AF, "Won")</f>
        <v>55</v>
      </c>
      <c r="H564">
        <f t="shared" si="17"/>
        <v>0.69620253164556967</v>
      </c>
      <c r="I564">
        <f>AVERAGEIFS(Deals_Raw!$AT:$AT, $E:$E, E564, Deals_Raw!$AF:$AF, "Won")</f>
        <v>0.61352612210738522</v>
      </c>
    </row>
    <row r="565" spans="4:9">
      <c r="D565" s="8">
        <v>0.187</v>
      </c>
      <c r="E565" t="str">
        <f>Deals_Raw!AU568</f>
        <v>15–20%</v>
      </c>
      <c r="F565" s="11">
        <f t="shared" si="16"/>
        <v>149</v>
      </c>
      <c r="G565" s="14">
        <f>COUNTIFS($E:$E,E565, Deals_Raw!AF:AF, "Won")</f>
        <v>108</v>
      </c>
      <c r="H565">
        <f t="shared" si="17"/>
        <v>0.72483221476510062</v>
      </c>
      <c r="I565">
        <f>AVERAGEIFS(Deals_Raw!$AT:$AT, $E:$E, E565, Deals_Raw!$AF:$AF, "Won")</f>
        <v>0.61267442628905355</v>
      </c>
    </row>
    <row r="566" spans="4:9">
      <c r="D566" s="8">
        <v>6.6000000000000003E-2</v>
      </c>
      <c r="E566" t="str">
        <f>Deals_Raw!AU569</f>
        <v>5–10%</v>
      </c>
      <c r="F566" s="11">
        <f t="shared" si="16"/>
        <v>171</v>
      </c>
      <c r="G566" s="14">
        <f>COUNTIFS($E:$E,E566, Deals_Raw!AF:AF, "Won")</f>
        <v>116</v>
      </c>
      <c r="H566">
        <f t="shared" si="17"/>
        <v>0.67836257309941517</v>
      </c>
      <c r="I566">
        <f>AVERAGEIFS(Deals_Raw!$AT:$AT, $E:$E, E566, Deals_Raw!$AF:$AF, "Won")</f>
        <v>0.6077878084656495</v>
      </c>
    </row>
    <row r="567" spans="4:9">
      <c r="D567" s="8">
        <v>7.6999999999999999E-2</v>
      </c>
      <c r="E567" t="str">
        <f>Deals_Raw!AU570</f>
        <v>5–10%</v>
      </c>
      <c r="F567" s="11">
        <f t="shared" si="16"/>
        <v>171</v>
      </c>
      <c r="G567" s="14">
        <f>COUNTIFS($E:$E,E567, Deals_Raw!AF:AF, "Won")</f>
        <v>116</v>
      </c>
      <c r="H567">
        <f t="shared" si="17"/>
        <v>0.67836257309941517</v>
      </c>
      <c r="I567">
        <f>AVERAGEIFS(Deals_Raw!$AT:$AT, $E:$E, E567, Deals_Raw!$AF:$AF, "Won")</f>
        <v>0.6077878084656495</v>
      </c>
    </row>
    <row r="568" spans="4:9">
      <c r="D568" s="8">
        <v>0.151</v>
      </c>
      <c r="E568" t="str">
        <f>Deals_Raw!AU571</f>
        <v>15–20%</v>
      </c>
      <c r="F568" s="11">
        <f t="shared" si="16"/>
        <v>149</v>
      </c>
      <c r="G568" s="14">
        <f>COUNTIFS($E:$E,E568, Deals_Raw!AF:AF, "Won")</f>
        <v>108</v>
      </c>
      <c r="H568">
        <f t="shared" si="17"/>
        <v>0.72483221476510062</v>
      </c>
      <c r="I568">
        <f>AVERAGEIFS(Deals_Raw!$AT:$AT, $E:$E, E568, Deals_Raw!$AF:$AF, "Won")</f>
        <v>0.61267442628905355</v>
      </c>
    </row>
    <row r="569" spans="4:9">
      <c r="D569" s="8">
        <v>0.14299999999999999</v>
      </c>
      <c r="E569" t="str">
        <f>Deals_Raw!AU572</f>
        <v>10–15%</v>
      </c>
      <c r="F569" s="11">
        <f t="shared" si="16"/>
        <v>189</v>
      </c>
      <c r="G569" s="14">
        <f>COUNTIFS($E:$E,E569, Deals_Raw!AF:AF, "Won")</f>
        <v>113</v>
      </c>
      <c r="H569">
        <f t="shared" si="17"/>
        <v>0.59788359788359791</v>
      </c>
      <c r="I569">
        <f>AVERAGEIFS(Deals_Raw!$AT:$AT, $E:$E, E569, Deals_Raw!$AF:$AF, "Won")</f>
        <v>0.6036615079947677</v>
      </c>
    </row>
    <row r="570" spans="4:9">
      <c r="D570" s="8">
        <v>0.16900000000000001</v>
      </c>
      <c r="E570" t="str">
        <f>Deals_Raw!AU573</f>
        <v>15–20%</v>
      </c>
      <c r="F570" s="11">
        <f t="shared" si="16"/>
        <v>149</v>
      </c>
      <c r="G570" s="14">
        <f>COUNTIFS($E:$E,E570, Deals_Raw!AF:AF, "Won")</f>
        <v>108</v>
      </c>
      <c r="H570">
        <f t="shared" si="17"/>
        <v>0.72483221476510062</v>
      </c>
      <c r="I570">
        <f>AVERAGEIFS(Deals_Raw!$AT:$AT, $E:$E, E570, Deals_Raw!$AF:$AF, "Won")</f>
        <v>0.61267442628905355</v>
      </c>
    </row>
    <row r="571" spans="4:9">
      <c r="D571" s="8">
        <v>0</v>
      </c>
      <c r="E571" t="str">
        <f>Deals_Raw!AU574</f>
        <v>0–5%</v>
      </c>
      <c r="F571" s="11">
        <f t="shared" si="16"/>
        <v>79</v>
      </c>
      <c r="G571" s="14">
        <f>COUNTIFS($E:$E,E571, Deals_Raw!AF:AF, "Won")</f>
        <v>55</v>
      </c>
      <c r="H571">
        <f t="shared" si="17"/>
        <v>0.69620253164556967</v>
      </c>
      <c r="I571">
        <f>AVERAGEIFS(Deals_Raw!$AT:$AT, $E:$E, E571, Deals_Raw!$AF:$AF, "Won")</f>
        <v>0.61352612210738522</v>
      </c>
    </row>
    <row r="572" spans="4:9">
      <c r="D572" s="8">
        <v>0.14899999999999999</v>
      </c>
      <c r="E572" t="str">
        <f>Deals_Raw!AU575</f>
        <v>10–15%</v>
      </c>
      <c r="F572" s="11">
        <f t="shared" si="16"/>
        <v>189</v>
      </c>
      <c r="G572" s="14">
        <f>COUNTIFS($E:$E,E572, Deals_Raw!AF:AF, "Won")</f>
        <v>113</v>
      </c>
      <c r="H572">
        <f t="shared" si="17"/>
        <v>0.59788359788359791</v>
      </c>
      <c r="I572">
        <f>AVERAGEIFS(Deals_Raw!$AT:$AT, $E:$E, E572, Deals_Raw!$AF:$AF, "Won")</f>
        <v>0.6036615079947677</v>
      </c>
    </row>
    <row r="573" spans="4:9">
      <c r="D573" s="8">
        <v>8.6999999999999994E-2</v>
      </c>
      <c r="E573" t="str">
        <f>Deals_Raw!AU576</f>
        <v>5–10%</v>
      </c>
      <c r="F573" s="11">
        <f t="shared" si="16"/>
        <v>171</v>
      </c>
      <c r="G573" s="14">
        <f>COUNTIFS($E:$E,E573, Deals_Raw!AF:AF, "Won")</f>
        <v>116</v>
      </c>
      <c r="H573">
        <f t="shared" si="17"/>
        <v>0.67836257309941517</v>
      </c>
      <c r="I573">
        <f>AVERAGEIFS(Deals_Raw!$AT:$AT, $E:$E, E573, Deals_Raw!$AF:$AF, "Won")</f>
        <v>0.6077878084656495</v>
      </c>
    </row>
    <row r="574" spans="4:9">
      <c r="D574" s="8">
        <v>6.6000000000000003E-2</v>
      </c>
      <c r="E574" t="str">
        <f>Deals_Raw!AU577</f>
        <v>5–10%</v>
      </c>
      <c r="F574" s="11">
        <f t="shared" si="16"/>
        <v>171</v>
      </c>
      <c r="G574" s="14">
        <f>COUNTIFS($E:$E,E574, Deals_Raw!AF:AF, "Won")</f>
        <v>116</v>
      </c>
      <c r="H574">
        <f t="shared" si="17"/>
        <v>0.67836257309941517</v>
      </c>
      <c r="I574">
        <f>AVERAGEIFS(Deals_Raw!$AT:$AT, $E:$E, E574, Deals_Raw!$AF:$AF, "Won")</f>
        <v>0.6077878084656495</v>
      </c>
    </row>
    <row r="575" spans="4:9">
      <c r="D575" s="8">
        <v>8.5000000000000006E-2</v>
      </c>
      <c r="E575" t="str">
        <f>Deals_Raw!AU578</f>
        <v>5–10%</v>
      </c>
      <c r="F575" s="11">
        <f t="shared" si="16"/>
        <v>171</v>
      </c>
      <c r="G575" s="14">
        <f>COUNTIFS($E:$E,E575, Deals_Raw!AF:AF, "Won")</f>
        <v>116</v>
      </c>
      <c r="H575">
        <f t="shared" si="17"/>
        <v>0.67836257309941517</v>
      </c>
      <c r="I575">
        <f>AVERAGEIFS(Deals_Raw!$AT:$AT, $E:$E, E575, Deals_Raw!$AF:$AF, "Won")</f>
        <v>0.6077878084656495</v>
      </c>
    </row>
    <row r="576" spans="4:9">
      <c r="D576" s="8">
        <v>0.221</v>
      </c>
      <c r="E576" t="str">
        <f>Deals_Raw!AU579</f>
        <v>20–25%</v>
      </c>
      <c r="F576" s="11">
        <f t="shared" si="16"/>
        <v>41</v>
      </c>
      <c r="G576" s="14">
        <f>COUNTIFS($E:$E,E576, Deals_Raw!AF:AF, "Won")</f>
        <v>29</v>
      </c>
      <c r="H576">
        <f t="shared" si="17"/>
        <v>0.70731707317073167</v>
      </c>
      <c r="I576">
        <f>AVERAGEIFS(Deals_Raw!$AT:$AT, $E:$E, E576, Deals_Raw!$AF:$AF, "Won")</f>
        <v>0.6163731005984544</v>
      </c>
    </row>
    <row r="577" spans="4:9">
      <c r="D577" s="8">
        <v>0.16</v>
      </c>
      <c r="E577" t="str">
        <f>Deals_Raw!AU580</f>
        <v>15–20%</v>
      </c>
      <c r="F577" s="11">
        <f t="shared" si="16"/>
        <v>149</v>
      </c>
      <c r="G577" s="14">
        <f>COUNTIFS($E:$E,E577, Deals_Raw!AF:AF, "Won")</f>
        <v>108</v>
      </c>
      <c r="H577">
        <f t="shared" si="17"/>
        <v>0.72483221476510062</v>
      </c>
      <c r="I577">
        <f>AVERAGEIFS(Deals_Raw!$AT:$AT, $E:$E, E577, Deals_Raw!$AF:$AF, "Won")</f>
        <v>0.61267442628905355</v>
      </c>
    </row>
    <row r="578" spans="4:9">
      <c r="D578" s="8">
        <v>6.0999999999999999E-2</v>
      </c>
      <c r="E578" t="str">
        <f>Deals_Raw!AU581</f>
        <v>5–10%</v>
      </c>
      <c r="F578" s="11">
        <f t="shared" ref="F578:F639" si="18">COUNTIF($E:$E,E578)</f>
        <v>171</v>
      </c>
      <c r="G578" s="14">
        <f>COUNTIFS($E:$E,E578, Deals_Raw!AF:AF, "Won")</f>
        <v>116</v>
      </c>
      <c r="H578">
        <f t="shared" si="17"/>
        <v>0.67836257309941517</v>
      </c>
      <c r="I578">
        <f>AVERAGEIFS(Deals_Raw!$AT:$AT, $E:$E, E578, Deals_Raw!$AF:$AF, "Won")</f>
        <v>0.6077878084656495</v>
      </c>
    </row>
    <row r="579" spans="4:9">
      <c r="D579" s="8">
        <v>5.8999999999999997E-2</v>
      </c>
      <c r="E579" t="str">
        <f>Deals_Raw!AU582</f>
        <v>5–10%</v>
      </c>
      <c r="F579" s="11">
        <f t="shared" si="18"/>
        <v>171</v>
      </c>
      <c r="G579" s="14">
        <f>COUNTIFS($E:$E,E579, Deals_Raw!AF:AF, "Won")</f>
        <v>116</v>
      </c>
      <c r="H579">
        <f t="shared" ref="H579:H639" si="19">G579/F579</f>
        <v>0.67836257309941517</v>
      </c>
      <c r="I579">
        <f>AVERAGEIFS(Deals_Raw!$AT:$AT, $E:$E, E579, Deals_Raw!$AF:$AF, "Won")</f>
        <v>0.6077878084656495</v>
      </c>
    </row>
    <row r="580" spans="4:9">
      <c r="D580" s="8">
        <v>0.161</v>
      </c>
      <c r="E580" t="str">
        <f>Deals_Raw!AU583</f>
        <v>15–20%</v>
      </c>
      <c r="F580" s="11">
        <f t="shared" si="18"/>
        <v>149</v>
      </c>
      <c r="G580" s="14">
        <f>COUNTIFS($E:$E,E580, Deals_Raw!AF:AF, "Won")</f>
        <v>108</v>
      </c>
      <c r="H580">
        <f t="shared" si="19"/>
        <v>0.72483221476510062</v>
      </c>
      <c r="I580">
        <f>AVERAGEIFS(Deals_Raw!$AT:$AT, $E:$E, E580, Deals_Raw!$AF:$AF, "Won")</f>
        <v>0.61267442628905355</v>
      </c>
    </row>
    <row r="581" spans="4:9">
      <c r="D581" s="8">
        <v>0.155</v>
      </c>
      <c r="E581" t="str">
        <f>Deals_Raw!AU584</f>
        <v>15–20%</v>
      </c>
      <c r="F581" s="11">
        <f t="shared" si="18"/>
        <v>149</v>
      </c>
      <c r="G581" s="14">
        <f>COUNTIFS($E:$E,E581, Deals_Raw!AF:AF, "Won")</f>
        <v>108</v>
      </c>
      <c r="H581">
        <f t="shared" si="19"/>
        <v>0.72483221476510062</v>
      </c>
      <c r="I581">
        <f>AVERAGEIFS(Deals_Raw!$AT:$AT, $E:$E, E581, Deals_Raw!$AF:$AF, "Won")</f>
        <v>0.61267442628905355</v>
      </c>
    </row>
    <row r="582" spans="4:9">
      <c r="D582" s="8">
        <v>7.2999999999999995E-2</v>
      </c>
      <c r="E582" t="str">
        <f>Deals_Raw!AU585</f>
        <v>5–10%</v>
      </c>
      <c r="F582" s="11">
        <f t="shared" si="18"/>
        <v>171</v>
      </c>
      <c r="G582" s="14">
        <f>COUNTIFS($E:$E,E582, Deals_Raw!AF:AF, "Won")</f>
        <v>116</v>
      </c>
      <c r="H582">
        <f t="shared" si="19"/>
        <v>0.67836257309941517</v>
      </c>
      <c r="I582">
        <f>AVERAGEIFS(Deals_Raw!$AT:$AT, $E:$E, E582, Deals_Raw!$AF:$AF, "Won")</f>
        <v>0.6077878084656495</v>
      </c>
    </row>
    <row r="583" spans="4:9">
      <c r="D583" s="8">
        <v>0.187</v>
      </c>
      <c r="E583" t="str">
        <f>Deals_Raw!AU586</f>
        <v>15–20%</v>
      </c>
      <c r="F583" s="11">
        <f t="shared" si="18"/>
        <v>149</v>
      </c>
      <c r="G583" s="14">
        <f>COUNTIFS($E:$E,E583, Deals_Raw!AF:AF, "Won")</f>
        <v>108</v>
      </c>
      <c r="H583">
        <f t="shared" si="19"/>
        <v>0.72483221476510062</v>
      </c>
      <c r="I583">
        <f>AVERAGEIFS(Deals_Raw!$AT:$AT, $E:$E, E583, Deals_Raw!$AF:$AF, "Won")</f>
        <v>0.61267442628905355</v>
      </c>
    </row>
    <row r="584" spans="4:9">
      <c r="D584" s="8">
        <v>7.5999999999999998E-2</v>
      </c>
      <c r="E584" t="str">
        <f>Deals_Raw!AU587</f>
        <v>5–10%</v>
      </c>
      <c r="F584" s="11">
        <f t="shared" si="18"/>
        <v>171</v>
      </c>
      <c r="G584" s="14">
        <f>COUNTIFS($E:$E,E584, Deals_Raw!AF:AF, "Won")</f>
        <v>116</v>
      </c>
      <c r="H584">
        <f t="shared" si="19"/>
        <v>0.67836257309941517</v>
      </c>
      <c r="I584">
        <f>AVERAGEIFS(Deals_Raw!$AT:$AT, $E:$E, E584, Deals_Raw!$AF:$AF, "Won")</f>
        <v>0.6077878084656495</v>
      </c>
    </row>
    <row r="585" spans="4:9">
      <c r="D585" s="8">
        <v>0.17299999999999999</v>
      </c>
      <c r="E585" t="str">
        <f>Deals_Raw!AU588</f>
        <v>15–20%</v>
      </c>
      <c r="F585" s="11">
        <f t="shared" si="18"/>
        <v>149</v>
      </c>
      <c r="G585" s="14">
        <f>COUNTIFS($E:$E,E585, Deals_Raw!AF:AF, "Won")</f>
        <v>108</v>
      </c>
      <c r="H585">
        <f t="shared" si="19"/>
        <v>0.72483221476510062</v>
      </c>
      <c r="I585">
        <f>AVERAGEIFS(Deals_Raw!$AT:$AT, $E:$E, E585, Deals_Raw!$AF:$AF, "Won")</f>
        <v>0.61267442628905355</v>
      </c>
    </row>
    <row r="586" spans="4:9">
      <c r="D586" s="8">
        <v>0.11700000000000001</v>
      </c>
      <c r="E586" t="str">
        <f>Deals_Raw!AU589</f>
        <v>10–15%</v>
      </c>
      <c r="F586" s="11">
        <f t="shared" si="18"/>
        <v>189</v>
      </c>
      <c r="G586" s="14">
        <f>COUNTIFS($E:$E,E586, Deals_Raw!AF:AF, "Won")</f>
        <v>113</v>
      </c>
      <c r="H586">
        <f t="shared" si="19"/>
        <v>0.59788359788359791</v>
      </c>
      <c r="I586">
        <f>AVERAGEIFS(Deals_Raw!$AT:$AT, $E:$E, E586, Deals_Raw!$AF:$AF, "Won")</f>
        <v>0.6036615079947677</v>
      </c>
    </row>
    <row r="587" spans="4:9">
      <c r="D587" s="8">
        <v>0.17299999999999999</v>
      </c>
      <c r="E587" t="str">
        <f>Deals_Raw!AU590</f>
        <v>15–20%</v>
      </c>
      <c r="F587" s="11">
        <f t="shared" si="18"/>
        <v>149</v>
      </c>
      <c r="G587" s="14">
        <f>COUNTIFS($E:$E,E587, Deals_Raw!AF:AF, "Won")</f>
        <v>108</v>
      </c>
      <c r="H587">
        <f t="shared" si="19"/>
        <v>0.72483221476510062</v>
      </c>
      <c r="I587">
        <f>AVERAGEIFS(Deals_Raw!$AT:$AT, $E:$E, E587, Deals_Raw!$AF:$AF, "Won")</f>
        <v>0.61267442628905355</v>
      </c>
    </row>
    <row r="588" spans="4:9">
      <c r="D588" s="8">
        <v>0.106</v>
      </c>
      <c r="E588" t="str">
        <f>Deals_Raw!AU591</f>
        <v>10–15%</v>
      </c>
      <c r="F588" s="11">
        <f t="shared" si="18"/>
        <v>189</v>
      </c>
      <c r="G588" s="14">
        <f>COUNTIFS($E:$E,E588, Deals_Raw!AF:AF, "Won")</f>
        <v>113</v>
      </c>
      <c r="H588">
        <f t="shared" si="19"/>
        <v>0.59788359788359791</v>
      </c>
      <c r="I588">
        <f>AVERAGEIFS(Deals_Raw!$AT:$AT, $E:$E, E588, Deals_Raw!$AF:$AF, "Won")</f>
        <v>0.6036615079947677</v>
      </c>
    </row>
    <row r="589" spans="4:9">
      <c r="D589" s="8">
        <v>6.5000000000000002E-2</v>
      </c>
      <c r="E589" t="str">
        <f>Deals_Raw!AU592</f>
        <v>5–10%</v>
      </c>
      <c r="F589" s="11">
        <f t="shared" si="18"/>
        <v>171</v>
      </c>
      <c r="G589" s="14">
        <f>COUNTIFS($E:$E,E589, Deals_Raw!AF:AF, "Won")</f>
        <v>116</v>
      </c>
      <c r="H589">
        <f t="shared" si="19"/>
        <v>0.67836257309941517</v>
      </c>
      <c r="I589">
        <f>AVERAGEIFS(Deals_Raw!$AT:$AT, $E:$E, E589, Deals_Raw!$AF:$AF, "Won")</f>
        <v>0.6077878084656495</v>
      </c>
    </row>
    <row r="590" spans="4:9">
      <c r="D590" s="8">
        <v>0</v>
      </c>
      <c r="E590" t="str">
        <f>Deals_Raw!AU593</f>
        <v>0–5%</v>
      </c>
      <c r="F590" s="11">
        <f t="shared" si="18"/>
        <v>79</v>
      </c>
      <c r="G590" s="14">
        <f>COUNTIFS($E:$E,E590, Deals_Raw!AF:AF, "Won")</f>
        <v>55</v>
      </c>
      <c r="H590">
        <f t="shared" si="19"/>
        <v>0.69620253164556967</v>
      </c>
      <c r="I590">
        <f>AVERAGEIFS(Deals_Raw!$AT:$AT, $E:$E, E590, Deals_Raw!$AF:$AF, "Won")</f>
        <v>0.61352612210738522</v>
      </c>
    </row>
    <row r="591" spans="4:9">
      <c r="D591" s="8">
        <v>0.20100000000000001</v>
      </c>
      <c r="E591" t="str">
        <f>Deals_Raw!AU594</f>
        <v>20–25%</v>
      </c>
      <c r="F591" s="11">
        <f t="shared" si="18"/>
        <v>41</v>
      </c>
      <c r="G591" s="14">
        <f>COUNTIFS($E:$E,E591, Deals_Raw!AF:AF, "Won")</f>
        <v>29</v>
      </c>
      <c r="H591">
        <f t="shared" si="19"/>
        <v>0.70731707317073167</v>
      </c>
      <c r="I591">
        <f>AVERAGEIFS(Deals_Raw!$AT:$AT, $E:$E, E591, Deals_Raw!$AF:$AF, "Won")</f>
        <v>0.6163731005984544</v>
      </c>
    </row>
    <row r="592" spans="4:9">
      <c r="D592" s="8">
        <v>0.193</v>
      </c>
      <c r="E592" t="str">
        <f>Deals_Raw!AU595</f>
        <v>15–20%</v>
      </c>
      <c r="F592" s="11">
        <f t="shared" si="18"/>
        <v>149</v>
      </c>
      <c r="G592" s="14">
        <f>COUNTIFS($E:$E,E592, Deals_Raw!AF:AF, "Won")</f>
        <v>108</v>
      </c>
      <c r="H592">
        <f t="shared" si="19"/>
        <v>0.72483221476510062</v>
      </c>
      <c r="I592">
        <f>AVERAGEIFS(Deals_Raw!$AT:$AT, $E:$E, E592, Deals_Raw!$AF:$AF, "Won")</f>
        <v>0.61267442628905355</v>
      </c>
    </row>
    <row r="593" spans="4:9">
      <c r="D593" s="8">
        <v>0</v>
      </c>
      <c r="E593" t="str">
        <f>Deals_Raw!AU596</f>
        <v>0–5%</v>
      </c>
      <c r="F593" s="11">
        <f t="shared" si="18"/>
        <v>79</v>
      </c>
      <c r="G593" s="14">
        <f>COUNTIFS($E:$E,E593, Deals_Raw!AF:AF, "Won")</f>
        <v>55</v>
      </c>
      <c r="H593">
        <f t="shared" si="19"/>
        <v>0.69620253164556967</v>
      </c>
      <c r="I593">
        <f>AVERAGEIFS(Deals_Raw!$AT:$AT, $E:$E, E593, Deals_Raw!$AF:$AF, "Won")</f>
        <v>0.61352612210738522</v>
      </c>
    </row>
    <row r="594" spans="4:9">
      <c r="D594" s="8">
        <v>0.20499999999999999</v>
      </c>
      <c r="E594" t="str">
        <f>Deals_Raw!AU597</f>
        <v>20–25%</v>
      </c>
      <c r="F594" s="11">
        <f t="shared" si="18"/>
        <v>41</v>
      </c>
      <c r="G594" s="14">
        <f>COUNTIFS($E:$E,E594, Deals_Raw!AF:AF, "Won")</f>
        <v>29</v>
      </c>
      <c r="H594">
        <f t="shared" si="19"/>
        <v>0.70731707317073167</v>
      </c>
      <c r="I594">
        <f>AVERAGEIFS(Deals_Raw!$AT:$AT, $E:$E, E594, Deals_Raw!$AF:$AF, "Won")</f>
        <v>0.6163731005984544</v>
      </c>
    </row>
    <row r="595" spans="4:9">
      <c r="D595" s="8">
        <v>0</v>
      </c>
      <c r="E595" t="str">
        <f>Deals_Raw!AU598</f>
        <v>0–5%</v>
      </c>
      <c r="F595" s="11">
        <f t="shared" si="18"/>
        <v>79</v>
      </c>
      <c r="G595" s="14">
        <f>COUNTIFS($E:$E,E595, Deals_Raw!AF:AF, "Won")</f>
        <v>55</v>
      </c>
      <c r="H595">
        <f t="shared" si="19"/>
        <v>0.69620253164556967</v>
      </c>
      <c r="I595">
        <f>AVERAGEIFS(Deals_Raw!$AT:$AT, $E:$E, E595, Deals_Raw!$AF:$AF, "Won")</f>
        <v>0.61352612210738522</v>
      </c>
    </row>
    <row r="596" spans="4:9">
      <c r="D596" s="8">
        <v>0.13900000000000001</v>
      </c>
      <c r="E596" t="str">
        <f>Deals_Raw!AU599</f>
        <v>10–15%</v>
      </c>
      <c r="F596" s="11">
        <f t="shared" si="18"/>
        <v>189</v>
      </c>
      <c r="G596" s="14">
        <f>COUNTIFS($E:$E,E596, Deals_Raw!AF:AF, "Won")</f>
        <v>113</v>
      </c>
      <c r="H596">
        <f t="shared" si="19"/>
        <v>0.59788359788359791</v>
      </c>
      <c r="I596">
        <f>AVERAGEIFS(Deals_Raw!$AT:$AT, $E:$E, E596, Deals_Raw!$AF:$AF, "Won")</f>
        <v>0.6036615079947677</v>
      </c>
    </row>
    <row r="597" spans="4:9">
      <c r="D597" s="8">
        <v>5.2999999999999999E-2</v>
      </c>
      <c r="E597" t="str">
        <f>Deals_Raw!AU600</f>
        <v>5–10%</v>
      </c>
      <c r="F597" s="11">
        <f t="shared" si="18"/>
        <v>171</v>
      </c>
      <c r="G597" s="14">
        <f>COUNTIFS($E:$E,E597, Deals_Raw!AF:AF, "Won")</f>
        <v>116</v>
      </c>
      <c r="H597">
        <f t="shared" si="19"/>
        <v>0.67836257309941517</v>
      </c>
      <c r="I597">
        <f>AVERAGEIFS(Deals_Raw!$AT:$AT, $E:$E, E597, Deals_Raw!$AF:$AF, "Won")</f>
        <v>0.6077878084656495</v>
      </c>
    </row>
    <row r="598" spans="4:9">
      <c r="D598" s="8">
        <v>0.14899999999999999</v>
      </c>
      <c r="E598" t="str">
        <f>Deals_Raw!AU601</f>
        <v>10–15%</v>
      </c>
      <c r="F598" s="11">
        <f t="shared" si="18"/>
        <v>189</v>
      </c>
      <c r="G598" s="14">
        <f>COUNTIFS($E:$E,E598, Deals_Raw!AF:AF, "Won")</f>
        <v>113</v>
      </c>
      <c r="H598">
        <f t="shared" si="19"/>
        <v>0.59788359788359791</v>
      </c>
      <c r="I598">
        <f>AVERAGEIFS(Deals_Raw!$AT:$AT, $E:$E, E598, Deals_Raw!$AF:$AF, "Won")</f>
        <v>0.6036615079947677</v>
      </c>
    </row>
    <row r="599" spans="4:9">
      <c r="D599" s="8">
        <v>0.155</v>
      </c>
      <c r="E599" t="str">
        <f>Deals_Raw!AU602</f>
        <v>15–20%</v>
      </c>
      <c r="F599" s="11">
        <f t="shared" si="18"/>
        <v>149</v>
      </c>
      <c r="G599" s="14">
        <f>COUNTIFS($E:$E,E599, Deals_Raw!AF:AF, "Won")</f>
        <v>108</v>
      </c>
      <c r="H599">
        <f t="shared" si="19"/>
        <v>0.72483221476510062</v>
      </c>
      <c r="I599">
        <f>AVERAGEIFS(Deals_Raw!$AT:$AT, $E:$E, E599, Deals_Raw!$AF:$AF, "Won")</f>
        <v>0.61267442628905355</v>
      </c>
    </row>
    <row r="600" spans="4:9">
      <c r="D600" s="8">
        <v>8.1000000000000003E-2</v>
      </c>
      <c r="E600" t="str">
        <f>Deals_Raw!AU603</f>
        <v>5–10%</v>
      </c>
      <c r="F600" s="11">
        <f t="shared" si="18"/>
        <v>171</v>
      </c>
      <c r="G600" s="14">
        <f>COUNTIFS($E:$E,E600, Deals_Raw!AF:AF, "Won")</f>
        <v>116</v>
      </c>
      <c r="H600">
        <f t="shared" si="19"/>
        <v>0.67836257309941517</v>
      </c>
      <c r="I600">
        <f>AVERAGEIFS(Deals_Raw!$AT:$AT, $E:$E, E600, Deals_Raw!$AF:$AF, "Won")</f>
        <v>0.6077878084656495</v>
      </c>
    </row>
    <row r="601" spans="4:9">
      <c r="D601" s="8">
        <v>4.2000000000000003E-2</v>
      </c>
      <c r="E601" t="str">
        <f>Deals_Raw!AU604</f>
        <v>0–5%</v>
      </c>
      <c r="F601" s="11">
        <f t="shared" si="18"/>
        <v>79</v>
      </c>
      <c r="G601" s="14">
        <f>COUNTIFS($E:$E,E601, Deals_Raw!AF:AF, "Won")</f>
        <v>55</v>
      </c>
      <c r="H601">
        <f t="shared" si="19"/>
        <v>0.69620253164556967</v>
      </c>
      <c r="I601">
        <f>AVERAGEIFS(Deals_Raw!$AT:$AT, $E:$E, E601, Deals_Raw!$AF:$AF, "Won")</f>
        <v>0.61352612210738522</v>
      </c>
    </row>
    <row r="602" spans="4:9">
      <c r="D602" s="8">
        <v>2E-3</v>
      </c>
      <c r="E602" t="str">
        <f>Deals_Raw!AU605</f>
        <v>0–5%</v>
      </c>
      <c r="F602" s="11">
        <f t="shared" si="18"/>
        <v>79</v>
      </c>
      <c r="G602" s="14">
        <f>COUNTIFS($E:$E,E602, Deals_Raw!AF:AF, "Won")</f>
        <v>55</v>
      </c>
      <c r="H602">
        <f t="shared" si="19"/>
        <v>0.69620253164556967</v>
      </c>
      <c r="I602">
        <f>AVERAGEIFS(Deals_Raw!$AT:$AT, $E:$E, E602, Deals_Raw!$AF:$AF, "Won")</f>
        <v>0.61352612210738522</v>
      </c>
    </row>
    <row r="603" spans="4:9">
      <c r="D603" s="8">
        <v>0.14599999999999999</v>
      </c>
      <c r="E603" t="str">
        <f>Deals_Raw!AU606</f>
        <v>10–15%</v>
      </c>
      <c r="F603" s="11">
        <f t="shared" si="18"/>
        <v>189</v>
      </c>
      <c r="G603" s="14">
        <f>COUNTIFS($E:$E,E603, Deals_Raw!AF:AF, "Won")</f>
        <v>113</v>
      </c>
      <c r="H603">
        <f t="shared" si="19"/>
        <v>0.59788359788359791</v>
      </c>
      <c r="I603">
        <f>AVERAGEIFS(Deals_Raw!$AT:$AT, $E:$E, E603, Deals_Raw!$AF:$AF, "Won")</f>
        <v>0.6036615079947677</v>
      </c>
    </row>
    <row r="604" spans="4:9">
      <c r="D604" s="8">
        <v>0.14000000000000001</v>
      </c>
      <c r="E604" t="str">
        <f>Deals_Raw!AU607</f>
        <v>10–15%</v>
      </c>
      <c r="F604" s="11">
        <f t="shared" si="18"/>
        <v>189</v>
      </c>
      <c r="G604" s="14">
        <f>COUNTIFS($E:$E,E604, Deals_Raw!AF:AF, "Won")</f>
        <v>113</v>
      </c>
      <c r="H604">
        <f t="shared" si="19"/>
        <v>0.59788359788359791</v>
      </c>
      <c r="I604">
        <f>AVERAGEIFS(Deals_Raw!$AT:$AT, $E:$E, E604, Deals_Raw!$AF:$AF, "Won")</f>
        <v>0.6036615079947677</v>
      </c>
    </row>
    <row r="605" spans="4:9">
      <c r="D605" s="8">
        <v>8.8999999999999996E-2</v>
      </c>
      <c r="E605" t="str">
        <f>Deals_Raw!AU608</f>
        <v>5–10%</v>
      </c>
      <c r="F605" s="11">
        <f t="shared" si="18"/>
        <v>171</v>
      </c>
      <c r="G605" s="14">
        <f>COUNTIFS($E:$E,E605, Deals_Raw!AF:AF, "Won")</f>
        <v>116</v>
      </c>
      <c r="H605">
        <f t="shared" si="19"/>
        <v>0.67836257309941517</v>
      </c>
      <c r="I605">
        <f>AVERAGEIFS(Deals_Raw!$AT:$AT, $E:$E, E605, Deals_Raw!$AF:$AF, "Won")</f>
        <v>0.6077878084656495</v>
      </c>
    </row>
    <row r="606" spans="4:9">
      <c r="D606" s="8">
        <v>0.19500000000000001</v>
      </c>
      <c r="E606" t="str">
        <f>Deals_Raw!AU609</f>
        <v>15–20%</v>
      </c>
      <c r="F606" s="11">
        <f t="shared" si="18"/>
        <v>149</v>
      </c>
      <c r="G606" s="14">
        <f>COUNTIFS($E:$E,E606, Deals_Raw!AF:AF, "Won")</f>
        <v>108</v>
      </c>
      <c r="H606">
        <f t="shared" si="19"/>
        <v>0.72483221476510062</v>
      </c>
      <c r="I606">
        <f>AVERAGEIFS(Deals_Raw!$AT:$AT, $E:$E, E606, Deals_Raw!$AF:$AF, "Won")</f>
        <v>0.61267442628905355</v>
      </c>
    </row>
    <row r="607" spans="4:9">
      <c r="D607" s="8">
        <v>7.0000000000000007E-2</v>
      </c>
      <c r="E607" t="str">
        <f>Deals_Raw!AU610</f>
        <v>5–10%</v>
      </c>
      <c r="F607" s="11">
        <f t="shared" si="18"/>
        <v>171</v>
      </c>
      <c r="G607" s="14">
        <f>COUNTIFS($E:$E,E607, Deals_Raw!AF:AF, "Won")</f>
        <v>116</v>
      </c>
      <c r="H607">
        <f t="shared" si="19"/>
        <v>0.67836257309941517</v>
      </c>
      <c r="I607">
        <f>AVERAGEIFS(Deals_Raw!$AT:$AT, $E:$E, E607, Deals_Raw!$AF:$AF, "Won")</f>
        <v>0.6077878084656495</v>
      </c>
    </row>
    <row r="608" spans="4:9">
      <c r="D608" s="8">
        <v>0.11600000000000001</v>
      </c>
      <c r="E608" t="str">
        <f>Deals_Raw!AU611</f>
        <v>10–15%</v>
      </c>
      <c r="F608" s="11">
        <f t="shared" si="18"/>
        <v>189</v>
      </c>
      <c r="G608" s="14">
        <f>COUNTIFS($E:$E,E608, Deals_Raw!AF:AF, "Won")</f>
        <v>113</v>
      </c>
      <c r="H608">
        <f t="shared" si="19"/>
        <v>0.59788359788359791</v>
      </c>
      <c r="I608">
        <f>AVERAGEIFS(Deals_Raw!$AT:$AT, $E:$E, E608, Deals_Raw!$AF:$AF, "Won")</f>
        <v>0.6036615079947677</v>
      </c>
    </row>
    <row r="609" spans="4:9">
      <c r="D609" s="8">
        <v>0.104</v>
      </c>
      <c r="E609" t="str">
        <f>Deals_Raw!AU612</f>
        <v>10–15%</v>
      </c>
      <c r="F609" s="11">
        <f t="shared" si="18"/>
        <v>189</v>
      </c>
      <c r="G609" s="14">
        <f>COUNTIFS($E:$E,E609, Deals_Raw!AF:AF, "Won")</f>
        <v>113</v>
      </c>
      <c r="H609">
        <f t="shared" si="19"/>
        <v>0.59788359788359791</v>
      </c>
      <c r="I609">
        <f>AVERAGEIFS(Deals_Raw!$AT:$AT, $E:$E, E609, Deals_Raw!$AF:$AF, "Won")</f>
        <v>0.6036615079947677</v>
      </c>
    </row>
    <row r="610" spans="4:9">
      <c r="D610" s="8">
        <v>2.5000000000000001E-2</v>
      </c>
      <c r="E610" t="str">
        <f>Deals_Raw!AU613</f>
        <v>0–5%</v>
      </c>
      <c r="F610" s="11">
        <f t="shared" si="18"/>
        <v>79</v>
      </c>
      <c r="G610" s="14">
        <f>COUNTIFS($E:$E,E610, Deals_Raw!AF:AF, "Won")</f>
        <v>55</v>
      </c>
      <c r="H610">
        <f t="shared" si="19"/>
        <v>0.69620253164556967</v>
      </c>
      <c r="I610">
        <f>AVERAGEIFS(Deals_Raw!$AT:$AT, $E:$E, E610, Deals_Raw!$AF:$AF, "Won")</f>
        <v>0.61352612210738522</v>
      </c>
    </row>
    <row r="611" spans="4:9">
      <c r="D611" s="8">
        <v>0.10299999999999999</v>
      </c>
      <c r="E611" t="str">
        <f>Deals_Raw!AU614</f>
        <v>10–15%</v>
      </c>
      <c r="F611" s="11">
        <f t="shared" si="18"/>
        <v>189</v>
      </c>
      <c r="G611" s="14">
        <f>COUNTIFS($E:$E,E611, Deals_Raw!AF:AF, "Won")</f>
        <v>113</v>
      </c>
      <c r="H611">
        <f t="shared" si="19"/>
        <v>0.59788359788359791</v>
      </c>
      <c r="I611">
        <f>AVERAGEIFS(Deals_Raw!$AT:$AT, $E:$E, E611, Deals_Raw!$AF:$AF, "Won")</f>
        <v>0.6036615079947677</v>
      </c>
    </row>
    <row r="612" spans="4:9">
      <c r="D612" s="8">
        <v>0.185</v>
      </c>
      <c r="E612" t="str">
        <f>Deals_Raw!AU615</f>
        <v>15–20%</v>
      </c>
      <c r="F612" s="11">
        <f t="shared" si="18"/>
        <v>149</v>
      </c>
      <c r="G612" s="14">
        <f>COUNTIFS($E:$E,E612, Deals_Raw!AF:AF, "Won")</f>
        <v>108</v>
      </c>
      <c r="H612">
        <f t="shared" si="19"/>
        <v>0.72483221476510062</v>
      </c>
      <c r="I612">
        <f>AVERAGEIFS(Deals_Raw!$AT:$AT, $E:$E, E612, Deals_Raw!$AF:$AF, "Won")</f>
        <v>0.61267442628905355</v>
      </c>
    </row>
    <row r="613" spans="4:9">
      <c r="D613" s="8">
        <v>0.18099999999999999</v>
      </c>
      <c r="E613" t="str">
        <f>Deals_Raw!AU616</f>
        <v>15–20%</v>
      </c>
      <c r="F613" s="11">
        <f t="shared" si="18"/>
        <v>149</v>
      </c>
      <c r="G613" s="14">
        <f>COUNTIFS($E:$E,E613, Deals_Raw!AF:AF, "Won")</f>
        <v>108</v>
      </c>
      <c r="H613">
        <f t="shared" si="19"/>
        <v>0.72483221476510062</v>
      </c>
      <c r="I613">
        <f>AVERAGEIFS(Deals_Raw!$AT:$AT, $E:$E, E613, Deals_Raw!$AF:$AF, "Won")</f>
        <v>0.61267442628905355</v>
      </c>
    </row>
    <row r="614" spans="4:9">
      <c r="D614" s="8">
        <v>7.0999999999999994E-2</v>
      </c>
      <c r="E614" t="str">
        <f>Deals_Raw!AU617</f>
        <v>5–10%</v>
      </c>
      <c r="F614" s="11">
        <f t="shared" si="18"/>
        <v>171</v>
      </c>
      <c r="G614" s="14">
        <f>COUNTIFS($E:$E,E614, Deals_Raw!AF:AF, "Won")</f>
        <v>116</v>
      </c>
      <c r="H614">
        <f t="shared" si="19"/>
        <v>0.67836257309941517</v>
      </c>
      <c r="I614">
        <f>AVERAGEIFS(Deals_Raw!$AT:$AT, $E:$E, E614, Deals_Raw!$AF:$AF, "Won")</f>
        <v>0.6077878084656495</v>
      </c>
    </row>
    <row r="615" spans="4:9">
      <c r="D615" s="8">
        <v>0.13300000000000001</v>
      </c>
      <c r="E615" t="str">
        <f>Deals_Raw!AU618</f>
        <v>10–15%</v>
      </c>
      <c r="F615" s="11">
        <f t="shared" si="18"/>
        <v>189</v>
      </c>
      <c r="G615" s="14">
        <f>COUNTIFS($E:$E,E615, Deals_Raw!AF:AF, "Won")</f>
        <v>113</v>
      </c>
      <c r="H615">
        <f t="shared" si="19"/>
        <v>0.59788359788359791</v>
      </c>
      <c r="I615">
        <f>AVERAGEIFS(Deals_Raw!$AT:$AT, $E:$E, E615, Deals_Raw!$AF:$AF, "Won")</f>
        <v>0.6036615079947677</v>
      </c>
    </row>
    <row r="616" spans="4:9">
      <c r="D616" s="8">
        <v>7.0999999999999994E-2</v>
      </c>
      <c r="E616" t="str">
        <f>Deals_Raw!AU619</f>
        <v>5–10%</v>
      </c>
      <c r="F616" s="11">
        <f t="shared" si="18"/>
        <v>171</v>
      </c>
      <c r="G616" s="14">
        <f>COUNTIFS($E:$E,E616, Deals_Raw!AF:AF, "Won")</f>
        <v>116</v>
      </c>
      <c r="H616">
        <f t="shared" si="19"/>
        <v>0.67836257309941517</v>
      </c>
      <c r="I616">
        <f>AVERAGEIFS(Deals_Raw!$AT:$AT, $E:$E, E616, Deals_Raw!$AF:$AF, "Won")</f>
        <v>0.6077878084656495</v>
      </c>
    </row>
    <row r="617" spans="4:9">
      <c r="D617" s="8">
        <v>0</v>
      </c>
      <c r="E617" t="str">
        <f>Deals_Raw!AU620</f>
        <v>0–5%</v>
      </c>
      <c r="F617" s="11">
        <f t="shared" si="18"/>
        <v>79</v>
      </c>
      <c r="G617" s="14">
        <f>COUNTIFS($E:$E,E617, Deals_Raw!AF:AF, "Won")</f>
        <v>55</v>
      </c>
      <c r="H617">
        <f t="shared" si="19"/>
        <v>0.69620253164556967</v>
      </c>
      <c r="I617">
        <f>AVERAGEIFS(Deals_Raw!$AT:$AT, $E:$E, E617, Deals_Raw!$AF:$AF, "Won")</f>
        <v>0.61352612210738522</v>
      </c>
    </row>
    <row r="618" spans="4:9">
      <c r="D618" s="8">
        <v>0.111</v>
      </c>
      <c r="E618" t="str">
        <f>Deals_Raw!AU621</f>
        <v>10–15%</v>
      </c>
      <c r="F618" s="11">
        <f t="shared" si="18"/>
        <v>189</v>
      </c>
      <c r="G618" s="14">
        <f>COUNTIFS($E:$E,E618, Deals_Raw!AF:AF, "Won")</f>
        <v>113</v>
      </c>
      <c r="H618">
        <f t="shared" si="19"/>
        <v>0.59788359788359791</v>
      </c>
      <c r="I618">
        <f>AVERAGEIFS(Deals_Raw!$AT:$AT, $E:$E, E618, Deals_Raw!$AF:$AF, "Won")</f>
        <v>0.6036615079947677</v>
      </c>
    </row>
    <row r="619" spans="4:9">
      <c r="D619" s="8">
        <v>0.17499999999999999</v>
      </c>
      <c r="E619" t="str">
        <f>Deals_Raw!AU622</f>
        <v>15–20%</v>
      </c>
      <c r="F619" s="11">
        <f t="shared" si="18"/>
        <v>149</v>
      </c>
      <c r="G619" s="14">
        <f>COUNTIFS($E:$E,E619, Deals_Raw!AF:AF, "Won")</f>
        <v>108</v>
      </c>
      <c r="H619">
        <f t="shared" si="19"/>
        <v>0.72483221476510062</v>
      </c>
      <c r="I619">
        <f>AVERAGEIFS(Deals_Raw!$AT:$AT, $E:$E, E619, Deals_Raw!$AF:$AF, "Won")</f>
        <v>0.61267442628905355</v>
      </c>
    </row>
    <row r="620" spans="4:9">
      <c r="D620" s="8">
        <v>0.16900000000000001</v>
      </c>
      <c r="E620" t="str">
        <f>Deals_Raw!AU623</f>
        <v>15–20%</v>
      </c>
      <c r="F620" s="11">
        <f t="shared" si="18"/>
        <v>149</v>
      </c>
      <c r="G620" s="14">
        <f>COUNTIFS($E:$E,E620, Deals_Raw!AF:AF, "Won")</f>
        <v>108</v>
      </c>
      <c r="H620">
        <f t="shared" si="19"/>
        <v>0.72483221476510062</v>
      </c>
      <c r="I620">
        <f>AVERAGEIFS(Deals_Raw!$AT:$AT, $E:$E, E620, Deals_Raw!$AF:$AF, "Won")</f>
        <v>0.61267442628905355</v>
      </c>
    </row>
    <row r="621" spans="4:9">
      <c r="D621" s="8">
        <v>9.9000000000000005E-2</v>
      </c>
      <c r="E621" t="str">
        <f>Deals_Raw!AU624</f>
        <v>5–10%</v>
      </c>
      <c r="F621" s="11">
        <f t="shared" si="18"/>
        <v>171</v>
      </c>
      <c r="G621" s="14">
        <f>COUNTIFS($E:$E,E621, Deals_Raw!AF:AF, "Won")</f>
        <v>116</v>
      </c>
      <c r="H621">
        <f t="shared" si="19"/>
        <v>0.67836257309941517</v>
      </c>
      <c r="I621">
        <f>AVERAGEIFS(Deals_Raw!$AT:$AT, $E:$E, E621, Deals_Raw!$AF:$AF, "Won")</f>
        <v>0.6077878084656495</v>
      </c>
    </row>
    <row r="622" spans="4:9">
      <c r="D622" s="8">
        <v>0.13800000000000001</v>
      </c>
      <c r="E622" t="str">
        <f>Deals_Raw!AU625</f>
        <v>10–15%</v>
      </c>
      <c r="F622" s="11">
        <f t="shared" si="18"/>
        <v>189</v>
      </c>
      <c r="G622" s="14">
        <f>COUNTIFS($E:$E,E622, Deals_Raw!AF:AF, "Won")</f>
        <v>113</v>
      </c>
      <c r="H622">
        <f t="shared" si="19"/>
        <v>0.59788359788359791</v>
      </c>
      <c r="I622">
        <f>AVERAGEIFS(Deals_Raw!$AT:$AT, $E:$E, E622, Deals_Raw!$AF:$AF, "Won")</f>
        <v>0.6036615079947677</v>
      </c>
    </row>
    <row r="623" spans="4:9">
      <c r="D623" s="8">
        <v>0.13100000000000001</v>
      </c>
      <c r="E623" t="str">
        <f>Deals_Raw!AU626</f>
        <v>10–15%</v>
      </c>
      <c r="F623" s="11">
        <f t="shared" si="18"/>
        <v>189</v>
      </c>
      <c r="G623" s="14">
        <f>COUNTIFS($E:$E,E623, Deals_Raw!AF:AF, "Won")</f>
        <v>113</v>
      </c>
      <c r="H623">
        <f t="shared" si="19"/>
        <v>0.59788359788359791</v>
      </c>
      <c r="I623">
        <f>AVERAGEIFS(Deals_Raw!$AT:$AT, $E:$E, E623, Deals_Raw!$AF:$AF, "Won")</f>
        <v>0.6036615079947677</v>
      </c>
    </row>
    <row r="624" spans="4:9">
      <c r="D624" s="8">
        <v>0.13600000000000001</v>
      </c>
      <c r="E624" t="str">
        <f>Deals_Raw!AU627</f>
        <v>10–15%</v>
      </c>
      <c r="F624" s="11">
        <f t="shared" si="18"/>
        <v>189</v>
      </c>
      <c r="G624" s="14">
        <f>COUNTIFS($E:$E,E624, Deals_Raw!AF:AF, "Won")</f>
        <v>113</v>
      </c>
      <c r="H624">
        <f t="shared" si="19"/>
        <v>0.59788359788359791</v>
      </c>
      <c r="I624">
        <f>AVERAGEIFS(Deals_Raw!$AT:$AT, $E:$E, E624, Deals_Raw!$AF:$AF, "Won")</f>
        <v>0.6036615079947677</v>
      </c>
    </row>
    <row r="625" spans="4:9">
      <c r="D625" s="8">
        <v>0.188</v>
      </c>
      <c r="E625" t="str">
        <f>Deals_Raw!AU628</f>
        <v>15–20%</v>
      </c>
      <c r="F625" s="11">
        <f t="shared" si="18"/>
        <v>149</v>
      </c>
      <c r="G625" s="14">
        <f>COUNTIFS($E:$E,E625, Deals_Raw!AF:AF, "Won")</f>
        <v>108</v>
      </c>
      <c r="H625">
        <f t="shared" si="19"/>
        <v>0.72483221476510062</v>
      </c>
      <c r="I625">
        <f>AVERAGEIFS(Deals_Raw!$AT:$AT, $E:$E, E625, Deals_Raw!$AF:$AF, "Won")</f>
        <v>0.61267442628905355</v>
      </c>
    </row>
    <row r="626" spans="4:9">
      <c r="D626" s="8">
        <v>4.5999999999999999E-2</v>
      </c>
      <c r="E626" t="str">
        <f>Deals_Raw!AU629</f>
        <v>0–5%</v>
      </c>
      <c r="F626" s="11">
        <f t="shared" si="18"/>
        <v>79</v>
      </c>
      <c r="G626" s="14">
        <f>COUNTIFS($E:$E,E626, Deals_Raw!AF:AF, "Won")</f>
        <v>55</v>
      </c>
      <c r="H626">
        <f t="shared" si="19"/>
        <v>0.69620253164556967</v>
      </c>
      <c r="I626">
        <f>AVERAGEIFS(Deals_Raw!$AT:$AT, $E:$E, E626, Deals_Raw!$AF:$AF, "Won")</f>
        <v>0.61352612210738522</v>
      </c>
    </row>
    <row r="627" spans="4:9">
      <c r="D627" s="8">
        <v>0.13100000000000001</v>
      </c>
      <c r="E627" t="str">
        <f>Deals_Raw!AU630</f>
        <v>10–15%</v>
      </c>
      <c r="F627" s="11">
        <f t="shared" si="18"/>
        <v>189</v>
      </c>
      <c r="G627" s="14">
        <f>COUNTIFS($E:$E,E627, Deals_Raw!AF:AF, "Won")</f>
        <v>113</v>
      </c>
      <c r="H627">
        <f t="shared" si="19"/>
        <v>0.59788359788359791</v>
      </c>
      <c r="I627">
        <f>AVERAGEIFS(Deals_Raw!$AT:$AT, $E:$E, E627, Deals_Raw!$AF:$AF, "Won")</f>
        <v>0.6036615079947677</v>
      </c>
    </row>
    <row r="628" spans="4:9">
      <c r="D628" s="8">
        <v>8.0000000000000002E-3</v>
      </c>
      <c r="E628" t="str">
        <f>Deals_Raw!AU631</f>
        <v>0–5%</v>
      </c>
      <c r="F628" s="11">
        <f t="shared" si="18"/>
        <v>79</v>
      </c>
      <c r="G628" s="14">
        <f>COUNTIFS($E:$E,E628, Deals_Raw!AF:AF, "Won")</f>
        <v>55</v>
      </c>
      <c r="H628">
        <f t="shared" si="19"/>
        <v>0.69620253164556967</v>
      </c>
      <c r="I628">
        <f>AVERAGEIFS(Deals_Raw!$AT:$AT, $E:$E, E628, Deals_Raw!$AF:$AF, "Won")</f>
        <v>0.61352612210738522</v>
      </c>
    </row>
    <row r="629" spans="4:9">
      <c r="D629" s="8">
        <v>8.7999999999999995E-2</v>
      </c>
      <c r="E629" t="str">
        <f>Deals_Raw!AU632</f>
        <v>5–10%</v>
      </c>
      <c r="F629" s="11">
        <f t="shared" si="18"/>
        <v>171</v>
      </c>
      <c r="G629" s="14">
        <f>COUNTIFS($E:$E,E629, Deals_Raw!AF:AF, "Won")</f>
        <v>116</v>
      </c>
      <c r="H629">
        <f t="shared" si="19"/>
        <v>0.67836257309941517</v>
      </c>
      <c r="I629">
        <f>AVERAGEIFS(Deals_Raw!$AT:$AT, $E:$E, E629, Deals_Raw!$AF:$AF, "Won")</f>
        <v>0.6077878084656495</v>
      </c>
    </row>
    <row r="630" spans="4:9">
      <c r="D630" s="8">
        <v>0.186</v>
      </c>
      <c r="E630" t="str">
        <f>Deals_Raw!AU633</f>
        <v>15–20%</v>
      </c>
      <c r="F630" s="11">
        <f t="shared" si="18"/>
        <v>149</v>
      </c>
      <c r="G630" s="14">
        <f>COUNTIFS($E:$E,E630, Deals_Raw!AF:AF, "Won")</f>
        <v>108</v>
      </c>
      <c r="H630">
        <f t="shared" si="19"/>
        <v>0.72483221476510062</v>
      </c>
      <c r="I630">
        <f>AVERAGEIFS(Deals_Raw!$AT:$AT, $E:$E, E630, Deals_Raw!$AF:$AF, "Won")</f>
        <v>0.61267442628905355</v>
      </c>
    </row>
    <row r="631" spans="4:9">
      <c r="D631" s="8">
        <v>7.3999999999999996E-2</v>
      </c>
      <c r="E631" t="str">
        <f>Deals_Raw!AU634</f>
        <v>5–10%</v>
      </c>
      <c r="F631" s="11">
        <f t="shared" si="18"/>
        <v>171</v>
      </c>
      <c r="G631" s="14">
        <f>COUNTIFS($E:$E,E631, Deals_Raw!AF:AF, "Won")</f>
        <v>116</v>
      </c>
      <c r="H631">
        <f t="shared" si="19"/>
        <v>0.67836257309941517</v>
      </c>
      <c r="I631">
        <f>AVERAGEIFS(Deals_Raw!$AT:$AT, $E:$E, E631, Deals_Raw!$AF:$AF, "Won")</f>
        <v>0.6077878084656495</v>
      </c>
    </row>
    <row r="632" spans="4:9">
      <c r="D632" s="8">
        <v>0.17199999999999999</v>
      </c>
      <c r="E632" t="str">
        <f>Deals_Raw!AU635</f>
        <v>15–20%</v>
      </c>
      <c r="F632" s="11">
        <f t="shared" si="18"/>
        <v>149</v>
      </c>
      <c r="G632" s="14">
        <f>COUNTIFS($E:$E,E632, Deals_Raw!AF:AF, "Won")</f>
        <v>108</v>
      </c>
      <c r="H632">
        <f t="shared" si="19"/>
        <v>0.72483221476510062</v>
      </c>
      <c r="I632">
        <f>AVERAGEIFS(Deals_Raw!$AT:$AT, $E:$E, E632, Deals_Raw!$AF:$AF, "Won")</f>
        <v>0.61267442628905355</v>
      </c>
    </row>
    <row r="633" spans="4:9">
      <c r="D633" s="8">
        <v>9.9000000000000005E-2</v>
      </c>
      <c r="E633" t="str">
        <f>Deals_Raw!AU636</f>
        <v>5–10%</v>
      </c>
      <c r="F633" s="11">
        <f t="shared" si="18"/>
        <v>171</v>
      </c>
      <c r="G633" s="14">
        <f>COUNTIFS($E:$E,E633, Deals_Raw!AF:AF, "Won")</f>
        <v>116</v>
      </c>
      <c r="H633">
        <f t="shared" si="19"/>
        <v>0.67836257309941517</v>
      </c>
      <c r="I633">
        <f>AVERAGEIFS(Deals_Raw!$AT:$AT, $E:$E, E633, Deals_Raw!$AF:$AF, "Won")</f>
        <v>0.6077878084656495</v>
      </c>
    </row>
    <row r="634" spans="4:9">
      <c r="D634" s="8">
        <v>0.253</v>
      </c>
      <c r="E634" t="str">
        <f>Deals_Raw!AU637</f>
        <v>25–30%</v>
      </c>
      <c r="F634" s="11">
        <f t="shared" si="18"/>
        <v>7</v>
      </c>
      <c r="G634" s="14">
        <f>COUNTIFS($E:$E,E634, Deals_Raw!AF:AF, "Won")</f>
        <v>3</v>
      </c>
      <c r="H634">
        <f t="shared" si="19"/>
        <v>0.42857142857142855</v>
      </c>
      <c r="I634">
        <f>AVERAGEIFS(Deals_Raw!$AT:$AT, $E:$E, E634, Deals_Raw!$AF:$AF, "Won")</f>
        <v>0.60970059861072146</v>
      </c>
    </row>
    <row r="635" spans="4:9">
      <c r="D635" s="8">
        <v>0.153</v>
      </c>
      <c r="E635" t="str">
        <f>Deals_Raw!AU638</f>
        <v>15–20%</v>
      </c>
      <c r="F635" s="11">
        <f t="shared" si="18"/>
        <v>149</v>
      </c>
      <c r="G635" s="14">
        <f>COUNTIFS($E:$E,E635, Deals_Raw!AF:AF, "Won")</f>
        <v>108</v>
      </c>
      <c r="H635">
        <f t="shared" si="19"/>
        <v>0.72483221476510062</v>
      </c>
      <c r="I635">
        <f>AVERAGEIFS(Deals_Raw!$AT:$AT, $E:$E, E635, Deals_Raw!$AF:$AF, "Won")</f>
        <v>0.61267442628905355</v>
      </c>
    </row>
    <row r="636" spans="4:9">
      <c r="D636" s="8">
        <v>0.22600000000000001</v>
      </c>
      <c r="E636" t="str">
        <f>Deals_Raw!AU639</f>
        <v>20–25%</v>
      </c>
      <c r="F636" s="11">
        <f t="shared" si="18"/>
        <v>41</v>
      </c>
      <c r="G636" s="14">
        <f>COUNTIFS($E:$E,E636, Deals_Raw!AF:AF, "Won")</f>
        <v>29</v>
      </c>
      <c r="H636">
        <f t="shared" si="19"/>
        <v>0.70731707317073167</v>
      </c>
      <c r="I636">
        <f>AVERAGEIFS(Deals_Raw!$AT:$AT, $E:$E, E636, Deals_Raw!$AF:$AF, "Won")</f>
        <v>0.6163731005984544</v>
      </c>
    </row>
    <row r="637" spans="4:9">
      <c r="D637" s="8">
        <v>7.3999999999999996E-2</v>
      </c>
      <c r="E637" t="str">
        <f>Deals_Raw!AU640</f>
        <v>5–10%</v>
      </c>
      <c r="F637" s="11">
        <f t="shared" si="18"/>
        <v>171</v>
      </c>
      <c r="G637" s="14">
        <f>COUNTIFS($E:$E,E637, Deals_Raw!AF:AF, "Won")</f>
        <v>116</v>
      </c>
      <c r="H637">
        <f t="shared" si="19"/>
        <v>0.67836257309941517</v>
      </c>
      <c r="I637">
        <f>AVERAGEIFS(Deals_Raw!$AT:$AT, $E:$E, E637, Deals_Raw!$AF:$AF, "Won")</f>
        <v>0.6077878084656495</v>
      </c>
    </row>
    <row r="638" spans="4:9">
      <c r="D638" s="8">
        <v>0</v>
      </c>
      <c r="E638" t="str">
        <f>Deals_Raw!AU641</f>
        <v>0–5%</v>
      </c>
      <c r="F638" s="11">
        <f t="shared" si="18"/>
        <v>79</v>
      </c>
      <c r="G638" s="14">
        <f>COUNTIFS($E:$E,E638, Deals_Raw!AF:AF, "Won")</f>
        <v>55</v>
      </c>
      <c r="H638">
        <f t="shared" si="19"/>
        <v>0.69620253164556967</v>
      </c>
      <c r="I638">
        <f>AVERAGEIFS(Deals_Raw!$AT:$AT, $E:$E, E638, Deals_Raw!$AF:$AF, "Won")</f>
        <v>0.61352612210738522</v>
      </c>
    </row>
    <row r="639" spans="4:9">
      <c r="D639" s="8">
        <v>0.129</v>
      </c>
      <c r="E639" t="str">
        <f>Deals_Raw!AU642</f>
        <v>10–15%</v>
      </c>
      <c r="F639" s="11">
        <f t="shared" si="18"/>
        <v>189</v>
      </c>
      <c r="G639" s="14">
        <f>COUNTIFS($E:$E,E639, Deals_Raw!AF:AF, "Won")</f>
        <v>113</v>
      </c>
      <c r="H639">
        <f t="shared" si="19"/>
        <v>0.59788359788359791</v>
      </c>
      <c r="I639">
        <f>AVERAGEIFS(Deals_Raw!$AT:$AT, $E:$E, E639, Deals_Raw!$AF:$AF, "Won")</f>
        <v>0.6036615079947677</v>
      </c>
    </row>
    <row r="640" spans="4:9">
      <c r="D640"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D6" sqref="D6"/>
    </sheetView>
  </sheetViews>
  <sheetFormatPr defaultRowHeight="14.25"/>
  <sheetData>
    <row r="1" spans="1:2">
      <c r="A1">
        <v>1</v>
      </c>
      <c r="B1" t="s">
        <v>1694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C10" sqref="C10"/>
    </sheetView>
  </sheetViews>
  <sheetFormatPr defaultRowHeight="14.25"/>
  <cols>
    <col min="1" max="1" width="24" customWidth="1"/>
    <col min="2" max="2" width="37.5" customWidth="1"/>
    <col min="3" max="3" width="24" customWidth="1"/>
    <col min="4" max="6" width="30" customWidth="1"/>
  </cols>
  <sheetData>
    <row r="1" spans="1:6">
      <c r="A1" s="18" t="s">
        <v>1549</v>
      </c>
      <c r="B1" s="18"/>
      <c r="C1" s="18"/>
      <c r="D1" s="18"/>
      <c r="E1" s="18"/>
      <c r="F1" s="18"/>
    </row>
    <row r="2" spans="1:6">
      <c r="A2" s="18"/>
      <c r="B2" s="18"/>
      <c r="C2" s="18"/>
      <c r="D2" s="18"/>
      <c r="E2" s="18"/>
      <c r="F2" s="18"/>
    </row>
    <row r="4" spans="1:6" ht="15">
      <c r="A4" s="3" t="s">
        <v>1550</v>
      </c>
      <c r="B4" s="3" t="s">
        <v>1551</v>
      </c>
      <c r="C4" s="3" t="s">
        <v>1552</v>
      </c>
      <c r="D4" s="3" t="s">
        <v>1553</v>
      </c>
      <c r="E4" s="3" t="s">
        <v>1554</v>
      </c>
      <c r="F4" s="3" t="s">
        <v>1555</v>
      </c>
    </row>
    <row r="5" spans="1:6">
      <c r="A5" t="s">
        <v>1556</v>
      </c>
      <c r="B5" t="s">
        <v>1557</v>
      </c>
      <c r="C5" s="8">
        <v>0.1</v>
      </c>
      <c r="D5" t="s">
        <v>1558</v>
      </c>
      <c r="E5" t="s">
        <v>1559</v>
      </c>
      <c r="F5" t="s">
        <v>446</v>
      </c>
    </row>
    <row r="6" spans="1:6">
      <c r="A6" t="s">
        <v>1556</v>
      </c>
      <c r="B6" t="s">
        <v>1560</v>
      </c>
      <c r="C6" s="8">
        <v>0.2</v>
      </c>
      <c r="D6" t="s">
        <v>1558</v>
      </c>
      <c r="E6" t="s">
        <v>1561</v>
      </c>
      <c r="F6" t="s">
        <v>446</v>
      </c>
    </row>
    <row r="7" spans="1:6">
      <c r="A7" t="s">
        <v>1556</v>
      </c>
      <c r="B7" t="s">
        <v>1562</v>
      </c>
      <c r="C7" s="8">
        <v>0.28000000000000003</v>
      </c>
      <c r="D7" t="s">
        <v>1558</v>
      </c>
      <c r="E7" t="s">
        <v>1563</v>
      </c>
      <c r="F7" t="s">
        <v>446</v>
      </c>
    </row>
    <row r="8" spans="1:6">
      <c r="A8" t="s">
        <v>1556</v>
      </c>
      <c r="B8" t="s">
        <v>1564</v>
      </c>
      <c r="C8" s="8">
        <v>0.28000000000000003</v>
      </c>
      <c r="D8" t="s">
        <v>1558</v>
      </c>
      <c r="E8" t="s">
        <v>1565</v>
      </c>
      <c r="F8" t="s">
        <v>446</v>
      </c>
    </row>
    <row r="9" spans="1:6">
      <c r="A9" t="s">
        <v>1566</v>
      </c>
      <c r="B9" t="s">
        <v>1567</v>
      </c>
      <c r="C9" s="8">
        <v>0.6</v>
      </c>
      <c r="D9" t="s">
        <v>1558</v>
      </c>
      <c r="E9" t="s">
        <v>1568</v>
      </c>
      <c r="F9" t="s">
        <v>446</v>
      </c>
    </row>
    <row r="10" spans="1:6">
      <c r="A10" t="s">
        <v>1566</v>
      </c>
      <c r="B10" t="s">
        <v>1569</v>
      </c>
      <c r="C10" s="8">
        <v>0.45</v>
      </c>
      <c r="D10" t="s">
        <v>1558</v>
      </c>
      <c r="E10" t="s">
        <v>1570</v>
      </c>
      <c r="F10" t="s">
        <v>446</v>
      </c>
    </row>
    <row r="11" spans="1:6">
      <c r="A11" t="s">
        <v>1571</v>
      </c>
      <c r="B11" t="s">
        <v>1572</v>
      </c>
      <c r="C11">
        <v>1</v>
      </c>
      <c r="D11" t="s">
        <v>1573</v>
      </c>
      <c r="E11" t="s">
        <v>1574</v>
      </c>
      <c r="F11" t="s">
        <v>446</v>
      </c>
    </row>
    <row r="12" spans="1:6">
      <c r="A12" t="s">
        <v>1571</v>
      </c>
      <c r="B12" t="s">
        <v>1575</v>
      </c>
      <c r="C12">
        <v>1</v>
      </c>
      <c r="D12" t="s">
        <v>1573</v>
      </c>
      <c r="E12" t="s">
        <v>1576</v>
      </c>
      <c r="F12" t="s">
        <v>446</v>
      </c>
    </row>
  </sheetData>
  <mergeCells count="1">
    <mergeCell ref="A1:F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642"/>
  <sheetViews>
    <sheetView topLeftCell="O1" workbookViewId="0">
      <selection activeCell="Z5" sqref="Z5"/>
    </sheetView>
  </sheetViews>
  <sheetFormatPr defaultRowHeight="14.25"/>
  <cols>
    <col min="1" max="22" width="14" customWidth="1"/>
    <col min="23" max="23" width="20.375" customWidth="1"/>
    <col min="24" max="24" width="28" customWidth="1"/>
    <col min="25" max="35" width="14" customWidth="1"/>
    <col min="36" max="36" width="34" customWidth="1"/>
    <col min="37" max="45" width="14" customWidth="1"/>
  </cols>
  <sheetData>
    <row r="1" spans="1:45">
      <c r="A1" s="18" t="s">
        <v>1577</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row>
    <row r="2" spans="1:4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row>
    <row r="4" spans="1:45" ht="30">
      <c r="A4" s="3" t="s">
        <v>851</v>
      </c>
      <c r="B4" s="3" t="s">
        <v>852</v>
      </c>
      <c r="C4" s="3" t="s">
        <v>22</v>
      </c>
      <c r="D4" s="3" t="s">
        <v>23</v>
      </c>
      <c r="E4" s="3" t="s">
        <v>436</v>
      </c>
      <c r="F4" s="3" t="s">
        <v>437</v>
      </c>
      <c r="G4" s="3" t="s">
        <v>24</v>
      </c>
      <c r="H4" s="3" t="s">
        <v>25</v>
      </c>
      <c r="I4" s="3" t="s">
        <v>26</v>
      </c>
      <c r="J4" s="3" t="s">
        <v>27</v>
      </c>
      <c r="K4" s="3" t="s">
        <v>28</v>
      </c>
      <c r="L4" s="3" t="s">
        <v>29</v>
      </c>
      <c r="M4" s="3" t="s">
        <v>30</v>
      </c>
      <c r="N4" s="3" t="s">
        <v>419</v>
      </c>
      <c r="O4" s="3" t="s">
        <v>853</v>
      </c>
      <c r="P4" s="3" t="s">
        <v>854</v>
      </c>
      <c r="Q4" s="3" t="s">
        <v>855</v>
      </c>
      <c r="R4" s="3" t="s">
        <v>856</v>
      </c>
      <c r="S4" s="3" t="s">
        <v>857</v>
      </c>
      <c r="T4" s="3" t="s">
        <v>858</v>
      </c>
      <c r="U4" s="3" t="s">
        <v>859</v>
      </c>
      <c r="V4" s="3" t="s">
        <v>860</v>
      </c>
      <c r="W4" s="3" t="s">
        <v>861</v>
      </c>
      <c r="X4" s="3" t="s">
        <v>862</v>
      </c>
      <c r="Y4" s="3" t="s">
        <v>863</v>
      </c>
      <c r="Z4" s="3" t="s">
        <v>864</v>
      </c>
      <c r="AA4" s="3" t="s">
        <v>865</v>
      </c>
      <c r="AB4" s="3" t="s">
        <v>866</v>
      </c>
      <c r="AC4" s="3" t="s">
        <v>867</v>
      </c>
      <c r="AD4" s="3" t="s">
        <v>868</v>
      </c>
      <c r="AE4" s="3" t="s">
        <v>869</v>
      </c>
      <c r="AF4" s="3" t="s">
        <v>870</v>
      </c>
      <c r="AG4" s="3" t="s">
        <v>871</v>
      </c>
      <c r="AH4" s="3" t="s">
        <v>872</v>
      </c>
      <c r="AI4" s="3" t="s">
        <v>873</v>
      </c>
      <c r="AJ4" s="3" t="s">
        <v>874</v>
      </c>
      <c r="AK4" s="3" t="s">
        <v>1578</v>
      </c>
      <c r="AL4" s="3" t="s">
        <v>1579</v>
      </c>
      <c r="AM4" s="3" t="s">
        <v>1580</v>
      </c>
      <c r="AN4" s="3" t="s">
        <v>1581</v>
      </c>
      <c r="AO4" s="3" t="s">
        <v>1582</v>
      </c>
      <c r="AP4" s="3" t="s">
        <v>1583</v>
      </c>
      <c r="AQ4" s="3" t="s">
        <v>1584</v>
      </c>
      <c r="AR4" s="3" t="s">
        <v>1585</v>
      </c>
      <c r="AS4" s="3" t="s">
        <v>1586</v>
      </c>
    </row>
    <row r="5" spans="1:45">
      <c r="A5" t="str">
        <f>Deals_Raw!A5</f>
        <v>D00003</v>
      </c>
      <c r="B5">
        <f>Deals_Raw!B5</f>
        <v>45646</v>
      </c>
      <c r="C5" t="str">
        <f>Deals_Raw!C5</f>
        <v>C0001</v>
      </c>
      <c r="D5" t="str">
        <f>Deals_Raw!D5</f>
        <v>LEG-0001</v>
      </c>
      <c r="E5" t="str">
        <f>Deals_Raw!E5</f>
        <v>CT00001</v>
      </c>
      <c r="F5" t="str">
        <f>Deals_Raw!F5</f>
        <v>Sales</v>
      </c>
      <c r="G5" t="str">
        <f>Deals_Raw!G5</f>
        <v>Legal</v>
      </c>
      <c r="H5" t="str">
        <f>Deals_Raw!H5</f>
        <v>South</v>
      </c>
      <c r="I5" t="str">
        <f>Deals_Raw!I5</f>
        <v>South Commercial</v>
      </c>
      <c r="J5" t="str">
        <f>Deals_Raw!J5</f>
        <v>SMB</v>
      </c>
      <c r="K5" t="str">
        <f>Deals_Raw!K5</f>
        <v>No</v>
      </c>
      <c r="L5">
        <f>Deals_Raw!L5</f>
        <v>43891</v>
      </c>
      <c r="M5">
        <f>Deals_Raw!M5</f>
        <v>63</v>
      </c>
      <c r="N5" t="str">
        <f>Deals_Raw!N5</f>
        <v>Nexus Enterprise Suite</v>
      </c>
      <c r="O5" t="str">
        <f>Deals_Raw!O5</f>
        <v>Renewal</v>
      </c>
      <c r="P5">
        <f>Deals_Raw!P5</f>
        <v>0</v>
      </c>
      <c r="Q5">
        <f>Deals_Raw!Q5</f>
        <v>1</v>
      </c>
      <c r="R5">
        <f>Deals_Raw!R5</f>
        <v>54</v>
      </c>
      <c r="S5" t="str">
        <f>Deals_Raw!S5</f>
        <v>M. Johnson</v>
      </c>
      <c r="T5" s="6">
        <f>Deals_Raw!T5</f>
        <v>157663.12800229498</v>
      </c>
      <c r="U5" s="8">
        <f>Deals_Raw!V5</f>
        <v>6.6000000000000003E-2</v>
      </c>
      <c r="V5" s="8">
        <f>Deals_Raw!W5</f>
        <v>0.06</v>
      </c>
      <c r="W5" s="8">
        <f>Deals_Raw!X5</f>
        <v>-0.11899999999999999</v>
      </c>
      <c r="X5" t="str">
        <f>Deals_Raw!Y5</f>
        <v>Renewal retention risk</v>
      </c>
      <c r="Y5" t="str">
        <f>Deals_Raw!Z5</f>
        <v>Sales Manager</v>
      </c>
      <c r="Z5" s="6">
        <f>Deals_Raw!AA5</f>
        <v>148139.39204154958</v>
      </c>
      <c r="AA5" s="6">
        <f>Deals_Raw!AC5</f>
        <v>61223.551327863614</v>
      </c>
      <c r="AB5" s="6">
        <f>Deals_Raw!AD5</f>
        <v>86915.840713685961</v>
      </c>
      <c r="AC5" s="8">
        <f>Deals_Raw!AE5</f>
        <v>0.58671660195087161</v>
      </c>
      <c r="AD5" t="str">
        <f>Deals_Raw!AF5</f>
        <v>Won</v>
      </c>
      <c r="AE5" t="str">
        <f>Deals_Raw!AG5</f>
        <v>Yes</v>
      </c>
      <c r="AF5">
        <f>Deals_Raw!AH5</f>
        <v>0</v>
      </c>
      <c r="AG5" t="str">
        <f>Deals_Raw!AI5</f>
        <v>No</v>
      </c>
      <c r="AH5" s="6">
        <f>Deals_Raw!AJ5</f>
        <v>148139.39204154958</v>
      </c>
      <c r="AI5" s="6">
        <f>Deals_Raw!AK5</f>
        <v>86915.840713685961</v>
      </c>
      <c r="AJ5" t="str">
        <f>Deals_Raw!AL5</f>
        <v>Renewal of existing active contract</v>
      </c>
      <c r="AK5" s="9">
        <f t="shared" ref="AK5:AK68" si="0">YEARFRAC(L5,B5)</f>
        <v>4.802777777777778</v>
      </c>
      <c r="AL5" s="8">
        <f t="shared" ref="AL5:AL68" si="1">IFERROR(Z5/T5,0)</f>
        <v>0.93959439926495203</v>
      </c>
      <c r="AM5" s="8">
        <f t="shared" ref="AM5:AM68" si="2">U5-V5</f>
        <v>6.0000000000000053E-3</v>
      </c>
      <c r="AN5" t="str">
        <f>IF(AC5&lt;Pricing_Policy!$C$10,"Below Floor","Pass")</f>
        <v>Pass</v>
      </c>
      <c r="AO5" t="str">
        <f>IF(V5&gt;Pricing_Policy!$C$7,"Exception","Standard")</f>
        <v>Standard</v>
      </c>
      <c r="AP5" t="str">
        <f t="shared" ref="AP5:AP68" si="3">IF(OR(AND(V5&lt;=0.1,Y5&lt;&gt;"Sales Manager"),AND(V5&gt;0.1,V5&lt;=0.2,Y5&lt;&gt;"Pricing Analyst"),AND(V5&gt;0.2,V5&lt;=0.28,Y5&lt;&gt;"Business Manager"),AND(V5&gt;0.28,Y5&lt;&gt;"VP Pricing")),"Review","Pass")</f>
        <v>Pass</v>
      </c>
      <c r="AQ5">
        <f t="shared" ref="AQ5:AQ68" si="4">IF(AD5="Won",1,0)</f>
        <v>1</v>
      </c>
      <c r="AR5" s="8">
        <f t="shared" ref="AR5:AR68" si="5">IFERROR(AI5/AH5,0)</f>
        <v>0.58671660195087161</v>
      </c>
      <c r="AS5">
        <f t="shared" ref="AS5:AS68" si="6">COUNTIFS($C:$C,C5,$N:$N,N5)</f>
        <v>3</v>
      </c>
    </row>
    <row r="6" spans="1:45">
      <c r="A6" t="str">
        <f>Deals_Raw!A6</f>
        <v>D00004</v>
      </c>
      <c r="B6">
        <f>Deals_Raw!B6</f>
        <v>45863</v>
      </c>
      <c r="C6" t="str">
        <f>Deals_Raw!C6</f>
        <v>C0001</v>
      </c>
      <c r="D6" t="str">
        <f>Deals_Raw!D6</f>
        <v>LEG-0001</v>
      </c>
      <c r="E6" t="str">
        <f>Deals_Raw!E6</f>
        <v>CT00001</v>
      </c>
      <c r="F6" t="str">
        <f>Deals_Raw!F6</f>
        <v>Sales</v>
      </c>
      <c r="G6" t="str">
        <f>Deals_Raw!G6</f>
        <v>Legal</v>
      </c>
      <c r="H6" t="str">
        <f>Deals_Raw!H6</f>
        <v>South</v>
      </c>
      <c r="I6" t="str">
        <f>Deals_Raw!I6</f>
        <v>South Commercial</v>
      </c>
      <c r="J6" t="str">
        <f>Deals_Raw!J6</f>
        <v>SMB</v>
      </c>
      <c r="K6" t="str">
        <f>Deals_Raw!K6</f>
        <v>No</v>
      </c>
      <c r="L6">
        <f>Deals_Raw!L6</f>
        <v>43891</v>
      </c>
      <c r="M6">
        <f>Deals_Raw!M6</f>
        <v>63</v>
      </c>
      <c r="N6" t="str">
        <f>Deals_Raw!N6</f>
        <v>Nexus Enterprise Suite</v>
      </c>
      <c r="O6" t="str">
        <f>Deals_Raw!O6</f>
        <v>Expansion</v>
      </c>
      <c r="P6" t="str">
        <f>Deals_Raw!P6</f>
        <v>Module Add-on</v>
      </c>
      <c r="Q6">
        <f>Deals_Raw!Q6</f>
        <v>1</v>
      </c>
      <c r="R6">
        <f>Deals_Raw!R6</f>
        <v>66</v>
      </c>
      <c r="S6" t="str">
        <f>Deals_Raw!S6</f>
        <v>M. Johnson</v>
      </c>
      <c r="T6" s="6">
        <f>Deals_Raw!T6</f>
        <v>171556.90887757359</v>
      </c>
      <c r="U6" s="8">
        <f>Deals_Raw!V6</f>
        <v>1.2E-2</v>
      </c>
      <c r="V6" s="8">
        <f>Deals_Raw!W6</f>
        <v>1.2E-2</v>
      </c>
      <c r="W6" s="8">
        <f>Deals_Raw!X6</f>
        <v>7.9000000000000001E-2</v>
      </c>
      <c r="X6" t="str">
        <f>Deals_Raw!Y6</f>
        <v>Expansion opportunity</v>
      </c>
      <c r="Y6" t="str">
        <f>Deals_Raw!Z6</f>
        <v>Sales Manager</v>
      </c>
      <c r="Z6" s="6">
        <f>Deals_Raw!AA6</f>
        <v>169511.0573968</v>
      </c>
      <c r="AA6" s="6">
        <f>Deals_Raw!AC6</f>
        <v>59147.752737807554</v>
      </c>
      <c r="AB6" s="6">
        <f>Deals_Raw!AD6</f>
        <v>110363.30465899245</v>
      </c>
      <c r="AC6" s="8">
        <f>Deals_Raw!AE6</f>
        <v>0.65106846924238393</v>
      </c>
      <c r="AD6" t="str">
        <f>Deals_Raw!AF6</f>
        <v>Won</v>
      </c>
      <c r="AE6">
        <f>Deals_Raw!AG6</f>
        <v>0</v>
      </c>
      <c r="AF6" t="str">
        <f>Deals_Raw!AH6</f>
        <v>Yes</v>
      </c>
      <c r="AG6" t="str">
        <f>Deals_Raw!AI6</f>
        <v>No</v>
      </c>
      <c r="AH6" s="6">
        <f>Deals_Raw!AJ6</f>
        <v>169511.0573968</v>
      </c>
      <c r="AI6" s="6">
        <f>Deals_Raw!AK6</f>
        <v>110363.30465899245</v>
      </c>
      <c r="AJ6" t="str">
        <f>Deals_Raw!AL6</f>
        <v>Expansion allowed because contract was active</v>
      </c>
      <c r="AK6" s="9">
        <f t="shared" si="0"/>
        <v>5.4</v>
      </c>
      <c r="AL6" s="8">
        <f t="shared" si="1"/>
        <v>0.9880747939901765</v>
      </c>
      <c r="AM6" s="8">
        <f t="shared" si="2"/>
        <v>0</v>
      </c>
      <c r="AN6" t="str">
        <f>IF(AC6&lt;Pricing_Policy!$C$10,"Below Floor","Pass")</f>
        <v>Pass</v>
      </c>
      <c r="AO6" t="str">
        <f>IF(V6&gt;Pricing_Policy!$C$7,"Exception","Standard")</f>
        <v>Standard</v>
      </c>
      <c r="AP6" t="str">
        <f t="shared" si="3"/>
        <v>Pass</v>
      </c>
      <c r="AQ6">
        <f t="shared" si="4"/>
        <v>1</v>
      </c>
      <c r="AR6" s="8">
        <f t="shared" si="5"/>
        <v>0.65106846924238393</v>
      </c>
      <c r="AS6">
        <f t="shared" si="6"/>
        <v>3</v>
      </c>
    </row>
    <row r="7" spans="1:45">
      <c r="A7" t="str">
        <f>Deals_Raw!A7</f>
        <v>D00005</v>
      </c>
      <c r="B7">
        <f>Deals_Raw!B7</f>
        <v>46011</v>
      </c>
      <c r="C7" t="str">
        <f>Deals_Raw!C7</f>
        <v>C0001</v>
      </c>
      <c r="D7" t="str">
        <f>Deals_Raw!D7</f>
        <v>LEG-0001</v>
      </c>
      <c r="E7" t="str">
        <f>Deals_Raw!E7</f>
        <v>CT00001</v>
      </c>
      <c r="F7" t="str">
        <f>Deals_Raw!F7</f>
        <v>Sales</v>
      </c>
      <c r="G7" t="str">
        <f>Deals_Raw!G7</f>
        <v>Legal</v>
      </c>
      <c r="H7" t="str">
        <f>Deals_Raw!H7</f>
        <v>South</v>
      </c>
      <c r="I7" t="str">
        <f>Deals_Raw!I7</f>
        <v>South Commercial</v>
      </c>
      <c r="J7" t="str">
        <f>Deals_Raw!J7</f>
        <v>SMB</v>
      </c>
      <c r="K7" t="str">
        <f>Deals_Raw!K7</f>
        <v>No</v>
      </c>
      <c r="L7">
        <f>Deals_Raw!L7</f>
        <v>43891</v>
      </c>
      <c r="M7">
        <f>Deals_Raw!M7</f>
        <v>63</v>
      </c>
      <c r="N7" t="str">
        <f>Deals_Raw!N7</f>
        <v>Nexus Enterprise Suite</v>
      </c>
      <c r="O7" t="str">
        <f>Deals_Raw!O7</f>
        <v>Renewal</v>
      </c>
      <c r="P7">
        <f>Deals_Raw!P7</f>
        <v>0</v>
      </c>
      <c r="Q7">
        <f>Deals_Raw!Q7</f>
        <v>1</v>
      </c>
      <c r="R7">
        <f>Deals_Raw!R7</f>
        <v>66</v>
      </c>
      <c r="S7" t="str">
        <f>Deals_Raw!S7</f>
        <v>T. Brooks</v>
      </c>
      <c r="T7" s="6">
        <f>Deals_Raw!T7</f>
        <v>183149.11141123963</v>
      </c>
      <c r="U7" s="8">
        <f>Deals_Raw!V7</f>
        <v>0.16700000000000001</v>
      </c>
      <c r="V7" s="8">
        <f>Deals_Raw!W7</f>
        <v>0.14799999999999999</v>
      </c>
      <c r="W7" s="8">
        <f>Deals_Raw!X7</f>
        <v>-0.02</v>
      </c>
      <c r="X7" t="str">
        <f>Deals_Raw!Y7</f>
        <v>Renewal retention risk</v>
      </c>
      <c r="Y7" t="str">
        <f>Deals_Raw!Z7</f>
        <v>Pricing Analyst</v>
      </c>
      <c r="Z7" s="6">
        <f>Deals_Raw!AA7</f>
        <v>155982.6312272042</v>
      </c>
      <c r="AA7" s="6">
        <f>Deals_Raw!AC7</f>
        <v>64410.548762706043</v>
      </c>
      <c r="AB7" s="6">
        <f>Deals_Raw!AD7</f>
        <v>91572.082464498148</v>
      </c>
      <c r="AC7" s="8">
        <f>Deals_Raw!AE7</f>
        <v>0.58706589152938649</v>
      </c>
      <c r="AD7" t="str">
        <f>Deals_Raw!AF7</f>
        <v>Won</v>
      </c>
      <c r="AE7" t="str">
        <f>Deals_Raw!AG7</f>
        <v>Yes</v>
      </c>
      <c r="AF7">
        <f>Deals_Raw!AH7</f>
        <v>0</v>
      </c>
      <c r="AG7" t="str">
        <f>Deals_Raw!AI7</f>
        <v>No</v>
      </c>
      <c r="AH7" s="6">
        <f>Deals_Raw!AJ7</f>
        <v>155982.6312272042</v>
      </c>
      <c r="AI7" s="6">
        <f>Deals_Raw!AK7</f>
        <v>91572.082464498148</v>
      </c>
      <c r="AJ7" t="str">
        <f>Deals_Raw!AL7</f>
        <v>Renewal of existing active contract</v>
      </c>
      <c r="AK7" s="9">
        <f t="shared" si="0"/>
        <v>5.802777777777778</v>
      </c>
      <c r="AL7" s="8">
        <f t="shared" si="1"/>
        <v>0.8516701502141808</v>
      </c>
      <c r="AM7" s="8">
        <f t="shared" si="2"/>
        <v>1.9000000000000017E-2</v>
      </c>
      <c r="AN7" t="str">
        <f>IF(AC7&lt;Pricing_Policy!$C$10,"Below Floor","Pass")</f>
        <v>Pass</v>
      </c>
      <c r="AO7" t="str">
        <f>IF(V7&gt;Pricing_Policy!$C$7,"Exception","Standard")</f>
        <v>Standard</v>
      </c>
      <c r="AP7" t="str">
        <f t="shared" si="3"/>
        <v>Pass</v>
      </c>
      <c r="AQ7">
        <f t="shared" si="4"/>
        <v>1</v>
      </c>
      <c r="AR7" s="8">
        <f t="shared" si="5"/>
        <v>0.58706589152938649</v>
      </c>
      <c r="AS7">
        <f t="shared" si="6"/>
        <v>3</v>
      </c>
    </row>
    <row r="8" spans="1:45">
      <c r="A8" t="str">
        <f>Deals_Raw!A8</f>
        <v>D00006</v>
      </c>
      <c r="B8">
        <f>Deals_Raw!B8</f>
        <v>45578</v>
      </c>
      <c r="C8" t="str">
        <f>Deals_Raw!C8</f>
        <v>C0002</v>
      </c>
      <c r="D8" t="str">
        <f>Deals_Raw!D8</f>
        <v>LEG-0002</v>
      </c>
      <c r="E8" t="str">
        <f>Deals_Raw!E8</f>
        <v>CT00002</v>
      </c>
      <c r="F8" t="str">
        <f>Deals_Raw!F8</f>
        <v>Finance</v>
      </c>
      <c r="G8" t="str">
        <f>Deals_Raw!G8</f>
        <v>Legal</v>
      </c>
      <c r="H8" t="str">
        <f>Deals_Raw!H8</f>
        <v>South</v>
      </c>
      <c r="I8" t="str">
        <f>Deals_Raw!I8</f>
        <v>South Enterprise</v>
      </c>
      <c r="J8" t="str">
        <f>Deals_Raw!J8</f>
        <v>Enterprise</v>
      </c>
      <c r="K8" t="str">
        <f>Deals_Raw!K8</f>
        <v>Yes</v>
      </c>
      <c r="L8">
        <f>Deals_Raw!L8</f>
        <v>44958</v>
      </c>
      <c r="M8">
        <f>Deals_Raw!M8</f>
        <v>74</v>
      </c>
      <c r="N8" t="str">
        <f>Deals_Raw!N8</f>
        <v>Nexus Enterprise Suite</v>
      </c>
      <c r="O8" t="str">
        <f>Deals_Raw!O8</f>
        <v>New Business</v>
      </c>
      <c r="P8">
        <f>Deals_Raw!P8</f>
        <v>0</v>
      </c>
      <c r="Q8">
        <f>Deals_Raw!Q8</f>
        <v>1</v>
      </c>
      <c r="R8">
        <f>Deals_Raw!R8</f>
        <v>1133</v>
      </c>
      <c r="S8" t="str">
        <f>Deals_Raw!S8</f>
        <v>R. Singh</v>
      </c>
      <c r="T8" s="6">
        <f>Deals_Raw!T8</f>
        <v>448091.47124297486</v>
      </c>
      <c r="U8" s="8">
        <f>Deals_Raw!V8</f>
        <v>0.21099999999999999</v>
      </c>
      <c r="V8" s="8">
        <f>Deals_Raw!W8</f>
        <v>0.2</v>
      </c>
      <c r="W8" s="8">
        <f>Deals_Raw!X8</f>
        <v>0.104</v>
      </c>
      <c r="X8" t="str">
        <f>Deals_Raw!Y8</f>
        <v>Renewal retention risk</v>
      </c>
      <c r="Y8" t="str">
        <f>Deals_Raw!Z8</f>
        <v>Business Manager</v>
      </c>
      <c r="Z8" s="6">
        <f>Deals_Raw!AA8</f>
        <v>358284.32269580435</v>
      </c>
      <c r="AA8" s="6">
        <f>Deals_Raw!AC8</f>
        <v>180745.64098437526</v>
      </c>
      <c r="AB8" s="6">
        <f>Deals_Raw!AD8</f>
        <v>177538.68171142909</v>
      </c>
      <c r="AC8" s="8">
        <f>Deals_Raw!AE8</f>
        <v>0.49552456098439313</v>
      </c>
      <c r="AD8" t="str">
        <f>Deals_Raw!AF8</f>
        <v>Won</v>
      </c>
      <c r="AE8">
        <f>Deals_Raw!AG8</f>
        <v>0</v>
      </c>
      <c r="AF8">
        <f>Deals_Raw!AH8</f>
        <v>0</v>
      </c>
      <c r="AG8" t="str">
        <f>Deals_Raw!AI8</f>
        <v>No</v>
      </c>
      <c r="AH8" s="6">
        <f>Deals_Raw!AJ8</f>
        <v>358284.32269580435</v>
      </c>
      <c r="AI8" s="6">
        <f>Deals_Raw!AK8</f>
        <v>177538.68171142909</v>
      </c>
      <c r="AJ8" t="str">
        <f>Deals_Raw!AL8</f>
        <v>First purchase under this contract</v>
      </c>
      <c r="AK8" s="9">
        <f t="shared" si="0"/>
        <v>1.7</v>
      </c>
      <c r="AL8" s="8">
        <f t="shared" si="1"/>
        <v>0.79957853627954201</v>
      </c>
      <c r="AM8" s="8">
        <f t="shared" si="2"/>
        <v>1.0999999999999982E-2</v>
      </c>
      <c r="AN8" t="str">
        <f>IF(AC8&lt;Pricing_Policy!$C$10,"Below Floor","Pass")</f>
        <v>Pass</v>
      </c>
      <c r="AO8" t="str">
        <f>IF(V8&gt;Pricing_Policy!$C$7,"Exception","Standard")</f>
        <v>Standard</v>
      </c>
      <c r="AP8" t="str">
        <f t="shared" si="3"/>
        <v>Review</v>
      </c>
      <c r="AQ8">
        <f t="shared" si="4"/>
        <v>1</v>
      </c>
      <c r="AR8" s="8">
        <f t="shared" si="5"/>
        <v>0.49552456098439313</v>
      </c>
      <c r="AS8">
        <f t="shared" si="6"/>
        <v>2</v>
      </c>
    </row>
    <row r="9" spans="1:45">
      <c r="A9" t="str">
        <f>Deals_Raw!A9</f>
        <v>D00007</v>
      </c>
      <c r="B9">
        <f>Deals_Raw!B9</f>
        <v>45943</v>
      </c>
      <c r="C9" t="str">
        <f>Deals_Raw!C9</f>
        <v>C0002</v>
      </c>
      <c r="D9" t="str">
        <f>Deals_Raw!D9</f>
        <v>LEG-0002</v>
      </c>
      <c r="E9" t="str">
        <f>Deals_Raw!E9</f>
        <v>CT00002</v>
      </c>
      <c r="F9" t="str">
        <f>Deals_Raw!F9</f>
        <v>Finance</v>
      </c>
      <c r="G9" t="str">
        <f>Deals_Raw!G9</f>
        <v>Legal</v>
      </c>
      <c r="H9" t="str">
        <f>Deals_Raw!H9</f>
        <v>South</v>
      </c>
      <c r="I9" t="str">
        <f>Deals_Raw!I9</f>
        <v>South Enterprise</v>
      </c>
      <c r="J9" t="str">
        <f>Deals_Raw!J9</f>
        <v>Enterprise</v>
      </c>
      <c r="K9" t="str">
        <f>Deals_Raw!K9</f>
        <v>Yes</v>
      </c>
      <c r="L9">
        <f>Deals_Raw!L9</f>
        <v>44958</v>
      </c>
      <c r="M9">
        <f>Deals_Raw!M9</f>
        <v>74</v>
      </c>
      <c r="N9" t="str">
        <f>Deals_Raw!N9</f>
        <v>Nexus Enterprise Suite</v>
      </c>
      <c r="O9" t="str">
        <f>Deals_Raw!O9</f>
        <v>Renewal</v>
      </c>
      <c r="P9">
        <f>Deals_Raw!P9</f>
        <v>0</v>
      </c>
      <c r="Q9">
        <f>Deals_Raw!Q9</f>
        <v>1</v>
      </c>
      <c r="R9">
        <f>Deals_Raw!R9</f>
        <v>1133</v>
      </c>
      <c r="S9" t="str">
        <f>Deals_Raw!S9</f>
        <v>L. Williams</v>
      </c>
      <c r="T9" s="6">
        <f>Deals_Raw!T9</f>
        <v>470220.96392130462</v>
      </c>
      <c r="U9" s="8">
        <f>Deals_Raw!V9</f>
        <v>0.14699999999999999</v>
      </c>
      <c r="V9" s="8">
        <f>Deals_Raw!W9</f>
        <v>8.8999999999999996E-2</v>
      </c>
      <c r="W9" s="8">
        <f>Deals_Raw!X9</f>
        <v>-8.5999999999999993E-2</v>
      </c>
      <c r="X9" t="str">
        <f>Deals_Raw!Y9</f>
        <v>Multi-year commitment</v>
      </c>
      <c r="Y9" t="str">
        <f>Deals_Raw!Z9</f>
        <v>Sales Manager</v>
      </c>
      <c r="Z9" s="6">
        <f>Deals_Raw!AA9</f>
        <v>428472.21491252095</v>
      </c>
      <c r="AA9" s="6">
        <f>Deals_Raw!AC9</f>
        <v>163165.18136822677</v>
      </c>
      <c r="AB9" s="6">
        <f>Deals_Raw!AD9</f>
        <v>265307.03354429419</v>
      </c>
      <c r="AC9" s="8">
        <f>Deals_Raw!AE9</f>
        <v>0.61919308723078015</v>
      </c>
      <c r="AD9" t="str">
        <f>Deals_Raw!AF9</f>
        <v>Won</v>
      </c>
      <c r="AE9" t="str">
        <f>Deals_Raw!AG9</f>
        <v>Yes</v>
      </c>
      <c r="AF9">
        <f>Deals_Raw!AH9</f>
        <v>0</v>
      </c>
      <c r="AG9" t="str">
        <f>Deals_Raw!AI9</f>
        <v>No</v>
      </c>
      <c r="AH9" s="6">
        <f>Deals_Raw!AJ9</f>
        <v>428472.21491252095</v>
      </c>
      <c r="AI9" s="6">
        <f>Deals_Raw!AK9</f>
        <v>265307.03354429419</v>
      </c>
      <c r="AJ9" t="str">
        <f>Deals_Raw!AL9</f>
        <v>Renewal of existing active contract</v>
      </c>
      <c r="AK9" s="9">
        <f t="shared" si="0"/>
        <v>2.7</v>
      </c>
      <c r="AL9" s="8">
        <f t="shared" si="1"/>
        <v>0.91121461565509732</v>
      </c>
      <c r="AM9" s="8">
        <f t="shared" si="2"/>
        <v>5.7999999999999996E-2</v>
      </c>
      <c r="AN9" t="str">
        <f>IF(AC9&lt;Pricing_Policy!$C$10,"Below Floor","Pass")</f>
        <v>Pass</v>
      </c>
      <c r="AO9" t="str">
        <f>IF(V9&gt;Pricing_Policy!$C$7,"Exception","Standard")</f>
        <v>Standard</v>
      </c>
      <c r="AP9" t="str">
        <f t="shared" si="3"/>
        <v>Pass</v>
      </c>
      <c r="AQ9">
        <f t="shared" si="4"/>
        <v>1</v>
      </c>
      <c r="AR9" s="8">
        <f t="shared" si="5"/>
        <v>0.61919308723078015</v>
      </c>
      <c r="AS9">
        <f t="shared" si="6"/>
        <v>2</v>
      </c>
    </row>
    <row r="10" spans="1:45">
      <c r="A10" t="str">
        <f>Deals_Raw!A10</f>
        <v>D00008</v>
      </c>
      <c r="B10">
        <f>Deals_Raw!B10</f>
        <v>45872</v>
      </c>
      <c r="C10" t="str">
        <f>Deals_Raw!C10</f>
        <v>C0003</v>
      </c>
      <c r="D10" t="str">
        <f>Deals_Raw!D10</f>
        <v>TEC-0003</v>
      </c>
      <c r="E10" t="str">
        <f>Deals_Raw!E10</f>
        <v>CT00004</v>
      </c>
      <c r="F10" t="str">
        <f>Deals_Raw!F10</f>
        <v>Legal</v>
      </c>
      <c r="G10" t="str">
        <f>Deals_Raw!G10</f>
        <v>Technology</v>
      </c>
      <c r="H10" t="str">
        <f>Deals_Raw!H10</f>
        <v>Northeast</v>
      </c>
      <c r="I10" t="str">
        <f>Deals_Raw!I10</f>
        <v>Northeast Commercial</v>
      </c>
      <c r="J10" t="str">
        <f>Deals_Raw!J10</f>
        <v>SMB</v>
      </c>
      <c r="K10" t="str">
        <f>Deals_Raw!K10</f>
        <v>No</v>
      </c>
      <c r="L10">
        <f>Deals_Raw!L10</f>
        <v>44256</v>
      </c>
      <c r="M10">
        <f>Deals_Raw!M10</f>
        <v>87</v>
      </c>
      <c r="N10" t="str">
        <f>Deals_Raw!N10</f>
        <v>Nexus Insights</v>
      </c>
      <c r="O10" t="str">
        <f>Deals_Raw!O10</f>
        <v>Expansion</v>
      </c>
      <c r="P10" t="str">
        <f>Deals_Raw!P10</f>
        <v>Storage / Usage Expansion</v>
      </c>
      <c r="Q10">
        <f>Deals_Raw!Q10</f>
        <v>3</v>
      </c>
      <c r="R10">
        <f>Deals_Raw!R10</f>
        <v>30</v>
      </c>
      <c r="S10" t="str">
        <f>Deals_Raw!S10</f>
        <v>A. Patel</v>
      </c>
      <c r="T10" s="6">
        <f>Deals_Raw!T10</f>
        <v>30632.964392191396</v>
      </c>
      <c r="U10" s="8">
        <f>Deals_Raw!V10</f>
        <v>0.14799999999999999</v>
      </c>
      <c r="V10" s="8">
        <f>Deals_Raw!W10</f>
        <v>0.13700000000000001</v>
      </c>
      <c r="W10" s="8">
        <f>Deals_Raw!X10</f>
        <v>5.3999999999999999E-2</v>
      </c>
      <c r="X10" t="str">
        <f>Deals_Raw!Y10</f>
        <v>Expansion opportunity</v>
      </c>
      <c r="Y10" t="str">
        <f>Deals_Raw!Z10</f>
        <v>Pricing Analyst</v>
      </c>
      <c r="Z10" s="6">
        <f>Deals_Raw!AA10</f>
        <v>26446.113398962745</v>
      </c>
      <c r="AA10" s="6">
        <f>Deals_Raw!AC10</f>
        <v>8043.5155085434781</v>
      </c>
      <c r="AB10" s="6">
        <f>Deals_Raw!AD10</f>
        <v>18402.597890419267</v>
      </c>
      <c r="AC10" s="8">
        <f>Deals_Raw!AE10</f>
        <v>0.69585264242045652</v>
      </c>
      <c r="AD10" t="str">
        <f>Deals_Raw!AF10</f>
        <v>Won</v>
      </c>
      <c r="AE10">
        <f>Deals_Raw!AG10</f>
        <v>0</v>
      </c>
      <c r="AF10" t="str">
        <f>Deals_Raw!AH10</f>
        <v>Yes</v>
      </c>
      <c r="AG10" t="str">
        <f>Deals_Raw!AI10</f>
        <v>No</v>
      </c>
      <c r="AH10" s="6">
        <f>Deals_Raw!AJ10</f>
        <v>26446.113398962745</v>
      </c>
      <c r="AI10" s="6">
        <f>Deals_Raw!AK10</f>
        <v>18402.597890419267</v>
      </c>
      <c r="AJ10" t="str">
        <f>Deals_Raw!AL10</f>
        <v>Expansion allowed because contract was active</v>
      </c>
      <c r="AK10" s="9">
        <f t="shared" si="0"/>
        <v>4.4222222222222225</v>
      </c>
      <c r="AL10" s="8">
        <f t="shared" si="1"/>
        <v>0.86332204289389913</v>
      </c>
      <c r="AM10" s="8">
        <f t="shared" si="2"/>
        <v>1.0999999999999982E-2</v>
      </c>
      <c r="AN10" t="str">
        <f>IF(AC10&lt;Pricing_Policy!$C$10,"Below Floor","Pass")</f>
        <v>Pass</v>
      </c>
      <c r="AO10" t="str">
        <f>IF(V10&gt;Pricing_Policy!$C$7,"Exception","Standard")</f>
        <v>Standard</v>
      </c>
      <c r="AP10" t="str">
        <f t="shared" si="3"/>
        <v>Pass</v>
      </c>
      <c r="AQ10">
        <f t="shared" si="4"/>
        <v>1</v>
      </c>
      <c r="AR10" s="8">
        <f t="shared" si="5"/>
        <v>0.69585264242045652</v>
      </c>
      <c r="AS10">
        <f t="shared" si="6"/>
        <v>2</v>
      </c>
    </row>
    <row r="11" spans="1:45">
      <c r="A11" t="str">
        <f>Deals_Raw!A11</f>
        <v>D00009</v>
      </c>
      <c r="B11">
        <f>Deals_Raw!B11</f>
        <v>46012</v>
      </c>
      <c r="C11" t="str">
        <f>Deals_Raw!C11</f>
        <v>C0003</v>
      </c>
      <c r="D11" t="str">
        <f>Deals_Raw!D11</f>
        <v>TEC-0003</v>
      </c>
      <c r="E11" t="str">
        <f>Deals_Raw!E11</f>
        <v>CT00004</v>
      </c>
      <c r="F11" t="str">
        <f>Deals_Raw!F11</f>
        <v>Legal</v>
      </c>
      <c r="G11" t="str">
        <f>Deals_Raw!G11</f>
        <v>Technology</v>
      </c>
      <c r="H11" t="str">
        <f>Deals_Raw!H11</f>
        <v>Northeast</v>
      </c>
      <c r="I11" t="str">
        <f>Deals_Raw!I11</f>
        <v>Northeast Commercial</v>
      </c>
      <c r="J11" t="str">
        <f>Deals_Raw!J11</f>
        <v>SMB</v>
      </c>
      <c r="K11" t="str">
        <f>Deals_Raw!K11</f>
        <v>No</v>
      </c>
      <c r="L11">
        <f>Deals_Raw!L11</f>
        <v>44256</v>
      </c>
      <c r="M11">
        <f>Deals_Raw!M11</f>
        <v>87</v>
      </c>
      <c r="N11" t="str">
        <f>Deals_Raw!N11</f>
        <v>Nexus Insights</v>
      </c>
      <c r="O11" t="str">
        <f>Deals_Raw!O11</f>
        <v>Renewal</v>
      </c>
      <c r="P11">
        <f>Deals_Raw!P11</f>
        <v>0</v>
      </c>
      <c r="Q11">
        <f>Deals_Raw!Q11</f>
        <v>3</v>
      </c>
      <c r="R11">
        <f>Deals_Raw!R11</f>
        <v>30</v>
      </c>
      <c r="S11" t="str">
        <f>Deals_Raw!S11</f>
        <v>M. Johnson</v>
      </c>
      <c r="T11" s="6">
        <f>Deals_Raw!T11</f>
        <v>33055.575918723778</v>
      </c>
      <c r="U11" s="8">
        <f>Deals_Raw!V11</f>
        <v>0.154</v>
      </c>
      <c r="V11" s="8">
        <f>Deals_Raw!W11</f>
        <v>0.12</v>
      </c>
      <c r="W11" s="8">
        <f>Deals_Raw!X11</f>
        <v>-8.1000000000000003E-2</v>
      </c>
      <c r="X11" t="str">
        <f>Deals_Raw!Y11</f>
        <v>Verified competitor pressure</v>
      </c>
      <c r="Y11" t="str">
        <f>Deals_Raw!Z11</f>
        <v>Pricing Analyst</v>
      </c>
      <c r="Z11" s="6">
        <f>Deals_Raw!AA11</f>
        <v>29083.189948800449</v>
      </c>
      <c r="AA11" s="6">
        <f>Deals_Raw!AC11</f>
        <v>8527.9708061335223</v>
      </c>
      <c r="AB11" s="6">
        <f>Deals_Raw!AD11</f>
        <v>20555.219142666927</v>
      </c>
      <c r="AC11" s="8">
        <f>Deals_Raw!AE11</f>
        <v>0.70677319712360975</v>
      </c>
      <c r="AD11" t="str">
        <f>Deals_Raw!AF11</f>
        <v>Won</v>
      </c>
      <c r="AE11" t="str">
        <f>Deals_Raw!AG11</f>
        <v>Yes</v>
      </c>
      <c r="AF11">
        <f>Deals_Raw!AH11</f>
        <v>0</v>
      </c>
      <c r="AG11" t="str">
        <f>Deals_Raw!AI11</f>
        <v>No</v>
      </c>
      <c r="AH11" s="6">
        <f>Deals_Raw!AJ11</f>
        <v>29083.189948800449</v>
      </c>
      <c r="AI11" s="6">
        <f>Deals_Raw!AK11</f>
        <v>20555.219142666927</v>
      </c>
      <c r="AJ11" t="str">
        <f>Deals_Raw!AL11</f>
        <v>Renewal of existing active contract</v>
      </c>
      <c r="AK11" s="9">
        <f t="shared" si="0"/>
        <v>4.8055555555555554</v>
      </c>
      <c r="AL11" s="8">
        <f t="shared" si="1"/>
        <v>0.87982705309111742</v>
      </c>
      <c r="AM11" s="8">
        <f t="shared" si="2"/>
        <v>3.4000000000000002E-2</v>
      </c>
      <c r="AN11" t="str">
        <f>IF(AC11&lt;Pricing_Policy!$C$10,"Below Floor","Pass")</f>
        <v>Pass</v>
      </c>
      <c r="AO11" t="str">
        <f>IF(V11&gt;Pricing_Policy!$C$7,"Exception","Standard")</f>
        <v>Standard</v>
      </c>
      <c r="AP11" t="str">
        <f t="shared" si="3"/>
        <v>Pass</v>
      </c>
      <c r="AQ11">
        <f t="shared" si="4"/>
        <v>1</v>
      </c>
      <c r="AR11" s="8">
        <f t="shared" si="5"/>
        <v>0.70677319712360975</v>
      </c>
      <c r="AS11">
        <f t="shared" si="6"/>
        <v>2</v>
      </c>
    </row>
    <row r="12" spans="1:45">
      <c r="A12" t="str">
        <f>Deals_Raw!A12</f>
        <v>D00010</v>
      </c>
      <c r="B12">
        <f>Deals_Raw!B12</f>
        <v>45567</v>
      </c>
      <c r="C12" t="str">
        <f>Deals_Raw!C12</f>
        <v>C0004</v>
      </c>
      <c r="D12" t="str">
        <f>Deals_Raw!D12</f>
        <v>FIN-0004</v>
      </c>
      <c r="E12" t="str">
        <f>Deals_Raw!E12</f>
        <v>CT00005</v>
      </c>
      <c r="F12" t="str">
        <f>Deals_Raw!F12</f>
        <v>Finance</v>
      </c>
      <c r="G12" t="str">
        <f>Deals_Raw!G12</f>
        <v>Financial Services</v>
      </c>
      <c r="H12" t="str">
        <f>Deals_Raw!H12</f>
        <v>West</v>
      </c>
      <c r="I12" t="str">
        <f>Deals_Raw!I12</f>
        <v>West Commercial</v>
      </c>
      <c r="J12" t="str">
        <f>Deals_Raw!J12</f>
        <v>Mid-Market</v>
      </c>
      <c r="K12" t="str">
        <f>Deals_Raw!K12</f>
        <v>No</v>
      </c>
      <c r="L12">
        <f>Deals_Raw!L12</f>
        <v>45383</v>
      </c>
      <c r="M12">
        <f>Deals_Raw!M12</f>
        <v>50</v>
      </c>
      <c r="N12" t="str">
        <f>Deals_Raw!N12</f>
        <v>Nexus AI Assistant</v>
      </c>
      <c r="O12" t="str">
        <f>Deals_Raw!O12</f>
        <v>New Business</v>
      </c>
      <c r="P12">
        <f>Deals_Raw!P12</f>
        <v>0</v>
      </c>
      <c r="Q12">
        <f>Deals_Raw!Q12</f>
        <v>3</v>
      </c>
      <c r="R12">
        <f>Deals_Raw!R12</f>
        <v>176</v>
      </c>
      <c r="S12" t="str">
        <f>Deals_Raw!S12</f>
        <v>R. Singh</v>
      </c>
      <c r="T12" s="6">
        <f>Deals_Raw!T12</f>
        <v>64148.04011655935</v>
      </c>
      <c r="U12" s="8">
        <f>Deals_Raw!V12</f>
        <v>0.189</v>
      </c>
      <c r="V12" s="8">
        <f>Deals_Raw!W12</f>
        <v>0.188</v>
      </c>
      <c r="W12" s="8">
        <f>Deals_Raw!X12</f>
        <v>-1.2999999999999999E-2</v>
      </c>
      <c r="X12" t="str">
        <f>Deals_Raw!Y12</f>
        <v>Verified competitor pressure</v>
      </c>
      <c r="Y12" t="str">
        <f>Deals_Raw!Z12</f>
        <v>Pricing Analyst</v>
      </c>
      <c r="Z12" s="6">
        <f>Deals_Raw!AA12</f>
        <v>52095.758017692533</v>
      </c>
      <c r="AA12" s="6">
        <f>Deals_Raw!AC12</f>
        <v>27124.236481101369</v>
      </c>
      <c r="AB12" s="6">
        <f>Deals_Raw!AD12</f>
        <v>24971.521536591164</v>
      </c>
      <c r="AC12" s="8">
        <f>Deals_Raw!AE12</f>
        <v>0.4793388653277767</v>
      </c>
      <c r="AD12" t="str">
        <f>Deals_Raw!AF12</f>
        <v>Won</v>
      </c>
      <c r="AE12">
        <f>Deals_Raw!AG12</f>
        <v>0</v>
      </c>
      <c r="AF12">
        <f>Deals_Raw!AH12</f>
        <v>0</v>
      </c>
      <c r="AG12" t="str">
        <f>Deals_Raw!AI12</f>
        <v>No</v>
      </c>
      <c r="AH12" s="6">
        <f>Deals_Raw!AJ12</f>
        <v>52095.758017692533</v>
      </c>
      <c r="AI12" s="6">
        <f>Deals_Raw!AK12</f>
        <v>24971.521536591164</v>
      </c>
      <c r="AJ12" t="str">
        <f>Deals_Raw!AL12</f>
        <v>First purchase under this contract</v>
      </c>
      <c r="AK12" s="9">
        <f t="shared" si="0"/>
        <v>0.50277777777777777</v>
      </c>
      <c r="AL12" s="8">
        <f t="shared" si="1"/>
        <v>0.81211768782074434</v>
      </c>
      <c r="AM12" s="8">
        <f t="shared" si="2"/>
        <v>1.0000000000000009E-3</v>
      </c>
      <c r="AN12" t="str">
        <f>IF(AC12&lt;Pricing_Policy!$C$10,"Below Floor","Pass")</f>
        <v>Pass</v>
      </c>
      <c r="AO12" t="str">
        <f>IF(V12&gt;Pricing_Policy!$C$7,"Exception","Standard")</f>
        <v>Standard</v>
      </c>
      <c r="AP12" t="str">
        <f t="shared" si="3"/>
        <v>Pass</v>
      </c>
      <c r="AQ12">
        <f t="shared" si="4"/>
        <v>1</v>
      </c>
      <c r="AR12" s="8">
        <f t="shared" si="5"/>
        <v>0.4793388653277767</v>
      </c>
      <c r="AS12">
        <f t="shared" si="6"/>
        <v>1</v>
      </c>
    </row>
    <row r="13" spans="1:45">
      <c r="A13" t="str">
        <f>Deals_Raw!A13</f>
        <v>D00011</v>
      </c>
      <c r="B13">
        <f>Deals_Raw!B13</f>
        <v>45821</v>
      </c>
      <c r="C13" t="str">
        <f>Deals_Raw!C13</f>
        <v>C0004</v>
      </c>
      <c r="D13" t="str">
        <f>Deals_Raw!D13</f>
        <v>FIN-0004</v>
      </c>
      <c r="E13" t="str">
        <f>Deals_Raw!E13</f>
        <v>CT00006</v>
      </c>
      <c r="F13" t="str">
        <f>Deals_Raw!F13</f>
        <v>Legal</v>
      </c>
      <c r="G13" t="str">
        <f>Deals_Raw!G13</f>
        <v>Financial Services</v>
      </c>
      <c r="H13" t="str">
        <f>Deals_Raw!H13</f>
        <v>West</v>
      </c>
      <c r="I13" t="str">
        <f>Deals_Raw!I13</f>
        <v>West Commercial</v>
      </c>
      <c r="J13" t="str">
        <f>Deals_Raw!J13</f>
        <v>Mid-Market</v>
      </c>
      <c r="K13" t="str">
        <f>Deals_Raw!K13</f>
        <v>No</v>
      </c>
      <c r="L13">
        <f>Deals_Raw!L13</f>
        <v>45383</v>
      </c>
      <c r="M13">
        <f>Deals_Raw!M13</f>
        <v>50</v>
      </c>
      <c r="N13" t="str">
        <f>Deals_Raw!N13</f>
        <v>Nexus Enterprise Suite</v>
      </c>
      <c r="O13" t="str">
        <f>Deals_Raw!O13</f>
        <v>New Business</v>
      </c>
      <c r="P13">
        <f>Deals_Raw!P13</f>
        <v>0</v>
      </c>
      <c r="Q13">
        <f>Deals_Raw!Q13</f>
        <v>1</v>
      </c>
      <c r="R13">
        <f>Deals_Raw!R13</f>
        <v>141</v>
      </c>
      <c r="S13" t="str">
        <f>Deals_Raw!S13</f>
        <v>L. Williams</v>
      </c>
      <c r="T13" s="6">
        <f>Deals_Raw!T13</f>
        <v>223858.22975661725</v>
      </c>
      <c r="U13" s="8">
        <f>Deals_Raw!V13</f>
        <v>0.16700000000000001</v>
      </c>
      <c r="V13" s="8">
        <f>Deals_Raw!W13</f>
        <v>0.11899999999999999</v>
      </c>
      <c r="W13" s="8">
        <f>Deals_Raw!X13</f>
        <v>-4.9000000000000002E-2</v>
      </c>
      <c r="X13" t="str">
        <f>Deals_Raw!Y13</f>
        <v>Strategic logo opportunity</v>
      </c>
      <c r="Y13" t="str">
        <f>Deals_Raw!Z13</f>
        <v>Pricing Analyst</v>
      </c>
      <c r="Z13" s="6">
        <f>Deals_Raw!AA13</f>
        <v>197151.9264884225</v>
      </c>
      <c r="AA13" s="6">
        <f>Deals_Raw!AC13</f>
        <v>94186.983493616368</v>
      </c>
      <c r="AB13" s="6">
        <f>Deals_Raw!AD13</f>
        <v>102964.94299480613</v>
      </c>
      <c r="AC13" s="8">
        <f>Deals_Raw!AE13</f>
        <v>0.52226191662830446</v>
      </c>
      <c r="AD13" t="str">
        <f>Deals_Raw!AF13</f>
        <v>Won</v>
      </c>
      <c r="AE13">
        <f>Deals_Raw!AG13</f>
        <v>0</v>
      </c>
      <c r="AF13">
        <f>Deals_Raw!AH13</f>
        <v>0</v>
      </c>
      <c r="AG13" t="str">
        <f>Deals_Raw!AI13</f>
        <v>No</v>
      </c>
      <c r="AH13" s="6">
        <f>Deals_Raw!AJ13</f>
        <v>197151.9264884225</v>
      </c>
      <c r="AI13" s="6">
        <f>Deals_Raw!AK13</f>
        <v>102964.94299480613</v>
      </c>
      <c r="AJ13" t="str">
        <f>Deals_Raw!AL13</f>
        <v>First purchase under this contract</v>
      </c>
      <c r="AK13" s="9">
        <f t="shared" si="0"/>
        <v>1.2</v>
      </c>
      <c r="AL13" s="8">
        <f t="shared" si="1"/>
        <v>0.88069992647922601</v>
      </c>
      <c r="AM13" s="8">
        <f t="shared" si="2"/>
        <v>4.8000000000000015E-2</v>
      </c>
      <c r="AN13" t="str">
        <f>IF(AC13&lt;Pricing_Policy!$C$10,"Below Floor","Pass")</f>
        <v>Pass</v>
      </c>
      <c r="AO13" t="str">
        <f>IF(V13&gt;Pricing_Policy!$C$7,"Exception","Standard")</f>
        <v>Standard</v>
      </c>
      <c r="AP13" t="str">
        <f t="shared" si="3"/>
        <v>Pass</v>
      </c>
      <c r="AQ13">
        <f t="shared" si="4"/>
        <v>1</v>
      </c>
      <c r="AR13" s="8">
        <f t="shared" si="5"/>
        <v>0.52226191662830446</v>
      </c>
      <c r="AS13">
        <f t="shared" si="6"/>
        <v>1</v>
      </c>
    </row>
    <row r="14" spans="1:45">
      <c r="A14" t="str">
        <f>Deals_Raw!A14</f>
        <v>D00012</v>
      </c>
      <c r="B14">
        <f>Deals_Raw!B14</f>
        <v>45663</v>
      </c>
      <c r="C14" t="str">
        <f>Deals_Raw!C14</f>
        <v>C0005</v>
      </c>
      <c r="D14" t="str">
        <f>Deals_Raw!D14</f>
        <v>HEA-0005</v>
      </c>
      <c r="E14" t="str">
        <f>Deals_Raw!E14</f>
        <v>CT00007</v>
      </c>
      <c r="F14" t="str">
        <f>Deals_Raw!F14</f>
        <v>Technology</v>
      </c>
      <c r="G14" t="str">
        <f>Deals_Raw!G14</f>
        <v>Healthcare</v>
      </c>
      <c r="H14" t="str">
        <f>Deals_Raw!H14</f>
        <v>South</v>
      </c>
      <c r="I14" t="str">
        <f>Deals_Raw!I14</f>
        <v>South Commercial</v>
      </c>
      <c r="J14" t="str">
        <f>Deals_Raw!J14</f>
        <v>Mid-Market</v>
      </c>
      <c r="K14" t="str">
        <f>Deals_Raw!K14</f>
        <v>No</v>
      </c>
      <c r="L14">
        <f>Deals_Raw!L14</f>
        <v>43952</v>
      </c>
      <c r="M14">
        <f>Deals_Raw!M14</f>
        <v>66</v>
      </c>
      <c r="N14" t="str">
        <f>Deals_Raw!N14</f>
        <v>Nexus Enterprise Suite</v>
      </c>
      <c r="O14" t="str">
        <f>Deals_Raw!O14</f>
        <v>Renewal</v>
      </c>
      <c r="P14">
        <f>Deals_Raw!P14</f>
        <v>0</v>
      </c>
      <c r="Q14">
        <f>Deals_Raw!Q14</f>
        <v>3</v>
      </c>
      <c r="R14">
        <f>Deals_Raw!R14</f>
        <v>276</v>
      </c>
      <c r="S14" t="str">
        <f>Deals_Raw!S14</f>
        <v>D. Chen</v>
      </c>
      <c r="T14" s="6">
        <f>Deals_Raw!T14</f>
        <v>340477.39023891656</v>
      </c>
      <c r="U14" s="8">
        <f>Deals_Raw!V14</f>
        <v>0.159</v>
      </c>
      <c r="V14" s="8">
        <f>Deals_Raw!W14</f>
        <v>0.13</v>
      </c>
      <c r="W14" s="8">
        <f>Deals_Raw!X14</f>
        <v>-8.1000000000000003E-2</v>
      </c>
      <c r="X14" t="str">
        <f>Deals_Raw!Y14</f>
        <v>Verified competitor pressure</v>
      </c>
      <c r="Y14" t="str">
        <f>Deals_Raw!Z14</f>
        <v>Pricing Analyst</v>
      </c>
      <c r="Z14" s="6">
        <f>Deals_Raw!AA14</f>
        <v>296123.32635319157</v>
      </c>
      <c r="AA14" s="6">
        <f>Deals_Raw!AC14</f>
        <v>134110.72118085285</v>
      </c>
      <c r="AB14" s="6">
        <f>Deals_Raw!AD14</f>
        <v>162012.60517233872</v>
      </c>
      <c r="AC14" s="8">
        <f>Deals_Raw!AE14</f>
        <v>0.5471119319357618</v>
      </c>
      <c r="AD14" t="str">
        <f>Deals_Raw!AF14</f>
        <v>Lost</v>
      </c>
      <c r="AE14" t="str">
        <f>Deals_Raw!AG14</f>
        <v>No</v>
      </c>
      <c r="AF14">
        <f>Deals_Raw!AH14</f>
        <v>0</v>
      </c>
      <c r="AG14" t="str">
        <f>Deals_Raw!AI14</f>
        <v>No</v>
      </c>
      <c r="AH14" s="6">
        <f>Deals_Raw!AJ14</f>
        <v>0</v>
      </c>
      <c r="AI14" s="6">
        <f>Deals_Raw!AK14</f>
        <v>0</v>
      </c>
      <c r="AJ14" t="str">
        <f>Deals_Raw!AL14</f>
        <v>Renewal of existing active contract</v>
      </c>
      <c r="AK14" s="9">
        <f t="shared" si="0"/>
        <v>4.6805555555555554</v>
      </c>
      <c r="AL14" s="8">
        <f t="shared" si="1"/>
        <v>0.86972978189652694</v>
      </c>
      <c r="AM14" s="8">
        <f t="shared" si="2"/>
        <v>2.8999999999999998E-2</v>
      </c>
      <c r="AN14" t="str">
        <f>IF(AC14&lt;Pricing_Policy!$C$10,"Below Floor","Pass")</f>
        <v>Pass</v>
      </c>
      <c r="AO14" t="str">
        <f>IF(V14&gt;Pricing_Policy!$C$7,"Exception","Standard")</f>
        <v>Standard</v>
      </c>
      <c r="AP14" t="str">
        <f t="shared" si="3"/>
        <v>Pass</v>
      </c>
      <c r="AQ14">
        <f t="shared" si="4"/>
        <v>0</v>
      </c>
      <c r="AR14" s="8">
        <f t="shared" si="5"/>
        <v>0</v>
      </c>
      <c r="AS14">
        <f t="shared" si="6"/>
        <v>2</v>
      </c>
    </row>
    <row r="15" spans="1:45">
      <c r="A15" t="str">
        <f>Deals_Raw!A15</f>
        <v>D00013</v>
      </c>
      <c r="B15">
        <f>Deals_Raw!B15</f>
        <v>45804</v>
      </c>
      <c r="C15" t="str">
        <f>Deals_Raw!C15</f>
        <v>C0005</v>
      </c>
      <c r="D15" t="str">
        <f>Deals_Raw!D15</f>
        <v>HEA-0005</v>
      </c>
      <c r="E15" t="str">
        <f>Deals_Raw!E15</f>
        <v>CT00008</v>
      </c>
      <c r="F15" t="str">
        <f>Deals_Raw!F15</f>
        <v>Legal</v>
      </c>
      <c r="G15" t="str">
        <f>Deals_Raw!G15</f>
        <v>Healthcare</v>
      </c>
      <c r="H15" t="str">
        <f>Deals_Raw!H15</f>
        <v>South</v>
      </c>
      <c r="I15" t="str">
        <f>Deals_Raw!I15</f>
        <v>South Commercial</v>
      </c>
      <c r="J15" t="str">
        <f>Deals_Raw!J15</f>
        <v>Mid-Market</v>
      </c>
      <c r="K15" t="str">
        <f>Deals_Raw!K15</f>
        <v>No</v>
      </c>
      <c r="L15">
        <f>Deals_Raw!L15</f>
        <v>43952</v>
      </c>
      <c r="M15">
        <f>Deals_Raw!M15</f>
        <v>66</v>
      </c>
      <c r="N15" t="str">
        <f>Deals_Raw!N15</f>
        <v>Nexus Enterprise Suite</v>
      </c>
      <c r="O15" t="str">
        <f>Deals_Raw!O15</f>
        <v>New Business</v>
      </c>
      <c r="P15">
        <f>Deals_Raw!P15</f>
        <v>0</v>
      </c>
      <c r="Q15">
        <f>Deals_Raw!Q15</f>
        <v>1</v>
      </c>
      <c r="R15">
        <f>Deals_Raw!R15</f>
        <v>110</v>
      </c>
      <c r="S15" t="str">
        <f>Deals_Raw!S15</f>
        <v>R. Singh</v>
      </c>
      <c r="T15" s="6">
        <f>Deals_Raw!T15</f>
        <v>320597.40806784597</v>
      </c>
      <c r="U15" s="8">
        <f>Deals_Raw!V15</f>
        <v>0.191</v>
      </c>
      <c r="V15" s="8">
        <f>Deals_Raw!W15</f>
        <v>0.188</v>
      </c>
      <c r="W15" s="8">
        <f>Deals_Raw!X15</f>
        <v>-7.0000000000000001E-3</v>
      </c>
      <c r="X15" t="str">
        <f>Deals_Raw!Y15</f>
        <v>Procurement requirement</v>
      </c>
      <c r="Y15" t="str">
        <f>Deals_Raw!Z15</f>
        <v>Pricing Analyst</v>
      </c>
      <c r="Z15" s="6">
        <f>Deals_Raw!AA15</f>
        <v>260342.59850538964</v>
      </c>
      <c r="AA15" s="6">
        <f>Deals_Raw!AC15</f>
        <v>126422.6721793515</v>
      </c>
      <c r="AB15" s="6">
        <f>Deals_Raw!AD15</f>
        <v>133919.92632603814</v>
      </c>
      <c r="AC15" s="8">
        <f>Deals_Raw!AE15</f>
        <v>0.5143988233000053</v>
      </c>
      <c r="AD15" t="str">
        <f>Deals_Raw!AF15</f>
        <v>Lost</v>
      </c>
      <c r="AE15">
        <f>Deals_Raw!AG15</f>
        <v>0</v>
      </c>
      <c r="AF15">
        <f>Deals_Raw!AH15</f>
        <v>0</v>
      </c>
      <c r="AG15" t="str">
        <f>Deals_Raw!AI15</f>
        <v>No</v>
      </c>
      <c r="AH15" s="6">
        <f>Deals_Raw!AJ15</f>
        <v>0</v>
      </c>
      <c r="AI15" s="6">
        <f>Deals_Raw!AK15</f>
        <v>0</v>
      </c>
      <c r="AJ15" t="str">
        <f>Deals_Raw!AL15</f>
        <v>First purchase under this contract</v>
      </c>
      <c r="AK15" s="9">
        <f t="shared" si="0"/>
        <v>5.072222222222222</v>
      </c>
      <c r="AL15" s="8">
        <f t="shared" si="1"/>
        <v>0.8120545954329581</v>
      </c>
      <c r="AM15" s="8">
        <f t="shared" si="2"/>
        <v>3.0000000000000027E-3</v>
      </c>
      <c r="AN15" t="str">
        <f>IF(AC15&lt;Pricing_Policy!$C$10,"Below Floor","Pass")</f>
        <v>Pass</v>
      </c>
      <c r="AO15" t="str">
        <f>IF(V15&gt;Pricing_Policy!$C$7,"Exception","Standard")</f>
        <v>Standard</v>
      </c>
      <c r="AP15" t="str">
        <f t="shared" si="3"/>
        <v>Pass</v>
      </c>
      <c r="AQ15">
        <f t="shared" si="4"/>
        <v>0</v>
      </c>
      <c r="AR15" s="8">
        <f t="shared" si="5"/>
        <v>0</v>
      </c>
      <c r="AS15">
        <f t="shared" si="6"/>
        <v>2</v>
      </c>
    </row>
    <row r="16" spans="1:45">
      <c r="A16" t="str">
        <f>Deals_Raw!A16</f>
        <v>D00014</v>
      </c>
      <c r="B16">
        <f>Deals_Raw!B16</f>
        <v>45340</v>
      </c>
      <c r="C16" t="str">
        <f>Deals_Raw!C16</f>
        <v>C0005</v>
      </c>
      <c r="D16" t="str">
        <f>Deals_Raw!D16</f>
        <v>HEA-0005</v>
      </c>
      <c r="E16" t="str">
        <f>Deals_Raw!E16</f>
        <v>CT00009</v>
      </c>
      <c r="F16" t="str">
        <f>Deals_Raw!F16</f>
        <v>Finance</v>
      </c>
      <c r="G16" t="str">
        <f>Deals_Raw!G16</f>
        <v>Healthcare</v>
      </c>
      <c r="H16" t="str">
        <f>Deals_Raw!H16</f>
        <v>South</v>
      </c>
      <c r="I16" t="str">
        <f>Deals_Raw!I16</f>
        <v>South Commercial</v>
      </c>
      <c r="J16" t="str">
        <f>Deals_Raw!J16</f>
        <v>Mid-Market</v>
      </c>
      <c r="K16" t="str">
        <f>Deals_Raw!K16</f>
        <v>No</v>
      </c>
      <c r="L16">
        <f>Deals_Raw!L16</f>
        <v>43952</v>
      </c>
      <c r="M16">
        <f>Deals_Raw!M16</f>
        <v>66</v>
      </c>
      <c r="N16" t="str">
        <f>Deals_Raw!N16</f>
        <v>Nexus AI Assistant</v>
      </c>
      <c r="O16" t="str">
        <f>Deals_Raw!O16</f>
        <v>Renewal</v>
      </c>
      <c r="P16">
        <f>Deals_Raw!P16</f>
        <v>0</v>
      </c>
      <c r="Q16">
        <f>Deals_Raw!Q16</f>
        <v>1</v>
      </c>
      <c r="R16">
        <f>Deals_Raw!R16</f>
        <v>99</v>
      </c>
      <c r="S16" t="str">
        <f>Deals_Raw!S16</f>
        <v>A. Patel</v>
      </c>
      <c r="T16" s="6">
        <f>Deals_Raw!T16</f>
        <v>110842.8131253638</v>
      </c>
      <c r="U16" s="8">
        <f>Deals_Raw!V16</f>
        <v>0.185</v>
      </c>
      <c r="V16" s="8">
        <f>Deals_Raw!W16</f>
        <v>0.16800000000000001</v>
      </c>
      <c r="W16" s="8">
        <f>Deals_Raw!X16</f>
        <v>-0.13100000000000001</v>
      </c>
      <c r="X16" t="str">
        <f>Deals_Raw!Y16</f>
        <v>Budget constraint</v>
      </c>
      <c r="Y16" t="str">
        <f>Deals_Raw!Z16</f>
        <v>Pricing Analyst</v>
      </c>
      <c r="Z16" s="6">
        <f>Deals_Raw!AA16</f>
        <v>92186.507436883607</v>
      </c>
      <c r="AA16" s="6">
        <f>Deals_Raw!AC16</f>
        <v>40259.458722857315</v>
      </c>
      <c r="AB16" s="6">
        <f>Deals_Raw!AD16</f>
        <v>51927.048714026292</v>
      </c>
      <c r="AC16" s="8">
        <f>Deals_Raw!AE16</f>
        <v>0.56328252536932966</v>
      </c>
      <c r="AD16" t="str">
        <f>Deals_Raw!AF16</f>
        <v>Lost</v>
      </c>
      <c r="AE16" t="str">
        <f>Deals_Raw!AG16</f>
        <v>No</v>
      </c>
      <c r="AF16">
        <f>Deals_Raw!AH16</f>
        <v>0</v>
      </c>
      <c r="AG16" t="str">
        <f>Deals_Raw!AI16</f>
        <v>No</v>
      </c>
      <c r="AH16" s="6">
        <f>Deals_Raw!AJ16</f>
        <v>0</v>
      </c>
      <c r="AI16" s="6">
        <f>Deals_Raw!AK16</f>
        <v>0</v>
      </c>
      <c r="AJ16" t="str">
        <f>Deals_Raw!AL16</f>
        <v>Renewal of existing active contract</v>
      </c>
      <c r="AK16" s="9">
        <f t="shared" si="0"/>
        <v>3.7972222222222221</v>
      </c>
      <c r="AL16" s="8">
        <f t="shared" si="1"/>
        <v>0.83168682603372923</v>
      </c>
      <c r="AM16" s="8">
        <f t="shared" si="2"/>
        <v>1.6999999999999987E-2</v>
      </c>
      <c r="AN16" t="str">
        <f>IF(AC16&lt;Pricing_Policy!$C$10,"Below Floor","Pass")</f>
        <v>Pass</v>
      </c>
      <c r="AO16" t="str">
        <f>IF(V16&gt;Pricing_Policy!$C$7,"Exception","Standard")</f>
        <v>Standard</v>
      </c>
      <c r="AP16" t="str">
        <f t="shared" si="3"/>
        <v>Pass</v>
      </c>
      <c r="AQ16">
        <f t="shared" si="4"/>
        <v>0</v>
      </c>
      <c r="AR16" s="8">
        <f t="shared" si="5"/>
        <v>0</v>
      </c>
      <c r="AS16">
        <f t="shared" si="6"/>
        <v>1</v>
      </c>
    </row>
    <row r="17" spans="1:45">
      <c r="A17" t="str">
        <f>Deals_Raw!A17</f>
        <v>D00017</v>
      </c>
      <c r="B17">
        <f>Deals_Raw!B17</f>
        <v>45432</v>
      </c>
      <c r="C17" t="str">
        <f>Deals_Raw!C17</f>
        <v>C0005</v>
      </c>
      <c r="D17" t="str">
        <f>Deals_Raw!D17</f>
        <v>HEA-0005</v>
      </c>
      <c r="E17" t="str">
        <f>Deals_Raw!E17</f>
        <v>CT00010</v>
      </c>
      <c r="F17" t="str">
        <f>Deals_Raw!F17</f>
        <v>Legal</v>
      </c>
      <c r="G17" t="str">
        <f>Deals_Raw!G17</f>
        <v>Healthcare</v>
      </c>
      <c r="H17" t="str">
        <f>Deals_Raw!H17</f>
        <v>South</v>
      </c>
      <c r="I17" t="str">
        <f>Deals_Raw!I17</f>
        <v>South Commercial</v>
      </c>
      <c r="J17" t="str">
        <f>Deals_Raw!J17</f>
        <v>Mid-Market</v>
      </c>
      <c r="K17" t="str">
        <f>Deals_Raw!K17</f>
        <v>No</v>
      </c>
      <c r="L17">
        <f>Deals_Raw!L17</f>
        <v>43952</v>
      </c>
      <c r="M17">
        <f>Deals_Raw!M17</f>
        <v>66</v>
      </c>
      <c r="N17" t="str">
        <f>Deals_Raw!N17</f>
        <v>Nexus Compliance</v>
      </c>
      <c r="O17" t="str">
        <f>Deals_Raw!O17</f>
        <v>Renewal</v>
      </c>
      <c r="P17">
        <f>Deals_Raw!P17</f>
        <v>0</v>
      </c>
      <c r="Q17">
        <f>Deals_Raw!Q17</f>
        <v>1</v>
      </c>
      <c r="R17">
        <f>Deals_Raw!R17</f>
        <v>209</v>
      </c>
      <c r="S17" t="str">
        <f>Deals_Raw!S17</f>
        <v>T. Brooks</v>
      </c>
      <c r="T17" s="6">
        <f>Deals_Raw!T17</f>
        <v>110315.3150787161</v>
      </c>
      <c r="U17" s="8">
        <f>Deals_Raw!V17</f>
        <v>0.13700000000000001</v>
      </c>
      <c r="V17" s="8">
        <f>Deals_Raw!W17</f>
        <v>0.115</v>
      </c>
      <c r="W17" s="8">
        <f>Deals_Raw!X17</f>
        <v>-4.1000000000000002E-2</v>
      </c>
      <c r="X17" t="str">
        <f>Deals_Raw!Y17</f>
        <v>Expansion opportunity</v>
      </c>
      <c r="Y17" t="str">
        <f>Deals_Raw!Z17</f>
        <v>Pricing Analyst</v>
      </c>
      <c r="Z17" s="6">
        <f>Deals_Raw!AA17</f>
        <v>97591.584522071469</v>
      </c>
      <c r="AA17" s="6">
        <f>Deals_Raw!AC17</f>
        <v>37804.253901181015</v>
      </c>
      <c r="AB17" s="6">
        <f>Deals_Raw!AD17</f>
        <v>59787.330620890454</v>
      </c>
      <c r="AC17" s="8">
        <f>Deals_Raw!AE17</f>
        <v>0.612627932148892</v>
      </c>
      <c r="AD17" t="str">
        <f>Deals_Raw!AF17</f>
        <v>Won</v>
      </c>
      <c r="AE17" t="str">
        <f>Deals_Raw!AG17</f>
        <v>Yes</v>
      </c>
      <c r="AF17">
        <f>Deals_Raw!AH17</f>
        <v>0</v>
      </c>
      <c r="AG17" t="str">
        <f>Deals_Raw!AI17</f>
        <v>No</v>
      </c>
      <c r="AH17" s="6">
        <f>Deals_Raw!AJ17</f>
        <v>97591.584522071469</v>
      </c>
      <c r="AI17" s="6">
        <f>Deals_Raw!AK17</f>
        <v>59787.330620890454</v>
      </c>
      <c r="AJ17" t="str">
        <f>Deals_Raw!AL17</f>
        <v>Renewal of existing active contract</v>
      </c>
      <c r="AK17" s="9">
        <f t="shared" si="0"/>
        <v>4.052777777777778</v>
      </c>
      <c r="AL17" s="8">
        <f t="shared" si="1"/>
        <v>0.88466034342044397</v>
      </c>
      <c r="AM17" s="8">
        <f t="shared" si="2"/>
        <v>2.2000000000000006E-2</v>
      </c>
      <c r="AN17" t="str">
        <f>IF(AC17&lt;Pricing_Policy!$C$10,"Below Floor","Pass")</f>
        <v>Pass</v>
      </c>
      <c r="AO17" t="str">
        <f>IF(V17&gt;Pricing_Policy!$C$7,"Exception","Standard")</f>
        <v>Standard</v>
      </c>
      <c r="AP17" t="str">
        <f t="shared" si="3"/>
        <v>Pass</v>
      </c>
      <c r="AQ17">
        <f t="shared" si="4"/>
        <v>1</v>
      </c>
      <c r="AR17" s="8">
        <f t="shared" si="5"/>
        <v>0.612627932148892</v>
      </c>
      <c r="AS17">
        <f t="shared" si="6"/>
        <v>3</v>
      </c>
    </row>
    <row r="18" spans="1:45">
      <c r="A18" t="str">
        <f>Deals_Raw!A18</f>
        <v>D00018</v>
      </c>
      <c r="B18">
        <f>Deals_Raw!B18</f>
        <v>45797</v>
      </c>
      <c r="C18" t="str">
        <f>Deals_Raw!C18</f>
        <v>C0005</v>
      </c>
      <c r="D18" t="str">
        <f>Deals_Raw!D18</f>
        <v>HEA-0005</v>
      </c>
      <c r="E18" t="str">
        <f>Deals_Raw!E18</f>
        <v>CT00010</v>
      </c>
      <c r="F18" t="str">
        <f>Deals_Raw!F18</f>
        <v>Legal</v>
      </c>
      <c r="G18" t="str">
        <f>Deals_Raw!G18</f>
        <v>Healthcare</v>
      </c>
      <c r="H18" t="str">
        <f>Deals_Raw!H18</f>
        <v>South</v>
      </c>
      <c r="I18" t="str">
        <f>Deals_Raw!I18</f>
        <v>South Commercial</v>
      </c>
      <c r="J18" t="str">
        <f>Deals_Raw!J18</f>
        <v>Mid-Market</v>
      </c>
      <c r="K18" t="str">
        <f>Deals_Raw!K18</f>
        <v>No</v>
      </c>
      <c r="L18">
        <f>Deals_Raw!L18</f>
        <v>43952</v>
      </c>
      <c r="M18">
        <f>Deals_Raw!M18</f>
        <v>66</v>
      </c>
      <c r="N18" t="str">
        <f>Deals_Raw!N18</f>
        <v>Nexus Compliance</v>
      </c>
      <c r="O18" t="str">
        <f>Deals_Raw!O18</f>
        <v>Renewal</v>
      </c>
      <c r="P18">
        <f>Deals_Raw!P18</f>
        <v>0</v>
      </c>
      <c r="Q18">
        <f>Deals_Raw!Q18</f>
        <v>1</v>
      </c>
      <c r="R18">
        <f>Deals_Raw!R18</f>
        <v>209</v>
      </c>
      <c r="S18" t="str">
        <f>Deals_Raw!S18</f>
        <v>M. Johnson</v>
      </c>
      <c r="T18" s="6">
        <f>Deals_Raw!T18</f>
        <v>117035.83469051847</v>
      </c>
      <c r="U18" s="8">
        <f>Deals_Raw!V18</f>
        <v>0.21299999999999999</v>
      </c>
      <c r="V18" s="8">
        <f>Deals_Raw!W18</f>
        <v>0.21199999999999999</v>
      </c>
      <c r="W18" s="8">
        <f>Deals_Raw!X18</f>
        <v>-1E-3</v>
      </c>
      <c r="X18" t="str">
        <f>Deals_Raw!Y18</f>
        <v>Budget constraint</v>
      </c>
      <c r="Y18" t="str">
        <f>Deals_Raw!Z18</f>
        <v>Business Manager</v>
      </c>
      <c r="Z18" s="6">
        <f>Deals_Raw!AA18</f>
        <v>92239.590813589384</v>
      </c>
      <c r="AA18" s="6">
        <f>Deals_Raw!AC18</f>
        <v>45049.823219779239</v>
      </c>
      <c r="AB18" s="6">
        <f>Deals_Raw!AD18</f>
        <v>47189.767593810146</v>
      </c>
      <c r="AC18" s="8">
        <f>Deals_Raw!AE18</f>
        <v>0.51159992339057314</v>
      </c>
      <c r="AD18" t="str">
        <f>Deals_Raw!AF18</f>
        <v>Lost</v>
      </c>
      <c r="AE18" t="str">
        <f>Deals_Raw!AG18</f>
        <v>No</v>
      </c>
      <c r="AF18">
        <f>Deals_Raw!AH18</f>
        <v>0</v>
      </c>
      <c r="AG18" t="str">
        <f>Deals_Raw!AI18</f>
        <v>No</v>
      </c>
      <c r="AH18" s="6">
        <f>Deals_Raw!AJ18</f>
        <v>0</v>
      </c>
      <c r="AI18" s="6">
        <f>Deals_Raw!AK18</f>
        <v>0</v>
      </c>
      <c r="AJ18" t="str">
        <f>Deals_Raw!AL18</f>
        <v>Renewal of existing active contract</v>
      </c>
      <c r="AK18" s="9">
        <f t="shared" si="0"/>
        <v>5.052777777777778</v>
      </c>
      <c r="AL18" s="8">
        <f t="shared" si="1"/>
        <v>0.78813118270571936</v>
      </c>
      <c r="AM18" s="8">
        <f t="shared" si="2"/>
        <v>1.0000000000000009E-3</v>
      </c>
      <c r="AN18" t="str">
        <f>IF(AC18&lt;Pricing_Policy!$C$10,"Below Floor","Pass")</f>
        <v>Pass</v>
      </c>
      <c r="AO18" t="str">
        <f>IF(V18&gt;Pricing_Policy!$C$7,"Exception","Standard")</f>
        <v>Standard</v>
      </c>
      <c r="AP18" t="str">
        <f t="shared" si="3"/>
        <v>Pass</v>
      </c>
      <c r="AQ18">
        <f t="shared" si="4"/>
        <v>0</v>
      </c>
      <c r="AR18" s="8">
        <f t="shared" si="5"/>
        <v>0</v>
      </c>
      <c r="AS18">
        <f t="shared" si="6"/>
        <v>3</v>
      </c>
    </row>
    <row r="19" spans="1:45">
      <c r="A19" t="str">
        <f>Deals_Raw!A19</f>
        <v>D00019</v>
      </c>
      <c r="B19">
        <f>Deals_Raw!B19</f>
        <v>45925</v>
      </c>
      <c r="C19" t="str">
        <f>Deals_Raw!C19</f>
        <v>C0005</v>
      </c>
      <c r="D19" t="str">
        <f>Deals_Raw!D19</f>
        <v>HEA-0005</v>
      </c>
      <c r="E19" t="str">
        <f>Deals_Raw!E19</f>
        <v>CT00010</v>
      </c>
      <c r="F19" t="str">
        <f>Deals_Raw!F19</f>
        <v>Legal</v>
      </c>
      <c r="G19" t="str">
        <f>Deals_Raw!G19</f>
        <v>Healthcare</v>
      </c>
      <c r="H19" t="str">
        <f>Deals_Raw!H19</f>
        <v>South</v>
      </c>
      <c r="I19" t="str">
        <f>Deals_Raw!I19</f>
        <v>South Commercial</v>
      </c>
      <c r="J19" t="str">
        <f>Deals_Raw!J19</f>
        <v>Mid-Market</v>
      </c>
      <c r="K19" t="str">
        <f>Deals_Raw!K19</f>
        <v>No</v>
      </c>
      <c r="L19">
        <f>Deals_Raw!L19</f>
        <v>43952</v>
      </c>
      <c r="M19">
        <f>Deals_Raw!M19</f>
        <v>66</v>
      </c>
      <c r="N19" t="str">
        <f>Deals_Raw!N19</f>
        <v>Nexus Compliance</v>
      </c>
      <c r="O19" t="str">
        <f>Deals_Raw!O19</f>
        <v>Win-back</v>
      </c>
      <c r="P19">
        <f>Deals_Raw!P19</f>
        <v>0</v>
      </c>
      <c r="Q19">
        <f>Deals_Raw!Q19</f>
        <v>1</v>
      </c>
      <c r="R19">
        <f>Deals_Raw!R19</f>
        <v>209</v>
      </c>
      <c r="S19" t="str">
        <f>Deals_Raw!S19</f>
        <v>D. Chen</v>
      </c>
      <c r="T19" s="6">
        <f>Deals_Raw!T19</f>
        <v>117035.83469051847</v>
      </c>
      <c r="U19" s="8">
        <f>Deals_Raw!V19</f>
        <v>0.27400000000000002</v>
      </c>
      <c r="V19" s="8">
        <f>Deals_Raw!W19</f>
        <v>0.26400000000000001</v>
      </c>
      <c r="W19" s="8">
        <f>Deals_Raw!X19</f>
        <v>-4.1000000000000002E-2</v>
      </c>
      <c r="X19" t="str">
        <f>Deals_Raw!Y19</f>
        <v>Renewal retention risk</v>
      </c>
      <c r="Y19" t="str">
        <f>Deals_Raw!Z19</f>
        <v>Business Manager</v>
      </c>
      <c r="Z19" s="6">
        <f>Deals_Raw!AA19</f>
        <v>86133.571058483954</v>
      </c>
      <c r="AA19" s="6">
        <f>Deals_Raw!AC19</f>
        <v>38249.246020033119</v>
      </c>
      <c r="AB19" s="6">
        <f>Deals_Raw!AD19</f>
        <v>47884.325038450836</v>
      </c>
      <c r="AC19" s="8">
        <f>Deals_Raw!AE19</f>
        <v>0.55593103188462711</v>
      </c>
      <c r="AD19" t="str">
        <f>Deals_Raw!AF19</f>
        <v>Won</v>
      </c>
      <c r="AE19">
        <f>Deals_Raw!AG19</f>
        <v>0</v>
      </c>
      <c r="AF19">
        <f>Deals_Raw!AH19</f>
        <v>0</v>
      </c>
      <c r="AG19" t="str">
        <f>Deals_Raw!AI19</f>
        <v>Yes</v>
      </c>
      <c r="AH19" s="6">
        <f>Deals_Raw!AJ19</f>
        <v>86133.571058483954</v>
      </c>
      <c r="AI19" s="6">
        <f>Deals_Raw!AK19</f>
        <v>47884.325038450836</v>
      </c>
      <c r="AJ19" t="str">
        <f>Deals_Raw!AL19</f>
        <v>Customer returned after lost renewal</v>
      </c>
      <c r="AK19" s="9">
        <f t="shared" si="0"/>
        <v>5.4</v>
      </c>
      <c r="AL19" s="8">
        <f t="shared" si="1"/>
        <v>0.73595895894833974</v>
      </c>
      <c r="AM19" s="8">
        <f t="shared" si="2"/>
        <v>1.0000000000000009E-2</v>
      </c>
      <c r="AN19" t="str">
        <f>IF(AC19&lt;Pricing_Policy!$C$10,"Below Floor","Pass")</f>
        <v>Pass</v>
      </c>
      <c r="AO19" t="str">
        <f>IF(V19&gt;Pricing_Policy!$C$7,"Exception","Standard")</f>
        <v>Standard</v>
      </c>
      <c r="AP19" t="str">
        <f t="shared" si="3"/>
        <v>Pass</v>
      </c>
      <c r="AQ19">
        <f t="shared" si="4"/>
        <v>1</v>
      </c>
      <c r="AR19" s="8">
        <f t="shared" si="5"/>
        <v>0.55593103188462711</v>
      </c>
      <c r="AS19">
        <f t="shared" si="6"/>
        <v>3</v>
      </c>
    </row>
    <row r="20" spans="1:45">
      <c r="A20" t="str">
        <f>Deals_Raw!A20</f>
        <v>D00020</v>
      </c>
      <c r="B20">
        <f>Deals_Raw!B20</f>
        <v>45344</v>
      </c>
      <c r="C20" t="str">
        <f>Deals_Raw!C20</f>
        <v>C0006</v>
      </c>
      <c r="D20" t="str">
        <f>Deals_Raw!D20</f>
        <v>LEG-0006</v>
      </c>
      <c r="E20" t="str">
        <f>Deals_Raw!E20</f>
        <v>CT00011</v>
      </c>
      <c r="F20" t="str">
        <f>Deals_Raw!F20</f>
        <v>Legal</v>
      </c>
      <c r="G20" t="str">
        <f>Deals_Raw!G20</f>
        <v>Legal</v>
      </c>
      <c r="H20" t="str">
        <f>Deals_Raw!H20</f>
        <v>West</v>
      </c>
      <c r="I20" t="str">
        <f>Deals_Raw!I20</f>
        <v>West Commercial</v>
      </c>
      <c r="J20" t="str">
        <f>Deals_Raw!J20</f>
        <v>Mid-Market</v>
      </c>
      <c r="K20" t="str">
        <f>Deals_Raw!K20</f>
        <v>No</v>
      </c>
      <c r="L20">
        <f>Deals_Raw!L20</f>
        <v>45323</v>
      </c>
      <c r="M20">
        <f>Deals_Raw!M20</f>
        <v>73</v>
      </c>
      <c r="N20" t="str">
        <f>Deals_Raw!N20</f>
        <v>Nexus Compliance</v>
      </c>
      <c r="O20" t="str">
        <f>Deals_Raw!O20</f>
        <v>New Business</v>
      </c>
      <c r="P20">
        <f>Deals_Raw!P20</f>
        <v>0</v>
      </c>
      <c r="Q20">
        <f>Deals_Raw!Q20</f>
        <v>1</v>
      </c>
      <c r="R20">
        <f>Deals_Raw!R20</f>
        <v>131</v>
      </c>
      <c r="S20" t="str">
        <f>Deals_Raw!S20</f>
        <v>R. Singh</v>
      </c>
      <c r="T20" s="6">
        <f>Deals_Raw!T20</f>
        <v>184726.33752709901</v>
      </c>
      <c r="U20" s="8">
        <f>Deals_Raw!V20</f>
        <v>0.127</v>
      </c>
      <c r="V20" s="8">
        <f>Deals_Raw!W20</f>
        <v>9.9000000000000005E-2</v>
      </c>
      <c r="W20" s="8">
        <f>Deals_Raw!X20</f>
        <v>3.5999999999999997E-2</v>
      </c>
      <c r="X20" t="str">
        <f>Deals_Raw!Y20</f>
        <v>Expansion opportunity</v>
      </c>
      <c r="Y20" t="str">
        <f>Deals_Raw!Z20</f>
        <v>Sales Manager</v>
      </c>
      <c r="Z20" s="6">
        <f>Deals_Raw!AA20</f>
        <v>166516.73221357822</v>
      </c>
      <c r="AA20" s="6">
        <f>Deals_Raw!AC20</f>
        <v>58415.091549074845</v>
      </c>
      <c r="AB20" s="6">
        <f>Deals_Raw!AD20</f>
        <v>108101.64066450337</v>
      </c>
      <c r="AC20" s="8">
        <f>Deals_Raw!AE20</f>
        <v>0.64919386314793703</v>
      </c>
      <c r="AD20" t="str">
        <f>Deals_Raw!AF20</f>
        <v>Lost</v>
      </c>
      <c r="AE20">
        <f>Deals_Raw!AG20</f>
        <v>0</v>
      </c>
      <c r="AF20">
        <f>Deals_Raw!AH20</f>
        <v>0</v>
      </c>
      <c r="AG20" t="str">
        <f>Deals_Raw!AI20</f>
        <v>No</v>
      </c>
      <c r="AH20" s="6">
        <f>Deals_Raw!AJ20</f>
        <v>0</v>
      </c>
      <c r="AI20" s="6">
        <f>Deals_Raw!AK20</f>
        <v>0</v>
      </c>
      <c r="AJ20" t="str">
        <f>Deals_Raw!AL20</f>
        <v>First purchase under this contract</v>
      </c>
      <c r="AK20" s="9">
        <f t="shared" si="0"/>
        <v>5.8333333333333334E-2</v>
      </c>
      <c r="AL20" s="8">
        <f t="shared" si="1"/>
        <v>0.90142388163328646</v>
      </c>
      <c r="AM20" s="8">
        <f t="shared" si="2"/>
        <v>2.7999999999999997E-2</v>
      </c>
      <c r="AN20" t="str">
        <f>IF(AC20&lt;Pricing_Policy!$C$10,"Below Floor","Pass")</f>
        <v>Pass</v>
      </c>
      <c r="AO20" t="str">
        <f>IF(V20&gt;Pricing_Policy!$C$7,"Exception","Standard")</f>
        <v>Standard</v>
      </c>
      <c r="AP20" t="str">
        <f t="shared" si="3"/>
        <v>Pass</v>
      </c>
      <c r="AQ20">
        <f t="shared" si="4"/>
        <v>0</v>
      </c>
      <c r="AR20" s="8">
        <f t="shared" si="5"/>
        <v>0</v>
      </c>
      <c r="AS20">
        <f t="shared" si="6"/>
        <v>1</v>
      </c>
    </row>
    <row r="21" spans="1:45">
      <c r="A21" t="str">
        <f>Deals_Raw!A21</f>
        <v>D00021</v>
      </c>
      <c r="B21">
        <f>Deals_Raw!B21</f>
        <v>45685</v>
      </c>
      <c r="C21" t="str">
        <f>Deals_Raw!C21</f>
        <v>C0006</v>
      </c>
      <c r="D21" t="str">
        <f>Deals_Raw!D21</f>
        <v>LEG-0006</v>
      </c>
      <c r="E21" t="str">
        <f>Deals_Raw!E21</f>
        <v>CT00012</v>
      </c>
      <c r="F21" t="str">
        <f>Deals_Raw!F21</f>
        <v>Finance</v>
      </c>
      <c r="G21" t="str">
        <f>Deals_Raw!G21</f>
        <v>Legal</v>
      </c>
      <c r="H21" t="str">
        <f>Deals_Raw!H21</f>
        <v>West</v>
      </c>
      <c r="I21" t="str">
        <f>Deals_Raw!I21</f>
        <v>West Commercial</v>
      </c>
      <c r="J21" t="str">
        <f>Deals_Raw!J21</f>
        <v>Mid-Market</v>
      </c>
      <c r="K21" t="str">
        <f>Deals_Raw!K21</f>
        <v>No</v>
      </c>
      <c r="L21">
        <f>Deals_Raw!L21</f>
        <v>45323</v>
      </c>
      <c r="M21">
        <f>Deals_Raw!M21</f>
        <v>73</v>
      </c>
      <c r="N21" t="str">
        <f>Deals_Raw!N21</f>
        <v>Nexus Enterprise Suite</v>
      </c>
      <c r="O21" t="str">
        <f>Deals_Raw!O21</f>
        <v>New Business</v>
      </c>
      <c r="P21">
        <f>Deals_Raw!P21</f>
        <v>0</v>
      </c>
      <c r="Q21">
        <f>Deals_Raw!Q21</f>
        <v>1</v>
      </c>
      <c r="R21">
        <f>Deals_Raw!R21</f>
        <v>210</v>
      </c>
      <c r="S21" t="str">
        <f>Deals_Raw!S21</f>
        <v>M. Johnson</v>
      </c>
      <c r="T21" s="6">
        <f>Deals_Raw!T21</f>
        <v>259121.63645553179</v>
      </c>
      <c r="U21" s="8">
        <f>Deals_Raw!V21</f>
        <v>0.13800000000000001</v>
      </c>
      <c r="V21" s="8">
        <f>Deals_Raw!W21</f>
        <v>0.10299999999999999</v>
      </c>
      <c r="W21" s="8">
        <f>Deals_Raw!X21</f>
        <v>0.112</v>
      </c>
      <c r="X21" t="str">
        <f>Deals_Raw!Y21</f>
        <v>Expansion opportunity</v>
      </c>
      <c r="Y21" t="str">
        <f>Deals_Raw!Z21</f>
        <v>Pricing Analyst</v>
      </c>
      <c r="Z21" s="6">
        <f>Deals_Raw!AA21</f>
        <v>232470.33258930541</v>
      </c>
      <c r="AA21" s="6">
        <f>Deals_Raw!AC21</f>
        <v>92801.565502761703</v>
      </c>
      <c r="AB21" s="6">
        <f>Deals_Raw!AD21</f>
        <v>139668.76708654372</v>
      </c>
      <c r="AC21" s="8">
        <f>Deals_Raw!AE21</f>
        <v>0.60080254340793704</v>
      </c>
      <c r="AD21" t="str">
        <f>Deals_Raw!AF21</f>
        <v>Lost</v>
      </c>
      <c r="AE21">
        <f>Deals_Raw!AG21</f>
        <v>0</v>
      </c>
      <c r="AF21">
        <f>Deals_Raw!AH21</f>
        <v>0</v>
      </c>
      <c r="AG21" t="str">
        <f>Deals_Raw!AI21</f>
        <v>No</v>
      </c>
      <c r="AH21" s="6">
        <f>Deals_Raw!AJ21</f>
        <v>0</v>
      </c>
      <c r="AI21" s="6">
        <f>Deals_Raw!AK21</f>
        <v>0</v>
      </c>
      <c r="AJ21" t="str">
        <f>Deals_Raw!AL21</f>
        <v>First purchase under this contract</v>
      </c>
      <c r="AK21" s="9">
        <f t="shared" si="0"/>
        <v>0.9916666666666667</v>
      </c>
      <c r="AL21" s="8">
        <f t="shared" si="1"/>
        <v>0.89714751639120638</v>
      </c>
      <c r="AM21" s="8">
        <f t="shared" si="2"/>
        <v>3.5000000000000017E-2</v>
      </c>
      <c r="AN21" t="str">
        <f>IF(AC21&lt;Pricing_Policy!$C$10,"Below Floor","Pass")</f>
        <v>Pass</v>
      </c>
      <c r="AO21" t="str">
        <f>IF(V21&gt;Pricing_Policy!$C$7,"Exception","Standard")</f>
        <v>Standard</v>
      </c>
      <c r="AP21" t="str">
        <f t="shared" si="3"/>
        <v>Pass</v>
      </c>
      <c r="AQ21">
        <f t="shared" si="4"/>
        <v>0</v>
      </c>
      <c r="AR21" s="8">
        <f t="shared" si="5"/>
        <v>0</v>
      </c>
      <c r="AS21">
        <f t="shared" si="6"/>
        <v>2</v>
      </c>
    </row>
    <row r="22" spans="1:45">
      <c r="A22" t="str">
        <f>Deals_Raw!A22</f>
        <v>D00022</v>
      </c>
      <c r="B22">
        <f>Deals_Raw!B22</f>
        <v>45341</v>
      </c>
      <c r="C22" t="str">
        <f>Deals_Raw!C22</f>
        <v>C0006</v>
      </c>
      <c r="D22" t="str">
        <f>Deals_Raw!D22</f>
        <v>LEG-0006</v>
      </c>
      <c r="E22" t="str">
        <f>Deals_Raw!E22</f>
        <v>CT00013</v>
      </c>
      <c r="F22" t="str">
        <f>Deals_Raw!F22</f>
        <v>Sales</v>
      </c>
      <c r="G22" t="str">
        <f>Deals_Raw!G22</f>
        <v>Legal</v>
      </c>
      <c r="H22" t="str">
        <f>Deals_Raw!H22</f>
        <v>West</v>
      </c>
      <c r="I22" t="str">
        <f>Deals_Raw!I22</f>
        <v>West Commercial</v>
      </c>
      <c r="J22" t="str">
        <f>Deals_Raw!J22</f>
        <v>Mid-Market</v>
      </c>
      <c r="K22" t="str">
        <f>Deals_Raw!K22</f>
        <v>No</v>
      </c>
      <c r="L22">
        <f>Deals_Raw!L22</f>
        <v>45323</v>
      </c>
      <c r="M22">
        <f>Deals_Raw!M22</f>
        <v>73</v>
      </c>
      <c r="N22" t="str">
        <f>Deals_Raw!N22</f>
        <v>Nexus Enterprise Suite</v>
      </c>
      <c r="O22" t="str">
        <f>Deals_Raw!O22</f>
        <v>New Business</v>
      </c>
      <c r="P22">
        <f>Deals_Raw!P22</f>
        <v>0</v>
      </c>
      <c r="Q22">
        <f>Deals_Raw!Q22</f>
        <v>3</v>
      </c>
      <c r="R22">
        <f>Deals_Raw!R22</f>
        <v>213</v>
      </c>
      <c r="S22" t="str">
        <f>Deals_Raw!S22</f>
        <v>T. Brooks</v>
      </c>
      <c r="T22" s="6">
        <f>Deals_Raw!T22</f>
        <v>196873.50556857319</v>
      </c>
      <c r="U22" s="8">
        <f>Deals_Raw!V22</f>
        <v>6.9000000000000006E-2</v>
      </c>
      <c r="V22" s="8">
        <f>Deals_Raw!W22</f>
        <v>3.3000000000000002E-2</v>
      </c>
      <c r="W22" s="8">
        <f>Deals_Raw!X22</f>
        <v>0.15</v>
      </c>
      <c r="X22" t="str">
        <f>Deals_Raw!Y22</f>
        <v>Verified competitor pressure</v>
      </c>
      <c r="Y22" t="str">
        <f>Deals_Raw!Z22</f>
        <v>Sales Manager</v>
      </c>
      <c r="Z22" s="6">
        <f>Deals_Raw!AA22</f>
        <v>190467.74724976684</v>
      </c>
      <c r="AA22" s="6">
        <f>Deals_Raw!AC22</f>
        <v>70817.896333771874</v>
      </c>
      <c r="AB22" s="6">
        <f>Deals_Raw!AD22</f>
        <v>119649.85091599496</v>
      </c>
      <c r="AC22" s="8">
        <f>Deals_Raw!AE22</f>
        <v>0.62818956302924112</v>
      </c>
      <c r="AD22" t="str">
        <f>Deals_Raw!AF22</f>
        <v>Won</v>
      </c>
      <c r="AE22">
        <f>Deals_Raw!AG22</f>
        <v>0</v>
      </c>
      <c r="AF22">
        <f>Deals_Raw!AH22</f>
        <v>0</v>
      </c>
      <c r="AG22" t="str">
        <f>Deals_Raw!AI22</f>
        <v>No</v>
      </c>
      <c r="AH22" s="6">
        <f>Deals_Raw!AJ22</f>
        <v>190467.74724976684</v>
      </c>
      <c r="AI22" s="6">
        <f>Deals_Raw!AK22</f>
        <v>119649.85091599496</v>
      </c>
      <c r="AJ22" t="str">
        <f>Deals_Raw!AL22</f>
        <v>First purchase under this contract</v>
      </c>
      <c r="AK22" s="9">
        <f t="shared" si="0"/>
        <v>0.05</v>
      </c>
      <c r="AL22" s="8">
        <f t="shared" si="1"/>
        <v>0.96746256790467333</v>
      </c>
      <c r="AM22" s="8">
        <f t="shared" si="2"/>
        <v>3.6000000000000004E-2</v>
      </c>
      <c r="AN22" t="str">
        <f>IF(AC22&lt;Pricing_Policy!$C$10,"Below Floor","Pass")</f>
        <v>Pass</v>
      </c>
      <c r="AO22" t="str">
        <f>IF(V22&gt;Pricing_Policy!$C$7,"Exception","Standard")</f>
        <v>Standard</v>
      </c>
      <c r="AP22" t="str">
        <f t="shared" si="3"/>
        <v>Pass</v>
      </c>
      <c r="AQ22">
        <f t="shared" si="4"/>
        <v>1</v>
      </c>
      <c r="AR22" s="8">
        <f t="shared" si="5"/>
        <v>0.62818956302924112</v>
      </c>
      <c r="AS22">
        <f t="shared" si="6"/>
        <v>2</v>
      </c>
    </row>
    <row r="23" spans="1:45">
      <c r="A23" t="str">
        <f>Deals_Raw!A23</f>
        <v>D00023</v>
      </c>
      <c r="B23">
        <f>Deals_Raw!B23</f>
        <v>45310</v>
      </c>
      <c r="C23" t="str">
        <f>Deals_Raw!C23</f>
        <v>C0007</v>
      </c>
      <c r="D23" t="str">
        <f>Deals_Raw!D23</f>
        <v>FIN-0007</v>
      </c>
      <c r="E23" t="str">
        <f>Deals_Raw!E23</f>
        <v>CT00014</v>
      </c>
      <c r="F23" t="str">
        <f>Deals_Raw!F23</f>
        <v>Finance</v>
      </c>
      <c r="G23" t="str">
        <f>Deals_Raw!G23</f>
        <v>Financial Services</v>
      </c>
      <c r="H23" t="str">
        <f>Deals_Raw!H23</f>
        <v>Northeast</v>
      </c>
      <c r="I23" t="str">
        <f>Deals_Raw!I23</f>
        <v>Northeast Commercial</v>
      </c>
      <c r="J23" t="str">
        <f>Deals_Raw!J23</f>
        <v>Mid-Market</v>
      </c>
      <c r="K23" t="str">
        <f>Deals_Raw!K23</f>
        <v>No</v>
      </c>
      <c r="L23">
        <f>Deals_Raw!L23</f>
        <v>43160</v>
      </c>
      <c r="M23">
        <f>Deals_Raw!M23</f>
        <v>47</v>
      </c>
      <c r="N23" t="str">
        <f>Deals_Raw!N23</f>
        <v>Nexus Analytics</v>
      </c>
      <c r="O23" t="str">
        <f>Deals_Raw!O23</f>
        <v>New Business</v>
      </c>
      <c r="P23">
        <f>Deals_Raw!P23</f>
        <v>0</v>
      </c>
      <c r="Q23">
        <f>Deals_Raw!Q23</f>
        <v>2</v>
      </c>
      <c r="R23">
        <f>Deals_Raw!R23</f>
        <v>204</v>
      </c>
      <c r="S23" t="str">
        <f>Deals_Raw!S23</f>
        <v>D. Chen</v>
      </c>
      <c r="T23" s="6">
        <f>Deals_Raw!T23</f>
        <v>112696.56716609298</v>
      </c>
      <c r="U23" s="8">
        <f>Deals_Raw!V23</f>
        <v>0.218</v>
      </c>
      <c r="V23" s="8">
        <f>Deals_Raw!W23</f>
        <v>0.19500000000000001</v>
      </c>
      <c r="W23" s="8">
        <f>Deals_Raw!X23</f>
        <v>-7.1999999999999995E-2</v>
      </c>
      <c r="X23" t="str">
        <f>Deals_Raw!Y23</f>
        <v>Verified competitor pressure</v>
      </c>
      <c r="Y23" t="str">
        <f>Deals_Raw!Z23</f>
        <v>Pricing Analyst</v>
      </c>
      <c r="Z23" s="6">
        <f>Deals_Raw!AA23</f>
        <v>90720.722491375025</v>
      </c>
      <c r="AA23" s="6">
        <f>Deals_Raw!AC23</f>
        <v>40187.432316292958</v>
      </c>
      <c r="AB23" s="6">
        <f>Deals_Raw!AD23</f>
        <v>50533.290175082067</v>
      </c>
      <c r="AC23" s="8">
        <f>Deals_Raw!AE23</f>
        <v>0.55702036742362093</v>
      </c>
      <c r="AD23" t="str">
        <f>Deals_Raw!AF23</f>
        <v>Lost</v>
      </c>
      <c r="AE23">
        <f>Deals_Raw!AG23</f>
        <v>0</v>
      </c>
      <c r="AF23">
        <f>Deals_Raw!AH23</f>
        <v>0</v>
      </c>
      <c r="AG23" t="str">
        <f>Deals_Raw!AI23</f>
        <v>No</v>
      </c>
      <c r="AH23" s="6">
        <f>Deals_Raw!AJ23</f>
        <v>0</v>
      </c>
      <c r="AI23" s="6">
        <f>Deals_Raw!AK23</f>
        <v>0</v>
      </c>
      <c r="AJ23" t="str">
        <f>Deals_Raw!AL23</f>
        <v>First purchase under this contract</v>
      </c>
      <c r="AK23" s="9">
        <f t="shared" si="0"/>
        <v>5.8833333333333337</v>
      </c>
      <c r="AL23" s="8">
        <f t="shared" si="1"/>
        <v>0.80499987508643622</v>
      </c>
      <c r="AM23" s="8">
        <f t="shared" si="2"/>
        <v>2.2999999999999993E-2</v>
      </c>
      <c r="AN23" t="str">
        <f>IF(AC23&lt;Pricing_Policy!$C$10,"Below Floor","Pass")</f>
        <v>Pass</v>
      </c>
      <c r="AO23" t="str">
        <f>IF(V23&gt;Pricing_Policy!$C$7,"Exception","Standard")</f>
        <v>Standard</v>
      </c>
      <c r="AP23" t="str">
        <f t="shared" si="3"/>
        <v>Pass</v>
      </c>
      <c r="AQ23">
        <f t="shared" si="4"/>
        <v>0</v>
      </c>
      <c r="AR23" s="8">
        <f t="shared" si="5"/>
        <v>0</v>
      </c>
      <c r="AS23">
        <f t="shared" si="6"/>
        <v>1</v>
      </c>
    </row>
    <row r="24" spans="1:45">
      <c r="A24" t="str">
        <f>Deals_Raw!A24</f>
        <v>D00026</v>
      </c>
      <c r="B24">
        <f>Deals_Raw!B24</f>
        <v>45504</v>
      </c>
      <c r="C24" t="str">
        <f>Deals_Raw!C24</f>
        <v>C0007</v>
      </c>
      <c r="D24" t="str">
        <f>Deals_Raw!D24</f>
        <v>FIN-0007</v>
      </c>
      <c r="E24" t="str">
        <f>Deals_Raw!E24</f>
        <v>CT00015</v>
      </c>
      <c r="F24" t="str">
        <f>Deals_Raw!F24</f>
        <v>Finance</v>
      </c>
      <c r="G24" t="str">
        <f>Deals_Raw!G24</f>
        <v>Financial Services</v>
      </c>
      <c r="H24" t="str">
        <f>Deals_Raw!H24</f>
        <v>Northeast</v>
      </c>
      <c r="I24" t="str">
        <f>Deals_Raw!I24</f>
        <v>Northeast Commercial</v>
      </c>
      <c r="J24" t="str">
        <f>Deals_Raw!J24</f>
        <v>Mid-Market</v>
      </c>
      <c r="K24" t="str">
        <f>Deals_Raw!K24</f>
        <v>No</v>
      </c>
      <c r="L24">
        <f>Deals_Raw!L24</f>
        <v>43160</v>
      </c>
      <c r="M24">
        <f>Deals_Raw!M24</f>
        <v>47</v>
      </c>
      <c r="N24" t="str">
        <f>Deals_Raw!N24</f>
        <v>Nexus Insights</v>
      </c>
      <c r="O24" t="str">
        <f>Deals_Raw!O24</f>
        <v>Renewal</v>
      </c>
      <c r="P24">
        <f>Deals_Raw!P24</f>
        <v>0</v>
      </c>
      <c r="Q24">
        <f>Deals_Raw!Q24</f>
        <v>1</v>
      </c>
      <c r="R24">
        <f>Deals_Raw!R24</f>
        <v>305</v>
      </c>
      <c r="S24" t="str">
        <f>Deals_Raw!S24</f>
        <v>T. Brooks</v>
      </c>
      <c r="T24" s="6">
        <f>Deals_Raw!T24</f>
        <v>65414.549504257782</v>
      </c>
      <c r="U24" s="8">
        <f>Deals_Raw!V24</f>
        <v>0.16300000000000001</v>
      </c>
      <c r="V24" s="8">
        <f>Deals_Raw!W24</f>
        <v>0.14899999999999999</v>
      </c>
      <c r="W24" s="8">
        <f>Deals_Raw!X24</f>
        <v>-2.3E-2</v>
      </c>
      <c r="X24" t="str">
        <f>Deals_Raw!Y24</f>
        <v>Renewal retention risk</v>
      </c>
      <c r="Y24" t="str">
        <f>Deals_Raw!Z24</f>
        <v>Pricing Analyst</v>
      </c>
      <c r="Z24" s="6">
        <f>Deals_Raw!AA24</f>
        <v>55639.639669748693</v>
      </c>
      <c r="AA24" s="6">
        <f>Deals_Raw!AC24</f>
        <v>19905.246992212054</v>
      </c>
      <c r="AB24" s="6">
        <f>Deals_Raw!AD24</f>
        <v>35734.392677536642</v>
      </c>
      <c r="AC24" s="8">
        <f>Deals_Raw!AE24</f>
        <v>0.64224701830636499</v>
      </c>
      <c r="AD24" t="str">
        <f>Deals_Raw!AF24</f>
        <v>Lost</v>
      </c>
      <c r="AE24" t="str">
        <f>Deals_Raw!AG24</f>
        <v>No</v>
      </c>
      <c r="AF24">
        <f>Deals_Raw!AH24</f>
        <v>0</v>
      </c>
      <c r="AG24" t="str">
        <f>Deals_Raw!AI24</f>
        <v>No</v>
      </c>
      <c r="AH24" s="6">
        <f>Deals_Raw!AJ24</f>
        <v>0</v>
      </c>
      <c r="AI24" s="6">
        <f>Deals_Raw!AK24</f>
        <v>0</v>
      </c>
      <c r="AJ24" t="str">
        <f>Deals_Raw!AL24</f>
        <v>Renewal of existing active contract</v>
      </c>
      <c r="AK24" s="9">
        <f t="shared" si="0"/>
        <v>6.416666666666667</v>
      </c>
      <c r="AL24" s="8">
        <f t="shared" si="1"/>
        <v>0.85056979053455306</v>
      </c>
      <c r="AM24" s="8">
        <f t="shared" si="2"/>
        <v>1.4000000000000012E-2</v>
      </c>
      <c r="AN24" t="str">
        <f>IF(AC24&lt;Pricing_Policy!$C$10,"Below Floor","Pass")</f>
        <v>Pass</v>
      </c>
      <c r="AO24" t="str">
        <f>IF(V24&gt;Pricing_Policy!$C$7,"Exception","Standard")</f>
        <v>Standard</v>
      </c>
      <c r="AP24" t="str">
        <f t="shared" si="3"/>
        <v>Pass</v>
      </c>
      <c r="AQ24">
        <f t="shared" si="4"/>
        <v>0</v>
      </c>
      <c r="AR24" s="8">
        <f t="shared" si="5"/>
        <v>0</v>
      </c>
      <c r="AS24">
        <f t="shared" si="6"/>
        <v>1</v>
      </c>
    </row>
    <row r="25" spans="1:45">
      <c r="A25" t="str">
        <f>Deals_Raw!A25</f>
        <v>D00027</v>
      </c>
      <c r="B25">
        <f>Deals_Raw!B25</f>
        <v>45391</v>
      </c>
      <c r="C25" t="str">
        <f>Deals_Raw!C25</f>
        <v>C0007</v>
      </c>
      <c r="D25" t="str">
        <f>Deals_Raw!D25</f>
        <v>FIN-0007</v>
      </c>
      <c r="E25" t="str">
        <f>Deals_Raw!E25</f>
        <v>CT00016</v>
      </c>
      <c r="F25" t="str">
        <f>Deals_Raw!F25</f>
        <v>Corporate</v>
      </c>
      <c r="G25" t="str">
        <f>Deals_Raw!G25</f>
        <v>Financial Services</v>
      </c>
      <c r="H25" t="str">
        <f>Deals_Raw!H25</f>
        <v>Northeast</v>
      </c>
      <c r="I25" t="str">
        <f>Deals_Raw!I25</f>
        <v>Northeast Commercial</v>
      </c>
      <c r="J25" t="str">
        <f>Deals_Raw!J25</f>
        <v>Mid-Market</v>
      </c>
      <c r="K25" t="str">
        <f>Deals_Raw!K25</f>
        <v>No</v>
      </c>
      <c r="L25">
        <f>Deals_Raw!L25</f>
        <v>43160</v>
      </c>
      <c r="M25">
        <f>Deals_Raw!M25</f>
        <v>47</v>
      </c>
      <c r="N25" t="str">
        <f>Deals_Raw!N25</f>
        <v>Nexus Compliance</v>
      </c>
      <c r="O25" t="str">
        <f>Deals_Raw!O25</f>
        <v>Renewal</v>
      </c>
      <c r="P25">
        <f>Deals_Raw!P25</f>
        <v>0</v>
      </c>
      <c r="Q25">
        <f>Deals_Raw!Q25</f>
        <v>1</v>
      </c>
      <c r="R25">
        <f>Deals_Raw!R25</f>
        <v>227</v>
      </c>
      <c r="S25" t="str">
        <f>Deals_Raw!S25</f>
        <v>M. Johnson</v>
      </c>
      <c r="T25" s="6">
        <f>Deals_Raw!T25</f>
        <v>92718.099061046203</v>
      </c>
      <c r="U25" s="8">
        <f>Deals_Raw!V25</f>
        <v>0.19700000000000001</v>
      </c>
      <c r="V25" s="8">
        <f>Deals_Raw!W25</f>
        <v>0.19500000000000001</v>
      </c>
      <c r="W25" s="8">
        <f>Deals_Raw!X25</f>
        <v>-0.114</v>
      </c>
      <c r="X25" t="str">
        <f>Deals_Raw!Y25</f>
        <v>Renewal retention risk</v>
      </c>
      <c r="Y25" t="str">
        <f>Deals_Raw!Z25</f>
        <v>Pricing Analyst</v>
      </c>
      <c r="Z25" s="6">
        <f>Deals_Raw!AA25</f>
        <v>74619.853473984156</v>
      </c>
      <c r="AA25" s="6">
        <f>Deals_Raw!AC25</f>
        <v>35433.594947276732</v>
      </c>
      <c r="AB25" s="6">
        <f>Deals_Raw!AD25</f>
        <v>39186.258526707425</v>
      </c>
      <c r="AC25" s="8">
        <f>Deals_Raw!AE25</f>
        <v>0.52514520871271242</v>
      </c>
      <c r="AD25" t="str">
        <f>Deals_Raw!AF25</f>
        <v>Won</v>
      </c>
      <c r="AE25" t="str">
        <f>Deals_Raw!AG25</f>
        <v>Yes</v>
      </c>
      <c r="AF25">
        <f>Deals_Raw!AH25</f>
        <v>0</v>
      </c>
      <c r="AG25" t="str">
        <f>Deals_Raw!AI25</f>
        <v>No</v>
      </c>
      <c r="AH25" s="6">
        <f>Deals_Raw!AJ25</f>
        <v>74619.853473984156</v>
      </c>
      <c r="AI25" s="6">
        <f>Deals_Raw!AK25</f>
        <v>39186.258526707425</v>
      </c>
      <c r="AJ25" t="str">
        <f>Deals_Raw!AL25</f>
        <v>Renewal of existing active contract</v>
      </c>
      <c r="AK25" s="9">
        <f t="shared" si="0"/>
        <v>6.1055555555555552</v>
      </c>
      <c r="AL25" s="8">
        <f t="shared" si="1"/>
        <v>0.80480353059065579</v>
      </c>
      <c r="AM25" s="8">
        <f t="shared" si="2"/>
        <v>2.0000000000000018E-3</v>
      </c>
      <c r="AN25" t="str">
        <f>IF(AC25&lt;Pricing_Policy!$C$10,"Below Floor","Pass")</f>
        <v>Pass</v>
      </c>
      <c r="AO25" t="str">
        <f>IF(V25&gt;Pricing_Policy!$C$7,"Exception","Standard")</f>
        <v>Standard</v>
      </c>
      <c r="AP25" t="str">
        <f t="shared" si="3"/>
        <v>Pass</v>
      </c>
      <c r="AQ25">
        <f t="shared" si="4"/>
        <v>1</v>
      </c>
      <c r="AR25" s="8">
        <f t="shared" si="5"/>
        <v>0.52514520871271242</v>
      </c>
      <c r="AS25">
        <f t="shared" si="6"/>
        <v>2</v>
      </c>
    </row>
    <row r="26" spans="1:45">
      <c r="A26" t="str">
        <f>Deals_Raw!A26</f>
        <v>D00028</v>
      </c>
      <c r="B26">
        <f>Deals_Raw!B26</f>
        <v>45756</v>
      </c>
      <c r="C26" t="str">
        <f>Deals_Raw!C26</f>
        <v>C0007</v>
      </c>
      <c r="D26" t="str">
        <f>Deals_Raw!D26</f>
        <v>FIN-0007</v>
      </c>
      <c r="E26" t="str">
        <f>Deals_Raw!E26</f>
        <v>CT00016</v>
      </c>
      <c r="F26" t="str">
        <f>Deals_Raw!F26</f>
        <v>Corporate</v>
      </c>
      <c r="G26" t="str">
        <f>Deals_Raw!G26</f>
        <v>Financial Services</v>
      </c>
      <c r="H26" t="str">
        <f>Deals_Raw!H26</f>
        <v>Northeast</v>
      </c>
      <c r="I26" t="str">
        <f>Deals_Raw!I26</f>
        <v>Northeast Commercial</v>
      </c>
      <c r="J26" t="str">
        <f>Deals_Raw!J26</f>
        <v>Mid-Market</v>
      </c>
      <c r="K26" t="str">
        <f>Deals_Raw!K26</f>
        <v>No</v>
      </c>
      <c r="L26">
        <f>Deals_Raw!L26</f>
        <v>43160</v>
      </c>
      <c r="M26">
        <f>Deals_Raw!M26</f>
        <v>47</v>
      </c>
      <c r="N26" t="str">
        <f>Deals_Raw!N26</f>
        <v>Nexus Compliance</v>
      </c>
      <c r="O26" t="str">
        <f>Deals_Raw!O26</f>
        <v>Renewal</v>
      </c>
      <c r="P26">
        <f>Deals_Raw!P26</f>
        <v>0</v>
      </c>
      <c r="Q26">
        <f>Deals_Raw!Q26</f>
        <v>1</v>
      </c>
      <c r="R26">
        <f>Deals_Raw!R26</f>
        <v>227</v>
      </c>
      <c r="S26" t="str">
        <f>Deals_Raw!S26</f>
        <v>T. Brooks</v>
      </c>
      <c r="T26" s="6">
        <f>Deals_Raw!T26</f>
        <v>99705.747883316188</v>
      </c>
      <c r="U26" s="8">
        <f>Deals_Raw!V26</f>
        <v>0.20899999999999999</v>
      </c>
      <c r="V26" s="8">
        <f>Deals_Raw!W26</f>
        <v>0.17699999999999999</v>
      </c>
      <c r="W26" s="8">
        <f>Deals_Raw!X26</f>
        <v>1.2E-2</v>
      </c>
      <c r="X26" t="str">
        <f>Deals_Raw!Y26</f>
        <v>Renewal retention risk</v>
      </c>
      <c r="Y26" t="str">
        <f>Deals_Raw!Z26</f>
        <v>Pricing Analyst</v>
      </c>
      <c r="Z26" s="6">
        <f>Deals_Raw!AA26</f>
        <v>82087.56100594037</v>
      </c>
      <c r="AA26" s="6">
        <f>Deals_Raw!AC26</f>
        <v>37524.630797920596</v>
      </c>
      <c r="AB26" s="6">
        <f>Deals_Raw!AD26</f>
        <v>44562.930208019774</v>
      </c>
      <c r="AC26" s="8">
        <f>Deals_Raw!AE26</f>
        <v>0.54287068176864117</v>
      </c>
      <c r="AD26" t="str">
        <f>Deals_Raw!AF26</f>
        <v>Won</v>
      </c>
      <c r="AE26" t="str">
        <f>Deals_Raw!AG26</f>
        <v>Yes</v>
      </c>
      <c r="AF26">
        <f>Deals_Raw!AH26</f>
        <v>0</v>
      </c>
      <c r="AG26" t="str">
        <f>Deals_Raw!AI26</f>
        <v>No</v>
      </c>
      <c r="AH26" s="6">
        <f>Deals_Raw!AJ26</f>
        <v>82087.56100594037</v>
      </c>
      <c r="AI26" s="6">
        <f>Deals_Raw!AK26</f>
        <v>44562.930208019774</v>
      </c>
      <c r="AJ26" t="str">
        <f>Deals_Raw!AL26</f>
        <v>Renewal of existing active contract</v>
      </c>
      <c r="AK26" s="9">
        <f t="shared" si="0"/>
        <v>7.1055555555555552</v>
      </c>
      <c r="AL26" s="8">
        <f t="shared" si="1"/>
        <v>0.82329818238769881</v>
      </c>
      <c r="AM26" s="8">
        <f t="shared" si="2"/>
        <v>3.2000000000000001E-2</v>
      </c>
      <c r="AN26" t="str">
        <f>IF(AC26&lt;Pricing_Policy!$C$10,"Below Floor","Pass")</f>
        <v>Pass</v>
      </c>
      <c r="AO26" t="str">
        <f>IF(V26&gt;Pricing_Policy!$C$7,"Exception","Standard")</f>
        <v>Standard</v>
      </c>
      <c r="AP26" t="str">
        <f t="shared" si="3"/>
        <v>Pass</v>
      </c>
      <c r="AQ26">
        <f t="shared" si="4"/>
        <v>1</v>
      </c>
      <c r="AR26" s="8">
        <f t="shared" si="5"/>
        <v>0.54287068176864117</v>
      </c>
      <c r="AS26">
        <f t="shared" si="6"/>
        <v>2</v>
      </c>
    </row>
    <row r="27" spans="1:45">
      <c r="A27" t="str">
        <f>Deals_Raw!A27</f>
        <v>D00029</v>
      </c>
      <c r="B27">
        <f>Deals_Raw!B27</f>
        <v>45796</v>
      </c>
      <c r="C27" t="str">
        <f>Deals_Raw!C27</f>
        <v>C0007</v>
      </c>
      <c r="D27" t="str">
        <f>Deals_Raw!D27</f>
        <v>FIN-0007</v>
      </c>
      <c r="E27" t="str">
        <f>Deals_Raw!E27</f>
        <v>CT00017</v>
      </c>
      <c r="F27" t="str">
        <f>Deals_Raw!F27</f>
        <v>Technology</v>
      </c>
      <c r="G27" t="str">
        <f>Deals_Raw!G27</f>
        <v>Financial Services</v>
      </c>
      <c r="H27" t="str">
        <f>Deals_Raw!H27</f>
        <v>Northeast</v>
      </c>
      <c r="I27" t="str">
        <f>Deals_Raw!I27</f>
        <v>Northeast Commercial</v>
      </c>
      <c r="J27" t="str">
        <f>Deals_Raw!J27</f>
        <v>Mid-Market</v>
      </c>
      <c r="K27" t="str">
        <f>Deals_Raw!K27</f>
        <v>No</v>
      </c>
      <c r="L27">
        <f>Deals_Raw!L27</f>
        <v>43160</v>
      </c>
      <c r="M27">
        <f>Deals_Raw!M27</f>
        <v>47</v>
      </c>
      <c r="N27" t="str">
        <f>Deals_Raw!N27</f>
        <v>Nexus Enterprise Suite</v>
      </c>
      <c r="O27" t="str">
        <f>Deals_Raw!O27</f>
        <v>New Business</v>
      </c>
      <c r="P27">
        <f>Deals_Raw!P27</f>
        <v>0</v>
      </c>
      <c r="Q27">
        <f>Deals_Raw!Q27</f>
        <v>3</v>
      </c>
      <c r="R27">
        <f>Deals_Raw!R27</f>
        <v>133</v>
      </c>
      <c r="S27" t="str">
        <f>Deals_Raw!S27</f>
        <v>M. Johnson</v>
      </c>
      <c r="T27" s="6">
        <f>Deals_Raw!T27</f>
        <v>362900.54353028967</v>
      </c>
      <c r="U27" s="8">
        <f>Deals_Raw!V27</f>
        <v>0.14699999999999999</v>
      </c>
      <c r="V27" s="8">
        <f>Deals_Raw!W27</f>
        <v>0.112</v>
      </c>
      <c r="W27" s="8">
        <f>Deals_Raw!X27</f>
        <v>-0.14000000000000001</v>
      </c>
      <c r="X27" t="str">
        <f>Deals_Raw!Y27</f>
        <v>Strategic logo opportunity</v>
      </c>
      <c r="Y27" t="str">
        <f>Deals_Raw!Z27</f>
        <v>Pricing Analyst</v>
      </c>
      <c r="Z27" s="6">
        <f>Deals_Raw!AA27</f>
        <v>322206.15675560193</v>
      </c>
      <c r="AA27" s="6">
        <f>Deals_Raw!AC27</f>
        <v>137627.51091191306</v>
      </c>
      <c r="AB27" s="6">
        <f>Deals_Raw!AD27</f>
        <v>184578.64584368886</v>
      </c>
      <c r="AC27" s="8">
        <f>Deals_Raw!AE27</f>
        <v>0.57285884199815107</v>
      </c>
      <c r="AD27" t="str">
        <f>Deals_Raw!AF27</f>
        <v>Lost</v>
      </c>
      <c r="AE27">
        <f>Deals_Raw!AG27</f>
        <v>0</v>
      </c>
      <c r="AF27">
        <f>Deals_Raw!AH27</f>
        <v>0</v>
      </c>
      <c r="AG27" t="str">
        <f>Deals_Raw!AI27</f>
        <v>No</v>
      </c>
      <c r="AH27" s="6">
        <f>Deals_Raw!AJ27</f>
        <v>0</v>
      </c>
      <c r="AI27" s="6">
        <f>Deals_Raw!AK27</f>
        <v>0</v>
      </c>
      <c r="AJ27" t="str">
        <f>Deals_Raw!AL27</f>
        <v>First purchase under this contract</v>
      </c>
      <c r="AK27" s="9">
        <f t="shared" si="0"/>
        <v>7.2166666666666668</v>
      </c>
      <c r="AL27" s="8">
        <f t="shared" si="1"/>
        <v>0.88786352762436371</v>
      </c>
      <c r="AM27" s="8">
        <f t="shared" si="2"/>
        <v>3.4999999999999989E-2</v>
      </c>
      <c r="AN27" t="str">
        <f>IF(AC27&lt;Pricing_Policy!$C$10,"Below Floor","Pass")</f>
        <v>Pass</v>
      </c>
      <c r="AO27" t="str">
        <f>IF(V27&gt;Pricing_Policy!$C$7,"Exception","Standard")</f>
        <v>Standard</v>
      </c>
      <c r="AP27" t="str">
        <f t="shared" si="3"/>
        <v>Pass</v>
      </c>
      <c r="AQ27">
        <f t="shared" si="4"/>
        <v>0</v>
      </c>
      <c r="AR27" s="8">
        <f t="shared" si="5"/>
        <v>0</v>
      </c>
      <c r="AS27">
        <f t="shared" si="6"/>
        <v>1</v>
      </c>
    </row>
    <row r="28" spans="1:45">
      <c r="A28" t="str">
        <f>Deals_Raw!A28</f>
        <v>D00030</v>
      </c>
      <c r="B28">
        <f>Deals_Raw!B28</f>
        <v>45719</v>
      </c>
      <c r="C28" t="str">
        <f>Deals_Raw!C28</f>
        <v>C0008</v>
      </c>
      <c r="D28" t="str">
        <f>Deals_Raw!D28</f>
        <v>TEC-0008</v>
      </c>
      <c r="E28" t="str">
        <f>Deals_Raw!E28</f>
        <v>CT00018</v>
      </c>
      <c r="F28" t="str">
        <f>Deals_Raw!F28</f>
        <v>Legal</v>
      </c>
      <c r="G28" t="str">
        <f>Deals_Raw!G28</f>
        <v>Technology</v>
      </c>
      <c r="H28" t="str">
        <f>Deals_Raw!H28</f>
        <v>South</v>
      </c>
      <c r="I28" t="str">
        <f>Deals_Raw!I28</f>
        <v>South Enterprise</v>
      </c>
      <c r="J28" t="str">
        <f>Deals_Raw!J28</f>
        <v>Enterprise</v>
      </c>
      <c r="K28" t="str">
        <f>Deals_Raw!K28</f>
        <v>Yes</v>
      </c>
      <c r="L28">
        <f>Deals_Raw!L28</f>
        <v>45536</v>
      </c>
      <c r="M28">
        <f>Deals_Raw!M28</f>
        <v>71</v>
      </c>
      <c r="N28" t="str">
        <f>Deals_Raw!N28</f>
        <v>Nexus Compliance</v>
      </c>
      <c r="O28" t="str">
        <f>Deals_Raw!O28</f>
        <v>New Business</v>
      </c>
      <c r="P28">
        <f>Deals_Raw!P28</f>
        <v>0</v>
      </c>
      <c r="Q28">
        <f>Deals_Raw!Q28</f>
        <v>1</v>
      </c>
      <c r="R28">
        <f>Deals_Raw!R28</f>
        <v>796</v>
      </c>
      <c r="S28" t="str">
        <f>Deals_Raw!S28</f>
        <v>T. Brooks</v>
      </c>
      <c r="T28" s="6">
        <f>Deals_Raw!T28</f>
        <v>181007.60392663832</v>
      </c>
      <c r="U28" s="8">
        <f>Deals_Raw!V28</f>
        <v>0.25</v>
      </c>
      <c r="V28" s="8">
        <f>Deals_Raw!W28</f>
        <v>0.23400000000000001</v>
      </c>
      <c r="W28" s="8">
        <f>Deals_Raw!X28</f>
        <v>0.13400000000000001</v>
      </c>
      <c r="X28" t="str">
        <f>Deals_Raw!Y28</f>
        <v>Procurement requirement</v>
      </c>
      <c r="Y28" t="str">
        <f>Deals_Raw!Z28</f>
        <v>Business Manager</v>
      </c>
      <c r="Z28" s="6">
        <f>Deals_Raw!AA28</f>
        <v>138635.96416842093</v>
      </c>
      <c r="AA28" s="6">
        <f>Deals_Raw!AC28</f>
        <v>66961.706135230095</v>
      </c>
      <c r="AB28" s="6">
        <f>Deals_Raw!AD28</f>
        <v>71674.258033190839</v>
      </c>
      <c r="AC28" s="8">
        <f>Deals_Raw!AE28</f>
        <v>0.51699613778512676</v>
      </c>
      <c r="AD28" t="str">
        <f>Deals_Raw!AF28</f>
        <v>Lost</v>
      </c>
      <c r="AE28">
        <f>Deals_Raw!AG28</f>
        <v>0</v>
      </c>
      <c r="AF28">
        <f>Deals_Raw!AH28</f>
        <v>0</v>
      </c>
      <c r="AG28" t="str">
        <f>Deals_Raw!AI28</f>
        <v>No</v>
      </c>
      <c r="AH28" s="6">
        <f>Deals_Raw!AJ28</f>
        <v>0</v>
      </c>
      <c r="AI28" s="6">
        <f>Deals_Raw!AK28</f>
        <v>0</v>
      </c>
      <c r="AJ28" t="str">
        <f>Deals_Raw!AL28</f>
        <v>First purchase under this contract</v>
      </c>
      <c r="AK28" s="9">
        <f t="shared" si="0"/>
        <v>0.50555555555555554</v>
      </c>
      <c r="AL28" s="8">
        <f t="shared" si="1"/>
        <v>0.7659123769441728</v>
      </c>
      <c r="AM28" s="8">
        <f t="shared" si="2"/>
        <v>1.5999999999999986E-2</v>
      </c>
      <c r="AN28" t="str">
        <f>IF(AC28&lt;Pricing_Policy!$C$10,"Below Floor","Pass")</f>
        <v>Pass</v>
      </c>
      <c r="AO28" t="str">
        <f>IF(V28&gt;Pricing_Policy!$C$7,"Exception","Standard")</f>
        <v>Standard</v>
      </c>
      <c r="AP28" t="str">
        <f t="shared" si="3"/>
        <v>Pass</v>
      </c>
      <c r="AQ28">
        <f t="shared" si="4"/>
        <v>0</v>
      </c>
      <c r="AR28" s="8">
        <f t="shared" si="5"/>
        <v>0</v>
      </c>
      <c r="AS28">
        <f t="shared" si="6"/>
        <v>1</v>
      </c>
    </row>
    <row r="29" spans="1:45">
      <c r="A29" t="str">
        <f>Deals_Raw!A29</f>
        <v>D00031</v>
      </c>
      <c r="B29">
        <f>Deals_Raw!B29</f>
        <v>45830</v>
      </c>
      <c r="C29" t="str">
        <f>Deals_Raw!C29</f>
        <v>C0008</v>
      </c>
      <c r="D29" t="str">
        <f>Deals_Raw!D29</f>
        <v>TEC-0008</v>
      </c>
      <c r="E29" t="str">
        <f>Deals_Raw!E29</f>
        <v>CT00019</v>
      </c>
      <c r="F29" t="str">
        <f>Deals_Raw!F29</f>
        <v>Finance</v>
      </c>
      <c r="G29" t="str">
        <f>Deals_Raw!G29</f>
        <v>Technology</v>
      </c>
      <c r="H29" t="str">
        <f>Deals_Raw!H29</f>
        <v>South</v>
      </c>
      <c r="I29" t="str">
        <f>Deals_Raw!I29</f>
        <v>South Enterprise</v>
      </c>
      <c r="J29" t="str">
        <f>Deals_Raw!J29</f>
        <v>Enterprise</v>
      </c>
      <c r="K29" t="str">
        <f>Deals_Raw!K29</f>
        <v>Yes</v>
      </c>
      <c r="L29">
        <f>Deals_Raw!L29</f>
        <v>45536</v>
      </c>
      <c r="M29">
        <f>Deals_Raw!M29</f>
        <v>71</v>
      </c>
      <c r="N29" t="str">
        <f>Deals_Raw!N29</f>
        <v>Nexus Analytics</v>
      </c>
      <c r="O29" t="str">
        <f>Deals_Raw!O29</f>
        <v>New Business</v>
      </c>
      <c r="P29">
        <f>Deals_Raw!P29</f>
        <v>0</v>
      </c>
      <c r="Q29">
        <f>Deals_Raw!Q29</f>
        <v>1</v>
      </c>
      <c r="R29">
        <f>Deals_Raw!R29</f>
        <v>1345</v>
      </c>
      <c r="S29" t="str">
        <f>Deals_Raw!S29</f>
        <v>M. Johnson</v>
      </c>
      <c r="T29" s="6">
        <f>Deals_Raw!T29</f>
        <v>237976.41916023474</v>
      </c>
      <c r="U29" s="8">
        <f>Deals_Raw!V29</f>
        <v>0.105</v>
      </c>
      <c r="V29" s="8">
        <f>Deals_Raw!W29</f>
        <v>0.1</v>
      </c>
      <c r="W29" s="8">
        <f>Deals_Raw!X29</f>
        <v>7.0000000000000007E-2</v>
      </c>
      <c r="X29" t="str">
        <f>Deals_Raw!Y29</f>
        <v>Expansion opportunity</v>
      </c>
      <c r="Y29" t="str">
        <f>Deals_Raw!Z29</f>
        <v>Pricing Analyst</v>
      </c>
      <c r="Z29" s="6">
        <f>Deals_Raw!AA29</f>
        <v>214135.77996422813</v>
      </c>
      <c r="AA29" s="6">
        <f>Deals_Raw!AC29</f>
        <v>84085.734436483966</v>
      </c>
      <c r="AB29" s="6">
        <f>Deals_Raw!AD29</f>
        <v>130050.04552774417</v>
      </c>
      <c r="AC29" s="8">
        <f>Deals_Raw!AE29</f>
        <v>0.60732515392555753</v>
      </c>
      <c r="AD29" t="str">
        <f>Deals_Raw!AF29</f>
        <v>Lost</v>
      </c>
      <c r="AE29">
        <f>Deals_Raw!AG29</f>
        <v>0</v>
      </c>
      <c r="AF29">
        <f>Deals_Raw!AH29</f>
        <v>0</v>
      </c>
      <c r="AG29" t="str">
        <f>Deals_Raw!AI29</f>
        <v>No</v>
      </c>
      <c r="AH29" s="6">
        <f>Deals_Raw!AJ29</f>
        <v>0</v>
      </c>
      <c r="AI29" s="6">
        <f>Deals_Raw!AK29</f>
        <v>0</v>
      </c>
      <c r="AJ29" t="str">
        <f>Deals_Raw!AL29</f>
        <v>First purchase under this contract</v>
      </c>
      <c r="AK29" s="9">
        <f t="shared" si="0"/>
        <v>0.80833333333333335</v>
      </c>
      <c r="AL29" s="8">
        <f t="shared" si="1"/>
        <v>0.89981932125823705</v>
      </c>
      <c r="AM29" s="8">
        <f t="shared" si="2"/>
        <v>4.9999999999999906E-3</v>
      </c>
      <c r="AN29" t="str">
        <f>IF(AC29&lt;Pricing_Policy!$C$10,"Below Floor","Pass")</f>
        <v>Pass</v>
      </c>
      <c r="AO29" t="str">
        <f>IF(V29&gt;Pricing_Policy!$C$7,"Exception","Standard")</f>
        <v>Standard</v>
      </c>
      <c r="AP29" t="str">
        <f t="shared" si="3"/>
        <v>Review</v>
      </c>
      <c r="AQ29">
        <f t="shared" si="4"/>
        <v>0</v>
      </c>
      <c r="AR29" s="8">
        <f t="shared" si="5"/>
        <v>0</v>
      </c>
      <c r="AS29">
        <f t="shared" si="6"/>
        <v>1</v>
      </c>
    </row>
    <row r="30" spans="1:45">
      <c r="A30" t="str">
        <f>Deals_Raw!A30</f>
        <v>D00032</v>
      </c>
      <c r="B30">
        <f>Deals_Raw!B30</f>
        <v>45580</v>
      </c>
      <c r="C30" t="str">
        <f>Deals_Raw!C30</f>
        <v>C0009</v>
      </c>
      <c r="D30" t="str">
        <f>Deals_Raw!D30</f>
        <v>MAN-0009</v>
      </c>
      <c r="E30" t="str">
        <f>Deals_Raw!E30</f>
        <v>CT00020</v>
      </c>
      <c r="F30" t="str">
        <f>Deals_Raw!F30</f>
        <v>Sales</v>
      </c>
      <c r="G30" t="str">
        <f>Deals_Raw!G30</f>
        <v>Manufacturing</v>
      </c>
      <c r="H30" t="str">
        <f>Deals_Raw!H30</f>
        <v>Midwest</v>
      </c>
      <c r="I30" t="str">
        <f>Deals_Raw!I30</f>
        <v>Midwest Commercial</v>
      </c>
      <c r="J30" t="str">
        <f>Deals_Raw!J30</f>
        <v>SMB</v>
      </c>
      <c r="K30" t="str">
        <f>Deals_Raw!K30</f>
        <v>No</v>
      </c>
      <c r="L30">
        <f>Deals_Raw!L30</f>
        <v>44682</v>
      </c>
      <c r="M30">
        <f>Deals_Raw!M30</f>
        <v>38</v>
      </c>
      <c r="N30" t="str">
        <f>Deals_Raw!N30</f>
        <v>Nexus AI Assistant</v>
      </c>
      <c r="O30" t="str">
        <f>Deals_Raw!O30</f>
        <v>New Business</v>
      </c>
      <c r="P30">
        <f>Deals_Raw!P30</f>
        <v>0</v>
      </c>
      <c r="Q30">
        <f>Deals_Raw!Q30</f>
        <v>1</v>
      </c>
      <c r="R30">
        <f>Deals_Raw!R30</f>
        <v>75</v>
      </c>
      <c r="S30" t="str">
        <f>Deals_Raw!S30</f>
        <v>R. Singh</v>
      </c>
      <c r="T30" s="6">
        <f>Deals_Raw!T30</f>
        <v>41655.050931630954</v>
      </c>
      <c r="U30" s="8">
        <f>Deals_Raw!V30</f>
        <v>0.22600000000000001</v>
      </c>
      <c r="V30" s="8">
        <f>Deals_Raw!W30</f>
        <v>0.184</v>
      </c>
      <c r="W30" s="8">
        <f>Deals_Raw!X30</f>
        <v>-0.11700000000000001</v>
      </c>
      <c r="X30" t="str">
        <f>Deals_Raw!Y30</f>
        <v>Procurement requirement</v>
      </c>
      <c r="Y30" t="str">
        <f>Deals_Raw!Z30</f>
        <v>Pricing Analyst</v>
      </c>
      <c r="Z30" s="6">
        <f>Deals_Raw!AA30</f>
        <v>33993.638276106052</v>
      </c>
      <c r="AA30" s="6">
        <f>Deals_Raw!AC30</f>
        <v>17884.638519967157</v>
      </c>
      <c r="AB30" s="6">
        <f>Deals_Raw!AD30</f>
        <v>16108.999756138895</v>
      </c>
      <c r="AC30" s="8">
        <f>Deals_Raw!AE30</f>
        <v>0.47388277845686866</v>
      </c>
      <c r="AD30" t="str">
        <f>Deals_Raw!AF30</f>
        <v>Lost</v>
      </c>
      <c r="AE30">
        <f>Deals_Raw!AG30</f>
        <v>0</v>
      </c>
      <c r="AF30">
        <f>Deals_Raw!AH30</f>
        <v>0</v>
      </c>
      <c r="AG30" t="str">
        <f>Deals_Raw!AI30</f>
        <v>No</v>
      </c>
      <c r="AH30" s="6">
        <f>Deals_Raw!AJ30</f>
        <v>0</v>
      </c>
      <c r="AI30" s="6">
        <f>Deals_Raw!AK30</f>
        <v>0</v>
      </c>
      <c r="AJ30" t="str">
        <f>Deals_Raw!AL30</f>
        <v>First purchase under this contract</v>
      </c>
      <c r="AK30" s="9">
        <f t="shared" si="0"/>
        <v>2.4555555555555557</v>
      </c>
      <c r="AL30" s="8">
        <f t="shared" si="1"/>
        <v>0.81607482204019655</v>
      </c>
      <c r="AM30" s="8">
        <f t="shared" si="2"/>
        <v>4.200000000000001E-2</v>
      </c>
      <c r="AN30" t="str">
        <f>IF(AC30&lt;Pricing_Policy!$C$10,"Below Floor","Pass")</f>
        <v>Pass</v>
      </c>
      <c r="AO30" t="str">
        <f>IF(V30&gt;Pricing_Policy!$C$7,"Exception","Standard")</f>
        <v>Standard</v>
      </c>
      <c r="AP30" t="str">
        <f t="shared" si="3"/>
        <v>Pass</v>
      </c>
      <c r="AQ30">
        <f t="shared" si="4"/>
        <v>0</v>
      </c>
      <c r="AR30" s="8">
        <f t="shared" si="5"/>
        <v>0</v>
      </c>
      <c r="AS30">
        <f t="shared" si="6"/>
        <v>1</v>
      </c>
    </row>
    <row r="31" spans="1:45">
      <c r="A31" t="str">
        <f>Deals_Raw!A31</f>
        <v>D00033</v>
      </c>
      <c r="B31">
        <f>Deals_Raw!B31</f>
        <v>45882</v>
      </c>
      <c r="C31" t="str">
        <f>Deals_Raw!C31</f>
        <v>C0010</v>
      </c>
      <c r="D31" t="str">
        <f>Deals_Raw!D31</f>
        <v>LEG-0010</v>
      </c>
      <c r="E31" t="str">
        <f>Deals_Raw!E31</f>
        <v>CT00021</v>
      </c>
      <c r="F31" t="str">
        <f>Deals_Raw!F31</f>
        <v>Legal</v>
      </c>
      <c r="G31" t="str">
        <f>Deals_Raw!G31</f>
        <v>Legal</v>
      </c>
      <c r="H31" t="str">
        <f>Deals_Raw!H31</f>
        <v>West</v>
      </c>
      <c r="I31" t="str">
        <f>Deals_Raw!I31</f>
        <v>West Commercial</v>
      </c>
      <c r="J31" t="str">
        <f>Deals_Raw!J31</f>
        <v>Mid-Market</v>
      </c>
      <c r="K31" t="str">
        <f>Deals_Raw!K31</f>
        <v>No</v>
      </c>
      <c r="L31">
        <f>Deals_Raw!L31</f>
        <v>44348</v>
      </c>
      <c r="M31">
        <f>Deals_Raw!M31</f>
        <v>59</v>
      </c>
      <c r="N31" t="str">
        <f>Deals_Raw!N31</f>
        <v>Nexus Analytics</v>
      </c>
      <c r="O31" t="str">
        <f>Deals_Raw!O31</f>
        <v>Renewal</v>
      </c>
      <c r="P31">
        <f>Deals_Raw!P31</f>
        <v>0</v>
      </c>
      <c r="Q31">
        <f>Deals_Raw!Q31</f>
        <v>2</v>
      </c>
      <c r="R31">
        <f>Deals_Raw!R31</f>
        <v>207</v>
      </c>
      <c r="S31" t="str">
        <f>Deals_Raw!S31</f>
        <v>D. Chen</v>
      </c>
      <c r="T31" s="6">
        <f>Deals_Raw!T31</f>
        <v>139960.12649665176</v>
      </c>
      <c r="U31" s="8">
        <f>Deals_Raw!V31</f>
        <v>0.20399999999999999</v>
      </c>
      <c r="V31" s="8">
        <f>Deals_Raw!W31</f>
        <v>0.156</v>
      </c>
      <c r="W31" s="8">
        <f>Deals_Raw!X31</f>
        <v>-1E-3</v>
      </c>
      <c r="X31" t="str">
        <f>Deals_Raw!Y31</f>
        <v>Renewal retention risk</v>
      </c>
      <c r="Y31" t="str">
        <f>Deals_Raw!Z31</f>
        <v>Pricing Analyst</v>
      </c>
      <c r="Z31" s="6">
        <f>Deals_Raw!AA31</f>
        <v>118066.05037244645</v>
      </c>
      <c r="AA31" s="6">
        <f>Deals_Raw!AC31</f>
        <v>43010.709834581547</v>
      </c>
      <c r="AB31" s="6">
        <f>Deals_Raw!AD31</f>
        <v>75055.340537864904</v>
      </c>
      <c r="AC31" s="8">
        <f>Deals_Raw!AE31</f>
        <v>0.63570637199345892</v>
      </c>
      <c r="AD31" t="str">
        <f>Deals_Raw!AF31</f>
        <v>Lost</v>
      </c>
      <c r="AE31" t="str">
        <f>Deals_Raw!AG31</f>
        <v>No</v>
      </c>
      <c r="AF31">
        <f>Deals_Raw!AH31</f>
        <v>0</v>
      </c>
      <c r="AG31" t="str">
        <f>Deals_Raw!AI31</f>
        <v>No</v>
      </c>
      <c r="AH31" s="6">
        <f>Deals_Raw!AJ31</f>
        <v>0</v>
      </c>
      <c r="AI31" s="6">
        <f>Deals_Raw!AK31</f>
        <v>0</v>
      </c>
      <c r="AJ31" t="str">
        <f>Deals_Raw!AL31</f>
        <v>Renewal of existing active contract</v>
      </c>
      <c r="AK31" s="9">
        <f t="shared" si="0"/>
        <v>4.2</v>
      </c>
      <c r="AL31" s="8">
        <f t="shared" si="1"/>
        <v>0.84356918879514531</v>
      </c>
      <c r="AM31" s="8">
        <f t="shared" si="2"/>
        <v>4.7999999999999987E-2</v>
      </c>
      <c r="AN31" t="str">
        <f>IF(AC31&lt;Pricing_Policy!$C$10,"Below Floor","Pass")</f>
        <v>Pass</v>
      </c>
      <c r="AO31" t="str">
        <f>IF(V31&gt;Pricing_Policy!$C$7,"Exception","Standard")</f>
        <v>Standard</v>
      </c>
      <c r="AP31" t="str">
        <f t="shared" si="3"/>
        <v>Pass</v>
      </c>
      <c r="AQ31">
        <f t="shared" si="4"/>
        <v>0</v>
      </c>
      <c r="AR31" s="8">
        <f t="shared" si="5"/>
        <v>0</v>
      </c>
      <c r="AS31">
        <f t="shared" si="6"/>
        <v>1</v>
      </c>
    </row>
    <row r="32" spans="1:45">
      <c r="A32" t="str">
        <f>Deals_Raw!A32</f>
        <v>D00034</v>
      </c>
      <c r="B32">
        <f>Deals_Raw!B32</f>
        <v>45298</v>
      </c>
      <c r="C32" t="str">
        <f>Deals_Raw!C32</f>
        <v>C0011</v>
      </c>
      <c r="D32" t="str">
        <f>Deals_Raw!D32</f>
        <v>TEC-0011</v>
      </c>
      <c r="E32" t="str">
        <f>Deals_Raw!E32</f>
        <v>CT00022</v>
      </c>
      <c r="F32" t="str">
        <f>Deals_Raw!F32</f>
        <v>Sales</v>
      </c>
      <c r="G32" t="str">
        <f>Deals_Raw!G32</f>
        <v>Technology</v>
      </c>
      <c r="H32" t="str">
        <f>Deals_Raw!H32</f>
        <v>Midwest</v>
      </c>
      <c r="I32" t="str">
        <f>Deals_Raw!I32</f>
        <v>Midwest Enterprise</v>
      </c>
      <c r="J32" t="str">
        <f>Deals_Raw!J32</f>
        <v>Enterprise</v>
      </c>
      <c r="K32" t="str">
        <f>Deals_Raw!K32</f>
        <v>Yes</v>
      </c>
      <c r="L32">
        <f>Deals_Raw!L32</f>
        <v>44197</v>
      </c>
      <c r="M32">
        <f>Deals_Raw!M32</f>
        <v>45</v>
      </c>
      <c r="N32" t="str">
        <f>Deals_Raw!N32</f>
        <v>Nexus Compliance</v>
      </c>
      <c r="O32" t="str">
        <f>Deals_Raw!O32</f>
        <v>New Business</v>
      </c>
      <c r="P32">
        <f>Deals_Raw!P32</f>
        <v>0</v>
      </c>
      <c r="Q32">
        <f>Deals_Raw!Q32</f>
        <v>1</v>
      </c>
      <c r="R32">
        <f>Deals_Raw!R32</f>
        <v>628</v>
      </c>
      <c r="S32" t="str">
        <f>Deals_Raw!S32</f>
        <v>A. Patel</v>
      </c>
      <c r="T32" s="6">
        <f>Deals_Raw!T32</f>
        <v>253577.76661081877</v>
      </c>
      <c r="U32" s="8">
        <f>Deals_Raw!V32</f>
        <v>0.17100000000000001</v>
      </c>
      <c r="V32" s="8">
        <f>Deals_Raw!W32</f>
        <v>0.13400000000000001</v>
      </c>
      <c r="W32" s="8">
        <f>Deals_Raw!X32</f>
        <v>4.3999999999999997E-2</v>
      </c>
      <c r="X32" t="str">
        <f>Deals_Raw!Y32</f>
        <v>Volume purchase</v>
      </c>
      <c r="Y32" t="str">
        <f>Deals_Raw!Z32</f>
        <v>Pricing Analyst</v>
      </c>
      <c r="Z32" s="6">
        <f>Deals_Raw!AA32</f>
        <v>219611.37895489178</v>
      </c>
      <c r="AA32" s="6">
        <f>Deals_Raw!AC32</f>
        <v>106942.15176128368</v>
      </c>
      <c r="AB32" s="6">
        <f>Deals_Raw!AD32</f>
        <v>112669.22719360811</v>
      </c>
      <c r="AC32" s="8">
        <f>Deals_Raw!AE32</f>
        <v>0.51303911359142451</v>
      </c>
      <c r="AD32" t="str">
        <f>Deals_Raw!AF32</f>
        <v>Lost</v>
      </c>
      <c r="AE32">
        <f>Deals_Raw!AG32</f>
        <v>0</v>
      </c>
      <c r="AF32">
        <f>Deals_Raw!AH32</f>
        <v>0</v>
      </c>
      <c r="AG32" t="str">
        <f>Deals_Raw!AI32</f>
        <v>No</v>
      </c>
      <c r="AH32" s="6">
        <f>Deals_Raw!AJ32</f>
        <v>0</v>
      </c>
      <c r="AI32" s="6">
        <f>Deals_Raw!AK32</f>
        <v>0</v>
      </c>
      <c r="AJ32" t="str">
        <f>Deals_Raw!AL32</f>
        <v>First purchase under this contract</v>
      </c>
      <c r="AK32" s="9">
        <f t="shared" si="0"/>
        <v>3.0166666666666666</v>
      </c>
      <c r="AL32" s="8">
        <f t="shared" si="1"/>
        <v>0.8660513967375647</v>
      </c>
      <c r="AM32" s="8">
        <f t="shared" si="2"/>
        <v>3.7000000000000005E-2</v>
      </c>
      <c r="AN32" t="str">
        <f>IF(AC32&lt;Pricing_Policy!$C$10,"Below Floor","Pass")</f>
        <v>Pass</v>
      </c>
      <c r="AO32" t="str">
        <f>IF(V32&gt;Pricing_Policy!$C$7,"Exception","Standard")</f>
        <v>Standard</v>
      </c>
      <c r="AP32" t="str">
        <f t="shared" si="3"/>
        <v>Pass</v>
      </c>
      <c r="AQ32">
        <f t="shared" si="4"/>
        <v>0</v>
      </c>
      <c r="AR32" s="8">
        <f t="shared" si="5"/>
        <v>0</v>
      </c>
      <c r="AS32">
        <f t="shared" si="6"/>
        <v>3</v>
      </c>
    </row>
    <row r="33" spans="1:45">
      <c r="A33" t="str">
        <f>Deals_Raw!A33</f>
        <v>D00035</v>
      </c>
      <c r="B33">
        <f>Deals_Raw!B33</f>
        <v>45386</v>
      </c>
      <c r="C33" t="str">
        <f>Deals_Raw!C33</f>
        <v>C0011</v>
      </c>
      <c r="D33" t="str">
        <f>Deals_Raw!D33</f>
        <v>TEC-0011</v>
      </c>
      <c r="E33" t="str">
        <f>Deals_Raw!E33</f>
        <v>CT00023</v>
      </c>
      <c r="F33" t="str">
        <f>Deals_Raw!F33</f>
        <v>Corporate</v>
      </c>
      <c r="G33" t="str">
        <f>Deals_Raw!G33</f>
        <v>Technology</v>
      </c>
      <c r="H33" t="str">
        <f>Deals_Raw!H33</f>
        <v>Midwest</v>
      </c>
      <c r="I33" t="str">
        <f>Deals_Raw!I33</f>
        <v>Midwest Enterprise</v>
      </c>
      <c r="J33" t="str">
        <f>Deals_Raw!J33</f>
        <v>Enterprise</v>
      </c>
      <c r="K33" t="str">
        <f>Deals_Raw!K33</f>
        <v>Yes</v>
      </c>
      <c r="L33">
        <f>Deals_Raw!L33</f>
        <v>44197</v>
      </c>
      <c r="M33">
        <f>Deals_Raw!M33</f>
        <v>45</v>
      </c>
      <c r="N33" t="str">
        <f>Deals_Raw!N33</f>
        <v>Nexus Compliance</v>
      </c>
      <c r="O33" t="str">
        <f>Deals_Raw!O33</f>
        <v>New Business</v>
      </c>
      <c r="P33">
        <f>Deals_Raw!P33</f>
        <v>0</v>
      </c>
      <c r="Q33">
        <f>Deals_Raw!Q33</f>
        <v>3</v>
      </c>
      <c r="R33">
        <f>Deals_Raw!R33</f>
        <v>1885</v>
      </c>
      <c r="S33" t="str">
        <f>Deals_Raw!S33</f>
        <v>S. Rivera</v>
      </c>
      <c r="T33" s="6">
        <f>Deals_Raw!T33</f>
        <v>468080.85100970516</v>
      </c>
      <c r="U33" s="8">
        <f>Deals_Raw!V33</f>
        <v>0.184</v>
      </c>
      <c r="V33" s="8">
        <f>Deals_Raw!W33</f>
        <v>0.152</v>
      </c>
      <c r="W33" s="8">
        <f>Deals_Raw!X33</f>
        <v>-0.18</v>
      </c>
      <c r="X33" t="str">
        <f>Deals_Raw!Y33</f>
        <v>Strategic logo opportunity</v>
      </c>
      <c r="Y33" t="str">
        <f>Deals_Raw!Z33</f>
        <v>Pricing Analyst</v>
      </c>
      <c r="Z33" s="6">
        <f>Deals_Raw!AA33</f>
        <v>396827.14668511221</v>
      </c>
      <c r="AA33" s="6">
        <f>Deals_Raw!AC33</f>
        <v>177287.52057713308</v>
      </c>
      <c r="AB33" s="6">
        <f>Deals_Raw!AD33</f>
        <v>219539.62610797913</v>
      </c>
      <c r="AC33" s="8">
        <f>Deals_Raw!AE33</f>
        <v>0.55323741821067207</v>
      </c>
      <c r="AD33" t="str">
        <f>Deals_Raw!AF33</f>
        <v>Lost</v>
      </c>
      <c r="AE33">
        <f>Deals_Raw!AG33</f>
        <v>0</v>
      </c>
      <c r="AF33">
        <f>Deals_Raw!AH33</f>
        <v>0</v>
      </c>
      <c r="AG33" t="str">
        <f>Deals_Raw!AI33</f>
        <v>No</v>
      </c>
      <c r="AH33" s="6">
        <f>Deals_Raw!AJ33</f>
        <v>0</v>
      </c>
      <c r="AI33" s="6">
        <f>Deals_Raw!AK33</f>
        <v>0</v>
      </c>
      <c r="AJ33" t="str">
        <f>Deals_Raw!AL33</f>
        <v>First purchase under this contract</v>
      </c>
      <c r="AK33" s="9">
        <f t="shared" si="0"/>
        <v>3.2583333333333333</v>
      </c>
      <c r="AL33" s="8">
        <f t="shared" si="1"/>
        <v>0.84777479324161542</v>
      </c>
      <c r="AM33" s="8">
        <f t="shared" si="2"/>
        <v>3.2000000000000001E-2</v>
      </c>
      <c r="AN33" t="str">
        <f>IF(AC33&lt;Pricing_Policy!$C$10,"Below Floor","Pass")</f>
        <v>Pass</v>
      </c>
      <c r="AO33" t="str">
        <f>IF(V33&gt;Pricing_Policy!$C$7,"Exception","Standard")</f>
        <v>Standard</v>
      </c>
      <c r="AP33" t="str">
        <f t="shared" si="3"/>
        <v>Pass</v>
      </c>
      <c r="AQ33">
        <f t="shared" si="4"/>
        <v>0</v>
      </c>
      <c r="AR33" s="8">
        <f t="shared" si="5"/>
        <v>0</v>
      </c>
      <c r="AS33">
        <f t="shared" si="6"/>
        <v>3</v>
      </c>
    </row>
    <row r="34" spans="1:45">
      <c r="A34" t="str">
        <f>Deals_Raw!A34</f>
        <v>D00036</v>
      </c>
      <c r="B34">
        <f>Deals_Raw!B34</f>
        <v>45719</v>
      </c>
      <c r="C34" t="str">
        <f>Deals_Raw!C34</f>
        <v>C0011</v>
      </c>
      <c r="D34" t="str">
        <f>Deals_Raw!D34</f>
        <v>TEC-0011</v>
      </c>
      <c r="E34" t="str">
        <f>Deals_Raw!E34</f>
        <v>CT00023</v>
      </c>
      <c r="F34" t="str">
        <f>Deals_Raw!F34</f>
        <v>Corporate</v>
      </c>
      <c r="G34" t="str">
        <f>Deals_Raw!G34</f>
        <v>Technology</v>
      </c>
      <c r="H34" t="str">
        <f>Deals_Raw!H34</f>
        <v>Midwest</v>
      </c>
      <c r="I34" t="str">
        <f>Deals_Raw!I34</f>
        <v>Midwest Enterprise</v>
      </c>
      <c r="J34" t="str">
        <f>Deals_Raw!J34</f>
        <v>Enterprise</v>
      </c>
      <c r="K34" t="str">
        <f>Deals_Raw!K34</f>
        <v>Yes</v>
      </c>
      <c r="L34">
        <f>Deals_Raw!L34</f>
        <v>44197</v>
      </c>
      <c r="M34">
        <f>Deals_Raw!M34</f>
        <v>45</v>
      </c>
      <c r="N34" t="str">
        <f>Deals_Raw!N34</f>
        <v>Nexus Compliance</v>
      </c>
      <c r="O34" t="str">
        <f>Deals_Raw!O34</f>
        <v>Win-back</v>
      </c>
      <c r="P34">
        <f>Deals_Raw!P34</f>
        <v>0</v>
      </c>
      <c r="Q34">
        <f>Deals_Raw!Q34</f>
        <v>3</v>
      </c>
      <c r="R34">
        <f>Deals_Raw!R34</f>
        <v>1885</v>
      </c>
      <c r="S34" t="str">
        <f>Deals_Raw!S34</f>
        <v>A. Patel</v>
      </c>
      <c r="T34" s="6">
        <f>Deals_Raw!T34</f>
        <v>468080.85100970516</v>
      </c>
      <c r="U34" s="8">
        <f>Deals_Raw!V34</f>
        <v>0.182</v>
      </c>
      <c r="V34" s="8">
        <f>Deals_Raw!W34</f>
        <v>0.17100000000000001</v>
      </c>
      <c r="W34" s="8">
        <f>Deals_Raw!X34</f>
        <v>-0.13500000000000001</v>
      </c>
      <c r="X34" t="str">
        <f>Deals_Raw!Y34</f>
        <v>Renewal retention risk</v>
      </c>
      <c r="Y34" t="str">
        <f>Deals_Raw!Z34</f>
        <v>Pricing Analyst</v>
      </c>
      <c r="Z34" s="6">
        <f>Deals_Raw!AA34</f>
        <v>387889.10276917927</v>
      </c>
      <c r="AA34" s="6">
        <f>Deals_Raw!AC34</f>
        <v>167433.57391995599</v>
      </c>
      <c r="AB34" s="6">
        <f>Deals_Raw!AD34</f>
        <v>220455.52884922328</v>
      </c>
      <c r="AC34" s="8">
        <f>Deals_Raw!AE34</f>
        <v>0.5683467962244082</v>
      </c>
      <c r="AD34" t="str">
        <f>Deals_Raw!AF34</f>
        <v>Won</v>
      </c>
      <c r="AE34">
        <f>Deals_Raw!AG34</f>
        <v>0</v>
      </c>
      <c r="AF34">
        <f>Deals_Raw!AH34</f>
        <v>0</v>
      </c>
      <c r="AG34" t="str">
        <f>Deals_Raw!AI34</f>
        <v>Yes</v>
      </c>
      <c r="AH34" s="6">
        <f>Deals_Raw!AJ34</f>
        <v>387889.10276917927</v>
      </c>
      <c r="AI34" s="6">
        <f>Deals_Raw!AK34</f>
        <v>220455.52884922328</v>
      </c>
      <c r="AJ34" t="str">
        <f>Deals_Raw!AL34</f>
        <v>Customer returned after prior lost initial opportunity</v>
      </c>
      <c r="AK34" s="9">
        <f t="shared" si="0"/>
        <v>4.1722222222222225</v>
      </c>
      <c r="AL34" s="8">
        <f t="shared" si="1"/>
        <v>0.82867970764549992</v>
      </c>
      <c r="AM34" s="8">
        <f t="shared" si="2"/>
        <v>1.0999999999999982E-2</v>
      </c>
      <c r="AN34" t="str">
        <f>IF(AC34&lt;Pricing_Policy!$C$10,"Below Floor","Pass")</f>
        <v>Pass</v>
      </c>
      <c r="AO34" t="str">
        <f>IF(V34&gt;Pricing_Policy!$C$7,"Exception","Standard")</f>
        <v>Standard</v>
      </c>
      <c r="AP34" t="str">
        <f t="shared" si="3"/>
        <v>Pass</v>
      </c>
      <c r="AQ34">
        <f t="shared" si="4"/>
        <v>1</v>
      </c>
      <c r="AR34" s="8">
        <f t="shared" si="5"/>
        <v>0.5683467962244082</v>
      </c>
      <c r="AS34">
        <f t="shared" si="6"/>
        <v>3</v>
      </c>
    </row>
    <row r="35" spans="1:45">
      <c r="A35" t="str">
        <f>Deals_Raw!A35</f>
        <v>D00037</v>
      </c>
      <c r="B35">
        <f>Deals_Raw!B35</f>
        <v>45776</v>
      </c>
      <c r="C35" t="str">
        <f>Deals_Raw!C35</f>
        <v>C0012</v>
      </c>
      <c r="D35" t="str">
        <f>Deals_Raw!D35</f>
        <v>TEC-0012</v>
      </c>
      <c r="E35" t="str">
        <f>Deals_Raw!E35</f>
        <v>CT00024</v>
      </c>
      <c r="F35" t="str">
        <f>Deals_Raw!F35</f>
        <v>Operations</v>
      </c>
      <c r="G35" t="str">
        <f>Deals_Raw!G35</f>
        <v>Technology</v>
      </c>
      <c r="H35" t="str">
        <f>Deals_Raw!H35</f>
        <v>Midwest</v>
      </c>
      <c r="I35" t="str">
        <f>Deals_Raw!I35</f>
        <v>Midwest Commercial</v>
      </c>
      <c r="J35" t="str">
        <f>Deals_Raw!J35</f>
        <v>Mid-Market</v>
      </c>
      <c r="K35" t="str">
        <f>Deals_Raw!K35</f>
        <v>No</v>
      </c>
      <c r="L35">
        <f>Deals_Raw!L35</f>
        <v>44531</v>
      </c>
      <c r="M35">
        <f>Deals_Raw!M35</f>
        <v>69</v>
      </c>
      <c r="N35" t="str">
        <f>Deals_Raw!N35</f>
        <v>Nexus Compliance</v>
      </c>
      <c r="O35" t="str">
        <f>Deals_Raw!O35</f>
        <v>New Business</v>
      </c>
      <c r="P35">
        <f>Deals_Raw!P35</f>
        <v>0</v>
      </c>
      <c r="Q35">
        <f>Deals_Raw!Q35</f>
        <v>1</v>
      </c>
      <c r="R35">
        <f>Deals_Raw!R35</f>
        <v>338</v>
      </c>
      <c r="S35" t="str">
        <f>Deals_Raw!S35</f>
        <v>M. Johnson</v>
      </c>
      <c r="T35" s="6">
        <f>Deals_Raw!T35</f>
        <v>173097.35487898233</v>
      </c>
      <c r="U35" s="8">
        <f>Deals_Raw!V35</f>
        <v>0.124</v>
      </c>
      <c r="V35" s="8">
        <f>Deals_Raw!W35</f>
        <v>7.9000000000000001E-2</v>
      </c>
      <c r="W35" s="8">
        <f>Deals_Raw!X35</f>
        <v>-4.8000000000000001E-2</v>
      </c>
      <c r="X35" t="str">
        <f>Deals_Raw!Y35</f>
        <v>Expansion opportunity</v>
      </c>
      <c r="Y35" t="str">
        <f>Deals_Raw!Z35</f>
        <v>Sales Manager</v>
      </c>
      <c r="Z35" s="6">
        <f>Deals_Raw!AA35</f>
        <v>159491.64409505556</v>
      </c>
      <c r="AA35" s="6">
        <f>Deals_Raw!AC35</f>
        <v>61793.252981050959</v>
      </c>
      <c r="AB35" s="6">
        <f>Deals_Raw!AD35</f>
        <v>97698.391114004597</v>
      </c>
      <c r="AC35" s="8">
        <f>Deals_Raw!AE35</f>
        <v>0.61256118882176203</v>
      </c>
      <c r="AD35" t="str">
        <f>Deals_Raw!AF35</f>
        <v>Won</v>
      </c>
      <c r="AE35">
        <f>Deals_Raw!AG35</f>
        <v>0</v>
      </c>
      <c r="AF35">
        <f>Deals_Raw!AH35</f>
        <v>0</v>
      </c>
      <c r="AG35" t="str">
        <f>Deals_Raw!AI35</f>
        <v>No</v>
      </c>
      <c r="AH35" s="6">
        <f>Deals_Raw!AJ35</f>
        <v>159491.64409505556</v>
      </c>
      <c r="AI35" s="6">
        <f>Deals_Raw!AK35</f>
        <v>97698.391114004597</v>
      </c>
      <c r="AJ35" t="str">
        <f>Deals_Raw!AL35</f>
        <v>First purchase under this contract</v>
      </c>
      <c r="AK35" s="9">
        <f t="shared" si="0"/>
        <v>3.411111111111111</v>
      </c>
      <c r="AL35" s="8">
        <f t="shared" si="1"/>
        <v>0.92139850552055558</v>
      </c>
      <c r="AM35" s="8">
        <f t="shared" si="2"/>
        <v>4.4999999999999998E-2</v>
      </c>
      <c r="AN35" t="str">
        <f>IF(AC35&lt;Pricing_Policy!$C$10,"Below Floor","Pass")</f>
        <v>Pass</v>
      </c>
      <c r="AO35" t="str">
        <f>IF(V35&gt;Pricing_Policy!$C$7,"Exception","Standard")</f>
        <v>Standard</v>
      </c>
      <c r="AP35" t="str">
        <f t="shared" si="3"/>
        <v>Pass</v>
      </c>
      <c r="AQ35">
        <f t="shared" si="4"/>
        <v>1</v>
      </c>
      <c r="AR35" s="8">
        <f t="shared" si="5"/>
        <v>0.61256118882176203</v>
      </c>
      <c r="AS35">
        <f t="shared" si="6"/>
        <v>1</v>
      </c>
    </row>
    <row r="36" spans="1:45">
      <c r="A36" t="str">
        <f>Deals_Raw!A36</f>
        <v>D00038</v>
      </c>
      <c r="B36">
        <f>Deals_Raw!B36</f>
        <v>45702</v>
      </c>
      <c r="C36" t="str">
        <f>Deals_Raw!C36</f>
        <v>C0012</v>
      </c>
      <c r="D36" t="str">
        <f>Deals_Raw!D36</f>
        <v>TEC-0012</v>
      </c>
      <c r="E36" t="str">
        <f>Deals_Raw!E36</f>
        <v>CT00025</v>
      </c>
      <c r="F36" t="str">
        <f>Deals_Raw!F36</f>
        <v>Legal</v>
      </c>
      <c r="G36" t="str">
        <f>Deals_Raw!G36</f>
        <v>Technology</v>
      </c>
      <c r="H36" t="str">
        <f>Deals_Raw!H36</f>
        <v>Midwest</v>
      </c>
      <c r="I36" t="str">
        <f>Deals_Raw!I36</f>
        <v>Midwest Commercial</v>
      </c>
      <c r="J36" t="str">
        <f>Deals_Raw!J36</f>
        <v>Mid-Market</v>
      </c>
      <c r="K36" t="str">
        <f>Deals_Raw!K36</f>
        <v>No</v>
      </c>
      <c r="L36">
        <f>Deals_Raw!L36</f>
        <v>44531</v>
      </c>
      <c r="M36">
        <f>Deals_Raw!M36</f>
        <v>69</v>
      </c>
      <c r="N36" t="str">
        <f>Deals_Raw!N36</f>
        <v>Nexus Analytics</v>
      </c>
      <c r="O36" t="str">
        <f>Deals_Raw!O36</f>
        <v>Renewal</v>
      </c>
      <c r="P36">
        <f>Deals_Raw!P36</f>
        <v>0</v>
      </c>
      <c r="Q36">
        <f>Deals_Raw!Q36</f>
        <v>3</v>
      </c>
      <c r="R36">
        <f>Deals_Raw!R36</f>
        <v>213</v>
      </c>
      <c r="S36" t="str">
        <f>Deals_Raw!S36</f>
        <v>A. Patel</v>
      </c>
      <c r="T36" s="6">
        <f>Deals_Raw!T36</f>
        <v>120002.85621004306</v>
      </c>
      <c r="U36" s="8">
        <f>Deals_Raw!V36</f>
        <v>6.9000000000000006E-2</v>
      </c>
      <c r="V36" s="8">
        <f>Deals_Raw!W36</f>
        <v>5.6000000000000001E-2</v>
      </c>
      <c r="W36" s="8">
        <f>Deals_Raw!X36</f>
        <v>-1.7999999999999999E-2</v>
      </c>
      <c r="X36" t="str">
        <f>Deals_Raw!Y36</f>
        <v>Budget constraint</v>
      </c>
      <c r="Y36" t="str">
        <f>Deals_Raw!Z36</f>
        <v>Sales Manager</v>
      </c>
      <c r="Z36" s="6">
        <f>Deals_Raw!AA36</f>
        <v>113266.1200032303</v>
      </c>
      <c r="AA36" s="6">
        <f>Deals_Raw!AC36</f>
        <v>38550.371158741174</v>
      </c>
      <c r="AB36" s="6">
        <f>Deals_Raw!AD36</f>
        <v>74715.748844489135</v>
      </c>
      <c r="AC36" s="8">
        <f>Deals_Raw!AE36</f>
        <v>0.65964781739109868</v>
      </c>
      <c r="AD36" t="str">
        <f>Deals_Raw!AF36</f>
        <v>Won</v>
      </c>
      <c r="AE36" t="str">
        <f>Deals_Raw!AG36</f>
        <v>Yes</v>
      </c>
      <c r="AF36">
        <f>Deals_Raw!AH36</f>
        <v>0</v>
      </c>
      <c r="AG36" t="str">
        <f>Deals_Raw!AI36</f>
        <v>No</v>
      </c>
      <c r="AH36" s="6">
        <f>Deals_Raw!AJ36</f>
        <v>113266.1200032303</v>
      </c>
      <c r="AI36" s="6">
        <f>Deals_Raw!AK36</f>
        <v>74715.748844489135</v>
      </c>
      <c r="AJ36" t="str">
        <f>Deals_Raw!AL36</f>
        <v>Renewal of existing active contract</v>
      </c>
      <c r="AK36" s="9">
        <f t="shared" si="0"/>
        <v>3.2027777777777779</v>
      </c>
      <c r="AL36" s="8">
        <f t="shared" si="1"/>
        <v>0.94386186779570203</v>
      </c>
      <c r="AM36" s="8">
        <f t="shared" si="2"/>
        <v>1.3000000000000005E-2</v>
      </c>
      <c r="AN36" t="str">
        <f>IF(AC36&lt;Pricing_Policy!$C$10,"Below Floor","Pass")</f>
        <v>Pass</v>
      </c>
      <c r="AO36" t="str">
        <f>IF(V36&gt;Pricing_Policy!$C$7,"Exception","Standard")</f>
        <v>Standard</v>
      </c>
      <c r="AP36" t="str">
        <f t="shared" si="3"/>
        <v>Pass</v>
      </c>
      <c r="AQ36">
        <f t="shared" si="4"/>
        <v>1</v>
      </c>
      <c r="AR36" s="8">
        <f t="shared" si="5"/>
        <v>0.65964781739109868</v>
      </c>
      <c r="AS36">
        <f t="shared" si="6"/>
        <v>1</v>
      </c>
    </row>
    <row r="37" spans="1:45">
      <c r="A37" t="str">
        <f>Deals_Raw!A37</f>
        <v>D00039</v>
      </c>
      <c r="B37">
        <f>Deals_Raw!B37</f>
        <v>45551</v>
      </c>
      <c r="C37" t="str">
        <f>Deals_Raw!C37</f>
        <v>C0013</v>
      </c>
      <c r="D37" t="str">
        <f>Deals_Raw!D37</f>
        <v>FIN-0013</v>
      </c>
      <c r="E37" t="str">
        <f>Deals_Raw!E37</f>
        <v>CT00027</v>
      </c>
      <c r="F37" t="str">
        <f>Deals_Raw!F37</f>
        <v>Finance</v>
      </c>
      <c r="G37" t="str">
        <f>Deals_Raw!G37</f>
        <v>Financial Services</v>
      </c>
      <c r="H37" t="str">
        <f>Deals_Raw!H37</f>
        <v>West</v>
      </c>
      <c r="I37" t="str">
        <f>Deals_Raw!I37</f>
        <v>West Commercial</v>
      </c>
      <c r="J37" t="str">
        <f>Deals_Raw!J37</f>
        <v>Mid-Market</v>
      </c>
      <c r="K37" t="str">
        <f>Deals_Raw!K37</f>
        <v>No</v>
      </c>
      <c r="L37">
        <f>Deals_Raw!L37</f>
        <v>44531</v>
      </c>
      <c r="M37">
        <f>Deals_Raw!M37</f>
        <v>67</v>
      </c>
      <c r="N37" t="str">
        <f>Deals_Raw!N37</f>
        <v>Nexus AI Assistant</v>
      </c>
      <c r="O37" t="str">
        <f>Deals_Raw!O37</f>
        <v>Renewal</v>
      </c>
      <c r="P37">
        <f>Deals_Raw!P37</f>
        <v>0</v>
      </c>
      <c r="Q37">
        <f>Deals_Raw!Q37</f>
        <v>1</v>
      </c>
      <c r="R37">
        <f>Deals_Raw!R37</f>
        <v>280</v>
      </c>
      <c r="S37" t="str">
        <f>Deals_Raw!S37</f>
        <v>T. Brooks</v>
      </c>
      <c r="T37" s="6">
        <f>Deals_Raw!T37</f>
        <v>55186.783711223899</v>
      </c>
      <c r="U37" s="8">
        <f>Deals_Raw!V37</f>
        <v>0.2</v>
      </c>
      <c r="V37" s="8">
        <f>Deals_Raw!W37</f>
        <v>0.17799999999999999</v>
      </c>
      <c r="W37" s="8">
        <f>Deals_Raw!X37</f>
        <v>-7.2999999999999995E-2</v>
      </c>
      <c r="X37" t="str">
        <f>Deals_Raw!Y37</f>
        <v>Multi-year commitment</v>
      </c>
      <c r="Y37" t="str">
        <f>Deals_Raw!Z37</f>
        <v>Pricing Analyst</v>
      </c>
      <c r="Z37" s="6">
        <f>Deals_Raw!AA37</f>
        <v>45368.134815524143</v>
      </c>
      <c r="AA37" s="6">
        <f>Deals_Raw!AC37</f>
        <v>21810.707359076958</v>
      </c>
      <c r="AB37" s="6">
        <f>Deals_Raw!AD37</f>
        <v>23557.427456447185</v>
      </c>
      <c r="AC37" s="8">
        <f>Deals_Raw!AE37</f>
        <v>0.51925051695945557</v>
      </c>
      <c r="AD37" t="str">
        <f>Deals_Raw!AF37</f>
        <v>Won</v>
      </c>
      <c r="AE37" t="str">
        <f>Deals_Raw!AG37</f>
        <v>Yes</v>
      </c>
      <c r="AF37">
        <f>Deals_Raw!AH37</f>
        <v>0</v>
      </c>
      <c r="AG37" t="str">
        <f>Deals_Raw!AI37</f>
        <v>No</v>
      </c>
      <c r="AH37" s="6">
        <f>Deals_Raw!AJ37</f>
        <v>45368.134815524143</v>
      </c>
      <c r="AI37" s="6">
        <f>Deals_Raw!AK37</f>
        <v>23557.427456447185</v>
      </c>
      <c r="AJ37" t="str">
        <f>Deals_Raw!AL37</f>
        <v>Renewal of existing active contract</v>
      </c>
      <c r="AK37" s="9">
        <f t="shared" si="0"/>
        <v>2.7916666666666665</v>
      </c>
      <c r="AL37" s="8">
        <f t="shared" si="1"/>
        <v>0.82208332801060058</v>
      </c>
      <c r="AM37" s="8">
        <f t="shared" si="2"/>
        <v>2.200000000000002E-2</v>
      </c>
      <c r="AN37" t="str">
        <f>IF(AC37&lt;Pricing_Policy!$C$10,"Below Floor","Pass")</f>
        <v>Pass</v>
      </c>
      <c r="AO37" t="str">
        <f>IF(V37&gt;Pricing_Policy!$C$7,"Exception","Standard")</f>
        <v>Standard</v>
      </c>
      <c r="AP37" t="str">
        <f t="shared" si="3"/>
        <v>Pass</v>
      </c>
      <c r="AQ37">
        <f t="shared" si="4"/>
        <v>1</v>
      </c>
      <c r="AR37" s="8">
        <f t="shared" si="5"/>
        <v>0.51925051695945557</v>
      </c>
      <c r="AS37">
        <f t="shared" si="6"/>
        <v>3</v>
      </c>
    </row>
    <row r="38" spans="1:45">
      <c r="A38" t="str">
        <f>Deals_Raw!A38</f>
        <v>D00040</v>
      </c>
      <c r="B38">
        <f>Deals_Raw!B38</f>
        <v>45750</v>
      </c>
      <c r="C38" t="str">
        <f>Deals_Raw!C38</f>
        <v>C0013</v>
      </c>
      <c r="D38" t="str">
        <f>Deals_Raw!D38</f>
        <v>FIN-0013</v>
      </c>
      <c r="E38" t="str">
        <f>Deals_Raw!E38</f>
        <v>CT00027</v>
      </c>
      <c r="F38" t="str">
        <f>Deals_Raw!F38</f>
        <v>Finance</v>
      </c>
      <c r="G38" t="str">
        <f>Deals_Raw!G38</f>
        <v>Financial Services</v>
      </c>
      <c r="H38" t="str">
        <f>Deals_Raw!H38</f>
        <v>West</v>
      </c>
      <c r="I38" t="str">
        <f>Deals_Raw!I38</f>
        <v>West Commercial</v>
      </c>
      <c r="J38" t="str">
        <f>Deals_Raw!J38</f>
        <v>Mid-Market</v>
      </c>
      <c r="K38" t="str">
        <f>Deals_Raw!K38</f>
        <v>No</v>
      </c>
      <c r="L38">
        <f>Deals_Raw!L38</f>
        <v>44531</v>
      </c>
      <c r="M38">
        <f>Deals_Raw!M38</f>
        <v>67</v>
      </c>
      <c r="N38" t="str">
        <f>Deals_Raw!N38</f>
        <v>Nexus AI Assistant</v>
      </c>
      <c r="O38" t="str">
        <f>Deals_Raw!O38</f>
        <v>Expansion</v>
      </c>
      <c r="P38" t="str">
        <f>Deals_Raw!P38</f>
        <v>Storage / Usage Expansion</v>
      </c>
      <c r="Q38">
        <f>Deals_Raw!Q38</f>
        <v>1</v>
      </c>
      <c r="R38">
        <f>Deals_Raw!R38</f>
        <v>397</v>
      </c>
      <c r="S38" t="str">
        <f>Deals_Raw!S38</f>
        <v>T. Brooks</v>
      </c>
      <c r="T38" s="6">
        <f>Deals_Raw!T38</f>
        <v>66130.910891404186</v>
      </c>
      <c r="U38" s="8">
        <f>Deals_Raw!V38</f>
        <v>0.187</v>
      </c>
      <c r="V38" s="8">
        <f>Deals_Raw!W38</f>
        <v>0.16500000000000001</v>
      </c>
      <c r="W38" s="8">
        <f>Deals_Raw!X38</f>
        <v>-1.7000000000000001E-2</v>
      </c>
      <c r="X38" t="str">
        <f>Deals_Raw!Y38</f>
        <v>Expansion opportunity</v>
      </c>
      <c r="Y38" t="str">
        <f>Deals_Raw!Z38</f>
        <v>Pricing Analyst</v>
      </c>
      <c r="Z38" s="6">
        <f>Deals_Raw!AA38</f>
        <v>55225.688310959304</v>
      </c>
      <c r="AA38" s="6">
        <f>Deals_Raw!AC38</f>
        <v>25358.410636038767</v>
      </c>
      <c r="AB38" s="6">
        <f>Deals_Raw!AD38</f>
        <v>29867.277674920537</v>
      </c>
      <c r="AC38" s="8">
        <f>Deals_Raw!AE38</f>
        <v>0.54082218960761241</v>
      </c>
      <c r="AD38" t="str">
        <f>Deals_Raw!AF38</f>
        <v>Won</v>
      </c>
      <c r="AE38">
        <f>Deals_Raw!AG38</f>
        <v>0</v>
      </c>
      <c r="AF38" t="str">
        <f>Deals_Raw!AH38</f>
        <v>Yes</v>
      </c>
      <c r="AG38" t="str">
        <f>Deals_Raw!AI38</f>
        <v>No</v>
      </c>
      <c r="AH38" s="6">
        <f>Deals_Raw!AJ38</f>
        <v>55225.688310959304</v>
      </c>
      <c r="AI38" s="6">
        <f>Deals_Raw!AK38</f>
        <v>29867.277674920537</v>
      </c>
      <c r="AJ38" t="str">
        <f>Deals_Raw!AL38</f>
        <v>Expansion allowed because contract was active</v>
      </c>
      <c r="AK38" s="9">
        <f t="shared" si="0"/>
        <v>3.338888888888889</v>
      </c>
      <c r="AL38" s="8">
        <f t="shared" si="1"/>
        <v>0.83509644078012601</v>
      </c>
      <c r="AM38" s="8">
        <f t="shared" si="2"/>
        <v>2.1999999999999992E-2</v>
      </c>
      <c r="AN38" t="str">
        <f>IF(AC38&lt;Pricing_Policy!$C$10,"Below Floor","Pass")</f>
        <v>Pass</v>
      </c>
      <c r="AO38" t="str">
        <f>IF(V38&gt;Pricing_Policy!$C$7,"Exception","Standard")</f>
        <v>Standard</v>
      </c>
      <c r="AP38" t="str">
        <f t="shared" si="3"/>
        <v>Pass</v>
      </c>
      <c r="AQ38">
        <f t="shared" si="4"/>
        <v>1</v>
      </c>
      <c r="AR38" s="8">
        <f t="shared" si="5"/>
        <v>0.54082218960761241</v>
      </c>
      <c r="AS38">
        <f t="shared" si="6"/>
        <v>3</v>
      </c>
    </row>
    <row r="39" spans="1:45">
      <c r="A39" t="str">
        <f>Deals_Raw!A39</f>
        <v>D00041</v>
      </c>
      <c r="B39">
        <f>Deals_Raw!B39</f>
        <v>45916</v>
      </c>
      <c r="C39" t="str">
        <f>Deals_Raw!C39</f>
        <v>C0013</v>
      </c>
      <c r="D39" t="str">
        <f>Deals_Raw!D39</f>
        <v>FIN-0013</v>
      </c>
      <c r="E39" t="str">
        <f>Deals_Raw!E39</f>
        <v>CT00027</v>
      </c>
      <c r="F39" t="str">
        <f>Deals_Raw!F39</f>
        <v>Finance</v>
      </c>
      <c r="G39" t="str">
        <f>Deals_Raw!G39</f>
        <v>Financial Services</v>
      </c>
      <c r="H39" t="str">
        <f>Deals_Raw!H39</f>
        <v>West</v>
      </c>
      <c r="I39" t="str">
        <f>Deals_Raw!I39</f>
        <v>West Commercial</v>
      </c>
      <c r="J39" t="str">
        <f>Deals_Raw!J39</f>
        <v>Mid-Market</v>
      </c>
      <c r="K39" t="str">
        <f>Deals_Raw!K39</f>
        <v>No</v>
      </c>
      <c r="L39">
        <f>Deals_Raw!L39</f>
        <v>44531</v>
      </c>
      <c r="M39">
        <f>Deals_Raw!M39</f>
        <v>67</v>
      </c>
      <c r="N39" t="str">
        <f>Deals_Raw!N39</f>
        <v>Nexus AI Assistant</v>
      </c>
      <c r="O39" t="str">
        <f>Deals_Raw!O39</f>
        <v>Renewal</v>
      </c>
      <c r="P39">
        <f>Deals_Raw!P39</f>
        <v>0</v>
      </c>
      <c r="Q39">
        <f>Deals_Raw!Q39</f>
        <v>1</v>
      </c>
      <c r="R39">
        <f>Deals_Raw!R39</f>
        <v>397</v>
      </c>
      <c r="S39" t="str">
        <f>Deals_Raw!S39</f>
        <v>A. Patel</v>
      </c>
      <c r="T39" s="6">
        <f>Deals_Raw!T39</f>
        <v>67469.034078249926</v>
      </c>
      <c r="U39" s="8">
        <f>Deals_Raw!V39</f>
        <v>7.6999999999999999E-2</v>
      </c>
      <c r="V39" s="8">
        <f>Deals_Raw!W39</f>
        <v>3.4000000000000002E-2</v>
      </c>
      <c r="W39" s="8">
        <f>Deals_Raw!X39</f>
        <v>-2.9000000000000001E-2</v>
      </c>
      <c r="X39" t="str">
        <f>Deals_Raw!Y39</f>
        <v>Budget constraint</v>
      </c>
      <c r="Y39" t="str">
        <f>Deals_Raw!Z39</f>
        <v>Sales Manager</v>
      </c>
      <c r="Z39" s="6">
        <f>Deals_Raw!AA39</f>
        <v>65189.490557432808</v>
      </c>
      <c r="AA39" s="6">
        <f>Deals_Raw!AC39</f>
        <v>25848.650271161565</v>
      </c>
      <c r="AB39" s="6">
        <f>Deals_Raw!AD39</f>
        <v>39340.840286271239</v>
      </c>
      <c r="AC39" s="8">
        <f>Deals_Raw!AE39</f>
        <v>0.60348439525864117</v>
      </c>
      <c r="AD39" t="str">
        <f>Deals_Raw!AF39</f>
        <v>Won</v>
      </c>
      <c r="AE39" t="str">
        <f>Deals_Raw!AG39</f>
        <v>Yes</v>
      </c>
      <c r="AF39">
        <f>Deals_Raw!AH39</f>
        <v>0</v>
      </c>
      <c r="AG39" t="str">
        <f>Deals_Raw!AI39</f>
        <v>No</v>
      </c>
      <c r="AH39" s="6">
        <f>Deals_Raw!AJ39</f>
        <v>65189.490557432808</v>
      </c>
      <c r="AI39" s="6">
        <f>Deals_Raw!AK39</f>
        <v>39340.840286271239</v>
      </c>
      <c r="AJ39" t="str">
        <f>Deals_Raw!AL39</f>
        <v>Renewal of existing active contract</v>
      </c>
      <c r="AK39" s="9">
        <f t="shared" si="0"/>
        <v>3.7916666666666665</v>
      </c>
      <c r="AL39" s="8">
        <f t="shared" si="1"/>
        <v>0.96621348516456707</v>
      </c>
      <c r="AM39" s="8">
        <f t="shared" si="2"/>
        <v>4.2999999999999997E-2</v>
      </c>
      <c r="AN39" t="str">
        <f>IF(AC39&lt;Pricing_Policy!$C$10,"Below Floor","Pass")</f>
        <v>Pass</v>
      </c>
      <c r="AO39" t="str">
        <f>IF(V39&gt;Pricing_Policy!$C$7,"Exception","Standard")</f>
        <v>Standard</v>
      </c>
      <c r="AP39" t="str">
        <f t="shared" si="3"/>
        <v>Pass</v>
      </c>
      <c r="AQ39">
        <f t="shared" si="4"/>
        <v>1</v>
      </c>
      <c r="AR39" s="8">
        <f t="shared" si="5"/>
        <v>0.60348439525864117</v>
      </c>
      <c r="AS39">
        <f t="shared" si="6"/>
        <v>3</v>
      </c>
    </row>
    <row r="40" spans="1:45">
      <c r="A40" t="str">
        <f>Deals_Raw!A40</f>
        <v>D00042</v>
      </c>
      <c r="B40">
        <f>Deals_Raw!B40</f>
        <v>45719</v>
      </c>
      <c r="C40" t="str">
        <f>Deals_Raw!C40</f>
        <v>C0013</v>
      </c>
      <c r="D40" t="str">
        <f>Deals_Raw!D40</f>
        <v>FIN-0013</v>
      </c>
      <c r="E40" t="str">
        <f>Deals_Raw!E40</f>
        <v>CT00028</v>
      </c>
      <c r="F40" t="str">
        <f>Deals_Raw!F40</f>
        <v>Technology</v>
      </c>
      <c r="G40" t="str">
        <f>Deals_Raw!G40</f>
        <v>Financial Services</v>
      </c>
      <c r="H40" t="str">
        <f>Deals_Raw!H40</f>
        <v>West</v>
      </c>
      <c r="I40" t="str">
        <f>Deals_Raw!I40</f>
        <v>West Commercial</v>
      </c>
      <c r="J40" t="str">
        <f>Deals_Raw!J40</f>
        <v>Mid-Market</v>
      </c>
      <c r="K40" t="str">
        <f>Deals_Raw!K40</f>
        <v>No</v>
      </c>
      <c r="L40">
        <f>Deals_Raw!L40</f>
        <v>44531</v>
      </c>
      <c r="M40">
        <f>Deals_Raw!M40</f>
        <v>67</v>
      </c>
      <c r="N40" t="str">
        <f>Deals_Raw!N40</f>
        <v>Nexus Analytics</v>
      </c>
      <c r="O40" t="str">
        <f>Deals_Raw!O40</f>
        <v>New Business</v>
      </c>
      <c r="P40">
        <f>Deals_Raw!P40</f>
        <v>0</v>
      </c>
      <c r="Q40">
        <f>Deals_Raw!Q40</f>
        <v>3</v>
      </c>
      <c r="R40">
        <f>Deals_Raw!R40</f>
        <v>115</v>
      </c>
      <c r="S40" t="str">
        <f>Deals_Raw!S40</f>
        <v>S. Rivera</v>
      </c>
      <c r="T40" s="6">
        <f>Deals_Raw!T40</f>
        <v>102198.76502877213</v>
      </c>
      <c r="U40" s="8">
        <f>Deals_Raw!V40</f>
        <v>6.9000000000000006E-2</v>
      </c>
      <c r="V40" s="8">
        <f>Deals_Raw!W40</f>
        <v>5.0999999999999997E-2</v>
      </c>
      <c r="W40" s="8">
        <f>Deals_Raw!X40</f>
        <v>3.1E-2</v>
      </c>
      <c r="X40" t="str">
        <f>Deals_Raw!Y40</f>
        <v>Verified competitor pressure</v>
      </c>
      <c r="Y40" t="str">
        <f>Deals_Raw!Z40</f>
        <v>Sales Manager</v>
      </c>
      <c r="Z40" s="6">
        <f>Deals_Raw!AA40</f>
        <v>97031.657896035671</v>
      </c>
      <c r="AA40" s="6">
        <f>Deals_Raw!AC40</f>
        <v>35647.422251724754</v>
      </c>
      <c r="AB40" s="6">
        <f>Deals_Raw!AD40</f>
        <v>61384.235644310917</v>
      </c>
      <c r="AC40" s="8">
        <f>Deals_Raw!AE40</f>
        <v>0.632620703132589</v>
      </c>
      <c r="AD40" t="str">
        <f>Deals_Raw!AF40</f>
        <v>Won</v>
      </c>
      <c r="AE40">
        <f>Deals_Raw!AG40</f>
        <v>0</v>
      </c>
      <c r="AF40">
        <f>Deals_Raw!AH40</f>
        <v>0</v>
      </c>
      <c r="AG40" t="str">
        <f>Deals_Raw!AI40</f>
        <v>No</v>
      </c>
      <c r="AH40" s="6">
        <f>Deals_Raw!AJ40</f>
        <v>97031.657896035671</v>
      </c>
      <c r="AI40" s="6">
        <f>Deals_Raw!AK40</f>
        <v>61384.235644310917</v>
      </c>
      <c r="AJ40" t="str">
        <f>Deals_Raw!AL40</f>
        <v>First purchase under this contract</v>
      </c>
      <c r="AK40" s="9">
        <f t="shared" si="0"/>
        <v>3.2555555555555555</v>
      </c>
      <c r="AL40" s="8">
        <f t="shared" si="1"/>
        <v>0.94944061084024101</v>
      </c>
      <c r="AM40" s="8">
        <f t="shared" si="2"/>
        <v>1.8000000000000009E-2</v>
      </c>
      <c r="AN40" t="str">
        <f>IF(AC40&lt;Pricing_Policy!$C$10,"Below Floor","Pass")</f>
        <v>Pass</v>
      </c>
      <c r="AO40" t="str">
        <f>IF(V40&gt;Pricing_Policy!$C$7,"Exception","Standard")</f>
        <v>Standard</v>
      </c>
      <c r="AP40" t="str">
        <f t="shared" si="3"/>
        <v>Pass</v>
      </c>
      <c r="AQ40">
        <f t="shared" si="4"/>
        <v>1</v>
      </c>
      <c r="AR40" s="8">
        <f t="shared" si="5"/>
        <v>0.632620703132589</v>
      </c>
      <c r="AS40">
        <f t="shared" si="6"/>
        <v>3</v>
      </c>
    </row>
    <row r="41" spans="1:45">
      <c r="A41" t="str">
        <f>Deals_Raw!A41</f>
        <v>D00043</v>
      </c>
      <c r="B41">
        <f>Deals_Raw!B41</f>
        <v>45343</v>
      </c>
      <c r="C41" t="str">
        <f>Deals_Raw!C41</f>
        <v>C0013</v>
      </c>
      <c r="D41" t="str">
        <f>Deals_Raw!D41</f>
        <v>FIN-0013</v>
      </c>
      <c r="E41" t="str">
        <f>Deals_Raw!E41</f>
        <v>CT00029</v>
      </c>
      <c r="F41" t="str">
        <f>Deals_Raw!F41</f>
        <v>Operations</v>
      </c>
      <c r="G41" t="str">
        <f>Deals_Raw!G41</f>
        <v>Financial Services</v>
      </c>
      <c r="H41" t="str">
        <f>Deals_Raw!H41</f>
        <v>West</v>
      </c>
      <c r="I41" t="str">
        <f>Deals_Raw!I41</f>
        <v>West Commercial</v>
      </c>
      <c r="J41" t="str">
        <f>Deals_Raw!J41</f>
        <v>Mid-Market</v>
      </c>
      <c r="K41" t="str">
        <f>Deals_Raw!K41</f>
        <v>No</v>
      </c>
      <c r="L41">
        <f>Deals_Raw!L41</f>
        <v>44531</v>
      </c>
      <c r="M41">
        <f>Deals_Raw!M41</f>
        <v>67</v>
      </c>
      <c r="N41" t="str">
        <f>Deals_Raw!N41</f>
        <v>Nexus Analytics</v>
      </c>
      <c r="O41" t="str">
        <f>Deals_Raw!O41</f>
        <v>Renewal</v>
      </c>
      <c r="P41">
        <f>Deals_Raw!P41</f>
        <v>0</v>
      </c>
      <c r="Q41">
        <f>Deals_Raw!Q41</f>
        <v>1</v>
      </c>
      <c r="R41">
        <f>Deals_Raw!R41</f>
        <v>264</v>
      </c>
      <c r="S41" t="str">
        <f>Deals_Raw!S41</f>
        <v>T. Brooks</v>
      </c>
      <c r="T41" s="6">
        <f>Deals_Raw!T41</f>
        <v>109848.93217139826</v>
      </c>
      <c r="U41" s="8">
        <f>Deals_Raw!V41</f>
        <v>0.2</v>
      </c>
      <c r="V41" s="8">
        <f>Deals_Raw!W41</f>
        <v>0.19700000000000001</v>
      </c>
      <c r="W41" s="8">
        <f>Deals_Raw!X41</f>
        <v>-9.4E-2</v>
      </c>
      <c r="X41" t="str">
        <f>Deals_Raw!Y41</f>
        <v>Budget constraint</v>
      </c>
      <c r="Y41" t="str">
        <f>Deals_Raw!Z41</f>
        <v>Pricing Analyst</v>
      </c>
      <c r="Z41" s="6">
        <f>Deals_Raw!AA41</f>
        <v>88180.621625383646</v>
      </c>
      <c r="AA41" s="6">
        <f>Deals_Raw!AC41</f>
        <v>30477.677331283277</v>
      </c>
      <c r="AB41" s="6">
        <f>Deals_Raw!AD41</f>
        <v>57702.944294100365</v>
      </c>
      <c r="AC41" s="8">
        <f>Deals_Raw!AE41</f>
        <v>0.6543721651139961</v>
      </c>
      <c r="AD41" t="str">
        <f>Deals_Raw!AF41</f>
        <v>Won</v>
      </c>
      <c r="AE41" t="str">
        <f>Deals_Raw!AG41</f>
        <v>Yes</v>
      </c>
      <c r="AF41">
        <f>Deals_Raw!AH41</f>
        <v>0</v>
      </c>
      <c r="AG41" t="str">
        <f>Deals_Raw!AI41</f>
        <v>No</v>
      </c>
      <c r="AH41" s="6">
        <f>Deals_Raw!AJ41</f>
        <v>88180.621625383646</v>
      </c>
      <c r="AI41" s="6">
        <f>Deals_Raw!AK41</f>
        <v>57702.944294100365</v>
      </c>
      <c r="AJ41" t="str">
        <f>Deals_Raw!AL41</f>
        <v>Renewal of existing active contract</v>
      </c>
      <c r="AK41" s="9">
        <f t="shared" si="0"/>
        <v>2.2222222222222223</v>
      </c>
      <c r="AL41" s="8">
        <f t="shared" si="1"/>
        <v>0.80274445897930657</v>
      </c>
      <c r="AM41" s="8">
        <f t="shared" si="2"/>
        <v>3.0000000000000027E-3</v>
      </c>
      <c r="AN41" t="str">
        <f>IF(AC41&lt;Pricing_Policy!$C$10,"Below Floor","Pass")</f>
        <v>Pass</v>
      </c>
      <c r="AO41" t="str">
        <f>IF(V41&gt;Pricing_Policy!$C$7,"Exception","Standard")</f>
        <v>Standard</v>
      </c>
      <c r="AP41" t="str">
        <f t="shared" si="3"/>
        <v>Pass</v>
      </c>
      <c r="AQ41">
        <f t="shared" si="4"/>
        <v>1</v>
      </c>
      <c r="AR41" s="8">
        <f t="shared" si="5"/>
        <v>0.6543721651139961</v>
      </c>
      <c r="AS41">
        <f t="shared" si="6"/>
        <v>3</v>
      </c>
    </row>
    <row r="42" spans="1:45">
      <c r="A42" t="str">
        <f>Deals_Raw!A42</f>
        <v>D00044</v>
      </c>
      <c r="B42">
        <f>Deals_Raw!B42</f>
        <v>45708</v>
      </c>
      <c r="C42" t="str">
        <f>Deals_Raw!C42</f>
        <v>C0013</v>
      </c>
      <c r="D42" t="str">
        <f>Deals_Raw!D42</f>
        <v>FIN-0013</v>
      </c>
      <c r="E42" t="str">
        <f>Deals_Raw!E42</f>
        <v>CT00029</v>
      </c>
      <c r="F42" t="str">
        <f>Deals_Raw!F42</f>
        <v>Operations</v>
      </c>
      <c r="G42" t="str">
        <f>Deals_Raw!G42</f>
        <v>Financial Services</v>
      </c>
      <c r="H42" t="str">
        <f>Deals_Raw!H42</f>
        <v>West</v>
      </c>
      <c r="I42" t="str">
        <f>Deals_Raw!I42</f>
        <v>West Commercial</v>
      </c>
      <c r="J42" t="str">
        <f>Deals_Raw!J42</f>
        <v>Mid-Market</v>
      </c>
      <c r="K42" t="str">
        <f>Deals_Raw!K42</f>
        <v>No</v>
      </c>
      <c r="L42">
        <f>Deals_Raw!L42</f>
        <v>44531</v>
      </c>
      <c r="M42">
        <f>Deals_Raw!M42</f>
        <v>67</v>
      </c>
      <c r="N42" t="str">
        <f>Deals_Raw!N42</f>
        <v>Nexus Analytics</v>
      </c>
      <c r="O42" t="str">
        <f>Deals_Raw!O42</f>
        <v>Renewal</v>
      </c>
      <c r="P42">
        <f>Deals_Raw!P42</f>
        <v>0</v>
      </c>
      <c r="Q42">
        <f>Deals_Raw!Q42</f>
        <v>1</v>
      </c>
      <c r="R42">
        <f>Deals_Raw!R42</f>
        <v>264</v>
      </c>
      <c r="S42" t="str">
        <f>Deals_Raw!S42</f>
        <v>T. Brooks</v>
      </c>
      <c r="T42" s="6">
        <f>Deals_Raw!T42</f>
        <v>112393.82361063169</v>
      </c>
      <c r="U42" s="8">
        <f>Deals_Raw!V42</f>
        <v>8.5999999999999993E-2</v>
      </c>
      <c r="V42" s="8">
        <f>Deals_Raw!W42</f>
        <v>6.7000000000000004E-2</v>
      </c>
      <c r="W42" s="8">
        <f>Deals_Raw!X42</f>
        <v>-1.2E-2</v>
      </c>
      <c r="X42" t="str">
        <f>Deals_Raw!Y42</f>
        <v>Expansion opportunity</v>
      </c>
      <c r="Y42" t="str">
        <f>Deals_Raw!Z42</f>
        <v>Sales Manager</v>
      </c>
      <c r="Z42" s="6">
        <f>Deals_Raw!AA42</f>
        <v>104820.09140975786</v>
      </c>
      <c r="AA42" s="6">
        <f>Deals_Raw!AC42</f>
        <v>36410.452283662715</v>
      </c>
      <c r="AB42" s="6">
        <f>Deals_Raw!AD42</f>
        <v>68409.63912609515</v>
      </c>
      <c r="AC42" s="8">
        <f>Deals_Raw!AE42</f>
        <v>0.65263861351419117</v>
      </c>
      <c r="AD42" t="str">
        <f>Deals_Raw!AF42</f>
        <v>Lost</v>
      </c>
      <c r="AE42" t="str">
        <f>Deals_Raw!AG42</f>
        <v>No</v>
      </c>
      <c r="AF42">
        <f>Deals_Raw!AH42</f>
        <v>0</v>
      </c>
      <c r="AG42" t="str">
        <f>Deals_Raw!AI42</f>
        <v>No</v>
      </c>
      <c r="AH42" s="6">
        <f>Deals_Raw!AJ42</f>
        <v>0</v>
      </c>
      <c r="AI42" s="6">
        <f>Deals_Raw!AK42</f>
        <v>0</v>
      </c>
      <c r="AJ42" t="str">
        <f>Deals_Raw!AL42</f>
        <v>Renewal of existing active contract</v>
      </c>
      <c r="AK42" s="9">
        <f t="shared" si="0"/>
        <v>3.2194444444444446</v>
      </c>
      <c r="AL42" s="8">
        <f t="shared" si="1"/>
        <v>0.93261433806975313</v>
      </c>
      <c r="AM42" s="8">
        <f t="shared" si="2"/>
        <v>1.8999999999999989E-2</v>
      </c>
      <c r="AN42" t="str">
        <f>IF(AC42&lt;Pricing_Policy!$C$10,"Below Floor","Pass")</f>
        <v>Pass</v>
      </c>
      <c r="AO42" t="str">
        <f>IF(V42&gt;Pricing_Policy!$C$7,"Exception","Standard")</f>
        <v>Standard</v>
      </c>
      <c r="AP42" t="str">
        <f t="shared" si="3"/>
        <v>Pass</v>
      </c>
      <c r="AQ42">
        <f t="shared" si="4"/>
        <v>0</v>
      </c>
      <c r="AR42" s="8">
        <f t="shared" si="5"/>
        <v>0</v>
      </c>
      <c r="AS42">
        <f t="shared" si="6"/>
        <v>3</v>
      </c>
    </row>
    <row r="43" spans="1:45">
      <c r="A43" t="str">
        <f>Deals_Raw!A43</f>
        <v>D00045</v>
      </c>
      <c r="B43">
        <f>Deals_Raw!B43</f>
        <v>45516</v>
      </c>
      <c r="C43" t="str">
        <f>Deals_Raw!C43</f>
        <v>C0014</v>
      </c>
      <c r="D43" t="str">
        <f>Deals_Raw!D43</f>
        <v>PUB-0014</v>
      </c>
      <c r="E43" t="str">
        <f>Deals_Raw!E43</f>
        <v>CT00030</v>
      </c>
      <c r="F43" t="str">
        <f>Deals_Raw!F43</f>
        <v>Finance</v>
      </c>
      <c r="G43" t="str">
        <f>Deals_Raw!G43</f>
        <v>Public Sector</v>
      </c>
      <c r="H43" t="str">
        <f>Deals_Raw!H43</f>
        <v>West</v>
      </c>
      <c r="I43" t="str">
        <f>Deals_Raw!I43</f>
        <v>West Commercial</v>
      </c>
      <c r="J43" t="str">
        <f>Deals_Raw!J43</f>
        <v>SMB</v>
      </c>
      <c r="K43" t="str">
        <f>Deals_Raw!K43</f>
        <v>Yes</v>
      </c>
      <c r="L43">
        <f>Deals_Raw!L43</f>
        <v>44743</v>
      </c>
      <c r="M43">
        <f>Deals_Raw!M43</f>
        <v>80</v>
      </c>
      <c r="N43" t="str">
        <f>Deals_Raw!N43</f>
        <v>Nexus Enterprise Suite</v>
      </c>
      <c r="O43" t="str">
        <f>Deals_Raw!O43</f>
        <v>Expansion</v>
      </c>
      <c r="P43" t="str">
        <f>Deals_Raw!P43</f>
        <v>Module Add-on</v>
      </c>
      <c r="Q43">
        <f>Deals_Raw!Q43</f>
        <v>1</v>
      </c>
      <c r="R43">
        <f>Deals_Raw!R43</f>
        <v>85</v>
      </c>
      <c r="S43" t="str">
        <f>Deals_Raw!S43</f>
        <v>S. Rivera</v>
      </c>
      <c r="T43" s="6">
        <f>Deals_Raw!T43</f>
        <v>178886.3942294319</v>
      </c>
      <c r="U43" s="8">
        <f>Deals_Raw!V43</f>
        <v>4.2999999999999997E-2</v>
      </c>
      <c r="V43" s="8">
        <f>Deals_Raw!W43</f>
        <v>7.0000000000000001E-3</v>
      </c>
      <c r="W43" s="8">
        <f>Deals_Raw!X43</f>
        <v>-2.4E-2</v>
      </c>
      <c r="X43" t="str">
        <f>Deals_Raw!Y43</f>
        <v>Expansion opportunity</v>
      </c>
      <c r="Y43" t="str">
        <f>Deals_Raw!Z43</f>
        <v>Sales Manager</v>
      </c>
      <c r="Z43" s="6">
        <f>Deals_Raw!AA43</f>
        <v>177720.63122071169</v>
      </c>
      <c r="AA43" s="6">
        <f>Deals_Raw!AC43</f>
        <v>65664.052755904835</v>
      </c>
      <c r="AB43" s="6">
        <f>Deals_Raw!AD43</f>
        <v>112056.57846480685</v>
      </c>
      <c r="AC43" s="8">
        <f>Deals_Raw!AE43</f>
        <v>0.63052093443019297</v>
      </c>
      <c r="AD43" t="str">
        <f>Deals_Raw!AF43</f>
        <v>Won</v>
      </c>
      <c r="AE43">
        <f>Deals_Raw!AG43</f>
        <v>0</v>
      </c>
      <c r="AF43" t="str">
        <f>Deals_Raw!AH43</f>
        <v>Yes</v>
      </c>
      <c r="AG43" t="str">
        <f>Deals_Raw!AI43</f>
        <v>No</v>
      </c>
      <c r="AH43" s="6">
        <f>Deals_Raw!AJ43</f>
        <v>177720.63122071169</v>
      </c>
      <c r="AI43" s="6">
        <f>Deals_Raw!AK43</f>
        <v>112056.57846480685</v>
      </c>
      <c r="AJ43" t="str">
        <f>Deals_Raw!AL43</f>
        <v>Expansion allowed because contract was active</v>
      </c>
      <c r="AK43" s="9">
        <f t="shared" si="0"/>
        <v>2.1138888888888889</v>
      </c>
      <c r="AL43" s="8">
        <f t="shared" si="1"/>
        <v>0.99348322149517387</v>
      </c>
      <c r="AM43" s="8">
        <f t="shared" si="2"/>
        <v>3.5999999999999997E-2</v>
      </c>
      <c r="AN43" t="str">
        <f>IF(AC43&lt;Pricing_Policy!$C$10,"Below Floor","Pass")</f>
        <v>Pass</v>
      </c>
      <c r="AO43" t="str">
        <f>IF(V43&gt;Pricing_Policy!$C$7,"Exception","Standard")</f>
        <v>Standard</v>
      </c>
      <c r="AP43" t="str">
        <f t="shared" si="3"/>
        <v>Pass</v>
      </c>
      <c r="AQ43">
        <f t="shared" si="4"/>
        <v>1</v>
      </c>
      <c r="AR43" s="8">
        <f t="shared" si="5"/>
        <v>0.63052093443019297</v>
      </c>
      <c r="AS43">
        <f t="shared" si="6"/>
        <v>4</v>
      </c>
    </row>
    <row r="44" spans="1:45">
      <c r="A44" t="str">
        <f>Deals_Raw!A44</f>
        <v>D00046</v>
      </c>
      <c r="B44">
        <f>Deals_Raw!B44</f>
        <v>45609</v>
      </c>
      <c r="C44" t="str">
        <f>Deals_Raw!C44</f>
        <v>C0014</v>
      </c>
      <c r="D44" t="str">
        <f>Deals_Raw!D44</f>
        <v>PUB-0014</v>
      </c>
      <c r="E44" t="str">
        <f>Deals_Raw!E44</f>
        <v>CT00030</v>
      </c>
      <c r="F44" t="str">
        <f>Deals_Raw!F44</f>
        <v>Finance</v>
      </c>
      <c r="G44" t="str">
        <f>Deals_Raw!G44</f>
        <v>Public Sector</v>
      </c>
      <c r="H44" t="str">
        <f>Deals_Raw!H44</f>
        <v>West</v>
      </c>
      <c r="I44" t="str">
        <f>Deals_Raw!I44</f>
        <v>West Commercial</v>
      </c>
      <c r="J44" t="str">
        <f>Deals_Raw!J44</f>
        <v>SMB</v>
      </c>
      <c r="K44" t="str">
        <f>Deals_Raw!K44</f>
        <v>Yes</v>
      </c>
      <c r="L44">
        <f>Deals_Raw!L44</f>
        <v>44743</v>
      </c>
      <c r="M44">
        <f>Deals_Raw!M44</f>
        <v>80</v>
      </c>
      <c r="N44" t="str">
        <f>Deals_Raw!N44</f>
        <v>Nexus Enterprise Suite</v>
      </c>
      <c r="O44" t="str">
        <f>Deals_Raw!O44</f>
        <v>Renewal</v>
      </c>
      <c r="P44">
        <f>Deals_Raw!P44</f>
        <v>0</v>
      </c>
      <c r="Q44">
        <f>Deals_Raw!Q44</f>
        <v>1</v>
      </c>
      <c r="R44">
        <f>Deals_Raw!R44</f>
        <v>85</v>
      </c>
      <c r="S44" t="str">
        <f>Deals_Raw!S44</f>
        <v>L. Williams</v>
      </c>
      <c r="T44" s="6">
        <f>Deals_Raw!T44</f>
        <v>183401.78262051713</v>
      </c>
      <c r="U44" s="8">
        <f>Deals_Raw!V44</f>
        <v>0.10299999999999999</v>
      </c>
      <c r="V44" s="8">
        <f>Deals_Raw!W44</f>
        <v>8.2000000000000003E-2</v>
      </c>
      <c r="W44" s="8">
        <f>Deals_Raw!X44</f>
        <v>-6.3E-2</v>
      </c>
      <c r="X44" t="str">
        <f>Deals_Raw!Y44</f>
        <v>Multi-year commitment</v>
      </c>
      <c r="Y44" t="str">
        <f>Deals_Raw!Z44</f>
        <v>Sales Manager</v>
      </c>
      <c r="Z44" s="6">
        <f>Deals_Raw!AA44</f>
        <v>168366.76449982187</v>
      </c>
      <c r="AA44" s="6">
        <f>Deals_Raw!AC44</f>
        <v>65192.74244156116</v>
      </c>
      <c r="AB44" s="6">
        <f>Deals_Raw!AD44</f>
        <v>103174.02205826071</v>
      </c>
      <c r="AC44" s="8">
        <f>Deals_Raw!AE44</f>
        <v>0.61279328117260257</v>
      </c>
      <c r="AD44" t="str">
        <f>Deals_Raw!AF44</f>
        <v>Won</v>
      </c>
      <c r="AE44" t="str">
        <f>Deals_Raw!AG44</f>
        <v>Yes</v>
      </c>
      <c r="AF44">
        <f>Deals_Raw!AH44</f>
        <v>0</v>
      </c>
      <c r="AG44" t="str">
        <f>Deals_Raw!AI44</f>
        <v>No</v>
      </c>
      <c r="AH44" s="6">
        <f>Deals_Raw!AJ44</f>
        <v>168366.76449982187</v>
      </c>
      <c r="AI44" s="6">
        <f>Deals_Raw!AK44</f>
        <v>103174.02205826071</v>
      </c>
      <c r="AJ44" t="str">
        <f>Deals_Raw!AL44</f>
        <v>Renewal of existing active contract</v>
      </c>
      <c r="AK44" s="9">
        <f t="shared" si="0"/>
        <v>2.3666666666666667</v>
      </c>
      <c r="AL44" s="8">
        <f t="shared" si="1"/>
        <v>0.91802141775358459</v>
      </c>
      <c r="AM44" s="8">
        <f t="shared" si="2"/>
        <v>2.0999999999999991E-2</v>
      </c>
      <c r="AN44" t="str">
        <f>IF(AC44&lt;Pricing_Policy!$C$10,"Below Floor","Pass")</f>
        <v>Pass</v>
      </c>
      <c r="AO44" t="str">
        <f>IF(V44&gt;Pricing_Policy!$C$7,"Exception","Standard")</f>
        <v>Standard</v>
      </c>
      <c r="AP44" t="str">
        <f t="shared" si="3"/>
        <v>Pass</v>
      </c>
      <c r="AQ44">
        <f t="shared" si="4"/>
        <v>1</v>
      </c>
      <c r="AR44" s="8">
        <f t="shared" si="5"/>
        <v>0.61279328117260257</v>
      </c>
      <c r="AS44">
        <f t="shared" si="6"/>
        <v>4</v>
      </c>
    </row>
    <row r="45" spans="1:45">
      <c r="A45" t="str">
        <f>Deals_Raw!A45</f>
        <v>D00047</v>
      </c>
      <c r="B45">
        <f>Deals_Raw!B45</f>
        <v>45808</v>
      </c>
      <c r="C45" t="str">
        <f>Deals_Raw!C45</f>
        <v>C0014</v>
      </c>
      <c r="D45" t="str">
        <f>Deals_Raw!D45</f>
        <v>PUB-0014</v>
      </c>
      <c r="E45" t="str">
        <f>Deals_Raw!E45</f>
        <v>CT00030</v>
      </c>
      <c r="F45" t="str">
        <f>Deals_Raw!F45</f>
        <v>Finance</v>
      </c>
      <c r="G45" t="str">
        <f>Deals_Raw!G45</f>
        <v>Public Sector</v>
      </c>
      <c r="H45" t="str">
        <f>Deals_Raw!H45</f>
        <v>West</v>
      </c>
      <c r="I45" t="str">
        <f>Deals_Raw!I45</f>
        <v>West Commercial</v>
      </c>
      <c r="J45" t="str">
        <f>Deals_Raw!J45</f>
        <v>SMB</v>
      </c>
      <c r="K45" t="str">
        <f>Deals_Raw!K45</f>
        <v>Yes</v>
      </c>
      <c r="L45">
        <f>Deals_Raw!L45</f>
        <v>44743</v>
      </c>
      <c r="M45">
        <f>Deals_Raw!M45</f>
        <v>80</v>
      </c>
      <c r="N45" t="str">
        <f>Deals_Raw!N45</f>
        <v>Nexus Enterprise Suite</v>
      </c>
      <c r="O45" t="str">
        <f>Deals_Raw!O45</f>
        <v>Expansion</v>
      </c>
      <c r="P45" t="str">
        <f>Deals_Raw!P45</f>
        <v>Enterprise Upgrade</v>
      </c>
      <c r="Q45">
        <f>Deals_Raw!Q45</f>
        <v>1</v>
      </c>
      <c r="R45">
        <f>Deals_Raw!R45</f>
        <v>103</v>
      </c>
      <c r="S45" t="str">
        <f>Deals_Raw!S45</f>
        <v>K. Nguyen</v>
      </c>
      <c r="T45" s="6">
        <f>Deals_Raw!T45</f>
        <v>247456.65158676612</v>
      </c>
      <c r="U45" s="8">
        <f>Deals_Raw!V45</f>
        <v>6.6000000000000003E-2</v>
      </c>
      <c r="V45" s="8">
        <f>Deals_Raw!W45</f>
        <v>3.5999999999999997E-2</v>
      </c>
      <c r="W45" s="8">
        <f>Deals_Raw!X45</f>
        <v>6.0999999999999999E-2</v>
      </c>
      <c r="X45" t="str">
        <f>Deals_Raw!Y45</f>
        <v>Expansion opportunity</v>
      </c>
      <c r="Y45" t="str">
        <f>Deals_Raw!Z45</f>
        <v>Sales Manager</v>
      </c>
      <c r="Z45" s="6">
        <f>Deals_Raw!AA45</f>
        <v>238605.31554552613</v>
      </c>
      <c r="AA45" s="6">
        <f>Deals_Raw!AC45</f>
        <v>97136.575043016914</v>
      </c>
      <c r="AB45" s="6">
        <f>Deals_Raw!AD45</f>
        <v>141468.74050250923</v>
      </c>
      <c r="AC45" s="8">
        <f>Deals_Raw!AE45</f>
        <v>0.59289852859760306</v>
      </c>
      <c r="AD45" t="str">
        <f>Deals_Raw!AF45</f>
        <v>Won</v>
      </c>
      <c r="AE45">
        <f>Deals_Raw!AG45</f>
        <v>0</v>
      </c>
      <c r="AF45" t="str">
        <f>Deals_Raw!AH45</f>
        <v>Yes</v>
      </c>
      <c r="AG45" t="str">
        <f>Deals_Raw!AI45</f>
        <v>No</v>
      </c>
      <c r="AH45" s="6">
        <f>Deals_Raw!AJ45</f>
        <v>238605.31554552613</v>
      </c>
      <c r="AI45" s="6">
        <f>Deals_Raw!AK45</f>
        <v>141468.74050250923</v>
      </c>
      <c r="AJ45" t="str">
        <f>Deals_Raw!AL45</f>
        <v>Expansion allowed because contract was active</v>
      </c>
      <c r="AK45" s="9">
        <f t="shared" si="0"/>
        <v>2.9166666666666665</v>
      </c>
      <c r="AL45" s="8">
        <f t="shared" si="1"/>
        <v>0.9642307612889669</v>
      </c>
      <c r="AM45" s="8">
        <f t="shared" si="2"/>
        <v>3.0000000000000006E-2</v>
      </c>
      <c r="AN45" t="str">
        <f>IF(AC45&lt;Pricing_Policy!$C$10,"Below Floor","Pass")</f>
        <v>Pass</v>
      </c>
      <c r="AO45" t="str">
        <f>IF(V45&gt;Pricing_Policy!$C$7,"Exception","Standard")</f>
        <v>Standard</v>
      </c>
      <c r="AP45" t="str">
        <f t="shared" si="3"/>
        <v>Pass</v>
      </c>
      <c r="AQ45">
        <f t="shared" si="4"/>
        <v>1</v>
      </c>
      <c r="AR45" s="8">
        <f t="shared" si="5"/>
        <v>0.59289852859760306</v>
      </c>
      <c r="AS45">
        <f t="shared" si="6"/>
        <v>4</v>
      </c>
    </row>
    <row r="46" spans="1:45">
      <c r="A46" t="str">
        <f>Deals_Raw!A46</f>
        <v>D00048</v>
      </c>
      <c r="B46">
        <f>Deals_Raw!B46</f>
        <v>45974</v>
      </c>
      <c r="C46" t="str">
        <f>Deals_Raw!C46</f>
        <v>C0014</v>
      </c>
      <c r="D46" t="str">
        <f>Deals_Raw!D46</f>
        <v>PUB-0014</v>
      </c>
      <c r="E46" t="str">
        <f>Deals_Raw!E46</f>
        <v>CT00030</v>
      </c>
      <c r="F46" t="str">
        <f>Deals_Raw!F46</f>
        <v>Finance</v>
      </c>
      <c r="G46" t="str">
        <f>Deals_Raw!G46</f>
        <v>Public Sector</v>
      </c>
      <c r="H46" t="str">
        <f>Deals_Raw!H46</f>
        <v>West</v>
      </c>
      <c r="I46" t="str">
        <f>Deals_Raw!I46</f>
        <v>West Commercial</v>
      </c>
      <c r="J46" t="str">
        <f>Deals_Raw!J46</f>
        <v>SMB</v>
      </c>
      <c r="K46" t="str">
        <f>Deals_Raw!K46</f>
        <v>Yes</v>
      </c>
      <c r="L46">
        <f>Deals_Raw!L46</f>
        <v>44743</v>
      </c>
      <c r="M46">
        <f>Deals_Raw!M46</f>
        <v>80</v>
      </c>
      <c r="N46" t="str">
        <f>Deals_Raw!N46</f>
        <v>Nexus Enterprise Suite</v>
      </c>
      <c r="O46" t="str">
        <f>Deals_Raw!O46</f>
        <v>Renewal</v>
      </c>
      <c r="P46">
        <f>Deals_Raw!P46</f>
        <v>0</v>
      </c>
      <c r="Q46">
        <f>Deals_Raw!Q46</f>
        <v>1</v>
      </c>
      <c r="R46">
        <f>Deals_Raw!R46</f>
        <v>103</v>
      </c>
      <c r="S46" t="str">
        <f>Deals_Raw!S46</f>
        <v>D. Chen</v>
      </c>
      <c r="T46" s="6">
        <f>Deals_Raw!T46</f>
        <v>264737.78253317944</v>
      </c>
      <c r="U46" s="8">
        <f>Deals_Raw!V46</f>
        <v>4.8000000000000001E-2</v>
      </c>
      <c r="V46" s="8">
        <f>Deals_Raw!W46</f>
        <v>3.1E-2</v>
      </c>
      <c r="W46" s="8">
        <f>Deals_Raw!X46</f>
        <v>3.1E-2</v>
      </c>
      <c r="X46" t="str">
        <f>Deals_Raw!Y46</f>
        <v>Verified competitor pressure</v>
      </c>
      <c r="Y46" t="str">
        <f>Deals_Raw!Z46</f>
        <v>Sales Manager</v>
      </c>
      <c r="Z46" s="6">
        <f>Deals_Raw!AA46</f>
        <v>256502.02173111713</v>
      </c>
      <c r="AA46" s="6">
        <f>Deals_Raw!AC46</f>
        <v>84893.721819848623</v>
      </c>
      <c r="AB46" s="6">
        <f>Deals_Raw!AD46</f>
        <v>171608.29991126852</v>
      </c>
      <c r="AC46" s="8">
        <f>Deals_Raw!AE46</f>
        <v>0.66903293296908206</v>
      </c>
      <c r="AD46" t="str">
        <f>Deals_Raw!AF46</f>
        <v>Lost</v>
      </c>
      <c r="AE46" t="str">
        <f>Deals_Raw!AG46</f>
        <v>No</v>
      </c>
      <c r="AF46">
        <f>Deals_Raw!AH46</f>
        <v>0</v>
      </c>
      <c r="AG46" t="str">
        <f>Deals_Raw!AI46</f>
        <v>No</v>
      </c>
      <c r="AH46" s="6">
        <f>Deals_Raw!AJ46</f>
        <v>0</v>
      </c>
      <c r="AI46" s="6">
        <f>Deals_Raw!AK46</f>
        <v>0</v>
      </c>
      <c r="AJ46" t="str">
        <f>Deals_Raw!AL46</f>
        <v>Renewal of existing active contract</v>
      </c>
      <c r="AK46" s="9">
        <f t="shared" si="0"/>
        <v>3.3666666666666667</v>
      </c>
      <c r="AL46" s="8">
        <f t="shared" si="1"/>
        <v>0.96889087487529235</v>
      </c>
      <c r="AM46" s="8">
        <f t="shared" si="2"/>
        <v>1.7000000000000001E-2</v>
      </c>
      <c r="AN46" t="str">
        <f>IF(AC46&lt;Pricing_Policy!$C$10,"Below Floor","Pass")</f>
        <v>Pass</v>
      </c>
      <c r="AO46" t="str">
        <f>IF(V46&gt;Pricing_Policy!$C$7,"Exception","Standard")</f>
        <v>Standard</v>
      </c>
      <c r="AP46" t="str">
        <f t="shared" si="3"/>
        <v>Pass</v>
      </c>
      <c r="AQ46">
        <f t="shared" si="4"/>
        <v>0</v>
      </c>
      <c r="AR46" s="8">
        <f t="shared" si="5"/>
        <v>0</v>
      </c>
      <c r="AS46">
        <f t="shared" si="6"/>
        <v>4</v>
      </c>
    </row>
    <row r="47" spans="1:45">
      <c r="A47" t="str">
        <f>Deals_Raw!A47</f>
        <v>D00049</v>
      </c>
      <c r="B47">
        <f>Deals_Raw!B47</f>
        <v>45596</v>
      </c>
      <c r="C47" t="str">
        <f>Deals_Raw!C47</f>
        <v>C0014</v>
      </c>
      <c r="D47" t="str">
        <f>Deals_Raw!D47</f>
        <v>PUB-0014</v>
      </c>
      <c r="E47" t="str">
        <f>Deals_Raw!E47</f>
        <v>CT00031</v>
      </c>
      <c r="F47" t="str">
        <f>Deals_Raw!F47</f>
        <v>Finance</v>
      </c>
      <c r="G47" t="str">
        <f>Deals_Raw!G47</f>
        <v>Public Sector</v>
      </c>
      <c r="H47" t="str">
        <f>Deals_Raw!H47</f>
        <v>West</v>
      </c>
      <c r="I47" t="str">
        <f>Deals_Raw!I47</f>
        <v>West Commercial</v>
      </c>
      <c r="J47" t="str">
        <f>Deals_Raw!J47</f>
        <v>SMB</v>
      </c>
      <c r="K47" t="str">
        <f>Deals_Raw!K47</f>
        <v>Yes</v>
      </c>
      <c r="L47">
        <f>Deals_Raw!L47</f>
        <v>44743</v>
      </c>
      <c r="M47">
        <f>Deals_Raw!M47</f>
        <v>80</v>
      </c>
      <c r="N47" t="str">
        <f>Deals_Raw!N47</f>
        <v>Nexus Analytics</v>
      </c>
      <c r="O47" t="str">
        <f>Deals_Raw!O47</f>
        <v>Renewal</v>
      </c>
      <c r="P47">
        <f>Deals_Raw!P47</f>
        <v>0</v>
      </c>
      <c r="Q47">
        <f>Deals_Raw!Q47</f>
        <v>1</v>
      </c>
      <c r="R47">
        <f>Deals_Raw!R47</f>
        <v>51</v>
      </c>
      <c r="S47" t="str">
        <f>Deals_Raw!S47</f>
        <v>S. Rivera</v>
      </c>
      <c r="T47" s="6">
        <f>Deals_Raw!T47</f>
        <v>62550.838258899508</v>
      </c>
      <c r="U47" s="8">
        <f>Deals_Raw!V47</f>
        <v>0.19600000000000001</v>
      </c>
      <c r="V47" s="8">
        <f>Deals_Raw!W47</f>
        <v>0.13300000000000001</v>
      </c>
      <c r="W47" s="8">
        <f>Deals_Raw!X47</f>
        <v>3.9E-2</v>
      </c>
      <c r="X47" t="str">
        <f>Deals_Raw!Y47</f>
        <v>Strategic logo opportunity</v>
      </c>
      <c r="Y47" t="str">
        <f>Deals_Raw!Z47</f>
        <v>Pricing Analyst</v>
      </c>
      <c r="Z47" s="6">
        <f>Deals_Raw!AA47</f>
        <v>54213.499229660614</v>
      </c>
      <c r="AA47" s="6">
        <f>Deals_Raw!AC47</f>
        <v>19711.944606812944</v>
      </c>
      <c r="AB47" s="6">
        <f>Deals_Raw!AD47</f>
        <v>34501.554622847674</v>
      </c>
      <c r="AC47" s="8">
        <f>Deals_Raw!AE47</f>
        <v>0.63640154413739847</v>
      </c>
      <c r="AD47" t="str">
        <f>Deals_Raw!AF47</f>
        <v>Won</v>
      </c>
      <c r="AE47" t="str">
        <f>Deals_Raw!AG47</f>
        <v>Yes</v>
      </c>
      <c r="AF47">
        <f>Deals_Raw!AH47</f>
        <v>0</v>
      </c>
      <c r="AG47" t="str">
        <f>Deals_Raw!AI47</f>
        <v>No</v>
      </c>
      <c r="AH47" s="6">
        <f>Deals_Raw!AJ47</f>
        <v>54213.499229660614</v>
      </c>
      <c r="AI47" s="6">
        <f>Deals_Raw!AK47</f>
        <v>34501.554622847674</v>
      </c>
      <c r="AJ47" t="str">
        <f>Deals_Raw!AL47</f>
        <v>Renewal of existing active contract</v>
      </c>
      <c r="AK47" s="9">
        <f t="shared" si="0"/>
        <v>2.3333333333333335</v>
      </c>
      <c r="AL47" s="8">
        <f t="shared" si="1"/>
        <v>0.86671099442775756</v>
      </c>
      <c r="AM47" s="8">
        <f t="shared" si="2"/>
        <v>6.3E-2</v>
      </c>
      <c r="AN47" t="str">
        <f>IF(AC47&lt;Pricing_Policy!$C$10,"Below Floor","Pass")</f>
        <v>Pass</v>
      </c>
      <c r="AO47" t="str">
        <f>IF(V47&gt;Pricing_Policy!$C$7,"Exception","Standard")</f>
        <v>Standard</v>
      </c>
      <c r="AP47" t="str">
        <f t="shared" si="3"/>
        <v>Pass</v>
      </c>
      <c r="AQ47">
        <f t="shared" si="4"/>
        <v>1</v>
      </c>
      <c r="AR47" s="8">
        <f t="shared" si="5"/>
        <v>0.63640154413739847</v>
      </c>
      <c r="AS47">
        <f t="shared" si="6"/>
        <v>3</v>
      </c>
    </row>
    <row r="48" spans="1:45">
      <c r="A48" t="str">
        <f>Deals_Raw!A48</f>
        <v>D00050</v>
      </c>
      <c r="B48">
        <f>Deals_Raw!B48</f>
        <v>45741</v>
      </c>
      <c r="C48" t="str">
        <f>Deals_Raw!C48</f>
        <v>C0014</v>
      </c>
      <c r="D48" t="str">
        <f>Deals_Raw!D48</f>
        <v>PUB-0014</v>
      </c>
      <c r="E48" t="str">
        <f>Deals_Raw!E48</f>
        <v>CT00031</v>
      </c>
      <c r="F48" t="str">
        <f>Deals_Raw!F48</f>
        <v>Finance</v>
      </c>
      <c r="G48" t="str">
        <f>Deals_Raw!G48</f>
        <v>Public Sector</v>
      </c>
      <c r="H48" t="str">
        <f>Deals_Raw!H48</f>
        <v>West</v>
      </c>
      <c r="I48" t="str">
        <f>Deals_Raw!I48</f>
        <v>West Commercial</v>
      </c>
      <c r="J48" t="str">
        <f>Deals_Raw!J48</f>
        <v>SMB</v>
      </c>
      <c r="K48" t="str">
        <f>Deals_Raw!K48</f>
        <v>Yes</v>
      </c>
      <c r="L48">
        <f>Deals_Raw!L48</f>
        <v>44743</v>
      </c>
      <c r="M48">
        <f>Deals_Raw!M48</f>
        <v>80</v>
      </c>
      <c r="N48" t="str">
        <f>Deals_Raw!N48</f>
        <v>Nexus Analytics</v>
      </c>
      <c r="O48" t="str">
        <f>Deals_Raw!O48</f>
        <v>Expansion</v>
      </c>
      <c r="P48" t="str">
        <f>Deals_Raw!P48</f>
        <v>Multi-year Extension</v>
      </c>
      <c r="Q48">
        <f>Deals_Raw!Q48</f>
        <v>1</v>
      </c>
      <c r="R48">
        <f>Deals_Raw!R48</f>
        <v>72</v>
      </c>
      <c r="S48" t="str">
        <f>Deals_Raw!S48</f>
        <v>L. Williams</v>
      </c>
      <c r="T48" s="6">
        <f>Deals_Raw!T48</f>
        <v>74210.126313024462</v>
      </c>
      <c r="U48" s="8">
        <f>Deals_Raw!V48</f>
        <v>0.14199999999999999</v>
      </c>
      <c r="V48" s="8">
        <f>Deals_Raw!W48</f>
        <v>0.127</v>
      </c>
      <c r="W48" s="8">
        <f>Deals_Raw!X48</f>
        <v>4.0000000000000001E-3</v>
      </c>
      <c r="X48" t="str">
        <f>Deals_Raw!Y48</f>
        <v>Expansion opportunity</v>
      </c>
      <c r="Y48" t="str">
        <f>Deals_Raw!Z48</f>
        <v>Pricing Analyst</v>
      </c>
      <c r="Z48" s="6">
        <f>Deals_Raw!AA48</f>
        <v>64753.210256389182</v>
      </c>
      <c r="AA48" s="6">
        <f>Deals_Raw!AC48</f>
        <v>21484.603750732495</v>
      </c>
      <c r="AB48" s="6">
        <f>Deals_Raw!AD48</f>
        <v>43268.606505656688</v>
      </c>
      <c r="AC48" s="8">
        <f>Deals_Raw!AE48</f>
        <v>0.66820789786846724</v>
      </c>
      <c r="AD48" t="str">
        <f>Deals_Raw!AF48</f>
        <v>Won</v>
      </c>
      <c r="AE48">
        <f>Deals_Raw!AG48</f>
        <v>0</v>
      </c>
      <c r="AF48" t="str">
        <f>Deals_Raw!AH48</f>
        <v>Yes</v>
      </c>
      <c r="AG48" t="str">
        <f>Deals_Raw!AI48</f>
        <v>No</v>
      </c>
      <c r="AH48" s="6">
        <f>Deals_Raw!AJ48</f>
        <v>64753.210256389182</v>
      </c>
      <c r="AI48" s="6">
        <f>Deals_Raw!AK48</f>
        <v>43268.606505656688</v>
      </c>
      <c r="AJ48" t="str">
        <f>Deals_Raw!AL48</f>
        <v>Expansion allowed because contract was active</v>
      </c>
      <c r="AK48" s="9">
        <f t="shared" si="0"/>
        <v>2.7333333333333334</v>
      </c>
      <c r="AL48" s="8">
        <f t="shared" si="1"/>
        <v>0.87256569249397009</v>
      </c>
      <c r="AM48" s="8">
        <f t="shared" si="2"/>
        <v>1.4999999999999986E-2</v>
      </c>
      <c r="AN48" t="str">
        <f>IF(AC48&lt;Pricing_Policy!$C$10,"Below Floor","Pass")</f>
        <v>Pass</v>
      </c>
      <c r="AO48" t="str">
        <f>IF(V48&gt;Pricing_Policy!$C$7,"Exception","Standard")</f>
        <v>Standard</v>
      </c>
      <c r="AP48" t="str">
        <f t="shared" si="3"/>
        <v>Pass</v>
      </c>
      <c r="AQ48">
        <f t="shared" si="4"/>
        <v>1</v>
      </c>
      <c r="AR48" s="8">
        <f t="shared" si="5"/>
        <v>0.66820789786846724</v>
      </c>
      <c r="AS48">
        <f t="shared" si="6"/>
        <v>3</v>
      </c>
    </row>
    <row r="49" spans="1:45">
      <c r="A49" t="str">
        <f>Deals_Raw!A49</f>
        <v>D00051</v>
      </c>
      <c r="B49">
        <f>Deals_Raw!B49</f>
        <v>45961</v>
      </c>
      <c r="C49" t="str">
        <f>Deals_Raw!C49</f>
        <v>C0014</v>
      </c>
      <c r="D49" t="str">
        <f>Deals_Raw!D49</f>
        <v>PUB-0014</v>
      </c>
      <c r="E49" t="str">
        <f>Deals_Raw!E49</f>
        <v>CT00031</v>
      </c>
      <c r="F49" t="str">
        <f>Deals_Raw!F49</f>
        <v>Finance</v>
      </c>
      <c r="G49" t="str">
        <f>Deals_Raw!G49</f>
        <v>Public Sector</v>
      </c>
      <c r="H49" t="str">
        <f>Deals_Raw!H49</f>
        <v>West</v>
      </c>
      <c r="I49" t="str">
        <f>Deals_Raw!I49</f>
        <v>West Commercial</v>
      </c>
      <c r="J49" t="str">
        <f>Deals_Raw!J49</f>
        <v>SMB</v>
      </c>
      <c r="K49" t="str">
        <f>Deals_Raw!K49</f>
        <v>Yes</v>
      </c>
      <c r="L49">
        <f>Deals_Raw!L49</f>
        <v>44743</v>
      </c>
      <c r="M49">
        <f>Deals_Raw!M49</f>
        <v>80</v>
      </c>
      <c r="N49" t="str">
        <f>Deals_Raw!N49</f>
        <v>Nexus Analytics</v>
      </c>
      <c r="O49" t="str">
        <f>Deals_Raw!O49</f>
        <v>Renewal</v>
      </c>
      <c r="P49">
        <f>Deals_Raw!P49</f>
        <v>0</v>
      </c>
      <c r="Q49">
        <f>Deals_Raw!Q49</f>
        <v>1</v>
      </c>
      <c r="R49">
        <f>Deals_Raw!R49</f>
        <v>72</v>
      </c>
      <c r="S49" t="str">
        <f>Deals_Raw!S49</f>
        <v>M. Johnson</v>
      </c>
      <c r="T49" s="6">
        <f>Deals_Raw!T49</f>
        <v>77343.666561613747</v>
      </c>
      <c r="U49" s="8">
        <f>Deals_Raw!V49</f>
        <v>0.16800000000000001</v>
      </c>
      <c r="V49" s="8">
        <f>Deals_Raw!W49</f>
        <v>0.158</v>
      </c>
      <c r="W49" s="8">
        <f>Deals_Raw!X49</f>
        <v>-8.9999999999999993E-3</v>
      </c>
      <c r="X49" t="str">
        <f>Deals_Raw!Y49</f>
        <v>Budget constraint</v>
      </c>
      <c r="Y49" t="str">
        <f>Deals_Raw!Z49</f>
        <v>Pricing Analyst</v>
      </c>
      <c r="Z49" s="6">
        <f>Deals_Raw!AA49</f>
        <v>65107.556505032524</v>
      </c>
      <c r="AA49" s="6">
        <f>Deals_Raw!AC49</f>
        <v>26608.311006145257</v>
      </c>
      <c r="AB49" s="6">
        <f>Deals_Raw!AD49</f>
        <v>38499.245498887263</v>
      </c>
      <c r="AC49" s="8">
        <f>Deals_Raw!AE49</f>
        <v>0.59131762218585859</v>
      </c>
      <c r="AD49" t="str">
        <f>Deals_Raw!AF49</f>
        <v>Won</v>
      </c>
      <c r="AE49" t="str">
        <f>Deals_Raw!AG49</f>
        <v>Yes</v>
      </c>
      <c r="AF49">
        <f>Deals_Raw!AH49</f>
        <v>0</v>
      </c>
      <c r="AG49" t="str">
        <f>Deals_Raw!AI49</f>
        <v>No</v>
      </c>
      <c r="AH49" s="6">
        <f>Deals_Raw!AJ49</f>
        <v>65107.556505032524</v>
      </c>
      <c r="AI49" s="6">
        <f>Deals_Raw!AK49</f>
        <v>38499.245498887263</v>
      </c>
      <c r="AJ49" t="str">
        <f>Deals_Raw!AL49</f>
        <v>Renewal of existing active contract</v>
      </c>
      <c r="AK49" s="9">
        <f t="shared" si="0"/>
        <v>3.3333333333333335</v>
      </c>
      <c r="AL49" s="8">
        <f t="shared" si="1"/>
        <v>0.84179557809256877</v>
      </c>
      <c r="AM49" s="8">
        <f t="shared" si="2"/>
        <v>1.0000000000000009E-2</v>
      </c>
      <c r="AN49" t="str">
        <f>IF(AC49&lt;Pricing_Policy!$C$10,"Below Floor","Pass")</f>
        <v>Pass</v>
      </c>
      <c r="AO49" t="str">
        <f>IF(V49&gt;Pricing_Policy!$C$7,"Exception","Standard")</f>
        <v>Standard</v>
      </c>
      <c r="AP49" t="str">
        <f t="shared" si="3"/>
        <v>Pass</v>
      </c>
      <c r="AQ49">
        <f t="shared" si="4"/>
        <v>1</v>
      </c>
      <c r="AR49" s="8">
        <f t="shared" si="5"/>
        <v>0.59131762218585859</v>
      </c>
      <c r="AS49">
        <f t="shared" si="6"/>
        <v>3</v>
      </c>
    </row>
    <row r="50" spans="1:45">
      <c r="A50" t="str">
        <f>Deals_Raw!A50</f>
        <v>D00052</v>
      </c>
      <c r="B50">
        <f>Deals_Raw!B50</f>
        <v>45739</v>
      </c>
      <c r="C50" t="str">
        <f>Deals_Raw!C50</f>
        <v>C0014</v>
      </c>
      <c r="D50" t="str">
        <f>Deals_Raw!D50</f>
        <v>PUB-0014</v>
      </c>
      <c r="E50" t="str">
        <f>Deals_Raw!E50</f>
        <v>CT00032</v>
      </c>
      <c r="F50" t="str">
        <f>Deals_Raw!F50</f>
        <v>Finance</v>
      </c>
      <c r="G50" t="str">
        <f>Deals_Raw!G50</f>
        <v>Public Sector</v>
      </c>
      <c r="H50" t="str">
        <f>Deals_Raw!H50</f>
        <v>West</v>
      </c>
      <c r="I50" t="str">
        <f>Deals_Raw!I50</f>
        <v>West Commercial</v>
      </c>
      <c r="J50" t="str">
        <f>Deals_Raw!J50</f>
        <v>SMB</v>
      </c>
      <c r="K50" t="str">
        <f>Deals_Raw!K50</f>
        <v>Yes</v>
      </c>
      <c r="L50">
        <f>Deals_Raw!L50</f>
        <v>44743</v>
      </c>
      <c r="M50">
        <f>Deals_Raw!M50</f>
        <v>80</v>
      </c>
      <c r="N50" t="str">
        <f>Deals_Raw!N50</f>
        <v>Nexus Compliance</v>
      </c>
      <c r="O50" t="str">
        <f>Deals_Raw!O50</f>
        <v>New Business</v>
      </c>
      <c r="P50">
        <f>Deals_Raw!P50</f>
        <v>0</v>
      </c>
      <c r="Q50">
        <f>Deals_Raw!Q50</f>
        <v>2</v>
      </c>
      <c r="R50">
        <f>Deals_Raw!R50</f>
        <v>73</v>
      </c>
      <c r="S50" t="str">
        <f>Deals_Raw!S50</f>
        <v>D. Chen</v>
      </c>
      <c r="T50" s="6">
        <f>Deals_Raw!T50</f>
        <v>89451.615648960258</v>
      </c>
      <c r="U50" s="8">
        <f>Deals_Raw!V50</f>
        <v>0.255</v>
      </c>
      <c r="V50" s="8">
        <f>Deals_Raw!W50</f>
        <v>0.218</v>
      </c>
      <c r="W50" s="8">
        <f>Deals_Raw!X50</f>
        <v>-2.1999999999999999E-2</v>
      </c>
      <c r="X50" t="str">
        <f>Deals_Raw!Y50</f>
        <v>Volume purchase</v>
      </c>
      <c r="Y50" t="str">
        <f>Deals_Raw!Z50</f>
        <v>Business Manager</v>
      </c>
      <c r="Z50" s="6">
        <f>Deals_Raw!AA50</f>
        <v>69942.781279672257</v>
      </c>
      <c r="AA50" s="6">
        <f>Deals_Raw!AC50</f>
        <v>31005.628119178033</v>
      </c>
      <c r="AB50" s="6">
        <f>Deals_Raw!AD50</f>
        <v>38937.153160494228</v>
      </c>
      <c r="AC50" s="8">
        <f>Deals_Raw!AE50</f>
        <v>0.55670009753830996</v>
      </c>
      <c r="AD50" t="str">
        <f>Deals_Raw!AF50</f>
        <v>Lost</v>
      </c>
      <c r="AE50">
        <f>Deals_Raw!AG50</f>
        <v>0</v>
      </c>
      <c r="AF50">
        <f>Deals_Raw!AH50</f>
        <v>0</v>
      </c>
      <c r="AG50" t="str">
        <f>Deals_Raw!AI50</f>
        <v>No</v>
      </c>
      <c r="AH50" s="6">
        <f>Deals_Raw!AJ50</f>
        <v>0</v>
      </c>
      <c r="AI50" s="6">
        <f>Deals_Raw!AK50</f>
        <v>0</v>
      </c>
      <c r="AJ50" t="str">
        <f>Deals_Raw!AL50</f>
        <v>First purchase under this contract</v>
      </c>
      <c r="AK50" s="9">
        <f t="shared" si="0"/>
        <v>2.7277777777777779</v>
      </c>
      <c r="AL50" s="8">
        <f t="shared" si="1"/>
        <v>0.78190629394724898</v>
      </c>
      <c r="AM50" s="8">
        <f t="shared" si="2"/>
        <v>3.7000000000000005E-2</v>
      </c>
      <c r="AN50" t="str">
        <f>IF(AC50&lt;Pricing_Policy!$C$10,"Below Floor","Pass")</f>
        <v>Pass</v>
      </c>
      <c r="AO50" t="str">
        <f>IF(V50&gt;Pricing_Policy!$C$7,"Exception","Standard")</f>
        <v>Standard</v>
      </c>
      <c r="AP50" t="str">
        <f t="shared" si="3"/>
        <v>Pass</v>
      </c>
      <c r="AQ50">
        <f t="shared" si="4"/>
        <v>0</v>
      </c>
      <c r="AR50" s="8">
        <f t="shared" si="5"/>
        <v>0</v>
      </c>
      <c r="AS50">
        <f t="shared" si="6"/>
        <v>1</v>
      </c>
    </row>
    <row r="51" spans="1:45">
      <c r="A51" t="str">
        <f>Deals_Raw!A51</f>
        <v>D00056</v>
      </c>
      <c r="B51">
        <f>Deals_Raw!B51</f>
        <v>45626</v>
      </c>
      <c r="C51" t="str">
        <f>Deals_Raw!C51</f>
        <v>C0015</v>
      </c>
      <c r="D51" t="str">
        <f>Deals_Raw!D51</f>
        <v>FIN-0015</v>
      </c>
      <c r="E51" t="str">
        <f>Deals_Raw!E51</f>
        <v>CT00034</v>
      </c>
      <c r="F51" t="str">
        <f>Deals_Raw!F51</f>
        <v>Technology</v>
      </c>
      <c r="G51" t="str">
        <f>Deals_Raw!G51</f>
        <v>Financial Services</v>
      </c>
      <c r="H51" t="str">
        <f>Deals_Raw!H51</f>
        <v>Northeast</v>
      </c>
      <c r="I51" t="str">
        <f>Deals_Raw!I51</f>
        <v>Northeast Commercial</v>
      </c>
      <c r="J51" t="str">
        <f>Deals_Raw!J51</f>
        <v>SMB</v>
      </c>
      <c r="K51" t="str">
        <f>Deals_Raw!K51</f>
        <v>No</v>
      </c>
      <c r="L51">
        <f>Deals_Raw!L51</f>
        <v>44470</v>
      </c>
      <c r="M51">
        <f>Deals_Raw!M51</f>
        <v>81</v>
      </c>
      <c r="N51" t="str">
        <f>Deals_Raw!N51</f>
        <v>Nexus Compliance</v>
      </c>
      <c r="O51" t="str">
        <f>Deals_Raw!O51</f>
        <v>Renewal</v>
      </c>
      <c r="P51">
        <f>Deals_Raw!P51</f>
        <v>0</v>
      </c>
      <c r="Q51">
        <f>Deals_Raw!Q51</f>
        <v>1</v>
      </c>
      <c r="R51">
        <f>Deals_Raw!R51</f>
        <v>74</v>
      </c>
      <c r="S51" t="str">
        <f>Deals_Raw!S51</f>
        <v>S. Rivera</v>
      </c>
      <c r="T51" s="6">
        <f>Deals_Raw!T51</f>
        <v>76441.027976165162</v>
      </c>
      <c r="U51" s="8">
        <f>Deals_Raw!V51</f>
        <v>0.189</v>
      </c>
      <c r="V51" s="8">
        <f>Deals_Raw!W51</f>
        <v>0.16900000000000001</v>
      </c>
      <c r="W51" s="8">
        <f>Deals_Raw!X51</f>
        <v>-0.106</v>
      </c>
      <c r="X51" t="str">
        <f>Deals_Raw!Y51</f>
        <v>Budget constraint</v>
      </c>
      <c r="Y51" t="str">
        <f>Deals_Raw!Z51</f>
        <v>Pricing Analyst</v>
      </c>
      <c r="Z51" s="6">
        <f>Deals_Raw!AA51</f>
        <v>63514.511795704464</v>
      </c>
      <c r="AA51" s="6">
        <f>Deals_Raw!AC51</f>
        <v>26148.539982455888</v>
      </c>
      <c r="AB51" s="6">
        <f>Deals_Raw!AD51</f>
        <v>37365.971813248572</v>
      </c>
      <c r="AC51" s="8">
        <f>Deals_Raw!AE51</f>
        <v>0.58830605410991543</v>
      </c>
      <c r="AD51" t="str">
        <f>Deals_Raw!AF51</f>
        <v>Won</v>
      </c>
      <c r="AE51" t="str">
        <f>Deals_Raw!AG51</f>
        <v>Yes</v>
      </c>
      <c r="AF51">
        <f>Deals_Raw!AH51</f>
        <v>0</v>
      </c>
      <c r="AG51" t="str">
        <f>Deals_Raw!AI51</f>
        <v>No</v>
      </c>
      <c r="AH51" s="6">
        <f>Deals_Raw!AJ51</f>
        <v>63514.511795704464</v>
      </c>
      <c r="AI51" s="6">
        <f>Deals_Raw!AK51</f>
        <v>37365.971813248572</v>
      </c>
      <c r="AJ51" t="str">
        <f>Deals_Raw!AL51</f>
        <v>Renewal of existing active contract</v>
      </c>
      <c r="AK51" s="9">
        <f t="shared" si="0"/>
        <v>3.1638888888888888</v>
      </c>
      <c r="AL51" s="8">
        <f t="shared" si="1"/>
        <v>0.83089557371610345</v>
      </c>
      <c r="AM51" s="8">
        <f t="shared" si="2"/>
        <v>1.999999999999999E-2</v>
      </c>
      <c r="AN51" t="str">
        <f>IF(AC51&lt;Pricing_Policy!$C$10,"Below Floor","Pass")</f>
        <v>Pass</v>
      </c>
      <c r="AO51" t="str">
        <f>IF(V51&gt;Pricing_Policy!$C$7,"Exception","Standard")</f>
        <v>Standard</v>
      </c>
      <c r="AP51" t="str">
        <f t="shared" si="3"/>
        <v>Pass</v>
      </c>
      <c r="AQ51">
        <f t="shared" si="4"/>
        <v>1</v>
      </c>
      <c r="AR51" s="8">
        <f t="shared" si="5"/>
        <v>0.58830605410991543</v>
      </c>
      <c r="AS51">
        <f t="shared" si="6"/>
        <v>2</v>
      </c>
    </row>
    <row r="52" spans="1:45">
      <c r="A52" t="str">
        <f>Deals_Raw!A52</f>
        <v>D00057</v>
      </c>
      <c r="B52">
        <f>Deals_Raw!B52</f>
        <v>45991</v>
      </c>
      <c r="C52" t="str">
        <f>Deals_Raw!C52</f>
        <v>C0015</v>
      </c>
      <c r="D52" t="str">
        <f>Deals_Raw!D52</f>
        <v>FIN-0015</v>
      </c>
      <c r="E52" t="str">
        <f>Deals_Raw!E52</f>
        <v>CT00034</v>
      </c>
      <c r="F52" t="str">
        <f>Deals_Raw!F52</f>
        <v>Technology</v>
      </c>
      <c r="G52" t="str">
        <f>Deals_Raw!G52</f>
        <v>Financial Services</v>
      </c>
      <c r="H52" t="str">
        <f>Deals_Raw!H52</f>
        <v>Northeast</v>
      </c>
      <c r="I52" t="str">
        <f>Deals_Raw!I52</f>
        <v>Northeast Commercial</v>
      </c>
      <c r="J52" t="str">
        <f>Deals_Raw!J52</f>
        <v>SMB</v>
      </c>
      <c r="K52" t="str">
        <f>Deals_Raw!K52</f>
        <v>No</v>
      </c>
      <c r="L52">
        <f>Deals_Raw!L52</f>
        <v>44470</v>
      </c>
      <c r="M52">
        <f>Deals_Raw!M52</f>
        <v>81</v>
      </c>
      <c r="N52" t="str">
        <f>Deals_Raw!N52</f>
        <v>Nexus Compliance</v>
      </c>
      <c r="O52" t="str">
        <f>Deals_Raw!O52</f>
        <v>Renewal</v>
      </c>
      <c r="P52">
        <f>Deals_Raw!P52</f>
        <v>0</v>
      </c>
      <c r="Q52">
        <f>Deals_Raw!Q52</f>
        <v>1</v>
      </c>
      <c r="R52">
        <f>Deals_Raw!R52</f>
        <v>74</v>
      </c>
      <c r="S52" t="str">
        <f>Deals_Raw!S52</f>
        <v>A. Patel</v>
      </c>
      <c r="T52" s="6">
        <f>Deals_Raw!T52</f>
        <v>80922.440241869932</v>
      </c>
      <c r="U52" s="8">
        <f>Deals_Raw!V52</f>
        <v>2.1999999999999999E-2</v>
      </c>
      <c r="V52" s="8">
        <f>Deals_Raw!W52</f>
        <v>2.1000000000000001E-2</v>
      </c>
      <c r="W52" s="8">
        <f>Deals_Raw!X52</f>
        <v>1.4999999999999999E-2</v>
      </c>
      <c r="X52" t="str">
        <f>Deals_Raw!Y52</f>
        <v>Budget constraint</v>
      </c>
      <c r="Y52" t="str">
        <f>Deals_Raw!Z52</f>
        <v>Sales Manager</v>
      </c>
      <c r="Z52" s="6">
        <f>Deals_Raw!AA52</f>
        <v>79240.897110602295</v>
      </c>
      <c r="AA52" s="6">
        <f>Deals_Raw!AC52</f>
        <v>26569.301181700888</v>
      </c>
      <c r="AB52" s="6">
        <f>Deals_Raw!AD52</f>
        <v>52671.595928901406</v>
      </c>
      <c r="AC52" s="8">
        <f>Deals_Raw!AE52</f>
        <v>0.66470216579430974</v>
      </c>
      <c r="AD52" t="str">
        <f>Deals_Raw!AF52</f>
        <v>Won</v>
      </c>
      <c r="AE52" t="str">
        <f>Deals_Raw!AG52</f>
        <v>Yes</v>
      </c>
      <c r="AF52">
        <f>Deals_Raw!AH52</f>
        <v>0</v>
      </c>
      <c r="AG52" t="str">
        <f>Deals_Raw!AI52</f>
        <v>No</v>
      </c>
      <c r="AH52" s="6">
        <f>Deals_Raw!AJ52</f>
        <v>79240.897110602295</v>
      </c>
      <c r="AI52" s="6">
        <f>Deals_Raw!AK52</f>
        <v>52671.595928901406</v>
      </c>
      <c r="AJ52" t="str">
        <f>Deals_Raw!AL52</f>
        <v>Renewal of existing active contract</v>
      </c>
      <c r="AK52" s="9">
        <f t="shared" si="0"/>
        <v>4.1638888888888888</v>
      </c>
      <c r="AL52" s="8">
        <f t="shared" si="1"/>
        <v>0.97922031112455754</v>
      </c>
      <c r="AM52" s="8">
        <f t="shared" si="2"/>
        <v>9.9999999999999742E-4</v>
      </c>
      <c r="AN52" t="str">
        <f>IF(AC52&lt;Pricing_Policy!$C$10,"Below Floor","Pass")</f>
        <v>Pass</v>
      </c>
      <c r="AO52" t="str">
        <f>IF(V52&gt;Pricing_Policy!$C$7,"Exception","Standard")</f>
        <v>Standard</v>
      </c>
      <c r="AP52" t="str">
        <f t="shared" si="3"/>
        <v>Pass</v>
      </c>
      <c r="AQ52">
        <f t="shared" si="4"/>
        <v>1</v>
      </c>
      <c r="AR52" s="8">
        <f t="shared" si="5"/>
        <v>0.66470216579430974</v>
      </c>
      <c r="AS52">
        <f t="shared" si="6"/>
        <v>2</v>
      </c>
    </row>
    <row r="53" spans="1:45">
      <c r="A53" t="str">
        <f>Deals_Raw!A53</f>
        <v>D00059</v>
      </c>
      <c r="B53">
        <f>Deals_Raw!B53</f>
        <v>45432</v>
      </c>
      <c r="C53" t="str">
        <f>Deals_Raw!C53</f>
        <v>C0016</v>
      </c>
      <c r="D53" t="str">
        <f>Deals_Raw!D53</f>
        <v>HEA-0016</v>
      </c>
      <c r="E53" t="str">
        <f>Deals_Raw!E53</f>
        <v>CT00035</v>
      </c>
      <c r="F53" t="str">
        <f>Deals_Raw!F53</f>
        <v>Legal</v>
      </c>
      <c r="G53" t="str">
        <f>Deals_Raw!G53</f>
        <v>Healthcare</v>
      </c>
      <c r="H53" t="str">
        <f>Deals_Raw!H53</f>
        <v>South</v>
      </c>
      <c r="I53" t="str">
        <f>Deals_Raw!I53</f>
        <v>South Enterprise</v>
      </c>
      <c r="J53" t="str">
        <f>Deals_Raw!J53</f>
        <v>Enterprise</v>
      </c>
      <c r="K53" t="str">
        <f>Deals_Raw!K53</f>
        <v>Yes</v>
      </c>
      <c r="L53">
        <f>Deals_Raw!L53</f>
        <v>43221</v>
      </c>
      <c r="M53">
        <f>Deals_Raw!M53</f>
        <v>80</v>
      </c>
      <c r="N53" t="str">
        <f>Deals_Raw!N53</f>
        <v>Nexus Enterprise Suite</v>
      </c>
      <c r="O53" t="str">
        <f>Deals_Raw!O53</f>
        <v>Expansion</v>
      </c>
      <c r="P53" t="str">
        <f>Deals_Raw!P53</f>
        <v>Multi-year Extension</v>
      </c>
      <c r="Q53">
        <f>Deals_Raw!Q53</f>
        <v>1</v>
      </c>
      <c r="R53">
        <f>Deals_Raw!R53</f>
        <v>533</v>
      </c>
      <c r="S53" t="str">
        <f>Deals_Raw!S53</f>
        <v>R. Singh</v>
      </c>
      <c r="T53" s="6">
        <f>Deals_Raw!T53</f>
        <v>1157457.9469481122</v>
      </c>
      <c r="U53" s="8">
        <f>Deals_Raw!V53</f>
        <v>6.4000000000000001E-2</v>
      </c>
      <c r="V53" s="8">
        <f>Deals_Raw!W53</f>
        <v>0.05</v>
      </c>
      <c r="W53" s="8">
        <f>Deals_Raw!X53</f>
        <v>0.104</v>
      </c>
      <c r="X53" t="str">
        <f>Deals_Raw!Y53</f>
        <v>Expansion opportunity</v>
      </c>
      <c r="Y53" t="str">
        <f>Deals_Raw!Z53</f>
        <v>Sales Manager</v>
      </c>
      <c r="Z53" s="6">
        <f>Deals_Raw!AA53</f>
        <v>1099091.5398195924</v>
      </c>
      <c r="AA53" s="6">
        <f>Deals_Raw!AC53</f>
        <v>417114.25091168814</v>
      </c>
      <c r="AB53" s="6">
        <f>Deals_Raw!AD53</f>
        <v>681977.28890790418</v>
      </c>
      <c r="AC53" s="8">
        <f>Deals_Raw!AE53</f>
        <v>0.62049180091027323</v>
      </c>
      <c r="AD53" t="str">
        <f>Deals_Raw!AF53</f>
        <v>Won</v>
      </c>
      <c r="AE53">
        <f>Deals_Raw!AG53</f>
        <v>0</v>
      </c>
      <c r="AF53" t="str">
        <f>Deals_Raw!AH53</f>
        <v>Yes</v>
      </c>
      <c r="AG53" t="str">
        <f>Deals_Raw!AI53</f>
        <v>No</v>
      </c>
      <c r="AH53" s="6">
        <f>Deals_Raw!AJ53</f>
        <v>1099091.5398195924</v>
      </c>
      <c r="AI53" s="6">
        <f>Deals_Raw!AK53</f>
        <v>681977.28890790418</v>
      </c>
      <c r="AJ53" t="str">
        <f>Deals_Raw!AL53</f>
        <v>Expansion allowed because contract was active</v>
      </c>
      <c r="AK53" s="9">
        <f t="shared" si="0"/>
        <v>6.052777777777778</v>
      </c>
      <c r="AL53" s="8">
        <f t="shared" si="1"/>
        <v>0.94957362616722663</v>
      </c>
      <c r="AM53" s="8">
        <f t="shared" si="2"/>
        <v>1.3999999999999999E-2</v>
      </c>
      <c r="AN53" t="str">
        <f>IF(AC53&lt;Pricing_Policy!$C$10,"Below Floor","Pass")</f>
        <v>Pass</v>
      </c>
      <c r="AO53" t="str">
        <f>IF(V53&gt;Pricing_Policy!$C$7,"Exception","Standard")</f>
        <v>Standard</v>
      </c>
      <c r="AP53" t="str">
        <f t="shared" si="3"/>
        <v>Pass</v>
      </c>
      <c r="AQ53">
        <f t="shared" si="4"/>
        <v>1</v>
      </c>
      <c r="AR53" s="8">
        <f t="shared" si="5"/>
        <v>0.62049180091027323</v>
      </c>
      <c r="AS53">
        <f t="shared" si="6"/>
        <v>3</v>
      </c>
    </row>
    <row r="54" spans="1:45">
      <c r="A54" t="str">
        <f>Deals_Raw!A54</f>
        <v>D00060</v>
      </c>
      <c r="B54">
        <f>Deals_Raw!B54</f>
        <v>45628</v>
      </c>
      <c r="C54" t="str">
        <f>Deals_Raw!C54</f>
        <v>C0016</v>
      </c>
      <c r="D54" t="str">
        <f>Deals_Raw!D54</f>
        <v>HEA-0016</v>
      </c>
      <c r="E54" t="str">
        <f>Deals_Raw!E54</f>
        <v>CT00035</v>
      </c>
      <c r="F54" t="str">
        <f>Deals_Raw!F54</f>
        <v>Legal</v>
      </c>
      <c r="G54" t="str">
        <f>Deals_Raw!G54</f>
        <v>Healthcare</v>
      </c>
      <c r="H54" t="str">
        <f>Deals_Raw!H54</f>
        <v>South</v>
      </c>
      <c r="I54" t="str">
        <f>Deals_Raw!I54</f>
        <v>South Enterprise</v>
      </c>
      <c r="J54" t="str">
        <f>Deals_Raw!J54</f>
        <v>Enterprise</v>
      </c>
      <c r="K54" t="str">
        <f>Deals_Raw!K54</f>
        <v>Yes</v>
      </c>
      <c r="L54">
        <f>Deals_Raw!L54</f>
        <v>43221</v>
      </c>
      <c r="M54">
        <f>Deals_Raw!M54</f>
        <v>80</v>
      </c>
      <c r="N54" t="str">
        <f>Deals_Raw!N54</f>
        <v>Nexus Enterprise Suite</v>
      </c>
      <c r="O54" t="str">
        <f>Deals_Raw!O54</f>
        <v>Renewal</v>
      </c>
      <c r="P54">
        <f>Deals_Raw!P54</f>
        <v>0</v>
      </c>
      <c r="Q54">
        <f>Deals_Raw!Q54</f>
        <v>1</v>
      </c>
      <c r="R54">
        <f>Deals_Raw!R54</f>
        <v>533</v>
      </c>
      <c r="S54" t="str">
        <f>Deals_Raw!S54</f>
        <v>M. Johnson</v>
      </c>
      <c r="T54" s="6">
        <f>Deals_Raw!T54</f>
        <v>1184782.7660114898</v>
      </c>
      <c r="U54" s="8">
        <f>Deals_Raw!V54</f>
        <v>5.8999999999999997E-2</v>
      </c>
      <c r="V54" s="8">
        <f>Deals_Raw!W54</f>
        <v>3.7999999999999999E-2</v>
      </c>
      <c r="W54" s="8">
        <f>Deals_Raw!X54</f>
        <v>-2.5999999999999999E-2</v>
      </c>
      <c r="X54" t="str">
        <f>Deals_Raw!Y54</f>
        <v>Procurement requirement</v>
      </c>
      <c r="Y54" t="str">
        <f>Deals_Raw!Z54</f>
        <v>Sales Manager</v>
      </c>
      <c r="Z54" s="6">
        <f>Deals_Raw!AA54</f>
        <v>1139777.1409114096</v>
      </c>
      <c r="AA54" s="6">
        <f>Deals_Raw!AC54</f>
        <v>398219.84912046336</v>
      </c>
      <c r="AB54" s="6">
        <f>Deals_Raw!AD54</f>
        <v>741557.29179094627</v>
      </c>
      <c r="AC54" s="8">
        <f>Deals_Raw!AE54</f>
        <v>0.65061604165702824</v>
      </c>
      <c r="AD54" t="str">
        <f>Deals_Raw!AF54</f>
        <v>Won</v>
      </c>
      <c r="AE54" t="str">
        <f>Deals_Raw!AG54</f>
        <v>Yes</v>
      </c>
      <c r="AF54">
        <f>Deals_Raw!AH54</f>
        <v>0</v>
      </c>
      <c r="AG54" t="str">
        <f>Deals_Raw!AI54</f>
        <v>No</v>
      </c>
      <c r="AH54" s="6">
        <f>Deals_Raw!AJ54</f>
        <v>1139777.1409114096</v>
      </c>
      <c r="AI54" s="6">
        <f>Deals_Raw!AK54</f>
        <v>741557.29179094627</v>
      </c>
      <c r="AJ54" t="str">
        <f>Deals_Raw!AL54</f>
        <v>Renewal of existing active contract</v>
      </c>
      <c r="AK54" s="9">
        <f t="shared" si="0"/>
        <v>6.5861111111111112</v>
      </c>
      <c r="AL54" s="8">
        <f t="shared" si="1"/>
        <v>0.96201360587680618</v>
      </c>
      <c r="AM54" s="8">
        <f t="shared" si="2"/>
        <v>2.0999999999999998E-2</v>
      </c>
      <c r="AN54" t="str">
        <f>IF(AC54&lt;Pricing_Policy!$C$10,"Below Floor","Pass")</f>
        <v>Pass</v>
      </c>
      <c r="AO54" t="str">
        <f>IF(V54&gt;Pricing_Policy!$C$7,"Exception","Standard")</f>
        <v>Standard</v>
      </c>
      <c r="AP54" t="str">
        <f t="shared" si="3"/>
        <v>Pass</v>
      </c>
      <c r="AQ54">
        <f t="shared" si="4"/>
        <v>1</v>
      </c>
      <c r="AR54" s="8">
        <f t="shared" si="5"/>
        <v>0.65061604165702824</v>
      </c>
      <c r="AS54">
        <f t="shared" si="6"/>
        <v>3</v>
      </c>
    </row>
    <row r="55" spans="1:45">
      <c r="A55" t="str">
        <f>Deals_Raw!A55</f>
        <v>D00061</v>
      </c>
      <c r="B55">
        <f>Deals_Raw!B55</f>
        <v>45993</v>
      </c>
      <c r="C55" t="str">
        <f>Deals_Raw!C55</f>
        <v>C0016</v>
      </c>
      <c r="D55" t="str">
        <f>Deals_Raw!D55</f>
        <v>HEA-0016</v>
      </c>
      <c r="E55" t="str">
        <f>Deals_Raw!E55</f>
        <v>CT00035</v>
      </c>
      <c r="F55" t="str">
        <f>Deals_Raw!F55</f>
        <v>Legal</v>
      </c>
      <c r="G55" t="str">
        <f>Deals_Raw!G55</f>
        <v>Healthcare</v>
      </c>
      <c r="H55" t="str">
        <f>Deals_Raw!H55</f>
        <v>South</v>
      </c>
      <c r="I55" t="str">
        <f>Deals_Raw!I55</f>
        <v>South Enterprise</v>
      </c>
      <c r="J55" t="str">
        <f>Deals_Raw!J55</f>
        <v>Enterprise</v>
      </c>
      <c r="K55" t="str">
        <f>Deals_Raw!K55</f>
        <v>Yes</v>
      </c>
      <c r="L55">
        <f>Deals_Raw!L55</f>
        <v>43221</v>
      </c>
      <c r="M55">
        <f>Deals_Raw!M55</f>
        <v>80</v>
      </c>
      <c r="N55" t="str">
        <f>Deals_Raw!N55</f>
        <v>Nexus Enterprise Suite</v>
      </c>
      <c r="O55" t="str">
        <f>Deals_Raw!O55</f>
        <v>Renewal</v>
      </c>
      <c r="P55">
        <f>Deals_Raw!P55</f>
        <v>0</v>
      </c>
      <c r="Q55">
        <f>Deals_Raw!Q55</f>
        <v>1</v>
      </c>
      <c r="R55">
        <f>Deals_Raw!R55</f>
        <v>533</v>
      </c>
      <c r="S55" t="str">
        <f>Deals_Raw!S55</f>
        <v>R. Singh</v>
      </c>
      <c r="T55" s="6">
        <f>Deals_Raw!T55</f>
        <v>1239770.4355148997</v>
      </c>
      <c r="U55" s="8">
        <f>Deals_Raw!V55</f>
        <v>6.5000000000000002E-2</v>
      </c>
      <c r="V55" s="8">
        <f>Deals_Raw!W55</f>
        <v>3.1E-2</v>
      </c>
      <c r="W55" s="8">
        <f>Deals_Raw!X55</f>
        <v>5.0000000000000001E-3</v>
      </c>
      <c r="X55" t="str">
        <f>Deals_Raw!Y55</f>
        <v>Budget constraint</v>
      </c>
      <c r="Y55" t="str">
        <f>Deals_Raw!Z55</f>
        <v>Sales Manager</v>
      </c>
      <c r="Z55" s="6">
        <f>Deals_Raw!AA55</f>
        <v>1200751.2043398533</v>
      </c>
      <c r="AA55" s="6">
        <f>Deals_Raw!AC55</f>
        <v>434910.73210590053</v>
      </c>
      <c r="AB55" s="6">
        <f>Deals_Raw!AD55</f>
        <v>765840.47223395272</v>
      </c>
      <c r="AC55" s="8">
        <f>Deals_Raw!AE55</f>
        <v>0.63780112771570785</v>
      </c>
      <c r="AD55" t="str">
        <f>Deals_Raw!AF55</f>
        <v>Won</v>
      </c>
      <c r="AE55" t="str">
        <f>Deals_Raw!AG55</f>
        <v>Yes</v>
      </c>
      <c r="AF55">
        <f>Deals_Raw!AH55</f>
        <v>0</v>
      </c>
      <c r="AG55" t="str">
        <f>Deals_Raw!AI55</f>
        <v>No</v>
      </c>
      <c r="AH55" s="6">
        <f>Deals_Raw!AJ55</f>
        <v>1200751.2043398533</v>
      </c>
      <c r="AI55" s="6">
        <f>Deals_Raw!AK55</f>
        <v>765840.47223395272</v>
      </c>
      <c r="AJ55" t="str">
        <f>Deals_Raw!AL55</f>
        <v>Renewal of existing active contract</v>
      </c>
      <c r="AK55" s="9">
        <f t="shared" si="0"/>
        <v>7.5861111111111112</v>
      </c>
      <c r="AL55" s="8">
        <f t="shared" si="1"/>
        <v>0.96852705141428785</v>
      </c>
      <c r="AM55" s="8">
        <f t="shared" si="2"/>
        <v>3.4000000000000002E-2</v>
      </c>
      <c r="AN55" t="str">
        <f>IF(AC55&lt;Pricing_Policy!$C$10,"Below Floor","Pass")</f>
        <v>Pass</v>
      </c>
      <c r="AO55" t="str">
        <f>IF(V55&gt;Pricing_Policy!$C$7,"Exception","Standard")</f>
        <v>Standard</v>
      </c>
      <c r="AP55" t="str">
        <f t="shared" si="3"/>
        <v>Pass</v>
      </c>
      <c r="AQ55">
        <f t="shared" si="4"/>
        <v>1</v>
      </c>
      <c r="AR55" s="8">
        <f t="shared" si="5"/>
        <v>0.63780112771570785</v>
      </c>
      <c r="AS55">
        <f t="shared" si="6"/>
        <v>3</v>
      </c>
    </row>
    <row r="56" spans="1:45">
      <c r="A56" t="str">
        <f>Deals_Raw!A56</f>
        <v>D00062</v>
      </c>
      <c r="B56">
        <f>Deals_Raw!B56</f>
        <v>45540</v>
      </c>
      <c r="C56" t="str">
        <f>Deals_Raw!C56</f>
        <v>C0017</v>
      </c>
      <c r="D56" t="str">
        <f>Deals_Raw!D56</f>
        <v>TEC-0017</v>
      </c>
      <c r="E56" t="str">
        <f>Deals_Raw!E56</f>
        <v>CT00038</v>
      </c>
      <c r="F56" t="str">
        <f>Deals_Raw!F56</f>
        <v>Legal</v>
      </c>
      <c r="G56" t="str">
        <f>Deals_Raw!G56</f>
        <v>Technology</v>
      </c>
      <c r="H56" t="str">
        <f>Deals_Raw!H56</f>
        <v>West</v>
      </c>
      <c r="I56" t="str">
        <f>Deals_Raw!I56</f>
        <v>West Commercial</v>
      </c>
      <c r="J56" t="str">
        <f>Deals_Raw!J56</f>
        <v>Mid-Market</v>
      </c>
      <c r="K56" t="str">
        <f>Deals_Raw!K56</f>
        <v>No</v>
      </c>
      <c r="L56">
        <f>Deals_Raw!L56</f>
        <v>44958</v>
      </c>
      <c r="M56">
        <f>Deals_Raw!M56</f>
        <v>81</v>
      </c>
      <c r="N56" t="str">
        <f>Deals_Raw!N56</f>
        <v>Nexus Enterprise Suite</v>
      </c>
      <c r="O56" t="str">
        <f>Deals_Raw!O56</f>
        <v>New Business</v>
      </c>
      <c r="P56">
        <f>Deals_Raw!P56</f>
        <v>0</v>
      </c>
      <c r="Q56">
        <f>Deals_Raw!Q56</f>
        <v>1</v>
      </c>
      <c r="R56">
        <f>Deals_Raw!R56</f>
        <v>145</v>
      </c>
      <c r="S56" t="str">
        <f>Deals_Raw!S56</f>
        <v>T. Brooks</v>
      </c>
      <c r="T56" s="6">
        <f>Deals_Raw!T56</f>
        <v>336527.78014903475</v>
      </c>
      <c r="U56" s="8">
        <f>Deals_Raw!V56</f>
        <v>8.9999999999999993E-3</v>
      </c>
      <c r="V56" s="8">
        <f>Deals_Raw!W56</f>
        <v>0</v>
      </c>
      <c r="W56" s="8">
        <f>Deals_Raw!X56</f>
        <v>7.0000000000000007E-2</v>
      </c>
      <c r="X56" t="str">
        <f>Deals_Raw!Y56</f>
        <v>Budget constraint</v>
      </c>
      <c r="Y56" t="str">
        <f>Deals_Raw!Z56</f>
        <v>Sales Manager</v>
      </c>
      <c r="Z56" s="6">
        <f>Deals_Raw!AA56</f>
        <v>336527.78014903475</v>
      </c>
      <c r="AA56" s="6">
        <f>Deals_Raw!AC56</f>
        <v>139120.90221287814</v>
      </c>
      <c r="AB56" s="6">
        <f>Deals_Raw!AD56</f>
        <v>197406.87793615661</v>
      </c>
      <c r="AC56" s="8">
        <f>Deals_Raw!AE56</f>
        <v>0.58659905535505263</v>
      </c>
      <c r="AD56" t="str">
        <f>Deals_Raw!AF56</f>
        <v>Won</v>
      </c>
      <c r="AE56">
        <f>Deals_Raw!AG56</f>
        <v>0</v>
      </c>
      <c r="AF56">
        <f>Deals_Raw!AH56</f>
        <v>0</v>
      </c>
      <c r="AG56" t="str">
        <f>Deals_Raw!AI56</f>
        <v>No</v>
      </c>
      <c r="AH56" s="6">
        <f>Deals_Raw!AJ56</f>
        <v>336527.78014903475</v>
      </c>
      <c r="AI56" s="6">
        <f>Deals_Raw!AK56</f>
        <v>197406.87793615661</v>
      </c>
      <c r="AJ56" t="str">
        <f>Deals_Raw!AL56</f>
        <v>First purchase under this contract</v>
      </c>
      <c r="AK56" s="9">
        <f t="shared" si="0"/>
        <v>1.5944444444444446</v>
      </c>
      <c r="AL56" s="8">
        <f t="shared" si="1"/>
        <v>1</v>
      </c>
      <c r="AM56" s="8">
        <f t="shared" si="2"/>
        <v>8.9999999999999993E-3</v>
      </c>
      <c r="AN56" t="str">
        <f>IF(AC56&lt;Pricing_Policy!$C$10,"Below Floor","Pass")</f>
        <v>Pass</v>
      </c>
      <c r="AO56" t="str">
        <f>IF(V56&gt;Pricing_Policy!$C$7,"Exception","Standard")</f>
        <v>Standard</v>
      </c>
      <c r="AP56" t="str">
        <f t="shared" si="3"/>
        <v>Pass</v>
      </c>
      <c r="AQ56">
        <f t="shared" si="4"/>
        <v>1</v>
      </c>
      <c r="AR56" s="8">
        <f t="shared" si="5"/>
        <v>0.58659905535505263</v>
      </c>
      <c r="AS56">
        <f t="shared" si="6"/>
        <v>2</v>
      </c>
    </row>
    <row r="57" spans="1:45">
      <c r="A57" t="str">
        <f>Deals_Raw!A57</f>
        <v>D00063</v>
      </c>
      <c r="B57">
        <f>Deals_Raw!B57</f>
        <v>45905</v>
      </c>
      <c r="C57" t="str">
        <f>Deals_Raw!C57</f>
        <v>C0017</v>
      </c>
      <c r="D57" t="str">
        <f>Deals_Raw!D57</f>
        <v>TEC-0017</v>
      </c>
      <c r="E57" t="str">
        <f>Deals_Raw!E57</f>
        <v>CT00038</v>
      </c>
      <c r="F57" t="str">
        <f>Deals_Raw!F57</f>
        <v>Legal</v>
      </c>
      <c r="G57" t="str">
        <f>Deals_Raw!G57</f>
        <v>Technology</v>
      </c>
      <c r="H57" t="str">
        <f>Deals_Raw!H57</f>
        <v>West</v>
      </c>
      <c r="I57" t="str">
        <f>Deals_Raw!I57</f>
        <v>West Commercial</v>
      </c>
      <c r="J57" t="str">
        <f>Deals_Raw!J57</f>
        <v>Mid-Market</v>
      </c>
      <c r="K57" t="str">
        <f>Deals_Raw!K57</f>
        <v>No</v>
      </c>
      <c r="L57">
        <f>Deals_Raw!L57</f>
        <v>44958</v>
      </c>
      <c r="M57">
        <f>Deals_Raw!M57</f>
        <v>81</v>
      </c>
      <c r="N57" t="str">
        <f>Deals_Raw!N57</f>
        <v>Nexus Enterprise Suite</v>
      </c>
      <c r="O57" t="str">
        <f>Deals_Raw!O57</f>
        <v>Renewal</v>
      </c>
      <c r="P57">
        <f>Deals_Raw!P57</f>
        <v>0</v>
      </c>
      <c r="Q57">
        <f>Deals_Raw!Q57</f>
        <v>1</v>
      </c>
      <c r="R57">
        <f>Deals_Raw!R57</f>
        <v>145</v>
      </c>
      <c r="S57" t="str">
        <f>Deals_Raw!S57</f>
        <v>D. Chen</v>
      </c>
      <c r="T57" s="6">
        <f>Deals_Raw!T57</f>
        <v>351058.04406415421</v>
      </c>
      <c r="U57" s="8">
        <f>Deals_Raw!V57</f>
        <v>0.215</v>
      </c>
      <c r="V57" s="8">
        <f>Deals_Raw!W57</f>
        <v>0.19700000000000001</v>
      </c>
      <c r="W57" s="8">
        <f>Deals_Raw!X57</f>
        <v>-6.2E-2</v>
      </c>
      <c r="X57" t="str">
        <f>Deals_Raw!Y57</f>
        <v>Verified competitor pressure</v>
      </c>
      <c r="Y57" t="str">
        <f>Deals_Raw!Z57</f>
        <v>Pricing Analyst</v>
      </c>
      <c r="Z57" s="6">
        <f>Deals_Raw!AA57</f>
        <v>282013.06125455344</v>
      </c>
      <c r="AA57" s="6">
        <f>Deals_Raw!AC57</f>
        <v>121286.23352937678</v>
      </c>
      <c r="AB57" s="6">
        <f>Deals_Raw!AD57</f>
        <v>160726.82772517664</v>
      </c>
      <c r="AC57" s="8">
        <f>Deals_Raw!AE57</f>
        <v>0.56992689278352182</v>
      </c>
      <c r="AD57" t="str">
        <f>Deals_Raw!AF57</f>
        <v>Lost</v>
      </c>
      <c r="AE57" t="str">
        <f>Deals_Raw!AG57</f>
        <v>No</v>
      </c>
      <c r="AF57">
        <f>Deals_Raw!AH57</f>
        <v>0</v>
      </c>
      <c r="AG57" t="str">
        <f>Deals_Raw!AI57</f>
        <v>No</v>
      </c>
      <c r="AH57" s="6">
        <f>Deals_Raw!AJ57</f>
        <v>0</v>
      </c>
      <c r="AI57" s="6">
        <f>Deals_Raw!AK57</f>
        <v>0</v>
      </c>
      <c r="AJ57" t="str">
        <f>Deals_Raw!AL57</f>
        <v>Renewal of existing active contract</v>
      </c>
      <c r="AK57" s="9">
        <f t="shared" si="0"/>
        <v>2.5944444444444446</v>
      </c>
      <c r="AL57" s="8">
        <f t="shared" si="1"/>
        <v>0.80332317126172126</v>
      </c>
      <c r="AM57" s="8">
        <f t="shared" si="2"/>
        <v>1.7999999999999988E-2</v>
      </c>
      <c r="AN57" t="str">
        <f>IF(AC57&lt;Pricing_Policy!$C$10,"Below Floor","Pass")</f>
        <v>Pass</v>
      </c>
      <c r="AO57" t="str">
        <f>IF(V57&gt;Pricing_Policy!$C$7,"Exception","Standard")</f>
        <v>Standard</v>
      </c>
      <c r="AP57" t="str">
        <f t="shared" si="3"/>
        <v>Pass</v>
      </c>
      <c r="AQ57">
        <f t="shared" si="4"/>
        <v>0</v>
      </c>
      <c r="AR57" s="8">
        <f t="shared" si="5"/>
        <v>0</v>
      </c>
      <c r="AS57">
        <f t="shared" si="6"/>
        <v>2</v>
      </c>
    </row>
    <row r="58" spans="1:45">
      <c r="A58" t="str">
        <f>Deals_Raw!A58</f>
        <v>D00064</v>
      </c>
      <c r="B58">
        <f>Deals_Raw!B58</f>
        <v>45652</v>
      </c>
      <c r="C58" t="str">
        <f>Deals_Raw!C58</f>
        <v>C0018</v>
      </c>
      <c r="D58" t="str">
        <f>Deals_Raw!D58</f>
        <v>PUB-0018</v>
      </c>
      <c r="E58" t="str">
        <f>Deals_Raw!E58</f>
        <v>CT00040</v>
      </c>
      <c r="F58" t="str">
        <f>Deals_Raw!F58</f>
        <v>Sales</v>
      </c>
      <c r="G58" t="str">
        <f>Deals_Raw!G58</f>
        <v>Public Sector</v>
      </c>
      <c r="H58" t="str">
        <f>Deals_Raw!H58</f>
        <v>South</v>
      </c>
      <c r="I58" t="str">
        <f>Deals_Raw!I58</f>
        <v>South Commercial</v>
      </c>
      <c r="J58" t="str">
        <f>Deals_Raw!J58</f>
        <v>SMB</v>
      </c>
      <c r="K58" t="str">
        <f>Deals_Raw!K58</f>
        <v>No</v>
      </c>
      <c r="L58">
        <f>Deals_Raw!L58</f>
        <v>44136</v>
      </c>
      <c r="M58">
        <f>Deals_Raw!M58</f>
        <v>87</v>
      </c>
      <c r="N58" t="str">
        <f>Deals_Raw!N58</f>
        <v>Nexus AI Assistant</v>
      </c>
      <c r="O58" t="str">
        <f>Deals_Raw!O58</f>
        <v>New Business</v>
      </c>
      <c r="P58">
        <f>Deals_Raw!P58</f>
        <v>0</v>
      </c>
      <c r="Q58">
        <f>Deals_Raw!Q58</f>
        <v>2</v>
      </c>
      <c r="R58">
        <f>Deals_Raw!R58</f>
        <v>50</v>
      </c>
      <c r="S58" t="str">
        <f>Deals_Raw!S58</f>
        <v>T. Brooks</v>
      </c>
      <c r="T58" s="6">
        <f>Deals_Raw!T58</f>
        <v>49222.070276409802</v>
      </c>
      <c r="U58" s="8">
        <f>Deals_Raw!V58</f>
        <v>0.16700000000000001</v>
      </c>
      <c r="V58" s="8">
        <f>Deals_Raw!W58</f>
        <v>0.13400000000000001</v>
      </c>
      <c r="W58" s="8">
        <f>Deals_Raw!X58</f>
        <v>-3.4000000000000002E-2</v>
      </c>
      <c r="X58" t="str">
        <f>Deals_Raw!Y58</f>
        <v>Multi-year commitment</v>
      </c>
      <c r="Y58" t="str">
        <f>Deals_Raw!Z58</f>
        <v>Pricing Analyst</v>
      </c>
      <c r="Z58" s="6">
        <f>Deals_Raw!AA58</f>
        <v>42645.880259383201</v>
      </c>
      <c r="AA58" s="6">
        <f>Deals_Raw!AC58</f>
        <v>18354.390792181184</v>
      </c>
      <c r="AB58" s="6">
        <f>Deals_Raw!AD58</f>
        <v>24291.489467202016</v>
      </c>
      <c r="AC58" s="8">
        <f>Deals_Raw!AE58</f>
        <v>0.56960928744945438</v>
      </c>
      <c r="AD58" t="str">
        <f>Deals_Raw!AF58</f>
        <v>Won</v>
      </c>
      <c r="AE58">
        <f>Deals_Raw!AG58</f>
        <v>0</v>
      </c>
      <c r="AF58">
        <f>Deals_Raw!AH58</f>
        <v>0</v>
      </c>
      <c r="AG58" t="str">
        <f>Deals_Raw!AI58</f>
        <v>No</v>
      </c>
      <c r="AH58" s="6">
        <f>Deals_Raw!AJ58</f>
        <v>42645.880259383201</v>
      </c>
      <c r="AI58" s="6">
        <f>Deals_Raw!AK58</f>
        <v>24291.489467202016</v>
      </c>
      <c r="AJ58" t="str">
        <f>Deals_Raw!AL58</f>
        <v>First purchase under this contract</v>
      </c>
      <c r="AK58" s="9">
        <f t="shared" si="0"/>
        <v>4.1527777777777777</v>
      </c>
      <c r="AL58" s="8">
        <f t="shared" si="1"/>
        <v>0.86639753305585132</v>
      </c>
      <c r="AM58" s="8">
        <f t="shared" si="2"/>
        <v>3.3000000000000002E-2</v>
      </c>
      <c r="AN58" t="str">
        <f>IF(AC58&lt;Pricing_Policy!$C$10,"Below Floor","Pass")</f>
        <v>Pass</v>
      </c>
      <c r="AO58" t="str">
        <f>IF(V58&gt;Pricing_Policy!$C$7,"Exception","Standard")</f>
        <v>Standard</v>
      </c>
      <c r="AP58" t="str">
        <f t="shared" si="3"/>
        <v>Pass</v>
      </c>
      <c r="AQ58">
        <f t="shared" si="4"/>
        <v>1</v>
      </c>
      <c r="AR58" s="8">
        <f t="shared" si="5"/>
        <v>0.56960928744945438</v>
      </c>
      <c r="AS58">
        <f t="shared" si="6"/>
        <v>1</v>
      </c>
    </row>
    <row r="59" spans="1:45">
      <c r="A59" t="str">
        <f>Deals_Raw!A59</f>
        <v>D00065</v>
      </c>
      <c r="B59">
        <f>Deals_Raw!B59</f>
        <v>45508</v>
      </c>
      <c r="C59" t="str">
        <f>Deals_Raw!C59</f>
        <v>C0019</v>
      </c>
      <c r="D59" t="str">
        <f>Deals_Raw!D59</f>
        <v>MAN-0019</v>
      </c>
      <c r="E59" t="str">
        <f>Deals_Raw!E59</f>
        <v>CT00041</v>
      </c>
      <c r="F59" t="str">
        <f>Deals_Raw!F59</f>
        <v>Technology</v>
      </c>
      <c r="G59" t="str">
        <f>Deals_Raw!G59</f>
        <v>Manufacturing</v>
      </c>
      <c r="H59" t="str">
        <f>Deals_Raw!H59</f>
        <v>West</v>
      </c>
      <c r="I59" t="str">
        <f>Deals_Raw!I59</f>
        <v>West Enterprise</v>
      </c>
      <c r="J59" t="str">
        <f>Deals_Raw!J59</f>
        <v>Enterprise</v>
      </c>
      <c r="K59" t="str">
        <f>Deals_Raw!K59</f>
        <v>No</v>
      </c>
      <c r="L59">
        <f>Deals_Raw!L59</f>
        <v>43435</v>
      </c>
      <c r="M59">
        <f>Deals_Raw!M59</f>
        <v>86</v>
      </c>
      <c r="N59" t="str">
        <f>Deals_Raw!N59</f>
        <v>Nexus Analytics</v>
      </c>
      <c r="O59" t="str">
        <f>Deals_Raw!O59</f>
        <v>Expansion</v>
      </c>
      <c r="P59" t="str">
        <f>Deals_Raw!P59</f>
        <v>Enterprise Upgrade</v>
      </c>
      <c r="Q59">
        <f>Deals_Raw!Q59</f>
        <v>3</v>
      </c>
      <c r="R59">
        <f>Deals_Raw!R59</f>
        <v>681</v>
      </c>
      <c r="S59" t="str">
        <f>Deals_Raw!S59</f>
        <v>L. Williams</v>
      </c>
      <c r="T59" s="6">
        <f>Deals_Raw!T59</f>
        <v>289447.96156024834</v>
      </c>
      <c r="U59" s="8">
        <f>Deals_Raw!V59</f>
        <v>0.06</v>
      </c>
      <c r="V59" s="8">
        <f>Deals_Raw!W59</f>
        <v>0.03</v>
      </c>
      <c r="W59" s="8">
        <f>Deals_Raw!X59</f>
        <v>2.1999999999999999E-2</v>
      </c>
      <c r="X59" t="str">
        <f>Deals_Raw!Y59</f>
        <v>Expansion opportunity</v>
      </c>
      <c r="Y59" t="str">
        <f>Deals_Raw!Z59</f>
        <v>Sales Manager</v>
      </c>
      <c r="Z59" s="6">
        <f>Deals_Raw!AA59</f>
        <v>280672.97182075906</v>
      </c>
      <c r="AA59" s="6">
        <f>Deals_Raw!AC59</f>
        <v>101542.3754570016</v>
      </c>
      <c r="AB59" s="6">
        <f>Deals_Raw!AD59</f>
        <v>179130.59636375745</v>
      </c>
      <c r="AC59" s="8">
        <f>Deals_Raw!AE59</f>
        <v>0.63821819109163203</v>
      </c>
      <c r="AD59" t="str">
        <f>Deals_Raw!AF59</f>
        <v>Lost</v>
      </c>
      <c r="AE59">
        <f>Deals_Raw!AG59</f>
        <v>0</v>
      </c>
      <c r="AF59" t="str">
        <f>Deals_Raw!AH59</f>
        <v>No</v>
      </c>
      <c r="AG59" t="str">
        <f>Deals_Raw!AI59</f>
        <v>No</v>
      </c>
      <c r="AH59" s="6">
        <f>Deals_Raw!AJ59</f>
        <v>0</v>
      </c>
      <c r="AI59" s="6">
        <f>Deals_Raw!AK59</f>
        <v>0</v>
      </c>
      <c r="AJ59" t="str">
        <f>Deals_Raw!AL59</f>
        <v>Expansion allowed because contract was active</v>
      </c>
      <c r="AK59" s="9">
        <f t="shared" si="0"/>
        <v>5.6749999999999998</v>
      </c>
      <c r="AL59" s="8">
        <f t="shared" si="1"/>
        <v>0.96968370517384772</v>
      </c>
      <c r="AM59" s="8">
        <f t="shared" si="2"/>
        <v>0.03</v>
      </c>
      <c r="AN59" t="str">
        <f>IF(AC59&lt;Pricing_Policy!$C$10,"Below Floor","Pass")</f>
        <v>Pass</v>
      </c>
      <c r="AO59" t="str">
        <f>IF(V59&gt;Pricing_Policy!$C$7,"Exception","Standard")</f>
        <v>Standard</v>
      </c>
      <c r="AP59" t="str">
        <f t="shared" si="3"/>
        <v>Pass</v>
      </c>
      <c r="AQ59">
        <f t="shared" si="4"/>
        <v>0</v>
      </c>
      <c r="AR59" s="8">
        <f t="shared" si="5"/>
        <v>0</v>
      </c>
      <c r="AS59">
        <f t="shared" si="6"/>
        <v>2</v>
      </c>
    </row>
    <row r="60" spans="1:45">
      <c r="A60" t="str">
        <f>Deals_Raw!A60</f>
        <v>D00066</v>
      </c>
      <c r="B60">
        <f>Deals_Raw!B60</f>
        <v>45676</v>
      </c>
      <c r="C60" t="str">
        <f>Deals_Raw!C60</f>
        <v>C0019</v>
      </c>
      <c r="D60" t="str">
        <f>Deals_Raw!D60</f>
        <v>MAN-0019</v>
      </c>
      <c r="E60" t="str">
        <f>Deals_Raw!E60</f>
        <v>CT00041</v>
      </c>
      <c r="F60" t="str">
        <f>Deals_Raw!F60</f>
        <v>Technology</v>
      </c>
      <c r="G60" t="str">
        <f>Deals_Raw!G60</f>
        <v>Manufacturing</v>
      </c>
      <c r="H60" t="str">
        <f>Deals_Raw!H60</f>
        <v>West</v>
      </c>
      <c r="I60" t="str">
        <f>Deals_Raw!I60</f>
        <v>West Enterprise</v>
      </c>
      <c r="J60" t="str">
        <f>Deals_Raw!J60</f>
        <v>Enterprise</v>
      </c>
      <c r="K60" t="str">
        <f>Deals_Raw!K60</f>
        <v>No</v>
      </c>
      <c r="L60">
        <f>Deals_Raw!L60</f>
        <v>43435</v>
      </c>
      <c r="M60">
        <f>Deals_Raw!M60</f>
        <v>86</v>
      </c>
      <c r="N60" t="str">
        <f>Deals_Raw!N60</f>
        <v>Nexus Analytics</v>
      </c>
      <c r="O60" t="str">
        <f>Deals_Raw!O60</f>
        <v>Renewal</v>
      </c>
      <c r="P60">
        <f>Deals_Raw!P60</f>
        <v>0</v>
      </c>
      <c r="Q60">
        <f>Deals_Raw!Q60</f>
        <v>3</v>
      </c>
      <c r="R60">
        <f>Deals_Raw!R60</f>
        <v>596</v>
      </c>
      <c r="S60" t="str">
        <f>Deals_Raw!S60</f>
        <v>A. Patel</v>
      </c>
      <c r="T60" s="6">
        <f>Deals_Raw!T60</f>
        <v>273862.34884035238</v>
      </c>
      <c r="U60" s="8">
        <f>Deals_Raw!V60</f>
        <v>0.21099999999999999</v>
      </c>
      <c r="V60" s="8">
        <f>Deals_Raw!W60</f>
        <v>0.17699999999999999</v>
      </c>
      <c r="W60" s="8">
        <f>Deals_Raw!X60</f>
        <v>-0.09</v>
      </c>
      <c r="X60" t="str">
        <f>Deals_Raw!Y60</f>
        <v>Verified competitor pressure</v>
      </c>
      <c r="Y60" t="str">
        <f>Deals_Raw!Z60</f>
        <v>Pricing Analyst</v>
      </c>
      <c r="Z60" s="6">
        <f>Deals_Raw!AA60</f>
        <v>225488.3887525766</v>
      </c>
      <c r="AA60" s="6">
        <f>Deals_Raw!AC60</f>
        <v>74877.975272699288</v>
      </c>
      <c r="AB60" s="6">
        <f>Deals_Raw!AD60</f>
        <v>150610.41347987732</v>
      </c>
      <c r="AC60" s="8">
        <f>Deals_Raw!AE60</f>
        <v>0.66792979591130419</v>
      </c>
      <c r="AD60" t="str">
        <f>Deals_Raw!AF60</f>
        <v>Won</v>
      </c>
      <c r="AE60" t="str">
        <f>Deals_Raw!AG60</f>
        <v>Yes</v>
      </c>
      <c r="AF60">
        <f>Deals_Raw!AH60</f>
        <v>0</v>
      </c>
      <c r="AG60" t="str">
        <f>Deals_Raw!AI60</f>
        <v>No</v>
      </c>
      <c r="AH60" s="6">
        <f>Deals_Raw!AJ60</f>
        <v>225488.3887525766</v>
      </c>
      <c r="AI60" s="6">
        <f>Deals_Raw!AK60</f>
        <v>150610.41347987732</v>
      </c>
      <c r="AJ60" t="str">
        <f>Deals_Raw!AL60</f>
        <v>Renewal of existing active contract</v>
      </c>
      <c r="AK60" s="9">
        <f t="shared" si="0"/>
        <v>6.1333333333333337</v>
      </c>
      <c r="AL60" s="8">
        <f t="shared" si="1"/>
        <v>0.82336396261621458</v>
      </c>
      <c r="AM60" s="8">
        <f t="shared" si="2"/>
        <v>3.4000000000000002E-2</v>
      </c>
      <c r="AN60" t="str">
        <f>IF(AC60&lt;Pricing_Policy!$C$10,"Below Floor","Pass")</f>
        <v>Pass</v>
      </c>
      <c r="AO60" t="str">
        <f>IF(V60&gt;Pricing_Policy!$C$7,"Exception","Standard")</f>
        <v>Standard</v>
      </c>
      <c r="AP60" t="str">
        <f t="shared" si="3"/>
        <v>Pass</v>
      </c>
      <c r="AQ60">
        <f t="shared" si="4"/>
        <v>1</v>
      </c>
      <c r="AR60" s="8">
        <f t="shared" si="5"/>
        <v>0.66792979591130419</v>
      </c>
      <c r="AS60">
        <f t="shared" si="6"/>
        <v>2</v>
      </c>
    </row>
    <row r="61" spans="1:45">
      <c r="A61" t="str">
        <f>Deals_Raw!A61</f>
        <v>D00067</v>
      </c>
      <c r="B61">
        <f>Deals_Raw!B61</f>
        <v>45488</v>
      </c>
      <c r="C61" t="str">
        <f>Deals_Raw!C61</f>
        <v>C0019</v>
      </c>
      <c r="D61" t="str">
        <f>Deals_Raw!D61</f>
        <v>MAN-0019</v>
      </c>
      <c r="E61" t="str">
        <f>Deals_Raw!E61</f>
        <v>CT00042</v>
      </c>
      <c r="F61" t="str">
        <f>Deals_Raw!F61</f>
        <v>Legal</v>
      </c>
      <c r="G61" t="str">
        <f>Deals_Raw!G61</f>
        <v>Manufacturing</v>
      </c>
      <c r="H61" t="str">
        <f>Deals_Raw!H61</f>
        <v>West</v>
      </c>
      <c r="I61" t="str">
        <f>Deals_Raw!I61</f>
        <v>West Enterprise</v>
      </c>
      <c r="J61" t="str">
        <f>Deals_Raw!J61</f>
        <v>Enterprise</v>
      </c>
      <c r="K61" t="str">
        <f>Deals_Raw!K61</f>
        <v>No</v>
      </c>
      <c r="L61">
        <f>Deals_Raw!L61</f>
        <v>43435</v>
      </c>
      <c r="M61">
        <f>Deals_Raw!M61</f>
        <v>86</v>
      </c>
      <c r="N61" t="str">
        <f>Deals_Raw!N61</f>
        <v>Nexus Insights</v>
      </c>
      <c r="O61" t="str">
        <f>Deals_Raw!O61</f>
        <v>New Business</v>
      </c>
      <c r="P61">
        <f>Deals_Raw!P61</f>
        <v>0</v>
      </c>
      <c r="Q61">
        <f>Deals_Raw!Q61</f>
        <v>1</v>
      </c>
      <c r="R61">
        <f>Deals_Raw!R61</f>
        <v>1723</v>
      </c>
      <c r="S61" t="str">
        <f>Deals_Raw!S61</f>
        <v>K. Nguyen</v>
      </c>
      <c r="T61" s="6">
        <f>Deals_Raw!T61</f>
        <v>137877.26221858559</v>
      </c>
      <c r="U61" s="8">
        <f>Deals_Raw!V61</f>
        <v>0.21</v>
      </c>
      <c r="V61" s="8">
        <f>Deals_Raw!W61</f>
        <v>0.16600000000000001</v>
      </c>
      <c r="W61" s="8">
        <f>Deals_Raw!X61</f>
        <v>2.7E-2</v>
      </c>
      <c r="X61" t="str">
        <f>Deals_Raw!Y61</f>
        <v>Renewal retention risk</v>
      </c>
      <c r="Y61" t="str">
        <f>Deals_Raw!Z61</f>
        <v>Pricing Analyst</v>
      </c>
      <c r="Z61" s="6">
        <f>Deals_Raw!AA61</f>
        <v>114993.43147735474</v>
      </c>
      <c r="AA61" s="6">
        <f>Deals_Raw!AC61</f>
        <v>46709.960026907436</v>
      </c>
      <c r="AB61" s="6">
        <f>Deals_Raw!AD61</f>
        <v>68283.471450447309</v>
      </c>
      <c r="AC61" s="8">
        <f>Deals_Raw!AE61</f>
        <v>0.5938032335689899</v>
      </c>
      <c r="AD61" t="str">
        <f>Deals_Raw!AF61</f>
        <v>Lost</v>
      </c>
      <c r="AE61">
        <f>Deals_Raw!AG61</f>
        <v>0</v>
      </c>
      <c r="AF61">
        <f>Deals_Raw!AH61</f>
        <v>0</v>
      </c>
      <c r="AG61" t="str">
        <f>Deals_Raw!AI61</f>
        <v>No</v>
      </c>
      <c r="AH61" s="6">
        <f>Deals_Raw!AJ61</f>
        <v>0</v>
      </c>
      <c r="AI61" s="6">
        <f>Deals_Raw!AK61</f>
        <v>0</v>
      </c>
      <c r="AJ61" t="str">
        <f>Deals_Raw!AL61</f>
        <v>First purchase under this contract</v>
      </c>
      <c r="AK61" s="9">
        <f t="shared" si="0"/>
        <v>5.6222222222222218</v>
      </c>
      <c r="AL61" s="8">
        <f t="shared" si="1"/>
        <v>0.83402752293593085</v>
      </c>
      <c r="AM61" s="8">
        <f t="shared" si="2"/>
        <v>4.3999999999999984E-2</v>
      </c>
      <c r="AN61" t="str">
        <f>IF(AC61&lt;Pricing_Policy!$C$10,"Below Floor","Pass")</f>
        <v>Pass</v>
      </c>
      <c r="AO61" t="str">
        <f>IF(V61&gt;Pricing_Policy!$C$7,"Exception","Standard")</f>
        <v>Standard</v>
      </c>
      <c r="AP61" t="str">
        <f t="shared" si="3"/>
        <v>Pass</v>
      </c>
      <c r="AQ61">
        <f t="shared" si="4"/>
        <v>0</v>
      </c>
      <c r="AR61" s="8">
        <f t="shared" si="5"/>
        <v>0</v>
      </c>
      <c r="AS61">
        <f t="shared" si="6"/>
        <v>1</v>
      </c>
    </row>
    <row r="62" spans="1:45">
      <c r="A62" t="str">
        <f>Deals_Raw!A62</f>
        <v>D00070</v>
      </c>
      <c r="B62">
        <f>Deals_Raw!B62</f>
        <v>45293</v>
      </c>
      <c r="C62" t="str">
        <f>Deals_Raw!C62</f>
        <v>C0020</v>
      </c>
      <c r="D62" t="str">
        <f>Deals_Raw!D62</f>
        <v>LEG-0020</v>
      </c>
      <c r="E62" t="str">
        <f>Deals_Raw!E62</f>
        <v>CT00043</v>
      </c>
      <c r="F62" t="str">
        <f>Deals_Raw!F62</f>
        <v>Sales</v>
      </c>
      <c r="G62" t="str">
        <f>Deals_Raw!G62</f>
        <v>Legal</v>
      </c>
      <c r="H62" t="str">
        <f>Deals_Raw!H62</f>
        <v>South</v>
      </c>
      <c r="I62" t="str">
        <f>Deals_Raw!I62</f>
        <v>South Enterprise</v>
      </c>
      <c r="J62" t="str">
        <f>Deals_Raw!J62</f>
        <v>Enterprise</v>
      </c>
      <c r="K62" t="str">
        <f>Deals_Raw!K62</f>
        <v>No</v>
      </c>
      <c r="L62">
        <f>Deals_Raw!L62</f>
        <v>43739</v>
      </c>
      <c r="M62">
        <f>Deals_Raw!M62</f>
        <v>78</v>
      </c>
      <c r="N62" t="str">
        <f>Deals_Raw!N62</f>
        <v>Nexus Enterprise Suite</v>
      </c>
      <c r="O62" t="str">
        <f>Deals_Raw!O62</f>
        <v>Renewal</v>
      </c>
      <c r="P62">
        <f>Deals_Raw!P62</f>
        <v>0</v>
      </c>
      <c r="Q62">
        <f>Deals_Raw!Q62</f>
        <v>1</v>
      </c>
      <c r="R62">
        <f>Deals_Raw!R62</f>
        <v>259</v>
      </c>
      <c r="S62" t="str">
        <f>Deals_Raw!S62</f>
        <v>T. Brooks</v>
      </c>
      <c r="T62" s="6">
        <f>Deals_Raw!T62</f>
        <v>620606.73368014046</v>
      </c>
      <c r="U62" s="8">
        <f>Deals_Raw!V62</f>
        <v>0.14000000000000001</v>
      </c>
      <c r="V62" s="8">
        <f>Deals_Raw!W62</f>
        <v>0.121</v>
      </c>
      <c r="W62" s="8">
        <f>Deals_Raw!X62</f>
        <v>1.2E-2</v>
      </c>
      <c r="X62" t="str">
        <f>Deals_Raw!Y62</f>
        <v>Procurement requirement</v>
      </c>
      <c r="Y62" t="str">
        <f>Deals_Raw!Z62</f>
        <v>Pricing Analyst</v>
      </c>
      <c r="Z62" s="6">
        <f>Deals_Raw!AA62</f>
        <v>545559.11696049012</v>
      </c>
      <c r="AA62" s="6">
        <f>Deals_Raw!AC62</f>
        <v>212776.07402413277</v>
      </c>
      <c r="AB62" s="6">
        <f>Deals_Raw!AD62</f>
        <v>332783.04293635732</v>
      </c>
      <c r="AC62" s="8">
        <f>Deals_Raw!AE62</f>
        <v>0.60998530240024884</v>
      </c>
      <c r="AD62" t="str">
        <f>Deals_Raw!AF62</f>
        <v>Won</v>
      </c>
      <c r="AE62" t="str">
        <f>Deals_Raw!AG62</f>
        <v>Yes</v>
      </c>
      <c r="AF62">
        <f>Deals_Raw!AH62</f>
        <v>0</v>
      </c>
      <c r="AG62" t="str">
        <f>Deals_Raw!AI62</f>
        <v>No</v>
      </c>
      <c r="AH62" s="6">
        <f>Deals_Raw!AJ62</f>
        <v>545559.11696049012</v>
      </c>
      <c r="AI62" s="6">
        <f>Deals_Raw!AK62</f>
        <v>332783.04293635732</v>
      </c>
      <c r="AJ62" t="str">
        <f>Deals_Raw!AL62</f>
        <v>Renewal of existing active contract</v>
      </c>
      <c r="AK62" s="9">
        <f t="shared" si="0"/>
        <v>4.2527777777777782</v>
      </c>
      <c r="AL62" s="8">
        <f t="shared" si="1"/>
        <v>0.87907379561509924</v>
      </c>
      <c r="AM62" s="8">
        <f t="shared" si="2"/>
        <v>1.9000000000000017E-2</v>
      </c>
      <c r="AN62" t="str">
        <f>IF(AC62&lt;Pricing_Policy!$C$10,"Below Floor","Pass")</f>
        <v>Pass</v>
      </c>
      <c r="AO62" t="str">
        <f>IF(V62&gt;Pricing_Policy!$C$7,"Exception","Standard")</f>
        <v>Standard</v>
      </c>
      <c r="AP62" t="str">
        <f t="shared" si="3"/>
        <v>Pass</v>
      </c>
      <c r="AQ62">
        <f t="shared" si="4"/>
        <v>1</v>
      </c>
      <c r="AR62" s="8">
        <f t="shared" si="5"/>
        <v>0.60998530240024884</v>
      </c>
      <c r="AS62">
        <f t="shared" si="6"/>
        <v>2</v>
      </c>
    </row>
    <row r="63" spans="1:45">
      <c r="A63" t="str">
        <f>Deals_Raw!A63</f>
        <v>D00071</v>
      </c>
      <c r="B63">
        <f>Deals_Raw!B63</f>
        <v>45658</v>
      </c>
      <c r="C63" t="str">
        <f>Deals_Raw!C63</f>
        <v>C0020</v>
      </c>
      <c r="D63" t="str">
        <f>Deals_Raw!D63</f>
        <v>LEG-0020</v>
      </c>
      <c r="E63" t="str">
        <f>Deals_Raw!E63</f>
        <v>CT00043</v>
      </c>
      <c r="F63" t="str">
        <f>Deals_Raw!F63</f>
        <v>Sales</v>
      </c>
      <c r="G63" t="str">
        <f>Deals_Raw!G63</f>
        <v>Legal</v>
      </c>
      <c r="H63" t="str">
        <f>Deals_Raw!H63</f>
        <v>South</v>
      </c>
      <c r="I63" t="str">
        <f>Deals_Raw!I63</f>
        <v>South Enterprise</v>
      </c>
      <c r="J63" t="str">
        <f>Deals_Raw!J63</f>
        <v>Enterprise</v>
      </c>
      <c r="K63" t="str">
        <f>Deals_Raw!K63</f>
        <v>No</v>
      </c>
      <c r="L63">
        <f>Deals_Raw!L63</f>
        <v>43739</v>
      </c>
      <c r="M63">
        <f>Deals_Raw!M63</f>
        <v>78</v>
      </c>
      <c r="N63" t="str">
        <f>Deals_Raw!N63</f>
        <v>Nexus Enterprise Suite</v>
      </c>
      <c r="O63" t="str">
        <f>Deals_Raw!O63</f>
        <v>Renewal</v>
      </c>
      <c r="P63">
        <f>Deals_Raw!P63</f>
        <v>0</v>
      </c>
      <c r="Q63">
        <f>Deals_Raw!Q63</f>
        <v>1</v>
      </c>
      <c r="R63">
        <f>Deals_Raw!R63</f>
        <v>259</v>
      </c>
      <c r="S63" t="str">
        <f>Deals_Raw!S63</f>
        <v>K. Nguyen</v>
      </c>
      <c r="T63" s="6">
        <f>Deals_Raw!T63</f>
        <v>639965.12917802564</v>
      </c>
      <c r="U63" s="8">
        <f>Deals_Raw!V63</f>
        <v>0.13900000000000001</v>
      </c>
      <c r="V63" s="8">
        <f>Deals_Raw!W63</f>
        <v>0.10199999999999999</v>
      </c>
      <c r="W63" s="8">
        <f>Deals_Raw!X63</f>
        <v>-0.03</v>
      </c>
      <c r="X63" t="str">
        <f>Deals_Raw!Y63</f>
        <v>Multi-year commitment</v>
      </c>
      <c r="Y63" t="str">
        <f>Deals_Raw!Z63</f>
        <v>Pricing Analyst</v>
      </c>
      <c r="Z63" s="6">
        <f>Deals_Raw!AA63</f>
        <v>574726.13565761002</v>
      </c>
      <c r="AA63" s="6">
        <f>Deals_Raw!AC63</f>
        <v>228296.10581128384</v>
      </c>
      <c r="AB63" s="6">
        <f>Deals_Raw!AD63</f>
        <v>346430.02984632622</v>
      </c>
      <c r="AC63" s="8">
        <f>Deals_Raw!AE63</f>
        <v>0.60277410118114072</v>
      </c>
      <c r="AD63" t="str">
        <f>Deals_Raw!AF63</f>
        <v>Won</v>
      </c>
      <c r="AE63" t="str">
        <f>Deals_Raw!AG63</f>
        <v>Yes</v>
      </c>
      <c r="AF63">
        <f>Deals_Raw!AH63</f>
        <v>0</v>
      </c>
      <c r="AG63" t="str">
        <f>Deals_Raw!AI63</f>
        <v>No</v>
      </c>
      <c r="AH63" s="6">
        <f>Deals_Raw!AJ63</f>
        <v>574726.13565761002</v>
      </c>
      <c r="AI63" s="6">
        <f>Deals_Raw!AK63</f>
        <v>346430.02984632622</v>
      </c>
      <c r="AJ63" t="str">
        <f>Deals_Raw!AL63</f>
        <v>Renewal of existing active contract</v>
      </c>
      <c r="AK63" s="9">
        <f t="shared" si="0"/>
        <v>5.25</v>
      </c>
      <c r="AL63" s="8">
        <f t="shared" si="1"/>
        <v>0.8980585182755052</v>
      </c>
      <c r="AM63" s="8">
        <f t="shared" si="2"/>
        <v>3.7000000000000019E-2</v>
      </c>
      <c r="AN63" t="str">
        <f>IF(AC63&lt;Pricing_Policy!$C$10,"Below Floor","Pass")</f>
        <v>Pass</v>
      </c>
      <c r="AO63" t="str">
        <f>IF(V63&gt;Pricing_Policy!$C$7,"Exception","Standard")</f>
        <v>Standard</v>
      </c>
      <c r="AP63" t="str">
        <f t="shared" si="3"/>
        <v>Pass</v>
      </c>
      <c r="AQ63">
        <f t="shared" si="4"/>
        <v>1</v>
      </c>
      <c r="AR63" s="8">
        <f t="shared" si="5"/>
        <v>0.60277410118114072</v>
      </c>
      <c r="AS63">
        <f t="shared" si="6"/>
        <v>2</v>
      </c>
    </row>
    <row r="64" spans="1:45">
      <c r="A64" t="str">
        <f>Deals_Raw!A64</f>
        <v>D00072</v>
      </c>
      <c r="B64">
        <f>Deals_Raw!B64</f>
        <v>45740</v>
      </c>
      <c r="C64" t="str">
        <f>Deals_Raw!C64</f>
        <v>C0020</v>
      </c>
      <c r="D64" t="str">
        <f>Deals_Raw!D64</f>
        <v>LEG-0020</v>
      </c>
      <c r="E64" t="str">
        <f>Deals_Raw!E64</f>
        <v>CT00044</v>
      </c>
      <c r="F64" t="str">
        <f>Deals_Raw!F64</f>
        <v>Finance</v>
      </c>
      <c r="G64" t="str">
        <f>Deals_Raw!G64</f>
        <v>Legal</v>
      </c>
      <c r="H64" t="str">
        <f>Deals_Raw!H64</f>
        <v>South</v>
      </c>
      <c r="I64" t="str">
        <f>Deals_Raw!I64</f>
        <v>South Enterprise</v>
      </c>
      <c r="J64" t="str">
        <f>Deals_Raw!J64</f>
        <v>Enterprise</v>
      </c>
      <c r="K64" t="str">
        <f>Deals_Raw!K64</f>
        <v>No</v>
      </c>
      <c r="L64">
        <f>Deals_Raw!L64</f>
        <v>43739</v>
      </c>
      <c r="M64">
        <f>Deals_Raw!M64</f>
        <v>78</v>
      </c>
      <c r="N64" t="str">
        <f>Deals_Raw!N64</f>
        <v>Nexus AI Assistant</v>
      </c>
      <c r="O64" t="str">
        <f>Deals_Raw!O64</f>
        <v>New Business</v>
      </c>
      <c r="P64">
        <f>Deals_Raw!P64</f>
        <v>0</v>
      </c>
      <c r="Q64">
        <f>Deals_Raw!Q64</f>
        <v>3</v>
      </c>
      <c r="R64">
        <f>Deals_Raw!R64</f>
        <v>526</v>
      </c>
      <c r="S64" t="str">
        <f>Deals_Raw!S64</f>
        <v>S. Rivera</v>
      </c>
      <c r="T64" s="6">
        <f>Deals_Raw!T64</f>
        <v>206904.50767017025</v>
      </c>
      <c r="U64" s="8">
        <f>Deals_Raw!V64</f>
        <v>0.13500000000000001</v>
      </c>
      <c r="V64" s="8">
        <f>Deals_Raw!W64</f>
        <v>9.8000000000000004E-2</v>
      </c>
      <c r="W64" s="8">
        <f>Deals_Raw!X64</f>
        <v>-0.109</v>
      </c>
      <c r="X64" t="str">
        <f>Deals_Raw!Y64</f>
        <v>Renewal retention risk</v>
      </c>
      <c r="Y64" t="str">
        <f>Deals_Raw!Z64</f>
        <v>Sales Manager</v>
      </c>
      <c r="Z64" s="6">
        <f>Deals_Raw!AA64</f>
        <v>186664.2495379922</v>
      </c>
      <c r="AA64" s="6">
        <f>Deals_Raw!AC64</f>
        <v>82827.288033533521</v>
      </c>
      <c r="AB64" s="6">
        <f>Deals_Raw!AD64</f>
        <v>103836.96150445868</v>
      </c>
      <c r="AC64" s="8">
        <f>Deals_Raw!AE64</f>
        <v>0.55627663980361974</v>
      </c>
      <c r="AD64" t="str">
        <f>Deals_Raw!AF64</f>
        <v>Lost</v>
      </c>
      <c r="AE64">
        <f>Deals_Raw!AG64</f>
        <v>0</v>
      </c>
      <c r="AF64">
        <f>Deals_Raw!AH64</f>
        <v>0</v>
      </c>
      <c r="AG64" t="str">
        <f>Deals_Raw!AI64</f>
        <v>No</v>
      </c>
      <c r="AH64" s="6">
        <f>Deals_Raw!AJ64</f>
        <v>0</v>
      </c>
      <c r="AI64" s="6">
        <f>Deals_Raw!AK64</f>
        <v>0</v>
      </c>
      <c r="AJ64" t="str">
        <f>Deals_Raw!AL64</f>
        <v>First purchase under this contract</v>
      </c>
      <c r="AK64" s="9">
        <f t="shared" si="0"/>
        <v>5.4805555555555552</v>
      </c>
      <c r="AL64" s="8">
        <f t="shared" si="1"/>
        <v>0.90217584739892009</v>
      </c>
      <c r="AM64" s="8">
        <f t="shared" si="2"/>
        <v>3.7000000000000005E-2</v>
      </c>
      <c r="AN64" t="str">
        <f>IF(AC64&lt;Pricing_Policy!$C$10,"Below Floor","Pass")</f>
        <v>Pass</v>
      </c>
      <c r="AO64" t="str">
        <f>IF(V64&gt;Pricing_Policy!$C$7,"Exception","Standard")</f>
        <v>Standard</v>
      </c>
      <c r="AP64" t="str">
        <f t="shared" si="3"/>
        <v>Pass</v>
      </c>
      <c r="AQ64">
        <f t="shared" si="4"/>
        <v>0</v>
      </c>
      <c r="AR64" s="8">
        <f t="shared" si="5"/>
        <v>0</v>
      </c>
      <c r="AS64">
        <f t="shared" si="6"/>
        <v>1</v>
      </c>
    </row>
    <row r="65" spans="1:45">
      <c r="A65" t="str">
        <f>Deals_Raw!A65</f>
        <v>D00073</v>
      </c>
      <c r="B65">
        <f>Deals_Raw!B65</f>
        <v>45548</v>
      </c>
      <c r="C65" t="str">
        <f>Deals_Raw!C65</f>
        <v>C0021</v>
      </c>
      <c r="D65" t="str">
        <f>Deals_Raw!D65</f>
        <v>HEA-0021</v>
      </c>
      <c r="E65" t="str">
        <f>Deals_Raw!E65</f>
        <v>CT00045</v>
      </c>
      <c r="F65" t="str">
        <f>Deals_Raw!F65</f>
        <v>Legal</v>
      </c>
      <c r="G65" t="str">
        <f>Deals_Raw!G65</f>
        <v>Healthcare</v>
      </c>
      <c r="H65" t="str">
        <f>Deals_Raw!H65</f>
        <v>Midwest</v>
      </c>
      <c r="I65" t="str">
        <f>Deals_Raw!I65</f>
        <v>Midwest Commercial</v>
      </c>
      <c r="J65" t="str">
        <f>Deals_Raw!J65</f>
        <v>SMB</v>
      </c>
      <c r="K65" t="str">
        <f>Deals_Raw!K65</f>
        <v>No</v>
      </c>
      <c r="L65">
        <f>Deals_Raw!L65</f>
        <v>44743</v>
      </c>
      <c r="M65">
        <f>Deals_Raw!M65</f>
        <v>81</v>
      </c>
      <c r="N65" t="str">
        <f>Deals_Raw!N65</f>
        <v>Nexus Analytics</v>
      </c>
      <c r="O65" t="str">
        <f>Deals_Raw!O65</f>
        <v>New Business</v>
      </c>
      <c r="P65">
        <f>Deals_Raw!P65</f>
        <v>0</v>
      </c>
      <c r="Q65">
        <f>Deals_Raw!Q65</f>
        <v>1</v>
      </c>
      <c r="R65">
        <f>Deals_Raw!R65</f>
        <v>68</v>
      </c>
      <c r="S65" t="str">
        <f>Deals_Raw!S65</f>
        <v>D. Chen</v>
      </c>
      <c r="T65" s="6">
        <f>Deals_Raw!T65</f>
        <v>46855.347775131348</v>
      </c>
      <c r="U65" s="8">
        <f>Deals_Raw!V65</f>
        <v>9.1999999999999998E-2</v>
      </c>
      <c r="V65" s="8">
        <f>Deals_Raw!W65</f>
        <v>7.8E-2</v>
      </c>
      <c r="W65" s="8">
        <f>Deals_Raw!X65</f>
        <v>3.0000000000000001E-3</v>
      </c>
      <c r="X65" t="str">
        <f>Deals_Raw!Y65</f>
        <v>Strategic logo opportunity</v>
      </c>
      <c r="Y65" t="str">
        <f>Deals_Raw!Z65</f>
        <v>Sales Manager</v>
      </c>
      <c r="Z65" s="6">
        <f>Deals_Raw!AA65</f>
        <v>43200.501500495549</v>
      </c>
      <c r="AA65" s="6">
        <f>Deals_Raw!AC65</f>
        <v>14389.641497498587</v>
      </c>
      <c r="AB65" s="6">
        <f>Deals_Raw!AD65</f>
        <v>28810.86000299696</v>
      </c>
      <c r="AC65" s="8">
        <f>Deals_Raw!AE65</f>
        <v>0.66691031359130104</v>
      </c>
      <c r="AD65" t="str">
        <f>Deals_Raw!AF65</f>
        <v>Lost</v>
      </c>
      <c r="AE65">
        <f>Deals_Raw!AG65</f>
        <v>0</v>
      </c>
      <c r="AF65">
        <f>Deals_Raw!AH65</f>
        <v>0</v>
      </c>
      <c r="AG65" t="str">
        <f>Deals_Raw!AI65</f>
        <v>No</v>
      </c>
      <c r="AH65" s="6">
        <f>Deals_Raw!AJ65</f>
        <v>0</v>
      </c>
      <c r="AI65" s="6">
        <f>Deals_Raw!AK65</f>
        <v>0</v>
      </c>
      <c r="AJ65" t="str">
        <f>Deals_Raw!AL65</f>
        <v>First purchase under this contract</v>
      </c>
      <c r="AK65" s="9">
        <f t="shared" si="0"/>
        <v>2.2000000000000002</v>
      </c>
      <c r="AL65" s="8">
        <f t="shared" si="1"/>
        <v>0.92199724368334279</v>
      </c>
      <c r="AM65" s="8">
        <f t="shared" si="2"/>
        <v>1.3999999999999999E-2</v>
      </c>
      <c r="AN65" t="str">
        <f>IF(AC65&lt;Pricing_Policy!$C$10,"Below Floor","Pass")</f>
        <v>Pass</v>
      </c>
      <c r="AO65" t="str">
        <f>IF(V65&gt;Pricing_Policy!$C$7,"Exception","Standard")</f>
        <v>Standard</v>
      </c>
      <c r="AP65" t="str">
        <f t="shared" si="3"/>
        <v>Pass</v>
      </c>
      <c r="AQ65">
        <f t="shared" si="4"/>
        <v>0</v>
      </c>
      <c r="AR65" s="8">
        <f t="shared" si="5"/>
        <v>0</v>
      </c>
      <c r="AS65">
        <f t="shared" si="6"/>
        <v>2</v>
      </c>
    </row>
    <row r="66" spans="1:45">
      <c r="A66" t="str">
        <f>Deals_Raw!A66</f>
        <v>D00074</v>
      </c>
      <c r="B66">
        <f>Deals_Raw!B66</f>
        <v>45870</v>
      </c>
      <c r="C66" t="str">
        <f>Deals_Raw!C66</f>
        <v>C0021</v>
      </c>
      <c r="D66" t="str">
        <f>Deals_Raw!D66</f>
        <v>HEA-0021</v>
      </c>
      <c r="E66" t="str">
        <f>Deals_Raw!E66</f>
        <v>CT00045</v>
      </c>
      <c r="F66" t="str">
        <f>Deals_Raw!F66</f>
        <v>Legal</v>
      </c>
      <c r="G66" t="str">
        <f>Deals_Raw!G66</f>
        <v>Healthcare</v>
      </c>
      <c r="H66" t="str">
        <f>Deals_Raw!H66</f>
        <v>Midwest</v>
      </c>
      <c r="I66" t="str">
        <f>Deals_Raw!I66</f>
        <v>Midwest Commercial</v>
      </c>
      <c r="J66" t="str">
        <f>Deals_Raw!J66</f>
        <v>SMB</v>
      </c>
      <c r="K66" t="str">
        <f>Deals_Raw!K66</f>
        <v>No</v>
      </c>
      <c r="L66">
        <f>Deals_Raw!L66</f>
        <v>44743</v>
      </c>
      <c r="M66">
        <f>Deals_Raw!M66</f>
        <v>81</v>
      </c>
      <c r="N66" t="str">
        <f>Deals_Raw!N66</f>
        <v>Nexus Analytics</v>
      </c>
      <c r="O66" t="str">
        <f>Deals_Raw!O66</f>
        <v>Win-back</v>
      </c>
      <c r="P66">
        <f>Deals_Raw!P66</f>
        <v>0</v>
      </c>
      <c r="Q66">
        <f>Deals_Raw!Q66</f>
        <v>1</v>
      </c>
      <c r="R66">
        <f>Deals_Raw!R66</f>
        <v>68</v>
      </c>
      <c r="S66" t="str">
        <f>Deals_Raw!S66</f>
        <v>L. Williams</v>
      </c>
      <c r="T66" s="6">
        <f>Deals_Raw!T66</f>
        <v>46855.347775131348</v>
      </c>
      <c r="U66" s="8">
        <f>Deals_Raw!V66</f>
        <v>0.22600000000000001</v>
      </c>
      <c r="V66" s="8">
        <f>Deals_Raw!W66</f>
        <v>0.21099999999999999</v>
      </c>
      <c r="W66" s="8">
        <f>Deals_Raw!X66</f>
        <v>-7.5999999999999998E-2</v>
      </c>
      <c r="X66" t="str">
        <f>Deals_Raw!Y66</f>
        <v>Renewal retention risk</v>
      </c>
      <c r="Y66" t="str">
        <f>Deals_Raw!Z66</f>
        <v>Business Manager</v>
      </c>
      <c r="Z66" s="6">
        <f>Deals_Raw!AA66</f>
        <v>36972.627621215193</v>
      </c>
      <c r="AA66" s="6">
        <f>Deals_Raw!AC66</f>
        <v>16372.349105397509</v>
      </c>
      <c r="AB66" s="6">
        <f>Deals_Raw!AD66</f>
        <v>20600.278515817685</v>
      </c>
      <c r="AC66" s="8">
        <f>Deals_Raw!AE66</f>
        <v>0.55717648003998177</v>
      </c>
      <c r="AD66" t="str">
        <f>Deals_Raw!AF66</f>
        <v>Won</v>
      </c>
      <c r="AE66">
        <f>Deals_Raw!AG66</f>
        <v>0</v>
      </c>
      <c r="AF66">
        <f>Deals_Raw!AH66</f>
        <v>0</v>
      </c>
      <c r="AG66" t="str">
        <f>Deals_Raw!AI66</f>
        <v>Yes</v>
      </c>
      <c r="AH66" s="6">
        <f>Deals_Raw!AJ66</f>
        <v>36972.627621215193</v>
      </c>
      <c r="AI66" s="6">
        <f>Deals_Raw!AK66</f>
        <v>20600.278515817685</v>
      </c>
      <c r="AJ66" t="str">
        <f>Deals_Raw!AL66</f>
        <v>Customer returned after prior lost initial opportunity</v>
      </c>
      <c r="AK66" s="9">
        <f t="shared" si="0"/>
        <v>3.0833333333333335</v>
      </c>
      <c r="AL66" s="8">
        <f t="shared" si="1"/>
        <v>0.78908020912905386</v>
      </c>
      <c r="AM66" s="8">
        <f t="shared" si="2"/>
        <v>1.5000000000000013E-2</v>
      </c>
      <c r="AN66" t="str">
        <f>IF(AC66&lt;Pricing_Policy!$C$10,"Below Floor","Pass")</f>
        <v>Pass</v>
      </c>
      <c r="AO66" t="str">
        <f>IF(V66&gt;Pricing_Policy!$C$7,"Exception","Standard")</f>
        <v>Standard</v>
      </c>
      <c r="AP66" t="str">
        <f t="shared" si="3"/>
        <v>Pass</v>
      </c>
      <c r="AQ66">
        <f t="shared" si="4"/>
        <v>1</v>
      </c>
      <c r="AR66" s="8">
        <f t="shared" si="5"/>
        <v>0.55717648003998177</v>
      </c>
      <c r="AS66">
        <f t="shared" si="6"/>
        <v>2</v>
      </c>
    </row>
    <row r="67" spans="1:45">
      <c r="A67" t="str">
        <f>Deals_Raw!A67</f>
        <v>D00075</v>
      </c>
      <c r="B67">
        <f>Deals_Raw!B67</f>
        <v>45337</v>
      </c>
      <c r="C67" t="str">
        <f>Deals_Raw!C67</f>
        <v>C0021</v>
      </c>
      <c r="D67" t="str">
        <f>Deals_Raw!D67</f>
        <v>HEA-0021</v>
      </c>
      <c r="E67" t="str">
        <f>Deals_Raw!E67</f>
        <v>CT00046</v>
      </c>
      <c r="F67" t="str">
        <f>Deals_Raw!F67</f>
        <v>Finance</v>
      </c>
      <c r="G67" t="str">
        <f>Deals_Raw!G67</f>
        <v>Healthcare</v>
      </c>
      <c r="H67" t="str">
        <f>Deals_Raw!H67</f>
        <v>Midwest</v>
      </c>
      <c r="I67" t="str">
        <f>Deals_Raw!I67</f>
        <v>Midwest Commercial</v>
      </c>
      <c r="J67" t="str">
        <f>Deals_Raw!J67</f>
        <v>SMB</v>
      </c>
      <c r="K67" t="str">
        <f>Deals_Raw!K67</f>
        <v>No</v>
      </c>
      <c r="L67">
        <f>Deals_Raw!L67</f>
        <v>44743</v>
      </c>
      <c r="M67">
        <f>Deals_Raw!M67</f>
        <v>81</v>
      </c>
      <c r="N67" t="str">
        <f>Deals_Raw!N67</f>
        <v>Nexus Compliance</v>
      </c>
      <c r="O67" t="str">
        <f>Deals_Raw!O67</f>
        <v>New Business</v>
      </c>
      <c r="P67">
        <f>Deals_Raw!P67</f>
        <v>0</v>
      </c>
      <c r="Q67">
        <f>Deals_Raw!Q67</f>
        <v>2</v>
      </c>
      <c r="R67">
        <f>Deals_Raw!R67</f>
        <v>45</v>
      </c>
      <c r="S67" t="str">
        <f>Deals_Raw!S67</f>
        <v>A. Patel</v>
      </c>
      <c r="T67" s="6">
        <f>Deals_Raw!T67</f>
        <v>75480.442566834448</v>
      </c>
      <c r="U67" s="8">
        <f>Deals_Raw!V67</f>
        <v>8.8999999999999996E-2</v>
      </c>
      <c r="V67" s="8">
        <f>Deals_Raw!W67</f>
        <v>0.08</v>
      </c>
      <c r="W67" s="8">
        <f>Deals_Raw!X67</f>
        <v>4.2000000000000003E-2</v>
      </c>
      <c r="X67" t="str">
        <f>Deals_Raw!Y67</f>
        <v>Expansion opportunity</v>
      </c>
      <c r="Y67" t="str">
        <f>Deals_Raw!Z67</f>
        <v>Sales Manager</v>
      </c>
      <c r="Z67" s="6">
        <f>Deals_Raw!AA67</f>
        <v>69441.091228456993</v>
      </c>
      <c r="AA67" s="6">
        <f>Deals_Raw!AC67</f>
        <v>27371.750366718003</v>
      </c>
      <c r="AB67" s="6">
        <f>Deals_Raw!AD67</f>
        <v>42069.340861738994</v>
      </c>
      <c r="AC67" s="8">
        <f>Deals_Raw!AE67</f>
        <v>0.60582776159627738</v>
      </c>
      <c r="AD67" t="str">
        <f>Deals_Raw!AF67</f>
        <v>Won</v>
      </c>
      <c r="AE67">
        <f>Deals_Raw!AG67</f>
        <v>0</v>
      </c>
      <c r="AF67">
        <f>Deals_Raw!AH67</f>
        <v>0</v>
      </c>
      <c r="AG67" t="str">
        <f>Deals_Raw!AI67</f>
        <v>No</v>
      </c>
      <c r="AH67" s="6">
        <f>Deals_Raw!AJ67</f>
        <v>69441.091228456993</v>
      </c>
      <c r="AI67" s="6">
        <f>Deals_Raw!AK67</f>
        <v>42069.340861738994</v>
      </c>
      <c r="AJ67" t="str">
        <f>Deals_Raw!AL67</f>
        <v>First purchase under this contract</v>
      </c>
      <c r="AK67" s="9">
        <f t="shared" si="0"/>
        <v>1.6222222222222222</v>
      </c>
      <c r="AL67" s="8">
        <f t="shared" si="1"/>
        <v>0.919987865293319</v>
      </c>
      <c r="AM67" s="8">
        <f t="shared" si="2"/>
        <v>8.9999999999999941E-3</v>
      </c>
      <c r="AN67" t="str">
        <f>IF(AC67&lt;Pricing_Policy!$C$10,"Below Floor","Pass")</f>
        <v>Pass</v>
      </c>
      <c r="AO67" t="str">
        <f>IF(V67&gt;Pricing_Policy!$C$7,"Exception","Standard")</f>
        <v>Standard</v>
      </c>
      <c r="AP67" t="str">
        <f t="shared" si="3"/>
        <v>Pass</v>
      </c>
      <c r="AQ67">
        <f t="shared" si="4"/>
        <v>1</v>
      </c>
      <c r="AR67" s="8">
        <f t="shared" si="5"/>
        <v>0.60582776159627738</v>
      </c>
      <c r="AS67">
        <f t="shared" si="6"/>
        <v>2</v>
      </c>
    </row>
    <row r="68" spans="1:45">
      <c r="A68" t="str">
        <f>Deals_Raw!A68</f>
        <v>D00076</v>
      </c>
      <c r="B68">
        <f>Deals_Raw!B68</f>
        <v>45744</v>
      </c>
      <c r="C68" t="str">
        <f>Deals_Raw!C68</f>
        <v>C0021</v>
      </c>
      <c r="D68" t="str">
        <f>Deals_Raw!D68</f>
        <v>HEA-0021</v>
      </c>
      <c r="E68" t="str">
        <f>Deals_Raw!E68</f>
        <v>CT00047</v>
      </c>
      <c r="F68" t="str">
        <f>Deals_Raw!F68</f>
        <v>Operations</v>
      </c>
      <c r="G68" t="str">
        <f>Deals_Raw!G68</f>
        <v>Healthcare</v>
      </c>
      <c r="H68" t="str">
        <f>Deals_Raw!H68</f>
        <v>Midwest</v>
      </c>
      <c r="I68" t="str">
        <f>Deals_Raw!I68</f>
        <v>Midwest Commercial</v>
      </c>
      <c r="J68" t="str">
        <f>Deals_Raw!J68</f>
        <v>SMB</v>
      </c>
      <c r="K68" t="str">
        <f>Deals_Raw!K68</f>
        <v>No</v>
      </c>
      <c r="L68">
        <f>Deals_Raw!L68</f>
        <v>44743</v>
      </c>
      <c r="M68">
        <f>Deals_Raw!M68</f>
        <v>81</v>
      </c>
      <c r="N68" t="str">
        <f>Deals_Raw!N68</f>
        <v>Nexus Compliance</v>
      </c>
      <c r="O68" t="str">
        <f>Deals_Raw!O68</f>
        <v>New Business</v>
      </c>
      <c r="P68">
        <f>Deals_Raw!P68</f>
        <v>0</v>
      </c>
      <c r="Q68">
        <f>Deals_Raw!Q68</f>
        <v>3</v>
      </c>
      <c r="R68">
        <f>Deals_Raw!R68</f>
        <v>48</v>
      </c>
      <c r="S68" t="str">
        <f>Deals_Raw!S68</f>
        <v>L. Williams</v>
      </c>
      <c r="T68" s="6">
        <f>Deals_Raw!T68</f>
        <v>92549.228390537362</v>
      </c>
      <c r="U68" s="8">
        <f>Deals_Raw!V68</f>
        <v>0.20399999999999999</v>
      </c>
      <c r="V68" s="8">
        <f>Deals_Raw!W68</f>
        <v>0.19800000000000001</v>
      </c>
      <c r="W68" s="8">
        <f>Deals_Raw!X68</f>
        <v>-7.0000000000000007E-2</v>
      </c>
      <c r="X68" t="str">
        <f>Deals_Raw!Y68</f>
        <v>Verified competitor pressure</v>
      </c>
      <c r="Y68" t="str">
        <f>Deals_Raw!Z68</f>
        <v>Pricing Analyst</v>
      </c>
      <c r="Z68" s="6">
        <f>Deals_Raw!AA68</f>
        <v>74238.652806820726</v>
      </c>
      <c r="AA68" s="6">
        <f>Deals_Raw!AC68</f>
        <v>35240.868372540288</v>
      </c>
      <c r="AB68" s="6">
        <f>Deals_Raw!AD68</f>
        <v>38997.784434280438</v>
      </c>
      <c r="AC68" s="8">
        <f>Deals_Raw!AE68</f>
        <v>0.52530296496298345</v>
      </c>
      <c r="AD68" t="str">
        <f>Deals_Raw!AF68</f>
        <v>Lost</v>
      </c>
      <c r="AE68">
        <f>Deals_Raw!AG68</f>
        <v>0</v>
      </c>
      <c r="AF68">
        <f>Deals_Raw!AH68</f>
        <v>0</v>
      </c>
      <c r="AG68" t="str">
        <f>Deals_Raw!AI68</f>
        <v>No</v>
      </c>
      <c r="AH68" s="6">
        <f>Deals_Raw!AJ68</f>
        <v>0</v>
      </c>
      <c r="AI68" s="6">
        <f>Deals_Raw!AK68</f>
        <v>0</v>
      </c>
      <c r="AJ68" t="str">
        <f>Deals_Raw!AL68</f>
        <v>First purchase under this contract</v>
      </c>
      <c r="AK68" s="9">
        <f t="shared" si="0"/>
        <v>2.7416666666666667</v>
      </c>
      <c r="AL68" s="8">
        <f t="shared" si="1"/>
        <v>0.8021531253999219</v>
      </c>
      <c r="AM68" s="8">
        <f t="shared" si="2"/>
        <v>5.9999999999999776E-3</v>
      </c>
      <c r="AN68" t="str">
        <f>IF(AC68&lt;Pricing_Policy!$C$10,"Below Floor","Pass")</f>
        <v>Pass</v>
      </c>
      <c r="AO68" t="str">
        <f>IF(V68&gt;Pricing_Policy!$C$7,"Exception","Standard")</f>
        <v>Standard</v>
      </c>
      <c r="AP68" t="str">
        <f t="shared" si="3"/>
        <v>Pass</v>
      </c>
      <c r="AQ68">
        <f t="shared" si="4"/>
        <v>0</v>
      </c>
      <c r="AR68" s="8">
        <f t="shared" si="5"/>
        <v>0</v>
      </c>
      <c r="AS68">
        <f t="shared" si="6"/>
        <v>2</v>
      </c>
    </row>
    <row r="69" spans="1:45">
      <c r="A69" t="str">
        <f>Deals_Raw!A69</f>
        <v>D00077</v>
      </c>
      <c r="B69">
        <f>Deals_Raw!B69</f>
        <v>45520</v>
      </c>
      <c r="C69" t="str">
        <f>Deals_Raw!C69</f>
        <v>C0022</v>
      </c>
      <c r="D69" t="str">
        <f>Deals_Raw!D69</f>
        <v>PUB-0022</v>
      </c>
      <c r="E69" t="str">
        <f>Deals_Raw!E69</f>
        <v>CT00048</v>
      </c>
      <c r="F69" t="str">
        <f>Deals_Raw!F69</f>
        <v>Operations</v>
      </c>
      <c r="G69" t="str">
        <f>Deals_Raw!G69</f>
        <v>Public Sector</v>
      </c>
      <c r="H69" t="str">
        <f>Deals_Raw!H69</f>
        <v>Northeast</v>
      </c>
      <c r="I69" t="str">
        <f>Deals_Raw!I69</f>
        <v>Northeast Commercial</v>
      </c>
      <c r="J69" t="str">
        <f>Deals_Raw!J69</f>
        <v>Mid-Market</v>
      </c>
      <c r="K69" t="str">
        <f>Deals_Raw!K69</f>
        <v>No</v>
      </c>
      <c r="L69">
        <f>Deals_Raw!L69</f>
        <v>43952</v>
      </c>
      <c r="M69">
        <f>Deals_Raw!M69</f>
        <v>53</v>
      </c>
      <c r="N69" t="str">
        <f>Deals_Raw!N69</f>
        <v>Nexus Analytics</v>
      </c>
      <c r="O69" t="str">
        <f>Deals_Raw!O69</f>
        <v>Renewal</v>
      </c>
      <c r="P69">
        <f>Deals_Raw!P69</f>
        <v>0</v>
      </c>
      <c r="Q69">
        <f>Deals_Raw!Q69</f>
        <v>1</v>
      </c>
      <c r="R69">
        <f>Deals_Raw!R69</f>
        <v>339</v>
      </c>
      <c r="S69" t="str">
        <f>Deals_Raw!S69</f>
        <v>M. Johnson</v>
      </c>
      <c r="T69" s="6">
        <f>Deals_Raw!T69</f>
        <v>86522.161940963386</v>
      </c>
      <c r="U69" s="8">
        <f>Deals_Raw!V69</f>
        <v>0.185</v>
      </c>
      <c r="V69" s="8">
        <f>Deals_Raw!W69</f>
        <v>0.18</v>
      </c>
      <c r="W69" s="8">
        <f>Deals_Raw!X69</f>
        <v>-1E-3</v>
      </c>
      <c r="X69" t="str">
        <f>Deals_Raw!Y69</f>
        <v>Renewal retention risk</v>
      </c>
      <c r="Y69" t="str">
        <f>Deals_Raw!Z69</f>
        <v>Pricing Analyst</v>
      </c>
      <c r="Z69" s="6">
        <f>Deals_Raw!AA69</f>
        <v>70946.785065395452</v>
      </c>
      <c r="AA69" s="6">
        <f>Deals_Raw!AC69</f>
        <v>26552.027317816614</v>
      </c>
      <c r="AB69" s="6">
        <f>Deals_Raw!AD69</f>
        <v>44394.757747578842</v>
      </c>
      <c r="AC69" s="8">
        <f>Deals_Raw!AE69</f>
        <v>0.62574727955125542</v>
      </c>
      <c r="AD69" t="str">
        <f>Deals_Raw!AF69</f>
        <v>Won</v>
      </c>
      <c r="AE69" t="str">
        <f>Deals_Raw!AG69</f>
        <v>Yes</v>
      </c>
      <c r="AF69">
        <f>Deals_Raw!AH69</f>
        <v>0</v>
      </c>
      <c r="AG69" t="str">
        <f>Deals_Raw!AI69</f>
        <v>No</v>
      </c>
      <c r="AH69" s="6">
        <f>Deals_Raw!AJ69</f>
        <v>70946.785065395452</v>
      </c>
      <c r="AI69" s="6">
        <f>Deals_Raw!AK69</f>
        <v>44394.757747578842</v>
      </c>
      <c r="AJ69" t="str">
        <f>Deals_Raw!AL69</f>
        <v>Renewal of existing active contract</v>
      </c>
      <c r="AK69" s="9">
        <f t="shared" ref="AK69:AK132" si="7">YEARFRAC(L69,B69)</f>
        <v>4.291666666666667</v>
      </c>
      <c r="AL69" s="8">
        <f t="shared" ref="AL69:AL132" si="8">IFERROR(Z69/T69,0)</f>
        <v>0.81998396103190918</v>
      </c>
      <c r="AM69" s="8">
        <f t="shared" ref="AM69:AM132" si="9">U69-V69</f>
        <v>5.0000000000000044E-3</v>
      </c>
      <c r="AN69" t="str">
        <f>IF(AC69&lt;Pricing_Policy!$C$10,"Below Floor","Pass")</f>
        <v>Pass</v>
      </c>
      <c r="AO69" t="str">
        <f>IF(V69&gt;Pricing_Policy!$C$7,"Exception","Standard")</f>
        <v>Standard</v>
      </c>
      <c r="AP69" t="str">
        <f t="shared" ref="AP69:AP132" si="10">IF(OR(AND(V69&lt;=0.1,Y69&lt;&gt;"Sales Manager"),AND(V69&gt;0.1,V69&lt;=0.2,Y69&lt;&gt;"Pricing Analyst"),AND(V69&gt;0.2,V69&lt;=0.28,Y69&lt;&gt;"Business Manager"),AND(V69&gt;0.28,Y69&lt;&gt;"VP Pricing")),"Review","Pass")</f>
        <v>Pass</v>
      </c>
      <c r="AQ69">
        <f t="shared" ref="AQ69:AQ132" si="11">IF(AD69="Won",1,0)</f>
        <v>1</v>
      </c>
      <c r="AR69" s="8">
        <f t="shared" ref="AR69:AR132" si="12">IFERROR(AI69/AH69,0)</f>
        <v>0.62574727955125542</v>
      </c>
      <c r="AS69">
        <f t="shared" ref="AS69:AS132" si="13">COUNTIFS($C:$C,C69,$N:$N,N69)</f>
        <v>5</v>
      </c>
    </row>
    <row r="70" spans="1:45">
      <c r="A70" t="str">
        <f>Deals_Raw!A70</f>
        <v>D00078</v>
      </c>
      <c r="B70">
        <f>Deals_Raw!B70</f>
        <v>45885</v>
      </c>
      <c r="C70" t="str">
        <f>Deals_Raw!C70</f>
        <v>C0022</v>
      </c>
      <c r="D70" t="str">
        <f>Deals_Raw!D70</f>
        <v>PUB-0022</v>
      </c>
      <c r="E70" t="str">
        <f>Deals_Raw!E70</f>
        <v>CT00048</v>
      </c>
      <c r="F70" t="str">
        <f>Deals_Raw!F70</f>
        <v>Operations</v>
      </c>
      <c r="G70" t="str">
        <f>Deals_Raw!G70</f>
        <v>Public Sector</v>
      </c>
      <c r="H70" t="str">
        <f>Deals_Raw!H70</f>
        <v>Northeast</v>
      </c>
      <c r="I70" t="str">
        <f>Deals_Raw!I70</f>
        <v>Northeast Commercial</v>
      </c>
      <c r="J70" t="str">
        <f>Deals_Raw!J70</f>
        <v>Mid-Market</v>
      </c>
      <c r="K70" t="str">
        <f>Deals_Raw!K70</f>
        <v>No</v>
      </c>
      <c r="L70">
        <f>Deals_Raw!L70</f>
        <v>43952</v>
      </c>
      <c r="M70">
        <f>Deals_Raw!M70</f>
        <v>53</v>
      </c>
      <c r="N70" t="str">
        <f>Deals_Raw!N70</f>
        <v>Nexus Analytics</v>
      </c>
      <c r="O70" t="str">
        <f>Deals_Raw!O70</f>
        <v>Renewal</v>
      </c>
      <c r="P70">
        <f>Deals_Raw!P70</f>
        <v>0</v>
      </c>
      <c r="Q70">
        <f>Deals_Raw!Q70</f>
        <v>1</v>
      </c>
      <c r="R70">
        <f>Deals_Raw!R70</f>
        <v>339</v>
      </c>
      <c r="S70" t="str">
        <f>Deals_Raw!S70</f>
        <v>R. Singh</v>
      </c>
      <c r="T70" s="6">
        <f>Deals_Raw!T70</f>
        <v>92015.976231441236</v>
      </c>
      <c r="U70" s="8">
        <f>Deals_Raw!V70</f>
        <v>0.13300000000000001</v>
      </c>
      <c r="V70" s="8">
        <f>Deals_Raw!W70</f>
        <v>0.1</v>
      </c>
      <c r="W70" s="8">
        <f>Deals_Raw!X70</f>
        <v>-2.9000000000000001E-2</v>
      </c>
      <c r="X70" t="str">
        <f>Deals_Raw!Y70</f>
        <v>Renewal retention risk</v>
      </c>
      <c r="Y70" t="str">
        <f>Deals_Raw!Z70</f>
        <v>Sales Manager</v>
      </c>
      <c r="Z70" s="6">
        <f>Deals_Raw!AA70</f>
        <v>82825.087789610247</v>
      </c>
      <c r="AA70" s="6">
        <f>Deals_Raw!AC70</f>
        <v>27647.365488134459</v>
      </c>
      <c r="AB70" s="6">
        <f>Deals_Raw!AD70</f>
        <v>55177.722301475791</v>
      </c>
      <c r="AC70" s="8">
        <f>Deals_Raw!AE70</f>
        <v>0.66619575993250446</v>
      </c>
      <c r="AD70" t="str">
        <f>Deals_Raw!AF70</f>
        <v>Lost</v>
      </c>
      <c r="AE70" t="str">
        <f>Deals_Raw!AG70</f>
        <v>No</v>
      </c>
      <c r="AF70">
        <f>Deals_Raw!AH70</f>
        <v>0</v>
      </c>
      <c r="AG70" t="str">
        <f>Deals_Raw!AI70</f>
        <v>No</v>
      </c>
      <c r="AH70" s="6">
        <f>Deals_Raw!AJ70</f>
        <v>0</v>
      </c>
      <c r="AI70" s="6">
        <f>Deals_Raw!AK70</f>
        <v>0</v>
      </c>
      <c r="AJ70" t="str">
        <f>Deals_Raw!AL70</f>
        <v>Renewal of existing active contract</v>
      </c>
      <c r="AK70" s="9">
        <f t="shared" si="7"/>
        <v>5.291666666666667</v>
      </c>
      <c r="AL70" s="8">
        <f t="shared" si="8"/>
        <v>0.90011638393409199</v>
      </c>
      <c r="AM70" s="8">
        <f t="shared" si="9"/>
        <v>3.3000000000000002E-2</v>
      </c>
      <c r="AN70" t="str">
        <f>IF(AC70&lt;Pricing_Policy!$C$10,"Below Floor","Pass")</f>
        <v>Pass</v>
      </c>
      <c r="AO70" t="str">
        <f>IF(V70&gt;Pricing_Policy!$C$7,"Exception","Standard")</f>
        <v>Standard</v>
      </c>
      <c r="AP70" t="str">
        <f t="shared" si="10"/>
        <v>Pass</v>
      </c>
      <c r="AQ70">
        <f t="shared" si="11"/>
        <v>0</v>
      </c>
      <c r="AR70" s="8">
        <f t="shared" si="12"/>
        <v>0</v>
      </c>
      <c r="AS70">
        <f t="shared" si="13"/>
        <v>5</v>
      </c>
    </row>
    <row r="71" spans="1:45">
      <c r="A71" t="str">
        <f>Deals_Raw!A71</f>
        <v>D00079</v>
      </c>
      <c r="B71">
        <f>Deals_Raw!B71</f>
        <v>45654</v>
      </c>
      <c r="C71" t="str">
        <f>Deals_Raw!C71</f>
        <v>C0022</v>
      </c>
      <c r="D71" t="str">
        <f>Deals_Raw!D71</f>
        <v>PUB-0022</v>
      </c>
      <c r="E71" t="str">
        <f>Deals_Raw!E71</f>
        <v>CT00049</v>
      </c>
      <c r="F71" t="str">
        <f>Deals_Raw!F71</f>
        <v>Operations</v>
      </c>
      <c r="G71" t="str">
        <f>Deals_Raw!G71</f>
        <v>Public Sector</v>
      </c>
      <c r="H71" t="str">
        <f>Deals_Raw!H71</f>
        <v>Northeast</v>
      </c>
      <c r="I71" t="str">
        <f>Deals_Raw!I71</f>
        <v>Northeast Commercial</v>
      </c>
      <c r="J71" t="str">
        <f>Deals_Raw!J71</f>
        <v>Mid-Market</v>
      </c>
      <c r="K71" t="str">
        <f>Deals_Raw!K71</f>
        <v>No</v>
      </c>
      <c r="L71">
        <f>Deals_Raw!L71</f>
        <v>43952</v>
      </c>
      <c r="M71">
        <f>Deals_Raw!M71</f>
        <v>53</v>
      </c>
      <c r="N71" t="str">
        <f>Deals_Raw!N71</f>
        <v>Nexus AI Assistant</v>
      </c>
      <c r="O71" t="str">
        <f>Deals_Raw!O71</f>
        <v>Expansion</v>
      </c>
      <c r="P71" t="str">
        <f>Deals_Raw!P71</f>
        <v>Module Add-on</v>
      </c>
      <c r="Q71">
        <f>Deals_Raw!Q71</f>
        <v>2</v>
      </c>
      <c r="R71">
        <f>Deals_Raw!R71</f>
        <v>300</v>
      </c>
      <c r="S71" t="str">
        <f>Deals_Raw!S71</f>
        <v>L. Williams</v>
      </c>
      <c r="T71" s="6">
        <f>Deals_Raw!T71</f>
        <v>55658.748515152845</v>
      </c>
      <c r="U71" s="8">
        <f>Deals_Raw!V71</f>
        <v>0.11700000000000001</v>
      </c>
      <c r="V71" s="8">
        <f>Deals_Raw!W71</f>
        <v>9.8000000000000004E-2</v>
      </c>
      <c r="W71" s="8">
        <f>Deals_Raw!X71</f>
        <v>-5.7000000000000002E-2</v>
      </c>
      <c r="X71" t="str">
        <f>Deals_Raw!Y71</f>
        <v>Expansion opportunity</v>
      </c>
      <c r="Y71" t="str">
        <f>Deals_Raw!Z71</f>
        <v>Sales Manager</v>
      </c>
      <c r="Z71" s="6">
        <f>Deals_Raw!AA71</f>
        <v>50202.62392588293</v>
      </c>
      <c r="AA71" s="6">
        <f>Deals_Raw!AC71</f>
        <v>20030.991941360327</v>
      </c>
      <c r="AB71" s="6">
        <f>Deals_Raw!AD71</f>
        <v>30171.631984522603</v>
      </c>
      <c r="AC71" s="8">
        <f>Deals_Raw!AE71</f>
        <v>0.6009971118056846</v>
      </c>
      <c r="AD71" t="str">
        <f>Deals_Raw!AF71</f>
        <v>Won</v>
      </c>
      <c r="AE71">
        <f>Deals_Raw!AG71</f>
        <v>0</v>
      </c>
      <c r="AF71" t="str">
        <f>Deals_Raw!AH71</f>
        <v>Yes</v>
      </c>
      <c r="AG71" t="str">
        <f>Deals_Raw!AI71</f>
        <v>No</v>
      </c>
      <c r="AH71" s="6">
        <f>Deals_Raw!AJ71</f>
        <v>50202.62392588293</v>
      </c>
      <c r="AI71" s="6">
        <f>Deals_Raw!AK71</f>
        <v>30171.631984522603</v>
      </c>
      <c r="AJ71" t="str">
        <f>Deals_Raw!AL71</f>
        <v>Expansion allowed because contract was active</v>
      </c>
      <c r="AK71" s="9">
        <f t="shared" si="7"/>
        <v>4.6583333333333332</v>
      </c>
      <c r="AL71" s="8">
        <f t="shared" si="8"/>
        <v>0.90197184207646153</v>
      </c>
      <c r="AM71" s="8">
        <f t="shared" si="9"/>
        <v>1.9000000000000003E-2</v>
      </c>
      <c r="AN71" t="str">
        <f>IF(AC71&lt;Pricing_Policy!$C$10,"Below Floor","Pass")</f>
        <v>Pass</v>
      </c>
      <c r="AO71" t="str">
        <f>IF(V71&gt;Pricing_Policy!$C$7,"Exception","Standard")</f>
        <v>Standard</v>
      </c>
      <c r="AP71" t="str">
        <f t="shared" si="10"/>
        <v>Pass</v>
      </c>
      <c r="AQ71">
        <f t="shared" si="11"/>
        <v>1</v>
      </c>
      <c r="AR71" s="8">
        <f t="shared" si="12"/>
        <v>0.6009971118056846</v>
      </c>
      <c r="AS71">
        <f t="shared" si="13"/>
        <v>2</v>
      </c>
    </row>
    <row r="72" spans="1:45">
      <c r="A72" t="str">
        <f>Deals_Raw!A72</f>
        <v>D00080</v>
      </c>
      <c r="B72">
        <f>Deals_Raw!B72</f>
        <v>45795</v>
      </c>
      <c r="C72" t="str">
        <f>Deals_Raw!C72</f>
        <v>C0022</v>
      </c>
      <c r="D72" t="str">
        <f>Deals_Raw!D72</f>
        <v>PUB-0022</v>
      </c>
      <c r="E72" t="str">
        <f>Deals_Raw!E72</f>
        <v>CT00049</v>
      </c>
      <c r="F72" t="str">
        <f>Deals_Raw!F72</f>
        <v>Operations</v>
      </c>
      <c r="G72" t="str">
        <f>Deals_Raw!G72</f>
        <v>Public Sector</v>
      </c>
      <c r="H72" t="str">
        <f>Deals_Raw!H72</f>
        <v>Northeast</v>
      </c>
      <c r="I72" t="str">
        <f>Deals_Raw!I72</f>
        <v>Northeast Commercial</v>
      </c>
      <c r="J72" t="str">
        <f>Deals_Raw!J72</f>
        <v>Mid-Market</v>
      </c>
      <c r="K72" t="str">
        <f>Deals_Raw!K72</f>
        <v>No</v>
      </c>
      <c r="L72">
        <f>Deals_Raw!L72</f>
        <v>43952</v>
      </c>
      <c r="M72">
        <f>Deals_Raw!M72</f>
        <v>53</v>
      </c>
      <c r="N72" t="str">
        <f>Deals_Raw!N72</f>
        <v>Nexus AI Assistant</v>
      </c>
      <c r="O72" t="str">
        <f>Deals_Raw!O72</f>
        <v>Renewal</v>
      </c>
      <c r="P72">
        <f>Deals_Raw!P72</f>
        <v>0</v>
      </c>
      <c r="Q72">
        <f>Deals_Raw!Q72</f>
        <v>2</v>
      </c>
      <c r="R72">
        <f>Deals_Raw!R72</f>
        <v>300</v>
      </c>
      <c r="S72" t="str">
        <f>Deals_Raw!S72</f>
        <v>M. Johnson</v>
      </c>
      <c r="T72" s="6">
        <f>Deals_Raw!T72</f>
        <v>57475.249903974756</v>
      </c>
      <c r="U72" s="8">
        <f>Deals_Raw!V72</f>
        <v>8.6999999999999994E-2</v>
      </c>
      <c r="V72" s="8">
        <f>Deals_Raw!W72</f>
        <v>7.0000000000000007E-2</v>
      </c>
      <c r="W72" s="8">
        <f>Deals_Raw!X72</f>
        <v>-8.5000000000000006E-2</v>
      </c>
      <c r="X72" t="str">
        <f>Deals_Raw!Y72</f>
        <v>Renewal retention risk</v>
      </c>
      <c r="Y72" t="str">
        <f>Deals_Raw!Z72</f>
        <v>Sales Manager</v>
      </c>
      <c r="Z72" s="6">
        <f>Deals_Raw!AA72</f>
        <v>53461.192088342694</v>
      </c>
      <c r="AA72" s="6">
        <f>Deals_Raw!AC72</f>
        <v>21274.062675887049</v>
      </c>
      <c r="AB72" s="6">
        <f>Deals_Raw!AD72</f>
        <v>32187.129412455644</v>
      </c>
      <c r="AC72" s="8">
        <f>Deals_Raw!AE72</f>
        <v>0.602065314205257</v>
      </c>
      <c r="AD72" t="str">
        <f>Deals_Raw!AF72</f>
        <v>Lost</v>
      </c>
      <c r="AE72" t="str">
        <f>Deals_Raw!AG72</f>
        <v>No</v>
      </c>
      <c r="AF72">
        <f>Deals_Raw!AH72</f>
        <v>0</v>
      </c>
      <c r="AG72" t="str">
        <f>Deals_Raw!AI72</f>
        <v>No</v>
      </c>
      <c r="AH72" s="6">
        <f>Deals_Raw!AJ72</f>
        <v>0</v>
      </c>
      <c r="AI72" s="6">
        <f>Deals_Raw!AK72</f>
        <v>0</v>
      </c>
      <c r="AJ72" t="str">
        <f>Deals_Raw!AL72</f>
        <v>Renewal of existing active contract</v>
      </c>
      <c r="AK72" s="9">
        <f t="shared" si="7"/>
        <v>5.0472222222222225</v>
      </c>
      <c r="AL72" s="8">
        <f t="shared" si="8"/>
        <v>0.93016023727885577</v>
      </c>
      <c r="AM72" s="8">
        <f t="shared" si="9"/>
        <v>1.6999999999999987E-2</v>
      </c>
      <c r="AN72" t="str">
        <f>IF(AC72&lt;Pricing_Policy!$C$10,"Below Floor","Pass")</f>
        <v>Pass</v>
      </c>
      <c r="AO72" t="str">
        <f>IF(V72&gt;Pricing_Policy!$C$7,"Exception","Standard")</f>
        <v>Standard</v>
      </c>
      <c r="AP72" t="str">
        <f t="shared" si="10"/>
        <v>Pass</v>
      </c>
      <c r="AQ72">
        <f t="shared" si="11"/>
        <v>0</v>
      </c>
      <c r="AR72" s="8">
        <f t="shared" si="12"/>
        <v>0</v>
      </c>
      <c r="AS72">
        <f t="shared" si="13"/>
        <v>2</v>
      </c>
    </row>
    <row r="73" spans="1:45">
      <c r="A73" t="str">
        <f>Deals_Raw!A73</f>
        <v>D00081</v>
      </c>
      <c r="B73">
        <f>Deals_Raw!B73</f>
        <v>45320</v>
      </c>
      <c r="C73" t="str">
        <f>Deals_Raw!C73</f>
        <v>C0022</v>
      </c>
      <c r="D73" t="str">
        <f>Deals_Raw!D73</f>
        <v>PUB-0022</v>
      </c>
      <c r="E73" t="str">
        <f>Deals_Raw!E73</f>
        <v>CT00050</v>
      </c>
      <c r="F73" t="str">
        <f>Deals_Raw!F73</f>
        <v>Legal</v>
      </c>
      <c r="G73" t="str">
        <f>Deals_Raw!G73</f>
        <v>Public Sector</v>
      </c>
      <c r="H73" t="str">
        <f>Deals_Raw!H73</f>
        <v>Northeast</v>
      </c>
      <c r="I73" t="str">
        <f>Deals_Raw!I73</f>
        <v>Northeast Commercial</v>
      </c>
      <c r="J73" t="str">
        <f>Deals_Raw!J73</f>
        <v>Mid-Market</v>
      </c>
      <c r="K73" t="str">
        <f>Deals_Raw!K73</f>
        <v>No</v>
      </c>
      <c r="L73">
        <f>Deals_Raw!L73</f>
        <v>43952</v>
      </c>
      <c r="M73">
        <f>Deals_Raw!M73</f>
        <v>53</v>
      </c>
      <c r="N73" t="str">
        <f>Deals_Raw!N73</f>
        <v>Nexus Analytics</v>
      </c>
      <c r="O73" t="str">
        <f>Deals_Raw!O73</f>
        <v>New Business</v>
      </c>
      <c r="P73">
        <f>Deals_Raw!P73</f>
        <v>0</v>
      </c>
      <c r="Q73">
        <f>Deals_Raw!Q73</f>
        <v>1</v>
      </c>
      <c r="R73">
        <f>Deals_Raw!R73</f>
        <v>125</v>
      </c>
      <c r="S73" t="str">
        <f>Deals_Raw!S73</f>
        <v>L. Williams</v>
      </c>
      <c r="T73" s="6">
        <f>Deals_Raw!T73</f>
        <v>124310.03888941061</v>
      </c>
      <c r="U73" s="8">
        <f>Deals_Raw!V73</f>
        <v>8.4000000000000005E-2</v>
      </c>
      <c r="V73" s="8">
        <f>Deals_Raw!W73</f>
        <v>6.8000000000000005E-2</v>
      </c>
      <c r="W73" s="8">
        <f>Deals_Raw!X73</f>
        <v>0</v>
      </c>
      <c r="X73" t="str">
        <f>Deals_Raw!Y73</f>
        <v>Verified competitor pressure</v>
      </c>
      <c r="Y73" t="str">
        <f>Deals_Raw!Z73</f>
        <v>Sales Manager</v>
      </c>
      <c r="Z73" s="6">
        <f>Deals_Raw!AA73</f>
        <v>115858.19019260952</v>
      </c>
      <c r="AA73" s="6">
        <f>Deals_Raw!AC73</f>
        <v>45971.149447965021</v>
      </c>
      <c r="AB73" s="6">
        <f>Deals_Raw!AD73</f>
        <v>69887.040744644502</v>
      </c>
      <c r="AC73" s="8">
        <f>Deals_Raw!AE73</f>
        <v>0.60321191474215285</v>
      </c>
      <c r="AD73" t="str">
        <f>Deals_Raw!AF73</f>
        <v>Won</v>
      </c>
      <c r="AE73">
        <f>Deals_Raw!AG73</f>
        <v>0</v>
      </c>
      <c r="AF73">
        <f>Deals_Raw!AH73</f>
        <v>0</v>
      </c>
      <c r="AG73" t="str">
        <f>Deals_Raw!AI73</f>
        <v>No</v>
      </c>
      <c r="AH73" s="6">
        <f>Deals_Raw!AJ73</f>
        <v>115858.19019260952</v>
      </c>
      <c r="AI73" s="6">
        <f>Deals_Raw!AK73</f>
        <v>69887.040744644502</v>
      </c>
      <c r="AJ73" t="str">
        <f>Deals_Raw!AL73</f>
        <v>First purchase under this contract</v>
      </c>
      <c r="AK73" s="9">
        <f t="shared" si="7"/>
        <v>3.7444444444444445</v>
      </c>
      <c r="AL73" s="8">
        <f t="shared" si="8"/>
        <v>0.93200992637191526</v>
      </c>
      <c r="AM73" s="8">
        <f t="shared" si="9"/>
        <v>1.6E-2</v>
      </c>
      <c r="AN73" t="str">
        <f>IF(AC73&lt;Pricing_Policy!$C$10,"Below Floor","Pass")</f>
        <v>Pass</v>
      </c>
      <c r="AO73" t="str">
        <f>IF(V73&gt;Pricing_Policy!$C$7,"Exception","Standard")</f>
        <v>Standard</v>
      </c>
      <c r="AP73" t="str">
        <f t="shared" si="10"/>
        <v>Pass</v>
      </c>
      <c r="AQ73">
        <f t="shared" si="11"/>
        <v>1</v>
      </c>
      <c r="AR73" s="8">
        <f t="shared" si="12"/>
        <v>0.60321191474215285</v>
      </c>
      <c r="AS73">
        <f t="shared" si="13"/>
        <v>5</v>
      </c>
    </row>
    <row r="74" spans="1:45">
      <c r="A74" t="str">
        <f>Deals_Raw!A74</f>
        <v>D00082</v>
      </c>
      <c r="B74">
        <f>Deals_Raw!B74</f>
        <v>45472</v>
      </c>
      <c r="C74" t="str">
        <f>Deals_Raw!C74</f>
        <v>C0022</v>
      </c>
      <c r="D74" t="str">
        <f>Deals_Raw!D74</f>
        <v>PUB-0022</v>
      </c>
      <c r="E74" t="str">
        <f>Deals_Raw!E74</f>
        <v>CT00050</v>
      </c>
      <c r="F74" t="str">
        <f>Deals_Raw!F74</f>
        <v>Legal</v>
      </c>
      <c r="G74" t="str">
        <f>Deals_Raw!G74</f>
        <v>Public Sector</v>
      </c>
      <c r="H74" t="str">
        <f>Deals_Raw!H74</f>
        <v>Northeast</v>
      </c>
      <c r="I74" t="str">
        <f>Deals_Raw!I74</f>
        <v>Northeast Commercial</v>
      </c>
      <c r="J74" t="str">
        <f>Deals_Raw!J74</f>
        <v>Mid-Market</v>
      </c>
      <c r="K74" t="str">
        <f>Deals_Raw!K74</f>
        <v>No</v>
      </c>
      <c r="L74">
        <f>Deals_Raw!L74</f>
        <v>43952</v>
      </c>
      <c r="M74">
        <f>Deals_Raw!M74</f>
        <v>53</v>
      </c>
      <c r="N74" t="str">
        <f>Deals_Raw!N74</f>
        <v>Nexus Analytics</v>
      </c>
      <c r="O74" t="str">
        <f>Deals_Raw!O74</f>
        <v>Expansion</v>
      </c>
      <c r="P74" t="str">
        <f>Deals_Raw!P74</f>
        <v>AI Add-on</v>
      </c>
      <c r="Q74">
        <f>Deals_Raw!Q74</f>
        <v>1</v>
      </c>
      <c r="R74">
        <f>Deals_Raw!R74</f>
        <v>140</v>
      </c>
      <c r="S74" t="str">
        <f>Deals_Raw!S74</f>
        <v>D. Chen</v>
      </c>
      <c r="T74" s="6">
        <f>Deals_Raw!T74</f>
        <v>135021.91918171392</v>
      </c>
      <c r="U74" s="8">
        <f>Deals_Raw!V74</f>
        <v>8.8999999999999996E-2</v>
      </c>
      <c r="V74" s="8">
        <f>Deals_Raw!W74</f>
        <v>8.6999999999999994E-2</v>
      </c>
      <c r="W74" s="8">
        <f>Deals_Raw!X74</f>
        <v>-0.01</v>
      </c>
      <c r="X74" t="str">
        <f>Deals_Raw!Y74</f>
        <v>Expansion opportunity</v>
      </c>
      <c r="Y74" t="str">
        <f>Deals_Raw!Z74</f>
        <v>Sales Manager</v>
      </c>
      <c r="Z74" s="6">
        <f>Deals_Raw!AA74</f>
        <v>123307.68931423355</v>
      </c>
      <c r="AA74" s="6">
        <f>Deals_Raw!AC74</f>
        <v>48396.561839158509</v>
      </c>
      <c r="AB74" s="6">
        <f>Deals_Raw!AD74</f>
        <v>74911.127475075045</v>
      </c>
      <c r="AC74" s="8">
        <f>Deals_Raw!AE74</f>
        <v>0.60751383706634721</v>
      </c>
      <c r="AD74" t="str">
        <f>Deals_Raw!AF74</f>
        <v>Won</v>
      </c>
      <c r="AE74">
        <f>Deals_Raw!AG74</f>
        <v>0</v>
      </c>
      <c r="AF74" t="str">
        <f>Deals_Raw!AH74</f>
        <v>Yes</v>
      </c>
      <c r="AG74" t="str">
        <f>Deals_Raw!AI74</f>
        <v>No</v>
      </c>
      <c r="AH74" s="6">
        <f>Deals_Raw!AJ74</f>
        <v>123307.68931423355</v>
      </c>
      <c r="AI74" s="6">
        <f>Deals_Raw!AK74</f>
        <v>74911.127475075045</v>
      </c>
      <c r="AJ74" t="str">
        <f>Deals_Raw!AL74</f>
        <v>Expansion allowed because contract was active</v>
      </c>
      <c r="AK74" s="9">
        <f t="shared" si="7"/>
        <v>4.1611111111111114</v>
      </c>
      <c r="AL74" s="8">
        <f t="shared" si="8"/>
        <v>0.9132420133081115</v>
      </c>
      <c r="AM74" s="8">
        <f t="shared" si="9"/>
        <v>2.0000000000000018E-3</v>
      </c>
      <c r="AN74" t="str">
        <f>IF(AC74&lt;Pricing_Policy!$C$10,"Below Floor","Pass")</f>
        <v>Pass</v>
      </c>
      <c r="AO74" t="str">
        <f>IF(V74&gt;Pricing_Policy!$C$7,"Exception","Standard")</f>
        <v>Standard</v>
      </c>
      <c r="AP74" t="str">
        <f t="shared" si="10"/>
        <v>Pass</v>
      </c>
      <c r="AQ74">
        <f t="shared" si="11"/>
        <v>1</v>
      </c>
      <c r="AR74" s="8">
        <f t="shared" si="12"/>
        <v>0.60751383706634721</v>
      </c>
      <c r="AS74">
        <f t="shared" si="13"/>
        <v>5</v>
      </c>
    </row>
    <row r="75" spans="1:45">
      <c r="A75" t="str">
        <f>Deals_Raw!A75</f>
        <v>D00083</v>
      </c>
      <c r="B75">
        <f>Deals_Raw!B75</f>
        <v>45685</v>
      </c>
      <c r="C75" t="str">
        <f>Deals_Raw!C75</f>
        <v>C0022</v>
      </c>
      <c r="D75" t="str">
        <f>Deals_Raw!D75</f>
        <v>PUB-0022</v>
      </c>
      <c r="E75" t="str">
        <f>Deals_Raw!E75</f>
        <v>CT00050</v>
      </c>
      <c r="F75" t="str">
        <f>Deals_Raw!F75</f>
        <v>Legal</v>
      </c>
      <c r="G75" t="str">
        <f>Deals_Raw!G75</f>
        <v>Public Sector</v>
      </c>
      <c r="H75" t="str">
        <f>Deals_Raw!H75</f>
        <v>Northeast</v>
      </c>
      <c r="I75" t="str">
        <f>Deals_Raw!I75</f>
        <v>Northeast Commercial</v>
      </c>
      <c r="J75" t="str">
        <f>Deals_Raw!J75</f>
        <v>Mid-Market</v>
      </c>
      <c r="K75" t="str">
        <f>Deals_Raw!K75</f>
        <v>No</v>
      </c>
      <c r="L75">
        <f>Deals_Raw!L75</f>
        <v>43952</v>
      </c>
      <c r="M75">
        <f>Deals_Raw!M75</f>
        <v>53</v>
      </c>
      <c r="N75" t="str">
        <f>Deals_Raw!N75</f>
        <v>Nexus Analytics</v>
      </c>
      <c r="O75" t="str">
        <f>Deals_Raw!O75</f>
        <v>Renewal</v>
      </c>
      <c r="P75">
        <f>Deals_Raw!P75</f>
        <v>0</v>
      </c>
      <c r="Q75">
        <f>Deals_Raw!Q75</f>
        <v>1</v>
      </c>
      <c r="R75">
        <f>Deals_Raw!R75</f>
        <v>140</v>
      </c>
      <c r="S75" t="str">
        <f>Deals_Raw!S75</f>
        <v>L. Williams</v>
      </c>
      <c r="T75" s="6">
        <f>Deals_Raw!T75</f>
        <v>139959.62058159459</v>
      </c>
      <c r="U75" s="8">
        <f>Deals_Raw!V75</f>
        <v>0.12</v>
      </c>
      <c r="V75" s="8">
        <f>Deals_Raw!W75</f>
        <v>7.6999999999999999E-2</v>
      </c>
      <c r="W75" s="8">
        <f>Deals_Raw!X75</f>
        <v>2.8000000000000001E-2</v>
      </c>
      <c r="X75" t="str">
        <f>Deals_Raw!Y75</f>
        <v>Renewal retention risk</v>
      </c>
      <c r="Y75" t="str">
        <f>Deals_Raw!Z75</f>
        <v>Sales Manager</v>
      </c>
      <c r="Z75" s="6">
        <f>Deals_Raw!AA75</f>
        <v>129150.82942532747</v>
      </c>
      <c r="AA75" s="6">
        <f>Deals_Raw!AC75</f>
        <v>41549.278605106498</v>
      </c>
      <c r="AB75" s="6">
        <f>Deals_Raw!AD75</f>
        <v>87601.55082022096</v>
      </c>
      <c r="AC75" s="8">
        <f>Deals_Raw!AE75</f>
        <v>0.67828872032812226</v>
      </c>
      <c r="AD75" t="str">
        <f>Deals_Raw!AF75</f>
        <v>Lost</v>
      </c>
      <c r="AE75" t="str">
        <f>Deals_Raw!AG75</f>
        <v>No</v>
      </c>
      <c r="AF75">
        <f>Deals_Raw!AH75</f>
        <v>0</v>
      </c>
      <c r="AG75" t="str">
        <f>Deals_Raw!AI75</f>
        <v>No</v>
      </c>
      <c r="AH75" s="6">
        <f>Deals_Raw!AJ75</f>
        <v>0</v>
      </c>
      <c r="AI75" s="6">
        <f>Deals_Raw!AK75</f>
        <v>0</v>
      </c>
      <c r="AJ75" t="str">
        <f>Deals_Raw!AL75</f>
        <v>Renewal of existing active contract</v>
      </c>
      <c r="AK75" s="9">
        <f t="shared" si="7"/>
        <v>4.7416666666666663</v>
      </c>
      <c r="AL75" s="8">
        <f t="shared" si="8"/>
        <v>0.92277207446439358</v>
      </c>
      <c r="AM75" s="8">
        <f t="shared" si="9"/>
        <v>4.2999999999999997E-2</v>
      </c>
      <c r="AN75" t="str">
        <f>IF(AC75&lt;Pricing_Policy!$C$10,"Below Floor","Pass")</f>
        <v>Pass</v>
      </c>
      <c r="AO75" t="str">
        <f>IF(V75&gt;Pricing_Policy!$C$7,"Exception","Standard")</f>
        <v>Standard</v>
      </c>
      <c r="AP75" t="str">
        <f t="shared" si="10"/>
        <v>Pass</v>
      </c>
      <c r="AQ75">
        <f t="shared" si="11"/>
        <v>0</v>
      </c>
      <c r="AR75" s="8">
        <f t="shared" si="12"/>
        <v>0</v>
      </c>
      <c r="AS75">
        <f t="shared" si="13"/>
        <v>5</v>
      </c>
    </row>
    <row r="76" spans="1:45">
      <c r="A76" t="str">
        <f>Deals_Raw!A76</f>
        <v>D00084</v>
      </c>
      <c r="B76">
        <f>Deals_Raw!B76</f>
        <v>45648</v>
      </c>
      <c r="C76" t="str">
        <f>Deals_Raw!C76</f>
        <v>C0022</v>
      </c>
      <c r="D76" t="str">
        <f>Deals_Raw!D76</f>
        <v>PUB-0022</v>
      </c>
      <c r="E76" t="str">
        <f>Deals_Raw!E76</f>
        <v>CT00051</v>
      </c>
      <c r="F76" t="str">
        <f>Deals_Raw!F76</f>
        <v>Operations</v>
      </c>
      <c r="G76" t="str">
        <f>Deals_Raw!G76</f>
        <v>Public Sector</v>
      </c>
      <c r="H76" t="str">
        <f>Deals_Raw!H76</f>
        <v>Northeast</v>
      </c>
      <c r="I76" t="str">
        <f>Deals_Raw!I76</f>
        <v>Northeast Commercial</v>
      </c>
      <c r="J76" t="str">
        <f>Deals_Raw!J76</f>
        <v>Mid-Market</v>
      </c>
      <c r="K76" t="str">
        <f>Deals_Raw!K76</f>
        <v>No</v>
      </c>
      <c r="L76">
        <f>Deals_Raw!L76</f>
        <v>43952</v>
      </c>
      <c r="M76">
        <f>Deals_Raw!M76</f>
        <v>53</v>
      </c>
      <c r="N76" t="str">
        <f>Deals_Raw!N76</f>
        <v>Nexus Compliance</v>
      </c>
      <c r="O76" t="str">
        <f>Deals_Raw!O76</f>
        <v>Renewal</v>
      </c>
      <c r="P76">
        <f>Deals_Raw!P76</f>
        <v>0</v>
      </c>
      <c r="Q76">
        <f>Deals_Raw!Q76</f>
        <v>1</v>
      </c>
      <c r="R76">
        <f>Deals_Raw!R76</f>
        <v>331</v>
      </c>
      <c r="S76" t="str">
        <f>Deals_Raw!S76</f>
        <v>A. Patel</v>
      </c>
      <c r="T76" s="6">
        <f>Deals_Raw!T76</f>
        <v>116336.89724573609</v>
      </c>
      <c r="U76" s="8">
        <f>Deals_Raw!V76</f>
        <v>0.20200000000000001</v>
      </c>
      <c r="V76" s="8">
        <f>Deals_Raw!W76</f>
        <v>0.17899999999999999</v>
      </c>
      <c r="W76" s="8">
        <f>Deals_Raw!X76</f>
        <v>1.2999999999999999E-2</v>
      </c>
      <c r="X76" t="str">
        <f>Deals_Raw!Y76</f>
        <v>Renewal retention risk</v>
      </c>
      <c r="Y76" t="str">
        <f>Deals_Raw!Z76</f>
        <v>Pricing Analyst</v>
      </c>
      <c r="Z76" s="6">
        <f>Deals_Raw!AA76</f>
        <v>95492.103192150855</v>
      </c>
      <c r="AA76" s="6">
        <f>Deals_Raw!AC76</f>
        <v>40198.453920525506</v>
      </c>
      <c r="AB76" s="6">
        <f>Deals_Raw!AD76</f>
        <v>55293.649271625349</v>
      </c>
      <c r="AC76" s="8">
        <f>Deals_Raw!AE76</f>
        <v>0.57903897205366306</v>
      </c>
      <c r="AD76" t="str">
        <f>Deals_Raw!AF76</f>
        <v>Won</v>
      </c>
      <c r="AE76" t="str">
        <f>Deals_Raw!AG76</f>
        <v>Yes</v>
      </c>
      <c r="AF76">
        <f>Deals_Raw!AH76</f>
        <v>0</v>
      </c>
      <c r="AG76" t="str">
        <f>Deals_Raw!AI76</f>
        <v>No</v>
      </c>
      <c r="AH76" s="6">
        <f>Deals_Raw!AJ76</f>
        <v>95492.103192150855</v>
      </c>
      <c r="AI76" s="6">
        <f>Deals_Raw!AK76</f>
        <v>55293.649271625349</v>
      </c>
      <c r="AJ76" t="str">
        <f>Deals_Raw!AL76</f>
        <v>Renewal of existing active contract</v>
      </c>
      <c r="AK76" s="9">
        <f t="shared" si="7"/>
        <v>4.6416666666666666</v>
      </c>
      <c r="AL76" s="8">
        <f t="shared" si="8"/>
        <v>0.8208238783474241</v>
      </c>
      <c r="AM76" s="8">
        <f t="shared" si="9"/>
        <v>2.300000000000002E-2</v>
      </c>
      <c r="AN76" t="str">
        <f>IF(AC76&lt;Pricing_Policy!$C$10,"Below Floor","Pass")</f>
        <v>Pass</v>
      </c>
      <c r="AO76" t="str">
        <f>IF(V76&gt;Pricing_Policy!$C$7,"Exception","Standard")</f>
        <v>Standard</v>
      </c>
      <c r="AP76" t="str">
        <f t="shared" si="10"/>
        <v>Pass</v>
      </c>
      <c r="AQ76">
        <f t="shared" si="11"/>
        <v>1</v>
      </c>
      <c r="AR76" s="8">
        <f t="shared" si="12"/>
        <v>0.57903897205366306</v>
      </c>
      <c r="AS76">
        <f t="shared" si="13"/>
        <v>3</v>
      </c>
    </row>
    <row r="77" spans="1:45">
      <c r="A77" t="str">
        <f>Deals_Raw!A77</f>
        <v>D00085</v>
      </c>
      <c r="B77">
        <f>Deals_Raw!B77</f>
        <v>45836</v>
      </c>
      <c r="C77" t="str">
        <f>Deals_Raw!C77</f>
        <v>C0022</v>
      </c>
      <c r="D77" t="str">
        <f>Deals_Raw!D77</f>
        <v>PUB-0022</v>
      </c>
      <c r="E77" t="str">
        <f>Deals_Raw!E77</f>
        <v>CT00051</v>
      </c>
      <c r="F77" t="str">
        <f>Deals_Raw!F77</f>
        <v>Operations</v>
      </c>
      <c r="G77" t="str">
        <f>Deals_Raw!G77</f>
        <v>Public Sector</v>
      </c>
      <c r="H77" t="str">
        <f>Deals_Raw!H77</f>
        <v>Northeast</v>
      </c>
      <c r="I77" t="str">
        <f>Deals_Raw!I77</f>
        <v>Northeast Commercial</v>
      </c>
      <c r="J77" t="str">
        <f>Deals_Raw!J77</f>
        <v>Mid-Market</v>
      </c>
      <c r="K77" t="str">
        <f>Deals_Raw!K77</f>
        <v>No</v>
      </c>
      <c r="L77">
        <f>Deals_Raw!L77</f>
        <v>43952</v>
      </c>
      <c r="M77">
        <f>Deals_Raw!M77</f>
        <v>53</v>
      </c>
      <c r="N77" t="str">
        <f>Deals_Raw!N77</f>
        <v>Nexus Compliance</v>
      </c>
      <c r="O77" t="str">
        <f>Deals_Raw!O77</f>
        <v>Expansion</v>
      </c>
      <c r="P77" t="str">
        <f>Deals_Raw!P77</f>
        <v>AI Add-on</v>
      </c>
      <c r="Q77">
        <f>Deals_Raw!Q77</f>
        <v>1</v>
      </c>
      <c r="R77">
        <f>Deals_Raw!R77</f>
        <v>384</v>
      </c>
      <c r="S77" t="str">
        <f>Deals_Raw!S77</f>
        <v>S. Rivera</v>
      </c>
      <c r="T77" s="6">
        <f>Deals_Raw!T77</f>
        <v>141738.32825835899</v>
      </c>
      <c r="U77" s="8">
        <f>Deals_Raw!V77</f>
        <v>7.9000000000000001E-2</v>
      </c>
      <c r="V77" s="8">
        <f>Deals_Raw!W77</f>
        <v>6.9000000000000006E-2</v>
      </c>
      <c r="W77" s="8">
        <f>Deals_Raw!X77</f>
        <v>-4.8000000000000001E-2</v>
      </c>
      <c r="X77" t="str">
        <f>Deals_Raw!Y77</f>
        <v>Expansion opportunity</v>
      </c>
      <c r="Y77" t="str">
        <f>Deals_Raw!Z77</f>
        <v>Sales Manager</v>
      </c>
      <c r="Z77" s="6">
        <f>Deals_Raw!AA77</f>
        <v>131923.92404642116</v>
      </c>
      <c r="AA77" s="6">
        <f>Deals_Raw!AC77</f>
        <v>47995.305084466723</v>
      </c>
      <c r="AB77" s="6">
        <f>Deals_Raw!AD77</f>
        <v>83928.618961954431</v>
      </c>
      <c r="AC77" s="8">
        <f>Deals_Raw!AE77</f>
        <v>0.63618952793142947</v>
      </c>
      <c r="AD77" t="str">
        <f>Deals_Raw!AF77</f>
        <v>Lost</v>
      </c>
      <c r="AE77">
        <f>Deals_Raw!AG77</f>
        <v>0</v>
      </c>
      <c r="AF77" t="str">
        <f>Deals_Raw!AH77</f>
        <v>No</v>
      </c>
      <c r="AG77" t="str">
        <f>Deals_Raw!AI77</f>
        <v>No</v>
      </c>
      <c r="AH77" s="6">
        <f>Deals_Raw!AJ77</f>
        <v>0</v>
      </c>
      <c r="AI77" s="6">
        <f>Deals_Raw!AK77</f>
        <v>0</v>
      </c>
      <c r="AJ77" t="str">
        <f>Deals_Raw!AL77</f>
        <v>Expansion allowed because contract was active</v>
      </c>
      <c r="AK77" s="9">
        <f t="shared" si="7"/>
        <v>5.1583333333333332</v>
      </c>
      <c r="AL77" s="8">
        <f t="shared" si="8"/>
        <v>0.93075687901406423</v>
      </c>
      <c r="AM77" s="8">
        <f t="shared" si="9"/>
        <v>9.999999999999995E-3</v>
      </c>
      <c r="AN77" t="str">
        <f>IF(AC77&lt;Pricing_Policy!$C$10,"Below Floor","Pass")</f>
        <v>Pass</v>
      </c>
      <c r="AO77" t="str">
        <f>IF(V77&gt;Pricing_Policy!$C$7,"Exception","Standard")</f>
        <v>Standard</v>
      </c>
      <c r="AP77" t="str">
        <f t="shared" si="10"/>
        <v>Pass</v>
      </c>
      <c r="AQ77">
        <f t="shared" si="11"/>
        <v>0</v>
      </c>
      <c r="AR77" s="8">
        <f t="shared" si="12"/>
        <v>0</v>
      </c>
      <c r="AS77">
        <f t="shared" si="13"/>
        <v>3</v>
      </c>
    </row>
    <row r="78" spans="1:45">
      <c r="A78" t="str">
        <f>Deals_Raw!A78</f>
        <v>D00086</v>
      </c>
      <c r="B78">
        <f>Deals_Raw!B78</f>
        <v>46013</v>
      </c>
      <c r="C78" t="str">
        <f>Deals_Raw!C78</f>
        <v>C0022</v>
      </c>
      <c r="D78" t="str">
        <f>Deals_Raw!D78</f>
        <v>PUB-0022</v>
      </c>
      <c r="E78" t="str">
        <f>Deals_Raw!E78</f>
        <v>CT00051</v>
      </c>
      <c r="F78" t="str">
        <f>Deals_Raw!F78</f>
        <v>Operations</v>
      </c>
      <c r="G78" t="str">
        <f>Deals_Raw!G78</f>
        <v>Public Sector</v>
      </c>
      <c r="H78" t="str">
        <f>Deals_Raw!H78</f>
        <v>Northeast</v>
      </c>
      <c r="I78" t="str">
        <f>Deals_Raw!I78</f>
        <v>Northeast Commercial</v>
      </c>
      <c r="J78" t="str">
        <f>Deals_Raw!J78</f>
        <v>Mid-Market</v>
      </c>
      <c r="K78" t="str">
        <f>Deals_Raw!K78</f>
        <v>No</v>
      </c>
      <c r="L78">
        <f>Deals_Raw!L78</f>
        <v>43952</v>
      </c>
      <c r="M78">
        <f>Deals_Raw!M78</f>
        <v>53</v>
      </c>
      <c r="N78" t="str">
        <f>Deals_Raw!N78</f>
        <v>Nexus Compliance</v>
      </c>
      <c r="O78" t="str">
        <f>Deals_Raw!O78</f>
        <v>Renewal</v>
      </c>
      <c r="P78">
        <f>Deals_Raw!P78</f>
        <v>0</v>
      </c>
      <c r="Q78">
        <f>Deals_Raw!Q78</f>
        <v>1</v>
      </c>
      <c r="R78">
        <f>Deals_Raw!R78</f>
        <v>331</v>
      </c>
      <c r="S78" t="str">
        <f>Deals_Raw!S78</f>
        <v>T. Brooks</v>
      </c>
      <c r="T78" s="6">
        <f>Deals_Raw!T78</f>
        <v>122863.91212851039</v>
      </c>
      <c r="U78" s="8">
        <f>Deals_Raw!V78</f>
        <v>0.113</v>
      </c>
      <c r="V78" s="8">
        <f>Deals_Raw!W78</f>
        <v>0.1</v>
      </c>
      <c r="W78" s="8">
        <f>Deals_Raw!X78</f>
        <v>6.3E-2</v>
      </c>
      <c r="X78" t="str">
        <f>Deals_Raw!Y78</f>
        <v>Renewal retention risk</v>
      </c>
      <c r="Y78" t="str">
        <f>Deals_Raw!Z78</f>
        <v>Pricing Analyst</v>
      </c>
      <c r="Z78" s="6">
        <f>Deals_Raw!AA78</f>
        <v>110572.03249867282</v>
      </c>
      <c r="AA78" s="6">
        <f>Deals_Raw!AC78</f>
        <v>38760.308400977432</v>
      </c>
      <c r="AB78" s="6">
        <f>Deals_Raw!AD78</f>
        <v>71811.724097695391</v>
      </c>
      <c r="AC78" s="8">
        <f>Deals_Raw!AE78</f>
        <v>0.64945648980954862</v>
      </c>
      <c r="AD78" t="str">
        <f>Deals_Raw!AF78</f>
        <v>Lost</v>
      </c>
      <c r="AE78" t="str">
        <f>Deals_Raw!AG78</f>
        <v>No</v>
      </c>
      <c r="AF78">
        <f>Deals_Raw!AH78</f>
        <v>0</v>
      </c>
      <c r="AG78" t="str">
        <f>Deals_Raw!AI78</f>
        <v>No</v>
      </c>
      <c r="AH78" s="6">
        <f>Deals_Raw!AJ78</f>
        <v>0</v>
      </c>
      <c r="AI78" s="6">
        <f>Deals_Raw!AK78</f>
        <v>0</v>
      </c>
      <c r="AJ78" t="str">
        <f>Deals_Raw!AL78</f>
        <v>Renewal of existing active contract</v>
      </c>
      <c r="AK78" s="9">
        <f t="shared" si="7"/>
        <v>5.6416666666666666</v>
      </c>
      <c r="AL78" s="8">
        <f t="shared" si="8"/>
        <v>0.89995532929978017</v>
      </c>
      <c r="AM78" s="8">
        <f t="shared" si="9"/>
        <v>1.2999999999999998E-2</v>
      </c>
      <c r="AN78" t="str">
        <f>IF(AC78&lt;Pricing_Policy!$C$10,"Below Floor","Pass")</f>
        <v>Pass</v>
      </c>
      <c r="AO78" t="str">
        <f>IF(V78&gt;Pricing_Policy!$C$7,"Exception","Standard")</f>
        <v>Standard</v>
      </c>
      <c r="AP78" t="str">
        <f t="shared" si="10"/>
        <v>Review</v>
      </c>
      <c r="AQ78">
        <f t="shared" si="11"/>
        <v>0</v>
      </c>
      <c r="AR78" s="8">
        <f t="shared" si="12"/>
        <v>0</v>
      </c>
      <c r="AS78">
        <f t="shared" si="13"/>
        <v>3</v>
      </c>
    </row>
    <row r="79" spans="1:45">
      <c r="A79" t="str">
        <f>Deals_Raw!A79</f>
        <v>D00087</v>
      </c>
      <c r="B79">
        <f>Deals_Raw!B79</f>
        <v>45590</v>
      </c>
      <c r="C79" t="str">
        <f>Deals_Raw!C79</f>
        <v>C0023</v>
      </c>
      <c r="D79" t="str">
        <f>Deals_Raw!D79</f>
        <v>FIN-0023</v>
      </c>
      <c r="E79" t="str">
        <f>Deals_Raw!E79</f>
        <v>CT00052</v>
      </c>
      <c r="F79" t="str">
        <f>Deals_Raw!F79</f>
        <v>Legal</v>
      </c>
      <c r="G79" t="str">
        <f>Deals_Raw!G79</f>
        <v>Financial Services</v>
      </c>
      <c r="H79" t="str">
        <f>Deals_Raw!H79</f>
        <v>Northeast</v>
      </c>
      <c r="I79" t="str">
        <f>Deals_Raw!I79</f>
        <v>Northeast Commercial</v>
      </c>
      <c r="J79" t="str">
        <f>Deals_Raw!J79</f>
        <v>Mid-Market</v>
      </c>
      <c r="K79" t="str">
        <f>Deals_Raw!K79</f>
        <v>No</v>
      </c>
      <c r="L79">
        <f>Deals_Raw!L79</f>
        <v>45627</v>
      </c>
      <c r="M79">
        <f>Deals_Raw!M79</f>
        <v>64</v>
      </c>
      <c r="N79" t="str">
        <f>Deals_Raw!N79</f>
        <v>Nexus AI Assistant</v>
      </c>
      <c r="O79" t="str">
        <f>Deals_Raw!O79</f>
        <v>New Business</v>
      </c>
      <c r="P79">
        <f>Deals_Raw!P79</f>
        <v>0</v>
      </c>
      <c r="Q79">
        <f>Deals_Raw!Q79</f>
        <v>1</v>
      </c>
      <c r="R79">
        <f>Deals_Raw!R79</f>
        <v>285</v>
      </c>
      <c r="S79" t="str">
        <f>Deals_Raw!S79</f>
        <v>R. Singh</v>
      </c>
      <c r="T79" s="6">
        <f>Deals_Raw!T79</f>
        <v>78320.350875097269</v>
      </c>
      <c r="U79" s="8">
        <f>Deals_Raw!V79</f>
        <v>6.4000000000000001E-2</v>
      </c>
      <c r="V79" s="8">
        <f>Deals_Raw!W79</f>
        <v>4.3999999999999997E-2</v>
      </c>
      <c r="W79" s="8">
        <f>Deals_Raw!X79</f>
        <v>-2.9000000000000001E-2</v>
      </c>
      <c r="X79" t="str">
        <f>Deals_Raw!Y79</f>
        <v>Budget constraint</v>
      </c>
      <c r="Y79" t="str">
        <f>Deals_Raw!Z79</f>
        <v>Sales Manager</v>
      </c>
      <c r="Z79" s="6">
        <f>Deals_Raw!AA79</f>
        <v>74835.986323559118</v>
      </c>
      <c r="AA79" s="6">
        <f>Deals_Raw!AC79</f>
        <v>33155.445994676622</v>
      </c>
      <c r="AB79" s="6">
        <f>Deals_Raw!AD79</f>
        <v>41680.540328882496</v>
      </c>
      <c r="AC79" s="8">
        <f>Deals_Raw!AE79</f>
        <v>0.55695852191582651</v>
      </c>
      <c r="AD79" t="str">
        <f>Deals_Raw!AF79</f>
        <v>Won</v>
      </c>
      <c r="AE79">
        <f>Deals_Raw!AG79</f>
        <v>0</v>
      </c>
      <c r="AF79">
        <f>Deals_Raw!AH79</f>
        <v>0</v>
      </c>
      <c r="AG79" t="str">
        <f>Deals_Raw!AI79</f>
        <v>No</v>
      </c>
      <c r="AH79" s="6">
        <f>Deals_Raw!AJ79</f>
        <v>74835.986323559118</v>
      </c>
      <c r="AI79" s="6">
        <f>Deals_Raw!AK79</f>
        <v>41680.540328882496</v>
      </c>
      <c r="AJ79" t="str">
        <f>Deals_Raw!AL79</f>
        <v>First purchase under this contract</v>
      </c>
      <c r="AK79" s="9">
        <f t="shared" si="7"/>
        <v>0.1</v>
      </c>
      <c r="AL79" s="8">
        <f t="shared" si="8"/>
        <v>0.95551137715030288</v>
      </c>
      <c r="AM79" s="8">
        <f t="shared" si="9"/>
        <v>2.0000000000000004E-2</v>
      </c>
      <c r="AN79" t="str">
        <f>IF(AC79&lt;Pricing_Policy!$C$10,"Below Floor","Pass")</f>
        <v>Pass</v>
      </c>
      <c r="AO79" t="str">
        <f>IF(V79&gt;Pricing_Policy!$C$7,"Exception","Standard")</f>
        <v>Standard</v>
      </c>
      <c r="AP79" t="str">
        <f t="shared" si="10"/>
        <v>Pass</v>
      </c>
      <c r="AQ79">
        <f t="shared" si="11"/>
        <v>1</v>
      </c>
      <c r="AR79" s="8">
        <f t="shared" si="12"/>
        <v>0.55695852191582651</v>
      </c>
      <c r="AS79">
        <f t="shared" si="13"/>
        <v>3</v>
      </c>
    </row>
    <row r="80" spans="1:45">
      <c r="A80" t="str">
        <f>Deals_Raw!A80</f>
        <v>D00088</v>
      </c>
      <c r="B80">
        <f>Deals_Raw!B80</f>
        <v>45755</v>
      </c>
      <c r="C80" t="str">
        <f>Deals_Raw!C80</f>
        <v>C0023</v>
      </c>
      <c r="D80" t="str">
        <f>Deals_Raw!D80</f>
        <v>FIN-0023</v>
      </c>
      <c r="E80" t="str">
        <f>Deals_Raw!E80</f>
        <v>CT00052</v>
      </c>
      <c r="F80" t="str">
        <f>Deals_Raw!F80</f>
        <v>Legal</v>
      </c>
      <c r="G80" t="str">
        <f>Deals_Raw!G80</f>
        <v>Financial Services</v>
      </c>
      <c r="H80" t="str">
        <f>Deals_Raw!H80</f>
        <v>Northeast</v>
      </c>
      <c r="I80" t="str">
        <f>Deals_Raw!I80</f>
        <v>Northeast Commercial</v>
      </c>
      <c r="J80" t="str">
        <f>Deals_Raw!J80</f>
        <v>Mid-Market</v>
      </c>
      <c r="K80" t="str">
        <f>Deals_Raw!K80</f>
        <v>No</v>
      </c>
      <c r="L80">
        <f>Deals_Raw!L80</f>
        <v>45627</v>
      </c>
      <c r="M80">
        <f>Deals_Raw!M80</f>
        <v>64</v>
      </c>
      <c r="N80" t="str">
        <f>Deals_Raw!N80</f>
        <v>Nexus AI Assistant</v>
      </c>
      <c r="O80" t="str">
        <f>Deals_Raw!O80</f>
        <v>Expansion</v>
      </c>
      <c r="P80" t="str">
        <f>Deals_Raw!P80</f>
        <v>Seat Expansion</v>
      </c>
      <c r="Q80">
        <f>Deals_Raw!Q80</f>
        <v>1</v>
      </c>
      <c r="R80">
        <f>Deals_Raw!R80</f>
        <v>352</v>
      </c>
      <c r="S80" t="str">
        <f>Deals_Raw!S80</f>
        <v>D. Chen</v>
      </c>
      <c r="T80" s="6">
        <f>Deals_Raw!T80</f>
        <v>93593.320157358874</v>
      </c>
      <c r="U80" s="8">
        <f>Deals_Raw!V80</f>
        <v>9.6000000000000002E-2</v>
      </c>
      <c r="V80" s="8">
        <f>Deals_Raw!W80</f>
        <v>8.2000000000000003E-2</v>
      </c>
      <c r="W80" s="8">
        <f>Deals_Raw!X80</f>
        <v>6.3E-2</v>
      </c>
      <c r="X80" t="str">
        <f>Deals_Raw!Y80</f>
        <v>Expansion opportunity</v>
      </c>
      <c r="Y80" t="str">
        <f>Deals_Raw!Z80</f>
        <v>Sales Manager</v>
      </c>
      <c r="Z80" s="6">
        <f>Deals_Raw!AA80</f>
        <v>85891.794893412938</v>
      </c>
      <c r="AA80" s="6">
        <f>Deals_Raw!AC80</f>
        <v>36649.417829870261</v>
      </c>
      <c r="AB80" s="6">
        <f>Deals_Raw!AD80</f>
        <v>49242.377063542677</v>
      </c>
      <c r="AC80" s="8">
        <f>Deals_Raw!AE80</f>
        <v>0.57330711419699398</v>
      </c>
      <c r="AD80" t="str">
        <f>Deals_Raw!AF80</f>
        <v>Won</v>
      </c>
      <c r="AE80">
        <f>Deals_Raw!AG80</f>
        <v>0</v>
      </c>
      <c r="AF80" t="str">
        <f>Deals_Raw!AH80</f>
        <v>Yes</v>
      </c>
      <c r="AG80" t="str">
        <f>Deals_Raw!AI80</f>
        <v>No</v>
      </c>
      <c r="AH80" s="6">
        <f>Deals_Raw!AJ80</f>
        <v>85891.794893412938</v>
      </c>
      <c r="AI80" s="6">
        <f>Deals_Raw!AK80</f>
        <v>49242.377063542677</v>
      </c>
      <c r="AJ80" t="str">
        <f>Deals_Raw!AL80</f>
        <v>Expansion allowed because contract was active</v>
      </c>
      <c r="AK80" s="9">
        <f t="shared" si="7"/>
        <v>0.3527777777777778</v>
      </c>
      <c r="AL80" s="8">
        <f t="shared" si="8"/>
        <v>0.91771287469023077</v>
      </c>
      <c r="AM80" s="8">
        <f t="shared" si="9"/>
        <v>1.3999999999999999E-2</v>
      </c>
      <c r="AN80" t="str">
        <f>IF(AC80&lt;Pricing_Policy!$C$10,"Below Floor","Pass")</f>
        <v>Pass</v>
      </c>
      <c r="AO80" t="str">
        <f>IF(V80&gt;Pricing_Policy!$C$7,"Exception","Standard")</f>
        <v>Standard</v>
      </c>
      <c r="AP80" t="str">
        <f t="shared" si="10"/>
        <v>Pass</v>
      </c>
      <c r="AQ80">
        <f t="shared" si="11"/>
        <v>1</v>
      </c>
      <c r="AR80" s="8">
        <f t="shared" si="12"/>
        <v>0.57330711419699398</v>
      </c>
      <c r="AS80">
        <f t="shared" si="13"/>
        <v>3</v>
      </c>
    </row>
    <row r="81" spans="1:45">
      <c r="A81" t="str">
        <f>Deals_Raw!A81</f>
        <v>D00089</v>
      </c>
      <c r="B81">
        <f>Deals_Raw!B81</f>
        <v>45955</v>
      </c>
      <c r="C81" t="str">
        <f>Deals_Raw!C81</f>
        <v>C0023</v>
      </c>
      <c r="D81" t="str">
        <f>Deals_Raw!D81</f>
        <v>FIN-0023</v>
      </c>
      <c r="E81" t="str">
        <f>Deals_Raw!E81</f>
        <v>CT00052</v>
      </c>
      <c r="F81" t="str">
        <f>Deals_Raw!F81</f>
        <v>Legal</v>
      </c>
      <c r="G81" t="str">
        <f>Deals_Raw!G81</f>
        <v>Financial Services</v>
      </c>
      <c r="H81" t="str">
        <f>Deals_Raw!H81</f>
        <v>Northeast</v>
      </c>
      <c r="I81" t="str">
        <f>Deals_Raw!I81</f>
        <v>Northeast Commercial</v>
      </c>
      <c r="J81" t="str">
        <f>Deals_Raw!J81</f>
        <v>Mid-Market</v>
      </c>
      <c r="K81" t="str">
        <f>Deals_Raw!K81</f>
        <v>No</v>
      </c>
      <c r="L81">
        <f>Deals_Raw!L81</f>
        <v>45627</v>
      </c>
      <c r="M81">
        <f>Deals_Raw!M81</f>
        <v>64</v>
      </c>
      <c r="N81" t="str">
        <f>Deals_Raw!N81</f>
        <v>Nexus AI Assistant</v>
      </c>
      <c r="O81" t="str">
        <f>Deals_Raw!O81</f>
        <v>Renewal</v>
      </c>
      <c r="P81">
        <f>Deals_Raw!P81</f>
        <v>0</v>
      </c>
      <c r="Q81">
        <f>Deals_Raw!Q81</f>
        <v>1</v>
      </c>
      <c r="R81">
        <f>Deals_Raw!R81</f>
        <v>352</v>
      </c>
      <c r="S81" t="str">
        <f>Deals_Raw!S81</f>
        <v>D. Chen</v>
      </c>
      <c r="T81" s="6">
        <f>Deals_Raw!T81</f>
        <v>96598.602781087189</v>
      </c>
      <c r="U81" s="8">
        <f>Deals_Raw!V81</f>
        <v>0.13800000000000001</v>
      </c>
      <c r="V81" s="8">
        <f>Deals_Raw!W81</f>
        <v>0.108</v>
      </c>
      <c r="W81" s="8">
        <f>Deals_Raw!X81</f>
        <v>-1E-3</v>
      </c>
      <c r="X81" t="str">
        <f>Deals_Raw!Y81</f>
        <v>Renewal retention risk</v>
      </c>
      <c r="Y81" t="str">
        <f>Deals_Raw!Z81</f>
        <v>Pricing Analyst</v>
      </c>
      <c r="Z81" s="6">
        <f>Deals_Raw!AA81</f>
        <v>86190.673580923991</v>
      </c>
      <c r="AA81" s="6">
        <f>Deals_Raw!AC81</f>
        <v>35774.136838029153</v>
      </c>
      <c r="AB81" s="6">
        <f>Deals_Raw!AD81</f>
        <v>50416.536742894838</v>
      </c>
      <c r="AC81" s="8">
        <f>Deals_Raw!AE81</f>
        <v>0.5849419043646179</v>
      </c>
      <c r="AD81" t="str">
        <f>Deals_Raw!AF81</f>
        <v>Lost</v>
      </c>
      <c r="AE81" t="str">
        <f>Deals_Raw!AG81</f>
        <v>No</v>
      </c>
      <c r="AF81">
        <f>Deals_Raw!AH81</f>
        <v>0</v>
      </c>
      <c r="AG81" t="str">
        <f>Deals_Raw!AI81</f>
        <v>No</v>
      </c>
      <c r="AH81" s="6">
        <f>Deals_Raw!AJ81</f>
        <v>0</v>
      </c>
      <c r="AI81" s="6">
        <f>Deals_Raw!AK81</f>
        <v>0</v>
      </c>
      <c r="AJ81" t="str">
        <f>Deals_Raw!AL81</f>
        <v>Renewal of existing active contract</v>
      </c>
      <c r="AK81" s="9">
        <f t="shared" si="7"/>
        <v>0.9</v>
      </c>
      <c r="AL81" s="8">
        <f t="shared" si="8"/>
        <v>0.89225590328930782</v>
      </c>
      <c r="AM81" s="8">
        <f t="shared" si="9"/>
        <v>3.0000000000000013E-2</v>
      </c>
      <c r="AN81" t="str">
        <f>IF(AC81&lt;Pricing_Policy!$C$10,"Below Floor","Pass")</f>
        <v>Pass</v>
      </c>
      <c r="AO81" t="str">
        <f>IF(V81&gt;Pricing_Policy!$C$7,"Exception","Standard")</f>
        <v>Standard</v>
      </c>
      <c r="AP81" t="str">
        <f t="shared" si="10"/>
        <v>Pass</v>
      </c>
      <c r="AQ81">
        <f t="shared" si="11"/>
        <v>0</v>
      </c>
      <c r="AR81" s="8">
        <f t="shared" si="12"/>
        <v>0</v>
      </c>
      <c r="AS81">
        <f t="shared" si="13"/>
        <v>3</v>
      </c>
    </row>
    <row r="82" spans="1:45">
      <c r="A82" t="str">
        <f>Deals_Raw!A82</f>
        <v>D00090</v>
      </c>
      <c r="B82">
        <f>Deals_Raw!B82</f>
        <v>45497</v>
      </c>
      <c r="C82" t="str">
        <f>Deals_Raw!C82</f>
        <v>C0023</v>
      </c>
      <c r="D82" t="str">
        <f>Deals_Raw!D82</f>
        <v>FIN-0023</v>
      </c>
      <c r="E82" t="str">
        <f>Deals_Raw!E82</f>
        <v>CT00053</v>
      </c>
      <c r="F82" t="str">
        <f>Deals_Raw!F82</f>
        <v>Technology</v>
      </c>
      <c r="G82" t="str">
        <f>Deals_Raw!G82</f>
        <v>Financial Services</v>
      </c>
      <c r="H82" t="str">
        <f>Deals_Raw!H82</f>
        <v>Northeast</v>
      </c>
      <c r="I82" t="str">
        <f>Deals_Raw!I82</f>
        <v>Northeast Commercial</v>
      </c>
      <c r="J82" t="str">
        <f>Deals_Raw!J82</f>
        <v>Mid-Market</v>
      </c>
      <c r="K82" t="str">
        <f>Deals_Raw!K82</f>
        <v>No</v>
      </c>
      <c r="L82">
        <f>Deals_Raw!L82</f>
        <v>45627</v>
      </c>
      <c r="M82">
        <f>Deals_Raw!M82</f>
        <v>64</v>
      </c>
      <c r="N82" t="str">
        <f>Deals_Raw!N82</f>
        <v>Nexus Insights</v>
      </c>
      <c r="O82" t="str">
        <f>Deals_Raw!O82</f>
        <v>New Business</v>
      </c>
      <c r="P82">
        <f>Deals_Raw!P82</f>
        <v>0</v>
      </c>
      <c r="Q82">
        <f>Deals_Raw!Q82</f>
        <v>3</v>
      </c>
      <c r="R82">
        <f>Deals_Raw!R82</f>
        <v>168</v>
      </c>
      <c r="S82" t="str">
        <f>Deals_Raw!S82</f>
        <v>L. Williams</v>
      </c>
      <c r="T82" s="6">
        <f>Deals_Raw!T82</f>
        <v>51328.855793147522</v>
      </c>
      <c r="U82" s="8">
        <f>Deals_Raw!V82</f>
        <v>0.11</v>
      </c>
      <c r="V82" s="8">
        <f>Deals_Raw!W82</f>
        <v>0.104</v>
      </c>
      <c r="W82" s="8">
        <f>Deals_Raw!X82</f>
        <v>0.05</v>
      </c>
      <c r="X82" t="str">
        <f>Deals_Raw!Y82</f>
        <v>Renewal retention risk</v>
      </c>
      <c r="Y82" t="str">
        <f>Deals_Raw!Z82</f>
        <v>Pricing Analyst</v>
      </c>
      <c r="Z82" s="6">
        <f>Deals_Raw!AA82</f>
        <v>45992.190055589563</v>
      </c>
      <c r="AA82" s="6">
        <f>Deals_Raw!AC82</f>
        <v>16406.887966709328</v>
      </c>
      <c r="AB82" s="6">
        <f>Deals_Raw!AD82</f>
        <v>29585.302088880235</v>
      </c>
      <c r="AC82" s="8">
        <f>Deals_Raw!AE82</f>
        <v>0.64326795599690401</v>
      </c>
      <c r="AD82" t="str">
        <f>Deals_Raw!AF82</f>
        <v>Lost</v>
      </c>
      <c r="AE82">
        <f>Deals_Raw!AG82</f>
        <v>0</v>
      </c>
      <c r="AF82">
        <f>Deals_Raw!AH82</f>
        <v>0</v>
      </c>
      <c r="AG82" t="str">
        <f>Deals_Raw!AI82</f>
        <v>No</v>
      </c>
      <c r="AH82" s="6">
        <f>Deals_Raw!AJ82</f>
        <v>0</v>
      </c>
      <c r="AI82" s="6">
        <f>Deals_Raw!AK82</f>
        <v>0</v>
      </c>
      <c r="AJ82" t="str">
        <f>Deals_Raw!AL82</f>
        <v>First purchase under this contract</v>
      </c>
      <c r="AK82" s="9">
        <f t="shared" si="7"/>
        <v>0.3527777777777778</v>
      </c>
      <c r="AL82" s="8">
        <f t="shared" si="8"/>
        <v>0.89602991036729063</v>
      </c>
      <c r="AM82" s="8">
        <f t="shared" si="9"/>
        <v>6.0000000000000053E-3</v>
      </c>
      <c r="AN82" t="str">
        <f>IF(AC82&lt;Pricing_Policy!$C$10,"Below Floor","Pass")</f>
        <v>Pass</v>
      </c>
      <c r="AO82" t="str">
        <f>IF(V82&gt;Pricing_Policy!$C$7,"Exception","Standard")</f>
        <v>Standard</v>
      </c>
      <c r="AP82" t="str">
        <f t="shared" si="10"/>
        <v>Pass</v>
      </c>
      <c r="AQ82">
        <f t="shared" si="11"/>
        <v>0</v>
      </c>
      <c r="AR82" s="8">
        <f t="shared" si="12"/>
        <v>0</v>
      </c>
      <c r="AS82">
        <f t="shared" si="13"/>
        <v>2</v>
      </c>
    </row>
    <row r="83" spans="1:45">
      <c r="A83" t="str">
        <f>Deals_Raw!A83</f>
        <v>D00091</v>
      </c>
      <c r="B83">
        <f>Deals_Raw!B83</f>
        <v>45872</v>
      </c>
      <c r="C83" t="str">
        <f>Deals_Raw!C83</f>
        <v>C0023</v>
      </c>
      <c r="D83" t="str">
        <f>Deals_Raw!D83</f>
        <v>FIN-0023</v>
      </c>
      <c r="E83" t="str">
        <f>Deals_Raw!E83</f>
        <v>CT00053</v>
      </c>
      <c r="F83" t="str">
        <f>Deals_Raw!F83</f>
        <v>Technology</v>
      </c>
      <c r="G83" t="str">
        <f>Deals_Raw!G83</f>
        <v>Financial Services</v>
      </c>
      <c r="H83" t="str">
        <f>Deals_Raw!H83</f>
        <v>Northeast</v>
      </c>
      <c r="I83" t="str">
        <f>Deals_Raw!I83</f>
        <v>Northeast Commercial</v>
      </c>
      <c r="J83" t="str">
        <f>Deals_Raw!J83</f>
        <v>Mid-Market</v>
      </c>
      <c r="K83" t="str">
        <f>Deals_Raw!K83</f>
        <v>No</v>
      </c>
      <c r="L83">
        <f>Deals_Raw!L83</f>
        <v>45627</v>
      </c>
      <c r="M83">
        <f>Deals_Raw!M83</f>
        <v>64</v>
      </c>
      <c r="N83" t="str">
        <f>Deals_Raw!N83</f>
        <v>Nexus Insights</v>
      </c>
      <c r="O83" t="str">
        <f>Deals_Raw!O83</f>
        <v>Win-back</v>
      </c>
      <c r="P83">
        <f>Deals_Raw!P83</f>
        <v>0</v>
      </c>
      <c r="Q83">
        <f>Deals_Raw!Q83</f>
        <v>3</v>
      </c>
      <c r="R83">
        <f>Deals_Raw!R83</f>
        <v>168</v>
      </c>
      <c r="S83" t="str">
        <f>Deals_Raw!S83</f>
        <v>M. Johnson</v>
      </c>
      <c r="T83" s="6">
        <f>Deals_Raw!T83</f>
        <v>51328.855793147522</v>
      </c>
      <c r="U83" s="8">
        <f>Deals_Raw!V83</f>
        <v>0.183</v>
      </c>
      <c r="V83" s="8">
        <f>Deals_Raw!W83</f>
        <v>0.13600000000000001</v>
      </c>
      <c r="W83" s="8">
        <f>Deals_Raw!X83</f>
        <v>-0.01</v>
      </c>
      <c r="X83" t="str">
        <f>Deals_Raw!Y83</f>
        <v>Renewal retention risk</v>
      </c>
      <c r="Y83" t="str">
        <f>Deals_Raw!Z83</f>
        <v>Pricing Analyst</v>
      </c>
      <c r="Z83" s="6">
        <f>Deals_Raw!AA83</f>
        <v>44343.91067927517</v>
      </c>
      <c r="AA83" s="6">
        <f>Deals_Raw!AC83</f>
        <v>16111.38189214072</v>
      </c>
      <c r="AB83" s="6">
        <f>Deals_Raw!AD83</f>
        <v>28232.528787134448</v>
      </c>
      <c r="AC83" s="8">
        <f>Deals_Raw!AE83</f>
        <v>0.63667205608749722</v>
      </c>
      <c r="AD83" t="str">
        <f>Deals_Raw!AF83</f>
        <v>Lost</v>
      </c>
      <c r="AE83">
        <f>Deals_Raw!AG83</f>
        <v>0</v>
      </c>
      <c r="AF83">
        <f>Deals_Raw!AH83</f>
        <v>0</v>
      </c>
      <c r="AG83" t="str">
        <f>Deals_Raw!AI83</f>
        <v>Yes</v>
      </c>
      <c r="AH83" s="6">
        <f>Deals_Raw!AJ83</f>
        <v>0</v>
      </c>
      <c r="AI83" s="6">
        <f>Deals_Raw!AK83</f>
        <v>0</v>
      </c>
      <c r="AJ83" t="str">
        <f>Deals_Raw!AL83</f>
        <v>Customer returned after prior lost initial opportunity</v>
      </c>
      <c r="AK83" s="9">
        <f t="shared" si="7"/>
        <v>0.67222222222222228</v>
      </c>
      <c r="AL83" s="8">
        <f t="shared" si="8"/>
        <v>0.86391777089243327</v>
      </c>
      <c r="AM83" s="8">
        <f t="shared" si="9"/>
        <v>4.6999999999999986E-2</v>
      </c>
      <c r="AN83" t="str">
        <f>IF(AC83&lt;Pricing_Policy!$C$10,"Below Floor","Pass")</f>
        <v>Pass</v>
      </c>
      <c r="AO83" t="str">
        <f>IF(V83&gt;Pricing_Policy!$C$7,"Exception","Standard")</f>
        <v>Standard</v>
      </c>
      <c r="AP83" t="str">
        <f t="shared" si="10"/>
        <v>Pass</v>
      </c>
      <c r="AQ83">
        <f t="shared" si="11"/>
        <v>0</v>
      </c>
      <c r="AR83" s="8">
        <f t="shared" si="12"/>
        <v>0</v>
      </c>
      <c r="AS83">
        <f t="shared" si="13"/>
        <v>2</v>
      </c>
    </row>
    <row r="84" spans="1:45">
      <c r="A84" t="str">
        <f>Deals_Raw!A84</f>
        <v>D00092</v>
      </c>
      <c r="B84">
        <f>Deals_Raw!B84</f>
        <v>45583</v>
      </c>
      <c r="C84" t="str">
        <f>Deals_Raw!C84</f>
        <v>C0024</v>
      </c>
      <c r="D84" t="str">
        <f>Deals_Raw!D84</f>
        <v>LEG-0024</v>
      </c>
      <c r="E84" t="str">
        <f>Deals_Raw!E84</f>
        <v>CT00054</v>
      </c>
      <c r="F84" t="str">
        <f>Deals_Raw!F84</f>
        <v>Corporate</v>
      </c>
      <c r="G84" t="str">
        <f>Deals_Raw!G84</f>
        <v>Legal</v>
      </c>
      <c r="H84" t="str">
        <f>Deals_Raw!H84</f>
        <v>Midwest</v>
      </c>
      <c r="I84" t="str">
        <f>Deals_Raw!I84</f>
        <v>Midwest Enterprise</v>
      </c>
      <c r="J84" t="str">
        <f>Deals_Raw!J84</f>
        <v>Enterprise</v>
      </c>
      <c r="K84" t="str">
        <f>Deals_Raw!K84</f>
        <v>Yes</v>
      </c>
      <c r="L84">
        <f>Deals_Raw!L84</f>
        <v>44531</v>
      </c>
      <c r="M84">
        <f>Deals_Raw!M84</f>
        <v>62</v>
      </c>
      <c r="N84" t="str">
        <f>Deals_Raw!N84</f>
        <v>Nexus Insights</v>
      </c>
      <c r="O84" t="str">
        <f>Deals_Raw!O84</f>
        <v>Renewal</v>
      </c>
      <c r="P84">
        <f>Deals_Raw!P84</f>
        <v>0</v>
      </c>
      <c r="Q84">
        <f>Deals_Raw!Q84</f>
        <v>1</v>
      </c>
      <c r="R84">
        <f>Deals_Raw!R84</f>
        <v>764</v>
      </c>
      <c r="S84" t="str">
        <f>Deals_Raw!S84</f>
        <v>T. Brooks</v>
      </c>
      <c r="T84" s="6">
        <f>Deals_Raw!T84</f>
        <v>77819.4061745402</v>
      </c>
      <c r="U84" s="8">
        <f>Deals_Raw!V84</f>
        <v>0.157</v>
      </c>
      <c r="V84" s="8">
        <f>Deals_Raw!W84</f>
        <v>0.14099999999999999</v>
      </c>
      <c r="W84" s="8">
        <f>Deals_Raw!X84</f>
        <v>3.2000000000000001E-2</v>
      </c>
      <c r="X84" t="str">
        <f>Deals_Raw!Y84</f>
        <v>Renewal retention risk</v>
      </c>
      <c r="Y84" t="str">
        <f>Deals_Raw!Z84</f>
        <v>Pricing Analyst</v>
      </c>
      <c r="Z84" s="6">
        <f>Deals_Raw!AA84</f>
        <v>66846.671375198799</v>
      </c>
      <c r="AA84" s="6">
        <f>Deals_Raw!AC84</f>
        <v>19990.464356505599</v>
      </c>
      <c r="AB84" s="6">
        <f>Deals_Raw!AD84</f>
        <v>46856.207018693196</v>
      </c>
      <c r="AC84" s="8">
        <f>Deals_Raw!AE84</f>
        <v>0.70095048945215854</v>
      </c>
      <c r="AD84" t="str">
        <f>Deals_Raw!AF84</f>
        <v>Won</v>
      </c>
      <c r="AE84" t="str">
        <f>Deals_Raw!AG84</f>
        <v>Yes</v>
      </c>
      <c r="AF84">
        <f>Deals_Raw!AH84</f>
        <v>0</v>
      </c>
      <c r="AG84" t="str">
        <f>Deals_Raw!AI84</f>
        <v>No</v>
      </c>
      <c r="AH84" s="6">
        <f>Deals_Raw!AJ84</f>
        <v>66846.671375198799</v>
      </c>
      <c r="AI84" s="6">
        <f>Deals_Raw!AK84</f>
        <v>46856.207018693196</v>
      </c>
      <c r="AJ84" t="str">
        <f>Deals_Raw!AL84</f>
        <v>Renewal of existing active contract</v>
      </c>
      <c r="AK84" s="9">
        <f t="shared" si="7"/>
        <v>2.8805555555555555</v>
      </c>
      <c r="AL84" s="8">
        <f t="shared" si="8"/>
        <v>0.85899744885317186</v>
      </c>
      <c r="AM84" s="8">
        <f t="shared" si="9"/>
        <v>1.6000000000000014E-2</v>
      </c>
      <c r="AN84" t="str">
        <f>IF(AC84&lt;Pricing_Policy!$C$10,"Below Floor","Pass")</f>
        <v>Pass</v>
      </c>
      <c r="AO84" t="str">
        <f>IF(V84&gt;Pricing_Policy!$C$7,"Exception","Standard")</f>
        <v>Standard</v>
      </c>
      <c r="AP84" t="str">
        <f t="shared" si="10"/>
        <v>Pass</v>
      </c>
      <c r="AQ84">
        <f t="shared" si="11"/>
        <v>1</v>
      </c>
      <c r="AR84" s="8">
        <f t="shared" si="12"/>
        <v>0.70095048945215854</v>
      </c>
      <c r="AS84">
        <f t="shared" si="13"/>
        <v>2</v>
      </c>
    </row>
    <row r="85" spans="1:45">
      <c r="A85" t="str">
        <f>Deals_Raw!A85</f>
        <v>D00093</v>
      </c>
      <c r="B85">
        <f>Deals_Raw!B85</f>
        <v>45948</v>
      </c>
      <c r="C85" t="str">
        <f>Deals_Raw!C85</f>
        <v>C0024</v>
      </c>
      <c r="D85" t="str">
        <f>Deals_Raw!D85</f>
        <v>LEG-0024</v>
      </c>
      <c r="E85" t="str">
        <f>Deals_Raw!E85</f>
        <v>CT00054</v>
      </c>
      <c r="F85" t="str">
        <f>Deals_Raw!F85</f>
        <v>Corporate</v>
      </c>
      <c r="G85" t="str">
        <f>Deals_Raw!G85</f>
        <v>Legal</v>
      </c>
      <c r="H85" t="str">
        <f>Deals_Raw!H85</f>
        <v>Midwest</v>
      </c>
      <c r="I85" t="str">
        <f>Deals_Raw!I85</f>
        <v>Midwest Enterprise</v>
      </c>
      <c r="J85" t="str">
        <f>Deals_Raw!J85</f>
        <v>Enterprise</v>
      </c>
      <c r="K85" t="str">
        <f>Deals_Raw!K85</f>
        <v>Yes</v>
      </c>
      <c r="L85">
        <f>Deals_Raw!L85</f>
        <v>44531</v>
      </c>
      <c r="M85">
        <f>Deals_Raw!M85</f>
        <v>62</v>
      </c>
      <c r="N85" t="str">
        <f>Deals_Raw!N85</f>
        <v>Nexus Insights</v>
      </c>
      <c r="O85" t="str">
        <f>Deals_Raw!O85</f>
        <v>Renewal</v>
      </c>
      <c r="P85">
        <f>Deals_Raw!P85</f>
        <v>0</v>
      </c>
      <c r="Q85">
        <f>Deals_Raw!Q85</f>
        <v>1</v>
      </c>
      <c r="R85">
        <f>Deals_Raw!R85</f>
        <v>764</v>
      </c>
      <c r="S85" t="str">
        <f>Deals_Raw!S85</f>
        <v>K. Nguyen</v>
      </c>
      <c r="T85" s="6">
        <f>Deals_Raw!T85</f>
        <v>82762.157594876364</v>
      </c>
      <c r="U85" s="8">
        <f>Deals_Raw!V85</f>
        <v>0.17599999999999999</v>
      </c>
      <c r="V85" s="8">
        <f>Deals_Raw!W85</f>
        <v>0.17299999999999999</v>
      </c>
      <c r="W85" s="8">
        <f>Deals_Raw!X85</f>
        <v>6.7000000000000004E-2</v>
      </c>
      <c r="X85" t="str">
        <f>Deals_Raw!Y85</f>
        <v>Renewal retention risk</v>
      </c>
      <c r="Y85" t="str">
        <f>Deals_Raw!Z85</f>
        <v>Pricing Analyst</v>
      </c>
      <c r="Z85" s="6">
        <f>Deals_Raw!AA85</f>
        <v>68455.708959175943</v>
      </c>
      <c r="AA85" s="6">
        <f>Deals_Raw!AC85</f>
        <v>21981.705600626105</v>
      </c>
      <c r="AB85" s="6">
        <f>Deals_Raw!AD85</f>
        <v>46474.003358549839</v>
      </c>
      <c r="AC85" s="8">
        <f>Deals_Raw!AE85</f>
        <v>0.67889156456278832</v>
      </c>
      <c r="AD85" t="str">
        <f>Deals_Raw!AF85</f>
        <v>Won</v>
      </c>
      <c r="AE85" t="str">
        <f>Deals_Raw!AG85</f>
        <v>Yes</v>
      </c>
      <c r="AF85">
        <f>Deals_Raw!AH85</f>
        <v>0</v>
      </c>
      <c r="AG85" t="str">
        <f>Deals_Raw!AI85</f>
        <v>No</v>
      </c>
      <c r="AH85" s="6">
        <f>Deals_Raw!AJ85</f>
        <v>68455.708959175943</v>
      </c>
      <c r="AI85" s="6">
        <f>Deals_Raw!AK85</f>
        <v>46474.003358549839</v>
      </c>
      <c r="AJ85" t="str">
        <f>Deals_Raw!AL85</f>
        <v>Renewal of existing active contract</v>
      </c>
      <c r="AK85" s="9">
        <f t="shared" si="7"/>
        <v>3.8805555555555555</v>
      </c>
      <c r="AL85" s="8">
        <f t="shared" si="8"/>
        <v>0.82713780003499926</v>
      </c>
      <c r="AM85" s="8">
        <f t="shared" si="9"/>
        <v>3.0000000000000027E-3</v>
      </c>
      <c r="AN85" t="str">
        <f>IF(AC85&lt;Pricing_Policy!$C$10,"Below Floor","Pass")</f>
        <v>Pass</v>
      </c>
      <c r="AO85" t="str">
        <f>IF(V85&gt;Pricing_Policy!$C$7,"Exception","Standard")</f>
        <v>Standard</v>
      </c>
      <c r="AP85" t="str">
        <f t="shared" si="10"/>
        <v>Pass</v>
      </c>
      <c r="AQ85">
        <f t="shared" si="11"/>
        <v>1</v>
      </c>
      <c r="AR85" s="8">
        <f t="shared" si="12"/>
        <v>0.67889156456278832</v>
      </c>
      <c r="AS85">
        <f t="shared" si="13"/>
        <v>2</v>
      </c>
    </row>
    <row r="86" spans="1:45">
      <c r="A86" t="str">
        <f>Deals_Raw!A86</f>
        <v>D00094</v>
      </c>
      <c r="B86">
        <f>Deals_Raw!B86</f>
        <v>45522</v>
      </c>
      <c r="C86" t="str">
        <f>Deals_Raw!C86</f>
        <v>C0024</v>
      </c>
      <c r="D86" t="str">
        <f>Deals_Raw!D86</f>
        <v>LEG-0024</v>
      </c>
      <c r="E86" t="str">
        <f>Deals_Raw!E86</f>
        <v>CT00055</v>
      </c>
      <c r="F86" t="str">
        <f>Deals_Raw!F86</f>
        <v>Legal</v>
      </c>
      <c r="G86" t="str">
        <f>Deals_Raw!G86</f>
        <v>Legal</v>
      </c>
      <c r="H86" t="str">
        <f>Deals_Raw!H86</f>
        <v>Midwest</v>
      </c>
      <c r="I86" t="str">
        <f>Deals_Raw!I86</f>
        <v>Midwest Enterprise</v>
      </c>
      <c r="J86" t="str">
        <f>Deals_Raw!J86</f>
        <v>Enterprise</v>
      </c>
      <c r="K86" t="str">
        <f>Deals_Raw!K86</f>
        <v>Yes</v>
      </c>
      <c r="L86">
        <f>Deals_Raw!L86</f>
        <v>44531</v>
      </c>
      <c r="M86">
        <f>Deals_Raw!M86</f>
        <v>62</v>
      </c>
      <c r="N86" t="str">
        <f>Deals_Raw!N86</f>
        <v>Nexus Analytics</v>
      </c>
      <c r="O86" t="str">
        <f>Deals_Raw!O86</f>
        <v>New Business</v>
      </c>
      <c r="P86">
        <f>Deals_Raw!P86</f>
        <v>0</v>
      </c>
      <c r="Q86">
        <f>Deals_Raw!Q86</f>
        <v>1</v>
      </c>
      <c r="R86">
        <f>Deals_Raw!R86</f>
        <v>1409</v>
      </c>
      <c r="S86" t="str">
        <f>Deals_Raw!S86</f>
        <v>S. Rivera</v>
      </c>
      <c r="T86" s="6">
        <f>Deals_Raw!T86</f>
        <v>329442.78031857318</v>
      </c>
      <c r="U86" s="8">
        <f>Deals_Raw!V86</f>
        <v>0.19</v>
      </c>
      <c r="V86" s="8">
        <f>Deals_Raw!W86</f>
        <v>0.16200000000000001</v>
      </c>
      <c r="W86" s="8">
        <f>Deals_Raw!X86</f>
        <v>-0.124</v>
      </c>
      <c r="X86" t="str">
        <f>Deals_Raw!Y86</f>
        <v>Multi-year commitment</v>
      </c>
      <c r="Y86" t="str">
        <f>Deals_Raw!Z86</f>
        <v>Pricing Analyst</v>
      </c>
      <c r="Z86" s="6">
        <f>Deals_Raw!AA86</f>
        <v>276207.02758687275</v>
      </c>
      <c r="AA86" s="6">
        <f>Deals_Raw!AC86</f>
        <v>118383.41542595436</v>
      </c>
      <c r="AB86" s="6">
        <f>Deals_Raw!AD86</f>
        <v>157823.61216091839</v>
      </c>
      <c r="AC86" s="8">
        <f>Deals_Raw!AE86</f>
        <v>0.57139607757184829</v>
      </c>
      <c r="AD86" t="str">
        <f>Deals_Raw!AF86</f>
        <v>Won</v>
      </c>
      <c r="AE86">
        <f>Deals_Raw!AG86</f>
        <v>0</v>
      </c>
      <c r="AF86">
        <f>Deals_Raw!AH86</f>
        <v>0</v>
      </c>
      <c r="AG86" t="str">
        <f>Deals_Raw!AI86</f>
        <v>No</v>
      </c>
      <c r="AH86" s="6">
        <f>Deals_Raw!AJ86</f>
        <v>276207.02758687275</v>
      </c>
      <c r="AI86" s="6">
        <f>Deals_Raw!AK86</f>
        <v>157823.61216091839</v>
      </c>
      <c r="AJ86" t="str">
        <f>Deals_Raw!AL86</f>
        <v>First purchase under this contract</v>
      </c>
      <c r="AK86" s="9">
        <f t="shared" si="7"/>
        <v>2.713888888888889</v>
      </c>
      <c r="AL86" s="8">
        <f t="shared" si="8"/>
        <v>0.83840667966612858</v>
      </c>
      <c r="AM86" s="8">
        <f t="shared" si="9"/>
        <v>2.7999999999999997E-2</v>
      </c>
      <c r="AN86" t="str">
        <f>IF(AC86&lt;Pricing_Policy!$C$10,"Below Floor","Pass")</f>
        <v>Pass</v>
      </c>
      <c r="AO86" t="str">
        <f>IF(V86&gt;Pricing_Policy!$C$7,"Exception","Standard")</f>
        <v>Standard</v>
      </c>
      <c r="AP86" t="str">
        <f t="shared" si="10"/>
        <v>Pass</v>
      </c>
      <c r="AQ86">
        <f t="shared" si="11"/>
        <v>1</v>
      </c>
      <c r="AR86" s="8">
        <f t="shared" si="12"/>
        <v>0.57139607757184829</v>
      </c>
      <c r="AS86">
        <f t="shared" si="13"/>
        <v>2</v>
      </c>
    </row>
    <row r="87" spans="1:45">
      <c r="A87" t="str">
        <f>Deals_Raw!A87</f>
        <v>D00095</v>
      </c>
      <c r="B87">
        <f>Deals_Raw!B87</f>
        <v>45887</v>
      </c>
      <c r="C87" t="str">
        <f>Deals_Raw!C87</f>
        <v>C0024</v>
      </c>
      <c r="D87" t="str">
        <f>Deals_Raw!D87</f>
        <v>LEG-0024</v>
      </c>
      <c r="E87" t="str">
        <f>Deals_Raw!E87</f>
        <v>CT00055</v>
      </c>
      <c r="F87" t="str">
        <f>Deals_Raw!F87</f>
        <v>Legal</v>
      </c>
      <c r="G87" t="str">
        <f>Deals_Raw!G87</f>
        <v>Legal</v>
      </c>
      <c r="H87" t="str">
        <f>Deals_Raw!H87</f>
        <v>Midwest</v>
      </c>
      <c r="I87" t="str">
        <f>Deals_Raw!I87</f>
        <v>Midwest Enterprise</v>
      </c>
      <c r="J87" t="str">
        <f>Deals_Raw!J87</f>
        <v>Enterprise</v>
      </c>
      <c r="K87" t="str">
        <f>Deals_Raw!K87</f>
        <v>Yes</v>
      </c>
      <c r="L87">
        <f>Deals_Raw!L87</f>
        <v>44531</v>
      </c>
      <c r="M87">
        <f>Deals_Raw!M87</f>
        <v>62</v>
      </c>
      <c r="N87" t="str">
        <f>Deals_Raw!N87</f>
        <v>Nexus Analytics</v>
      </c>
      <c r="O87" t="str">
        <f>Deals_Raw!O87</f>
        <v>Renewal</v>
      </c>
      <c r="P87">
        <f>Deals_Raw!P87</f>
        <v>0</v>
      </c>
      <c r="Q87">
        <f>Deals_Raw!Q87</f>
        <v>1</v>
      </c>
      <c r="R87">
        <f>Deals_Raw!R87</f>
        <v>1409</v>
      </c>
      <c r="S87" t="str">
        <f>Deals_Raw!S87</f>
        <v>T. Brooks</v>
      </c>
      <c r="T87" s="6">
        <f>Deals_Raw!T87</f>
        <v>347991.83887547237</v>
      </c>
      <c r="U87" s="8">
        <f>Deals_Raw!V87</f>
        <v>0.188</v>
      </c>
      <c r="V87" s="8">
        <f>Deals_Raw!W87</f>
        <v>0.17699999999999999</v>
      </c>
      <c r="W87" s="8">
        <f>Deals_Raw!X87</f>
        <v>-6.9000000000000006E-2</v>
      </c>
      <c r="X87" t="str">
        <f>Deals_Raw!Y87</f>
        <v>Renewal retention risk</v>
      </c>
      <c r="Y87" t="str">
        <f>Deals_Raw!Z87</f>
        <v>Pricing Analyst</v>
      </c>
      <c r="Z87" s="6">
        <f>Deals_Raw!AA87</f>
        <v>286525.3530324907</v>
      </c>
      <c r="AA87" s="6">
        <f>Deals_Raw!AC87</f>
        <v>109065.74734413366</v>
      </c>
      <c r="AB87" s="6">
        <f>Deals_Raw!AD87</f>
        <v>177459.60568835703</v>
      </c>
      <c r="AC87" s="8">
        <f>Deals_Raw!AE87</f>
        <v>0.61935044773588988</v>
      </c>
      <c r="AD87" t="str">
        <f>Deals_Raw!AF87</f>
        <v>Won</v>
      </c>
      <c r="AE87" t="str">
        <f>Deals_Raw!AG87</f>
        <v>Yes</v>
      </c>
      <c r="AF87">
        <f>Deals_Raw!AH87</f>
        <v>0</v>
      </c>
      <c r="AG87" t="str">
        <f>Deals_Raw!AI87</f>
        <v>No</v>
      </c>
      <c r="AH87" s="6">
        <f>Deals_Raw!AJ87</f>
        <v>286525.3530324907</v>
      </c>
      <c r="AI87" s="6">
        <f>Deals_Raw!AK87</f>
        <v>177459.60568835703</v>
      </c>
      <c r="AJ87" t="str">
        <f>Deals_Raw!AL87</f>
        <v>Renewal of existing active contract</v>
      </c>
      <c r="AK87" s="9">
        <f t="shared" si="7"/>
        <v>3.713888888888889</v>
      </c>
      <c r="AL87" s="8">
        <f t="shared" si="8"/>
        <v>0.82336802483182014</v>
      </c>
      <c r="AM87" s="8">
        <f t="shared" si="9"/>
        <v>1.100000000000001E-2</v>
      </c>
      <c r="AN87" t="str">
        <f>IF(AC87&lt;Pricing_Policy!$C$10,"Below Floor","Pass")</f>
        <v>Pass</v>
      </c>
      <c r="AO87" t="str">
        <f>IF(V87&gt;Pricing_Policy!$C$7,"Exception","Standard")</f>
        <v>Standard</v>
      </c>
      <c r="AP87" t="str">
        <f t="shared" si="10"/>
        <v>Pass</v>
      </c>
      <c r="AQ87">
        <f t="shared" si="11"/>
        <v>1</v>
      </c>
      <c r="AR87" s="8">
        <f t="shared" si="12"/>
        <v>0.61935044773588988</v>
      </c>
      <c r="AS87">
        <f t="shared" si="13"/>
        <v>2</v>
      </c>
    </row>
    <row r="88" spans="1:45">
      <c r="A88" t="str">
        <f>Deals_Raw!A88</f>
        <v>D00096</v>
      </c>
      <c r="B88">
        <f>Deals_Raw!B88</f>
        <v>45624</v>
      </c>
      <c r="C88" t="str">
        <f>Deals_Raw!C88</f>
        <v>C0025</v>
      </c>
      <c r="D88" t="str">
        <f>Deals_Raw!D88</f>
        <v>TEC-0025</v>
      </c>
      <c r="E88" t="str">
        <f>Deals_Raw!E88</f>
        <v>CT00056</v>
      </c>
      <c r="F88" t="str">
        <f>Deals_Raw!F88</f>
        <v>Sales</v>
      </c>
      <c r="G88" t="str">
        <f>Deals_Raw!G88</f>
        <v>Technology</v>
      </c>
      <c r="H88" t="str">
        <f>Deals_Raw!H88</f>
        <v>Northeast</v>
      </c>
      <c r="I88" t="str">
        <f>Deals_Raw!I88</f>
        <v>Northeast Commercial</v>
      </c>
      <c r="J88" t="str">
        <f>Deals_Raw!J88</f>
        <v>SMB</v>
      </c>
      <c r="K88" t="str">
        <f>Deals_Raw!K88</f>
        <v>No</v>
      </c>
      <c r="L88">
        <f>Deals_Raw!L88</f>
        <v>43132</v>
      </c>
      <c r="M88">
        <f>Deals_Raw!M88</f>
        <v>75</v>
      </c>
      <c r="N88" t="str">
        <f>Deals_Raw!N88</f>
        <v>Nexus Analytics</v>
      </c>
      <c r="O88" t="str">
        <f>Deals_Raw!O88</f>
        <v>New Business</v>
      </c>
      <c r="P88">
        <f>Deals_Raw!P88</f>
        <v>0</v>
      </c>
      <c r="Q88">
        <f>Deals_Raw!Q88</f>
        <v>1</v>
      </c>
      <c r="R88">
        <f>Deals_Raw!R88</f>
        <v>66</v>
      </c>
      <c r="S88" t="str">
        <f>Deals_Raw!S88</f>
        <v>S. Rivera</v>
      </c>
      <c r="T88" s="6">
        <f>Deals_Raw!T88</f>
        <v>47271.301465597389</v>
      </c>
      <c r="U88" s="8">
        <f>Deals_Raw!V88</f>
        <v>0.105</v>
      </c>
      <c r="V88" s="8">
        <f>Deals_Raw!W88</f>
        <v>9.4E-2</v>
      </c>
      <c r="W88" s="8">
        <f>Deals_Raw!X88</f>
        <v>-0.13400000000000001</v>
      </c>
      <c r="X88" t="str">
        <f>Deals_Raw!Y88</f>
        <v>Renewal retention risk</v>
      </c>
      <c r="Y88" t="str">
        <f>Deals_Raw!Z88</f>
        <v>Sales Manager</v>
      </c>
      <c r="Z88" s="6">
        <f>Deals_Raw!AA88</f>
        <v>42825.233697954354</v>
      </c>
      <c r="AA88" s="6">
        <f>Deals_Raw!AC88</f>
        <v>16223.05890650135</v>
      </c>
      <c r="AB88" s="6">
        <f>Deals_Raw!AD88</f>
        <v>26602.174791453006</v>
      </c>
      <c r="AC88" s="8">
        <f>Deals_Raw!AE88</f>
        <v>0.62117990946827506</v>
      </c>
      <c r="AD88" t="str">
        <f>Deals_Raw!AF88</f>
        <v>Lost</v>
      </c>
      <c r="AE88">
        <f>Deals_Raw!AG88</f>
        <v>0</v>
      </c>
      <c r="AF88">
        <f>Deals_Raw!AH88</f>
        <v>0</v>
      </c>
      <c r="AG88" t="str">
        <f>Deals_Raw!AI88</f>
        <v>No</v>
      </c>
      <c r="AH88" s="6">
        <f>Deals_Raw!AJ88</f>
        <v>0</v>
      </c>
      <c r="AI88" s="6">
        <f>Deals_Raw!AK88</f>
        <v>0</v>
      </c>
      <c r="AJ88" t="str">
        <f>Deals_Raw!AL88</f>
        <v>First purchase under this contract</v>
      </c>
      <c r="AK88" s="9">
        <f t="shared" si="7"/>
        <v>6.8250000000000002</v>
      </c>
      <c r="AL88" s="8">
        <f t="shared" si="8"/>
        <v>0.9059457296542015</v>
      </c>
      <c r="AM88" s="8">
        <f t="shared" si="9"/>
        <v>1.0999999999999996E-2</v>
      </c>
      <c r="AN88" t="str">
        <f>IF(AC88&lt;Pricing_Policy!$C$10,"Below Floor","Pass")</f>
        <v>Pass</v>
      </c>
      <c r="AO88" t="str">
        <f>IF(V88&gt;Pricing_Policy!$C$7,"Exception","Standard")</f>
        <v>Standard</v>
      </c>
      <c r="AP88" t="str">
        <f t="shared" si="10"/>
        <v>Pass</v>
      </c>
      <c r="AQ88">
        <f t="shared" si="11"/>
        <v>0</v>
      </c>
      <c r="AR88" s="8">
        <f t="shared" si="12"/>
        <v>0</v>
      </c>
      <c r="AS88">
        <f t="shared" si="13"/>
        <v>1</v>
      </c>
    </row>
    <row r="89" spans="1:45">
      <c r="A89" t="str">
        <f>Deals_Raw!A89</f>
        <v>D00097</v>
      </c>
      <c r="B89">
        <f>Deals_Raw!B89</f>
        <v>45774</v>
      </c>
      <c r="C89" t="str">
        <f>Deals_Raw!C89</f>
        <v>C0025</v>
      </c>
      <c r="D89" t="str">
        <f>Deals_Raw!D89</f>
        <v>TEC-0025</v>
      </c>
      <c r="E89" t="str">
        <f>Deals_Raw!E89</f>
        <v>CT00057</v>
      </c>
      <c r="F89" t="str">
        <f>Deals_Raw!F89</f>
        <v>Sales</v>
      </c>
      <c r="G89" t="str">
        <f>Deals_Raw!G89</f>
        <v>Technology</v>
      </c>
      <c r="H89" t="str">
        <f>Deals_Raw!H89</f>
        <v>Northeast</v>
      </c>
      <c r="I89" t="str">
        <f>Deals_Raw!I89</f>
        <v>Northeast Commercial</v>
      </c>
      <c r="J89" t="str">
        <f>Deals_Raw!J89</f>
        <v>SMB</v>
      </c>
      <c r="K89" t="str">
        <f>Deals_Raw!K89</f>
        <v>No</v>
      </c>
      <c r="L89">
        <f>Deals_Raw!L89</f>
        <v>43132</v>
      </c>
      <c r="M89">
        <f>Deals_Raw!M89</f>
        <v>75</v>
      </c>
      <c r="N89" t="str">
        <f>Deals_Raw!N89</f>
        <v>Nexus Compliance</v>
      </c>
      <c r="O89" t="str">
        <f>Deals_Raw!O89</f>
        <v>New Business</v>
      </c>
      <c r="P89">
        <f>Deals_Raw!P89</f>
        <v>0</v>
      </c>
      <c r="Q89">
        <f>Deals_Raw!Q89</f>
        <v>1</v>
      </c>
      <c r="R89">
        <f>Deals_Raw!R89</f>
        <v>50</v>
      </c>
      <c r="S89" t="str">
        <f>Deals_Raw!S89</f>
        <v>A. Patel</v>
      </c>
      <c r="T89" s="6">
        <f>Deals_Raw!T89</f>
        <v>57208.563362141882</v>
      </c>
      <c r="U89" s="8">
        <f>Deals_Raw!V89</f>
        <v>7.4999999999999997E-2</v>
      </c>
      <c r="V89" s="8">
        <f>Deals_Raw!W89</f>
        <v>5.8999999999999997E-2</v>
      </c>
      <c r="W89" s="8">
        <f>Deals_Raw!X89</f>
        <v>-9.6000000000000002E-2</v>
      </c>
      <c r="X89" t="str">
        <f>Deals_Raw!Y89</f>
        <v>Budget constraint</v>
      </c>
      <c r="Y89" t="str">
        <f>Deals_Raw!Z89</f>
        <v>Sales Manager</v>
      </c>
      <c r="Z89" s="6">
        <f>Deals_Raw!AA89</f>
        <v>53823.128988005577</v>
      </c>
      <c r="AA89" s="6">
        <f>Deals_Raw!AC89</f>
        <v>20791.988207595306</v>
      </c>
      <c r="AB89" s="6">
        <f>Deals_Raw!AD89</f>
        <v>33031.140780410271</v>
      </c>
      <c r="AC89" s="8">
        <f>Deals_Raw!AE89</f>
        <v>0.61369789162148536</v>
      </c>
      <c r="AD89" t="str">
        <f>Deals_Raw!AF89</f>
        <v>Lost</v>
      </c>
      <c r="AE89">
        <f>Deals_Raw!AG89</f>
        <v>0</v>
      </c>
      <c r="AF89">
        <f>Deals_Raw!AH89</f>
        <v>0</v>
      </c>
      <c r="AG89" t="str">
        <f>Deals_Raw!AI89</f>
        <v>No</v>
      </c>
      <c r="AH89" s="6">
        <f>Deals_Raw!AJ89</f>
        <v>0</v>
      </c>
      <c r="AI89" s="6">
        <f>Deals_Raw!AK89</f>
        <v>0</v>
      </c>
      <c r="AJ89" t="str">
        <f>Deals_Raw!AL89</f>
        <v>First purchase under this contract</v>
      </c>
      <c r="AK89" s="9">
        <f t="shared" si="7"/>
        <v>7.2388888888888889</v>
      </c>
      <c r="AL89" s="8">
        <f t="shared" si="8"/>
        <v>0.94082294371376163</v>
      </c>
      <c r="AM89" s="8">
        <f t="shared" si="9"/>
        <v>1.6E-2</v>
      </c>
      <c r="AN89" t="str">
        <f>IF(AC89&lt;Pricing_Policy!$C$10,"Below Floor","Pass")</f>
        <v>Pass</v>
      </c>
      <c r="AO89" t="str">
        <f>IF(V89&gt;Pricing_Policy!$C$7,"Exception","Standard")</f>
        <v>Standard</v>
      </c>
      <c r="AP89" t="str">
        <f t="shared" si="10"/>
        <v>Pass</v>
      </c>
      <c r="AQ89">
        <f t="shared" si="11"/>
        <v>0</v>
      </c>
      <c r="AR89" s="8">
        <f t="shared" si="12"/>
        <v>0</v>
      </c>
      <c r="AS89">
        <f t="shared" si="13"/>
        <v>1</v>
      </c>
    </row>
    <row r="90" spans="1:45">
      <c r="A90" t="str">
        <f>Deals_Raw!A90</f>
        <v>D00098</v>
      </c>
      <c r="B90">
        <f>Deals_Raw!B90</f>
        <v>45320</v>
      </c>
      <c r="C90" t="str">
        <f>Deals_Raw!C90</f>
        <v>C0026</v>
      </c>
      <c r="D90" t="str">
        <f>Deals_Raw!D90</f>
        <v>FIN-0026</v>
      </c>
      <c r="E90" t="str">
        <f>Deals_Raw!E90</f>
        <v>CT00058</v>
      </c>
      <c r="F90" t="str">
        <f>Deals_Raw!F90</f>
        <v>Technology</v>
      </c>
      <c r="G90" t="str">
        <f>Deals_Raw!G90</f>
        <v>Financial Services</v>
      </c>
      <c r="H90" t="str">
        <f>Deals_Raw!H90</f>
        <v>West</v>
      </c>
      <c r="I90" t="str">
        <f>Deals_Raw!I90</f>
        <v>West Commercial</v>
      </c>
      <c r="J90" t="str">
        <f>Deals_Raw!J90</f>
        <v>Mid-Market</v>
      </c>
      <c r="K90" t="str">
        <f>Deals_Raw!K90</f>
        <v>No</v>
      </c>
      <c r="L90">
        <f>Deals_Raw!L90</f>
        <v>45108</v>
      </c>
      <c r="M90">
        <f>Deals_Raw!M90</f>
        <v>40</v>
      </c>
      <c r="N90" t="str">
        <f>Deals_Raw!N90</f>
        <v>Nexus Analytics</v>
      </c>
      <c r="O90" t="str">
        <f>Deals_Raw!O90</f>
        <v>New Business</v>
      </c>
      <c r="P90">
        <f>Deals_Raw!P90</f>
        <v>0</v>
      </c>
      <c r="Q90">
        <f>Deals_Raw!Q90</f>
        <v>1</v>
      </c>
      <c r="R90">
        <f>Deals_Raw!R90</f>
        <v>255</v>
      </c>
      <c r="S90" t="str">
        <f>Deals_Raw!S90</f>
        <v>K. Nguyen</v>
      </c>
      <c r="T90" s="6">
        <f>Deals_Raw!T90</f>
        <v>128064.60737383582</v>
      </c>
      <c r="U90" s="8">
        <f>Deals_Raw!V90</f>
        <v>0.129</v>
      </c>
      <c r="V90" s="8">
        <f>Deals_Raw!W90</f>
        <v>9.0999999999999998E-2</v>
      </c>
      <c r="W90" s="8">
        <f>Deals_Raw!X90</f>
        <v>8.9999999999999993E-3</v>
      </c>
      <c r="X90" t="str">
        <f>Deals_Raw!Y90</f>
        <v>Strategic logo opportunity</v>
      </c>
      <c r="Y90" t="str">
        <f>Deals_Raw!Z90</f>
        <v>Sales Manager</v>
      </c>
      <c r="Z90" s="6">
        <f>Deals_Raw!AA90</f>
        <v>116407.15643724783</v>
      </c>
      <c r="AA90" s="6">
        <f>Deals_Raw!AC90</f>
        <v>46750.64637749437</v>
      </c>
      <c r="AB90" s="6">
        <f>Deals_Raw!AD90</f>
        <v>69656.510059753462</v>
      </c>
      <c r="AC90" s="8">
        <f>Deals_Raw!AE90</f>
        <v>0.59838683627070244</v>
      </c>
      <c r="AD90" t="str">
        <f>Deals_Raw!AF90</f>
        <v>Lost</v>
      </c>
      <c r="AE90">
        <f>Deals_Raw!AG90</f>
        <v>0</v>
      </c>
      <c r="AF90">
        <f>Deals_Raw!AH90</f>
        <v>0</v>
      </c>
      <c r="AG90" t="str">
        <f>Deals_Raw!AI90</f>
        <v>No</v>
      </c>
      <c r="AH90" s="6">
        <f>Deals_Raw!AJ90</f>
        <v>0</v>
      </c>
      <c r="AI90" s="6">
        <f>Deals_Raw!AK90</f>
        <v>0</v>
      </c>
      <c r="AJ90" t="str">
        <f>Deals_Raw!AL90</f>
        <v>First purchase under this contract</v>
      </c>
      <c r="AK90" s="9">
        <f t="shared" si="7"/>
        <v>0.57777777777777772</v>
      </c>
      <c r="AL90" s="8">
        <f t="shared" si="8"/>
        <v>0.9089721104398617</v>
      </c>
      <c r="AM90" s="8">
        <f t="shared" si="9"/>
        <v>3.8000000000000006E-2</v>
      </c>
      <c r="AN90" t="str">
        <f>IF(AC90&lt;Pricing_Policy!$C$10,"Below Floor","Pass")</f>
        <v>Pass</v>
      </c>
      <c r="AO90" t="str">
        <f>IF(V90&gt;Pricing_Policy!$C$7,"Exception","Standard")</f>
        <v>Standard</v>
      </c>
      <c r="AP90" t="str">
        <f t="shared" si="10"/>
        <v>Pass</v>
      </c>
      <c r="AQ90">
        <f t="shared" si="11"/>
        <v>0</v>
      </c>
      <c r="AR90" s="8">
        <f t="shared" si="12"/>
        <v>0</v>
      </c>
      <c r="AS90">
        <f t="shared" si="13"/>
        <v>2</v>
      </c>
    </row>
    <row r="91" spans="1:45">
      <c r="A91" t="str">
        <f>Deals_Raw!A91</f>
        <v>D00099</v>
      </c>
      <c r="B91">
        <f>Deals_Raw!B91</f>
        <v>45556</v>
      </c>
      <c r="C91" t="str">
        <f>Deals_Raw!C91</f>
        <v>C0026</v>
      </c>
      <c r="D91" t="str">
        <f>Deals_Raw!D91</f>
        <v>FIN-0026</v>
      </c>
      <c r="E91" t="str">
        <f>Deals_Raw!E91</f>
        <v>CT00058</v>
      </c>
      <c r="F91" t="str">
        <f>Deals_Raw!F91</f>
        <v>Technology</v>
      </c>
      <c r="G91" t="str">
        <f>Deals_Raw!G91</f>
        <v>Financial Services</v>
      </c>
      <c r="H91" t="str">
        <f>Deals_Raw!H91</f>
        <v>West</v>
      </c>
      <c r="I91" t="str">
        <f>Deals_Raw!I91</f>
        <v>West Commercial</v>
      </c>
      <c r="J91" t="str">
        <f>Deals_Raw!J91</f>
        <v>Mid-Market</v>
      </c>
      <c r="K91" t="str">
        <f>Deals_Raw!K91</f>
        <v>No</v>
      </c>
      <c r="L91">
        <f>Deals_Raw!L91</f>
        <v>45108</v>
      </c>
      <c r="M91">
        <f>Deals_Raw!M91</f>
        <v>40</v>
      </c>
      <c r="N91" t="str">
        <f>Deals_Raw!N91</f>
        <v>Nexus Analytics</v>
      </c>
      <c r="O91" t="str">
        <f>Deals_Raw!O91</f>
        <v>Win-back</v>
      </c>
      <c r="P91">
        <f>Deals_Raw!P91</f>
        <v>0</v>
      </c>
      <c r="Q91">
        <f>Deals_Raw!Q91</f>
        <v>1</v>
      </c>
      <c r="R91">
        <f>Deals_Raw!R91</f>
        <v>255</v>
      </c>
      <c r="S91" t="str">
        <f>Deals_Raw!S91</f>
        <v>K. Nguyen</v>
      </c>
      <c r="T91" s="6">
        <f>Deals_Raw!T91</f>
        <v>128064.60737383582</v>
      </c>
      <c r="U91" s="8">
        <f>Deals_Raw!V91</f>
        <v>0.13700000000000001</v>
      </c>
      <c r="V91" s="8">
        <f>Deals_Raw!W91</f>
        <v>0.13200000000000001</v>
      </c>
      <c r="W91" s="8">
        <f>Deals_Raw!X91</f>
        <v>-6.5000000000000002E-2</v>
      </c>
      <c r="X91" t="str">
        <f>Deals_Raw!Y91</f>
        <v>Renewal retention risk</v>
      </c>
      <c r="Y91" t="str">
        <f>Deals_Raw!Z91</f>
        <v>Pricing Analyst</v>
      </c>
      <c r="Z91" s="6">
        <f>Deals_Raw!AA91</f>
        <v>111213.80337522077</v>
      </c>
      <c r="AA91" s="6">
        <f>Deals_Raw!AC91</f>
        <v>46962.878854390758</v>
      </c>
      <c r="AB91" s="6">
        <f>Deals_Raw!AD91</f>
        <v>64250.924520830013</v>
      </c>
      <c r="AC91" s="8">
        <f>Deals_Raw!AE91</f>
        <v>0.57772437027493639</v>
      </c>
      <c r="AD91" t="str">
        <f>Deals_Raw!AF91</f>
        <v>Lost</v>
      </c>
      <c r="AE91">
        <f>Deals_Raw!AG91</f>
        <v>0</v>
      </c>
      <c r="AF91">
        <f>Deals_Raw!AH91</f>
        <v>0</v>
      </c>
      <c r="AG91" t="str">
        <f>Deals_Raw!AI91</f>
        <v>Yes</v>
      </c>
      <c r="AH91" s="6">
        <f>Deals_Raw!AJ91</f>
        <v>0</v>
      </c>
      <c r="AI91" s="6">
        <f>Deals_Raw!AK91</f>
        <v>0</v>
      </c>
      <c r="AJ91" t="str">
        <f>Deals_Raw!AL91</f>
        <v>Customer returned after prior lost initial opportunity</v>
      </c>
      <c r="AK91" s="9">
        <f t="shared" si="7"/>
        <v>1.2222222222222223</v>
      </c>
      <c r="AL91" s="8">
        <f t="shared" si="8"/>
        <v>0.86841950837029036</v>
      </c>
      <c r="AM91" s="8">
        <f t="shared" si="9"/>
        <v>5.0000000000000044E-3</v>
      </c>
      <c r="AN91" t="str">
        <f>IF(AC91&lt;Pricing_Policy!$C$10,"Below Floor","Pass")</f>
        <v>Pass</v>
      </c>
      <c r="AO91" t="str">
        <f>IF(V91&gt;Pricing_Policy!$C$7,"Exception","Standard")</f>
        <v>Standard</v>
      </c>
      <c r="AP91" t="str">
        <f t="shared" si="10"/>
        <v>Pass</v>
      </c>
      <c r="AQ91">
        <f t="shared" si="11"/>
        <v>0</v>
      </c>
      <c r="AR91" s="8">
        <f t="shared" si="12"/>
        <v>0</v>
      </c>
      <c r="AS91">
        <f t="shared" si="13"/>
        <v>2</v>
      </c>
    </row>
    <row r="92" spans="1:45">
      <c r="A92" t="str">
        <f>Deals_Raw!A92</f>
        <v>D00101</v>
      </c>
      <c r="B92">
        <f>Deals_Raw!B92</f>
        <v>45402</v>
      </c>
      <c r="C92" t="str">
        <f>Deals_Raw!C92</f>
        <v>C0027</v>
      </c>
      <c r="D92" t="str">
        <f>Deals_Raw!D92</f>
        <v>LEG-0027</v>
      </c>
      <c r="E92" t="str">
        <f>Deals_Raw!E92</f>
        <v>CT00060</v>
      </c>
      <c r="F92" t="str">
        <f>Deals_Raw!F92</f>
        <v>Sales</v>
      </c>
      <c r="G92" t="str">
        <f>Deals_Raw!G92</f>
        <v>Legal</v>
      </c>
      <c r="H92" t="str">
        <f>Deals_Raw!H92</f>
        <v>Northeast</v>
      </c>
      <c r="I92" t="str">
        <f>Deals_Raw!I92</f>
        <v>Northeast Commercial</v>
      </c>
      <c r="J92" t="str">
        <f>Deals_Raw!J92</f>
        <v>SMB</v>
      </c>
      <c r="K92" t="str">
        <f>Deals_Raw!K92</f>
        <v>No</v>
      </c>
      <c r="L92">
        <f>Deals_Raw!L92</f>
        <v>44287</v>
      </c>
      <c r="M92">
        <f>Deals_Raw!M92</f>
        <v>72</v>
      </c>
      <c r="N92" t="str">
        <f>Deals_Raw!N92</f>
        <v>Nexus Compliance</v>
      </c>
      <c r="O92" t="str">
        <f>Deals_Raw!O92</f>
        <v>Renewal</v>
      </c>
      <c r="P92">
        <f>Deals_Raw!P92</f>
        <v>0</v>
      </c>
      <c r="Q92">
        <f>Deals_Raw!Q92</f>
        <v>1</v>
      </c>
      <c r="R92">
        <f>Deals_Raw!R92</f>
        <v>55</v>
      </c>
      <c r="S92" t="str">
        <f>Deals_Raw!S92</f>
        <v>K. Nguyen</v>
      </c>
      <c r="T92" s="6">
        <f>Deals_Raw!T92</f>
        <v>74635.039889024556</v>
      </c>
      <c r="U92" s="8">
        <f>Deals_Raw!V92</f>
        <v>0.14199999999999999</v>
      </c>
      <c r="V92" s="8">
        <f>Deals_Raw!W92</f>
        <v>0.14099999999999999</v>
      </c>
      <c r="W92" s="8">
        <f>Deals_Raw!X92</f>
        <v>-0.11</v>
      </c>
      <c r="X92" t="str">
        <f>Deals_Raw!Y92</f>
        <v>Procurement requirement</v>
      </c>
      <c r="Y92" t="str">
        <f>Deals_Raw!Z92</f>
        <v>Pricing Analyst</v>
      </c>
      <c r="Z92" s="6">
        <f>Deals_Raw!AA92</f>
        <v>64107.95279990913</v>
      </c>
      <c r="AA92" s="6">
        <f>Deals_Raw!AC92</f>
        <v>24002.114117329817</v>
      </c>
      <c r="AB92" s="6">
        <f>Deals_Raw!AD92</f>
        <v>40105.838682579313</v>
      </c>
      <c r="AC92" s="8">
        <f>Deals_Raw!AE92</f>
        <v>0.62559849333757167</v>
      </c>
      <c r="AD92" t="str">
        <f>Deals_Raw!AF92</f>
        <v>Won</v>
      </c>
      <c r="AE92" t="str">
        <f>Deals_Raw!AG92</f>
        <v>Yes</v>
      </c>
      <c r="AF92">
        <f>Deals_Raw!AH92</f>
        <v>0</v>
      </c>
      <c r="AG92" t="str">
        <f>Deals_Raw!AI92</f>
        <v>No</v>
      </c>
      <c r="AH92" s="6">
        <f>Deals_Raw!AJ92</f>
        <v>64107.95279990913</v>
      </c>
      <c r="AI92" s="6">
        <f>Deals_Raw!AK92</f>
        <v>40105.838682579313</v>
      </c>
      <c r="AJ92" t="str">
        <f>Deals_Raw!AL92</f>
        <v>Renewal of existing active contract</v>
      </c>
      <c r="AK92" s="9">
        <f t="shared" si="7"/>
        <v>3.0527777777777776</v>
      </c>
      <c r="AL92" s="8">
        <f t="shared" si="8"/>
        <v>0.8589524825769741</v>
      </c>
      <c r="AM92" s="8">
        <f t="shared" si="9"/>
        <v>1.0000000000000009E-3</v>
      </c>
      <c r="AN92" t="str">
        <f>IF(AC92&lt;Pricing_Policy!$C$10,"Below Floor","Pass")</f>
        <v>Pass</v>
      </c>
      <c r="AO92" t="str">
        <f>IF(V92&gt;Pricing_Policy!$C$7,"Exception","Standard")</f>
        <v>Standard</v>
      </c>
      <c r="AP92" t="str">
        <f t="shared" si="10"/>
        <v>Pass</v>
      </c>
      <c r="AQ92">
        <f t="shared" si="11"/>
        <v>1</v>
      </c>
      <c r="AR92" s="8">
        <f t="shared" si="12"/>
        <v>0.62559849333757167</v>
      </c>
      <c r="AS92">
        <f t="shared" si="13"/>
        <v>3</v>
      </c>
    </row>
    <row r="93" spans="1:45">
      <c r="A93" t="str">
        <f>Deals_Raw!A93</f>
        <v>D00102</v>
      </c>
      <c r="B93">
        <f>Deals_Raw!B93</f>
        <v>45767</v>
      </c>
      <c r="C93" t="str">
        <f>Deals_Raw!C93</f>
        <v>C0027</v>
      </c>
      <c r="D93" t="str">
        <f>Deals_Raw!D93</f>
        <v>LEG-0027</v>
      </c>
      <c r="E93" t="str">
        <f>Deals_Raw!E93</f>
        <v>CT00060</v>
      </c>
      <c r="F93" t="str">
        <f>Deals_Raw!F93</f>
        <v>Sales</v>
      </c>
      <c r="G93" t="str">
        <f>Deals_Raw!G93</f>
        <v>Legal</v>
      </c>
      <c r="H93" t="str">
        <f>Deals_Raw!H93</f>
        <v>Northeast</v>
      </c>
      <c r="I93" t="str">
        <f>Deals_Raw!I93</f>
        <v>Northeast Commercial</v>
      </c>
      <c r="J93" t="str">
        <f>Deals_Raw!J93</f>
        <v>SMB</v>
      </c>
      <c r="K93" t="str">
        <f>Deals_Raw!K93</f>
        <v>No</v>
      </c>
      <c r="L93">
        <f>Deals_Raw!L93</f>
        <v>44287</v>
      </c>
      <c r="M93">
        <f>Deals_Raw!M93</f>
        <v>72</v>
      </c>
      <c r="N93" t="str">
        <f>Deals_Raw!N93</f>
        <v>Nexus Compliance</v>
      </c>
      <c r="O93" t="str">
        <f>Deals_Raw!O93</f>
        <v>Renewal</v>
      </c>
      <c r="P93">
        <f>Deals_Raw!P93</f>
        <v>0</v>
      </c>
      <c r="Q93">
        <f>Deals_Raw!Q93</f>
        <v>1</v>
      </c>
      <c r="R93">
        <f>Deals_Raw!R93</f>
        <v>55</v>
      </c>
      <c r="S93" t="str">
        <f>Deals_Raw!S93</f>
        <v>K. Nguyen</v>
      </c>
      <c r="T93" s="6">
        <f>Deals_Raw!T93</f>
        <v>77849.189391306238</v>
      </c>
      <c r="U93" s="8">
        <f>Deals_Raw!V93</f>
        <v>0.10299999999999999</v>
      </c>
      <c r="V93" s="8">
        <f>Deals_Raw!W93</f>
        <v>7.0999999999999994E-2</v>
      </c>
      <c r="W93" s="8">
        <f>Deals_Raw!X93</f>
        <v>-8.9999999999999993E-3</v>
      </c>
      <c r="X93" t="str">
        <f>Deals_Raw!Y93</f>
        <v>Verified competitor pressure</v>
      </c>
      <c r="Y93" t="str">
        <f>Deals_Raw!Z93</f>
        <v>Sales Manager</v>
      </c>
      <c r="Z93" s="6">
        <f>Deals_Raw!AA93</f>
        <v>72314.756611578006</v>
      </c>
      <c r="AA93" s="6">
        <f>Deals_Raw!AC93</f>
        <v>26187.223860324037</v>
      </c>
      <c r="AB93" s="6">
        <f>Deals_Raw!AD93</f>
        <v>46127.532751253966</v>
      </c>
      <c r="AC93" s="8">
        <f>Deals_Raw!AE93</f>
        <v>0.63787164491221815</v>
      </c>
      <c r="AD93" t="str">
        <f>Deals_Raw!AF93</f>
        <v>Lost</v>
      </c>
      <c r="AE93" t="str">
        <f>Deals_Raw!AG93</f>
        <v>No</v>
      </c>
      <c r="AF93">
        <f>Deals_Raw!AH93</f>
        <v>0</v>
      </c>
      <c r="AG93" t="str">
        <f>Deals_Raw!AI93</f>
        <v>No</v>
      </c>
      <c r="AH93" s="6">
        <f>Deals_Raw!AJ93</f>
        <v>0</v>
      </c>
      <c r="AI93" s="6">
        <f>Deals_Raw!AK93</f>
        <v>0</v>
      </c>
      <c r="AJ93" t="str">
        <f>Deals_Raw!AL93</f>
        <v>Renewal of existing active contract</v>
      </c>
      <c r="AK93" s="9">
        <f t="shared" si="7"/>
        <v>4.052777777777778</v>
      </c>
      <c r="AL93" s="8">
        <f t="shared" si="8"/>
        <v>0.9289082799319901</v>
      </c>
      <c r="AM93" s="8">
        <f t="shared" si="9"/>
        <v>3.2000000000000001E-2</v>
      </c>
      <c r="AN93" t="str">
        <f>IF(AC93&lt;Pricing_Policy!$C$10,"Below Floor","Pass")</f>
        <v>Pass</v>
      </c>
      <c r="AO93" t="str">
        <f>IF(V93&gt;Pricing_Policy!$C$7,"Exception","Standard")</f>
        <v>Standard</v>
      </c>
      <c r="AP93" t="str">
        <f t="shared" si="10"/>
        <v>Pass</v>
      </c>
      <c r="AQ93">
        <f t="shared" si="11"/>
        <v>0</v>
      </c>
      <c r="AR93" s="8">
        <f t="shared" si="12"/>
        <v>0</v>
      </c>
      <c r="AS93">
        <f t="shared" si="13"/>
        <v>3</v>
      </c>
    </row>
    <row r="94" spans="1:45">
      <c r="A94" t="str">
        <f>Deals_Raw!A94</f>
        <v>D00103</v>
      </c>
      <c r="B94">
        <f>Deals_Raw!B94</f>
        <v>45892</v>
      </c>
      <c r="C94" t="str">
        <f>Deals_Raw!C94</f>
        <v>C0027</v>
      </c>
      <c r="D94" t="str">
        <f>Deals_Raw!D94</f>
        <v>LEG-0027</v>
      </c>
      <c r="E94" t="str">
        <f>Deals_Raw!E94</f>
        <v>CT00060</v>
      </c>
      <c r="F94" t="str">
        <f>Deals_Raw!F94</f>
        <v>Sales</v>
      </c>
      <c r="G94" t="str">
        <f>Deals_Raw!G94</f>
        <v>Legal</v>
      </c>
      <c r="H94" t="str">
        <f>Deals_Raw!H94</f>
        <v>Northeast</v>
      </c>
      <c r="I94" t="str">
        <f>Deals_Raw!I94</f>
        <v>Northeast Commercial</v>
      </c>
      <c r="J94" t="str">
        <f>Deals_Raw!J94</f>
        <v>SMB</v>
      </c>
      <c r="K94" t="str">
        <f>Deals_Raw!K94</f>
        <v>No</v>
      </c>
      <c r="L94">
        <f>Deals_Raw!L94</f>
        <v>44287</v>
      </c>
      <c r="M94">
        <f>Deals_Raw!M94</f>
        <v>72</v>
      </c>
      <c r="N94" t="str">
        <f>Deals_Raw!N94</f>
        <v>Nexus Compliance</v>
      </c>
      <c r="O94" t="str">
        <f>Deals_Raw!O94</f>
        <v>Win-back</v>
      </c>
      <c r="P94">
        <f>Deals_Raw!P94</f>
        <v>0</v>
      </c>
      <c r="Q94">
        <f>Deals_Raw!Q94</f>
        <v>1</v>
      </c>
      <c r="R94">
        <f>Deals_Raw!R94</f>
        <v>55</v>
      </c>
      <c r="S94" t="str">
        <f>Deals_Raw!S94</f>
        <v>K. Nguyen</v>
      </c>
      <c r="T94" s="6">
        <f>Deals_Raw!T94</f>
        <v>77849.189391306238</v>
      </c>
      <c r="U94" s="8">
        <f>Deals_Raw!V94</f>
        <v>0.217</v>
      </c>
      <c r="V94" s="8">
        <f>Deals_Raw!W94</f>
        <v>0.19900000000000001</v>
      </c>
      <c r="W94" s="8">
        <f>Deals_Raw!X94</f>
        <v>-9.2999999999999999E-2</v>
      </c>
      <c r="X94" t="str">
        <f>Deals_Raw!Y94</f>
        <v>Renewal retention risk</v>
      </c>
      <c r="Y94" t="str">
        <f>Deals_Raw!Z94</f>
        <v>Pricing Analyst</v>
      </c>
      <c r="Z94" s="6">
        <f>Deals_Raw!AA94</f>
        <v>62385.967604455196</v>
      </c>
      <c r="AA94" s="6">
        <f>Deals_Raw!AC94</f>
        <v>24114.843487952901</v>
      </c>
      <c r="AB94" s="6">
        <f>Deals_Raw!AD94</f>
        <v>38271.124116502295</v>
      </c>
      <c r="AC94" s="8">
        <f>Deals_Raw!AE94</f>
        <v>0.61345724986029104</v>
      </c>
      <c r="AD94" t="str">
        <f>Deals_Raw!AF94</f>
        <v>Won</v>
      </c>
      <c r="AE94">
        <f>Deals_Raw!AG94</f>
        <v>0</v>
      </c>
      <c r="AF94">
        <f>Deals_Raw!AH94</f>
        <v>0</v>
      </c>
      <c r="AG94" t="str">
        <f>Deals_Raw!AI94</f>
        <v>Yes</v>
      </c>
      <c r="AH94" s="6">
        <f>Deals_Raw!AJ94</f>
        <v>62385.967604455196</v>
      </c>
      <c r="AI94" s="6">
        <f>Deals_Raw!AK94</f>
        <v>38271.124116502295</v>
      </c>
      <c r="AJ94" t="str">
        <f>Deals_Raw!AL94</f>
        <v>Customer returned after lost renewal</v>
      </c>
      <c r="AK94" s="9">
        <f t="shared" si="7"/>
        <v>4.3944444444444448</v>
      </c>
      <c r="AL94" s="8">
        <f t="shared" si="8"/>
        <v>0.80136952089345859</v>
      </c>
      <c r="AM94" s="8">
        <f t="shared" si="9"/>
        <v>1.7999999999999988E-2</v>
      </c>
      <c r="AN94" t="str">
        <f>IF(AC94&lt;Pricing_Policy!$C$10,"Below Floor","Pass")</f>
        <v>Pass</v>
      </c>
      <c r="AO94" t="str">
        <f>IF(V94&gt;Pricing_Policy!$C$7,"Exception","Standard")</f>
        <v>Standard</v>
      </c>
      <c r="AP94" t="str">
        <f t="shared" si="10"/>
        <v>Pass</v>
      </c>
      <c r="AQ94">
        <f t="shared" si="11"/>
        <v>1</v>
      </c>
      <c r="AR94" s="8">
        <f t="shared" si="12"/>
        <v>0.61345724986029104</v>
      </c>
      <c r="AS94">
        <f t="shared" si="13"/>
        <v>3</v>
      </c>
    </row>
    <row r="95" spans="1:45">
      <c r="A95" t="str">
        <f>Deals_Raw!A95</f>
        <v>D00104</v>
      </c>
      <c r="B95">
        <f>Deals_Raw!B95</f>
        <v>45332</v>
      </c>
      <c r="C95" t="str">
        <f>Deals_Raw!C95</f>
        <v>C0028</v>
      </c>
      <c r="D95" t="str">
        <f>Deals_Raw!D95</f>
        <v>HEA-0028</v>
      </c>
      <c r="E95" t="str">
        <f>Deals_Raw!E95</f>
        <v>CT00061</v>
      </c>
      <c r="F95" t="str">
        <f>Deals_Raw!F95</f>
        <v>Technology</v>
      </c>
      <c r="G95" t="str">
        <f>Deals_Raw!G95</f>
        <v>Healthcare</v>
      </c>
      <c r="H95" t="str">
        <f>Deals_Raw!H95</f>
        <v>West</v>
      </c>
      <c r="I95" t="str">
        <f>Deals_Raw!I95</f>
        <v>West Commercial</v>
      </c>
      <c r="J95" t="str">
        <f>Deals_Raw!J95</f>
        <v>SMB</v>
      </c>
      <c r="K95" t="str">
        <f>Deals_Raw!K95</f>
        <v>No</v>
      </c>
      <c r="L95">
        <f>Deals_Raw!L95</f>
        <v>43344</v>
      </c>
      <c r="M95">
        <f>Deals_Raw!M95</f>
        <v>53</v>
      </c>
      <c r="N95" t="str">
        <f>Deals_Raw!N95</f>
        <v>Nexus Enterprise Suite</v>
      </c>
      <c r="O95" t="str">
        <f>Deals_Raw!O95</f>
        <v>Renewal</v>
      </c>
      <c r="P95">
        <f>Deals_Raw!P95</f>
        <v>0</v>
      </c>
      <c r="Q95">
        <f>Deals_Raw!Q95</f>
        <v>3</v>
      </c>
      <c r="R95">
        <f>Deals_Raw!R95</f>
        <v>66</v>
      </c>
      <c r="S95" t="str">
        <f>Deals_Raw!S95</f>
        <v>M. Johnson</v>
      </c>
      <c r="T95" s="6">
        <f>Deals_Raw!T95</f>
        <v>158972.8325734933</v>
      </c>
      <c r="U95" s="8">
        <f>Deals_Raw!V95</f>
        <v>0.247</v>
      </c>
      <c r="V95" s="8">
        <f>Deals_Raw!W95</f>
        <v>0.187</v>
      </c>
      <c r="W95" s="8">
        <f>Deals_Raw!X95</f>
        <v>-4.3999999999999997E-2</v>
      </c>
      <c r="X95" t="str">
        <f>Deals_Raw!Y95</f>
        <v>Renewal retention risk</v>
      </c>
      <c r="Y95" t="str">
        <f>Deals_Raw!Z95</f>
        <v>Pricing Analyst</v>
      </c>
      <c r="Z95" s="6">
        <f>Deals_Raw!AA95</f>
        <v>129300.6997514556</v>
      </c>
      <c r="AA95" s="6">
        <f>Deals_Raw!AC95</f>
        <v>56384.814121746713</v>
      </c>
      <c r="AB95" s="6">
        <f>Deals_Raw!AD95</f>
        <v>72915.885629708879</v>
      </c>
      <c r="AC95" s="8">
        <f>Deals_Raw!AE95</f>
        <v>0.56392491123303479</v>
      </c>
      <c r="AD95" t="str">
        <f>Deals_Raw!AF95</f>
        <v>Won</v>
      </c>
      <c r="AE95" t="str">
        <f>Deals_Raw!AG95</f>
        <v>Yes</v>
      </c>
      <c r="AF95">
        <f>Deals_Raw!AH95</f>
        <v>0</v>
      </c>
      <c r="AG95" t="str">
        <f>Deals_Raw!AI95</f>
        <v>No</v>
      </c>
      <c r="AH95" s="6">
        <f>Deals_Raw!AJ95</f>
        <v>129300.6997514556</v>
      </c>
      <c r="AI95" s="6">
        <f>Deals_Raw!AK95</f>
        <v>72915.885629708879</v>
      </c>
      <c r="AJ95" t="str">
        <f>Deals_Raw!AL95</f>
        <v>Renewal of existing active contract</v>
      </c>
      <c r="AK95" s="9">
        <f t="shared" si="7"/>
        <v>5.4416666666666664</v>
      </c>
      <c r="AL95" s="8">
        <f t="shared" si="8"/>
        <v>0.81335092077245186</v>
      </c>
      <c r="AM95" s="8">
        <f t="shared" si="9"/>
        <v>0.06</v>
      </c>
      <c r="AN95" t="str">
        <f>IF(AC95&lt;Pricing_Policy!$C$10,"Below Floor","Pass")</f>
        <v>Pass</v>
      </c>
      <c r="AO95" t="str">
        <f>IF(V95&gt;Pricing_Policy!$C$7,"Exception","Standard")</f>
        <v>Standard</v>
      </c>
      <c r="AP95" t="str">
        <f t="shared" si="10"/>
        <v>Pass</v>
      </c>
      <c r="AQ95">
        <f t="shared" si="11"/>
        <v>1</v>
      </c>
      <c r="AR95" s="8">
        <f t="shared" si="12"/>
        <v>0.56392491123303479</v>
      </c>
      <c r="AS95">
        <f t="shared" si="13"/>
        <v>3</v>
      </c>
    </row>
    <row r="96" spans="1:45">
      <c r="A96" t="str">
        <f>Deals_Raw!A96</f>
        <v>D00105</v>
      </c>
      <c r="B96">
        <f>Deals_Raw!B96</f>
        <v>45548</v>
      </c>
      <c r="C96" t="str">
        <f>Deals_Raw!C96</f>
        <v>C0028</v>
      </c>
      <c r="D96" t="str">
        <f>Deals_Raw!D96</f>
        <v>HEA-0028</v>
      </c>
      <c r="E96" t="str">
        <f>Deals_Raw!E96</f>
        <v>CT00062</v>
      </c>
      <c r="F96" t="str">
        <f>Deals_Raw!F96</f>
        <v>Finance</v>
      </c>
      <c r="G96" t="str">
        <f>Deals_Raw!G96</f>
        <v>Healthcare</v>
      </c>
      <c r="H96" t="str">
        <f>Deals_Raw!H96</f>
        <v>West</v>
      </c>
      <c r="I96" t="str">
        <f>Deals_Raw!I96</f>
        <v>West Commercial</v>
      </c>
      <c r="J96" t="str">
        <f>Deals_Raw!J96</f>
        <v>SMB</v>
      </c>
      <c r="K96" t="str">
        <f>Deals_Raw!K96</f>
        <v>No</v>
      </c>
      <c r="L96">
        <f>Deals_Raw!L96</f>
        <v>43344</v>
      </c>
      <c r="M96">
        <f>Deals_Raw!M96</f>
        <v>53</v>
      </c>
      <c r="N96" t="str">
        <f>Deals_Raw!N96</f>
        <v>Nexus Enterprise Suite</v>
      </c>
      <c r="O96" t="str">
        <f>Deals_Raw!O96</f>
        <v>New Business</v>
      </c>
      <c r="P96">
        <f>Deals_Raw!P96</f>
        <v>0</v>
      </c>
      <c r="Q96">
        <f>Deals_Raw!Q96</f>
        <v>1</v>
      </c>
      <c r="R96">
        <f>Deals_Raw!R96</f>
        <v>50</v>
      </c>
      <c r="S96" t="str">
        <f>Deals_Raw!S96</f>
        <v>D. Chen</v>
      </c>
      <c r="T96" s="6">
        <f>Deals_Raw!T96</f>
        <v>128386.83447807649</v>
      </c>
      <c r="U96" s="8">
        <f>Deals_Raw!V96</f>
        <v>0.17799999999999999</v>
      </c>
      <c r="V96" s="8">
        <f>Deals_Raw!W96</f>
        <v>0.14899999999999999</v>
      </c>
      <c r="W96" s="8">
        <f>Deals_Raw!X96</f>
        <v>-0.111</v>
      </c>
      <c r="X96" t="str">
        <f>Deals_Raw!Y96</f>
        <v>Expansion opportunity</v>
      </c>
      <c r="Y96" t="str">
        <f>Deals_Raw!Z96</f>
        <v>Pricing Analyst</v>
      </c>
      <c r="Z96" s="6">
        <f>Deals_Raw!AA96</f>
        <v>109234.02679034932</v>
      </c>
      <c r="AA96" s="6">
        <f>Deals_Raw!AC96</f>
        <v>46387.803580716718</v>
      </c>
      <c r="AB96" s="6">
        <f>Deals_Raw!AD96</f>
        <v>62846.223209632604</v>
      </c>
      <c r="AC96" s="8">
        <f>Deals_Raw!AE96</f>
        <v>0.57533558961670528</v>
      </c>
      <c r="AD96" t="str">
        <f>Deals_Raw!AF96</f>
        <v>Lost</v>
      </c>
      <c r="AE96">
        <f>Deals_Raw!AG96</f>
        <v>0</v>
      </c>
      <c r="AF96">
        <f>Deals_Raw!AH96</f>
        <v>0</v>
      </c>
      <c r="AG96" t="str">
        <f>Deals_Raw!AI96</f>
        <v>No</v>
      </c>
      <c r="AH96" s="6">
        <f>Deals_Raw!AJ96</f>
        <v>0</v>
      </c>
      <c r="AI96" s="6">
        <f>Deals_Raw!AK96</f>
        <v>0</v>
      </c>
      <c r="AJ96" t="str">
        <f>Deals_Raw!AL96</f>
        <v>First purchase under this contract</v>
      </c>
      <c r="AK96" s="9">
        <f t="shared" si="7"/>
        <v>6.0333333333333332</v>
      </c>
      <c r="AL96" s="8">
        <f t="shared" si="8"/>
        <v>0.85081953484102979</v>
      </c>
      <c r="AM96" s="8">
        <f t="shared" si="9"/>
        <v>2.8999999999999998E-2</v>
      </c>
      <c r="AN96" t="str">
        <f>IF(AC96&lt;Pricing_Policy!$C$10,"Below Floor","Pass")</f>
        <v>Pass</v>
      </c>
      <c r="AO96" t="str">
        <f>IF(V96&gt;Pricing_Policy!$C$7,"Exception","Standard")</f>
        <v>Standard</v>
      </c>
      <c r="AP96" t="str">
        <f t="shared" si="10"/>
        <v>Pass</v>
      </c>
      <c r="AQ96">
        <f t="shared" si="11"/>
        <v>0</v>
      </c>
      <c r="AR96" s="8">
        <f t="shared" si="12"/>
        <v>0</v>
      </c>
      <c r="AS96">
        <f t="shared" si="13"/>
        <v>3</v>
      </c>
    </row>
    <row r="97" spans="1:45">
      <c r="A97" t="str">
        <f>Deals_Raw!A97</f>
        <v>D00106</v>
      </c>
      <c r="B97">
        <f>Deals_Raw!B97</f>
        <v>45842</v>
      </c>
      <c r="C97" t="str">
        <f>Deals_Raw!C97</f>
        <v>C0028</v>
      </c>
      <c r="D97" t="str">
        <f>Deals_Raw!D97</f>
        <v>HEA-0028</v>
      </c>
      <c r="E97" t="str">
        <f>Deals_Raw!E97</f>
        <v>CT00063</v>
      </c>
      <c r="F97" t="str">
        <f>Deals_Raw!F97</f>
        <v>Operations</v>
      </c>
      <c r="G97" t="str">
        <f>Deals_Raw!G97</f>
        <v>Healthcare</v>
      </c>
      <c r="H97" t="str">
        <f>Deals_Raw!H97</f>
        <v>West</v>
      </c>
      <c r="I97" t="str">
        <f>Deals_Raw!I97</f>
        <v>West Commercial</v>
      </c>
      <c r="J97" t="str">
        <f>Deals_Raw!J97</f>
        <v>SMB</v>
      </c>
      <c r="K97" t="str">
        <f>Deals_Raw!K97</f>
        <v>No</v>
      </c>
      <c r="L97">
        <f>Deals_Raw!L97</f>
        <v>43344</v>
      </c>
      <c r="M97">
        <f>Deals_Raw!M97</f>
        <v>53</v>
      </c>
      <c r="N97" t="str">
        <f>Deals_Raw!N97</f>
        <v>Nexus Enterprise Suite</v>
      </c>
      <c r="O97" t="str">
        <f>Deals_Raw!O97</f>
        <v>New Business</v>
      </c>
      <c r="P97">
        <f>Deals_Raw!P97</f>
        <v>0</v>
      </c>
      <c r="Q97">
        <f>Deals_Raw!Q97</f>
        <v>1</v>
      </c>
      <c r="R97">
        <f>Deals_Raw!R97</f>
        <v>77</v>
      </c>
      <c r="S97" t="str">
        <f>Deals_Raw!S97</f>
        <v>K. Nguyen</v>
      </c>
      <c r="T97" s="6">
        <f>Deals_Raw!T97</f>
        <v>129088.71913347699</v>
      </c>
      <c r="U97" s="8">
        <f>Deals_Raw!V97</f>
        <v>0.184</v>
      </c>
      <c r="V97" s="8">
        <f>Deals_Raw!W97</f>
        <v>0.16800000000000001</v>
      </c>
      <c r="W97" s="8">
        <f>Deals_Raw!X97</f>
        <v>-0.10100000000000001</v>
      </c>
      <c r="X97" t="str">
        <f>Deals_Raw!Y97</f>
        <v>Multi-year commitment</v>
      </c>
      <c r="Y97" t="str">
        <f>Deals_Raw!Z97</f>
        <v>Pricing Analyst</v>
      </c>
      <c r="Z97" s="6">
        <f>Deals_Raw!AA97</f>
        <v>107440.63149439763</v>
      </c>
      <c r="AA97" s="6">
        <f>Deals_Raw!AC97</f>
        <v>51082.764714716002</v>
      </c>
      <c r="AB97" s="6">
        <f>Deals_Raw!AD97</f>
        <v>56357.86677968163</v>
      </c>
      <c r="AC97" s="8">
        <f>Deals_Raw!AE97</f>
        <v>0.52454891595290321</v>
      </c>
      <c r="AD97" t="str">
        <f>Deals_Raw!AF97</f>
        <v>Lost</v>
      </c>
      <c r="AE97">
        <f>Deals_Raw!AG97</f>
        <v>0</v>
      </c>
      <c r="AF97">
        <f>Deals_Raw!AH97</f>
        <v>0</v>
      </c>
      <c r="AG97" t="str">
        <f>Deals_Raw!AI97</f>
        <v>No</v>
      </c>
      <c r="AH97" s="6">
        <f>Deals_Raw!AJ97</f>
        <v>0</v>
      </c>
      <c r="AI97" s="6">
        <f>Deals_Raw!AK97</f>
        <v>0</v>
      </c>
      <c r="AJ97" t="str">
        <f>Deals_Raw!AL97</f>
        <v>First purchase under this contract</v>
      </c>
      <c r="AK97" s="9">
        <f t="shared" si="7"/>
        <v>6.8416666666666668</v>
      </c>
      <c r="AL97" s="8">
        <f t="shared" si="8"/>
        <v>0.83230070152996594</v>
      </c>
      <c r="AM97" s="8">
        <f t="shared" si="9"/>
        <v>1.5999999999999986E-2</v>
      </c>
      <c r="AN97" t="str">
        <f>IF(AC97&lt;Pricing_Policy!$C$10,"Below Floor","Pass")</f>
        <v>Pass</v>
      </c>
      <c r="AO97" t="str">
        <f>IF(V97&gt;Pricing_Policy!$C$7,"Exception","Standard")</f>
        <v>Standard</v>
      </c>
      <c r="AP97" t="str">
        <f t="shared" si="10"/>
        <v>Pass</v>
      </c>
      <c r="AQ97">
        <f t="shared" si="11"/>
        <v>0</v>
      </c>
      <c r="AR97" s="8">
        <f t="shared" si="12"/>
        <v>0</v>
      </c>
      <c r="AS97">
        <f t="shared" si="13"/>
        <v>3</v>
      </c>
    </row>
    <row r="98" spans="1:45">
      <c r="A98" t="str">
        <f>Deals_Raw!A98</f>
        <v>D00107</v>
      </c>
      <c r="B98">
        <f>Deals_Raw!B98</f>
        <v>45696</v>
      </c>
      <c r="C98" t="str">
        <f>Deals_Raw!C98</f>
        <v>C0029</v>
      </c>
      <c r="D98" t="str">
        <f>Deals_Raw!D98</f>
        <v>LEG-0029</v>
      </c>
      <c r="E98" t="str">
        <f>Deals_Raw!E98</f>
        <v>CT00064</v>
      </c>
      <c r="F98" t="str">
        <f>Deals_Raw!F98</f>
        <v>Corporate</v>
      </c>
      <c r="G98" t="str">
        <f>Deals_Raw!G98</f>
        <v>Legal</v>
      </c>
      <c r="H98" t="str">
        <f>Deals_Raw!H98</f>
        <v>Northeast</v>
      </c>
      <c r="I98" t="str">
        <f>Deals_Raw!I98</f>
        <v>Northeast Enterprise</v>
      </c>
      <c r="J98" t="str">
        <f>Deals_Raw!J98</f>
        <v>Enterprise</v>
      </c>
      <c r="K98" t="str">
        <f>Deals_Raw!K98</f>
        <v>No</v>
      </c>
      <c r="L98">
        <f>Deals_Raw!L98</f>
        <v>43617</v>
      </c>
      <c r="M98">
        <f>Deals_Raw!M98</f>
        <v>92</v>
      </c>
      <c r="N98" t="str">
        <f>Deals_Raw!N98</f>
        <v>Nexus Insights</v>
      </c>
      <c r="O98" t="str">
        <f>Deals_Raw!O98</f>
        <v>New Business</v>
      </c>
      <c r="P98">
        <f>Deals_Raw!P98</f>
        <v>0</v>
      </c>
      <c r="Q98">
        <f>Deals_Raw!Q98</f>
        <v>1</v>
      </c>
      <c r="R98">
        <f>Deals_Raw!R98</f>
        <v>1345</v>
      </c>
      <c r="S98" t="str">
        <f>Deals_Raw!S98</f>
        <v>S. Rivera</v>
      </c>
      <c r="T98" s="6">
        <f>Deals_Raw!T98</f>
        <v>178580.6585869359</v>
      </c>
      <c r="U98" s="8">
        <f>Deals_Raw!V98</f>
        <v>0.13200000000000001</v>
      </c>
      <c r="V98" s="8">
        <f>Deals_Raw!W98</f>
        <v>9.9000000000000005E-2</v>
      </c>
      <c r="W98" s="8">
        <f>Deals_Raw!X98</f>
        <v>5.8999999999999997E-2</v>
      </c>
      <c r="X98" t="str">
        <f>Deals_Raw!Y98</f>
        <v>Multi-year commitment</v>
      </c>
      <c r="Y98" t="str">
        <f>Deals_Raw!Z98</f>
        <v>Sales Manager</v>
      </c>
      <c r="Z98" s="6">
        <f>Deals_Raw!AA98</f>
        <v>160972.31743410538</v>
      </c>
      <c r="AA98" s="6">
        <f>Deals_Raw!AC98</f>
        <v>56576.113406023556</v>
      </c>
      <c r="AB98" s="6">
        <f>Deals_Raw!AD98</f>
        <v>104396.20402808182</v>
      </c>
      <c r="AC98" s="8">
        <f>Deals_Raw!AE98</f>
        <v>0.64853513754510483</v>
      </c>
      <c r="AD98" t="str">
        <f>Deals_Raw!AF98</f>
        <v>Won</v>
      </c>
      <c r="AE98">
        <f>Deals_Raw!AG98</f>
        <v>0</v>
      </c>
      <c r="AF98">
        <f>Deals_Raw!AH98</f>
        <v>0</v>
      </c>
      <c r="AG98" t="str">
        <f>Deals_Raw!AI98</f>
        <v>No</v>
      </c>
      <c r="AH98" s="6">
        <f>Deals_Raw!AJ98</f>
        <v>160972.31743410538</v>
      </c>
      <c r="AI98" s="6">
        <f>Deals_Raw!AK98</f>
        <v>104396.20402808182</v>
      </c>
      <c r="AJ98" t="str">
        <f>Deals_Raw!AL98</f>
        <v>First purchase under this contract</v>
      </c>
      <c r="AK98" s="9">
        <f t="shared" si="7"/>
        <v>5.6861111111111109</v>
      </c>
      <c r="AL98" s="8">
        <f t="shared" si="8"/>
        <v>0.90139838607293243</v>
      </c>
      <c r="AM98" s="8">
        <f t="shared" si="9"/>
        <v>3.3000000000000002E-2</v>
      </c>
      <c r="AN98" t="str">
        <f>IF(AC98&lt;Pricing_Policy!$C$10,"Below Floor","Pass")</f>
        <v>Pass</v>
      </c>
      <c r="AO98" t="str">
        <f>IF(V98&gt;Pricing_Policy!$C$7,"Exception","Standard")</f>
        <v>Standard</v>
      </c>
      <c r="AP98" t="str">
        <f t="shared" si="10"/>
        <v>Pass</v>
      </c>
      <c r="AQ98">
        <f t="shared" si="11"/>
        <v>1</v>
      </c>
      <c r="AR98" s="8">
        <f t="shared" si="12"/>
        <v>0.64853513754510483</v>
      </c>
      <c r="AS98">
        <f t="shared" si="13"/>
        <v>1</v>
      </c>
    </row>
    <row r="99" spans="1:45">
      <c r="A99" t="str">
        <f>Deals_Raw!A99</f>
        <v>D00108</v>
      </c>
      <c r="B99">
        <f>Deals_Raw!B99</f>
        <v>45363</v>
      </c>
      <c r="C99" t="str">
        <f>Deals_Raw!C99</f>
        <v>C0029</v>
      </c>
      <c r="D99" t="str">
        <f>Deals_Raw!D99</f>
        <v>LEG-0029</v>
      </c>
      <c r="E99" t="str">
        <f>Deals_Raw!E99</f>
        <v>CT00065</v>
      </c>
      <c r="F99" t="str">
        <f>Deals_Raw!F99</f>
        <v>Finance</v>
      </c>
      <c r="G99" t="str">
        <f>Deals_Raw!G99</f>
        <v>Legal</v>
      </c>
      <c r="H99" t="str">
        <f>Deals_Raw!H99</f>
        <v>Northeast</v>
      </c>
      <c r="I99" t="str">
        <f>Deals_Raw!I99</f>
        <v>Northeast Enterprise</v>
      </c>
      <c r="J99" t="str">
        <f>Deals_Raw!J99</f>
        <v>Enterprise</v>
      </c>
      <c r="K99" t="str">
        <f>Deals_Raw!K99</f>
        <v>No</v>
      </c>
      <c r="L99">
        <f>Deals_Raw!L99</f>
        <v>43617</v>
      </c>
      <c r="M99">
        <f>Deals_Raw!M99</f>
        <v>92</v>
      </c>
      <c r="N99" t="str">
        <f>Deals_Raw!N99</f>
        <v>Nexus AI Assistant</v>
      </c>
      <c r="O99" t="str">
        <f>Deals_Raw!O99</f>
        <v>Renewal</v>
      </c>
      <c r="P99">
        <f>Deals_Raw!P99</f>
        <v>0</v>
      </c>
      <c r="Q99">
        <f>Deals_Raw!Q99</f>
        <v>2</v>
      </c>
      <c r="R99">
        <f>Deals_Raw!R99</f>
        <v>1816</v>
      </c>
      <c r="S99" t="str">
        <f>Deals_Raw!S99</f>
        <v>R. Singh</v>
      </c>
      <c r="T99" s="6">
        <f>Deals_Raw!T99</f>
        <v>329201.77789723972</v>
      </c>
      <c r="U99" s="8">
        <f>Deals_Raw!V99</f>
        <v>0.16400000000000001</v>
      </c>
      <c r="V99" s="8">
        <f>Deals_Raw!W99</f>
        <v>0.14399999999999999</v>
      </c>
      <c r="W99" s="8">
        <f>Deals_Raw!X99</f>
        <v>-5.0000000000000001E-3</v>
      </c>
      <c r="X99" t="str">
        <f>Deals_Raw!Y99</f>
        <v>Strategic logo opportunity</v>
      </c>
      <c r="Y99" t="str">
        <f>Deals_Raw!Z99</f>
        <v>Pricing Analyst</v>
      </c>
      <c r="Z99" s="6">
        <f>Deals_Raw!AA99</f>
        <v>281710.26841463475</v>
      </c>
      <c r="AA99" s="6">
        <f>Deals_Raw!AC99</f>
        <v>117322.31219498134</v>
      </c>
      <c r="AB99" s="6">
        <f>Deals_Raw!AD99</f>
        <v>164387.95621965342</v>
      </c>
      <c r="AC99" s="8">
        <f>Deals_Raw!AE99</f>
        <v>0.58353554928888607</v>
      </c>
      <c r="AD99" t="str">
        <f>Deals_Raw!AF99</f>
        <v>Won</v>
      </c>
      <c r="AE99" t="str">
        <f>Deals_Raw!AG99</f>
        <v>Yes</v>
      </c>
      <c r="AF99">
        <f>Deals_Raw!AH99</f>
        <v>0</v>
      </c>
      <c r="AG99" t="str">
        <f>Deals_Raw!AI99</f>
        <v>No</v>
      </c>
      <c r="AH99" s="6">
        <f>Deals_Raw!AJ99</f>
        <v>281710.26841463475</v>
      </c>
      <c r="AI99" s="6">
        <f>Deals_Raw!AK99</f>
        <v>164387.95621965342</v>
      </c>
      <c r="AJ99" t="str">
        <f>Deals_Raw!AL99</f>
        <v>Renewal of existing active contract</v>
      </c>
      <c r="AK99" s="9">
        <f t="shared" si="7"/>
        <v>4.7805555555555559</v>
      </c>
      <c r="AL99" s="8">
        <f t="shared" si="8"/>
        <v>0.85573738457321014</v>
      </c>
      <c r="AM99" s="8">
        <f t="shared" si="9"/>
        <v>2.0000000000000018E-2</v>
      </c>
      <c r="AN99" t="str">
        <f>IF(AC99&lt;Pricing_Policy!$C$10,"Below Floor","Pass")</f>
        <v>Pass</v>
      </c>
      <c r="AO99" t="str">
        <f>IF(V99&gt;Pricing_Policy!$C$7,"Exception","Standard")</f>
        <v>Standard</v>
      </c>
      <c r="AP99" t="str">
        <f t="shared" si="10"/>
        <v>Pass</v>
      </c>
      <c r="AQ99">
        <f t="shared" si="11"/>
        <v>1</v>
      </c>
      <c r="AR99" s="8">
        <f t="shared" si="12"/>
        <v>0.58353554928888607</v>
      </c>
      <c r="AS99">
        <f t="shared" si="13"/>
        <v>1</v>
      </c>
    </row>
    <row r="100" spans="1:45">
      <c r="A100" t="str">
        <f>Deals_Raw!A100</f>
        <v>D00109</v>
      </c>
      <c r="B100">
        <f>Deals_Raw!B100</f>
        <v>45977</v>
      </c>
      <c r="C100" t="str">
        <f>Deals_Raw!C100</f>
        <v>C0030</v>
      </c>
      <c r="D100" t="str">
        <f>Deals_Raw!D100</f>
        <v>HEA-0030</v>
      </c>
      <c r="E100" t="str">
        <f>Deals_Raw!E100</f>
        <v>CT00066</v>
      </c>
      <c r="F100" t="str">
        <f>Deals_Raw!F100</f>
        <v>Operations</v>
      </c>
      <c r="G100" t="str">
        <f>Deals_Raw!G100</f>
        <v>Healthcare</v>
      </c>
      <c r="H100" t="str">
        <f>Deals_Raw!H100</f>
        <v>South</v>
      </c>
      <c r="I100" t="str">
        <f>Deals_Raw!I100</f>
        <v>South Commercial</v>
      </c>
      <c r="J100" t="str">
        <f>Deals_Raw!J100</f>
        <v>SMB</v>
      </c>
      <c r="K100" t="str">
        <f>Deals_Raw!K100</f>
        <v>No</v>
      </c>
      <c r="L100">
        <f>Deals_Raw!L100</f>
        <v>44075</v>
      </c>
      <c r="M100">
        <f>Deals_Raw!M100</f>
        <v>82</v>
      </c>
      <c r="N100" t="str">
        <f>Deals_Raw!N100</f>
        <v>Nexus Analytics</v>
      </c>
      <c r="O100" t="str">
        <f>Deals_Raw!O100</f>
        <v>Renewal</v>
      </c>
      <c r="P100">
        <f>Deals_Raw!P100</f>
        <v>0</v>
      </c>
      <c r="Q100">
        <f>Deals_Raw!Q100</f>
        <v>3</v>
      </c>
      <c r="R100">
        <f>Deals_Raw!R100</f>
        <v>64</v>
      </c>
      <c r="S100" t="str">
        <f>Deals_Raw!S100</f>
        <v>T. Brooks</v>
      </c>
      <c r="T100" s="6">
        <f>Deals_Raw!T100</f>
        <v>55750.815635783678</v>
      </c>
      <c r="U100" s="8">
        <f>Deals_Raw!V100</f>
        <v>0.16600000000000001</v>
      </c>
      <c r="V100" s="8">
        <f>Deals_Raw!W100</f>
        <v>0.158</v>
      </c>
      <c r="W100" s="8">
        <f>Deals_Raw!X100</f>
        <v>-2.3E-2</v>
      </c>
      <c r="X100" t="str">
        <f>Deals_Raw!Y100</f>
        <v>Expansion opportunity</v>
      </c>
      <c r="Y100" t="str">
        <f>Deals_Raw!Z100</f>
        <v>Pricing Analyst</v>
      </c>
      <c r="Z100" s="6">
        <f>Deals_Raw!AA100</f>
        <v>46959.85939006925</v>
      </c>
      <c r="AA100" s="6">
        <f>Deals_Raw!AC100</f>
        <v>17438.326962810766</v>
      </c>
      <c r="AB100" s="6">
        <f>Deals_Raw!AD100</f>
        <v>29521.532427258484</v>
      </c>
      <c r="AC100" s="8">
        <f>Deals_Raw!AE100</f>
        <v>0.62865461717079796</v>
      </c>
      <c r="AD100" t="str">
        <f>Deals_Raw!AF100</f>
        <v>Won</v>
      </c>
      <c r="AE100" t="str">
        <f>Deals_Raw!AG100</f>
        <v>Yes</v>
      </c>
      <c r="AF100">
        <f>Deals_Raw!AH100</f>
        <v>0</v>
      </c>
      <c r="AG100" t="str">
        <f>Deals_Raw!AI100</f>
        <v>No</v>
      </c>
      <c r="AH100" s="6">
        <f>Deals_Raw!AJ100</f>
        <v>46959.85939006925</v>
      </c>
      <c r="AI100" s="6">
        <f>Deals_Raw!AK100</f>
        <v>29521.532427258484</v>
      </c>
      <c r="AJ100" t="str">
        <f>Deals_Raw!AL100</f>
        <v>Renewal of existing active contract</v>
      </c>
      <c r="AK100" s="9">
        <f t="shared" si="7"/>
        <v>5.208333333333333</v>
      </c>
      <c r="AL100" s="8">
        <f t="shared" si="8"/>
        <v>0.84231699311548813</v>
      </c>
      <c r="AM100" s="8">
        <f t="shared" si="9"/>
        <v>8.0000000000000071E-3</v>
      </c>
      <c r="AN100" t="str">
        <f>IF(AC100&lt;Pricing_Policy!$C$10,"Below Floor","Pass")</f>
        <v>Pass</v>
      </c>
      <c r="AO100" t="str">
        <f>IF(V100&gt;Pricing_Policy!$C$7,"Exception","Standard")</f>
        <v>Standard</v>
      </c>
      <c r="AP100" t="str">
        <f t="shared" si="10"/>
        <v>Pass</v>
      </c>
      <c r="AQ100">
        <f t="shared" si="11"/>
        <v>1</v>
      </c>
      <c r="AR100" s="8">
        <f t="shared" si="12"/>
        <v>0.62865461717079796</v>
      </c>
      <c r="AS100">
        <f t="shared" si="13"/>
        <v>1</v>
      </c>
    </row>
    <row r="101" spans="1:45">
      <c r="A101" t="str">
        <f>Deals_Raw!A101</f>
        <v>D00112</v>
      </c>
      <c r="B101">
        <f>Deals_Raw!B101</f>
        <v>45591</v>
      </c>
      <c r="C101" t="str">
        <f>Deals_Raw!C101</f>
        <v>C0031</v>
      </c>
      <c r="D101" t="str">
        <f>Deals_Raw!D101</f>
        <v>MAN-0031</v>
      </c>
      <c r="E101" t="str">
        <f>Deals_Raw!E101</f>
        <v>CT00067</v>
      </c>
      <c r="F101" t="str">
        <f>Deals_Raw!F101</f>
        <v>Corporate</v>
      </c>
      <c r="G101" t="str">
        <f>Deals_Raw!G101</f>
        <v>Manufacturing</v>
      </c>
      <c r="H101" t="str">
        <f>Deals_Raw!H101</f>
        <v>West</v>
      </c>
      <c r="I101" t="str">
        <f>Deals_Raw!I101</f>
        <v>West Commercial</v>
      </c>
      <c r="J101" t="str">
        <f>Deals_Raw!J101</f>
        <v>Mid-Market</v>
      </c>
      <c r="K101" t="str">
        <f>Deals_Raw!K101</f>
        <v>No</v>
      </c>
      <c r="L101">
        <f>Deals_Raw!L101</f>
        <v>43466</v>
      </c>
      <c r="M101">
        <f>Deals_Raw!M101</f>
        <v>54</v>
      </c>
      <c r="N101" t="str">
        <f>Deals_Raw!N101</f>
        <v>Nexus Insights</v>
      </c>
      <c r="O101" t="str">
        <f>Deals_Raw!O101</f>
        <v>Renewal</v>
      </c>
      <c r="P101">
        <f>Deals_Raw!P101</f>
        <v>0</v>
      </c>
      <c r="Q101">
        <f>Deals_Raw!Q101</f>
        <v>1</v>
      </c>
      <c r="R101">
        <f>Deals_Raw!R101</f>
        <v>206</v>
      </c>
      <c r="S101" t="str">
        <f>Deals_Raw!S101</f>
        <v>S. Rivera</v>
      </c>
      <c r="T101" s="6">
        <f>Deals_Raw!T101</f>
        <v>34843.3515377476</v>
      </c>
      <c r="U101" s="8">
        <f>Deals_Raw!V101</f>
        <v>0.219</v>
      </c>
      <c r="V101" s="8">
        <f>Deals_Raw!W101</f>
        <v>0.20899999999999999</v>
      </c>
      <c r="W101" s="8">
        <f>Deals_Raw!X101</f>
        <v>-8.5999999999999993E-2</v>
      </c>
      <c r="X101" t="str">
        <f>Deals_Raw!Y101</f>
        <v>Renewal retention risk</v>
      </c>
      <c r="Y101" t="str">
        <f>Deals_Raw!Z101</f>
        <v>Business Manager</v>
      </c>
      <c r="Z101" s="6">
        <f>Deals_Raw!AA101</f>
        <v>27577.373485041317</v>
      </c>
      <c r="AA101" s="6">
        <f>Deals_Raw!AC101</f>
        <v>9106.8110010692217</v>
      </c>
      <c r="AB101" s="6">
        <f>Deals_Raw!AD101</f>
        <v>18470.562483972095</v>
      </c>
      <c r="AC101" s="8">
        <f>Deals_Raw!AE101</f>
        <v>0.66977235863273954</v>
      </c>
      <c r="AD101" t="str">
        <f>Deals_Raw!AF101</f>
        <v>Won</v>
      </c>
      <c r="AE101" t="str">
        <f>Deals_Raw!AG101</f>
        <v>Yes</v>
      </c>
      <c r="AF101">
        <f>Deals_Raw!AH101</f>
        <v>0</v>
      </c>
      <c r="AG101" t="str">
        <f>Deals_Raw!AI101</f>
        <v>No</v>
      </c>
      <c r="AH101" s="6">
        <f>Deals_Raw!AJ101</f>
        <v>27577.373485041317</v>
      </c>
      <c r="AI101" s="6">
        <f>Deals_Raw!AK101</f>
        <v>18470.562483972095</v>
      </c>
      <c r="AJ101" t="str">
        <f>Deals_Raw!AL101</f>
        <v>Renewal of existing active contract</v>
      </c>
      <c r="AK101" s="9">
        <f t="shared" si="7"/>
        <v>5.8194444444444446</v>
      </c>
      <c r="AL101" s="8">
        <f t="shared" si="8"/>
        <v>0.79146730345860461</v>
      </c>
      <c r="AM101" s="8">
        <f t="shared" si="9"/>
        <v>1.0000000000000009E-2</v>
      </c>
      <c r="AN101" t="str">
        <f>IF(AC101&lt;Pricing_Policy!$C$10,"Below Floor","Pass")</f>
        <v>Pass</v>
      </c>
      <c r="AO101" t="str">
        <f>IF(V101&gt;Pricing_Policy!$C$7,"Exception","Standard")</f>
        <v>Standard</v>
      </c>
      <c r="AP101" t="str">
        <f t="shared" si="10"/>
        <v>Pass</v>
      </c>
      <c r="AQ101">
        <f t="shared" si="11"/>
        <v>1</v>
      </c>
      <c r="AR101" s="8">
        <f t="shared" si="12"/>
        <v>0.66977235863273954</v>
      </c>
      <c r="AS101">
        <f t="shared" si="13"/>
        <v>2</v>
      </c>
    </row>
    <row r="102" spans="1:45">
      <c r="A102" t="str">
        <f>Deals_Raw!A102</f>
        <v>D00113</v>
      </c>
      <c r="B102">
        <f>Deals_Raw!B102</f>
        <v>45956</v>
      </c>
      <c r="C102" t="str">
        <f>Deals_Raw!C102</f>
        <v>C0031</v>
      </c>
      <c r="D102" t="str">
        <f>Deals_Raw!D102</f>
        <v>MAN-0031</v>
      </c>
      <c r="E102" t="str">
        <f>Deals_Raw!E102</f>
        <v>CT00067</v>
      </c>
      <c r="F102" t="str">
        <f>Deals_Raw!F102</f>
        <v>Corporate</v>
      </c>
      <c r="G102" t="str">
        <f>Deals_Raw!G102</f>
        <v>Manufacturing</v>
      </c>
      <c r="H102" t="str">
        <f>Deals_Raw!H102</f>
        <v>West</v>
      </c>
      <c r="I102" t="str">
        <f>Deals_Raw!I102</f>
        <v>West Commercial</v>
      </c>
      <c r="J102" t="str">
        <f>Deals_Raw!J102</f>
        <v>Mid-Market</v>
      </c>
      <c r="K102" t="str">
        <f>Deals_Raw!K102</f>
        <v>No</v>
      </c>
      <c r="L102">
        <f>Deals_Raw!L102</f>
        <v>43466</v>
      </c>
      <c r="M102">
        <f>Deals_Raw!M102</f>
        <v>54</v>
      </c>
      <c r="N102" t="str">
        <f>Deals_Raw!N102</f>
        <v>Nexus Insights</v>
      </c>
      <c r="O102" t="str">
        <f>Deals_Raw!O102</f>
        <v>Renewal</v>
      </c>
      <c r="P102">
        <f>Deals_Raw!P102</f>
        <v>0</v>
      </c>
      <c r="Q102">
        <f>Deals_Raw!Q102</f>
        <v>1</v>
      </c>
      <c r="R102">
        <f>Deals_Raw!R102</f>
        <v>206</v>
      </c>
      <c r="S102" t="str">
        <f>Deals_Raw!S102</f>
        <v>R. Singh</v>
      </c>
      <c r="T102" s="6">
        <f>Deals_Raw!T102</f>
        <v>37348.167598059837</v>
      </c>
      <c r="U102" s="8">
        <f>Deals_Raw!V102</f>
        <v>0.185</v>
      </c>
      <c r="V102" s="8">
        <f>Deals_Raw!W102</f>
        <v>0.17599999999999999</v>
      </c>
      <c r="W102" s="8">
        <f>Deals_Raw!X102</f>
        <v>3.3000000000000002E-2</v>
      </c>
      <c r="X102" t="str">
        <f>Deals_Raw!Y102</f>
        <v>Renewal retention risk</v>
      </c>
      <c r="Y102" t="str">
        <f>Deals_Raw!Z102</f>
        <v>Pricing Analyst</v>
      </c>
      <c r="Z102" s="6">
        <f>Deals_Raw!AA102</f>
        <v>30768.282492842525</v>
      </c>
      <c r="AA102" s="6">
        <f>Deals_Raw!AC102</f>
        <v>10680.367127934409</v>
      </c>
      <c r="AB102" s="6">
        <f>Deals_Raw!AD102</f>
        <v>20087.915364908116</v>
      </c>
      <c r="AC102" s="8">
        <f>Deals_Raw!AE102</f>
        <v>0.65287737037584304</v>
      </c>
      <c r="AD102" t="str">
        <f>Deals_Raw!AF102</f>
        <v>Won</v>
      </c>
      <c r="AE102" t="str">
        <f>Deals_Raw!AG102</f>
        <v>Yes</v>
      </c>
      <c r="AF102">
        <f>Deals_Raw!AH102</f>
        <v>0</v>
      </c>
      <c r="AG102" t="str">
        <f>Deals_Raw!AI102</f>
        <v>No</v>
      </c>
      <c r="AH102" s="6">
        <f>Deals_Raw!AJ102</f>
        <v>30768.282492842525</v>
      </c>
      <c r="AI102" s="6">
        <f>Deals_Raw!AK102</f>
        <v>20087.915364908116</v>
      </c>
      <c r="AJ102" t="str">
        <f>Deals_Raw!AL102</f>
        <v>Renewal of existing active contract</v>
      </c>
      <c r="AK102" s="9">
        <f t="shared" si="7"/>
        <v>6.8194444444444446</v>
      </c>
      <c r="AL102" s="8">
        <f t="shared" si="8"/>
        <v>0.82382308079930744</v>
      </c>
      <c r="AM102" s="8">
        <f t="shared" si="9"/>
        <v>9.000000000000008E-3</v>
      </c>
      <c r="AN102" t="str">
        <f>IF(AC102&lt;Pricing_Policy!$C$10,"Below Floor","Pass")</f>
        <v>Pass</v>
      </c>
      <c r="AO102" t="str">
        <f>IF(V102&gt;Pricing_Policy!$C$7,"Exception","Standard")</f>
        <v>Standard</v>
      </c>
      <c r="AP102" t="str">
        <f t="shared" si="10"/>
        <v>Pass</v>
      </c>
      <c r="AQ102">
        <f t="shared" si="11"/>
        <v>1</v>
      </c>
      <c r="AR102" s="8">
        <f t="shared" si="12"/>
        <v>0.65287737037584304</v>
      </c>
      <c r="AS102">
        <f t="shared" si="13"/>
        <v>2</v>
      </c>
    </row>
    <row r="103" spans="1:45">
      <c r="A103" t="str">
        <f>Deals_Raw!A103</f>
        <v>D00116</v>
      </c>
      <c r="B103">
        <f>Deals_Raw!B103</f>
        <v>45443</v>
      </c>
      <c r="C103" t="str">
        <f>Deals_Raw!C103</f>
        <v>C0031</v>
      </c>
      <c r="D103" t="str">
        <f>Deals_Raw!D103</f>
        <v>MAN-0031</v>
      </c>
      <c r="E103" t="str">
        <f>Deals_Raw!E103</f>
        <v>CT00068</v>
      </c>
      <c r="F103" t="str">
        <f>Deals_Raw!F103</f>
        <v>Finance</v>
      </c>
      <c r="G103" t="str">
        <f>Deals_Raw!G103</f>
        <v>Manufacturing</v>
      </c>
      <c r="H103" t="str">
        <f>Deals_Raw!H103</f>
        <v>West</v>
      </c>
      <c r="I103" t="str">
        <f>Deals_Raw!I103</f>
        <v>West Commercial</v>
      </c>
      <c r="J103" t="str">
        <f>Deals_Raw!J103</f>
        <v>Mid-Market</v>
      </c>
      <c r="K103" t="str">
        <f>Deals_Raw!K103</f>
        <v>No</v>
      </c>
      <c r="L103">
        <f>Deals_Raw!L103</f>
        <v>43466</v>
      </c>
      <c r="M103">
        <f>Deals_Raw!M103</f>
        <v>54</v>
      </c>
      <c r="N103" t="str">
        <f>Deals_Raw!N103</f>
        <v>Nexus AI Assistant</v>
      </c>
      <c r="O103" t="str">
        <f>Deals_Raw!O103</f>
        <v>Expansion</v>
      </c>
      <c r="P103" t="str">
        <f>Deals_Raw!P103</f>
        <v>Module Add-on</v>
      </c>
      <c r="Q103">
        <f>Deals_Raw!Q103</f>
        <v>1</v>
      </c>
      <c r="R103">
        <f>Deals_Raw!R103</f>
        <v>178</v>
      </c>
      <c r="S103" t="str">
        <f>Deals_Raw!S103</f>
        <v>S. Rivera</v>
      </c>
      <c r="T103" s="6">
        <f>Deals_Raw!T103</f>
        <v>147965.01134531447</v>
      </c>
      <c r="U103" s="8">
        <f>Deals_Raw!V103</f>
        <v>0.107</v>
      </c>
      <c r="V103" s="8">
        <f>Deals_Raw!W103</f>
        <v>9.2999999999999999E-2</v>
      </c>
      <c r="W103" s="8">
        <f>Deals_Raw!X103</f>
        <v>-6.0000000000000001E-3</v>
      </c>
      <c r="X103" t="str">
        <f>Deals_Raw!Y103</f>
        <v>Expansion opportunity</v>
      </c>
      <c r="Y103" t="str">
        <f>Deals_Raw!Z103</f>
        <v>Sales Manager</v>
      </c>
      <c r="Z103" s="6">
        <f>Deals_Raw!AA103</f>
        <v>134245.4709872627</v>
      </c>
      <c r="AA103" s="6">
        <f>Deals_Raw!AC103</f>
        <v>57429.428426371989</v>
      </c>
      <c r="AB103" s="6">
        <f>Deals_Raw!AD103</f>
        <v>76816.04256089071</v>
      </c>
      <c r="AC103" s="8">
        <f>Deals_Raw!AE103</f>
        <v>0.57220584050972612</v>
      </c>
      <c r="AD103" t="str">
        <f>Deals_Raw!AF103</f>
        <v>Won</v>
      </c>
      <c r="AE103">
        <f>Deals_Raw!AG103</f>
        <v>0</v>
      </c>
      <c r="AF103" t="str">
        <f>Deals_Raw!AH103</f>
        <v>Yes</v>
      </c>
      <c r="AG103" t="str">
        <f>Deals_Raw!AI103</f>
        <v>No</v>
      </c>
      <c r="AH103" s="6">
        <f>Deals_Raw!AJ103</f>
        <v>134245.4709872627</v>
      </c>
      <c r="AI103" s="6">
        <f>Deals_Raw!AK103</f>
        <v>76816.04256089071</v>
      </c>
      <c r="AJ103" t="str">
        <f>Deals_Raw!AL103</f>
        <v>Expansion allowed because contract was active</v>
      </c>
      <c r="AK103" s="9">
        <f t="shared" si="7"/>
        <v>5.416666666666667</v>
      </c>
      <c r="AL103" s="8">
        <f t="shared" si="8"/>
        <v>0.90727848270809308</v>
      </c>
      <c r="AM103" s="8">
        <f t="shared" si="9"/>
        <v>1.3999999999999999E-2</v>
      </c>
      <c r="AN103" t="str">
        <f>IF(AC103&lt;Pricing_Policy!$C$10,"Below Floor","Pass")</f>
        <v>Pass</v>
      </c>
      <c r="AO103" t="str">
        <f>IF(V103&gt;Pricing_Policy!$C$7,"Exception","Standard")</f>
        <v>Standard</v>
      </c>
      <c r="AP103" t="str">
        <f t="shared" si="10"/>
        <v>Pass</v>
      </c>
      <c r="AQ103">
        <f t="shared" si="11"/>
        <v>1</v>
      </c>
      <c r="AR103" s="8">
        <f t="shared" si="12"/>
        <v>0.57220584050972612</v>
      </c>
      <c r="AS103">
        <f t="shared" si="13"/>
        <v>4</v>
      </c>
    </row>
    <row r="104" spans="1:45">
      <c r="A104" t="str">
        <f>Deals_Raw!A104</f>
        <v>D00117</v>
      </c>
      <c r="B104">
        <f>Deals_Raw!B104</f>
        <v>45629</v>
      </c>
      <c r="C104" t="str">
        <f>Deals_Raw!C104</f>
        <v>C0031</v>
      </c>
      <c r="D104" t="str">
        <f>Deals_Raw!D104</f>
        <v>MAN-0031</v>
      </c>
      <c r="E104" t="str">
        <f>Deals_Raw!E104</f>
        <v>CT00068</v>
      </c>
      <c r="F104" t="str">
        <f>Deals_Raw!F104</f>
        <v>Finance</v>
      </c>
      <c r="G104" t="str">
        <f>Deals_Raw!G104</f>
        <v>Manufacturing</v>
      </c>
      <c r="H104" t="str">
        <f>Deals_Raw!H104</f>
        <v>West</v>
      </c>
      <c r="I104" t="str">
        <f>Deals_Raw!I104</f>
        <v>West Commercial</v>
      </c>
      <c r="J104" t="str">
        <f>Deals_Raw!J104</f>
        <v>Mid-Market</v>
      </c>
      <c r="K104" t="str">
        <f>Deals_Raw!K104</f>
        <v>No</v>
      </c>
      <c r="L104">
        <f>Deals_Raw!L104</f>
        <v>43466</v>
      </c>
      <c r="M104">
        <f>Deals_Raw!M104</f>
        <v>54</v>
      </c>
      <c r="N104" t="str">
        <f>Deals_Raw!N104</f>
        <v>Nexus AI Assistant</v>
      </c>
      <c r="O104" t="str">
        <f>Deals_Raw!O104</f>
        <v>Renewal</v>
      </c>
      <c r="P104">
        <f>Deals_Raw!P104</f>
        <v>0</v>
      </c>
      <c r="Q104">
        <f>Deals_Raw!Q104</f>
        <v>1</v>
      </c>
      <c r="R104">
        <f>Deals_Raw!R104</f>
        <v>178</v>
      </c>
      <c r="S104" t="str">
        <f>Deals_Raw!S104</f>
        <v>M. Johnson</v>
      </c>
      <c r="T104" s="6">
        <f>Deals_Raw!T104</f>
        <v>158442.39918438293</v>
      </c>
      <c r="U104" s="8">
        <f>Deals_Raw!V104</f>
        <v>0.23200000000000001</v>
      </c>
      <c r="V104" s="8">
        <f>Deals_Raw!W104</f>
        <v>0.19800000000000001</v>
      </c>
      <c r="W104" s="8">
        <f>Deals_Raw!X104</f>
        <v>-5.5E-2</v>
      </c>
      <c r="X104" t="str">
        <f>Deals_Raw!Y104</f>
        <v>Renewal retention risk</v>
      </c>
      <c r="Y104" t="str">
        <f>Deals_Raw!Z104</f>
        <v>Pricing Analyst</v>
      </c>
      <c r="Z104" s="6">
        <f>Deals_Raw!AA104</f>
        <v>127081.12397269894</v>
      </c>
      <c r="AA104" s="6">
        <f>Deals_Raw!AC104</f>
        <v>60171.886608019624</v>
      </c>
      <c r="AB104" s="6">
        <f>Deals_Raw!AD104</f>
        <v>66909.237364679313</v>
      </c>
      <c r="AC104" s="8">
        <f>Deals_Raw!AE104</f>
        <v>0.52650807038072422</v>
      </c>
      <c r="AD104" t="str">
        <f>Deals_Raw!AF104</f>
        <v>Lost</v>
      </c>
      <c r="AE104" t="str">
        <f>Deals_Raw!AG104</f>
        <v>No</v>
      </c>
      <c r="AF104">
        <f>Deals_Raw!AH104</f>
        <v>0</v>
      </c>
      <c r="AG104" t="str">
        <f>Deals_Raw!AI104</f>
        <v>No</v>
      </c>
      <c r="AH104" s="6">
        <f>Deals_Raw!AJ104</f>
        <v>0</v>
      </c>
      <c r="AI104" s="6">
        <f>Deals_Raw!AK104</f>
        <v>0</v>
      </c>
      <c r="AJ104" t="str">
        <f>Deals_Raw!AL104</f>
        <v>Renewal of existing active contract</v>
      </c>
      <c r="AK104" s="9">
        <f t="shared" si="7"/>
        <v>5.9222222222222225</v>
      </c>
      <c r="AL104" s="8">
        <f t="shared" si="8"/>
        <v>0.80206513298761539</v>
      </c>
      <c r="AM104" s="8">
        <f t="shared" si="9"/>
        <v>3.4000000000000002E-2</v>
      </c>
      <c r="AN104" t="str">
        <f>IF(AC104&lt;Pricing_Policy!$C$10,"Below Floor","Pass")</f>
        <v>Pass</v>
      </c>
      <c r="AO104" t="str">
        <f>IF(V104&gt;Pricing_Policy!$C$7,"Exception","Standard")</f>
        <v>Standard</v>
      </c>
      <c r="AP104" t="str">
        <f t="shared" si="10"/>
        <v>Pass</v>
      </c>
      <c r="AQ104">
        <f t="shared" si="11"/>
        <v>0</v>
      </c>
      <c r="AR104" s="8">
        <f t="shared" si="12"/>
        <v>0</v>
      </c>
      <c r="AS104">
        <f t="shared" si="13"/>
        <v>4</v>
      </c>
    </row>
    <row r="105" spans="1:45">
      <c r="A105" t="str">
        <f>Deals_Raw!A105</f>
        <v>D00118</v>
      </c>
      <c r="B105">
        <f>Deals_Raw!B105</f>
        <v>45758</v>
      </c>
      <c r="C105" t="str">
        <f>Deals_Raw!C105</f>
        <v>C0031</v>
      </c>
      <c r="D105" t="str">
        <f>Deals_Raw!D105</f>
        <v>MAN-0031</v>
      </c>
      <c r="E105" t="str">
        <f>Deals_Raw!E105</f>
        <v>CT00068</v>
      </c>
      <c r="F105" t="str">
        <f>Deals_Raw!F105</f>
        <v>Finance</v>
      </c>
      <c r="G105" t="str">
        <f>Deals_Raw!G105</f>
        <v>Manufacturing</v>
      </c>
      <c r="H105" t="str">
        <f>Deals_Raw!H105</f>
        <v>West</v>
      </c>
      <c r="I105" t="str">
        <f>Deals_Raw!I105</f>
        <v>West Commercial</v>
      </c>
      <c r="J105" t="str">
        <f>Deals_Raw!J105</f>
        <v>Mid-Market</v>
      </c>
      <c r="K105" t="str">
        <f>Deals_Raw!K105</f>
        <v>No</v>
      </c>
      <c r="L105">
        <f>Deals_Raw!L105</f>
        <v>43466</v>
      </c>
      <c r="M105">
        <f>Deals_Raw!M105</f>
        <v>54</v>
      </c>
      <c r="N105" t="str">
        <f>Deals_Raw!N105</f>
        <v>Nexus AI Assistant</v>
      </c>
      <c r="O105" t="str">
        <f>Deals_Raw!O105</f>
        <v>Win-back</v>
      </c>
      <c r="P105">
        <f>Deals_Raw!P105</f>
        <v>0</v>
      </c>
      <c r="Q105">
        <f>Deals_Raw!Q105</f>
        <v>1</v>
      </c>
      <c r="R105">
        <f>Deals_Raw!R105</f>
        <v>178</v>
      </c>
      <c r="S105" t="str">
        <f>Deals_Raw!S105</f>
        <v>R. Singh</v>
      </c>
      <c r="T105" s="6">
        <f>Deals_Raw!T105</f>
        <v>158442.39918438293</v>
      </c>
      <c r="U105" s="8">
        <f>Deals_Raw!V105</f>
        <v>0.217</v>
      </c>
      <c r="V105" s="8">
        <f>Deals_Raw!W105</f>
        <v>0.183</v>
      </c>
      <c r="W105" s="8">
        <f>Deals_Raw!X105</f>
        <v>-0.151</v>
      </c>
      <c r="X105" t="str">
        <f>Deals_Raw!Y105</f>
        <v>Renewal retention risk</v>
      </c>
      <c r="Y105" t="str">
        <f>Deals_Raw!Z105</f>
        <v>Pricing Analyst</v>
      </c>
      <c r="Z105" s="6">
        <f>Deals_Raw!AA105</f>
        <v>129449.27196351325</v>
      </c>
      <c r="AA105" s="6">
        <f>Deals_Raw!AC105</f>
        <v>63049.481290722273</v>
      </c>
      <c r="AB105" s="6">
        <f>Deals_Raw!AD105</f>
        <v>66399.790672790987</v>
      </c>
      <c r="AC105" s="8">
        <f>Deals_Raw!AE105</f>
        <v>0.51294062659160045</v>
      </c>
      <c r="AD105" t="str">
        <f>Deals_Raw!AF105</f>
        <v>Won</v>
      </c>
      <c r="AE105">
        <f>Deals_Raw!AG105</f>
        <v>0</v>
      </c>
      <c r="AF105">
        <f>Deals_Raw!AH105</f>
        <v>0</v>
      </c>
      <c r="AG105" t="str">
        <f>Deals_Raw!AI105</f>
        <v>Yes</v>
      </c>
      <c r="AH105" s="6">
        <f>Deals_Raw!AJ105</f>
        <v>129449.27196351325</v>
      </c>
      <c r="AI105" s="6">
        <f>Deals_Raw!AK105</f>
        <v>66399.790672790987</v>
      </c>
      <c r="AJ105" t="str">
        <f>Deals_Raw!AL105</f>
        <v>Customer returned after lost renewal</v>
      </c>
      <c r="AK105" s="9">
        <f t="shared" si="7"/>
        <v>6.2777777777777777</v>
      </c>
      <c r="AL105" s="8">
        <f t="shared" si="8"/>
        <v>0.81701156148784559</v>
      </c>
      <c r="AM105" s="8">
        <f t="shared" si="9"/>
        <v>3.4000000000000002E-2</v>
      </c>
      <c r="AN105" t="str">
        <f>IF(AC105&lt;Pricing_Policy!$C$10,"Below Floor","Pass")</f>
        <v>Pass</v>
      </c>
      <c r="AO105" t="str">
        <f>IF(V105&gt;Pricing_Policy!$C$7,"Exception","Standard")</f>
        <v>Standard</v>
      </c>
      <c r="AP105" t="str">
        <f t="shared" si="10"/>
        <v>Pass</v>
      </c>
      <c r="AQ105">
        <f t="shared" si="11"/>
        <v>1</v>
      </c>
      <c r="AR105" s="8">
        <f t="shared" si="12"/>
        <v>0.51294062659160045</v>
      </c>
      <c r="AS105">
        <f t="shared" si="13"/>
        <v>4</v>
      </c>
    </row>
    <row r="106" spans="1:45">
      <c r="A106" t="str">
        <f>Deals_Raw!A106</f>
        <v>D00120</v>
      </c>
      <c r="B106">
        <f>Deals_Raw!B106</f>
        <v>45858</v>
      </c>
      <c r="C106" t="str">
        <f>Deals_Raw!C106</f>
        <v>C0031</v>
      </c>
      <c r="D106" t="str">
        <f>Deals_Raw!D106</f>
        <v>MAN-0031</v>
      </c>
      <c r="E106" t="str">
        <f>Deals_Raw!E106</f>
        <v>CT00069</v>
      </c>
      <c r="F106" t="str">
        <f>Deals_Raw!F106</f>
        <v>Technology</v>
      </c>
      <c r="G106" t="str">
        <f>Deals_Raw!G106</f>
        <v>Manufacturing</v>
      </c>
      <c r="H106" t="str">
        <f>Deals_Raw!H106</f>
        <v>West</v>
      </c>
      <c r="I106" t="str">
        <f>Deals_Raw!I106</f>
        <v>West Commercial</v>
      </c>
      <c r="J106" t="str">
        <f>Deals_Raw!J106</f>
        <v>Mid-Market</v>
      </c>
      <c r="K106" t="str">
        <f>Deals_Raw!K106</f>
        <v>No</v>
      </c>
      <c r="L106">
        <f>Deals_Raw!L106</f>
        <v>43466</v>
      </c>
      <c r="M106">
        <f>Deals_Raw!M106</f>
        <v>54</v>
      </c>
      <c r="N106" t="str">
        <f>Deals_Raw!N106</f>
        <v>Nexus AI Assistant</v>
      </c>
      <c r="O106" t="str">
        <f>Deals_Raw!O106</f>
        <v>Renewal</v>
      </c>
      <c r="P106">
        <f>Deals_Raw!P106</f>
        <v>0</v>
      </c>
      <c r="Q106">
        <f>Deals_Raw!Q106</f>
        <v>2</v>
      </c>
      <c r="R106">
        <f>Deals_Raw!R106</f>
        <v>156</v>
      </c>
      <c r="S106" t="str">
        <f>Deals_Raw!S106</f>
        <v>K. Nguyen</v>
      </c>
      <c r="T106" s="6">
        <f>Deals_Raw!T106</f>
        <v>119783.39204314092</v>
      </c>
      <c r="U106" s="8">
        <f>Deals_Raw!V106</f>
        <v>0.17100000000000001</v>
      </c>
      <c r="V106" s="8">
        <f>Deals_Raw!W106</f>
        <v>0.16200000000000001</v>
      </c>
      <c r="W106" s="8">
        <f>Deals_Raw!X106</f>
        <v>-4.9000000000000002E-2</v>
      </c>
      <c r="X106" t="str">
        <f>Deals_Raw!Y106</f>
        <v>Renewal retention risk</v>
      </c>
      <c r="Y106" t="str">
        <f>Deals_Raw!Z106</f>
        <v>Pricing Analyst</v>
      </c>
      <c r="Z106" s="6">
        <f>Deals_Raw!AA106</f>
        <v>100407.10836851354</v>
      </c>
      <c r="AA106" s="6">
        <f>Deals_Raw!AC106</f>
        <v>43450.969276943528</v>
      </c>
      <c r="AB106" s="6">
        <f>Deals_Raw!AD106</f>
        <v>56956.13909157001</v>
      </c>
      <c r="AC106" s="8">
        <f>Deals_Raw!AE106</f>
        <v>0.56725206030762232</v>
      </c>
      <c r="AD106" t="str">
        <f>Deals_Raw!AF106</f>
        <v>Won</v>
      </c>
      <c r="AE106" t="str">
        <f>Deals_Raw!AG106</f>
        <v>Yes</v>
      </c>
      <c r="AF106">
        <f>Deals_Raw!AH106</f>
        <v>0</v>
      </c>
      <c r="AG106" t="str">
        <f>Deals_Raw!AI106</f>
        <v>No</v>
      </c>
      <c r="AH106" s="6">
        <f>Deals_Raw!AJ106</f>
        <v>100407.10836851354</v>
      </c>
      <c r="AI106" s="6">
        <f>Deals_Raw!AK106</f>
        <v>56956.13909157001</v>
      </c>
      <c r="AJ106" t="str">
        <f>Deals_Raw!AL106</f>
        <v>Renewal of existing active contract</v>
      </c>
      <c r="AK106" s="9">
        <f t="shared" si="7"/>
        <v>6.552777777777778</v>
      </c>
      <c r="AL106" s="8">
        <f t="shared" si="8"/>
        <v>0.83823898001111152</v>
      </c>
      <c r="AM106" s="8">
        <f t="shared" si="9"/>
        <v>9.000000000000008E-3</v>
      </c>
      <c r="AN106" t="str">
        <f>IF(AC106&lt;Pricing_Policy!$C$10,"Below Floor","Pass")</f>
        <v>Pass</v>
      </c>
      <c r="AO106" t="str">
        <f>IF(V106&gt;Pricing_Policy!$C$7,"Exception","Standard")</f>
        <v>Standard</v>
      </c>
      <c r="AP106" t="str">
        <f t="shared" si="10"/>
        <v>Pass</v>
      </c>
      <c r="AQ106">
        <f t="shared" si="11"/>
        <v>1</v>
      </c>
      <c r="AR106" s="8">
        <f t="shared" si="12"/>
        <v>0.56725206030762232</v>
      </c>
      <c r="AS106">
        <f t="shared" si="13"/>
        <v>4</v>
      </c>
    </row>
    <row r="107" spans="1:45">
      <c r="A107" t="str">
        <f>Deals_Raw!A107</f>
        <v>D00121</v>
      </c>
      <c r="B107">
        <f>Deals_Raw!B107</f>
        <v>45350</v>
      </c>
      <c r="C107" t="str">
        <f>Deals_Raw!C107</f>
        <v>C0032</v>
      </c>
      <c r="D107" t="str">
        <f>Deals_Raw!D107</f>
        <v>HEA-0032</v>
      </c>
      <c r="E107" t="str">
        <f>Deals_Raw!E107</f>
        <v>CT00070</v>
      </c>
      <c r="F107" t="str">
        <f>Deals_Raw!F107</f>
        <v>Legal</v>
      </c>
      <c r="G107" t="str">
        <f>Deals_Raw!G107</f>
        <v>Healthcare</v>
      </c>
      <c r="H107" t="str">
        <f>Deals_Raw!H107</f>
        <v>South</v>
      </c>
      <c r="I107" t="str">
        <f>Deals_Raw!I107</f>
        <v>South Commercial</v>
      </c>
      <c r="J107" t="str">
        <f>Deals_Raw!J107</f>
        <v>SMB</v>
      </c>
      <c r="K107" t="str">
        <f>Deals_Raw!K107</f>
        <v>No</v>
      </c>
      <c r="L107">
        <f>Deals_Raw!L107</f>
        <v>44501</v>
      </c>
      <c r="M107">
        <f>Deals_Raw!M107</f>
        <v>71</v>
      </c>
      <c r="N107" t="str">
        <f>Deals_Raw!N107</f>
        <v>Nexus Compliance</v>
      </c>
      <c r="O107" t="str">
        <f>Deals_Raw!O107</f>
        <v>New Business</v>
      </c>
      <c r="P107">
        <f>Deals_Raw!P107</f>
        <v>0</v>
      </c>
      <c r="Q107">
        <f>Deals_Raw!Q107</f>
        <v>1</v>
      </c>
      <c r="R107">
        <f>Deals_Raw!R107</f>
        <v>57</v>
      </c>
      <c r="S107" t="str">
        <f>Deals_Raw!S107</f>
        <v>D. Chen</v>
      </c>
      <c r="T107" s="6">
        <f>Deals_Raw!T107</f>
        <v>65607.901596217416</v>
      </c>
      <c r="U107" s="8">
        <f>Deals_Raw!V107</f>
        <v>0.20699999999999999</v>
      </c>
      <c r="V107" s="8">
        <f>Deals_Raw!W107</f>
        <v>0.16200000000000001</v>
      </c>
      <c r="W107" s="8">
        <f>Deals_Raw!X107</f>
        <v>7.9000000000000001E-2</v>
      </c>
      <c r="X107" t="str">
        <f>Deals_Raw!Y107</f>
        <v>Multi-year commitment</v>
      </c>
      <c r="Y107" t="str">
        <f>Deals_Raw!Z107</f>
        <v>Pricing Analyst</v>
      </c>
      <c r="Z107" s="6">
        <f>Deals_Raw!AA107</f>
        <v>54969.461053857987</v>
      </c>
      <c r="AA107" s="6">
        <f>Deals_Raw!AC107</f>
        <v>23747.814061383884</v>
      </c>
      <c r="AB107" s="6">
        <f>Deals_Raw!AD107</f>
        <v>31221.646992474103</v>
      </c>
      <c r="AC107" s="8">
        <f>Deals_Raw!AE107</f>
        <v>0.56798168280900108</v>
      </c>
      <c r="AD107" t="str">
        <f>Deals_Raw!AF107</f>
        <v>Lost</v>
      </c>
      <c r="AE107">
        <f>Deals_Raw!AG107</f>
        <v>0</v>
      </c>
      <c r="AF107">
        <f>Deals_Raw!AH107</f>
        <v>0</v>
      </c>
      <c r="AG107" t="str">
        <f>Deals_Raw!AI107</f>
        <v>No</v>
      </c>
      <c r="AH107" s="6">
        <f>Deals_Raw!AJ107</f>
        <v>0</v>
      </c>
      <c r="AI107" s="6">
        <f>Deals_Raw!AK107</f>
        <v>0</v>
      </c>
      <c r="AJ107" t="str">
        <f>Deals_Raw!AL107</f>
        <v>First purchase under this contract</v>
      </c>
      <c r="AK107" s="9">
        <f t="shared" si="7"/>
        <v>2.3250000000000002</v>
      </c>
      <c r="AL107" s="8">
        <f t="shared" si="8"/>
        <v>0.83784818164382835</v>
      </c>
      <c r="AM107" s="8">
        <f t="shared" si="9"/>
        <v>4.4999999999999984E-2</v>
      </c>
      <c r="AN107" t="str">
        <f>IF(AC107&lt;Pricing_Policy!$C$10,"Below Floor","Pass")</f>
        <v>Pass</v>
      </c>
      <c r="AO107" t="str">
        <f>IF(V107&gt;Pricing_Policy!$C$7,"Exception","Standard")</f>
        <v>Standard</v>
      </c>
      <c r="AP107" t="str">
        <f t="shared" si="10"/>
        <v>Pass</v>
      </c>
      <c r="AQ107">
        <f t="shared" si="11"/>
        <v>0</v>
      </c>
      <c r="AR107" s="8">
        <f t="shared" si="12"/>
        <v>0</v>
      </c>
      <c r="AS107">
        <f t="shared" si="13"/>
        <v>1</v>
      </c>
    </row>
    <row r="108" spans="1:45">
      <c r="A108" t="str">
        <f>Deals_Raw!A108</f>
        <v>D00122</v>
      </c>
      <c r="B108">
        <f>Deals_Raw!B108</f>
        <v>45657</v>
      </c>
      <c r="C108" t="str">
        <f>Deals_Raw!C108</f>
        <v>C0033</v>
      </c>
      <c r="D108" t="str">
        <f>Deals_Raw!D108</f>
        <v>TEC-0033</v>
      </c>
      <c r="E108" t="str">
        <f>Deals_Raw!E108</f>
        <v>CT00071</v>
      </c>
      <c r="F108" t="str">
        <f>Deals_Raw!F108</f>
        <v>Sales</v>
      </c>
      <c r="G108" t="str">
        <f>Deals_Raw!G108</f>
        <v>Technology</v>
      </c>
      <c r="H108" t="str">
        <f>Deals_Raw!H108</f>
        <v>West</v>
      </c>
      <c r="I108" t="str">
        <f>Deals_Raw!I108</f>
        <v>West Commercial</v>
      </c>
      <c r="J108" t="str">
        <f>Deals_Raw!J108</f>
        <v>SMB</v>
      </c>
      <c r="K108" t="str">
        <f>Deals_Raw!K108</f>
        <v>No</v>
      </c>
      <c r="L108">
        <f>Deals_Raw!L108</f>
        <v>43647</v>
      </c>
      <c r="M108">
        <f>Deals_Raw!M108</f>
        <v>91</v>
      </c>
      <c r="N108" t="str">
        <f>Deals_Raw!N108</f>
        <v>Nexus Analytics</v>
      </c>
      <c r="O108" t="str">
        <f>Deals_Raw!O108</f>
        <v>New Business</v>
      </c>
      <c r="P108">
        <f>Deals_Raw!P108</f>
        <v>0</v>
      </c>
      <c r="Q108">
        <f>Deals_Raw!Q108</f>
        <v>1</v>
      </c>
      <c r="R108">
        <f>Deals_Raw!R108</f>
        <v>66</v>
      </c>
      <c r="S108" t="str">
        <f>Deals_Raw!S108</f>
        <v>A. Patel</v>
      </c>
      <c r="T108" s="6">
        <f>Deals_Raw!T108</f>
        <v>49889.96340066391</v>
      </c>
      <c r="U108" s="8">
        <f>Deals_Raw!V108</f>
        <v>0.188</v>
      </c>
      <c r="V108" s="8">
        <f>Deals_Raw!W108</f>
        <v>0.17399999999999999</v>
      </c>
      <c r="W108" s="8">
        <f>Deals_Raw!X108</f>
        <v>1.4E-2</v>
      </c>
      <c r="X108" t="str">
        <f>Deals_Raw!Y108</f>
        <v>Multi-year commitment</v>
      </c>
      <c r="Y108" t="str">
        <f>Deals_Raw!Z108</f>
        <v>Pricing Analyst</v>
      </c>
      <c r="Z108" s="6">
        <f>Deals_Raw!AA108</f>
        <v>41184.884448973826</v>
      </c>
      <c r="AA108" s="6">
        <f>Deals_Raw!AC108</f>
        <v>18015.806146585652</v>
      </c>
      <c r="AB108" s="6">
        <f>Deals_Raw!AD108</f>
        <v>23169.078302388174</v>
      </c>
      <c r="AC108" s="8">
        <f>Deals_Raw!AE108</f>
        <v>0.56256266376305109</v>
      </c>
      <c r="AD108" t="str">
        <f>Deals_Raw!AF108</f>
        <v>Lost</v>
      </c>
      <c r="AE108">
        <f>Deals_Raw!AG108</f>
        <v>0</v>
      </c>
      <c r="AF108">
        <f>Deals_Raw!AH108</f>
        <v>0</v>
      </c>
      <c r="AG108" t="str">
        <f>Deals_Raw!AI108</f>
        <v>No</v>
      </c>
      <c r="AH108" s="6">
        <f>Deals_Raw!AJ108</f>
        <v>0</v>
      </c>
      <c r="AI108" s="6">
        <f>Deals_Raw!AK108</f>
        <v>0</v>
      </c>
      <c r="AJ108" t="str">
        <f>Deals_Raw!AL108</f>
        <v>First purchase under this contract</v>
      </c>
      <c r="AK108" s="9">
        <f t="shared" si="7"/>
        <v>5.5</v>
      </c>
      <c r="AL108" s="8">
        <f t="shared" si="8"/>
        <v>0.82551442498003036</v>
      </c>
      <c r="AM108" s="8">
        <f t="shared" si="9"/>
        <v>1.4000000000000012E-2</v>
      </c>
      <c r="AN108" t="str">
        <f>IF(AC108&lt;Pricing_Policy!$C$10,"Below Floor","Pass")</f>
        <v>Pass</v>
      </c>
      <c r="AO108" t="str">
        <f>IF(V108&gt;Pricing_Policy!$C$7,"Exception","Standard")</f>
        <v>Standard</v>
      </c>
      <c r="AP108" t="str">
        <f t="shared" si="10"/>
        <v>Pass</v>
      </c>
      <c r="AQ108">
        <f t="shared" si="11"/>
        <v>0</v>
      </c>
      <c r="AR108" s="8">
        <f t="shared" si="12"/>
        <v>0</v>
      </c>
      <c r="AS108">
        <f t="shared" si="13"/>
        <v>2</v>
      </c>
    </row>
    <row r="109" spans="1:45">
      <c r="A109" t="str">
        <f>Deals_Raw!A109</f>
        <v>D00123</v>
      </c>
      <c r="B109">
        <f>Deals_Raw!B109</f>
        <v>45945</v>
      </c>
      <c r="C109" t="str">
        <f>Deals_Raw!C109</f>
        <v>C0033</v>
      </c>
      <c r="D109" t="str">
        <f>Deals_Raw!D109</f>
        <v>TEC-0033</v>
      </c>
      <c r="E109" t="str">
        <f>Deals_Raw!E109</f>
        <v>CT00071</v>
      </c>
      <c r="F109" t="str">
        <f>Deals_Raw!F109</f>
        <v>Sales</v>
      </c>
      <c r="G109" t="str">
        <f>Deals_Raw!G109</f>
        <v>Technology</v>
      </c>
      <c r="H109" t="str">
        <f>Deals_Raw!H109</f>
        <v>West</v>
      </c>
      <c r="I109" t="str">
        <f>Deals_Raw!I109</f>
        <v>West Commercial</v>
      </c>
      <c r="J109" t="str">
        <f>Deals_Raw!J109</f>
        <v>SMB</v>
      </c>
      <c r="K109" t="str">
        <f>Deals_Raw!K109</f>
        <v>No</v>
      </c>
      <c r="L109">
        <f>Deals_Raw!L109</f>
        <v>43647</v>
      </c>
      <c r="M109">
        <f>Deals_Raw!M109</f>
        <v>91</v>
      </c>
      <c r="N109" t="str">
        <f>Deals_Raw!N109</f>
        <v>Nexus Analytics</v>
      </c>
      <c r="O109" t="str">
        <f>Deals_Raw!O109</f>
        <v>Win-back</v>
      </c>
      <c r="P109">
        <f>Deals_Raw!P109</f>
        <v>0</v>
      </c>
      <c r="Q109">
        <f>Deals_Raw!Q109</f>
        <v>1</v>
      </c>
      <c r="R109">
        <f>Deals_Raw!R109</f>
        <v>66</v>
      </c>
      <c r="S109" t="str">
        <f>Deals_Raw!S109</f>
        <v>K. Nguyen</v>
      </c>
      <c r="T109" s="6">
        <f>Deals_Raw!T109</f>
        <v>49889.96340066391</v>
      </c>
      <c r="U109" s="8">
        <f>Deals_Raw!V109</f>
        <v>0.23400000000000001</v>
      </c>
      <c r="V109" s="8">
        <f>Deals_Raw!W109</f>
        <v>0.20499999999999999</v>
      </c>
      <c r="W109" s="8">
        <f>Deals_Raw!X109</f>
        <v>-4.8000000000000001E-2</v>
      </c>
      <c r="X109" t="str">
        <f>Deals_Raw!Y109</f>
        <v>Renewal retention risk</v>
      </c>
      <c r="Y109" t="str">
        <f>Deals_Raw!Z109</f>
        <v>Business Manager</v>
      </c>
      <c r="Z109" s="6">
        <f>Deals_Raw!AA109</f>
        <v>39677.351631452206</v>
      </c>
      <c r="AA109" s="6">
        <f>Deals_Raw!AC109</f>
        <v>17788.346732144881</v>
      </c>
      <c r="AB109" s="6">
        <f>Deals_Raw!AD109</f>
        <v>21889.004899307325</v>
      </c>
      <c r="AC109" s="8">
        <f>Deals_Raw!AE109</f>
        <v>0.55167504884463936</v>
      </c>
      <c r="AD109" t="str">
        <f>Deals_Raw!AF109</f>
        <v>Lost</v>
      </c>
      <c r="AE109">
        <f>Deals_Raw!AG109</f>
        <v>0</v>
      </c>
      <c r="AF109">
        <f>Deals_Raw!AH109</f>
        <v>0</v>
      </c>
      <c r="AG109" t="str">
        <f>Deals_Raw!AI109</f>
        <v>Yes</v>
      </c>
      <c r="AH109" s="6">
        <f>Deals_Raw!AJ109</f>
        <v>0</v>
      </c>
      <c r="AI109" s="6">
        <f>Deals_Raw!AK109</f>
        <v>0</v>
      </c>
      <c r="AJ109" t="str">
        <f>Deals_Raw!AL109</f>
        <v>Customer returned after prior lost initial opportunity</v>
      </c>
      <c r="AK109" s="9">
        <f t="shared" si="7"/>
        <v>6.2888888888888888</v>
      </c>
      <c r="AL109" s="8">
        <f t="shared" si="8"/>
        <v>0.79529726876737294</v>
      </c>
      <c r="AM109" s="8">
        <f t="shared" si="9"/>
        <v>2.9000000000000026E-2</v>
      </c>
      <c r="AN109" t="str">
        <f>IF(AC109&lt;Pricing_Policy!$C$10,"Below Floor","Pass")</f>
        <v>Pass</v>
      </c>
      <c r="AO109" t="str">
        <f>IF(V109&gt;Pricing_Policy!$C$7,"Exception","Standard")</f>
        <v>Standard</v>
      </c>
      <c r="AP109" t="str">
        <f t="shared" si="10"/>
        <v>Pass</v>
      </c>
      <c r="AQ109">
        <f t="shared" si="11"/>
        <v>0</v>
      </c>
      <c r="AR109" s="8">
        <f t="shared" si="12"/>
        <v>0</v>
      </c>
      <c r="AS109">
        <f t="shared" si="13"/>
        <v>2</v>
      </c>
    </row>
    <row r="110" spans="1:45">
      <c r="A110" t="str">
        <f>Deals_Raw!A110</f>
        <v>D00124</v>
      </c>
      <c r="B110">
        <f>Deals_Raw!B110</f>
        <v>45722</v>
      </c>
      <c r="C110" t="str">
        <f>Deals_Raw!C110</f>
        <v>C0034</v>
      </c>
      <c r="D110" t="str">
        <f>Deals_Raw!D110</f>
        <v>LEG-0034</v>
      </c>
      <c r="E110" t="str">
        <f>Deals_Raw!E110</f>
        <v>CT00072</v>
      </c>
      <c r="F110" t="str">
        <f>Deals_Raw!F110</f>
        <v>Corporate</v>
      </c>
      <c r="G110" t="str">
        <f>Deals_Raw!G110</f>
        <v>Legal</v>
      </c>
      <c r="H110" t="str">
        <f>Deals_Raw!H110</f>
        <v>West</v>
      </c>
      <c r="I110" t="str">
        <f>Deals_Raw!I110</f>
        <v>West Commercial</v>
      </c>
      <c r="J110" t="str">
        <f>Deals_Raw!J110</f>
        <v>Mid-Market</v>
      </c>
      <c r="K110" t="str">
        <f>Deals_Raw!K110</f>
        <v>No</v>
      </c>
      <c r="L110">
        <f>Deals_Raw!L110</f>
        <v>44531</v>
      </c>
      <c r="M110">
        <f>Deals_Raw!M110</f>
        <v>61</v>
      </c>
      <c r="N110" t="str">
        <f>Deals_Raw!N110</f>
        <v>Nexus Enterprise Suite</v>
      </c>
      <c r="O110" t="str">
        <f>Deals_Raw!O110</f>
        <v>New Business</v>
      </c>
      <c r="P110">
        <f>Deals_Raw!P110</f>
        <v>0</v>
      </c>
      <c r="Q110">
        <f>Deals_Raw!Q110</f>
        <v>1</v>
      </c>
      <c r="R110">
        <f>Deals_Raw!R110</f>
        <v>311</v>
      </c>
      <c r="S110" t="str">
        <f>Deals_Raw!S110</f>
        <v>D. Chen</v>
      </c>
      <c r="T110" s="6">
        <f>Deals_Raw!T110</f>
        <v>238838.39611433915</v>
      </c>
      <c r="U110" s="8">
        <f>Deals_Raw!V110</f>
        <v>0.158</v>
      </c>
      <c r="V110" s="8">
        <f>Deals_Raw!W110</f>
        <v>0.13100000000000001</v>
      </c>
      <c r="W110" s="8">
        <f>Deals_Raw!X110</f>
        <v>-1.2999999999999999E-2</v>
      </c>
      <c r="X110" t="str">
        <f>Deals_Raw!Y110</f>
        <v>Renewal retention risk</v>
      </c>
      <c r="Y110" t="str">
        <f>Deals_Raw!Z110</f>
        <v>Pricing Analyst</v>
      </c>
      <c r="Z110" s="6">
        <f>Deals_Raw!AA110</f>
        <v>207488.17816269211</v>
      </c>
      <c r="AA110" s="6">
        <f>Deals_Raw!AC110</f>
        <v>99306.255271969785</v>
      </c>
      <c r="AB110" s="6">
        <f>Deals_Raw!AD110</f>
        <v>108181.92289072233</v>
      </c>
      <c r="AC110" s="8">
        <f>Deals_Raw!AE110</f>
        <v>0.52138836944192812</v>
      </c>
      <c r="AD110" t="str">
        <f>Deals_Raw!AF110</f>
        <v>Lost</v>
      </c>
      <c r="AE110">
        <f>Deals_Raw!AG110</f>
        <v>0</v>
      </c>
      <c r="AF110">
        <f>Deals_Raw!AH110</f>
        <v>0</v>
      </c>
      <c r="AG110" t="str">
        <f>Deals_Raw!AI110</f>
        <v>No</v>
      </c>
      <c r="AH110" s="6">
        <f>Deals_Raw!AJ110</f>
        <v>0</v>
      </c>
      <c r="AI110" s="6">
        <f>Deals_Raw!AK110</f>
        <v>0</v>
      </c>
      <c r="AJ110" t="str">
        <f>Deals_Raw!AL110</f>
        <v>First purchase under this contract</v>
      </c>
      <c r="AK110" s="9">
        <f t="shared" si="7"/>
        <v>3.2638888888888888</v>
      </c>
      <c r="AL110" s="8">
        <f t="shared" si="8"/>
        <v>0.86873878546463379</v>
      </c>
      <c r="AM110" s="8">
        <f t="shared" si="9"/>
        <v>2.6999999999999996E-2</v>
      </c>
      <c r="AN110" t="str">
        <f>IF(AC110&lt;Pricing_Policy!$C$10,"Below Floor","Pass")</f>
        <v>Pass</v>
      </c>
      <c r="AO110" t="str">
        <f>IF(V110&gt;Pricing_Policy!$C$7,"Exception","Standard")</f>
        <v>Standard</v>
      </c>
      <c r="AP110" t="str">
        <f t="shared" si="10"/>
        <v>Pass</v>
      </c>
      <c r="AQ110">
        <f t="shared" si="11"/>
        <v>0</v>
      </c>
      <c r="AR110" s="8">
        <f t="shared" si="12"/>
        <v>0</v>
      </c>
      <c r="AS110">
        <f t="shared" si="13"/>
        <v>3</v>
      </c>
    </row>
    <row r="111" spans="1:45">
      <c r="A111" t="str">
        <f>Deals_Raw!A111</f>
        <v>D00125</v>
      </c>
      <c r="B111">
        <f>Deals_Raw!B111</f>
        <v>45814</v>
      </c>
      <c r="C111" t="str">
        <f>Deals_Raw!C111</f>
        <v>C0034</v>
      </c>
      <c r="D111" t="str">
        <f>Deals_Raw!D111</f>
        <v>LEG-0034</v>
      </c>
      <c r="E111" t="str">
        <f>Deals_Raw!E111</f>
        <v>CT00073</v>
      </c>
      <c r="F111" t="str">
        <f>Deals_Raw!F111</f>
        <v>Legal</v>
      </c>
      <c r="G111" t="str">
        <f>Deals_Raw!G111</f>
        <v>Legal</v>
      </c>
      <c r="H111" t="str">
        <f>Deals_Raw!H111</f>
        <v>West</v>
      </c>
      <c r="I111" t="str">
        <f>Deals_Raw!I111</f>
        <v>West Commercial</v>
      </c>
      <c r="J111" t="str">
        <f>Deals_Raw!J111</f>
        <v>Mid-Market</v>
      </c>
      <c r="K111" t="str">
        <f>Deals_Raw!K111</f>
        <v>No</v>
      </c>
      <c r="L111">
        <f>Deals_Raw!L111</f>
        <v>44531</v>
      </c>
      <c r="M111">
        <f>Deals_Raw!M111</f>
        <v>61</v>
      </c>
      <c r="N111" t="str">
        <f>Deals_Raw!N111</f>
        <v>Nexus Enterprise Suite</v>
      </c>
      <c r="O111" t="str">
        <f>Deals_Raw!O111</f>
        <v>Expansion</v>
      </c>
      <c r="P111" t="str">
        <f>Deals_Raw!P111</f>
        <v>Module Add-on</v>
      </c>
      <c r="Q111">
        <f>Deals_Raw!Q111</f>
        <v>3</v>
      </c>
      <c r="R111">
        <f>Deals_Raw!R111</f>
        <v>353</v>
      </c>
      <c r="S111" t="str">
        <f>Deals_Raw!S111</f>
        <v>R. Singh</v>
      </c>
      <c r="T111" s="6">
        <f>Deals_Raw!T111</f>
        <v>245840.6214233248</v>
      </c>
      <c r="U111" s="8">
        <f>Deals_Raw!V111</f>
        <v>0.129</v>
      </c>
      <c r="V111" s="8">
        <f>Deals_Raw!W111</f>
        <v>0.104</v>
      </c>
      <c r="W111" s="8">
        <f>Deals_Raw!X111</f>
        <v>6.2E-2</v>
      </c>
      <c r="X111" t="str">
        <f>Deals_Raw!Y111</f>
        <v>Expansion opportunity</v>
      </c>
      <c r="Y111" t="str">
        <f>Deals_Raw!Z111</f>
        <v>Pricing Analyst</v>
      </c>
      <c r="Z111" s="6">
        <f>Deals_Raw!AA111</f>
        <v>220182.1179302377</v>
      </c>
      <c r="AA111" s="6">
        <f>Deals_Raw!AC111</f>
        <v>93762.539793824311</v>
      </c>
      <c r="AB111" s="6">
        <f>Deals_Raw!AD111</f>
        <v>126419.57813641339</v>
      </c>
      <c r="AC111" s="8">
        <f>Deals_Raw!AE111</f>
        <v>0.57415915209094337</v>
      </c>
      <c r="AD111" t="str">
        <f>Deals_Raw!AF111</f>
        <v>Won</v>
      </c>
      <c r="AE111">
        <f>Deals_Raw!AG111</f>
        <v>0</v>
      </c>
      <c r="AF111" t="str">
        <f>Deals_Raw!AH111</f>
        <v>Yes</v>
      </c>
      <c r="AG111" t="str">
        <f>Deals_Raw!AI111</f>
        <v>No</v>
      </c>
      <c r="AH111" s="6">
        <f>Deals_Raw!AJ111</f>
        <v>220182.1179302377</v>
      </c>
      <c r="AI111" s="6">
        <f>Deals_Raw!AK111</f>
        <v>126419.57813641339</v>
      </c>
      <c r="AJ111" t="str">
        <f>Deals_Raw!AL111</f>
        <v>Expansion allowed because contract was active</v>
      </c>
      <c r="AK111" s="9">
        <f t="shared" si="7"/>
        <v>3.5138888888888888</v>
      </c>
      <c r="AL111" s="8">
        <f t="shared" si="8"/>
        <v>0.89562952068484858</v>
      </c>
      <c r="AM111" s="8">
        <f t="shared" si="9"/>
        <v>2.5000000000000008E-2</v>
      </c>
      <c r="AN111" t="str">
        <f>IF(AC111&lt;Pricing_Policy!$C$10,"Below Floor","Pass")</f>
        <v>Pass</v>
      </c>
      <c r="AO111" t="str">
        <f>IF(V111&gt;Pricing_Policy!$C$7,"Exception","Standard")</f>
        <v>Standard</v>
      </c>
      <c r="AP111" t="str">
        <f t="shared" si="10"/>
        <v>Pass</v>
      </c>
      <c r="AQ111">
        <f t="shared" si="11"/>
        <v>1</v>
      </c>
      <c r="AR111" s="8">
        <f t="shared" si="12"/>
        <v>0.57415915209094337</v>
      </c>
      <c r="AS111">
        <f t="shared" si="13"/>
        <v>3</v>
      </c>
    </row>
    <row r="112" spans="1:45">
      <c r="A112" t="str">
        <f>Deals_Raw!A112</f>
        <v>D00126</v>
      </c>
      <c r="B112">
        <f>Deals_Raw!B112</f>
        <v>45923</v>
      </c>
      <c r="C112" t="str">
        <f>Deals_Raw!C112</f>
        <v>C0034</v>
      </c>
      <c r="D112" t="str">
        <f>Deals_Raw!D112</f>
        <v>LEG-0034</v>
      </c>
      <c r="E112" t="str">
        <f>Deals_Raw!E112</f>
        <v>CT00073</v>
      </c>
      <c r="F112" t="str">
        <f>Deals_Raw!F112</f>
        <v>Legal</v>
      </c>
      <c r="G112" t="str">
        <f>Deals_Raw!G112</f>
        <v>Legal</v>
      </c>
      <c r="H112" t="str">
        <f>Deals_Raw!H112</f>
        <v>West</v>
      </c>
      <c r="I112" t="str">
        <f>Deals_Raw!I112</f>
        <v>West Commercial</v>
      </c>
      <c r="J112" t="str">
        <f>Deals_Raw!J112</f>
        <v>Mid-Market</v>
      </c>
      <c r="K112" t="str">
        <f>Deals_Raw!K112</f>
        <v>No</v>
      </c>
      <c r="L112">
        <f>Deals_Raw!L112</f>
        <v>44531</v>
      </c>
      <c r="M112">
        <f>Deals_Raw!M112</f>
        <v>61</v>
      </c>
      <c r="N112" t="str">
        <f>Deals_Raw!N112</f>
        <v>Nexus Enterprise Suite</v>
      </c>
      <c r="O112" t="str">
        <f>Deals_Raw!O112</f>
        <v>Renewal</v>
      </c>
      <c r="P112">
        <f>Deals_Raw!P112</f>
        <v>0</v>
      </c>
      <c r="Q112">
        <f>Deals_Raw!Q112</f>
        <v>3</v>
      </c>
      <c r="R112">
        <f>Deals_Raw!R112</f>
        <v>353</v>
      </c>
      <c r="S112" t="str">
        <f>Deals_Raw!S112</f>
        <v>A. Patel</v>
      </c>
      <c r="T112" s="6">
        <f>Deals_Raw!T112</f>
        <v>258090.22575544225</v>
      </c>
      <c r="U112" s="8">
        <f>Deals_Raw!V112</f>
        <v>2.8000000000000001E-2</v>
      </c>
      <c r="V112" s="8">
        <f>Deals_Raw!W112</f>
        <v>1.4E-2</v>
      </c>
      <c r="W112" s="8">
        <f>Deals_Raw!X112</f>
        <v>-6.0999999999999999E-2</v>
      </c>
      <c r="X112" t="str">
        <f>Deals_Raw!Y112</f>
        <v>Renewal retention risk</v>
      </c>
      <c r="Y112" t="str">
        <f>Deals_Raw!Z112</f>
        <v>Sales Manager</v>
      </c>
      <c r="Z112" s="6">
        <f>Deals_Raw!AA112</f>
        <v>254364.47817631791</v>
      </c>
      <c r="AA112" s="6">
        <f>Deals_Raw!AC112</f>
        <v>101504.69850481783</v>
      </c>
      <c r="AB112" s="6">
        <f>Deals_Raw!AD112</f>
        <v>152859.77967150009</v>
      </c>
      <c r="AC112" s="8">
        <f>Deals_Raw!AE112</f>
        <v>0.60094782403359881</v>
      </c>
      <c r="AD112" t="str">
        <f>Deals_Raw!AF112</f>
        <v>Won</v>
      </c>
      <c r="AE112" t="str">
        <f>Deals_Raw!AG112</f>
        <v>Yes</v>
      </c>
      <c r="AF112">
        <f>Deals_Raw!AH112</f>
        <v>0</v>
      </c>
      <c r="AG112" t="str">
        <f>Deals_Raw!AI112</f>
        <v>No</v>
      </c>
      <c r="AH112" s="6">
        <f>Deals_Raw!AJ112</f>
        <v>254364.47817631791</v>
      </c>
      <c r="AI112" s="6">
        <f>Deals_Raw!AK112</f>
        <v>152859.77967150009</v>
      </c>
      <c r="AJ112" t="str">
        <f>Deals_Raw!AL112</f>
        <v>Renewal of existing active contract</v>
      </c>
      <c r="AK112" s="9">
        <f t="shared" si="7"/>
        <v>3.8111111111111109</v>
      </c>
      <c r="AL112" s="8">
        <f t="shared" si="8"/>
        <v>0.98556416629797228</v>
      </c>
      <c r="AM112" s="8">
        <f t="shared" si="9"/>
        <v>1.4E-2</v>
      </c>
      <c r="AN112" t="str">
        <f>IF(AC112&lt;Pricing_Policy!$C$10,"Below Floor","Pass")</f>
        <v>Pass</v>
      </c>
      <c r="AO112" t="str">
        <f>IF(V112&gt;Pricing_Policy!$C$7,"Exception","Standard")</f>
        <v>Standard</v>
      </c>
      <c r="AP112" t="str">
        <f t="shared" si="10"/>
        <v>Pass</v>
      </c>
      <c r="AQ112">
        <f t="shared" si="11"/>
        <v>1</v>
      </c>
      <c r="AR112" s="8">
        <f t="shared" si="12"/>
        <v>0.60094782403359881</v>
      </c>
      <c r="AS112">
        <f t="shared" si="13"/>
        <v>3</v>
      </c>
    </row>
    <row r="113" spans="1:45">
      <c r="A113" t="str">
        <f>Deals_Raw!A113</f>
        <v>D00128</v>
      </c>
      <c r="B113">
        <f>Deals_Raw!B113</f>
        <v>45502</v>
      </c>
      <c r="C113" t="str">
        <f>Deals_Raw!C113</f>
        <v>C0035</v>
      </c>
      <c r="D113" t="str">
        <f>Deals_Raw!D113</f>
        <v>TEC-0035</v>
      </c>
      <c r="E113" t="str">
        <f>Deals_Raw!E113</f>
        <v>CT00074</v>
      </c>
      <c r="F113" t="str">
        <f>Deals_Raw!F113</f>
        <v>Legal</v>
      </c>
      <c r="G113" t="str">
        <f>Deals_Raw!G113</f>
        <v>Technology</v>
      </c>
      <c r="H113" t="str">
        <f>Deals_Raw!H113</f>
        <v>Northeast</v>
      </c>
      <c r="I113" t="str">
        <f>Deals_Raw!I113</f>
        <v>Northeast Commercial</v>
      </c>
      <c r="J113" t="str">
        <f>Deals_Raw!J113</f>
        <v>Mid-Market</v>
      </c>
      <c r="K113" t="str">
        <f>Deals_Raw!K113</f>
        <v>No</v>
      </c>
      <c r="L113">
        <f>Deals_Raw!L113</f>
        <v>44531</v>
      </c>
      <c r="M113">
        <f>Deals_Raw!M113</f>
        <v>70</v>
      </c>
      <c r="N113" t="str">
        <f>Deals_Raw!N113</f>
        <v>Nexus Compliance</v>
      </c>
      <c r="O113" t="str">
        <f>Deals_Raw!O113</f>
        <v>Expansion</v>
      </c>
      <c r="P113" t="str">
        <f>Deals_Raw!P113</f>
        <v>Multi-year Extension</v>
      </c>
      <c r="Q113">
        <f>Deals_Raw!Q113</f>
        <v>1</v>
      </c>
      <c r="R113">
        <f>Deals_Raw!R113</f>
        <v>281</v>
      </c>
      <c r="S113" t="str">
        <f>Deals_Raw!S113</f>
        <v>M. Johnson</v>
      </c>
      <c r="T113" s="6">
        <f>Deals_Raw!T113</f>
        <v>114895.83925241933</v>
      </c>
      <c r="U113" s="8">
        <f>Deals_Raw!V113</f>
        <v>0.245</v>
      </c>
      <c r="V113" s="8">
        <f>Deals_Raw!W113</f>
        <v>0.222</v>
      </c>
      <c r="W113" s="8">
        <f>Deals_Raw!X113</f>
        <v>-6.3E-2</v>
      </c>
      <c r="X113" t="str">
        <f>Deals_Raw!Y113</f>
        <v>Expansion opportunity</v>
      </c>
      <c r="Y113" t="str">
        <f>Deals_Raw!Z113</f>
        <v>Business Manager</v>
      </c>
      <c r="Z113" s="6">
        <f>Deals_Raw!AA113</f>
        <v>89344.374617015841</v>
      </c>
      <c r="AA113" s="6">
        <f>Deals_Raw!AC113</f>
        <v>39828.317195075128</v>
      </c>
      <c r="AB113" s="6">
        <f>Deals_Raw!AD113</f>
        <v>49516.057421940714</v>
      </c>
      <c r="AC113" s="8">
        <f>Deals_Raw!AE113</f>
        <v>0.55421572577116973</v>
      </c>
      <c r="AD113" t="str">
        <f>Deals_Raw!AF113</f>
        <v>Lost</v>
      </c>
      <c r="AE113">
        <f>Deals_Raw!AG113</f>
        <v>0</v>
      </c>
      <c r="AF113" t="str">
        <f>Deals_Raw!AH113</f>
        <v>No</v>
      </c>
      <c r="AG113" t="str">
        <f>Deals_Raw!AI113</f>
        <v>No</v>
      </c>
      <c r="AH113" s="6">
        <f>Deals_Raw!AJ113</f>
        <v>0</v>
      </c>
      <c r="AI113" s="6">
        <f>Deals_Raw!AK113</f>
        <v>0</v>
      </c>
      <c r="AJ113" t="str">
        <f>Deals_Raw!AL113</f>
        <v>Expansion allowed because contract was active</v>
      </c>
      <c r="AK113" s="9">
        <f t="shared" si="7"/>
        <v>2.661111111111111</v>
      </c>
      <c r="AL113" s="8">
        <f t="shared" si="8"/>
        <v>0.77761192396820877</v>
      </c>
      <c r="AM113" s="8">
        <f t="shared" si="9"/>
        <v>2.2999999999999993E-2</v>
      </c>
      <c r="AN113" t="str">
        <f>IF(AC113&lt;Pricing_Policy!$C$10,"Below Floor","Pass")</f>
        <v>Pass</v>
      </c>
      <c r="AO113" t="str">
        <f>IF(V113&gt;Pricing_Policy!$C$7,"Exception","Standard")</f>
        <v>Standard</v>
      </c>
      <c r="AP113" t="str">
        <f t="shared" si="10"/>
        <v>Pass</v>
      </c>
      <c r="AQ113">
        <f t="shared" si="11"/>
        <v>0</v>
      </c>
      <c r="AR113" s="8">
        <f t="shared" si="12"/>
        <v>0</v>
      </c>
      <c r="AS113">
        <f t="shared" si="13"/>
        <v>3</v>
      </c>
    </row>
    <row r="114" spans="1:45">
      <c r="A114" t="str">
        <f>Deals_Raw!A114</f>
        <v>D00129</v>
      </c>
      <c r="B114">
        <f>Deals_Raw!B114</f>
        <v>45604</v>
      </c>
      <c r="C114" t="str">
        <f>Deals_Raw!C114</f>
        <v>C0035</v>
      </c>
      <c r="D114" t="str">
        <f>Deals_Raw!D114</f>
        <v>TEC-0035</v>
      </c>
      <c r="E114" t="str">
        <f>Deals_Raw!E114</f>
        <v>CT00074</v>
      </c>
      <c r="F114" t="str">
        <f>Deals_Raw!F114</f>
        <v>Legal</v>
      </c>
      <c r="G114" t="str">
        <f>Deals_Raw!G114</f>
        <v>Technology</v>
      </c>
      <c r="H114" t="str">
        <f>Deals_Raw!H114</f>
        <v>Northeast</v>
      </c>
      <c r="I114" t="str">
        <f>Deals_Raw!I114</f>
        <v>Northeast Commercial</v>
      </c>
      <c r="J114" t="str">
        <f>Deals_Raw!J114</f>
        <v>Mid-Market</v>
      </c>
      <c r="K114" t="str">
        <f>Deals_Raw!K114</f>
        <v>No</v>
      </c>
      <c r="L114">
        <f>Deals_Raw!L114</f>
        <v>44531</v>
      </c>
      <c r="M114">
        <f>Deals_Raw!M114</f>
        <v>70</v>
      </c>
      <c r="N114" t="str">
        <f>Deals_Raw!N114</f>
        <v>Nexus Compliance</v>
      </c>
      <c r="O114" t="str">
        <f>Deals_Raw!O114</f>
        <v>Renewal</v>
      </c>
      <c r="P114">
        <f>Deals_Raw!P114</f>
        <v>0</v>
      </c>
      <c r="Q114">
        <f>Deals_Raw!Q114</f>
        <v>1</v>
      </c>
      <c r="R114">
        <f>Deals_Raw!R114</f>
        <v>200</v>
      </c>
      <c r="S114" t="str">
        <f>Deals_Raw!S114</f>
        <v>M. Johnson</v>
      </c>
      <c r="T114" s="6">
        <f>Deals_Raw!T114</f>
        <v>99627.673419281302</v>
      </c>
      <c r="U114" s="8">
        <f>Deals_Raw!V114</f>
        <v>0.16400000000000001</v>
      </c>
      <c r="V114" s="8">
        <f>Deals_Raw!W114</f>
        <v>0.128</v>
      </c>
      <c r="W114" s="8">
        <f>Deals_Raw!X114</f>
        <v>-0.108</v>
      </c>
      <c r="X114" t="str">
        <f>Deals_Raw!Y114</f>
        <v>Verified competitor pressure</v>
      </c>
      <c r="Y114" t="str">
        <f>Deals_Raw!Z114</f>
        <v>Pricing Analyst</v>
      </c>
      <c r="Z114" s="6">
        <f>Deals_Raw!AA114</f>
        <v>86888.416666757665</v>
      </c>
      <c r="AA114" s="6">
        <f>Deals_Raw!AC114</f>
        <v>39015.98364203157</v>
      </c>
      <c r="AB114" s="6">
        <f>Deals_Raw!AD114</f>
        <v>47872.433024726095</v>
      </c>
      <c r="AC114" s="8">
        <f>Deals_Raw!AE114</f>
        <v>0.5509644997713653</v>
      </c>
      <c r="AD114" t="str">
        <f>Deals_Raw!AF114</f>
        <v>Won</v>
      </c>
      <c r="AE114" t="str">
        <f>Deals_Raw!AG114</f>
        <v>Yes</v>
      </c>
      <c r="AF114">
        <f>Deals_Raw!AH114</f>
        <v>0</v>
      </c>
      <c r="AG114" t="str">
        <f>Deals_Raw!AI114</f>
        <v>No</v>
      </c>
      <c r="AH114" s="6">
        <f>Deals_Raw!AJ114</f>
        <v>86888.416666757665</v>
      </c>
      <c r="AI114" s="6">
        <f>Deals_Raw!AK114</f>
        <v>47872.433024726095</v>
      </c>
      <c r="AJ114" t="str">
        <f>Deals_Raw!AL114</f>
        <v>Renewal of existing active contract</v>
      </c>
      <c r="AK114" s="9">
        <f t="shared" si="7"/>
        <v>2.9361111111111109</v>
      </c>
      <c r="AL114" s="8">
        <f t="shared" si="8"/>
        <v>0.87213134347812482</v>
      </c>
      <c r="AM114" s="8">
        <f t="shared" si="9"/>
        <v>3.6000000000000004E-2</v>
      </c>
      <c r="AN114" t="str">
        <f>IF(AC114&lt;Pricing_Policy!$C$10,"Below Floor","Pass")</f>
        <v>Pass</v>
      </c>
      <c r="AO114" t="str">
        <f>IF(V114&gt;Pricing_Policy!$C$7,"Exception","Standard")</f>
        <v>Standard</v>
      </c>
      <c r="AP114" t="str">
        <f t="shared" si="10"/>
        <v>Pass</v>
      </c>
      <c r="AQ114">
        <f t="shared" si="11"/>
        <v>1</v>
      </c>
      <c r="AR114" s="8">
        <f t="shared" si="12"/>
        <v>0.5509644997713653</v>
      </c>
      <c r="AS114">
        <f t="shared" si="13"/>
        <v>3</v>
      </c>
    </row>
    <row r="115" spans="1:45">
      <c r="A115" t="str">
        <f>Deals_Raw!A115</f>
        <v>D00130</v>
      </c>
      <c r="B115">
        <f>Deals_Raw!B115</f>
        <v>45969</v>
      </c>
      <c r="C115" t="str">
        <f>Deals_Raw!C115</f>
        <v>C0035</v>
      </c>
      <c r="D115" t="str">
        <f>Deals_Raw!D115</f>
        <v>TEC-0035</v>
      </c>
      <c r="E115" t="str">
        <f>Deals_Raw!E115</f>
        <v>CT00074</v>
      </c>
      <c r="F115" t="str">
        <f>Deals_Raw!F115</f>
        <v>Legal</v>
      </c>
      <c r="G115" t="str">
        <f>Deals_Raw!G115</f>
        <v>Technology</v>
      </c>
      <c r="H115" t="str">
        <f>Deals_Raw!H115</f>
        <v>Northeast</v>
      </c>
      <c r="I115" t="str">
        <f>Deals_Raw!I115</f>
        <v>Northeast Commercial</v>
      </c>
      <c r="J115" t="str">
        <f>Deals_Raw!J115</f>
        <v>Mid-Market</v>
      </c>
      <c r="K115" t="str">
        <f>Deals_Raw!K115</f>
        <v>No</v>
      </c>
      <c r="L115">
        <f>Deals_Raw!L115</f>
        <v>44531</v>
      </c>
      <c r="M115">
        <f>Deals_Raw!M115</f>
        <v>70</v>
      </c>
      <c r="N115" t="str">
        <f>Deals_Raw!N115</f>
        <v>Nexus Compliance</v>
      </c>
      <c r="O115" t="str">
        <f>Deals_Raw!O115</f>
        <v>Renewal</v>
      </c>
      <c r="P115">
        <f>Deals_Raw!P115</f>
        <v>0</v>
      </c>
      <c r="Q115">
        <f>Deals_Raw!Q115</f>
        <v>1</v>
      </c>
      <c r="R115">
        <f>Deals_Raw!R115</f>
        <v>200</v>
      </c>
      <c r="S115" t="str">
        <f>Deals_Raw!S115</f>
        <v>L. Williams</v>
      </c>
      <c r="T115" s="6">
        <f>Deals_Raw!T115</f>
        <v>102653.56881328317</v>
      </c>
      <c r="U115" s="8">
        <f>Deals_Raw!V115</f>
        <v>0.112</v>
      </c>
      <c r="V115" s="8">
        <f>Deals_Raw!W115</f>
        <v>7.1999999999999995E-2</v>
      </c>
      <c r="W115" s="8">
        <f>Deals_Raw!X115</f>
        <v>-0.13600000000000001</v>
      </c>
      <c r="X115" t="str">
        <f>Deals_Raw!Y115</f>
        <v>Procurement requirement</v>
      </c>
      <c r="Y115" t="str">
        <f>Deals_Raw!Z115</f>
        <v>Sales Manager</v>
      </c>
      <c r="Z115" s="6">
        <f>Deals_Raw!AA115</f>
        <v>95298.064864385145</v>
      </c>
      <c r="AA115" s="6">
        <f>Deals_Raw!AC115</f>
        <v>37853.321568073618</v>
      </c>
      <c r="AB115" s="6">
        <f>Deals_Raw!AD115</f>
        <v>57444.743296311528</v>
      </c>
      <c r="AC115" s="8">
        <f>Deals_Raw!AE115</f>
        <v>0.60279023900494555</v>
      </c>
      <c r="AD115" t="str">
        <f>Deals_Raw!AF115</f>
        <v>Won</v>
      </c>
      <c r="AE115" t="str">
        <f>Deals_Raw!AG115</f>
        <v>Yes</v>
      </c>
      <c r="AF115">
        <f>Deals_Raw!AH115</f>
        <v>0</v>
      </c>
      <c r="AG115" t="str">
        <f>Deals_Raw!AI115</f>
        <v>No</v>
      </c>
      <c r="AH115" s="6">
        <f>Deals_Raw!AJ115</f>
        <v>95298.064864385145</v>
      </c>
      <c r="AI115" s="6">
        <f>Deals_Raw!AK115</f>
        <v>57444.743296311528</v>
      </c>
      <c r="AJ115" t="str">
        <f>Deals_Raw!AL115</f>
        <v>Renewal of existing active contract</v>
      </c>
      <c r="AK115" s="9">
        <f t="shared" si="7"/>
        <v>3.9361111111111109</v>
      </c>
      <c r="AL115" s="8">
        <f t="shared" si="8"/>
        <v>0.92834633969446334</v>
      </c>
      <c r="AM115" s="8">
        <f t="shared" si="9"/>
        <v>4.0000000000000008E-2</v>
      </c>
      <c r="AN115" t="str">
        <f>IF(AC115&lt;Pricing_Policy!$C$10,"Below Floor","Pass")</f>
        <v>Pass</v>
      </c>
      <c r="AO115" t="str">
        <f>IF(V115&gt;Pricing_Policy!$C$7,"Exception","Standard")</f>
        <v>Standard</v>
      </c>
      <c r="AP115" t="str">
        <f t="shared" si="10"/>
        <v>Pass</v>
      </c>
      <c r="AQ115">
        <f t="shared" si="11"/>
        <v>1</v>
      </c>
      <c r="AR115" s="8">
        <f t="shared" si="12"/>
        <v>0.60279023900494555</v>
      </c>
      <c r="AS115">
        <f t="shared" si="13"/>
        <v>3</v>
      </c>
    </row>
    <row r="116" spans="1:45">
      <c r="A116" t="str">
        <f>Deals_Raw!A116</f>
        <v>D00131</v>
      </c>
      <c r="B116">
        <f>Deals_Raw!B116</f>
        <v>45809</v>
      </c>
      <c r="C116" t="str">
        <f>Deals_Raw!C116</f>
        <v>C0035</v>
      </c>
      <c r="D116" t="str">
        <f>Deals_Raw!D116</f>
        <v>TEC-0035</v>
      </c>
      <c r="E116" t="str">
        <f>Deals_Raw!E116</f>
        <v>CT00075</v>
      </c>
      <c r="F116" t="str">
        <f>Deals_Raw!F116</f>
        <v>Operations</v>
      </c>
      <c r="G116" t="str">
        <f>Deals_Raw!G116</f>
        <v>Technology</v>
      </c>
      <c r="H116" t="str">
        <f>Deals_Raw!H116</f>
        <v>Northeast</v>
      </c>
      <c r="I116" t="str">
        <f>Deals_Raw!I116</f>
        <v>Northeast Commercial</v>
      </c>
      <c r="J116" t="str">
        <f>Deals_Raw!J116</f>
        <v>Mid-Market</v>
      </c>
      <c r="K116" t="str">
        <f>Deals_Raw!K116</f>
        <v>No</v>
      </c>
      <c r="L116">
        <f>Deals_Raw!L116</f>
        <v>44531</v>
      </c>
      <c r="M116">
        <f>Deals_Raw!M116</f>
        <v>70</v>
      </c>
      <c r="N116" t="str">
        <f>Deals_Raw!N116</f>
        <v>Nexus Analytics</v>
      </c>
      <c r="O116" t="str">
        <f>Deals_Raw!O116</f>
        <v>New Business</v>
      </c>
      <c r="P116">
        <f>Deals_Raw!P116</f>
        <v>0</v>
      </c>
      <c r="Q116">
        <f>Deals_Raw!Q116</f>
        <v>2</v>
      </c>
      <c r="R116">
        <f>Deals_Raw!R116</f>
        <v>92</v>
      </c>
      <c r="S116" t="str">
        <f>Deals_Raw!S116</f>
        <v>A. Patel</v>
      </c>
      <c r="T116" s="6">
        <f>Deals_Raw!T116</f>
        <v>69970.05425864087</v>
      </c>
      <c r="U116" s="8">
        <f>Deals_Raw!V116</f>
        <v>0.122</v>
      </c>
      <c r="V116" s="8">
        <f>Deals_Raw!W116</f>
        <v>9.0999999999999998E-2</v>
      </c>
      <c r="W116" s="8">
        <f>Deals_Raw!X116</f>
        <v>5.0000000000000001E-3</v>
      </c>
      <c r="X116" t="str">
        <f>Deals_Raw!Y116</f>
        <v>Multi-year commitment</v>
      </c>
      <c r="Y116" t="str">
        <f>Deals_Raw!Z116</f>
        <v>Sales Manager</v>
      </c>
      <c r="Z116" s="6">
        <f>Deals_Raw!AA116</f>
        <v>63608.333397051814</v>
      </c>
      <c r="AA116" s="6">
        <f>Deals_Raw!AC116</f>
        <v>25682.098718017485</v>
      </c>
      <c r="AB116" s="6">
        <f>Deals_Raw!AD116</f>
        <v>37926.234679034329</v>
      </c>
      <c r="AC116" s="8">
        <f>Deals_Raw!AE116</f>
        <v>0.59624631952379015</v>
      </c>
      <c r="AD116" t="str">
        <f>Deals_Raw!AF116</f>
        <v>Won</v>
      </c>
      <c r="AE116">
        <f>Deals_Raw!AG116</f>
        <v>0</v>
      </c>
      <c r="AF116">
        <f>Deals_Raw!AH116</f>
        <v>0</v>
      </c>
      <c r="AG116" t="str">
        <f>Deals_Raw!AI116</f>
        <v>No</v>
      </c>
      <c r="AH116" s="6">
        <f>Deals_Raw!AJ116</f>
        <v>63608.333397051814</v>
      </c>
      <c r="AI116" s="6">
        <f>Deals_Raw!AK116</f>
        <v>37926.234679034329</v>
      </c>
      <c r="AJ116" t="str">
        <f>Deals_Raw!AL116</f>
        <v>First purchase under this contract</v>
      </c>
      <c r="AK116" s="9">
        <f t="shared" si="7"/>
        <v>3.5</v>
      </c>
      <c r="AL116" s="8">
        <f t="shared" si="8"/>
        <v>0.90907937789967597</v>
      </c>
      <c r="AM116" s="8">
        <f t="shared" si="9"/>
        <v>3.1E-2</v>
      </c>
      <c r="AN116" t="str">
        <f>IF(AC116&lt;Pricing_Policy!$C$10,"Below Floor","Pass")</f>
        <v>Pass</v>
      </c>
      <c r="AO116" t="str">
        <f>IF(V116&gt;Pricing_Policy!$C$7,"Exception","Standard")</f>
        <v>Standard</v>
      </c>
      <c r="AP116" t="str">
        <f t="shared" si="10"/>
        <v>Pass</v>
      </c>
      <c r="AQ116">
        <f t="shared" si="11"/>
        <v>1</v>
      </c>
      <c r="AR116" s="8">
        <f t="shared" si="12"/>
        <v>0.59624631952379015</v>
      </c>
      <c r="AS116">
        <f t="shared" si="13"/>
        <v>1</v>
      </c>
    </row>
    <row r="117" spans="1:45">
      <c r="A117" t="str">
        <f>Deals_Raw!A117</f>
        <v>D00132</v>
      </c>
      <c r="B117">
        <f>Deals_Raw!B117</f>
        <v>45680</v>
      </c>
      <c r="C117" t="str">
        <f>Deals_Raw!C117</f>
        <v>C0036</v>
      </c>
      <c r="D117" t="str">
        <f>Deals_Raw!D117</f>
        <v>TEC-0036</v>
      </c>
      <c r="E117" t="str">
        <f>Deals_Raw!E117</f>
        <v>CT00077</v>
      </c>
      <c r="F117" t="str">
        <f>Deals_Raw!F117</f>
        <v>Corporate</v>
      </c>
      <c r="G117" t="str">
        <f>Deals_Raw!G117</f>
        <v>Technology</v>
      </c>
      <c r="H117" t="str">
        <f>Deals_Raw!H117</f>
        <v>South</v>
      </c>
      <c r="I117" t="str">
        <f>Deals_Raw!I117</f>
        <v>South Commercial</v>
      </c>
      <c r="J117" t="str">
        <f>Deals_Raw!J117</f>
        <v>SMB</v>
      </c>
      <c r="K117" t="str">
        <f>Deals_Raw!K117</f>
        <v>No</v>
      </c>
      <c r="L117">
        <f>Deals_Raw!L117</f>
        <v>44682</v>
      </c>
      <c r="M117">
        <f>Deals_Raw!M117</f>
        <v>77</v>
      </c>
      <c r="N117" t="str">
        <f>Deals_Raw!N117</f>
        <v>Nexus Enterprise Suite</v>
      </c>
      <c r="O117" t="str">
        <f>Deals_Raw!O117</f>
        <v>New Business</v>
      </c>
      <c r="P117">
        <f>Deals_Raw!P117</f>
        <v>0</v>
      </c>
      <c r="Q117">
        <f>Deals_Raw!Q117</f>
        <v>1</v>
      </c>
      <c r="R117">
        <f>Deals_Raw!R117</f>
        <v>24</v>
      </c>
      <c r="S117" t="str">
        <f>Deals_Raw!S117</f>
        <v>T. Brooks</v>
      </c>
      <c r="T117" s="6">
        <f>Deals_Raw!T117</f>
        <v>128140.26042605813</v>
      </c>
      <c r="U117" s="8">
        <f>Deals_Raw!V117</f>
        <v>0.249</v>
      </c>
      <c r="V117" s="8">
        <f>Deals_Raw!W117</f>
        <v>0.221</v>
      </c>
      <c r="W117" s="8">
        <f>Deals_Raw!X117</f>
        <v>2.4E-2</v>
      </c>
      <c r="X117" t="str">
        <f>Deals_Raw!Y117</f>
        <v>Expansion opportunity</v>
      </c>
      <c r="Y117" t="str">
        <f>Deals_Raw!Z117</f>
        <v>Business Manager</v>
      </c>
      <c r="Z117" s="6">
        <f>Deals_Raw!AA117</f>
        <v>99767.791595345276</v>
      </c>
      <c r="AA117" s="6">
        <f>Deals_Raw!AC117</f>
        <v>46207.19623803415</v>
      </c>
      <c r="AB117" s="6">
        <f>Deals_Raw!AD117</f>
        <v>53560.595357311126</v>
      </c>
      <c r="AC117" s="8">
        <f>Deals_Raw!AE117</f>
        <v>0.53685257036209699</v>
      </c>
      <c r="AD117" t="str">
        <f>Deals_Raw!AF117</f>
        <v>Lost</v>
      </c>
      <c r="AE117">
        <f>Deals_Raw!AG117</f>
        <v>0</v>
      </c>
      <c r="AF117">
        <f>Deals_Raw!AH117</f>
        <v>0</v>
      </c>
      <c r="AG117" t="str">
        <f>Deals_Raw!AI117</f>
        <v>No</v>
      </c>
      <c r="AH117" s="6">
        <f>Deals_Raw!AJ117</f>
        <v>0</v>
      </c>
      <c r="AI117" s="6">
        <f>Deals_Raw!AK117</f>
        <v>0</v>
      </c>
      <c r="AJ117" t="str">
        <f>Deals_Raw!AL117</f>
        <v>First purchase under this contract</v>
      </c>
      <c r="AK117" s="9">
        <f t="shared" si="7"/>
        <v>2.7277777777777779</v>
      </c>
      <c r="AL117" s="8">
        <f t="shared" si="8"/>
        <v>0.77858271290868131</v>
      </c>
      <c r="AM117" s="8">
        <f t="shared" si="9"/>
        <v>2.7999999999999997E-2</v>
      </c>
      <c r="AN117" t="str">
        <f>IF(AC117&lt;Pricing_Policy!$C$10,"Below Floor","Pass")</f>
        <v>Pass</v>
      </c>
      <c r="AO117" t="str">
        <f>IF(V117&gt;Pricing_Policy!$C$7,"Exception","Standard")</f>
        <v>Standard</v>
      </c>
      <c r="AP117" t="str">
        <f t="shared" si="10"/>
        <v>Pass</v>
      </c>
      <c r="AQ117">
        <f t="shared" si="11"/>
        <v>0</v>
      </c>
      <c r="AR117" s="8">
        <f t="shared" si="12"/>
        <v>0</v>
      </c>
      <c r="AS117">
        <f t="shared" si="13"/>
        <v>1</v>
      </c>
    </row>
    <row r="118" spans="1:45">
      <c r="A118" t="str">
        <f>Deals_Raw!A118</f>
        <v>D00133</v>
      </c>
      <c r="B118">
        <f>Deals_Raw!B118</f>
        <v>45399</v>
      </c>
      <c r="C118" t="str">
        <f>Deals_Raw!C118</f>
        <v>C0037</v>
      </c>
      <c r="D118" t="str">
        <f>Deals_Raw!D118</f>
        <v>HEA-0037</v>
      </c>
      <c r="E118" t="str">
        <f>Deals_Raw!E118</f>
        <v>CT00078</v>
      </c>
      <c r="F118" t="str">
        <f>Deals_Raw!F118</f>
        <v>Corporate</v>
      </c>
      <c r="G118" t="str">
        <f>Deals_Raw!G118</f>
        <v>Healthcare</v>
      </c>
      <c r="H118" t="str">
        <f>Deals_Raw!H118</f>
        <v>West</v>
      </c>
      <c r="I118" t="str">
        <f>Deals_Raw!I118</f>
        <v>West Commercial</v>
      </c>
      <c r="J118" t="str">
        <f>Deals_Raw!J118</f>
        <v>SMB</v>
      </c>
      <c r="K118" t="str">
        <f>Deals_Raw!K118</f>
        <v>No</v>
      </c>
      <c r="L118">
        <f>Deals_Raw!L118</f>
        <v>45017</v>
      </c>
      <c r="M118">
        <f>Deals_Raw!M118</f>
        <v>78</v>
      </c>
      <c r="N118" t="str">
        <f>Deals_Raw!N118</f>
        <v>Nexus Analytics</v>
      </c>
      <c r="O118" t="str">
        <f>Deals_Raw!O118</f>
        <v>Expansion</v>
      </c>
      <c r="P118" t="str">
        <f>Deals_Raw!P118</f>
        <v>Multi-year Extension</v>
      </c>
      <c r="Q118">
        <f>Deals_Raw!Q118</f>
        <v>1</v>
      </c>
      <c r="R118">
        <f>Deals_Raw!R118</f>
        <v>34</v>
      </c>
      <c r="S118" t="str">
        <f>Deals_Raw!S118</f>
        <v>M. Johnson</v>
      </c>
      <c r="T118" s="6">
        <f>Deals_Raw!T118</f>
        <v>57591.693399911739</v>
      </c>
      <c r="U118" s="8">
        <f>Deals_Raw!V118</f>
        <v>9.9000000000000005E-2</v>
      </c>
      <c r="V118" s="8">
        <f>Deals_Raw!W118</f>
        <v>6.7000000000000004E-2</v>
      </c>
      <c r="W118" s="8">
        <f>Deals_Raw!X118</f>
        <v>4.8000000000000001E-2</v>
      </c>
      <c r="X118" t="str">
        <f>Deals_Raw!Y118</f>
        <v>Expansion opportunity</v>
      </c>
      <c r="Y118" t="str">
        <f>Deals_Raw!Z118</f>
        <v>Sales Manager</v>
      </c>
      <c r="Z118" s="6">
        <f>Deals_Raw!AA118</f>
        <v>53754.944555690294</v>
      </c>
      <c r="AA118" s="6">
        <f>Deals_Raw!AC118</f>
        <v>15959.88898031073</v>
      </c>
      <c r="AB118" s="6">
        <f>Deals_Raw!AD118</f>
        <v>37795.055575379563</v>
      </c>
      <c r="AC118" s="8">
        <f>Deals_Raw!AE118</f>
        <v>0.70309914534882956</v>
      </c>
      <c r="AD118" t="str">
        <f>Deals_Raw!AF118</f>
        <v>Won</v>
      </c>
      <c r="AE118">
        <f>Deals_Raw!AG118</f>
        <v>0</v>
      </c>
      <c r="AF118" t="str">
        <f>Deals_Raw!AH118</f>
        <v>Yes</v>
      </c>
      <c r="AG118" t="str">
        <f>Deals_Raw!AI118</f>
        <v>No</v>
      </c>
      <c r="AH118" s="6">
        <f>Deals_Raw!AJ118</f>
        <v>53754.944555690294</v>
      </c>
      <c r="AI118" s="6">
        <f>Deals_Raw!AK118</f>
        <v>37795.055575379563</v>
      </c>
      <c r="AJ118" t="str">
        <f>Deals_Raw!AL118</f>
        <v>Expansion allowed because contract was active</v>
      </c>
      <c r="AK118" s="9">
        <f t="shared" si="7"/>
        <v>1.0444444444444445</v>
      </c>
      <c r="AL118" s="8">
        <f t="shared" si="8"/>
        <v>0.93338016964392079</v>
      </c>
      <c r="AM118" s="8">
        <f t="shared" si="9"/>
        <v>3.2000000000000001E-2</v>
      </c>
      <c r="AN118" t="str">
        <f>IF(AC118&lt;Pricing_Policy!$C$10,"Below Floor","Pass")</f>
        <v>Pass</v>
      </c>
      <c r="AO118" t="str">
        <f>IF(V118&gt;Pricing_Policy!$C$7,"Exception","Standard")</f>
        <v>Standard</v>
      </c>
      <c r="AP118" t="str">
        <f t="shared" si="10"/>
        <v>Pass</v>
      </c>
      <c r="AQ118">
        <f t="shared" si="11"/>
        <v>1</v>
      </c>
      <c r="AR118" s="8">
        <f t="shared" si="12"/>
        <v>0.70309914534882956</v>
      </c>
      <c r="AS118">
        <f t="shared" si="13"/>
        <v>3</v>
      </c>
    </row>
    <row r="119" spans="1:45">
      <c r="A119" t="str">
        <f>Deals_Raw!A119</f>
        <v>D00134</v>
      </c>
      <c r="B119">
        <f>Deals_Raw!B119</f>
        <v>45541</v>
      </c>
      <c r="C119" t="str">
        <f>Deals_Raw!C119</f>
        <v>C0037</v>
      </c>
      <c r="D119" t="str">
        <f>Deals_Raw!D119</f>
        <v>HEA-0037</v>
      </c>
      <c r="E119" t="str">
        <f>Deals_Raw!E119</f>
        <v>CT00078</v>
      </c>
      <c r="F119" t="str">
        <f>Deals_Raw!F119</f>
        <v>Corporate</v>
      </c>
      <c r="G119" t="str">
        <f>Deals_Raw!G119</f>
        <v>Healthcare</v>
      </c>
      <c r="H119" t="str">
        <f>Deals_Raw!H119</f>
        <v>West</v>
      </c>
      <c r="I119" t="str">
        <f>Deals_Raw!I119</f>
        <v>West Commercial</v>
      </c>
      <c r="J119" t="str">
        <f>Deals_Raw!J119</f>
        <v>SMB</v>
      </c>
      <c r="K119" t="str">
        <f>Deals_Raw!K119</f>
        <v>No</v>
      </c>
      <c r="L119">
        <f>Deals_Raw!L119</f>
        <v>45017</v>
      </c>
      <c r="M119">
        <f>Deals_Raw!M119</f>
        <v>78</v>
      </c>
      <c r="N119" t="str">
        <f>Deals_Raw!N119</f>
        <v>Nexus Analytics</v>
      </c>
      <c r="O119" t="str">
        <f>Deals_Raw!O119</f>
        <v>Renewal</v>
      </c>
      <c r="P119">
        <f>Deals_Raw!P119</f>
        <v>0</v>
      </c>
      <c r="Q119">
        <f>Deals_Raw!Q119</f>
        <v>1</v>
      </c>
      <c r="R119">
        <f>Deals_Raw!R119</f>
        <v>34</v>
      </c>
      <c r="S119" t="str">
        <f>Deals_Raw!S119</f>
        <v>S. Rivera</v>
      </c>
      <c r="T119" s="6">
        <f>Deals_Raw!T119</f>
        <v>61880.039265459745</v>
      </c>
      <c r="U119" s="8">
        <f>Deals_Raw!V119</f>
        <v>8.3000000000000004E-2</v>
      </c>
      <c r="V119" s="8">
        <f>Deals_Raw!W119</f>
        <v>5.0999999999999997E-2</v>
      </c>
      <c r="W119" s="8">
        <f>Deals_Raw!X119</f>
        <v>-0.18</v>
      </c>
      <c r="X119" t="str">
        <f>Deals_Raw!Y119</f>
        <v>Procurement requirement</v>
      </c>
      <c r="Y119" t="str">
        <f>Deals_Raw!Z119</f>
        <v>Sales Manager</v>
      </c>
      <c r="Z119" s="6">
        <f>Deals_Raw!AA119</f>
        <v>58754.887218567783</v>
      </c>
      <c r="AA119" s="6">
        <f>Deals_Raw!AC119</f>
        <v>19921.271784372391</v>
      </c>
      <c r="AB119" s="6">
        <f>Deals_Raw!AD119</f>
        <v>38833.615434195395</v>
      </c>
      <c r="AC119" s="8">
        <f>Deals_Raw!AE119</f>
        <v>0.6609427278744423</v>
      </c>
      <c r="AD119" t="str">
        <f>Deals_Raw!AF119</f>
        <v>Won</v>
      </c>
      <c r="AE119" t="str">
        <f>Deals_Raw!AG119</f>
        <v>Yes</v>
      </c>
      <c r="AF119">
        <f>Deals_Raw!AH119</f>
        <v>0</v>
      </c>
      <c r="AG119" t="str">
        <f>Deals_Raw!AI119</f>
        <v>No</v>
      </c>
      <c r="AH119" s="6">
        <f>Deals_Raw!AJ119</f>
        <v>58754.887218567783</v>
      </c>
      <c r="AI119" s="6">
        <f>Deals_Raw!AK119</f>
        <v>38833.615434195395</v>
      </c>
      <c r="AJ119" t="str">
        <f>Deals_Raw!AL119</f>
        <v>Renewal of existing active contract</v>
      </c>
      <c r="AK119" s="9">
        <f t="shared" si="7"/>
        <v>1.4305555555555556</v>
      </c>
      <c r="AL119" s="8">
        <f t="shared" si="8"/>
        <v>0.9494966053029581</v>
      </c>
      <c r="AM119" s="8">
        <f t="shared" si="9"/>
        <v>3.2000000000000008E-2</v>
      </c>
      <c r="AN119" t="str">
        <f>IF(AC119&lt;Pricing_Policy!$C$10,"Below Floor","Pass")</f>
        <v>Pass</v>
      </c>
      <c r="AO119" t="str">
        <f>IF(V119&gt;Pricing_Policy!$C$7,"Exception","Standard")</f>
        <v>Standard</v>
      </c>
      <c r="AP119" t="str">
        <f t="shared" si="10"/>
        <v>Pass</v>
      </c>
      <c r="AQ119">
        <f t="shared" si="11"/>
        <v>1</v>
      </c>
      <c r="AR119" s="8">
        <f t="shared" si="12"/>
        <v>0.6609427278744423</v>
      </c>
      <c r="AS119">
        <f t="shared" si="13"/>
        <v>3</v>
      </c>
    </row>
    <row r="120" spans="1:45">
      <c r="A120" t="str">
        <f>Deals_Raw!A120</f>
        <v>D00135</v>
      </c>
      <c r="B120">
        <f>Deals_Raw!B120</f>
        <v>45906</v>
      </c>
      <c r="C120" t="str">
        <f>Deals_Raw!C120</f>
        <v>C0037</v>
      </c>
      <c r="D120" t="str">
        <f>Deals_Raw!D120</f>
        <v>HEA-0037</v>
      </c>
      <c r="E120" t="str">
        <f>Deals_Raw!E120</f>
        <v>CT00078</v>
      </c>
      <c r="F120" t="str">
        <f>Deals_Raw!F120</f>
        <v>Corporate</v>
      </c>
      <c r="G120" t="str">
        <f>Deals_Raw!G120</f>
        <v>Healthcare</v>
      </c>
      <c r="H120" t="str">
        <f>Deals_Raw!H120</f>
        <v>West</v>
      </c>
      <c r="I120" t="str">
        <f>Deals_Raw!I120</f>
        <v>West Commercial</v>
      </c>
      <c r="J120" t="str">
        <f>Deals_Raw!J120</f>
        <v>SMB</v>
      </c>
      <c r="K120" t="str">
        <f>Deals_Raw!K120</f>
        <v>No</v>
      </c>
      <c r="L120">
        <f>Deals_Raw!L120</f>
        <v>45017</v>
      </c>
      <c r="M120">
        <f>Deals_Raw!M120</f>
        <v>78</v>
      </c>
      <c r="N120" t="str">
        <f>Deals_Raw!N120</f>
        <v>Nexus Analytics</v>
      </c>
      <c r="O120" t="str">
        <f>Deals_Raw!O120</f>
        <v>Renewal</v>
      </c>
      <c r="P120">
        <f>Deals_Raw!P120</f>
        <v>0</v>
      </c>
      <c r="Q120">
        <f>Deals_Raw!Q120</f>
        <v>1</v>
      </c>
      <c r="R120">
        <f>Deals_Raw!R120</f>
        <v>34</v>
      </c>
      <c r="S120" t="str">
        <f>Deals_Raw!S120</f>
        <v>M. Johnson</v>
      </c>
      <c r="T120" s="6">
        <f>Deals_Raw!T120</f>
        <v>65111.855534373673</v>
      </c>
      <c r="U120" s="8">
        <f>Deals_Raw!V120</f>
        <v>1.6E-2</v>
      </c>
      <c r="V120" s="8">
        <f>Deals_Raw!W120</f>
        <v>6.0000000000000001E-3</v>
      </c>
      <c r="W120" s="8">
        <f>Deals_Raw!X120</f>
        <v>-1.6E-2</v>
      </c>
      <c r="X120" t="str">
        <f>Deals_Raw!Y120</f>
        <v>Renewal retention risk</v>
      </c>
      <c r="Y120" t="str">
        <f>Deals_Raw!Z120</f>
        <v>Sales Manager</v>
      </c>
      <c r="Z120" s="6">
        <f>Deals_Raw!AA120</f>
        <v>64699.831970099382</v>
      </c>
      <c r="AA120" s="6">
        <f>Deals_Raw!AC120</f>
        <v>19797.99626660952</v>
      </c>
      <c r="AB120" s="6">
        <f>Deals_Raw!AD120</f>
        <v>44901.835703489865</v>
      </c>
      <c r="AC120" s="8">
        <f>Deals_Raw!AE120</f>
        <v>0.69400235419839984</v>
      </c>
      <c r="AD120" t="str">
        <f>Deals_Raw!AF120</f>
        <v>Lost</v>
      </c>
      <c r="AE120" t="str">
        <f>Deals_Raw!AG120</f>
        <v>No</v>
      </c>
      <c r="AF120">
        <f>Deals_Raw!AH120</f>
        <v>0</v>
      </c>
      <c r="AG120" t="str">
        <f>Deals_Raw!AI120</f>
        <v>No</v>
      </c>
      <c r="AH120" s="6">
        <f>Deals_Raw!AJ120</f>
        <v>0</v>
      </c>
      <c r="AI120" s="6">
        <f>Deals_Raw!AK120</f>
        <v>0</v>
      </c>
      <c r="AJ120" t="str">
        <f>Deals_Raw!AL120</f>
        <v>Renewal of existing active contract</v>
      </c>
      <c r="AK120" s="9">
        <f t="shared" si="7"/>
        <v>2.4305555555555554</v>
      </c>
      <c r="AL120" s="8">
        <f t="shared" si="8"/>
        <v>0.99367206538820296</v>
      </c>
      <c r="AM120" s="8">
        <f t="shared" si="9"/>
        <v>0.01</v>
      </c>
      <c r="AN120" t="str">
        <f>IF(AC120&lt;Pricing_Policy!$C$10,"Below Floor","Pass")</f>
        <v>Pass</v>
      </c>
      <c r="AO120" t="str">
        <f>IF(V120&gt;Pricing_Policy!$C$7,"Exception","Standard")</f>
        <v>Standard</v>
      </c>
      <c r="AP120" t="str">
        <f t="shared" si="10"/>
        <v>Pass</v>
      </c>
      <c r="AQ120">
        <f t="shared" si="11"/>
        <v>0</v>
      </c>
      <c r="AR120" s="8">
        <f t="shared" si="12"/>
        <v>0</v>
      </c>
      <c r="AS120">
        <f t="shared" si="13"/>
        <v>3</v>
      </c>
    </row>
    <row r="121" spans="1:45">
      <c r="A121" t="str">
        <f>Deals_Raw!A121</f>
        <v>D00136</v>
      </c>
      <c r="B121">
        <f>Deals_Raw!B121</f>
        <v>45513</v>
      </c>
      <c r="C121" t="str">
        <f>Deals_Raw!C121</f>
        <v>C0037</v>
      </c>
      <c r="D121" t="str">
        <f>Deals_Raw!D121</f>
        <v>HEA-0037</v>
      </c>
      <c r="E121" t="str">
        <f>Deals_Raw!E121</f>
        <v>CT00079</v>
      </c>
      <c r="F121" t="str">
        <f>Deals_Raw!F121</f>
        <v>Technology</v>
      </c>
      <c r="G121" t="str">
        <f>Deals_Raw!G121</f>
        <v>Healthcare</v>
      </c>
      <c r="H121" t="str">
        <f>Deals_Raw!H121</f>
        <v>West</v>
      </c>
      <c r="I121" t="str">
        <f>Deals_Raw!I121</f>
        <v>West Commercial</v>
      </c>
      <c r="J121" t="str">
        <f>Deals_Raw!J121</f>
        <v>SMB</v>
      </c>
      <c r="K121" t="str">
        <f>Deals_Raw!K121</f>
        <v>No</v>
      </c>
      <c r="L121">
        <f>Deals_Raw!L121</f>
        <v>45017</v>
      </c>
      <c r="M121">
        <f>Deals_Raw!M121</f>
        <v>78</v>
      </c>
      <c r="N121" t="str">
        <f>Deals_Raw!N121</f>
        <v>Nexus Compliance</v>
      </c>
      <c r="O121" t="str">
        <f>Deals_Raw!O121</f>
        <v>New Business</v>
      </c>
      <c r="P121">
        <f>Deals_Raw!P121</f>
        <v>0</v>
      </c>
      <c r="Q121">
        <f>Deals_Raw!Q121</f>
        <v>1</v>
      </c>
      <c r="R121">
        <f>Deals_Raw!R121</f>
        <v>79</v>
      </c>
      <c r="S121" t="str">
        <f>Deals_Raw!S121</f>
        <v>S. Rivera</v>
      </c>
      <c r="T121" s="6">
        <f>Deals_Raw!T121</f>
        <v>63754.011960434866</v>
      </c>
      <c r="U121" s="8">
        <f>Deals_Raw!V121</f>
        <v>6.9000000000000006E-2</v>
      </c>
      <c r="V121" s="8">
        <f>Deals_Raw!W121</f>
        <v>5.1999999999999998E-2</v>
      </c>
      <c r="W121" s="8">
        <f>Deals_Raw!X121</f>
        <v>5.8999999999999997E-2</v>
      </c>
      <c r="X121" t="str">
        <f>Deals_Raw!Y121</f>
        <v>Renewal retention risk</v>
      </c>
      <c r="Y121" t="str">
        <f>Deals_Raw!Z121</f>
        <v>Sales Manager</v>
      </c>
      <c r="Z121" s="6">
        <f>Deals_Raw!AA121</f>
        <v>60431.032295362886</v>
      </c>
      <c r="AA121" s="6">
        <f>Deals_Raw!AC121</f>
        <v>23376.011140752911</v>
      </c>
      <c r="AB121" s="6">
        <f>Deals_Raw!AD121</f>
        <v>37055.021154609974</v>
      </c>
      <c r="AC121" s="8">
        <f>Deals_Raw!AE121</f>
        <v>0.61317868894742267</v>
      </c>
      <c r="AD121" t="str">
        <f>Deals_Raw!AF121</f>
        <v>Lost</v>
      </c>
      <c r="AE121">
        <f>Deals_Raw!AG121</f>
        <v>0</v>
      </c>
      <c r="AF121">
        <f>Deals_Raw!AH121</f>
        <v>0</v>
      </c>
      <c r="AG121" t="str">
        <f>Deals_Raw!AI121</f>
        <v>No</v>
      </c>
      <c r="AH121" s="6">
        <f>Deals_Raw!AJ121</f>
        <v>0</v>
      </c>
      <c r="AI121" s="6">
        <f>Deals_Raw!AK121</f>
        <v>0</v>
      </c>
      <c r="AJ121" t="str">
        <f>Deals_Raw!AL121</f>
        <v>First purchase under this contract</v>
      </c>
      <c r="AK121" s="9">
        <f t="shared" si="7"/>
        <v>1.3555555555555556</v>
      </c>
      <c r="AL121" s="8">
        <f t="shared" si="8"/>
        <v>0.94787810895517932</v>
      </c>
      <c r="AM121" s="8">
        <f t="shared" si="9"/>
        <v>1.7000000000000008E-2</v>
      </c>
      <c r="AN121" t="str">
        <f>IF(AC121&lt;Pricing_Policy!$C$10,"Below Floor","Pass")</f>
        <v>Pass</v>
      </c>
      <c r="AO121" t="str">
        <f>IF(V121&gt;Pricing_Policy!$C$7,"Exception","Standard")</f>
        <v>Standard</v>
      </c>
      <c r="AP121" t="str">
        <f t="shared" si="10"/>
        <v>Pass</v>
      </c>
      <c r="AQ121">
        <f t="shared" si="11"/>
        <v>0</v>
      </c>
      <c r="AR121" s="8">
        <f t="shared" si="12"/>
        <v>0</v>
      </c>
      <c r="AS121">
        <f t="shared" si="13"/>
        <v>1</v>
      </c>
    </row>
    <row r="122" spans="1:45">
      <c r="A122" t="str">
        <f>Deals_Raw!A122</f>
        <v>D00137</v>
      </c>
      <c r="B122">
        <f>Deals_Raw!B122</f>
        <v>45613</v>
      </c>
      <c r="C122" t="str">
        <f>Deals_Raw!C122</f>
        <v>C0038</v>
      </c>
      <c r="D122" t="str">
        <f>Deals_Raw!D122</f>
        <v>LEG-0038</v>
      </c>
      <c r="E122" t="str">
        <f>Deals_Raw!E122</f>
        <v>CT00080</v>
      </c>
      <c r="F122" t="str">
        <f>Deals_Raw!F122</f>
        <v>Corporate</v>
      </c>
      <c r="G122" t="str">
        <f>Deals_Raw!G122</f>
        <v>Legal</v>
      </c>
      <c r="H122" t="str">
        <f>Deals_Raw!H122</f>
        <v>South</v>
      </c>
      <c r="I122" t="str">
        <f>Deals_Raw!I122</f>
        <v>South Commercial</v>
      </c>
      <c r="J122" t="str">
        <f>Deals_Raw!J122</f>
        <v>SMB</v>
      </c>
      <c r="K122" t="str">
        <f>Deals_Raw!K122</f>
        <v>No</v>
      </c>
      <c r="L122">
        <f>Deals_Raw!L122</f>
        <v>44256</v>
      </c>
      <c r="M122">
        <f>Deals_Raw!M122</f>
        <v>87</v>
      </c>
      <c r="N122" t="str">
        <f>Deals_Raw!N122</f>
        <v>Nexus Compliance</v>
      </c>
      <c r="O122" t="str">
        <f>Deals_Raw!O122</f>
        <v>Renewal</v>
      </c>
      <c r="P122">
        <f>Deals_Raw!P122</f>
        <v>0</v>
      </c>
      <c r="Q122">
        <f>Deals_Raw!Q122</f>
        <v>1</v>
      </c>
      <c r="R122">
        <f>Deals_Raw!R122</f>
        <v>77</v>
      </c>
      <c r="S122" t="str">
        <f>Deals_Raw!S122</f>
        <v>R. Singh</v>
      </c>
      <c r="T122" s="6">
        <f>Deals_Raw!T122</f>
        <v>61384.650560749687</v>
      </c>
      <c r="U122" s="8">
        <f>Deals_Raw!V122</f>
        <v>0.17799999999999999</v>
      </c>
      <c r="V122" s="8">
        <f>Deals_Raw!W122</f>
        <v>0.17399999999999999</v>
      </c>
      <c r="W122" s="8">
        <f>Deals_Raw!X122</f>
        <v>-1.6E-2</v>
      </c>
      <c r="X122" t="str">
        <f>Deals_Raw!Y122</f>
        <v>Volume purchase</v>
      </c>
      <c r="Y122" t="str">
        <f>Deals_Raw!Z122</f>
        <v>Pricing Analyst</v>
      </c>
      <c r="Z122" s="6">
        <f>Deals_Raw!AA122</f>
        <v>50689.565298060872</v>
      </c>
      <c r="AA122" s="6">
        <f>Deals_Raw!AC122</f>
        <v>22441.659240066601</v>
      </c>
      <c r="AB122" s="6">
        <f>Deals_Raw!AD122</f>
        <v>28247.906057994271</v>
      </c>
      <c r="AC122" s="8">
        <f>Deals_Raw!AE122</f>
        <v>0.55727260417194568</v>
      </c>
      <c r="AD122" t="str">
        <f>Deals_Raw!AF122</f>
        <v>Won</v>
      </c>
      <c r="AE122" t="str">
        <f>Deals_Raw!AG122</f>
        <v>Yes</v>
      </c>
      <c r="AF122">
        <f>Deals_Raw!AH122</f>
        <v>0</v>
      </c>
      <c r="AG122" t="str">
        <f>Deals_Raw!AI122</f>
        <v>No</v>
      </c>
      <c r="AH122" s="6">
        <f>Deals_Raw!AJ122</f>
        <v>50689.565298060872</v>
      </c>
      <c r="AI122" s="6">
        <f>Deals_Raw!AK122</f>
        <v>28247.906057994271</v>
      </c>
      <c r="AJ122" t="str">
        <f>Deals_Raw!AL122</f>
        <v>Renewal of existing active contract</v>
      </c>
      <c r="AK122" s="9">
        <f t="shared" si="7"/>
        <v>3.7111111111111112</v>
      </c>
      <c r="AL122" s="8">
        <f t="shared" si="8"/>
        <v>0.82576938754250362</v>
      </c>
      <c r="AM122" s="8">
        <f t="shared" si="9"/>
        <v>4.0000000000000036E-3</v>
      </c>
      <c r="AN122" t="str">
        <f>IF(AC122&lt;Pricing_Policy!$C$10,"Below Floor","Pass")</f>
        <v>Pass</v>
      </c>
      <c r="AO122" t="str">
        <f>IF(V122&gt;Pricing_Policy!$C$7,"Exception","Standard")</f>
        <v>Standard</v>
      </c>
      <c r="AP122" t="str">
        <f t="shared" si="10"/>
        <v>Pass</v>
      </c>
      <c r="AQ122">
        <f t="shared" si="11"/>
        <v>1</v>
      </c>
      <c r="AR122" s="8">
        <f t="shared" si="12"/>
        <v>0.55727260417194568</v>
      </c>
      <c r="AS122">
        <f t="shared" si="13"/>
        <v>2</v>
      </c>
    </row>
    <row r="123" spans="1:45">
      <c r="A123" t="str">
        <f>Deals_Raw!A123</f>
        <v>D00138</v>
      </c>
      <c r="B123">
        <f>Deals_Raw!B123</f>
        <v>45978</v>
      </c>
      <c r="C123" t="str">
        <f>Deals_Raw!C123</f>
        <v>C0038</v>
      </c>
      <c r="D123" t="str">
        <f>Deals_Raw!D123</f>
        <v>LEG-0038</v>
      </c>
      <c r="E123" t="str">
        <f>Deals_Raw!E123</f>
        <v>CT00080</v>
      </c>
      <c r="F123" t="str">
        <f>Deals_Raw!F123</f>
        <v>Corporate</v>
      </c>
      <c r="G123" t="str">
        <f>Deals_Raw!G123</f>
        <v>Legal</v>
      </c>
      <c r="H123" t="str">
        <f>Deals_Raw!H123</f>
        <v>South</v>
      </c>
      <c r="I123" t="str">
        <f>Deals_Raw!I123</f>
        <v>South Commercial</v>
      </c>
      <c r="J123" t="str">
        <f>Deals_Raw!J123</f>
        <v>SMB</v>
      </c>
      <c r="K123" t="str">
        <f>Deals_Raw!K123</f>
        <v>No</v>
      </c>
      <c r="L123">
        <f>Deals_Raw!L123</f>
        <v>44256</v>
      </c>
      <c r="M123">
        <f>Deals_Raw!M123</f>
        <v>87</v>
      </c>
      <c r="N123" t="str">
        <f>Deals_Raw!N123</f>
        <v>Nexus Compliance</v>
      </c>
      <c r="O123" t="str">
        <f>Deals_Raw!O123</f>
        <v>Renewal</v>
      </c>
      <c r="P123">
        <f>Deals_Raw!P123</f>
        <v>0</v>
      </c>
      <c r="Q123">
        <f>Deals_Raw!Q123</f>
        <v>1</v>
      </c>
      <c r="R123">
        <f>Deals_Raw!R123</f>
        <v>77</v>
      </c>
      <c r="S123" t="str">
        <f>Deals_Raw!S123</f>
        <v>R. Singh</v>
      </c>
      <c r="T123" s="6">
        <f>Deals_Raw!T123</f>
        <v>64134.307315289298</v>
      </c>
      <c r="U123" s="8">
        <f>Deals_Raw!V123</f>
        <v>4.2999999999999997E-2</v>
      </c>
      <c r="V123" s="8">
        <f>Deals_Raw!W123</f>
        <v>3.9E-2</v>
      </c>
      <c r="W123" s="8">
        <f>Deals_Raw!X123</f>
        <v>-3.9E-2</v>
      </c>
      <c r="X123" t="str">
        <f>Deals_Raw!Y123</f>
        <v>Renewal retention risk</v>
      </c>
      <c r="Y123" t="str">
        <f>Deals_Raw!Z123</f>
        <v>Sales Manager</v>
      </c>
      <c r="Z123" s="6">
        <f>Deals_Raw!AA123</f>
        <v>61617.765765932389</v>
      </c>
      <c r="AA123" s="6">
        <f>Deals_Raw!AC123</f>
        <v>22045.265798194014</v>
      </c>
      <c r="AB123" s="6">
        <f>Deals_Raw!AD123</f>
        <v>39572.499967738375</v>
      </c>
      <c r="AC123" s="8">
        <f>Deals_Raw!AE123</f>
        <v>0.64222549253185457</v>
      </c>
      <c r="AD123" t="str">
        <f>Deals_Raw!AF123</f>
        <v>Won</v>
      </c>
      <c r="AE123" t="str">
        <f>Deals_Raw!AG123</f>
        <v>Yes</v>
      </c>
      <c r="AF123">
        <f>Deals_Raw!AH123</f>
        <v>0</v>
      </c>
      <c r="AG123" t="str">
        <f>Deals_Raw!AI123</f>
        <v>No</v>
      </c>
      <c r="AH123" s="6">
        <f>Deals_Raw!AJ123</f>
        <v>61617.765765932389</v>
      </c>
      <c r="AI123" s="6">
        <f>Deals_Raw!AK123</f>
        <v>39572.499967738375</v>
      </c>
      <c r="AJ123" t="str">
        <f>Deals_Raw!AL123</f>
        <v>Renewal of existing active contract</v>
      </c>
      <c r="AK123" s="9">
        <f t="shared" si="7"/>
        <v>4.7111111111111112</v>
      </c>
      <c r="AL123" s="8">
        <f t="shared" si="8"/>
        <v>0.96076138256260579</v>
      </c>
      <c r="AM123" s="8">
        <f t="shared" si="9"/>
        <v>3.9999999999999966E-3</v>
      </c>
      <c r="AN123" t="str">
        <f>IF(AC123&lt;Pricing_Policy!$C$10,"Below Floor","Pass")</f>
        <v>Pass</v>
      </c>
      <c r="AO123" t="str">
        <f>IF(V123&gt;Pricing_Policy!$C$7,"Exception","Standard")</f>
        <v>Standard</v>
      </c>
      <c r="AP123" t="str">
        <f t="shared" si="10"/>
        <v>Pass</v>
      </c>
      <c r="AQ123">
        <f t="shared" si="11"/>
        <v>1</v>
      </c>
      <c r="AR123" s="8">
        <f t="shared" si="12"/>
        <v>0.64222549253185457</v>
      </c>
      <c r="AS123">
        <f t="shared" si="13"/>
        <v>2</v>
      </c>
    </row>
    <row r="124" spans="1:45">
      <c r="A124" t="str">
        <f>Deals_Raw!A124</f>
        <v>D00139</v>
      </c>
      <c r="B124">
        <f>Deals_Raw!B124</f>
        <v>45425</v>
      </c>
      <c r="C124" t="str">
        <f>Deals_Raw!C124</f>
        <v>C0039</v>
      </c>
      <c r="D124" t="str">
        <f>Deals_Raw!D124</f>
        <v>LEG-0039</v>
      </c>
      <c r="E124" t="str">
        <f>Deals_Raw!E124</f>
        <v>CT00081</v>
      </c>
      <c r="F124" t="str">
        <f>Deals_Raw!F124</f>
        <v>Corporate</v>
      </c>
      <c r="G124" t="str">
        <f>Deals_Raw!G124</f>
        <v>Legal</v>
      </c>
      <c r="H124" t="str">
        <f>Deals_Raw!H124</f>
        <v>Midwest</v>
      </c>
      <c r="I124" t="str">
        <f>Deals_Raw!I124</f>
        <v>Midwest Enterprise</v>
      </c>
      <c r="J124" t="str">
        <f>Deals_Raw!J124</f>
        <v>Enterprise</v>
      </c>
      <c r="K124" t="str">
        <f>Deals_Raw!K124</f>
        <v>Yes</v>
      </c>
      <c r="L124">
        <f>Deals_Raw!L124</f>
        <v>44621</v>
      </c>
      <c r="M124">
        <f>Deals_Raw!M124</f>
        <v>61</v>
      </c>
      <c r="N124" t="str">
        <f>Deals_Raw!N124</f>
        <v>Nexus Insights</v>
      </c>
      <c r="O124" t="str">
        <f>Deals_Raw!O124</f>
        <v>Renewal</v>
      </c>
      <c r="P124">
        <f>Deals_Raw!P124</f>
        <v>0</v>
      </c>
      <c r="Q124">
        <f>Deals_Raw!Q124</f>
        <v>1</v>
      </c>
      <c r="R124">
        <f>Deals_Raw!R124</f>
        <v>1632</v>
      </c>
      <c r="S124" t="str">
        <f>Deals_Raw!S124</f>
        <v>S. Rivera</v>
      </c>
      <c r="T124" s="6">
        <f>Deals_Raw!T124</f>
        <v>104303.67910079149</v>
      </c>
      <c r="U124" s="8">
        <f>Deals_Raw!V124</f>
        <v>0.14199999999999999</v>
      </c>
      <c r="V124" s="8">
        <f>Deals_Raw!W124</f>
        <v>0.10100000000000001</v>
      </c>
      <c r="W124" s="8">
        <f>Deals_Raw!X124</f>
        <v>3.7999999999999999E-2</v>
      </c>
      <c r="X124" t="str">
        <f>Deals_Raw!Y124</f>
        <v>Renewal retention risk</v>
      </c>
      <c r="Y124" t="str">
        <f>Deals_Raw!Z124</f>
        <v>Pricing Analyst</v>
      </c>
      <c r="Z124" s="6">
        <f>Deals_Raw!AA124</f>
        <v>93788.364885593313</v>
      </c>
      <c r="AA124" s="6">
        <f>Deals_Raw!AC124</f>
        <v>33498.177168354749</v>
      </c>
      <c r="AB124" s="6">
        <f>Deals_Raw!AD124</f>
        <v>60290.187717238565</v>
      </c>
      <c r="AC124" s="8">
        <f>Deals_Raw!AE124</f>
        <v>0.64283227232698725</v>
      </c>
      <c r="AD124" t="str">
        <f>Deals_Raw!AF124</f>
        <v>Lost</v>
      </c>
      <c r="AE124" t="str">
        <f>Deals_Raw!AG124</f>
        <v>No</v>
      </c>
      <c r="AF124">
        <f>Deals_Raw!AH124</f>
        <v>0</v>
      </c>
      <c r="AG124" t="str">
        <f>Deals_Raw!AI124</f>
        <v>No</v>
      </c>
      <c r="AH124" s="6">
        <f>Deals_Raw!AJ124</f>
        <v>0</v>
      </c>
      <c r="AI124" s="6">
        <f>Deals_Raw!AK124</f>
        <v>0</v>
      </c>
      <c r="AJ124" t="str">
        <f>Deals_Raw!AL124</f>
        <v>Renewal of existing active contract</v>
      </c>
      <c r="AK124" s="9">
        <f t="shared" si="7"/>
        <v>2.2000000000000002</v>
      </c>
      <c r="AL124" s="8">
        <f t="shared" si="8"/>
        <v>0.89918558668446447</v>
      </c>
      <c r="AM124" s="8">
        <f t="shared" si="9"/>
        <v>4.0999999999999981E-2</v>
      </c>
      <c r="AN124" t="str">
        <f>IF(AC124&lt;Pricing_Policy!$C$10,"Below Floor","Pass")</f>
        <v>Pass</v>
      </c>
      <c r="AO124" t="str">
        <f>IF(V124&gt;Pricing_Policy!$C$7,"Exception","Standard")</f>
        <v>Standard</v>
      </c>
      <c r="AP124" t="str">
        <f t="shared" si="10"/>
        <v>Pass</v>
      </c>
      <c r="AQ124">
        <f t="shared" si="11"/>
        <v>0</v>
      </c>
      <c r="AR124" s="8">
        <f t="shared" si="12"/>
        <v>0</v>
      </c>
      <c r="AS124">
        <f t="shared" si="13"/>
        <v>1</v>
      </c>
    </row>
    <row r="125" spans="1:45">
      <c r="A125" t="str">
        <f>Deals_Raw!A125</f>
        <v>D00140</v>
      </c>
      <c r="B125">
        <f>Deals_Raw!B125</f>
        <v>45381</v>
      </c>
      <c r="C125" t="str">
        <f>Deals_Raw!C125</f>
        <v>C0039</v>
      </c>
      <c r="D125" t="str">
        <f>Deals_Raw!D125</f>
        <v>LEG-0039</v>
      </c>
      <c r="E125" t="str">
        <f>Deals_Raw!E125</f>
        <v>CT00082</v>
      </c>
      <c r="F125" t="str">
        <f>Deals_Raw!F125</f>
        <v>Sales</v>
      </c>
      <c r="G125" t="str">
        <f>Deals_Raw!G125</f>
        <v>Legal</v>
      </c>
      <c r="H125" t="str">
        <f>Deals_Raw!H125</f>
        <v>Midwest</v>
      </c>
      <c r="I125" t="str">
        <f>Deals_Raw!I125</f>
        <v>Midwest Enterprise</v>
      </c>
      <c r="J125" t="str">
        <f>Deals_Raw!J125</f>
        <v>Enterprise</v>
      </c>
      <c r="K125" t="str">
        <f>Deals_Raw!K125</f>
        <v>Yes</v>
      </c>
      <c r="L125">
        <f>Deals_Raw!L125</f>
        <v>44621</v>
      </c>
      <c r="M125">
        <f>Deals_Raw!M125</f>
        <v>61</v>
      </c>
      <c r="N125" t="str">
        <f>Deals_Raw!N125</f>
        <v>Nexus AI Assistant</v>
      </c>
      <c r="O125" t="str">
        <f>Deals_Raw!O125</f>
        <v>New Business</v>
      </c>
      <c r="P125">
        <f>Deals_Raw!P125</f>
        <v>0</v>
      </c>
      <c r="Q125">
        <f>Deals_Raw!Q125</f>
        <v>2</v>
      </c>
      <c r="R125">
        <f>Deals_Raw!R125</f>
        <v>961</v>
      </c>
      <c r="S125" t="str">
        <f>Deals_Raw!S125</f>
        <v>R. Singh</v>
      </c>
      <c r="T125" s="6">
        <f>Deals_Raw!T125</f>
        <v>132120.58117283878</v>
      </c>
      <c r="U125" s="8">
        <f>Deals_Raw!V125</f>
        <v>0.113</v>
      </c>
      <c r="V125" s="8">
        <f>Deals_Raw!W125</f>
        <v>8.2000000000000003E-2</v>
      </c>
      <c r="W125" s="8">
        <f>Deals_Raw!X125</f>
        <v>-2E-3</v>
      </c>
      <c r="X125" t="str">
        <f>Deals_Raw!Y125</f>
        <v>Strategic logo opportunity</v>
      </c>
      <c r="Y125" t="str">
        <f>Deals_Raw!Z125</f>
        <v>Sales Manager</v>
      </c>
      <c r="Z125" s="6">
        <f>Deals_Raw!AA125</f>
        <v>121239.67157082279</v>
      </c>
      <c r="AA125" s="6">
        <f>Deals_Raw!AC125</f>
        <v>58608.824186692349</v>
      </c>
      <c r="AB125" s="6">
        <f>Deals_Raw!AD125</f>
        <v>62630.847384130437</v>
      </c>
      <c r="AC125" s="8">
        <f>Deals_Raw!AE125</f>
        <v>0.51658707560539951</v>
      </c>
      <c r="AD125" t="str">
        <f>Deals_Raw!AF125</f>
        <v>Lost</v>
      </c>
      <c r="AE125">
        <f>Deals_Raw!AG125</f>
        <v>0</v>
      </c>
      <c r="AF125">
        <f>Deals_Raw!AH125</f>
        <v>0</v>
      </c>
      <c r="AG125" t="str">
        <f>Deals_Raw!AI125</f>
        <v>No</v>
      </c>
      <c r="AH125" s="6">
        <f>Deals_Raw!AJ125</f>
        <v>0</v>
      </c>
      <c r="AI125" s="6">
        <f>Deals_Raw!AK125</f>
        <v>0</v>
      </c>
      <c r="AJ125" t="str">
        <f>Deals_Raw!AL125</f>
        <v>First purchase under this contract</v>
      </c>
      <c r="AK125" s="9">
        <f t="shared" si="7"/>
        <v>2.0805555555555557</v>
      </c>
      <c r="AL125" s="8">
        <f t="shared" si="8"/>
        <v>0.91764409825156845</v>
      </c>
      <c r="AM125" s="8">
        <f t="shared" si="9"/>
        <v>3.1E-2</v>
      </c>
      <c r="AN125" t="str">
        <f>IF(AC125&lt;Pricing_Policy!$C$10,"Below Floor","Pass")</f>
        <v>Pass</v>
      </c>
      <c r="AO125" t="str">
        <f>IF(V125&gt;Pricing_Policy!$C$7,"Exception","Standard")</f>
        <v>Standard</v>
      </c>
      <c r="AP125" t="str">
        <f t="shared" si="10"/>
        <v>Pass</v>
      </c>
      <c r="AQ125">
        <f t="shared" si="11"/>
        <v>0</v>
      </c>
      <c r="AR125" s="8">
        <f t="shared" si="12"/>
        <v>0</v>
      </c>
      <c r="AS125">
        <f t="shared" si="13"/>
        <v>1</v>
      </c>
    </row>
    <row r="126" spans="1:45">
      <c r="A126" t="str">
        <f>Deals_Raw!A126</f>
        <v>D00141</v>
      </c>
      <c r="B126">
        <f>Deals_Raw!B126</f>
        <v>45371</v>
      </c>
      <c r="C126" t="str">
        <f>Deals_Raw!C126</f>
        <v>C0039</v>
      </c>
      <c r="D126" t="str">
        <f>Deals_Raw!D126</f>
        <v>LEG-0039</v>
      </c>
      <c r="E126" t="str">
        <f>Deals_Raw!E126</f>
        <v>CT00083</v>
      </c>
      <c r="F126" t="str">
        <f>Deals_Raw!F126</f>
        <v>Corporate</v>
      </c>
      <c r="G126" t="str">
        <f>Deals_Raw!G126</f>
        <v>Legal</v>
      </c>
      <c r="H126" t="str">
        <f>Deals_Raw!H126</f>
        <v>Midwest</v>
      </c>
      <c r="I126" t="str">
        <f>Deals_Raw!I126</f>
        <v>Midwest Enterprise</v>
      </c>
      <c r="J126" t="str">
        <f>Deals_Raw!J126</f>
        <v>Enterprise</v>
      </c>
      <c r="K126" t="str">
        <f>Deals_Raw!K126</f>
        <v>Yes</v>
      </c>
      <c r="L126">
        <f>Deals_Raw!L126</f>
        <v>44621</v>
      </c>
      <c r="M126">
        <f>Deals_Raw!M126</f>
        <v>61</v>
      </c>
      <c r="N126" t="str">
        <f>Deals_Raw!N126</f>
        <v>Nexus Analytics</v>
      </c>
      <c r="O126" t="str">
        <f>Deals_Raw!O126</f>
        <v>Renewal</v>
      </c>
      <c r="P126">
        <f>Deals_Raw!P126</f>
        <v>0</v>
      </c>
      <c r="Q126">
        <f>Deals_Raw!Q126</f>
        <v>1</v>
      </c>
      <c r="R126">
        <f>Deals_Raw!R126</f>
        <v>1175</v>
      </c>
      <c r="S126" t="str">
        <f>Deals_Raw!S126</f>
        <v>T. Brooks</v>
      </c>
      <c r="T126" s="6">
        <f>Deals_Raw!T126</f>
        <v>285932.17683169735</v>
      </c>
      <c r="U126" s="8">
        <f>Deals_Raw!V126</f>
        <v>0.16</v>
      </c>
      <c r="V126" s="8">
        <f>Deals_Raw!W126</f>
        <v>0.114</v>
      </c>
      <c r="W126" s="8">
        <f>Deals_Raw!X126</f>
        <v>-2.1999999999999999E-2</v>
      </c>
      <c r="X126" t="str">
        <f>Deals_Raw!Y126</f>
        <v>Renewal retention risk</v>
      </c>
      <c r="Y126" t="str">
        <f>Deals_Raw!Z126</f>
        <v>Pricing Analyst</v>
      </c>
      <c r="Z126" s="6">
        <f>Deals_Raw!AA126</f>
        <v>253198.12075738836</v>
      </c>
      <c r="AA126" s="6">
        <f>Deals_Raw!AC126</f>
        <v>86129.83593760393</v>
      </c>
      <c r="AB126" s="6">
        <f>Deals_Raw!AD126</f>
        <v>167068.28481978443</v>
      </c>
      <c r="AC126" s="8">
        <f>Deals_Raw!AE126</f>
        <v>0.65983224646389615</v>
      </c>
      <c r="AD126" t="str">
        <f>Deals_Raw!AF126</f>
        <v>Won</v>
      </c>
      <c r="AE126" t="str">
        <f>Deals_Raw!AG126</f>
        <v>Yes</v>
      </c>
      <c r="AF126">
        <f>Deals_Raw!AH126</f>
        <v>0</v>
      </c>
      <c r="AG126" t="str">
        <f>Deals_Raw!AI126</f>
        <v>No</v>
      </c>
      <c r="AH126" s="6">
        <f>Deals_Raw!AJ126</f>
        <v>253198.12075738836</v>
      </c>
      <c r="AI126" s="6">
        <f>Deals_Raw!AK126</f>
        <v>167068.28481978443</v>
      </c>
      <c r="AJ126" t="str">
        <f>Deals_Raw!AL126</f>
        <v>Renewal of existing active contract</v>
      </c>
      <c r="AK126" s="9">
        <f t="shared" si="7"/>
        <v>2.0527777777777776</v>
      </c>
      <c r="AL126" s="8">
        <f t="shared" si="8"/>
        <v>0.88551810979434964</v>
      </c>
      <c r="AM126" s="8">
        <f t="shared" si="9"/>
        <v>4.5999999999999999E-2</v>
      </c>
      <c r="AN126" t="str">
        <f>IF(AC126&lt;Pricing_Policy!$C$10,"Below Floor","Pass")</f>
        <v>Pass</v>
      </c>
      <c r="AO126" t="str">
        <f>IF(V126&gt;Pricing_Policy!$C$7,"Exception","Standard")</f>
        <v>Standard</v>
      </c>
      <c r="AP126" t="str">
        <f t="shared" si="10"/>
        <v>Pass</v>
      </c>
      <c r="AQ126">
        <f t="shared" si="11"/>
        <v>1</v>
      </c>
      <c r="AR126" s="8">
        <f t="shared" si="12"/>
        <v>0.65983224646389615</v>
      </c>
      <c r="AS126">
        <f t="shared" si="13"/>
        <v>2</v>
      </c>
    </row>
    <row r="127" spans="1:45">
      <c r="A127" t="str">
        <f>Deals_Raw!A127</f>
        <v>D00142</v>
      </c>
      <c r="B127">
        <f>Deals_Raw!B127</f>
        <v>45736</v>
      </c>
      <c r="C127" t="str">
        <f>Deals_Raw!C127</f>
        <v>C0039</v>
      </c>
      <c r="D127" t="str">
        <f>Deals_Raw!D127</f>
        <v>LEG-0039</v>
      </c>
      <c r="E127" t="str">
        <f>Deals_Raw!E127</f>
        <v>CT00083</v>
      </c>
      <c r="F127" t="str">
        <f>Deals_Raw!F127</f>
        <v>Corporate</v>
      </c>
      <c r="G127" t="str">
        <f>Deals_Raw!G127</f>
        <v>Legal</v>
      </c>
      <c r="H127" t="str">
        <f>Deals_Raw!H127</f>
        <v>Midwest</v>
      </c>
      <c r="I127" t="str">
        <f>Deals_Raw!I127</f>
        <v>Midwest Enterprise</v>
      </c>
      <c r="J127" t="str">
        <f>Deals_Raw!J127</f>
        <v>Enterprise</v>
      </c>
      <c r="K127" t="str">
        <f>Deals_Raw!K127</f>
        <v>Yes</v>
      </c>
      <c r="L127">
        <f>Deals_Raw!L127</f>
        <v>44621</v>
      </c>
      <c r="M127">
        <f>Deals_Raw!M127</f>
        <v>61</v>
      </c>
      <c r="N127" t="str">
        <f>Deals_Raw!N127</f>
        <v>Nexus Analytics</v>
      </c>
      <c r="O127" t="str">
        <f>Deals_Raw!O127</f>
        <v>Renewal</v>
      </c>
      <c r="P127">
        <f>Deals_Raw!P127</f>
        <v>0</v>
      </c>
      <c r="Q127">
        <f>Deals_Raw!Q127</f>
        <v>1</v>
      </c>
      <c r="R127">
        <f>Deals_Raw!R127</f>
        <v>1175</v>
      </c>
      <c r="S127" t="str">
        <f>Deals_Raw!S127</f>
        <v>A. Patel</v>
      </c>
      <c r="T127" s="6">
        <f>Deals_Raw!T127</f>
        <v>296528.31934855832</v>
      </c>
      <c r="U127" s="8">
        <f>Deals_Raw!V127</f>
        <v>0.121</v>
      </c>
      <c r="V127" s="8">
        <f>Deals_Raw!W127</f>
        <v>9.9000000000000005E-2</v>
      </c>
      <c r="W127" s="8">
        <f>Deals_Raw!X127</f>
        <v>0.12</v>
      </c>
      <c r="X127" t="str">
        <f>Deals_Raw!Y127</f>
        <v>Renewal retention risk</v>
      </c>
      <c r="Y127" t="str">
        <f>Deals_Raw!Z127</f>
        <v>Sales Manager</v>
      </c>
      <c r="Z127" s="6">
        <f>Deals_Raw!AA127</f>
        <v>267111.16974269407</v>
      </c>
      <c r="AA127" s="6">
        <f>Deals_Raw!AC127</f>
        <v>86070.49403623055</v>
      </c>
      <c r="AB127" s="6">
        <f>Deals_Raw!AD127</f>
        <v>181040.67570646352</v>
      </c>
      <c r="AC127" s="8">
        <f>Deals_Raw!AE127</f>
        <v>0.67777276360572447</v>
      </c>
      <c r="AD127" t="str">
        <f>Deals_Raw!AF127</f>
        <v>Won</v>
      </c>
      <c r="AE127" t="str">
        <f>Deals_Raw!AG127</f>
        <v>Yes</v>
      </c>
      <c r="AF127">
        <f>Deals_Raw!AH127</f>
        <v>0</v>
      </c>
      <c r="AG127" t="str">
        <f>Deals_Raw!AI127</f>
        <v>No</v>
      </c>
      <c r="AH127" s="6">
        <f>Deals_Raw!AJ127</f>
        <v>267111.16974269407</v>
      </c>
      <c r="AI127" s="6">
        <f>Deals_Raw!AK127</f>
        <v>181040.67570646352</v>
      </c>
      <c r="AJ127" t="str">
        <f>Deals_Raw!AL127</f>
        <v>Renewal of existing active contract</v>
      </c>
      <c r="AK127" s="9">
        <f t="shared" si="7"/>
        <v>3.0527777777777776</v>
      </c>
      <c r="AL127" s="8">
        <f t="shared" si="8"/>
        <v>0.90079480546582991</v>
      </c>
      <c r="AM127" s="8">
        <f t="shared" si="9"/>
        <v>2.1999999999999992E-2</v>
      </c>
      <c r="AN127" t="str">
        <f>IF(AC127&lt;Pricing_Policy!$C$10,"Below Floor","Pass")</f>
        <v>Pass</v>
      </c>
      <c r="AO127" t="str">
        <f>IF(V127&gt;Pricing_Policy!$C$7,"Exception","Standard")</f>
        <v>Standard</v>
      </c>
      <c r="AP127" t="str">
        <f t="shared" si="10"/>
        <v>Pass</v>
      </c>
      <c r="AQ127">
        <f t="shared" si="11"/>
        <v>1</v>
      </c>
      <c r="AR127" s="8">
        <f t="shared" si="12"/>
        <v>0.67777276360572447</v>
      </c>
      <c r="AS127">
        <f t="shared" si="13"/>
        <v>2</v>
      </c>
    </row>
    <row r="128" spans="1:45">
      <c r="A128" t="str">
        <f>Deals_Raw!A128</f>
        <v>D00144</v>
      </c>
      <c r="B128">
        <f>Deals_Raw!B128</f>
        <v>45451</v>
      </c>
      <c r="C128" t="str">
        <f>Deals_Raw!C128</f>
        <v>C0039</v>
      </c>
      <c r="D128" t="str">
        <f>Deals_Raw!D128</f>
        <v>LEG-0039</v>
      </c>
      <c r="E128" t="str">
        <f>Deals_Raw!E128</f>
        <v>CT00084</v>
      </c>
      <c r="F128" t="str">
        <f>Deals_Raw!F128</f>
        <v>Technology</v>
      </c>
      <c r="G128" t="str">
        <f>Deals_Raw!G128</f>
        <v>Legal</v>
      </c>
      <c r="H128" t="str">
        <f>Deals_Raw!H128</f>
        <v>Midwest</v>
      </c>
      <c r="I128" t="str">
        <f>Deals_Raw!I128</f>
        <v>Midwest Enterprise</v>
      </c>
      <c r="J128" t="str">
        <f>Deals_Raw!J128</f>
        <v>Enterprise</v>
      </c>
      <c r="K128" t="str">
        <f>Deals_Raw!K128</f>
        <v>Yes</v>
      </c>
      <c r="L128">
        <f>Deals_Raw!L128</f>
        <v>44621</v>
      </c>
      <c r="M128">
        <f>Deals_Raw!M128</f>
        <v>61</v>
      </c>
      <c r="N128" t="str">
        <f>Deals_Raw!N128</f>
        <v>Nexus Enterprise Suite</v>
      </c>
      <c r="O128" t="str">
        <f>Deals_Raw!O128</f>
        <v>Expansion</v>
      </c>
      <c r="P128" t="str">
        <f>Deals_Raw!P128</f>
        <v>Enterprise Upgrade</v>
      </c>
      <c r="Q128">
        <f>Deals_Raw!Q128</f>
        <v>1</v>
      </c>
      <c r="R128">
        <f>Deals_Raw!R128</f>
        <v>420</v>
      </c>
      <c r="S128" t="str">
        <f>Deals_Raw!S128</f>
        <v>D. Chen</v>
      </c>
      <c r="T128" s="6">
        <f>Deals_Raw!T128</f>
        <v>1562184.075539951</v>
      </c>
      <c r="U128" s="8">
        <f>Deals_Raw!V128</f>
        <v>0.13900000000000001</v>
      </c>
      <c r="V128" s="8">
        <f>Deals_Raw!W128</f>
        <v>0.129</v>
      </c>
      <c r="W128" s="8">
        <f>Deals_Raw!X128</f>
        <v>-6.7000000000000004E-2</v>
      </c>
      <c r="X128" t="str">
        <f>Deals_Raw!Y128</f>
        <v>Expansion opportunity</v>
      </c>
      <c r="Y128" t="str">
        <f>Deals_Raw!Z128</f>
        <v>Pricing Analyst</v>
      </c>
      <c r="Z128" s="6">
        <f>Deals_Raw!AA128</f>
        <v>1360524.6278988195</v>
      </c>
      <c r="AA128" s="6">
        <f>Deals_Raw!AC128</f>
        <v>619160.18843942985</v>
      </c>
      <c r="AB128" s="6">
        <f>Deals_Raw!AD128</f>
        <v>741364.43945938966</v>
      </c>
      <c r="AC128" s="8">
        <f>Deals_Raw!AE128</f>
        <v>0.54491070889642435</v>
      </c>
      <c r="AD128" t="str">
        <f>Deals_Raw!AF128</f>
        <v>Won</v>
      </c>
      <c r="AE128">
        <f>Deals_Raw!AG128</f>
        <v>0</v>
      </c>
      <c r="AF128" t="str">
        <f>Deals_Raw!AH128</f>
        <v>Yes</v>
      </c>
      <c r="AG128" t="str">
        <f>Deals_Raw!AI128</f>
        <v>No</v>
      </c>
      <c r="AH128" s="6">
        <f>Deals_Raw!AJ128</f>
        <v>1360524.6278988195</v>
      </c>
      <c r="AI128" s="6">
        <f>Deals_Raw!AK128</f>
        <v>741364.43945938966</v>
      </c>
      <c r="AJ128" t="str">
        <f>Deals_Raw!AL128</f>
        <v>Expansion allowed because contract was active</v>
      </c>
      <c r="AK128" s="9">
        <f t="shared" si="7"/>
        <v>2.2694444444444444</v>
      </c>
      <c r="AL128" s="8">
        <f t="shared" si="8"/>
        <v>0.87091185296365914</v>
      </c>
      <c r="AM128" s="8">
        <f t="shared" si="9"/>
        <v>1.0000000000000009E-2</v>
      </c>
      <c r="AN128" t="str">
        <f>IF(AC128&lt;Pricing_Policy!$C$10,"Below Floor","Pass")</f>
        <v>Pass</v>
      </c>
      <c r="AO128" t="str">
        <f>IF(V128&gt;Pricing_Policy!$C$7,"Exception","Standard")</f>
        <v>Standard</v>
      </c>
      <c r="AP128" t="str">
        <f t="shared" si="10"/>
        <v>Pass</v>
      </c>
      <c r="AQ128">
        <f t="shared" si="11"/>
        <v>1</v>
      </c>
      <c r="AR128" s="8">
        <f t="shared" si="12"/>
        <v>0.54491070889642435</v>
      </c>
      <c r="AS128">
        <f t="shared" si="13"/>
        <v>3</v>
      </c>
    </row>
    <row r="129" spans="1:45">
      <c r="A129" t="str">
        <f>Deals_Raw!A129</f>
        <v>D00145</v>
      </c>
      <c r="B129">
        <f>Deals_Raw!B129</f>
        <v>45618</v>
      </c>
      <c r="C129" t="str">
        <f>Deals_Raw!C129</f>
        <v>C0039</v>
      </c>
      <c r="D129" t="str">
        <f>Deals_Raw!D129</f>
        <v>LEG-0039</v>
      </c>
      <c r="E129" t="str">
        <f>Deals_Raw!E129</f>
        <v>CT00084</v>
      </c>
      <c r="F129" t="str">
        <f>Deals_Raw!F129</f>
        <v>Technology</v>
      </c>
      <c r="G129" t="str">
        <f>Deals_Raw!G129</f>
        <v>Legal</v>
      </c>
      <c r="H129" t="str">
        <f>Deals_Raw!H129</f>
        <v>Midwest</v>
      </c>
      <c r="I129" t="str">
        <f>Deals_Raw!I129</f>
        <v>Midwest Enterprise</v>
      </c>
      <c r="J129" t="str">
        <f>Deals_Raw!J129</f>
        <v>Enterprise</v>
      </c>
      <c r="K129" t="str">
        <f>Deals_Raw!K129</f>
        <v>Yes</v>
      </c>
      <c r="L129">
        <f>Deals_Raw!L129</f>
        <v>44621</v>
      </c>
      <c r="M129">
        <f>Deals_Raw!M129</f>
        <v>61</v>
      </c>
      <c r="N129" t="str">
        <f>Deals_Raw!N129</f>
        <v>Nexus Enterprise Suite</v>
      </c>
      <c r="O129" t="str">
        <f>Deals_Raw!O129</f>
        <v>Renewal</v>
      </c>
      <c r="P129">
        <f>Deals_Raw!P129</f>
        <v>0</v>
      </c>
      <c r="Q129">
        <f>Deals_Raw!Q129</f>
        <v>1</v>
      </c>
      <c r="R129">
        <f>Deals_Raw!R129</f>
        <v>420</v>
      </c>
      <c r="S129" t="str">
        <f>Deals_Raw!S129</f>
        <v>S. Rivera</v>
      </c>
      <c r="T129" s="6">
        <f>Deals_Raw!T129</f>
        <v>1686502.3820917602</v>
      </c>
      <c r="U129" s="8">
        <f>Deals_Raw!V129</f>
        <v>5.5E-2</v>
      </c>
      <c r="V129" s="8">
        <f>Deals_Raw!W129</f>
        <v>2.9000000000000001E-2</v>
      </c>
      <c r="W129" s="8">
        <f>Deals_Raw!X129</f>
        <v>5.1999999999999998E-2</v>
      </c>
      <c r="X129" t="str">
        <f>Deals_Raw!Y129</f>
        <v>Renewal retention risk</v>
      </c>
      <c r="Y129" t="str">
        <f>Deals_Raw!Z129</f>
        <v>Sales Manager</v>
      </c>
      <c r="Z129" s="6">
        <f>Deals_Raw!AA129</f>
        <v>1637953.8281112479</v>
      </c>
      <c r="AA129" s="6">
        <f>Deals_Raw!AC129</f>
        <v>644578.13293468708</v>
      </c>
      <c r="AB129" s="6">
        <f>Deals_Raw!AD129</f>
        <v>993375.69517656078</v>
      </c>
      <c r="AC129" s="8">
        <f>Deals_Raw!AE129</f>
        <v>0.60647356361811433</v>
      </c>
      <c r="AD129" t="str">
        <f>Deals_Raw!AF129</f>
        <v>Won</v>
      </c>
      <c r="AE129" t="str">
        <f>Deals_Raw!AG129</f>
        <v>Yes</v>
      </c>
      <c r="AF129">
        <f>Deals_Raw!AH129</f>
        <v>0</v>
      </c>
      <c r="AG129" t="str">
        <f>Deals_Raw!AI129</f>
        <v>No</v>
      </c>
      <c r="AH129" s="6">
        <f>Deals_Raw!AJ129</f>
        <v>1637953.8281112479</v>
      </c>
      <c r="AI129" s="6">
        <f>Deals_Raw!AK129</f>
        <v>993375.69517656078</v>
      </c>
      <c r="AJ129" t="str">
        <f>Deals_Raw!AL129</f>
        <v>Renewal of existing active contract</v>
      </c>
      <c r="AK129" s="9">
        <f t="shared" si="7"/>
        <v>2.7250000000000001</v>
      </c>
      <c r="AL129" s="8">
        <f t="shared" si="8"/>
        <v>0.97121346848007539</v>
      </c>
      <c r="AM129" s="8">
        <f t="shared" si="9"/>
        <v>2.5999999999999999E-2</v>
      </c>
      <c r="AN129" t="str">
        <f>IF(AC129&lt;Pricing_Policy!$C$10,"Below Floor","Pass")</f>
        <v>Pass</v>
      </c>
      <c r="AO129" t="str">
        <f>IF(V129&gt;Pricing_Policy!$C$7,"Exception","Standard")</f>
        <v>Standard</v>
      </c>
      <c r="AP129" t="str">
        <f t="shared" si="10"/>
        <v>Pass</v>
      </c>
      <c r="AQ129">
        <f t="shared" si="11"/>
        <v>1</v>
      </c>
      <c r="AR129" s="8">
        <f t="shared" si="12"/>
        <v>0.60647356361811433</v>
      </c>
      <c r="AS129">
        <f t="shared" si="13"/>
        <v>3</v>
      </c>
    </row>
    <row r="130" spans="1:45">
      <c r="A130" t="str">
        <f>Deals_Raw!A130</f>
        <v>D00146</v>
      </c>
      <c r="B130">
        <f>Deals_Raw!B130</f>
        <v>45983</v>
      </c>
      <c r="C130" t="str">
        <f>Deals_Raw!C130</f>
        <v>C0039</v>
      </c>
      <c r="D130" t="str">
        <f>Deals_Raw!D130</f>
        <v>LEG-0039</v>
      </c>
      <c r="E130" t="str">
        <f>Deals_Raw!E130</f>
        <v>CT00084</v>
      </c>
      <c r="F130" t="str">
        <f>Deals_Raw!F130</f>
        <v>Technology</v>
      </c>
      <c r="G130" t="str">
        <f>Deals_Raw!G130</f>
        <v>Legal</v>
      </c>
      <c r="H130" t="str">
        <f>Deals_Raw!H130</f>
        <v>Midwest</v>
      </c>
      <c r="I130" t="str">
        <f>Deals_Raw!I130</f>
        <v>Midwest Enterprise</v>
      </c>
      <c r="J130" t="str">
        <f>Deals_Raw!J130</f>
        <v>Enterprise</v>
      </c>
      <c r="K130" t="str">
        <f>Deals_Raw!K130</f>
        <v>Yes</v>
      </c>
      <c r="L130">
        <f>Deals_Raw!L130</f>
        <v>44621</v>
      </c>
      <c r="M130">
        <f>Deals_Raw!M130</f>
        <v>61</v>
      </c>
      <c r="N130" t="str">
        <f>Deals_Raw!N130</f>
        <v>Nexus Enterprise Suite</v>
      </c>
      <c r="O130" t="str">
        <f>Deals_Raw!O130</f>
        <v>Renewal</v>
      </c>
      <c r="P130">
        <f>Deals_Raw!P130</f>
        <v>0</v>
      </c>
      <c r="Q130">
        <f>Deals_Raw!Q130</f>
        <v>1</v>
      </c>
      <c r="R130">
        <f>Deals_Raw!R130</f>
        <v>420</v>
      </c>
      <c r="S130" t="str">
        <f>Deals_Raw!S130</f>
        <v>D. Chen</v>
      </c>
      <c r="T130" s="6">
        <f>Deals_Raw!T130</f>
        <v>1820829.3399646431</v>
      </c>
      <c r="U130" s="8">
        <f>Deals_Raw!V130</f>
        <v>5.2999999999999999E-2</v>
      </c>
      <c r="V130" s="8">
        <f>Deals_Raw!W130</f>
        <v>4.3999999999999997E-2</v>
      </c>
      <c r="W130" s="8">
        <f>Deals_Raw!X130</f>
        <v>4.0000000000000001E-3</v>
      </c>
      <c r="X130" t="str">
        <f>Deals_Raw!Y130</f>
        <v>Renewal retention risk</v>
      </c>
      <c r="Y130" t="str">
        <f>Deals_Raw!Z130</f>
        <v>Sales Manager</v>
      </c>
      <c r="Z130" s="6">
        <f>Deals_Raw!AA130</f>
        <v>1741237.5919371694</v>
      </c>
      <c r="AA130" s="6">
        <f>Deals_Raw!AC130</f>
        <v>638594.22176156484</v>
      </c>
      <c r="AB130" s="6">
        <f>Deals_Raw!AD130</f>
        <v>1102643.3701756047</v>
      </c>
      <c r="AC130" s="8">
        <f>Deals_Raw!AE130</f>
        <v>0.63325267917567007</v>
      </c>
      <c r="AD130" t="str">
        <f>Deals_Raw!AF130</f>
        <v>Won</v>
      </c>
      <c r="AE130" t="str">
        <f>Deals_Raw!AG130</f>
        <v>Yes</v>
      </c>
      <c r="AF130">
        <f>Deals_Raw!AH130</f>
        <v>0</v>
      </c>
      <c r="AG130" t="str">
        <f>Deals_Raw!AI130</f>
        <v>No</v>
      </c>
      <c r="AH130" s="6">
        <f>Deals_Raw!AJ130</f>
        <v>1741237.5919371694</v>
      </c>
      <c r="AI130" s="6">
        <f>Deals_Raw!AK130</f>
        <v>1102643.3701756047</v>
      </c>
      <c r="AJ130" t="str">
        <f>Deals_Raw!AL130</f>
        <v>Renewal of existing active contract</v>
      </c>
      <c r="AK130" s="9">
        <f t="shared" si="7"/>
        <v>3.7250000000000001</v>
      </c>
      <c r="AL130" s="8">
        <f t="shared" si="8"/>
        <v>0.95628818896941803</v>
      </c>
      <c r="AM130" s="8">
        <f t="shared" si="9"/>
        <v>9.0000000000000011E-3</v>
      </c>
      <c r="AN130" t="str">
        <f>IF(AC130&lt;Pricing_Policy!$C$10,"Below Floor","Pass")</f>
        <v>Pass</v>
      </c>
      <c r="AO130" t="str">
        <f>IF(V130&gt;Pricing_Policy!$C$7,"Exception","Standard")</f>
        <v>Standard</v>
      </c>
      <c r="AP130" t="str">
        <f t="shared" si="10"/>
        <v>Pass</v>
      </c>
      <c r="AQ130">
        <f t="shared" si="11"/>
        <v>1</v>
      </c>
      <c r="AR130" s="8">
        <f t="shared" si="12"/>
        <v>0.63325267917567007</v>
      </c>
      <c r="AS130">
        <f t="shared" si="13"/>
        <v>3</v>
      </c>
    </row>
    <row r="131" spans="1:45">
      <c r="A131" t="str">
        <f>Deals_Raw!A131</f>
        <v>D00147</v>
      </c>
      <c r="B131">
        <f>Deals_Raw!B131</f>
        <v>45488</v>
      </c>
      <c r="C131" t="str">
        <f>Deals_Raw!C131</f>
        <v>C0040</v>
      </c>
      <c r="D131" t="str">
        <f>Deals_Raw!D131</f>
        <v>PUB-0040</v>
      </c>
      <c r="E131" t="str">
        <f>Deals_Raw!E131</f>
        <v>CT00085</v>
      </c>
      <c r="F131" t="str">
        <f>Deals_Raw!F131</f>
        <v>Sales</v>
      </c>
      <c r="G131" t="str">
        <f>Deals_Raw!G131</f>
        <v>Public Sector</v>
      </c>
      <c r="H131" t="str">
        <f>Deals_Raw!H131</f>
        <v>West</v>
      </c>
      <c r="I131" t="str">
        <f>Deals_Raw!I131</f>
        <v>West Commercial</v>
      </c>
      <c r="J131" t="str">
        <f>Deals_Raw!J131</f>
        <v>Mid-Market</v>
      </c>
      <c r="K131" t="str">
        <f>Deals_Raw!K131</f>
        <v>No</v>
      </c>
      <c r="L131">
        <f>Deals_Raw!L131</f>
        <v>43374</v>
      </c>
      <c r="M131">
        <f>Deals_Raw!M131</f>
        <v>49</v>
      </c>
      <c r="N131" t="str">
        <f>Deals_Raw!N131</f>
        <v>Nexus AI Assistant</v>
      </c>
      <c r="O131" t="str">
        <f>Deals_Raw!O131</f>
        <v>Renewal</v>
      </c>
      <c r="P131">
        <f>Deals_Raw!P131</f>
        <v>0</v>
      </c>
      <c r="Q131">
        <f>Deals_Raw!Q131</f>
        <v>1</v>
      </c>
      <c r="R131">
        <f>Deals_Raw!R131</f>
        <v>311</v>
      </c>
      <c r="S131" t="str">
        <f>Deals_Raw!S131</f>
        <v>K. Nguyen</v>
      </c>
      <c r="T131" s="6">
        <f>Deals_Raw!T131</f>
        <v>113591.30554100915</v>
      </c>
      <c r="U131" s="8">
        <f>Deals_Raw!V131</f>
        <v>0.13800000000000001</v>
      </c>
      <c r="V131" s="8">
        <f>Deals_Raw!W131</f>
        <v>0.112</v>
      </c>
      <c r="W131" s="8">
        <f>Deals_Raw!X131</f>
        <v>-3.4000000000000002E-2</v>
      </c>
      <c r="X131" t="str">
        <f>Deals_Raw!Y131</f>
        <v>Renewal retention risk</v>
      </c>
      <c r="Y131" t="str">
        <f>Deals_Raw!Z131</f>
        <v>Pricing Analyst</v>
      </c>
      <c r="Z131" s="6">
        <f>Deals_Raw!AA131</f>
        <v>100895.33528878557</v>
      </c>
      <c r="AA131" s="6">
        <f>Deals_Raw!AC131</f>
        <v>45996.563309371733</v>
      </c>
      <c r="AB131" s="6">
        <f>Deals_Raw!AD131</f>
        <v>54898.771979413839</v>
      </c>
      <c r="AC131" s="8">
        <f>Deals_Raw!AE131</f>
        <v>0.54411605672631913</v>
      </c>
      <c r="AD131" t="str">
        <f>Deals_Raw!AF131</f>
        <v>Won</v>
      </c>
      <c r="AE131" t="str">
        <f>Deals_Raw!AG131</f>
        <v>Yes</v>
      </c>
      <c r="AF131">
        <f>Deals_Raw!AH131</f>
        <v>0</v>
      </c>
      <c r="AG131" t="str">
        <f>Deals_Raw!AI131</f>
        <v>No</v>
      </c>
      <c r="AH131" s="6">
        <f>Deals_Raw!AJ131</f>
        <v>100895.33528878557</v>
      </c>
      <c r="AI131" s="6">
        <f>Deals_Raw!AK131</f>
        <v>54898.771979413839</v>
      </c>
      <c r="AJ131" t="str">
        <f>Deals_Raw!AL131</f>
        <v>Renewal of existing active contract</v>
      </c>
      <c r="AK131" s="9">
        <f t="shared" si="7"/>
        <v>5.7888888888888888</v>
      </c>
      <c r="AL131" s="8">
        <f t="shared" si="8"/>
        <v>0.8882311441729136</v>
      </c>
      <c r="AM131" s="8">
        <f t="shared" si="9"/>
        <v>2.6000000000000009E-2</v>
      </c>
      <c r="AN131" t="str">
        <f>IF(AC131&lt;Pricing_Policy!$C$10,"Below Floor","Pass")</f>
        <v>Pass</v>
      </c>
      <c r="AO131" t="str">
        <f>IF(V131&gt;Pricing_Policy!$C$7,"Exception","Standard")</f>
        <v>Standard</v>
      </c>
      <c r="AP131" t="str">
        <f t="shared" si="10"/>
        <v>Pass</v>
      </c>
      <c r="AQ131">
        <f t="shared" si="11"/>
        <v>1</v>
      </c>
      <c r="AR131" s="8">
        <f t="shared" si="12"/>
        <v>0.54411605672631913</v>
      </c>
      <c r="AS131">
        <f t="shared" si="13"/>
        <v>3</v>
      </c>
    </row>
    <row r="132" spans="1:45">
      <c r="A132" t="str">
        <f>Deals_Raw!A132</f>
        <v>D00148</v>
      </c>
      <c r="B132">
        <f>Deals_Raw!B132</f>
        <v>45712</v>
      </c>
      <c r="C132" t="str">
        <f>Deals_Raw!C132</f>
        <v>C0040</v>
      </c>
      <c r="D132" t="str">
        <f>Deals_Raw!D132</f>
        <v>PUB-0040</v>
      </c>
      <c r="E132" t="str">
        <f>Deals_Raw!E132</f>
        <v>CT00085</v>
      </c>
      <c r="F132" t="str">
        <f>Deals_Raw!F132</f>
        <v>Sales</v>
      </c>
      <c r="G132" t="str">
        <f>Deals_Raw!G132</f>
        <v>Public Sector</v>
      </c>
      <c r="H132" t="str">
        <f>Deals_Raw!H132</f>
        <v>West</v>
      </c>
      <c r="I132" t="str">
        <f>Deals_Raw!I132</f>
        <v>West Commercial</v>
      </c>
      <c r="J132" t="str">
        <f>Deals_Raw!J132</f>
        <v>Mid-Market</v>
      </c>
      <c r="K132" t="str">
        <f>Deals_Raw!K132</f>
        <v>No</v>
      </c>
      <c r="L132">
        <f>Deals_Raw!L132</f>
        <v>43374</v>
      </c>
      <c r="M132">
        <f>Deals_Raw!M132</f>
        <v>49</v>
      </c>
      <c r="N132" t="str">
        <f>Deals_Raw!N132</f>
        <v>Nexus AI Assistant</v>
      </c>
      <c r="O132" t="str">
        <f>Deals_Raw!O132</f>
        <v>Expansion</v>
      </c>
      <c r="P132" t="str">
        <f>Deals_Raw!P132</f>
        <v>Seat Expansion</v>
      </c>
      <c r="Q132">
        <f>Deals_Raw!Q132</f>
        <v>1</v>
      </c>
      <c r="R132">
        <f>Deals_Raw!R132</f>
        <v>354</v>
      </c>
      <c r="S132" t="str">
        <f>Deals_Raw!S132</f>
        <v>R. Singh</v>
      </c>
      <c r="T132" s="6">
        <f>Deals_Raw!T132</f>
        <v>151655.67938384213</v>
      </c>
      <c r="U132" s="8">
        <f>Deals_Raw!V132</f>
        <v>0.121</v>
      </c>
      <c r="V132" s="8">
        <f>Deals_Raw!W132</f>
        <v>0.113</v>
      </c>
      <c r="W132" s="8">
        <f>Deals_Raw!X132</f>
        <v>-7.6999999999999999E-2</v>
      </c>
      <c r="X132" t="str">
        <f>Deals_Raw!Y132</f>
        <v>Expansion opportunity</v>
      </c>
      <c r="Y132" t="str">
        <f>Deals_Raw!Z132</f>
        <v>Pricing Analyst</v>
      </c>
      <c r="Z132" s="6">
        <f>Deals_Raw!AA132</f>
        <v>134553.92038887675</v>
      </c>
      <c r="AA132" s="6">
        <f>Deals_Raw!AC132</f>
        <v>58602.473585284461</v>
      </c>
      <c r="AB132" s="6">
        <f>Deals_Raw!AD132</f>
        <v>75951.446803592291</v>
      </c>
      <c r="AC132" s="8">
        <f>Deals_Raw!AE132</f>
        <v>0.56446847913523157</v>
      </c>
      <c r="AD132" t="str">
        <f>Deals_Raw!AF132</f>
        <v>Won</v>
      </c>
      <c r="AE132">
        <f>Deals_Raw!AG132</f>
        <v>0</v>
      </c>
      <c r="AF132" t="str">
        <f>Deals_Raw!AH132</f>
        <v>Yes</v>
      </c>
      <c r="AG132" t="str">
        <f>Deals_Raw!AI132</f>
        <v>No</v>
      </c>
      <c r="AH132" s="6">
        <f>Deals_Raw!AJ132</f>
        <v>134553.92038887675</v>
      </c>
      <c r="AI132" s="6">
        <f>Deals_Raw!AK132</f>
        <v>75951.446803592291</v>
      </c>
      <c r="AJ132" t="str">
        <f>Deals_Raw!AL132</f>
        <v>Expansion allowed because contract was active</v>
      </c>
      <c r="AK132" s="9">
        <f t="shared" si="7"/>
        <v>6.3972222222222221</v>
      </c>
      <c r="AL132" s="8">
        <f t="shared" si="8"/>
        <v>0.8872329802322757</v>
      </c>
      <c r="AM132" s="8">
        <f t="shared" si="9"/>
        <v>7.9999999999999932E-3</v>
      </c>
      <c r="AN132" t="str">
        <f>IF(AC132&lt;Pricing_Policy!$C$10,"Below Floor","Pass")</f>
        <v>Pass</v>
      </c>
      <c r="AO132" t="str">
        <f>IF(V132&gt;Pricing_Policy!$C$7,"Exception","Standard")</f>
        <v>Standard</v>
      </c>
      <c r="AP132" t="str">
        <f t="shared" si="10"/>
        <v>Pass</v>
      </c>
      <c r="AQ132">
        <f t="shared" si="11"/>
        <v>1</v>
      </c>
      <c r="AR132" s="8">
        <f t="shared" si="12"/>
        <v>0.56446847913523157</v>
      </c>
      <c r="AS132">
        <f t="shared" si="13"/>
        <v>3</v>
      </c>
    </row>
    <row r="133" spans="1:45">
      <c r="A133" t="str">
        <f>Deals_Raw!A133</f>
        <v>D00149</v>
      </c>
      <c r="B133">
        <f>Deals_Raw!B133</f>
        <v>45853</v>
      </c>
      <c r="C133" t="str">
        <f>Deals_Raw!C133</f>
        <v>C0040</v>
      </c>
      <c r="D133" t="str">
        <f>Deals_Raw!D133</f>
        <v>PUB-0040</v>
      </c>
      <c r="E133" t="str">
        <f>Deals_Raw!E133</f>
        <v>CT00085</v>
      </c>
      <c r="F133" t="str">
        <f>Deals_Raw!F133</f>
        <v>Sales</v>
      </c>
      <c r="G133" t="str">
        <f>Deals_Raw!G133</f>
        <v>Public Sector</v>
      </c>
      <c r="H133" t="str">
        <f>Deals_Raw!H133</f>
        <v>West</v>
      </c>
      <c r="I133" t="str">
        <f>Deals_Raw!I133</f>
        <v>West Commercial</v>
      </c>
      <c r="J133" t="str">
        <f>Deals_Raw!J133</f>
        <v>Mid-Market</v>
      </c>
      <c r="K133" t="str">
        <f>Deals_Raw!K133</f>
        <v>No</v>
      </c>
      <c r="L133">
        <f>Deals_Raw!L133</f>
        <v>43374</v>
      </c>
      <c r="M133">
        <f>Deals_Raw!M133</f>
        <v>49</v>
      </c>
      <c r="N133" t="str">
        <f>Deals_Raw!N133</f>
        <v>Nexus AI Assistant</v>
      </c>
      <c r="O133" t="str">
        <f>Deals_Raw!O133</f>
        <v>Renewal</v>
      </c>
      <c r="P133">
        <f>Deals_Raw!P133</f>
        <v>0</v>
      </c>
      <c r="Q133">
        <f>Deals_Raw!Q133</f>
        <v>1</v>
      </c>
      <c r="R133">
        <f>Deals_Raw!R133</f>
        <v>354</v>
      </c>
      <c r="S133" t="str">
        <f>Deals_Raw!S133</f>
        <v>S. Rivera</v>
      </c>
      <c r="T133" s="6">
        <f>Deals_Raw!T133</f>
        <v>155866.17665323356</v>
      </c>
      <c r="U133" s="8">
        <f>Deals_Raw!V133</f>
        <v>0.23499999999999999</v>
      </c>
      <c r="V133" s="8">
        <f>Deals_Raw!W133</f>
        <v>0.23</v>
      </c>
      <c r="W133" s="8">
        <f>Deals_Raw!X133</f>
        <v>1E-3</v>
      </c>
      <c r="X133" t="str">
        <f>Deals_Raw!Y133</f>
        <v>Renewal retention risk</v>
      </c>
      <c r="Y133" t="str">
        <f>Deals_Raw!Z133</f>
        <v>Business Manager</v>
      </c>
      <c r="Z133" s="6">
        <f>Deals_Raw!AA133</f>
        <v>120075.22811729999</v>
      </c>
      <c r="AA133" s="6">
        <f>Deals_Raw!AC133</f>
        <v>58184.074790116116</v>
      </c>
      <c r="AB133" s="6">
        <f>Deals_Raw!AD133</f>
        <v>61891.153327183878</v>
      </c>
      <c r="AC133" s="8">
        <f>Deals_Raw!AE133</f>
        <v>0.5154364834245676</v>
      </c>
      <c r="AD133" t="str">
        <f>Deals_Raw!AF133</f>
        <v>Lost</v>
      </c>
      <c r="AE133" t="str">
        <f>Deals_Raw!AG133</f>
        <v>No</v>
      </c>
      <c r="AF133">
        <f>Deals_Raw!AH133</f>
        <v>0</v>
      </c>
      <c r="AG133" t="str">
        <f>Deals_Raw!AI133</f>
        <v>No</v>
      </c>
      <c r="AH133" s="6">
        <f>Deals_Raw!AJ133</f>
        <v>0</v>
      </c>
      <c r="AI133" s="6">
        <f>Deals_Raw!AK133</f>
        <v>0</v>
      </c>
      <c r="AJ133" t="str">
        <f>Deals_Raw!AL133</f>
        <v>Renewal of existing active contract</v>
      </c>
      <c r="AK133" s="9">
        <f t="shared" ref="AK133:AK196" si="14">YEARFRAC(L133,B133)</f>
        <v>6.7888888888888888</v>
      </c>
      <c r="AL133" s="8">
        <f t="shared" ref="AL133:AL196" si="15">IFERROR(Z133/T133,0)</f>
        <v>0.77037385977869843</v>
      </c>
      <c r="AM133" s="8">
        <f t="shared" ref="AM133:AM196" si="16">U133-V133</f>
        <v>4.9999999999999767E-3</v>
      </c>
      <c r="AN133" t="str">
        <f>IF(AC133&lt;Pricing_Policy!$C$10,"Below Floor","Pass")</f>
        <v>Pass</v>
      </c>
      <c r="AO133" t="str">
        <f>IF(V133&gt;Pricing_Policy!$C$7,"Exception","Standard")</f>
        <v>Standard</v>
      </c>
      <c r="AP133" t="str">
        <f t="shared" ref="AP133:AP196" si="17">IF(OR(AND(V133&lt;=0.1,Y133&lt;&gt;"Sales Manager"),AND(V133&gt;0.1,V133&lt;=0.2,Y133&lt;&gt;"Pricing Analyst"),AND(V133&gt;0.2,V133&lt;=0.28,Y133&lt;&gt;"Business Manager"),AND(V133&gt;0.28,Y133&lt;&gt;"VP Pricing")),"Review","Pass")</f>
        <v>Pass</v>
      </c>
      <c r="AQ133">
        <f t="shared" ref="AQ133:AQ196" si="18">IF(AD133="Won",1,0)</f>
        <v>0</v>
      </c>
      <c r="AR133" s="8">
        <f t="shared" ref="AR133:AR196" si="19">IFERROR(AI133/AH133,0)</f>
        <v>0</v>
      </c>
      <c r="AS133">
        <f t="shared" ref="AS133:AS196" si="20">COUNTIFS($C:$C,C133,$N:$N,N133)</f>
        <v>3</v>
      </c>
    </row>
    <row r="134" spans="1:45">
      <c r="A134" t="str">
        <f>Deals_Raw!A134</f>
        <v>D00150</v>
      </c>
      <c r="B134">
        <f>Deals_Raw!B134</f>
        <v>45494</v>
      </c>
      <c r="C134" t="str">
        <f>Deals_Raw!C134</f>
        <v>C0041</v>
      </c>
      <c r="D134" t="str">
        <f>Deals_Raw!D134</f>
        <v>PUB-0041</v>
      </c>
      <c r="E134" t="str">
        <f>Deals_Raw!E134</f>
        <v>CT00086</v>
      </c>
      <c r="F134" t="str">
        <f>Deals_Raw!F134</f>
        <v>Technology</v>
      </c>
      <c r="G134" t="str">
        <f>Deals_Raw!G134</f>
        <v>Public Sector</v>
      </c>
      <c r="H134" t="str">
        <f>Deals_Raw!H134</f>
        <v>Northeast</v>
      </c>
      <c r="I134" t="str">
        <f>Deals_Raw!I134</f>
        <v>Northeast Enterprise</v>
      </c>
      <c r="J134" t="str">
        <f>Deals_Raw!J134</f>
        <v>Enterprise</v>
      </c>
      <c r="K134" t="str">
        <f>Deals_Raw!K134</f>
        <v>Yes</v>
      </c>
      <c r="L134">
        <f>Deals_Raw!L134</f>
        <v>44105</v>
      </c>
      <c r="M134">
        <f>Deals_Raw!M134</f>
        <v>83</v>
      </c>
      <c r="N134" t="str">
        <f>Deals_Raw!N134</f>
        <v>Nexus Compliance</v>
      </c>
      <c r="O134" t="str">
        <f>Deals_Raw!O134</f>
        <v>New Business</v>
      </c>
      <c r="P134">
        <f>Deals_Raw!P134</f>
        <v>0</v>
      </c>
      <c r="Q134">
        <f>Deals_Raw!Q134</f>
        <v>3</v>
      </c>
      <c r="R134">
        <f>Deals_Raw!R134</f>
        <v>1865</v>
      </c>
      <c r="S134" t="str">
        <f>Deals_Raw!S134</f>
        <v>D. Chen</v>
      </c>
      <c r="T134" s="6">
        <f>Deals_Raw!T134</f>
        <v>357913.87233186373</v>
      </c>
      <c r="U134" s="8">
        <f>Deals_Raw!V134</f>
        <v>0.152</v>
      </c>
      <c r="V134" s="8">
        <f>Deals_Raw!W134</f>
        <v>0.10199999999999999</v>
      </c>
      <c r="W134" s="8">
        <f>Deals_Raw!X134</f>
        <v>-0.128</v>
      </c>
      <c r="X134" t="str">
        <f>Deals_Raw!Y134</f>
        <v>Budget constraint</v>
      </c>
      <c r="Y134" t="str">
        <f>Deals_Raw!Z134</f>
        <v>Pricing Analyst</v>
      </c>
      <c r="Z134" s="6">
        <f>Deals_Raw!AA134</f>
        <v>321425.41935681581</v>
      </c>
      <c r="AA134" s="6">
        <f>Deals_Raw!AC134</f>
        <v>142025.43107791449</v>
      </c>
      <c r="AB134" s="6">
        <f>Deals_Raw!AD134</f>
        <v>179399.98827890132</v>
      </c>
      <c r="AC134" s="8">
        <f>Deals_Raw!AE134</f>
        <v>0.55813877022510339</v>
      </c>
      <c r="AD134" t="str">
        <f>Deals_Raw!AF134</f>
        <v>Won</v>
      </c>
      <c r="AE134">
        <f>Deals_Raw!AG134</f>
        <v>0</v>
      </c>
      <c r="AF134">
        <f>Deals_Raw!AH134</f>
        <v>0</v>
      </c>
      <c r="AG134" t="str">
        <f>Deals_Raw!AI134</f>
        <v>No</v>
      </c>
      <c r="AH134" s="6">
        <f>Deals_Raw!AJ134</f>
        <v>321425.41935681581</v>
      </c>
      <c r="AI134" s="6">
        <f>Deals_Raw!AK134</f>
        <v>179399.98827890132</v>
      </c>
      <c r="AJ134" t="str">
        <f>Deals_Raw!AL134</f>
        <v>First purchase under this contract</v>
      </c>
      <c r="AK134" s="9">
        <f t="shared" si="14"/>
        <v>3.8055555555555554</v>
      </c>
      <c r="AL134" s="8">
        <f t="shared" si="15"/>
        <v>0.89805242044037004</v>
      </c>
      <c r="AM134" s="8">
        <f t="shared" si="16"/>
        <v>0.05</v>
      </c>
      <c r="AN134" t="str">
        <f>IF(AC134&lt;Pricing_Policy!$C$10,"Below Floor","Pass")</f>
        <v>Pass</v>
      </c>
      <c r="AO134" t="str">
        <f>IF(V134&gt;Pricing_Policy!$C$7,"Exception","Standard")</f>
        <v>Standard</v>
      </c>
      <c r="AP134" t="str">
        <f t="shared" si="17"/>
        <v>Pass</v>
      </c>
      <c r="AQ134">
        <f t="shared" si="18"/>
        <v>1</v>
      </c>
      <c r="AR134" s="8">
        <f t="shared" si="19"/>
        <v>0.55813877022510339</v>
      </c>
      <c r="AS134">
        <f t="shared" si="20"/>
        <v>5</v>
      </c>
    </row>
    <row r="135" spans="1:45">
      <c r="A135" t="str">
        <f>Deals_Raw!A135</f>
        <v>D00152</v>
      </c>
      <c r="B135">
        <f>Deals_Raw!B135</f>
        <v>45368</v>
      </c>
      <c r="C135" t="str">
        <f>Deals_Raw!C135</f>
        <v>C0041</v>
      </c>
      <c r="D135" t="str">
        <f>Deals_Raw!D135</f>
        <v>PUB-0041</v>
      </c>
      <c r="E135" t="str">
        <f>Deals_Raw!E135</f>
        <v>CT00087</v>
      </c>
      <c r="F135" t="str">
        <f>Deals_Raw!F135</f>
        <v>Finance</v>
      </c>
      <c r="G135" t="str">
        <f>Deals_Raw!G135</f>
        <v>Public Sector</v>
      </c>
      <c r="H135" t="str">
        <f>Deals_Raw!H135</f>
        <v>Northeast</v>
      </c>
      <c r="I135" t="str">
        <f>Deals_Raw!I135</f>
        <v>Northeast Enterprise</v>
      </c>
      <c r="J135" t="str">
        <f>Deals_Raw!J135</f>
        <v>Enterprise</v>
      </c>
      <c r="K135" t="str">
        <f>Deals_Raw!K135</f>
        <v>Yes</v>
      </c>
      <c r="L135">
        <f>Deals_Raw!L135</f>
        <v>44105</v>
      </c>
      <c r="M135">
        <f>Deals_Raw!M135</f>
        <v>83</v>
      </c>
      <c r="N135" t="str">
        <f>Deals_Raw!N135</f>
        <v>Nexus Compliance</v>
      </c>
      <c r="O135" t="str">
        <f>Deals_Raw!O135</f>
        <v>Renewal</v>
      </c>
      <c r="P135">
        <f>Deals_Raw!P135</f>
        <v>0</v>
      </c>
      <c r="Q135">
        <f>Deals_Raw!Q135</f>
        <v>1</v>
      </c>
      <c r="R135">
        <f>Deals_Raw!R135</f>
        <v>765</v>
      </c>
      <c r="S135" t="str">
        <f>Deals_Raw!S135</f>
        <v>L. Williams</v>
      </c>
      <c r="T135" s="6">
        <f>Deals_Raw!T135</f>
        <v>450340.26075695589</v>
      </c>
      <c r="U135" s="8">
        <f>Deals_Raw!V135</f>
        <v>0.14299999999999999</v>
      </c>
      <c r="V135" s="8">
        <f>Deals_Raw!W135</f>
        <v>7.9000000000000001E-2</v>
      </c>
      <c r="W135" s="8">
        <f>Deals_Raw!X135</f>
        <v>-9.8000000000000004E-2</v>
      </c>
      <c r="X135" t="str">
        <f>Deals_Raw!Y135</f>
        <v>Renewal retention risk</v>
      </c>
      <c r="Y135" t="str">
        <f>Deals_Raw!Z135</f>
        <v>Sales Manager</v>
      </c>
      <c r="Z135" s="6">
        <f>Deals_Raw!AA135</f>
        <v>414750.40475902677</v>
      </c>
      <c r="AA135" s="6">
        <f>Deals_Raw!AC135</f>
        <v>172483.79585423489</v>
      </c>
      <c r="AB135" s="6">
        <f>Deals_Raw!AD135</f>
        <v>242266.60890479188</v>
      </c>
      <c r="AC135" s="8">
        <f>Deals_Raw!AE135</f>
        <v>0.58412627480267476</v>
      </c>
      <c r="AD135" t="str">
        <f>Deals_Raw!AF135</f>
        <v>Won</v>
      </c>
      <c r="AE135" t="str">
        <f>Deals_Raw!AG135</f>
        <v>Yes</v>
      </c>
      <c r="AF135">
        <f>Deals_Raw!AH135</f>
        <v>0</v>
      </c>
      <c r="AG135" t="str">
        <f>Deals_Raw!AI135</f>
        <v>No</v>
      </c>
      <c r="AH135" s="6">
        <f>Deals_Raw!AJ135</f>
        <v>414750.40475902677</v>
      </c>
      <c r="AI135" s="6">
        <f>Deals_Raw!AK135</f>
        <v>242266.60890479188</v>
      </c>
      <c r="AJ135" t="str">
        <f>Deals_Raw!AL135</f>
        <v>Renewal of existing active contract</v>
      </c>
      <c r="AK135" s="9">
        <f t="shared" si="14"/>
        <v>3.4611111111111112</v>
      </c>
      <c r="AL135" s="8">
        <f t="shared" si="15"/>
        <v>0.92097118756802288</v>
      </c>
      <c r="AM135" s="8">
        <f t="shared" si="16"/>
        <v>6.3999999999999987E-2</v>
      </c>
      <c r="AN135" t="str">
        <f>IF(AC135&lt;Pricing_Policy!$C$10,"Below Floor","Pass")</f>
        <v>Pass</v>
      </c>
      <c r="AO135" t="str">
        <f>IF(V135&gt;Pricing_Policy!$C$7,"Exception","Standard")</f>
        <v>Standard</v>
      </c>
      <c r="AP135" t="str">
        <f t="shared" si="17"/>
        <v>Pass</v>
      </c>
      <c r="AQ135">
        <f t="shared" si="18"/>
        <v>1</v>
      </c>
      <c r="AR135" s="8">
        <f t="shared" si="19"/>
        <v>0.58412627480267476</v>
      </c>
      <c r="AS135">
        <f t="shared" si="20"/>
        <v>5</v>
      </c>
    </row>
    <row r="136" spans="1:45">
      <c r="A136" t="str">
        <f>Deals_Raw!A136</f>
        <v>D00153</v>
      </c>
      <c r="B136">
        <f>Deals_Raw!B136</f>
        <v>45558</v>
      </c>
      <c r="C136" t="str">
        <f>Deals_Raw!C136</f>
        <v>C0041</v>
      </c>
      <c r="D136" t="str">
        <f>Deals_Raw!D136</f>
        <v>PUB-0041</v>
      </c>
      <c r="E136" t="str">
        <f>Deals_Raw!E136</f>
        <v>CT00087</v>
      </c>
      <c r="F136" t="str">
        <f>Deals_Raw!F136</f>
        <v>Finance</v>
      </c>
      <c r="G136" t="str">
        <f>Deals_Raw!G136</f>
        <v>Public Sector</v>
      </c>
      <c r="H136" t="str">
        <f>Deals_Raw!H136</f>
        <v>Northeast</v>
      </c>
      <c r="I136" t="str">
        <f>Deals_Raw!I136</f>
        <v>Northeast Enterprise</v>
      </c>
      <c r="J136" t="str">
        <f>Deals_Raw!J136</f>
        <v>Enterprise</v>
      </c>
      <c r="K136" t="str">
        <f>Deals_Raw!K136</f>
        <v>Yes</v>
      </c>
      <c r="L136">
        <f>Deals_Raw!L136</f>
        <v>44105</v>
      </c>
      <c r="M136">
        <f>Deals_Raw!M136</f>
        <v>83</v>
      </c>
      <c r="N136" t="str">
        <f>Deals_Raw!N136</f>
        <v>Nexus Compliance</v>
      </c>
      <c r="O136" t="str">
        <f>Deals_Raw!O136</f>
        <v>Expansion</v>
      </c>
      <c r="P136" t="str">
        <f>Deals_Raw!P136</f>
        <v>Seat Expansion</v>
      </c>
      <c r="Q136">
        <f>Deals_Raw!Q136</f>
        <v>1</v>
      </c>
      <c r="R136">
        <f>Deals_Raw!R136</f>
        <v>1096</v>
      </c>
      <c r="S136" t="str">
        <f>Deals_Raw!S136</f>
        <v>T. Brooks</v>
      </c>
      <c r="T136" s="6">
        <f>Deals_Raw!T136</f>
        <v>568934.39269697282</v>
      </c>
      <c r="U136" s="8">
        <f>Deals_Raw!V136</f>
        <v>0.10199999999999999</v>
      </c>
      <c r="V136" s="8">
        <f>Deals_Raw!W136</f>
        <v>9.7000000000000003E-2</v>
      </c>
      <c r="W136" s="8">
        <f>Deals_Raw!X136</f>
        <v>2.5999999999999999E-2</v>
      </c>
      <c r="X136" t="str">
        <f>Deals_Raw!Y136</f>
        <v>Expansion opportunity</v>
      </c>
      <c r="Y136" t="str">
        <f>Deals_Raw!Z136</f>
        <v>Sales Manager</v>
      </c>
      <c r="Z136" s="6">
        <f>Deals_Raw!AA136</f>
        <v>513498.46302734595</v>
      </c>
      <c r="AA136" s="6">
        <f>Deals_Raw!AC136</f>
        <v>179490.21243326343</v>
      </c>
      <c r="AB136" s="6">
        <f>Deals_Raw!AD136</f>
        <v>334008.25059408252</v>
      </c>
      <c r="AC136" s="8">
        <f>Deals_Raw!AE136</f>
        <v>0.65045618369513047</v>
      </c>
      <c r="AD136" t="str">
        <f>Deals_Raw!AF136</f>
        <v>Lost</v>
      </c>
      <c r="AE136">
        <f>Deals_Raw!AG136</f>
        <v>0</v>
      </c>
      <c r="AF136" t="str">
        <f>Deals_Raw!AH136</f>
        <v>No</v>
      </c>
      <c r="AG136" t="str">
        <f>Deals_Raw!AI136</f>
        <v>No</v>
      </c>
      <c r="AH136" s="6">
        <f>Deals_Raw!AJ136</f>
        <v>0</v>
      </c>
      <c r="AI136" s="6">
        <f>Deals_Raw!AK136</f>
        <v>0</v>
      </c>
      <c r="AJ136" t="str">
        <f>Deals_Raw!AL136</f>
        <v>Expansion allowed because contract was active</v>
      </c>
      <c r="AK136" s="9">
        <f t="shared" si="14"/>
        <v>3.9777777777777779</v>
      </c>
      <c r="AL136" s="8">
        <f t="shared" si="15"/>
        <v>0.90256182368086635</v>
      </c>
      <c r="AM136" s="8">
        <f t="shared" si="16"/>
        <v>4.9999999999999906E-3</v>
      </c>
      <c r="AN136" t="str">
        <f>IF(AC136&lt;Pricing_Policy!$C$10,"Below Floor","Pass")</f>
        <v>Pass</v>
      </c>
      <c r="AO136" t="str">
        <f>IF(V136&gt;Pricing_Policy!$C$7,"Exception","Standard")</f>
        <v>Standard</v>
      </c>
      <c r="AP136" t="str">
        <f t="shared" si="17"/>
        <v>Pass</v>
      </c>
      <c r="AQ136">
        <f t="shared" si="18"/>
        <v>0</v>
      </c>
      <c r="AR136" s="8">
        <f t="shared" si="19"/>
        <v>0</v>
      </c>
      <c r="AS136">
        <f t="shared" si="20"/>
        <v>5</v>
      </c>
    </row>
    <row r="137" spans="1:45">
      <c r="A137" t="str">
        <f>Deals_Raw!A137</f>
        <v>D00154</v>
      </c>
      <c r="B137">
        <f>Deals_Raw!B137</f>
        <v>45733</v>
      </c>
      <c r="C137" t="str">
        <f>Deals_Raw!C137</f>
        <v>C0041</v>
      </c>
      <c r="D137" t="str">
        <f>Deals_Raw!D137</f>
        <v>PUB-0041</v>
      </c>
      <c r="E137" t="str">
        <f>Deals_Raw!E137</f>
        <v>CT00087</v>
      </c>
      <c r="F137" t="str">
        <f>Deals_Raw!F137</f>
        <v>Finance</v>
      </c>
      <c r="G137" t="str">
        <f>Deals_Raw!G137</f>
        <v>Public Sector</v>
      </c>
      <c r="H137" t="str">
        <f>Deals_Raw!H137</f>
        <v>Northeast</v>
      </c>
      <c r="I137" t="str">
        <f>Deals_Raw!I137</f>
        <v>Northeast Enterprise</v>
      </c>
      <c r="J137" t="str">
        <f>Deals_Raw!J137</f>
        <v>Enterprise</v>
      </c>
      <c r="K137" t="str">
        <f>Deals_Raw!K137</f>
        <v>Yes</v>
      </c>
      <c r="L137">
        <f>Deals_Raw!L137</f>
        <v>44105</v>
      </c>
      <c r="M137">
        <f>Deals_Raw!M137</f>
        <v>83</v>
      </c>
      <c r="N137" t="str">
        <f>Deals_Raw!N137</f>
        <v>Nexus Compliance</v>
      </c>
      <c r="O137" t="str">
        <f>Deals_Raw!O137</f>
        <v>Renewal</v>
      </c>
      <c r="P137">
        <f>Deals_Raw!P137</f>
        <v>0</v>
      </c>
      <c r="Q137">
        <f>Deals_Raw!Q137</f>
        <v>1</v>
      </c>
      <c r="R137">
        <f>Deals_Raw!R137</f>
        <v>765</v>
      </c>
      <c r="S137" t="str">
        <f>Deals_Raw!S137</f>
        <v>M. Johnson</v>
      </c>
      <c r="T137" s="6">
        <f>Deals_Raw!T137</f>
        <v>460504.98393952387</v>
      </c>
      <c r="U137" s="8">
        <f>Deals_Raw!V137</f>
        <v>1.6E-2</v>
      </c>
      <c r="V137" s="8">
        <f>Deals_Raw!W137</f>
        <v>5.0000000000000001E-3</v>
      </c>
      <c r="W137" s="8">
        <f>Deals_Raw!X137</f>
        <v>0</v>
      </c>
      <c r="X137" t="str">
        <f>Deals_Raw!Y137</f>
        <v>Strategic logo opportunity</v>
      </c>
      <c r="Y137" t="str">
        <f>Deals_Raw!Z137</f>
        <v>Sales Manager</v>
      </c>
      <c r="Z137" s="6">
        <f>Deals_Raw!AA137</f>
        <v>458199.8346732537</v>
      </c>
      <c r="AA137" s="6">
        <f>Deals_Raw!AC137</f>
        <v>173619.72477271955</v>
      </c>
      <c r="AB137" s="6">
        <f>Deals_Raw!AD137</f>
        <v>284580.10990053415</v>
      </c>
      <c r="AC137" s="8">
        <f>Deals_Raw!AE137</f>
        <v>0.62108296067690794</v>
      </c>
      <c r="AD137" t="str">
        <f>Deals_Raw!AF137</f>
        <v>Lost</v>
      </c>
      <c r="AE137" t="str">
        <f>Deals_Raw!AG137</f>
        <v>No</v>
      </c>
      <c r="AF137">
        <f>Deals_Raw!AH137</f>
        <v>0</v>
      </c>
      <c r="AG137" t="str">
        <f>Deals_Raw!AI137</f>
        <v>No</v>
      </c>
      <c r="AH137" s="6">
        <f>Deals_Raw!AJ137</f>
        <v>0</v>
      </c>
      <c r="AI137" s="6">
        <f>Deals_Raw!AK137</f>
        <v>0</v>
      </c>
      <c r="AJ137" t="str">
        <f>Deals_Raw!AL137</f>
        <v>Renewal of existing active contract</v>
      </c>
      <c r="AK137" s="9">
        <f t="shared" si="14"/>
        <v>4.4611111111111112</v>
      </c>
      <c r="AL137" s="8">
        <f t="shared" si="15"/>
        <v>0.99499430115489718</v>
      </c>
      <c r="AM137" s="8">
        <f t="shared" si="16"/>
        <v>1.0999999999999999E-2</v>
      </c>
      <c r="AN137" t="str">
        <f>IF(AC137&lt;Pricing_Policy!$C$10,"Below Floor","Pass")</f>
        <v>Pass</v>
      </c>
      <c r="AO137" t="str">
        <f>IF(V137&gt;Pricing_Policy!$C$7,"Exception","Standard")</f>
        <v>Standard</v>
      </c>
      <c r="AP137" t="str">
        <f t="shared" si="17"/>
        <v>Pass</v>
      </c>
      <c r="AQ137">
        <f t="shared" si="18"/>
        <v>0</v>
      </c>
      <c r="AR137" s="8">
        <f t="shared" si="19"/>
        <v>0</v>
      </c>
      <c r="AS137">
        <f t="shared" si="20"/>
        <v>5</v>
      </c>
    </row>
    <row r="138" spans="1:45">
      <c r="A138" t="str">
        <f>Deals_Raw!A138</f>
        <v>D00155</v>
      </c>
      <c r="B138">
        <f>Deals_Raw!B138</f>
        <v>45910</v>
      </c>
      <c r="C138" t="str">
        <f>Deals_Raw!C138</f>
        <v>C0041</v>
      </c>
      <c r="D138" t="str">
        <f>Deals_Raw!D138</f>
        <v>PUB-0041</v>
      </c>
      <c r="E138" t="str">
        <f>Deals_Raw!E138</f>
        <v>CT00087</v>
      </c>
      <c r="F138" t="str">
        <f>Deals_Raw!F138</f>
        <v>Finance</v>
      </c>
      <c r="G138" t="str">
        <f>Deals_Raw!G138</f>
        <v>Public Sector</v>
      </c>
      <c r="H138" t="str">
        <f>Deals_Raw!H138</f>
        <v>Northeast</v>
      </c>
      <c r="I138" t="str">
        <f>Deals_Raw!I138</f>
        <v>Northeast Enterprise</v>
      </c>
      <c r="J138" t="str">
        <f>Deals_Raw!J138</f>
        <v>Enterprise</v>
      </c>
      <c r="K138" t="str">
        <f>Deals_Raw!K138</f>
        <v>Yes</v>
      </c>
      <c r="L138">
        <f>Deals_Raw!L138</f>
        <v>44105</v>
      </c>
      <c r="M138">
        <f>Deals_Raw!M138</f>
        <v>83</v>
      </c>
      <c r="N138" t="str">
        <f>Deals_Raw!N138</f>
        <v>Nexus Compliance</v>
      </c>
      <c r="O138" t="str">
        <f>Deals_Raw!O138</f>
        <v>Win-back</v>
      </c>
      <c r="P138">
        <f>Deals_Raw!P138</f>
        <v>0</v>
      </c>
      <c r="Q138">
        <f>Deals_Raw!Q138</f>
        <v>1</v>
      </c>
      <c r="R138">
        <f>Deals_Raw!R138</f>
        <v>765</v>
      </c>
      <c r="S138" t="str">
        <f>Deals_Raw!S138</f>
        <v>S. Rivera</v>
      </c>
      <c r="T138" s="6">
        <f>Deals_Raw!T138</f>
        <v>460504.98393952387</v>
      </c>
      <c r="U138" s="8">
        <f>Deals_Raw!V138</f>
        <v>0.22900000000000001</v>
      </c>
      <c r="V138" s="8">
        <f>Deals_Raw!W138</f>
        <v>0.21</v>
      </c>
      <c r="W138" s="8">
        <f>Deals_Raw!X138</f>
        <v>-6.3E-2</v>
      </c>
      <c r="X138" t="str">
        <f>Deals_Raw!Y138</f>
        <v>Renewal retention risk</v>
      </c>
      <c r="Y138" t="str">
        <f>Deals_Raw!Z138</f>
        <v>Business Manager</v>
      </c>
      <c r="Z138" s="6">
        <f>Deals_Raw!AA138</f>
        <v>363756.70317116729</v>
      </c>
      <c r="AA138" s="6">
        <f>Deals_Raw!AC138</f>
        <v>179921.64046519814</v>
      </c>
      <c r="AB138" s="6">
        <f>Deals_Raw!AD138</f>
        <v>183835.06270596915</v>
      </c>
      <c r="AC138" s="8">
        <f>Deals_Raw!AE138</f>
        <v>0.50537917543052058</v>
      </c>
      <c r="AD138" t="str">
        <f>Deals_Raw!AF138</f>
        <v>Lost</v>
      </c>
      <c r="AE138">
        <f>Deals_Raw!AG138</f>
        <v>0</v>
      </c>
      <c r="AF138">
        <f>Deals_Raw!AH138</f>
        <v>0</v>
      </c>
      <c r="AG138" t="str">
        <f>Deals_Raw!AI138</f>
        <v>Yes</v>
      </c>
      <c r="AH138" s="6">
        <f>Deals_Raw!AJ138</f>
        <v>0</v>
      </c>
      <c r="AI138" s="6">
        <f>Deals_Raw!AK138</f>
        <v>0</v>
      </c>
      <c r="AJ138" t="str">
        <f>Deals_Raw!AL138</f>
        <v>Customer returned after lost renewal</v>
      </c>
      <c r="AK138" s="9">
        <f t="shared" si="14"/>
        <v>4.9416666666666664</v>
      </c>
      <c r="AL138" s="8">
        <f t="shared" si="15"/>
        <v>0.78990828733123519</v>
      </c>
      <c r="AM138" s="8">
        <f t="shared" si="16"/>
        <v>1.9000000000000017E-2</v>
      </c>
      <c r="AN138" t="str">
        <f>IF(AC138&lt;Pricing_Policy!$C$10,"Below Floor","Pass")</f>
        <v>Pass</v>
      </c>
      <c r="AO138" t="str">
        <f>IF(V138&gt;Pricing_Policy!$C$7,"Exception","Standard")</f>
        <v>Standard</v>
      </c>
      <c r="AP138" t="str">
        <f t="shared" si="17"/>
        <v>Pass</v>
      </c>
      <c r="AQ138">
        <f t="shared" si="18"/>
        <v>0</v>
      </c>
      <c r="AR138" s="8">
        <f t="shared" si="19"/>
        <v>0</v>
      </c>
      <c r="AS138">
        <f t="shared" si="20"/>
        <v>5</v>
      </c>
    </row>
    <row r="139" spans="1:45">
      <c r="A139" t="str">
        <f>Deals_Raw!A139</f>
        <v>D00156</v>
      </c>
      <c r="B139">
        <f>Deals_Raw!B139</f>
        <v>45375</v>
      </c>
      <c r="C139" t="str">
        <f>Deals_Raw!C139</f>
        <v>C0042</v>
      </c>
      <c r="D139" t="str">
        <f>Deals_Raw!D139</f>
        <v>TEC-0042</v>
      </c>
      <c r="E139" t="str">
        <f>Deals_Raw!E139</f>
        <v>CT00088</v>
      </c>
      <c r="F139" t="str">
        <f>Deals_Raw!F139</f>
        <v>Legal</v>
      </c>
      <c r="G139" t="str">
        <f>Deals_Raw!G139</f>
        <v>Technology</v>
      </c>
      <c r="H139" t="str">
        <f>Deals_Raw!H139</f>
        <v>West</v>
      </c>
      <c r="I139" t="str">
        <f>Deals_Raw!I139</f>
        <v>West Enterprise</v>
      </c>
      <c r="J139" t="str">
        <f>Deals_Raw!J139</f>
        <v>Enterprise</v>
      </c>
      <c r="K139" t="str">
        <f>Deals_Raw!K139</f>
        <v>No</v>
      </c>
      <c r="L139">
        <f>Deals_Raw!L139</f>
        <v>43435</v>
      </c>
      <c r="M139">
        <f>Deals_Raw!M139</f>
        <v>44</v>
      </c>
      <c r="N139" t="str">
        <f>Deals_Raw!N139</f>
        <v>Nexus Compliance</v>
      </c>
      <c r="O139" t="str">
        <f>Deals_Raw!O139</f>
        <v>Expansion</v>
      </c>
      <c r="P139" t="str">
        <f>Deals_Raw!P139</f>
        <v>Module Add-on</v>
      </c>
      <c r="Q139">
        <f>Deals_Raw!Q139</f>
        <v>1</v>
      </c>
      <c r="R139">
        <f>Deals_Raw!R139</f>
        <v>1641</v>
      </c>
      <c r="S139" t="str">
        <f>Deals_Raw!S139</f>
        <v>D. Chen</v>
      </c>
      <c r="T139" s="6">
        <f>Deals_Raw!T139</f>
        <v>459552.86570209399</v>
      </c>
      <c r="U139" s="8">
        <f>Deals_Raw!V139</f>
        <v>7.2999999999999995E-2</v>
      </c>
      <c r="V139" s="8">
        <f>Deals_Raw!W139</f>
        <v>4.8000000000000001E-2</v>
      </c>
      <c r="W139" s="8">
        <f>Deals_Raw!X139</f>
        <v>-4.9000000000000002E-2</v>
      </c>
      <c r="X139" t="str">
        <f>Deals_Raw!Y139</f>
        <v>Expansion opportunity</v>
      </c>
      <c r="Y139" t="str">
        <f>Deals_Raw!Z139</f>
        <v>Sales Manager</v>
      </c>
      <c r="Z139" s="6">
        <f>Deals_Raw!AA139</f>
        <v>437434.10974016035</v>
      </c>
      <c r="AA139" s="6">
        <f>Deals_Raw!AC139</f>
        <v>164287.57839407225</v>
      </c>
      <c r="AB139" s="6">
        <f>Deals_Raw!AD139</f>
        <v>273146.5313460881</v>
      </c>
      <c r="AC139" s="8">
        <f>Deals_Raw!AE139</f>
        <v>0.62442897173322742</v>
      </c>
      <c r="AD139" t="str">
        <f>Deals_Raw!AF139</f>
        <v>Won</v>
      </c>
      <c r="AE139">
        <f>Deals_Raw!AG139</f>
        <v>0</v>
      </c>
      <c r="AF139" t="str">
        <f>Deals_Raw!AH139</f>
        <v>Yes</v>
      </c>
      <c r="AG139" t="str">
        <f>Deals_Raw!AI139</f>
        <v>No</v>
      </c>
      <c r="AH139" s="6">
        <f>Deals_Raw!AJ139</f>
        <v>437434.10974016035</v>
      </c>
      <c r="AI139" s="6">
        <f>Deals_Raw!AK139</f>
        <v>273146.5313460881</v>
      </c>
      <c r="AJ139" t="str">
        <f>Deals_Raw!AL139</f>
        <v>Expansion allowed because contract was active</v>
      </c>
      <c r="AK139" s="9">
        <f t="shared" si="14"/>
        <v>5.3138888888888891</v>
      </c>
      <c r="AL139" s="8">
        <f t="shared" si="15"/>
        <v>0.95186896304489121</v>
      </c>
      <c r="AM139" s="8">
        <f t="shared" si="16"/>
        <v>2.4999999999999994E-2</v>
      </c>
      <c r="AN139" t="str">
        <f>IF(AC139&lt;Pricing_Policy!$C$10,"Below Floor","Pass")</f>
        <v>Pass</v>
      </c>
      <c r="AO139" t="str">
        <f>IF(V139&gt;Pricing_Policy!$C$7,"Exception","Standard")</f>
        <v>Standard</v>
      </c>
      <c r="AP139" t="str">
        <f t="shared" si="17"/>
        <v>Pass</v>
      </c>
      <c r="AQ139">
        <f t="shared" si="18"/>
        <v>1</v>
      </c>
      <c r="AR139" s="8">
        <f t="shared" si="19"/>
        <v>0.62442897173322742</v>
      </c>
      <c r="AS139">
        <f t="shared" si="20"/>
        <v>4</v>
      </c>
    </row>
    <row r="140" spans="1:45">
      <c r="A140" t="str">
        <f>Deals_Raw!A140</f>
        <v>D00157</v>
      </c>
      <c r="B140">
        <f>Deals_Raw!B140</f>
        <v>45614</v>
      </c>
      <c r="C140" t="str">
        <f>Deals_Raw!C140</f>
        <v>C0042</v>
      </c>
      <c r="D140" t="str">
        <f>Deals_Raw!D140</f>
        <v>TEC-0042</v>
      </c>
      <c r="E140" t="str">
        <f>Deals_Raw!E140</f>
        <v>CT00088</v>
      </c>
      <c r="F140" t="str">
        <f>Deals_Raw!F140</f>
        <v>Legal</v>
      </c>
      <c r="G140" t="str">
        <f>Deals_Raw!G140</f>
        <v>Technology</v>
      </c>
      <c r="H140" t="str">
        <f>Deals_Raw!H140</f>
        <v>West</v>
      </c>
      <c r="I140" t="str">
        <f>Deals_Raw!I140</f>
        <v>West Enterprise</v>
      </c>
      <c r="J140" t="str">
        <f>Deals_Raw!J140</f>
        <v>Enterprise</v>
      </c>
      <c r="K140" t="str">
        <f>Deals_Raw!K140</f>
        <v>No</v>
      </c>
      <c r="L140">
        <f>Deals_Raw!L140</f>
        <v>43435</v>
      </c>
      <c r="M140">
        <f>Deals_Raw!M140</f>
        <v>44</v>
      </c>
      <c r="N140" t="str">
        <f>Deals_Raw!N140</f>
        <v>Nexus Compliance</v>
      </c>
      <c r="O140" t="str">
        <f>Deals_Raw!O140</f>
        <v>Renewal</v>
      </c>
      <c r="P140">
        <f>Deals_Raw!P140</f>
        <v>0</v>
      </c>
      <c r="Q140">
        <f>Deals_Raw!Q140</f>
        <v>1</v>
      </c>
      <c r="R140">
        <f>Deals_Raw!R140</f>
        <v>1641</v>
      </c>
      <c r="S140" t="str">
        <f>Deals_Raw!S140</f>
        <v>M. Johnson</v>
      </c>
      <c r="T140" s="6">
        <f>Deals_Raw!T140</f>
        <v>477462.61329572112</v>
      </c>
      <c r="U140" s="8">
        <f>Deals_Raw!V140</f>
        <v>0.11700000000000001</v>
      </c>
      <c r="V140" s="8">
        <f>Deals_Raw!W140</f>
        <v>0.106</v>
      </c>
      <c r="W140" s="8">
        <f>Deals_Raw!X140</f>
        <v>3.7999999999999999E-2</v>
      </c>
      <c r="X140" t="str">
        <f>Deals_Raw!Y140</f>
        <v>Renewal retention risk</v>
      </c>
      <c r="Y140" t="str">
        <f>Deals_Raw!Z140</f>
        <v>Pricing Analyst</v>
      </c>
      <c r="Z140" s="6">
        <f>Deals_Raw!AA140</f>
        <v>426996.61823163339</v>
      </c>
      <c r="AA140" s="6">
        <f>Deals_Raw!AC140</f>
        <v>156349.44706572007</v>
      </c>
      <c r="AB140" s="6">
        <f>Deals_Raw!AD140</f>
        <v>270647.17116591334</v>
      </c>
      <c r="AC140" s="8">
        <f>Deals_Raw!AE140</f>
        <v>0.63383914441002676</v>
      </c>
      <c r="AD140" t="str">
        <f>Deals_Raw!AF140</f>
        <v>Won</v>
      </c>
      <c r="AE140" t="str">
        <f>Deals_Raw!AG140</f>
        <v>Yes</v>
      </c>
      <c r="AF140">
        <f>Deals_Raw!AH140</f>
        <v>0</v>
      </c>
      <c r="AG140" t="str">
        <f>Deals_Raw!AI140</f>
        <v>No</v>
      </c>
      <c r="AH140" s="6">
        <f>Deals_Raw!AJ140</f>
        <v>426996.61823163339</v>
      </c>
      <c r="AI140" s="6">
        <f>Deals_Raw!AK140</f>
        <v>270647.17116591334</v>
      </c>
      <c r="AJ140" t="str">
        <f>Deals_Raw!AL140</f>
        <v>Renewal of existing active contract</v>
      </c>
      <c r="AK140" s="9">
        <f t="shared" si="14"/>
        <v>5.9638888888888886</v>
      </c>
      <c r="AL140" s="8">
        <f t="shared" si="15"/>
        <v>0.8943037765496602</v>
      </c>
      <c r="AM140" s="8">
        <f t="shared" si="16"/>
        <v>1.100000000000001E-2</v>
      </c>
      <c r="AN140" t="str">
        <f>IF(AC140&lt;Pricing_Policy!$C$10,"Below Floor","Pass")</f>
        <v>Pass</v>
      </c>
      <c r="AO140" t="str">
        <f>IF(V140&gt;Pricing_Policy!$C$7,"Exception","Standard")</f>
        <v>Standard</v>
      </c>
      <c r="AP140" t="str">
        <f t="shared" si="17"/>
        <v>Pass</v>
      </c>
      <c r="AQ140">
        <f t="shared" si="18"/>
        <v>1</v>
      </c>
      <c r="AR140" s="8">
        <f t="shared" si="19"/>
        <v>0.63383914441002676</v>
      </c>
      <c r="AS140">
        <f t="shared" si="20"/>
        <v>4</v>
      </c>
    </row>
    <row r="141" spans="1:45">
      <c r="A141" t="str">
        <f>Deals_Raw!A141</f>
        <v>D00158</v>
      </c>
      <c r="B141">
        <f>Deals_Raw!B141</f>
        <v>45815</v>
      </c>
      <c r="C141" t="str">
        <f>Deals_Raw!C141</f>
        <v>C0042</v>
      </c>
      <c r="D141" t="str">
        <f>Deals_Raw!D141</f>
        <v>TEC-0042</v>
      </c>
      <c r="E141" t="str">
        <f>Deals_Raw!E141</f>
        <v>CT00088</v>
      </c>
      <c r="F141" t="str">
        <f>Deals_Raw!F141</f>
        <v>Legal</v>
      </c>
      <c r="G141" t="str">
        <f>Deals_Raw!G141</f>
        <v>Technology</v>
      </c>
      <c r="H141" t="str">
        <f>Deals_Raw!H141</f>
        <v>West</v>
      </c>
      <c r="I141" t="str">
        <f>Deals_Raw!I141</f>
        <v>West Enterprise</v>
      </c>
      <c r="J141" t="str">
        <f>Deals_Raw!J141</f>
        <v>Enterprise</v>
      </c>
      <c r="K141" t="str">
        <f>Deals_Raw!K141</f>
        <v>No</v>
      </c>
      <c r="L141">
        <f>Deals_Raw!L141</f>
        <v>43435</v>
      </c>
      <c r="M141">
        <f>Deals_Raw!M141</f>
        <v>44</v>
      </c>
      <c r="N141" t="str">
        <f>Deals_Raw!N141</f>
        <v>Nexus Compliance</v>
      </c>
      <c r="O141" t="str">
        <f>Deals_Raw!O141</f>
        <v>Expansion</v>
      </c>
      <c r="P141" t="str">
        <f>Deals_Raw!P141</f>
        <v>Module Add-on</v>
      </c>
      <c r="Q141">
        <f>Deals_Raw!Q141</f>
        <v>1</v>
      </c>
      <c r="R141">
        <f>Deals_Raw!R141</f>
        <v>2259</v>
      </c>
      <c r="S141" t="str">
        <f>Deals_Raw!S141</f>
        <v>S. Rivera</v>
      </c>
      <c r="T141" s="6">
        <f>Deals_Raw!T141</f>
        <v>533700.372939119</v>
      </c>
      <c r="U141" s="8">
        <f>Deals_Raw!V141</f>
        <v>0.15</v>
      </c>
      <c r="V141" s="8">
        <f>Deals_Raw!W141</f>
        <v>0.12</v>
      </c>
      <c r="W141" s="8">
        <f>Deals_Raw!X141</f>
        <v>-1.4E-2</v>
      </c>
      <c r="X141" t="str">
        <f>Deals_Raw!Y141</f>
        <v>Expansion opportunity</v>
      </c>
      <c r="Y141" t="str">
        <f>Deals_Raw!Z141</f>
        <v>Pricing Analyst</v>
      </c>
      <c r="Z141" s="6">
        <f>Deals_Raw!AA141</f>
        <v>469779.60737337038</v>
      </c>
      <c r="AA141" s="6">
        <f>Deals_Raw!AC141</f>
        <v>188070.23577121136</v>
      </c>
      <c r="AB141" s="6">
        <f>Deals_Raw!AD141</f>
        <v>281709.37160215899</v>
      </c>
      <c r="AC141" s="8">
        <f>Deals_Raw!AE141</f>
        <v>0.59966283589287994</v>
      </c>
      <c r="AD141" t="str">
        <f>Deals_Raw!AF141</f>
        <v>Won</v>
      </c>
      <c r="AE141">
        <f>Deals_Raw!AG141</f>
        <v>0</v>
      </c>
      <c r="AF141" t="str">
        <f>Deals_Raw!AH141</f>
        <v>Yes</v>
      </c>
      <c r="AG141" t="str">
        <f>Deals_Raw!AI141</f>
        <v>No</v>
      </c>
      <c r="AH141" s="6">
        <f>Deals_Raw!AJ141</f>
        <v>469779.60737337038</v>
      </c>
      <c r="AI141" s="6">
        <f>Deals_Raw!AK141</f>
        <v>281709.37160215899</v>
      </c>
      <c r="AJ141" t="str">
        <f>Deals_Raw!AL141</f>
        <v>Expansion allowed because contract was active</v>
      </c>
      <c r="AK141" s="9">
        <f t="shared" si="14"/>
        <v>6.5166666666666666</v>
      </c>
      <c r="AL141" s="8">
        <f t="shared" si="15"/>
        <v>0.88023098950871392</v>
      </c>
      <c r="AM141" s="8">
        <f t="shared" si="16"/>
        <v>0.03</v>
      </c>
      <c r="AN141" t="str">
        <f>IF(AC141&lt;Pricing_Policy!$C$10,"Below Floor","Pass")</f>
        <v>Pass</v>
      </c>
      <c r="AO141" t="str">
        <f>IF(V141&gt;Pricing_Policy!$C$7,"Exception","Standard")</f>
        <v>Standard</v>
      </c>
      <c r="AP141" t="str">
        <f t="shared" si="17"/>
        <v>Pass</v>
      </c>
      <c r="AQ141">
        <f t="shared" si="18"/>
        <v>1</v>
      </c>
      <c r="AR141" s="8">
        <f t="shared" si="19"/>
        <v>0.59966283589287994</v>
      </c>
      <c r="AS141">
        <f t="shared" si="20"/>
        <v>4</v>
      </c>
    </row>
    <row r="142" spans="1:45">
      <c r="A142" t="str">
        <f>Deals_Raw!A142</f>
        <v>D00159</v>
      </c>
      <c r="B142">
        <f>Deals_Raw!B142</f>
        <v>45979</v>
      </c>
      <c r="C142" t="str">
        <f>Deals_Raw!C142</f>
        <v>C0042</v>
      </c>
      <c r="D142" t="str">
        <f>Deals_Raw!D142</f>
        <v>TEC-0042</v>
      </c>
      <c r="E142" t="str">
        <f>Deals_Raw!E142</f>
        <v>CT00088</v>
      </c>
      <c r="F142" t="str">
        <f>Deals_Raw!F142</f>
        <v>Legal</v>
      </c>
      <c r="G142" t="str">
        <f>Deals_Raw!G142</f>
        <v>Technology</v>
      </c>
      <c r="H142" t="str">
        <f>Deals_Raw!H142</f>
        <v>West</v>
      </c>
      <c r="I142" t="str">
        <f>Deals_Raw!I142</f>
        <v>West Enterprise</v>
      </c>
      <c r="J142" t="str">
        <f>Deals_Raw!J142</f>
        <v>Enterprise</v>
      </c>
      <c r="K142" t="str">
        <f>Deals_Raw!K142</f>
        <v>No</v>
      </c>
      <c r="L142">
        <f>Deals_Raw!L142</f>
        <v>43435</v>
      </c>
      <c r="M142">
        <f>Deals_Raw!M142</f>
        <v>44</v>
      </c>
      <c r="N142" t="str">
        <f>Deals_Raw!N142</f>
        <v>Nexus Compliance</v>
      </c>
      <c r="O142" t="str">
        <f>Deals_Raw!O142</f>
        <v>Renewal</v>
      </c>
      <c r="P142">
        <f>Deals_Raw!P142</f>
        <v>0</v>
      </c>
      <c r="Q142">
        <f>Deals_Raw!Q142</f>
        <v>1</v>
      </c>
      <c r="R142">
        <f>Deals_Raw!R142</f>
        <v>2259</v>
      </c>
      <c r="S142" t="str">
        <f>Deals_Raw!S142</f>
        <v>D. Chen</v>
      </c>
      <c r="T142" s="6">
        <f>Deals_Raw!T142</f>
        <v>554030.22018407786</v>
      </c>
      <c r="U142" s="8">
        <f>Deals_Raw!V142</f>
        <v>0.153</v>
      </c>
      <c r="V142" s="8">
        <f>Deals_Raw!W142</f>
        <v>0.14199999999999999</v>
      </c>
      <c r="W142" s="8">
        <f>Deals_Raw!X142</f>
        <v>-6.0999999999999999E-2</v>
      </c>
      <c r="X142" t="str">
        <f>Deals_Raw!Y142</f>
        <v>Renewal retention risk</v>
      </c>
      <c r="Y142" t="str">
        <f>Deals_Raw!Z142</f>
        <v>Pricing Analyst</v>
      </c>
      <c r="Z142" s="6">
        <f>Deals_Raw!AA142</f>
        <v>475435.2548284799</v>
      </c>
      <c r="AA142" s="6">
        <f>Deals_Raw!AC142</f>
        <v>179437.53604562051</v>
      </c>
      <c r="AB142" s="6">
        <f>Deals_Raw!AD142</f>
        <v>295997.71878285939</v>
      </c>
      <c r="AC142" s="8">
        <f>Deals_Raw!AE142</f>
        <v>0.62258260357584294</v>
      </c>
      <c r="AD142" t="str">
        <f>Deals_Raw!AF142</f>
        <v>Won</v>
      </c>
      <c r="AE142" t="str">
        <f>Deals_Raw!AG142</f>
        <v>Yes</v>
      </c>
      <c r="AF142">
        <f>Deals_Raw!AH142</f>
        <v>0</v>
      </c>
      <c r="AG142" t="str">
        <f>Deals_Raw!AI142</f>
        <v>No</v>
      </c>
      <c r="AH142" s="6">
        <f>Deals_Raw!AJ142</f>
        <v>475435.2548284799</v>
      </c>
      <c r="AI142" s="6">
        <f>Deals_Raw!AK142</f>
        <v>295997.71878285939</v>
      </c>
      <c r="AJ142" t="str">
        <f>Deals_Raw!AL142</f>
        <v>Renewal of existing active contract</v>
      </c>
      <c r="AK142" s="9">
        <f t="shared" si="14"/>
        <v>6.9638888888888886</v>
      </c>
      <c r="AL142" s="8">
        <f t="shared" si="15"/>
        <v>0.85813956984244544</v>
      </c>
      <c r="AM142" s="8">
        <f t="shared" si="16"/>
        <v>1.100000000000001E-2</v>
      </c>
      <c r="AN142" t="str">
        <f>IF(AC142&lt;Pricing_Policy!$C$10,"Below Floor","Pass")</f>
        <v>Pass</v>
      </c>
      <c r="AO142" t="str">
        <f>IF(V142&gt;Pricing_Policy!$C$7,"Exception","Standard")</f>
        <v>Standard</v>
      </c>
      <c r="AP142" t="str">
        <f t="shared" si="17"/>
        <v>Pass</v>
      </c>
      <c r="AQ142">
        <f t="shared" si="18"/>
        <v>1</v>
      </c>
      <c r="AR142" s="8">
        <f t="shared" si="19"/>
        <v>0.62258260357584294</v>
      </c>
      <c r="AS142">
        <f t="shared" si="20"/>
        <v>4</v>
      </c>
    </row>
    <row r="143" spans="1:45">
      <c r="A143" t="str">
        <f>Deals_Raw!A143</f>
        <v>D00160</v>
      </c>
      <c r="B143">
        <f>Deals_Raw!B143</f>
        <v>45675</v>
      </c>
      <c r="C143" t="str">
        <f>Deals_Raw!C143</f>
        <v>C0043</v>
      </c>
      <c r="D143" t="str">
        <f>Deals_Raw!D143</f>
        <v>HEA-0043</v>
      </c>
      <c r="E143" t="str">
        <f>Deals_Raw!E143</f>
        <v>CT00089</v>
      </c>
      <c r="F143" t="str">
        <f>Deals_Raw!F143</f>
        <v>Operations</v>
      </c>
      <c r="G143" t="str">
        <f>Deals_Raw!G143</f>
        <v>Healthcare</v>
      </c>
      <c r="H143" t="str">
        <f>Deals_Raw!H143</f>
        <v>South</v>
      </c>
      <c r="I143" t="str">
        <f>Deals_Raw!I143</f>
        <v>South Commercial</v>
      </c>
      <c r="J143" t="str">
        <f>Deals_Raw!J143</f>
        <v>SMB</v>
      </c>
      <c r="K143" t="str">
        <f>Deals_Raw!K143</f>
        <v>No</v>
      </c>
      <c r="L143">
        <f>Deals_Raw!L143</f>
        <v>43556</v>
      </c>
      <c r="M143">
        <f>Deals_Raw!M143</f>
        <v>72</v>
      </c>
      <c r="N143" t="str">
        <f>Deals_Raw!N143</f>
        <v>Nexus Compliance</v>
      </c>
      <c r="O143" t="str">
        <f>Deals_Raw!O143</f>
        <v>New Business</v>
      </c>
      <c r="P143">
        <f>Deals_Raw!P143</f>
        <v>0</v>
      </c>
      <c r="Q143">
        <f>Deals_Raw!Q143</f>
        <v>2</v>
      </c>
      <c r="R143">
        <f>Deals_Raw!R143</f>
        <v>10</v>
      </c>
      <c r="S143" t="str">
        <f>Deals_Raw!S143</f>
        <v>A. Patel</v>
      </c>
      <c r="T143" s="6">
        <f>Deals_Raw!T143</f>
        <v>89280.842015537433</v>
      </c>
      <c r="U143" s="8">
        <f>Deals_Raw!V143</f>
        <v>0.113</v>
      </c>
      <c r="V143" s="8">
        <f>Deals_Raw!W143</f>
        <v>0.11</v>
      </c>
      <c r="W143" s="8">
        <f>Deals_Raw!X143</f>
        <v>1.7000000000000001E-2</v>
      </c>
      <c r="X143" t="str">
        <f>Deals_Raw!Y143</f>
        <v>Renewal retention risk</v>
      </c>
      <c r="Y143" t="str">
        <f>Deals_Raw!Z143</f>
        <v>Pricing Analyst</v>
      </c>
      <c r="Z143" s="6">
        <f>Deals_Raw!AA143</f>
        <v>79436.132357132883</v>
      </c>
      <c r="AA143" s="6">
        <f>Deals_Raw!AC143</f>
        <v>33894.787005956357</v>
      </c>
      <c r="AB143" s="6">
        <f>Deals_Raw!AD143</f>
        <v>45541.345351176526</v>
      </c>
      <c r="AC143" s="8">
        <f>Deals_Raw!AE143</f>
        <v>0.57330768757005313</v>
      </c>
      <c r="AD143" t="str">
        <f>Deals_Raw!AF143</f>
        <v>Won</v>
      </c>
      <c r="AE143">
        <f>Deals_Raw!AG143</f>
        <v>0</v>
      </c>
      <c r="AF143">
        <f>Deals_Raw!AH143</f>
        <v>0</v>
      </c>
      <c r="AG143" t="str">
        <f>Deals_Raw!AI143</f>
        <v>No</v>
      </c>
      <c r="AH143" s="6">
        <f>Deals_Raw!AJ143</f>
        <v>79436.132357132883</v>
      </c>
      <c r="AI143" s="6">
        <f>Deals_Raw!AK143</f>
        <v>45541.345351176526</v>
      </c>
      <c r="AJ143" t="str">
        <f>Deals_Raw!AL143</f>
        <v>First purchase under this contract</v>
      </c>
      <c r="AK143" s="9">
        <f t="shared" si="14"/>
        <v>5.7972222222222225</v>
      </c>
      <c r="AL143" s="8">
        <f t="shared" si="15"/>
        <v>0.88973323463177811</v>
      </c>
      <c r="AM143" s="8">
        <f t="shared" si="16"/>
        <v>3.0000000000000027E-3</v>
      </c>
      <c r="AN143" t="str">
        <f>IF(AC143&lt;Pricing_Policy!$C$10,"Below Floor","Pass")</f>
        <v>Pass</v>
      </c>
      <c r="AO143" t="str">
        <f>IF(V143&gt;Pricing_Policy!$C$7,"Exception","Standard")</f>
        <v>Standard</v>
      </c>
      <c r="AP143" t="str">
        <f t="shared" si="17"/>
        <v>Pass</v>
      </c>
      <c r="AQ143">
        <f t="shared" si="18"/>
        <v>1</v>
      </c>
      <c r="AR143" s="8">
        <f t="shared" si="19"/>
        <v>0.57330768757005313</v>
      </c>
      <c r="AS143">
        <f t="shared" si="20"/>
        <v>1</v>
      </c>
    </row>
    <row r="144" spans="1:45">
      <c r="A144" t="str">
        <f>Deals_Raw!A144</f>
        <v>D00162</v>
      </c>
      <c r="B144">
        <f>Deals_Raw!B144</f>
        <v>45352</v>
      </c>
      <c r="C144" t="str">
        <f>Deals_Raw!C144</f>
        <v>C0043</v>
      </c>
      <c r="D144" t="str">
        <f>Deals_Raw!D144</f>
        <v>HEA-0043</v>
      </c>
      <c r="E144" t="str">
        <f>Deals_Raw!E144</f>
        <v>CT00090</v>
      </c>
      <c r="F144" t="str">
        <f>Deals_Raw!F144</f>
        <v>Corporate</v>
      </c>
      <c r="G144" t="str">
        <f>Deals_Raw!G144</f>
        <v>Healthcare</v>
      </c>
      <c r="H144" t="str">
        <f>Deals_Raw!H144</f>
        <v>South</v>
      </c>
      <c r="I144" t="str">
        <f>Deals_Raw!I144</f>
        <v>South Commercial</v>
      </c>
      <c r="J144" t="str">
        <f>Deals_Raw!J144</f>
        <v>SMB</v>
      </c>
      <c r="K144" t="str">
        <f>Deals_Raw!K144</f>
        <v>No</v>
      </c>
      <c r="L144">
        <f>Deals_Raw!L144</f>
        <v>43556</v>
      </c>
      <c r="M144">
        <f>Deals_Raw!M144</f>
        <v>72</v>
      </c>
      <c r="N144" t="str">
        <f>Deals_Raw!N144</f>
        <v>Nexus Analytics</v>
      </c>
      <c r="O144" t="str">
        <f>Deals_Raw!O144</f>
        <v>Renewal</v>
      </c>
      <c r="P144">
        <f>Deals_Raw!P144</f>
        <v>0</v>
      </c>
      <c r="Q144">
        <f>Deals_Raw!Q144</f>
        <v>1</v>
      </c>
      <c r="R144">
        <f>Deals_Raw!R144</f>
        <v>68</v>
      </c>
      <c r="S144" t="str">
        <f>Deals_Raw!S144</f>
        <v>T. Brooks</v>
      </c>
      <c r="T144" s="6">
        <f>Deals_Raw!T144</f>
        <v>64003.257905411214</v>
      </c>
      <c r="U144" s="8">
        <f>Deals_Raw!V144</f>
        <v>0.17799999999999999</v>
      </c>
      <c r="V144" s="8">
        <f>Deals_Raw!W144</f>
        <v>0.17399999999999999</v>
      </c>
      <c r="W144" s="8">
        <f>Deals_Raw!X144</f>
        <v>1.6E-2</v>
      </c>
      <c r="X144" t="str">
        <f>Deals_Raw!Y144</f>
        <v>Budget constraint</v>
      </c>
      <c r="Y144" t="str">
        <f>Deals_Raw!Z144</f>
        <v>Pricing Analyst</v>
      </c>
      <c r="Z144" s="6">
        <f>Deals_Raw!AA144</f>
        <v>52839.142887158167</v>
      </c>
      <c r="AA144" s="6">
        <f>Deals_Raw!AC144</f>
        <v>21040.437116737852</v>
      </c>
      <c r="AB144" s="6">
        <f>Deals_Raw!AD144</f>
        <v>31798.705770420314</v>
      </c>
      <c r="AC144" s="8">
        <f>Deals_Raw!AE144</f>
        <v>0.60180207385893381</v>
      </c>
      <c r="AD144" t="str">
        <f>Deals_Raw!AF144</f>
        <v>Won</v>
      </c>
      <c r="AE144" t="str">
        <f>Deals_Raw!AG144</f>
        <v>Yes</v>
      </c>
      <c r="AF144">
        <f>Deals_Raw!AH144</f>
        <v>0</v>
      </c>
      <c r="AG144" t="str">
        <f>Deals_Raw!AI144</f>
        <v>No</v>
      </c>
      <c r="AH144" s="6">
        <f>Deals_Raw!AJ144</f>
        <v>52839.142887158167</v>
      </c>
      <c r="AI144" s="6">
        <f>Deals_Raw!AK144</f>
        <v>31798.705770420314</v>
      </c>
      <c r="AJ144" t="str">
        <f>Deals_Raw!AL144</f>
        <v>Renewal of existing active contract</v>
      </c>
      <c r="AK144" s="9">
        <f t="shared" si="14"/>
        <v>4.916666666666667</v>
      </c>
      <c r="AL144" s="8">
        <f t="shared" si="15"/>
        <v>0.82556958218045384</v>
      </c>
      <c r="AM144" s="8">
        <f t="shared" si="16"/>
        <v>4.0000000000000036E-3</v>
      </c>
      <c r="AN144" t="str">
        <f>IF(AC144&lt;Pricing_Policy!$C$10,"Below Floor","Pass")</f>
        <v>Pass</v>
      </c>
      <c r="AO144" t="str">
        <f>IF(V144&gt;Pricing_Policy!$C$7,"Exception","Standard")</f>
        <v>Standard</v>
      </c>
      <c r="AP144" t="str">
        <f t="shared" si="17"/>
        <v>Pass</v>
      </c>
      <c r="AQ144">
        <f t="shared" si="18"/>
        <v>1</v>
      </c>
      <c r="AR144" s="8">
        <f t="shared" si="19"/>
        <v>0.60180207385893381</v>
      </c>
      <c r="AS144">
        <f t="shared" si="20"/>
        <v>2</v>
      </c>
    </row>
    <row r="145" spans="1:45">
      <c r="A145" t="str">
        <f>Deals_Raw!A145</f>
        <v>D00163</v>
      </c>
      <c r="B145">
        <f>Deals_Raw!B145</f>
        <v>45717</v>
      </c>
      <c r="C145" t="str">
        <f>Deals_Raw!C145</f>
        <v>C0043</v>
      </c>
      <c r="D145" t="str">
        <f>Deals_Raw!D145</f>
        <v>HEA-0043</v>
      </c>
      <c r="E145" t="str">
        <f>Deals_Raw!E145</f>
        <v>CT00090</v>
      </c>
      <c r="F145" t="str">
        <f>Deals_Raw!F145</f>
        <v>Corporate</v>
      </c>
      <c r="G145" t="str">
        <f>Deals_Raw!G145</f>
        <v>Healthcare</v>
      </c>
      <c r="H145" t="str">
        <f>Deals_Raw!H145</f>
        <v>South</v>
      </c>
      <c r="I145" t="str">
        <f>Deals_Raw!I145</f>
        <v>South Commercial</v>
      </c>
      <c r="J145" t="str">
        <f>Deals_Raw!J145</f>
        <v>SMB</v>
      </c>
      <c r="K145" t="str">
        <f>Deals_Raw!K145</f>
        <v>No</v>
      </c>
      <c r="L145">
        <f>Deals_Raw!L145</f>
        <v>43556</v>
      </c>
      <c r="M145">
        <f>Deals_Raw!M145</f>
        <v>72</v>
      </c>
      <c r="N145" t="str">
        <f>Deals_Raw!N145</f>
        <v>Nexus Analytics</v>
      </c>
      <c r="O145" t="str">
        <f>Deals_Raw!O145</f>
        <v>Renewal</v>
      </c>
      <c r="P145">
        <f>Deals_Raw!P145</f>
        <v>0</v>
      </c>
      <c r="Q145">
        <f>Deals_Raw!Q145</f>
        <v>1</v>
      </c>
      <c r="R145">
        <f>Deals_Raw!R145</f>
        <v>68</v>
      </c>
      <c r="S145" t="str">
        <f>Deals_Raw!S145</f>
        <v>A. Patel</v>
      </c>
      <c r="T145" s="6">
        <f>Deals_Raw!T145</f>
        <v>68642.180668351953</v>
      </c>
      <c r="U145" s="8">
        <f>Deals_Raw!V145</f>
        <v>0.17</v>
      </c>
      <c r="V145" s="8">
        <f>Deals_Raw!W145</f>
        <v>0.158</v>
      </c>
      <c r="W145" s="8">
        <f>Deals_Raw!X145</f>
        <v>-3.5999999999999997E-2</v>
      </c>
      <c r="X145" t="str">
        <f>Deals_Raw!Y145</f>
        <v>Verified competitor pressure</v>
      </c>
      <c r="Y145" t="str">
        <f>Deals_Raw!Z145</f>
        <v>Pricing Analyst</v>
      </c>
      <c r="Z145" s="6">
        <f>Deals_Raw!AA145</f>
        <v>57781.338392621685</v>
      </c>
      <c r="AA145" s="6">
        <f>Deals_Raw!AC145</f>
        <v>19330.632107735692</v>
      </c>
      <c r="AB145" s="6">
        <f>Deals_Raw!AD145</f>
        <v>38450.706284885993</v>
      </c>
      <c r="AC145" s="8">
        <f>Deals_Raw!AE145</f>
        <v>0.66545198423087948</v>
      </c>
      <c r="AD145" t="str">
        <f>Deals_Raw!AF145</f>
        <v>Won</v>
      </c>
      <c r="AE145" t="str">
        <f>Deals_Raw!AG145</f>
        <v>Yes</v>
      </c>
      <c r="AF145">
        <f>Deals_Raw!AH145</f>
        <v>0</v>
      </c>
      <c r="AG145" t="str">
        <f>Deals_Raw!AI145</f>
        <v>No</v>
      </c>
      <c r="AH145" s="6">
        <f>Deals_Raw!AJ145</f>
        <v>57781.338392621685</v>
      </c>
      <c r="AI145" s="6">
        <f>Deals_Raw!AK145</f>
        <v>38450.706284885993</v>
      </c>
      <c r="AJ145" t="str">
        <f>Deals_Raw!AL145</f>
        <v>Renewal of existing active contract</v>
      </c>
      <c r="AK145" s="9">
        <f t="shared" si="14"/>
        <v>5.916666666666667</v>
      </c>
      <c r="AL145" s="8">
        <f t="shared" si="15"/>
        <v>0.84177597258739556</v>
      </c>
      <c r="AM145" s="8">
        <f t="shared" si="16"/>
        <v>1.2000000000000011E-2</v>
      </c>
      <c r="AN145" t="str">
        <f>IF(AC145&lt;Pricing_Policy!$C$10,"Below Floor","Pass")</f>
        <v>Pass</v>
      </c>
      <c r="AO145" t="str">
        <f>IF(V145&gt;Pricing_Policy!$C$7,"Exception","Standard")</f>
        <v>Standard</v>
      </c>
      <c r="AP145" t="str">
        <f t="shared" si="17"/>
        <v>Pass</v>
      </c>
      <c r="AQ145">
        <f t="shared" si="18"/>
        <v>1</v>
      </c>
      <c r="AR145" s="8">
        <f t="shared" si="19"/>
        <v>0.66545198423087948</v>
      </c>
      <c r="AS145">
        <f t="shared" si="20"/>
        <v>2</v>
      </c>
    </row>
    <row r="146" spans="1:45">
      <c r="A146" t="str">
        <f>Deals_Raw!A146</f>
        <v>D00164</v>
      </c>
      <c r="B146">
        <f>Deals_Raw!B146</f>
        <v>45476</v>
      </c>
      <c r="C146" t="str">
        <f>Deals_Raw!C146</f>
        <v>C0044</v>
      </c>
      <c r="D146" t="str">
        <f>Deals_Raw!D146</f>
        <v>TEC-0044</v>
      </c>
      <c r="E146" t="str">
        <f>Deals_Raw!E146</f>
        <v>CT00091</v>
      </c>
      <c r="F146" t="str">
        <f>Deals_Raw!F146</f>
        <v>Finance</v>
      </c>
      <c r="G146" t="str">
        <f>Deals_Raw!G146</f>
        <v>Technology</v>
      </c>
      <c r="H146" t="str">
        <f>Deals_Raw!H146</f>
        <v>Northeast</v>
      </c>
      <c r="I146" t="str">
        <f>Deals_Raw!I146</f>
        <v>Northeast Enterprise</v>
      </c>
      <c r="J146" t="str">
        <f>Deals_Raw!J146</f>
        <v>Enterprise</v>
      </c>
      <c r="K146" t="str">
        <f>Deals_Raw!K146</f>
        <v>Yes</v>
      </c>
      <c r="L146">
        <f>Deals_Raw!L146</f>
        <v>45170</v>
      </c>
      <c r="M146">
        <f>Deals_Raw!M146</f>
        <v>72</v>
      </c>
      <c r="N146" t="str">
        <f>Deals_Raw!N146</f>
        <v>Nexus Compliance</v>
      </c>
      <c r="O146" t="str">
        <f>Deals_Raw!O146</f>
        <v>New Business</v>
      </c>
      <c r="P146">
        <f>Deals_Raw!P146</f>
        <v>0</v>
      </c>
      <c r="Q146">
        <f>Deals_Raw!Q146</f>
        <v>1</v>
      </c>
      <c r="R146">
        <f>Deals_Raw!R146</f>
        <v>1109</v>
      </c>
      <c r="S146" t="str">
        <f>Deals_Raw!S146</f>
        <v>T. Brooks</v>
      </c>
      <c r="T146" s="6">
        <f>Deals_Raw!T146</f>
        <v>397907.78840651119</v>
      </c>
      <c r="U146" s="8">
        <f>Deals_Raw!V146</f>
        <v>0.17</v>
      </c>
      <c r="V146" s="8">
        <f>Deals_Raw!W146</f>
        <v>0.16200000000000001</v>
      </c>
      <c r="W146" s="8">
        <f>Deals_Raw!X146</f>
        <v>-1.2999999999999999E-2</v>
      </c>
      <c r="X146" t="str">
        <f>Deals_Raw!Y146</f>
        <v>Renewal retention risk</v>
      </c>
      <c r="Y146" t="str">
        <f>Deals_Raw!Z146</f>
        <v>Pricing Analyst</v>
      </c>
      <c r="Z146" s="6">
        <f>Deals_Raw!AA146</f>
        <v>333273.69920743624</v>
      </c>
      <c r="AA146" s="6">
        <f>Deals_Raw!AC146</f>
        <v>154807.87497431217</v>
      </c>
      <c r="AB146" s="6">
        <f>Deals_Raw!AD146</f>
        <v>178465.82423312406</v>
      </c>
      <c r="AC146" s="8">
        <f>Deals_Raw!AE146</f>
        <v>0.53549327371927824</v>
      </c>
      <c r="AD146" t="str">
        <f>Deals_Raw!AF146</f>
        <v>Won</v>
      </c>
      <c r="AE146">
        <f>Deals_Raw!AG146</f>
        <v>0</v>
      </c>
      <c r="AF146">
        <f>Deals_Raw!AH146</f>
        <v>0</v>
      </c>
      <c r="AG146" t="str">
        <f>Deals_Raw!AI146</f>
        <v>No</v>
      </c>
      <c r="AH146" s="6">
        <f>Deals_Raw!AJ146</f>
        <v>333273.69920743624</v>
      </c>
      <c r="AI146" s="6">
        <f>Deals_Raw!AK146</f>
        <v>178465.82423312406</v>
      </c>
      <c r="AJ146" t="str">
        <f>Deals_Raw!AL146</f>
        <v>First purchase under this contract</v>
      </c>
      <c r="AK146" s="9">
        <f t="shared" si="14"/>
        <v>0.83888888888888891</v>
      </c>
      <c r="AL146" s="8">
        <f t="shared" si="15"/>
        <v>0.83756515684723576</v>
      </c>
      <c r="AM146" s="8">
        <f t="shared" si="16"/>
        <v>8.0000000000000071E-3</v>
      </c>
      <c r="AN146" t="str">
        <f>IF(AC146&lt;Pricing_Policy!$C$10,"Below Floor","Pass")</f>
        <v>Pass</v>
      </c>
      <c r="AO146" t="str">
        <f>IF(V146&gt;Pricing_Policy!$C$7,"Exception","Standard")</f>
        <v>Standard</v>
      </c>
      <c r="AP146" t="str">
        <f t="shared" si="17"/>
        <v>Pass</v>
      </c>
      <c r="AQ146">
        <f t="shared" si="18"/>
        <v>1</v>
      </c>
      <c r="AR146" s="8">
        <f t="shared" si="19"/>
        <v>0.53549327371927824</v>
      </c>
      <c r="AS146">
        <f t="shared" si="20"/>
        <v>3</v>
      </c>
    </row>
    <row r="147" spans="1:45">
      <c r="A147" t="str">
        <f>Deals_Raw!A147</f>
        <v>D00165</v>
      </c>
      <c r="B147">
        <f>Deals_Raw!B147</f>
        <v>45841</v>
      </c>
      <c r="C147" t="str">
        <f>Deals_Raw!C147</f>
        <v>C0044</v>
      </c>
      <c r="D147" t="str">
        <f>Deals_Raw!D147</f>
        <v>TEC-0044</v>
      </c>
      <c r="E147" t="str">
        <f>Deals_Raw!E147</f>
        <v>CT00091</v>
      </c>
      <c r="F147" t="str">
        <f>Deals_Raw!F147</f>
        <v>Finance</v>
      </c>
      <c r="G147" t="str">
        <f>Deals_Raw!G147</f>
        <v>Technology</v>
      </c>
      <c r="H147" t="str">
        <f>Deals_Raw!H147</f>
        <v>Northeast</v>
      </c>
      <c r="I147" t="str">
        <f>Deals_Raw!I147</f>
        <v>Northeast Enterprise</v>
      </c>
      <c r="J147" t="str">
        <f>Deals_Raw!J147</f>
        <v>Enterprise</v>
      </c>
      <c r="K147" t="str">
        <f>Deals_Raw!K147</f>
        <v>Yes</v>
      </c>
      <c r="L147">
        <f>Deals_Raw!L147</f>
        <v>45170</v>
      </c>
      <c r="M147">
        <f>Deals_Raw!M147</f>
        <v>72</v>
      </c>
      <c r="N147" t="str">
        <f>Deals_Raw!N147</f>
        <v>Nexus Compliance</v>
      </c>
      <c r="O147" t="str">
        <f>Deals_Raw!O147</f>
        <v>Renewal</v>
      </c>
      <c r="P147">
        <f>Deals_Raw!P147</f>
        <v>0</v>
      </c>
      <c r="Q147">
        <f>Deals_Raw!Q147</f>
        <v>1</v>
      </c>
      <c r="R147">
        <f>Deals_Raw!R147</f>
        <v>1109</v>
      </c>
      <c r="S147" t="str">
        <f>Deals_Raw!S147</f>
        <v>T. Brooks</v>
      </c>
      <c r="T147" s="6">
        <f>Deals_Raw!T147</f>
        <v>423336.29560979013</v>
      </c>
      <c r="U147" s="8">
        <f>Deals_Raw!V147</f>
        <v>0.20100000000000001</v>
      </c>
      <c r="V147" s="8">
        <f>Deals_Raw!W147</f>
        <v>0.16700000000000001</v>
      </c>
      <c r="W147" s="8">
        <f>Deals_Raw!X147</f>
        <v>-0.13400000000000001</v>
      </c>
      <c r="X147" t="str">
        <f>Deals_Raw!Y147</f>
        <v>Volume purchase</v>
      </c>
      <c r="Y147" t="str">
        <f>Deals_Raw!Z147</f>
        <v>Pricing Analyst</v>
      </c>
      <c r="Z147" s="6">
        <f>Deals_Raw!AA147</f>
        <v>352577.77873484162</v>
      </c>
      <c r="AA147" s="6">
        <f>Deals_Raw!AC147</f>
        <v>145914.18268039683</v>
      </c>
      <c r="AB147" s="6">
        <f>Deals_Raw!AD147</f>
        <v>206663.59605444479</v>
      </c>
      <c r="AC147" s="8">
        <f>Deals_Raw!AE147</f>
        <v>0.58615037168824946</v>
      </c>
      <c r="AD147" t="str">
        <f>Deals_Raw!AF147</f>
        <v>Won</v>
      </c>
      <c r="AE147" t="str">
        <f>Deals_Raw!AG147</f>
        <v>Yes</v>
      </c>
      <c r="AF147">
        <f>Deals_Raw!AH147</f>
        <v>0</v>
      </c>
      <c r="AG147" t="str">
        <f>Deals_Raw!AI147</f>
        <v>No</v>
      </c>
      <c r="AH147" s="6">
        <f>Deals_Raw!AJ147</f>
        <v>352577.77873484162</v>
      </c>
      <c r="AI147" s="6">
        <f>Deals_Raw!AK147</f>
        <v>206663.59605444479</v>
      </c>
      <c r="AJ147" t="str">
        <f>Deals_Raw!AL147</f>
        <v>Renewal of existing active contract</v>
      </c>
      <c r="AK147" s="9">
        <f t="shared" si="14"/>
        <v>1.8388888888888888</v>
      </c>
      <c r="AL147" s="8">
        <f t="shared" si="15"/>
        <v>0.83285506674303655</v>
      </c>
      <c r="AM147" s="8">
        <f t="shared" si="16"/>
        <v>3.4000000000000002E-2</v>
      </c>
      <c r="AN147" t="str">
        <f>IF(AC147&lt;Pricing_Policy!$C$10,"Below Floor","Pass")</f>
        <v>Pass</v>
      </c>
      <c r="AO147" t="str">
        <f>IF(V147&gt;Pricing_Policy!$C$7,"Exception","Standard")</f>
        <v>Standard</v>
      </c>
      <c r="AP147" t="str">
        <f t="shared" si="17"/>
        <v>Pass</v>
      </c>
      <c r="AQ147">
        <f t="shared" si="18"/>
        <v>1</v>
      </c>
      <c r="AR147" s="8">
        <f t="shared" si="19"/>
        <v>0.58615037168824946</v>
      </c>
      <c r="AS147">
        <f t="shared" si="20"/>
        <v>3</v>
      </c>
    </row>
    <row r="148" spans="1:45">
      <c r="A148" t="str">
        <f>Deals_Raw!A148</f>
        <v>D00166</v>
      </c>
      <c r="B148">
        <f>Deals_Raw!B148</f>
        <v>45527</v>
      </c>
      <c r="C148" t="str">
        <f>Deals_Raw!C148</f>
        <v>C0044</v>
      </c>
      <c r="D148" t="str">
        <f>Deals_Raw!D148</f>
        <v>TEC-0044</v>
      </c>
      <c r="E148" t="str">
        <f>Deals_Raw!E148</f>
        <v>CT00092</v>
      </c>
      <c r="F148" t="str">
        <f>Deals_Raw!F148</f>
        <v>Technology</v>
      </c>
      <c r="G148" t="str">
        <f>Deals_Raw!G148</f>
        <v>Technology</v>
      </c>
      <c r="H148" t="str">
        <f>Deals_Raw!H148</f>
        <v>Northeast</v>
      </c>
      <c r="I148" t="str">
        <f>Deals_Raw!I148</f>
        <v>Northeast Enterprise</v>
      </c>
      <c r="J148" t="str">
        <f>Deals_Raw!J148</f>
        <v>Enterprise</v>
      </c>
      <c r="K148" t="str">
        <f>Deals_Raw!K148</f>
        <v>Yes</v>
      </c>
      <c r="L148">
        <f>Deals_Raw!L148</f>
        <v>45170</v>
      </c>
      <c r="M148">
        <f>Deals_Raw!M148</f>
        <v>72</v>
      </c>
      <c r="N148" t="str">
        <f>Deals_Raw!N148</f>
        <v>Nexus Analytics</v>
      </c>
      <c r="O148" t="str">
        <f>Deals_Raw!O148</f>
        <v>New Business</v>
      </c>
      <c r="P148">
        <f>Deals_Raw!P148</f>
        <v>0</v>
      </c>
      <c r="Q148">
        <f>Deals_Raw!Q148</f>
        <v>1</v>
      </c>
      <c r="R148">
        <f>Deals_Raw!R148</f>
        <v>601</v>
      </c>
      <c r="S148" t="str">
        <f>Deals_Raw!S148</f>
        <v>S. Rivera</v>
      </c>
      <c r="T148" s="6">
        <f>Deals_Raw!T148</f>
        <v>285663.61273304751</v>
      </c>
      <c r="U148" s="8">
        <f>Deals_Raw!V148</f>
        <v>0.16</v>
      </c>
      <c r="V148" s="8">
        <f>Deals_Raw!W148</f>
        <v>0.112</v>
      </c>
      <c r="W148" s="8">
        <f>Deals_Raw!X148</f>
        <v>-0.02</v>
      </c>
      <c r="X148" t="str">
        <f>Deals_Raw!Y148</f>
        <v>Expansion opportunity</v>
      </c>
      <c r="Y148" t="str">
        <f>Deals_Raw!Z148</f>
        <v>Pricing Analyst</v>
      </c>
      <c r="Z148" s="6">
        <f>Deals_Raw!AA148</f>
        <v>253600.26197138737</v>
      </c>
      <c r="AA148" s="6">
        <f>Deals_Raw!AC148</f>
        <v>104577.26266673309</v>
      </c>
      <c r="AB148" s="6">
        <f>Deals_Raw!AD148</f>
        <v>149022.99930465428</v>
      </c>
      <c r="AC148" s="8">
        <f>Deals_Raw!AE148</f>
        <v>0.58762951641378003</v>
      </c>
      <c r="AD148" t="str">
        <f>Deals_Raw!AF148</f>
        <v>Won</v>
      </c>
      <c r="AE148">
        <f>Deals_Raw!AG148</f>
        <v>0</v>
      </c>
      <c r="AF148">
        <f>Deals_Raw!AH148</f>
        <v>0</v>
      </c>
      <c r="AG148" t="str">
        <f>Deals_Raw!AI148</f>
        <v>No</v>
      </c>
      <c r="AH148" s="6">
        <f>Deals_Raw!AJ148</f>
        <v>253600.26197138737</v>
      </c>
      <c r="AI148" s="6">
        <f>Deals_Raw!AK148</f>
        <v>149022.99930465428</v>
      </c>
      <c r="AJ148" t="str">
        <f>Deals_Raw!AL148</f>
        <v>First purchase under this contract</v>
      </c>
      <c r="AK148" s="9">
        <f t="shared" si="14"/>
        <v>0.97777777777777775</v>
      </c>
      <c r="AL148" s="8">
        <f t="shared" si="15"/>
        <v>0.88775836567038269</v>
      </c>
      <c r="AM148" s="8">
        <f t="shared" si="16"/>
        <v>4.8000000000000001E-2</v>
      </c>
      <c r="AN148" t="str">
        <f>IF(AC148&lt;Pricing_Policy!$C$10,"Below Floor","Pass")</f>
        <v>Pass</v>
      </c>
      <c r="AO148" t="str">
        <f>IF(V148&gt;Pricing_Policy!$C$7,"Exception","Standard")</f>
        <v>Standard</v>
      </c>
      <c r="AP148" t="str">
        <f t="shared" si="17"/>
        <v>Pass</v>
      </c>
      <c r="AQ148">
        <f t="shared" si="18"/>
        <v>1</v>
      </c>
      <c r="AR148" s="8">
        <f t="shared" si="19"/>
        <v>0.58762951641378003</v>
      </c>
      <c r="AS148">
        <f t="shared" si="20"/>
        <v>3</v>
      </c>
    </row>
    <row r="149" spans="1:45">
      <c r="A149" t="str">
        <f>Deals_Raw!A149</f>
        <v>D00167</v>
      </c>
      <c r="B149">
        <f>Deals_Raw!B149</f>
        <v>45707</v>
      </c>
      <c r="C149" t="str">
        <f>Deals_Raw!C149</f>
        <v>C0044</v>
      </c>
      <c r="D149" t="str">
        <f>Deals_Raw!D149</f>
        <v>TEC-0044</v>
      </c>
      <c r="E149" t="str">
        <f>Deals_Raw!E149</f>
        <v>CT00092</v>
      </c>
      <c r="F149" t="str">
        <f>Deals_Raw!F149</f>
        <v>Technology</v>
      </c>
      <c r="G149" t="str">
        <f>Deals_Raw!G149</f>
        <v>Technology</v>
      </c>
      <c r="H149" t="str">
        <f>Deals_Raw!H149</f>
        <v>Northeast</v>
      </c>
      <c r="I149" t="str">
        <f>Deals_Raw!I149</f>
        <v>Northeast Enterprise</v>
      </c>
      <c r="J149" t="str">
        <f>Deals_Raw!J149</f>
        <v>Enterprise</v>
      </c>
      <c r="K149" t="str">
        <f>Deals_Raw!K149</f>
        <v>Yes</v>
      </c>
      <c r="L149">
        <f>Deals_Raw!L149</f>
        <v>45170</v>
      </c>
      <c r="M149">
        <f>Deals_Raw!M149</f>
        <v>72</v>
      </c>
      <c r="N149" t="str">
        <f>Deals_Raw!N149</f>
        <v>Nexus Analytics</v>
      </c>
      <c r="O149" t="str">
        <f>Deals_Raw!O149</f>
        <v>Expansion</v>
      </c>
      <c r="P149" t="str">
        <f>Deals_Raw!P149</f>
        <v>Enterprise Upgrade</v>
      </c>
      <c r="Q149">
        <f>Deals_Raw!Q149</f>
        <v>1</v>
      </c>
      <c r="R149">
        <f>Deals_Raw!R149</f>
        <v>792</v>
      </c>
      <c r="S149" t="str">
        <f>Deals_Raw!S149</f>
        <v>A. Patel</v>
      </c>
      <c r="T149" s="6">
        <f>Deals_Raw!T149</f>
        <v>353521.3188171307</v>
      </c>
      <c r="U149" s="8">
        <f>Deals_Raw!V149</f>
        <v>8.7999999999999995E-2</v>
      </c>
      <c r="V149" s="8">
        <f>Deals_Raw!W149</f>
        <v>6.8000000000000005E-2</v>
      </c>
      <c r="W149" s="8">
        <f>Deals_Raw!X149</f>
        <v>-1.2999999999999999E-2</v>
      </c>
      <c r="X149" t="str">
        <f>Deals_Raw!Y149</f>
        <v>Expansion opportunity</v>
      </c>
      <c r="Y149" t="str">
        <f>Deals_Raw!Z149</f>
        <v>Sales Manager</v>
      </c>
      <c r="Z149" s="6">
        <f>Deals_Raw!AA149</f>
        <v>329405.46771228081</v>
      </c>
      <c r="AA149" s="6">
        <f>Deals_Raw!AC149</f>
        <v>112024.62254620665</v>
      </c>
      <c r="AB149" s="6">
        <f>Deals_Raw!AD149</f>
        <v>217380.84516607417</v>
      </c>
      <c r="AC149" s="8">
        <f>Deals_Raw!AE149</f>
        <v>0.65991875203463668</v>
      </c>
      <c r="AD149" t="str">
        <f>Deals_Raw!AF149</f>
        <v>Lost</v>
      </c>
      <c r="AE149">
        <f>Deals_Raw!AG149</f>
        <v>0</v>
      </c>
      <c r="AF149" t="str">
        <f>Deals_Raw!AH149</f>
        <v>No</v>
      </c>
      <c r="AG149" t="str">
        <f>Deals_Raw!AI149</f>
        <v>No</v>
      </c>
      <c r="AH149" s="6">
        <f>Deals_Raw!AJ149</f>
        <v>0</v>
      </c>
      <c r="AI149" s="6">
        <f>Deals_Raw!AK149</f>
        <v>0</v>
      </c>
      <c r="AJ149" t="str">
        <f>Deals_Raw!AL149</f>
        <v>Expansion allowed because contract was active</v>
      </c>
      <c r="AK149" s="9">
        <f t="shared" si="14"/>
        <v>1.4666666666666666</v>
      </c>
      <c r="AL149" s="8">
        <f t="shared" si="15"/>
        <v>0.93178388453194094</v>
      </c>
      <c r="AM149" s="8">
        <f t="shared" si="16"/>
        <v>1.999999999999999E-2</v>
      </c>
      <c r="AN149" t="str">
        <f>IF(AC149&lt;Pricing_Policy!$C$10,"Below Floor","Pass")</f>
        <v>Pass</v>
      </c>
      <c r="AO149" t="str">
        <f>IF(V149&gt;Pricing_Policy!$C$7,"Exception","Standard")</f>
        <v>Standard</v>
      </c>
      <c r="AP149" t="str">
        <f t="shared" si="17"/>
        <v>Pass</v>
      </c>
      <c r="AQ149">
        <f t="shared" si="18"/>
        <v>0</v>
      </c>
      <c r="AR149" s="8">
        <f t="shared" si="19"/>
        <v>0</v>
      </c>
      <c r="AS149">
        <f t="shared" si="20"/>
        <v>3</v>
      </c>
    </row>
    <row r="150" spans="1:45">
      <c r="A150" t="str">
        <f>Deals_Raw!A150</f>
        <v>D00168</v>
      </c>
      <c r="B150">
        <f>Deals_Raw!B150</f>
        <v>45892</v>
      </c>
      <c r="C150" t="str">
        <f>Deals_Raw!C150</f>
        <v>C0044</v>
      </c>
      <c r="D150" t="str">
        <f>Deals_Raw!D150</f>
        <v>TEC-0044</v>
      </c>
      <c r="E150" t="str">
        <f>Deals_Raw!E150</f>
        <v>CT00092</v>
      </c>
      <c r="F150" t="str">
        <f>Deals_Raw!F150</f>
        <v>Technology</v>
      </c>
      <c r="G150" t="str">
        <f>Deals_Raw!G150</f>
        <v>Technology</v>
      </c>
      <c r="H150" t="str">
        <f>Deals_Raw!H150</f>
        <v>Northeast</v>
      </c>
      <c r="I150" t="str">
        <f>Deals_Raw!I150</f>
        <v>Northeast Enterprise</v>
      </c>
      <c r="J150" t="str">
        <f>Deals_Raw!J150</f>
        <v>Enterprise</v>
      </c>
      <c r="K150" t="str">
        <f>Deals_Raw!K150</f>
        <v>Yes</v>
      </c>
      <c r="L150">
        <f>Deals_Raw!L150</f>
        <v>45170</v>
      </c>
      <c r="M150">
        <f>Deals_Raw!M150</f>
        <v>72</v>
      </c>
      <c r="N150" t="str">
        <f>Deals_Raw!N150</f>
        <v>Nexus Analytics</v>
      </c>
      <c r="O150" t="str">
        <f>Deals_Raw!O150</f>
        <v>Renewal</v>
      </c>
      <c r="P150">
        <f>Deals_Raw!P150</f>
        <v>0</v>
      </c>
      <c r="Q150">
        <f>Deals_Raw!Q150</f>
        <v>1</v>
      </c>
      <c r="R150">
        <f>Deals_Raw!R150</f>
        <v>601</v>
      </c>
      <c r="S150" t="str">
        <f>Deals_Raw!S150</f>
        <v>M. Johnson</v>
      </c>
      <c r="T150" s="6">
        <f>Deals_Raw!T150</f>
        <v>294100.67141326866</v>
      </c>
      <c r="U150" s="8">
        <f>Deals_Raw!V150</f>
        <v>0.17699999999999999</v>
      </c>
      <c r="V150" s="8">
        <f>Deals_Raw!W150</f>
        <v>0.17100000000000001</v>
      </c>
      <c r="W150" s="8">
        <f>Deals_Raw!X150</f>
        <v>1.7000000000000001E-2</v>
      </c>
      <c r="X150" t="str">
        <f>Deals_Raw!Y150</f>
        <v>Renewal retention risk</v>
      </c>
      <c r="Y150" t="str">
        <f>Deals_Raw!Z150</f>
        <v>Pricing Analyst</v>
      </c>
      <c r="Z150" s="6">
        <f>Deals_Raw!AA150</f>
        <v>243840.33623266581</v>
      </c>
      <c r="AA150" s="6">
        <f>Deals_Raw!AC150</f>
        <v>86620.214776490713</v>
      </c>
      <c r="AB150" s="6">
        <f>Deals_Raw!AD150</f>
        <v>157220.12145617511</v>
      </c>
      <c r="AC150" s="8">
        <f>Deals_Raw!AE150</f>
        <v>0.6447666693920564</v>
      </c>
      <c r="AD150" t="str">
        <f>Deals_Raw!AF150</f>
        <v>Won</v>
      </c>
      <c r="AE150" t="str">
        <f>Deals_Raw!AG150</f>
        <v>Yes</v>
      </c>
      <c r="AF150">
        <f>Deals_Raw!AH150</f>
        <v>0</v>
      </c>
      <c r="AG150" t="str">
        <f>Deals_Raw!AI150</f>
        <v>No</v>
      </c>
      <c r="AH150" s="6">
        <f>Deals_Raw!AJ150</f>
        <v>243840.33623266581</v>
      </c>
      <c r="AI150" s="6">
        <f>Deals_Raw!AK150</f>
        <v>157220.12145617511</v>
      </c>
      <c r="AJ150" t="str">
        <f>Deals_Raw!AL150</f>
        <v>Renewal of existing active contract</v>
      </c>
      <c r="AK150" s="9">
        <f t="shared" si="14"/>
        <v>1.9777777777777779</v>
      </c>
      <c r="AL150" s="8">
        <f t="shared" si="15"/>
        <v>0.82910499680574579</v>
      </c>
      <c r="AM150" s="8">
        <f t="shared" si="16"/>
        <v>5.9999999999999776E-3</v>
      </c>
      <c r="AN150" t="str">
        <f>IF(AC150&lt;Pricing_Policy!$C$10,"Below Floor","Pass")</f>
        <v>Pass</v>
      </c>
      <c r="AO150" t="str">
        <f>IF(V150&gt;Pricing_Policy!$C$7,"Exception","Standard")</f>
        <v>Standard</v>
      </c>
      <c r="AP150" t="str">
        <f t="shared" si="17"/>
        <v>Pass</v>
      </c>
      <c r="AQ150">
        <f t="shared" si="18"/>
        <v>1</v>
      </c>
      <c r="AR150" s="8">
        <f t="shared" si="19"/>
        <v>0.6447666693920564</v>
      </c>
      <c r="AS150">
        <f t="shared" si="20"/>
        <v>3</v>
      </c>
    </row>
    <row r="151" spans="1:45">
      <c r="A151" t="str">
        <f>Deals_Raw!A151</f>
        <v>D00169</v>
      </c>
      <c r="B151">
        <f>Deals_Raw!B151</f>
        <v>45385</v>
      </c>
      <c r="C151" t="str">
        <f>Deals_Raw!C151</f>
        <v>C0044</v>
      </c>
      <c r="D151" t="str">
        <f>Deals_Raw!D151</f>
        <v>TEC-0044</v>
      </c>
      <c r="E151" t="str">
        <f>Deals_Raw!E151</f>
        <v>CT00093</v>
      </c>
      <c r="F151" t="str">
        <f>Deals_Raw!F151</f>
        <v>Sales</v>
      </c>
      <c r="G151" t="str">
        <f>Deals_Raw!G151</f>
        <v>Technology</v>
      </c>
      <c r="H151" t="str">
        <f>Deals_Raw!H151</f>
        <v>Northeast</v>
      </c>
      <c r="I151" t="str">
        <f>Deals_Raw!I151</f>
        <v>Northeast Enterprise</v>
      </c>
      <c r="J151" t="str">
        <f>Deals_Raw!J151</f>
        <v>Enterprise</v>
      </c>
      <c r="K151" t="str">
        <f>Deals_Raw!K151</f>
        <v>Yes</v>
      </c>
      <c r="L151">
        <f>Deals_Raw!L151</f>
        <v>45170</v>
      </c>
      <c r="M151">
        <f>Deals_Raw!M151</f>
        <v>72</v>
      </c>
      <c r="N151" t="str">
        <f>Deals_Raw!N151</f>
        <v>Nexus Compliance</v>
      </c>
      <c r="O151" t="str">
        <f>Deals_Raw!O151</f>
        <v>New Business</v>
      </c>
      <c r="P151">
        <f>Deals_Raw!P151</f>
        <v>0</v>
      </c>
      <c r="Q151">
        <f>Deals_Raw!Q151</f>
        <v>2</v>
      </c>
      <c r="R151">
        <f>Deals_Raw!R151</f>
        <v>1444</v>
      </c>
      <c r="S151" t="str">
        <f>Deals_Raw!S151</f>
        <v>K. Nguyen</v>
      </c>
      <c r="T151" s="6">
        <f>Deals_Raw!T151</f>
        <v>176430.57633414248</v>
      </c>
      <c r="U151" s="8">
        <f>Deals_Raw!V151</f>
        <v>0.17499999999999999</v>
      </c>
      <c r="V151" s="8">
        <f>Deals_Raw!W151</f>
        <v>0.14599999999999999</v>
      </c>
      <c r="W151" s="8">
        <f>Deals_Raw!X151</f>
        <v>-7.0000000000000001E-3</v>
      </c>
      <c r="X151" t="str">
        <f>Deals_Raw!Y151</f>
        <v>Renewal retention risk</v>
      </c>
      <c r="Y151" t="str">
        <f>Deals_Raw!Z151</f>
        <v>Pricing Analyst</v>
      </c>
      <c r="Z151" s="6">
        <f>Deals_Raw!AA151</f>
        <v>150687.1043670557</v>
      </c>
      <c r="AA151" s="6">
        <f>Deals_Raw!AC151</f>
        <v>67804.725373064008</v>
      </c>
      <c r="AB151" s="6">
        <f>Deals_Raw!AD151</f>
        <v>82882.37899399169</v>
      </c>
      <c r="AC151" s="8">
        <f>Deals_Raw!AE151</f>
        <v>0.55002967468337682</v>
      </c>
      <c r="AD151" t="str">
        <f>Deals_Raw!AF151</f>
        <v>Lost</v>
      </c>
      <c r="AE151">
        <f>Deals_Raw!AG151</f>
        <v>0</v>
      </c>
      <c r="AF151">
        <f>Deals_Raw!AH151</f>
        <v>0</v>
      </c>
      <c r="AG151" t="str">
        <f>Deals_Raw!AI151</f>
        <v>No</v>
      </c>
      <c r="AH151" s="6">
        <f>Deals_Raw!AJ151</f>
        <v>0</v>
      </c>
      <c r="AI151" s="6">
        <f>Deals_Raw!AK151</f>
        <v>0</v>
      </c>
      <c r="AJ151" t="str">
        <f>Deals_Raw!AL151</f>
        <v>First purchase under this contract</v>
      </c>
      <c r="AK151" s="9">
        <f t="shared" si="14"/>
        <v>0.58888888888888891</v>
      </c>
      <c r="AL151" s="8">
        <f t="shared" si="15"/>
        <v>0.85408724212105314</v>
      </c>
      <c r="AM151" s="8">
        <f t="shared" si="16"/>
        <v>2.8999999999999998E-2</v>
      </c>
      <c r="AN151" t="str">
        <f>IF(AC151&lt;Pricing_Policy!$C$10,"Below Floor","Pass")</f>
        <v>Pass</v>
      </c>
      <c r="AO151" t="str">
        <f>IF(V151&gt;Pricing_Policy!$C$7,"Exception","Standard")</f>
        <v>Standard</v>
      </c>
      <c r="AP151" t="str">
        <f t="shared" si="17"/>
        <v>Pass</v>
      </c>
      <c r="AQ151">
        <f t="shared" si="18"/>
        <v>0</v>
      </c>
      <c r="AR151" s="8">
        <f t="shared" si="19"/>
        <v>0</v>
      </c>
      <c r="AS151">
        <f t="shared" si="20"/>
        <v>3</v>
      </c>
    </row>
    <row r="152" spans="1:45">
      <c r="A152" t="str">
        <f>Deals_Raw!A152</f>
        <v>D00170</v>
      </c>
      <c r="B152">
        <f>Deals_Raw!B152</f>
        <v>45357</v>
      </c>
      <c r="C152" t="str">
        <f>Deals_Raw!C152</f>
        <v>C0044</v>
      </c>
      <c r="D152" t="str">
        <f>Deals_Raw!D152</f>
        <v>TEC-0044</v>
      </c>
      <c r="E152" t="str">
        <f>Deals_Raw!E152</f>
        <v>CT00094</v>
      </c>
      <c r="F152" t="str">
        <f>Deals_Raw!F152</f>
        <v>Sales</v>
      </c>
      <c r="G152" t="str">
        <f>Deals_Raw!G152</f>
        <v>Technology</v>
      </c>
      <c r="H152" t="str">
        <f>Deals_Raw!H152</f>
        <v>Northeast</v>
      </c>
      <c r="I152" t="str">
        <f>Deals_Raw!I152</f>
        <v>Northeast Enterprise</v>
      </c>
      <c r="J152" t="str">
        <f>Deals_Raw!J152</f>
        <v>Enterprise</v>
      </c>
      <c r="K152" t="str">
        <f>Deals_Raw!K152</f>
        <v>Yes</v>
      </c>
      <c r="L152">
        <f>Deals_Raw!L152</f>
        <v>45170</v>
      </c>
      <c r="M152">
        <f>Deals_Raw!M152</f>
        <v>72</v>
      </c>
      <c r="N152" t="str">
        <f>Deals_Raw!N152</f>
        <v>Nexus AI Assistant</v>
      </c>
      <c r="O152" t="str">
        <f>Deals_Raw!O152</f>
        <v>New Business</v>
      </c>
      <c r="P152">
        <f>Deals_Raw!P152</f>
        <v>0</v>
      </c>
      <c r="Q152">
        <f>Deals_Raw!Q152</f>
        <v>2</v>
      </c>
      <c r="R152">
        <f>Deals_Raw!R152</f>
        <v>1987</v>
      </c>
      <c r="S152" t="str">
        <f>Deals_Raw!S152</f>
        <v>T. Brooks</v>
      </c>
      <c r="T152" s="6">
        <f>Deals_Raw!T152</f>
        <v>322981.90815970325</v>
      </c>
      <c r="U152" s="8">
        <f>Deals_Raw!V152</f>
        <v>0.16800000000000001</v>
      </c>
      <c r="V152" s="8">
        <f>Deals_Raw!W152</f>
        <v>0.153</v>
      </c>
      <c r="W152" s="8">
        <f>Deals_Raw!X152</f>
        <v>-0.125</v>
      </c>
      <c r="X152" t="str">
        <f>Deals_Raw!Y152</f>
        <v>Procurement requirement</v>
      </c>
      <c r="Y152" t="str">
        <f>Deals_Raw!Z152</f>
        <v>Pricing Analyst</v>
      </c>
      <c r="Z152" s="6">
        <f>Deals_Raw!AA152</f>
        <v>273509.61284964456</v>
      </c>
      <c r="AA152" s="6">
        <f>Deals_Raw!AC152</f>
        <v>127042.84313567987</v>
      </c>
      <c r="AB152" s="6">
        <f>Deals_Raw!AD152</f>
        <v>146466.76971396469</v>
      </c>
      <c r="AC152" s="8">
        <f>Deals_Raw!AE152</f>
        <v>0.53550867257627732</v>
      </c>
      <c r="AD152" t="str">
        <f>Deals_Raw!AF152</f>
        <v>Lost</v>
      </c>
      <c r="AE152">
        <f>Deals_Raw!AG152</f>
        <v>0</v>
      </c>
      <c r="AF152">
        <f>Deals_Raw!AH152</f>
        <v>0</v>
      </c>
      <c r="AG152" t="str">
        <f>Deals_Raw!AI152</f>
        <v>No</v>
      </c>
      <c r="AH152" s="6">
        <f>Deals_Raw!AJ152</f>
        <v>0</v>
      </c>
      <c r="AI152" s="6">
        <f>Deals_Raw!AK152</f>
        <v>0</v>
      </c>
      <c r="AJ152" t="str">
        <f>Deals_Raw!AL152</f>
        <v>First purchase under this contract</v>
      </c>
      <c r="AK152" s="9">
        <f t="shared" si="14"/>
        <v>0.51388888888888884</v>
      </c>
      <c r="AL152" s="8">
        <f t="shared" si="15"/>
        <v>0.8468264194984062</v>
      </c>
      <c r="AM152" s="8">
        <f t="shared" si="16"/>
        <v>1.5000000000000013E-2</v>
      </c>
      <c r="AN152" t="str">
        <f>IF(AC152&lt;Pricing_Policy!$C$10,"Below Floor","Pass")</f>
        <v>Pass</v>
      </c>
      <c r="AO152" t="str">
        <f>IF(V152&gt;Pricing_Policy!$C$7,"Exception","Standard")</f>
        <v>Standard</v>
      </c>
      <c r="AP152" t="str">
        <f t="shared" si="17"/>
        <v>Pass</v>
      </c>
      <c r="AQ152">
        <f t="shared" si="18"/>
        <v>0</v>
      </c>
      <c r="AR152" s="8">
        <f t="shared" si="19"/>
        <v>0</v>
      </c>
      <c r="AS152">
        <f t="shared" si="20"/>
        <v>2</v>
      </c>
    </row>
    <row r="153" spans="1:45">
      <c r="A153" t="str">
        <f>Deals_Raw!A153</f>
        <v>D00171</v>
      </c>
      <c r="B153">
        <f>Deals_Raw!B153</f>
        <v>45662</v>
      </c>
      <c r="C153" t="str">
        <f>Deals_Raw!C153</f>
        <v>C0044</v>
      </c>
      <c r="D153" t="str">
        <f>Deals_Raw!D153</f>
        <v>TEC-0044</v>
      </c>
      <c r="E153" t="str">
        <f>Deals_Raw!E153</f>
        <v>CT00094</v>
      </c>
      <c r="F153" t="str">
        <f>Deals_Raw!F153</f>
        <v>Sales</v>
      </c>
      <c r="G153" t="str">
        <f>Deals_Raw!G153</f>
        <v>Technology</v>
      </c>
      <c r="H153" t="str">
        <f>Deals_Raw!H153</f>
        <v>Northeast</v>
      </c>
      <c r="I153" t="str">
        <f>Deals_Raw!I153</f>
        <v>Northeast Enterprise</v>
      </c>
      <c r="J153" t="str">
        <f>Deals_Raw!J153</f>
        <v>Enterprise</v>
      </c>
      <c r="K153" t="str">
        <f>Deals_Raw!K153</f>
        <v>Yes</v>
      </c>
      <c r="L153">
        <f>Deals_Raw!L153</f>
        <v>45170</v>
      </c>
      <c r="M153">
        <f>Deals_Raw!M153</f>
        <v>72</v>
      </c>
      <c r="N153" t="str">
        <f>Deals_Raw!N153</f>
        <v>Nexus AI Assistant</v>
      </c>
      <c r="O153" t="str">
        <f>Deals_Raw!O153</f>
        <v>Win-back</v>
      </c>
      <c r="P153">
        <f>Deals_Raw!P153</f>
        <v>0</v>
      </c>
      <c r="Q153">
        <f>Deals_Raw!Q153</f>
        <v>2</v>
      </c>
      <c r="R153">
        <f>Deals_Raw!R153</f>
        <v>1987</v>
      </c>
      <c r="S153" t="str">
        <f>Deals_Raw!S153</f>
        <v>M. Johnson</v>
      </c>
      <c r="T153" s="6">
        <f>Deals_Raw!T153</f>
        <v>322981.90815970325</v>
      </c>
      <c r="U153" s="8">
        <f>Deals_Raw!V153</f>
        <v>0.22</v>
      </c>
      <c r="V153" s="8">
        <f>Deals_Raw!W153</f>
        <v>0.20300000000000001</v>
      </c>
      <c r="W153" s="8">
        <f>Deals_Raw!X153</f>
        <v>-0.06</v>
      </c>
      <c r="X153" t="str">
        <f>Deals_Raw!Y153</f>
        <v>Renewal retention risk</v>
      </c>
      <c r="Y153" t="str">
        <f>Deals_Raw!Z153</f>
        <v>Business Manager</v>
      </c>
      <c r="Z153" s="6">
        <f>Deals_Raw!AA153</f>
        <v>257533.37486965401</v>
      </c>
      <c r="AA153" s="6">
        <f>Deals_Raw!AC153</f>
        <v>136591.65463379756</v>
      </c>
      <c r="AB153" s="6">
        <f>Deals_Raw!AD153</f>
        <v>120941.72023585645</v>
      </c>
      <c r="AC153" s="8">
        <f>Deals_Raw!AE153</f>
        <v>0.46961571600989183</v>
      </c>
      <c r="AD153" t="str">
        <f>Deals_Raw!AF153</f>
        <v>Won</v>
      </c>
      <c r="AE153">
        <f>Deals_Raw!AG153</f>
        <v>0</v>
      </c>
      <c r="AF153">
        <f>Deals_Raw!AH153</f>
        <v>0</v>
      </c>
      <c r="AG153" t="str">
        <f>Deals_Raw!AI153</f>
        <v>Yes</v>
      </c>
      <c r="AH153" s="6">
        <f>Deals_Raw!AJ153</f>
        <v>257533.37486965401</v>
      </c>
      <c r="AI153" s="6">
        <f>Deals_Raw!AK153</f>
        <v>120941.72023585645</v>
      </c>
      <c r="AJ153" t="str">
        <f>Deals_Raw!AL153</f>
        <v>Customer returned after prior lost initial opportunity</v>
      </c>
      <c r="AK153" s="9">
        <f t="shared" si="14"/>
        <v>1.3444444444444446</v>
      </c>
      <c r="AL153" s="8">
        <f t="shared" si="15"/>
        <v>0.79736161179131049</v>
      </c>
      <c r="AM153" s="8">
        <f t="shared" si="16"/>
        <v>1.6999999999999987E-2</v>
      </c>
      <c r="AN153" t="str">
        <f>IF(AC153&lt;Pricing_Policy!$C$10,"Below Floor","Pass")</f>
        <v>Pass</v>
      </c>
      <c r="AO153" t="str">
        <f>IF(V153&gt;Pricing_Policy!$C$7,"Exception","Standard")</f>
        <v>Standard</v>
      </c>
      <c r="AP153" t="str">
        <f t="shared" si="17"/>
        <v>Pass</v>
      </c>
      <c r="AQ153">
        <f t="shared" si="18"/>
        <v>1</v>
      </c>
      <c r="AR153" s="8">
        <f t="shared" si="19"/>
        <v>0.46961571600989183</v>
      </c>
      <c r="AS153">
        <f t="shared" si="20"/>
        <v>2</v>
      </c>
    </row>
    <row r="154" spans="1:45">
      <c r="A154" t="str">
        <f>Deals_Raw!A154</f>
        <v>D00172</v>
      </c>
      <c r="B154">
        <f>Deals_Raw!B154</f>
        <v>45427</v>
      </c>
      <c r="C154" t="str">
        <f>Deals_Raw!C154</f>
        <v>C0045</v>
      </c>
      <c r="D154" t="str">
        <f>Deals_Raw!D154</f>
        <v>PUB-0045</v>
      </c>
      <c r="E154" t="str">
        <f>Deals_Raw!E154</f>
        <v>CT00095</v>
      </c>
      <c r="F154" t="str">
        <f>Deals_Raw!F154</f>
        <v>Sales</v>
      </c>
      <c r="G154" t="str">
        <f>Deals_Raw!G154</f>
        <v>Public Sector</v>
      </c>
      <c r="H154" t="str">
        <f>Deals_Raw!H154</f>
        <v>West</v>
      </c>
      <c r="I154" t="str">
        <f>Deals_Raw!I154</f>
        <v>West Enterprise</v>
      </c>
      <c r="J154" t="str">
        <f>Deals_Raw!J154</f>
        <v>Enterprise</v>
      </c>
      <c r="K154" t="str">
        <f>Deals_Raw!K154</f>
        <v>No</v>
      </c>
      <c r="L154">
        <f>Deals_Raw!L154</f>
        <v>43405</v>
      </c>
      <c r="M154">
        <f>Deals_Raw!M154</f>
        <v>64</v>
      </c>
      <c r="N154" t="str">
        <f>Deals_Raw!N154</f>
        <v>Nexus Compliance</v>
      </c>
      <c r="O154" t="str">
        <f>Deals_Raw!O154</f>
        <v>Renewal</v>
      </c>
      <c r="P154">
        <f>Deals_Raw!P154</f>
        <v>0</v>
      </c>
      <c r="Q154">
        <f>Deals_Raw!Q154</f>
        <v>3</v>
      </c>
      <c r="R154">
        <f>Deals_Raw!R154</f>
        <v>1905</v>
      </c>
      <c r="S154" t="str">
        <f>Deals_Raw!S154</f>
        <v>M. Johnson</v>
      </c>
      <c r="T154" s="6">
        <f>Deals_Raw!T154</f>
        <v>224576.18734677241</v>
      </c>
      <c r="U154" s="8">
        <f>Deals_Raw!V154</f>
        <v>0.161</v>
      </c>
      <c r="V154" s="8">
        <f>Deals_Raw!W154</f>
        <v>9.9000000000000005E-2</v>
      </c>
      <c r="W154" s="8">
        <f>Deals_Raw!X154</f>
        <v>-8.0000000000000002E-3</v>
      </c>
      <c r="X154" t="str">
        <f>Deals_Raw!Y154</f>
        <v>Renewal retention risk</v>
      </c>
      <c r="Y154" t="str">
        <f>Deals_Raw!Z154</f>
        <v>Sales Manager</v>
      </c>
      <c r="Z154" s="6">
        <f>Deals_Raw!AA154</f>
        <v>202295.86189575359</v>
      </c>
      <c r="AA154" s="6">
        <f>Deals_Raw!AC154</f>
        <v>78086.753975502448</v>
      </c>
      <c r="AB154" s="6">
        <f>Deals_Raw!AD154</f>
        <v>124209.10792025115</v>
      </c>
      <c r="AC154" s="8">
        <f>Deals_Raw!AE154</f>
        <v>0.61399727486397204</v>
      </c>
      <c r="AD154" t="str">
        <f>Deals_Raw!AF154</f>
        <v>Lost</v>
      </c>
      <c r="AE154" t="str">
        <f>Deals_Raw!AG154</f>
        <v>No</v>
      </c>
      <c r="AF154">
        <f>Deals_Raw!AH154</f>
        <v>0</v>
      </c>
      <c r="AG154" t="str">
        <f>Deals_Raw!AI154</f>
        <v>No</v>
      </c>
      <c r="AH154" s="6">
        <f>Deals_Raw!AJ154</f>
        <v>0</v>
      </c>
      <c r="AI154" s="6">
        <f>Deals_Raw!AK154</f>
        <v>0</v>
      </c>
      <c r="AJ154" t="str">
        <f>Deals_Raw!AL154</f>
        <v>Renewal of existing active contract</v>
      </c>
      <c r="AK154" s="9">
        <f t="shared" si="14"/>
        <v>5.5388888888888888</v>
      </c>
      <c r="AL154" s="8">
        <f t="shared" si="15"/>
        <v>0.90078945718044745</v>
      </c>
      <c r="AM154" s="8">
        <f t="shared" si="16"/>
        <v>6.2E-2</v>
      </c>
      <c r="AN154" t="str">
        <f>IF(AC154&lt;Pricing_Policy!$C$10,"Below Floor","Pass")</f>
        <v>Pass</v>
      </c>
      <c r="AO154" t="str">
        <f>IF(V154&gt;Pricing_Policy!$C$7,"Exception","Standard")</f>
        <v>Standard</v>
      </c>
      <c r="AP154" t="str">
        <f t="shared" si="17"/>
        <v>Pass</v>
      </c>
      <c r="AQ154">
        <f t="shared" si="18"/>
        <v>0</v>
      </c>
      <c r="AR154" s="8">
        <f t="shared" si="19"/>
        <v>0</v>
      </c>
      <c r="AS154">
        <f t="shared" si="20"/>
        <v>1</v>
      </c>
    </row>
    <row r="155" spans="1:45">
      <c r="A155" t="str">
        <f>Deals_Raw!A155</f>
        <v>D00173</v>
      </c>
      <c r="B155">
        <f>Deals_Raw!B155</f>
        <v>45292</v>
      </c>
      <c r="C155" t="str">
        <f>Deals_Raw!C155</f>
        <v>C0045</v>
      </c>
      <c r="D155" t="str">
        <f>Deals_Raw!D155</f>
        <v>PUB-0045</v>
      </c>
      <c r="E155" t="str">
        <f>Deals_Raw!E155</f>
        <v>CT00096</v>
      </c>
      <c r="F155" t="str">
        <f>Deals_Raw!F155</f>
        <v>Legal</v>
      </c>
      <c r="G155" t="str">
        <f>Deals_Raw!G155</f>
        <v>Public Sector</v>
      </c>
      <c r="H155" t="str">
        <f>Deals_Raw!H155</f>
        <v>West</v>
      </c>
      <c r="I155" t="str">
        <f>Deals_Raw!I155</f>
        <v>West Enterprise</v>
      </c>
      <c r="J155" t="str">
        <f>Deals_Raw!J155</f>
        <v>Enterprise</v>
      </c>
      <c r="K155" t="str">
        <f>Deals_Raw!K155</f>
        <v>No</v>
      </c>
      <c r="L155">
        <f>Deals_Raw!L155</f>
        <v>43405</v>
      </c>
      <c r="M155">
        <f>Deals_Raw!M155</f>
        <v>64</v>
      </c>
      <c r="N155" t="str">
        <f>Deals_Raw!N155</f>
        <v>Nexus Enterprise Suite</v>
      </c>
      <c r="O155" t="str">
        <f>Deals_Raw!O155</f>
        <v>New Business</v>
      </c>
      <c r="P155">
        <f>Deals_Raw!P155</f>
        <v>0</v>
      </c>
      <c r="Q155">
        <f>Deals_Raw!Q155</f>
        <v>1</v>
      </c>
      <c r="R155">
        <f>Deals_Raw!R155</f>
        <v>706</v>
      </c>
      <c r="S155" t="str">
        <f>Deals_Raw!S155</f>
        <v>S. Rivera</v>
      </c>
      <c r="T155" s="6">
        <f>Deals_Raw!T155</f>
        <v>467884.39757865702</v>
      </c>
      <c r="U155" s="8">
        <f>Deals_Raw!V155</f>
        <v>0.152</v>
      </c>
      <c r="V155" s="8">
        <f>Deals_Raw!W155</f>
        <v>0.13200000000000001</v>
      </c>
      <c r="W155" s="8">
        <f>Deals_Raw!X155</f>
        <v>2.1000000000000001E-2</v>
      </c>
      <c r="X155" t="str">
        <f>Deals_Raw!Y155</f>
        <v>Volume purchase</v>
      </c>
      <c r="Y155" t="str">
        <f>Deals_Raw!Z155</f>
        <v>Pricing Analyst</v>
      </c>
      <c r="Z155" s="6">
        <f>Deals_Raw!AA155</f>
        <v>406200.21966924454</v>
      </c>
      <c r="AA155" s="6">
        <f>Deals_Raw!AC155</f>
        <v>192091.15240867724</v>
      </c>
      <c r="AB155" s="6">
        <f>Deals_Raw!AD155</f>
        <v>214109.0672605673</v>
      </c>
      <c r="AC155" s="8">
        <f>Deals_Raw!AE155</f>
        <v>0.52710229313738255</v>
      </c>
      <c r="AD155" t="str">
        <f>Deals_Raw!AF155</f>
        <v>Lost</v>
      </c>
      <c r="AE155">
        <f>Deals_Raw!AG155</f>
        <v>0</v>
      </c>
      <c r="AF155">
        <f>Deals_Raw!AH155</f>
        <v>0</v>
      </c>
      <c r="AG155" t="str">
        <f>Deals_Raw!AI155</f>
        <v>No</v>
      </c>
      <c r="AH155" s="6">
        <f>Deals_Raw!AJ155</f>
        <v>0</v>
      </c>
      <c r="AI155" s="6">
        <f>Deals_Raw!AK155</f>
        <v>0</v>
      </c>
      <c r="AJ155" t="str">
        <f>Deals_Raw!AL155</f>
        <v>First purchase under this contract</v>
      </c>
      <c r="AK155" s="9">
        <f t="shared" si="14"/>
        <v>5.166666666666667</v>
      </c>
      <c r="AL155" s="8">
        <f t="shared" si="15"/>
        <v>0.86816363565736854</v>
      </c>
      <c r="AM155" s="8">
        <f t="shared" si="16"/>
        <v>1.999999999999999E-2</v>
      </c>
      <c r="AN155" t="str">
        <f>IF(AC155&lt;Pricing_Policy!$C$10,"Below Floor","Pass")</f>
        <v>Pass</v>
      </c>
      <c r="AO155" t="str">
        <f>IF(V155&gt;Pricing_Policy!$C$7,"Exception","Standard")</f>
        <v>Standard</v>
      </c>
      <c r="AP155" t="str">
        <f t="shared" si="17"/>
        <v>Pass</v>
      </c>
      <c r="AQ155">
        <f t="shared" si="18"/>
        <v>0</v>
      </c>
      <c r="AR155" s="8">
        <f t="shared" si="19"/>
        <v>0</v>
      </c>
      <c r="AS155">
        <f t="shared" si="20"/>
        <v>1</v>
      </c>
    </row>
    <row r="156" spans="1:45">
      <c r="A156" t="str">
        <f>Deals_Raw!A156</f>
        <v>D00176</v>
      </c>
      <c r="B156">
        <f>Deals_Raw!B156</f>
        <v>45548</v>
      </c>
      <c r="C156" t="str">
        <f>Deals_Raw!C156</f>
        <v>C0046</v>
      </c>
      <c r="D156" t="str">
        <f>Deals_Raw!D156</f>
        <v>PUB-0046</v>
      </c>
      <c r="E156" t="str">
        <f>Deals_Raw!E156</f>
        <v>CT00097</v>
      </c>
      <c r="F156" t="str">
        <f>Deals_Raw!F156</f>
        <v>Technology</v>
      </c>
      <c r="G156" t="str">
        <f>Deals_Raw!G156</f>
        <v>Public Sector</v>
      </c>
      <c r="H156" t="str">
        <f>Deals_Raw!H156</f>
        <v>South</v>
      </c>
      <c r="I156" t="str">
        <f>Deals_Raw!I156</f>
        <v>South Commercial</v>
      </c>
      <c r="J156" t="str">
        <f>Deals_Raw!J156</f>
        <v>Mid-Market</v>
      </c>
      <c r="K156" t="str">
        <f>Deals_Raw!K156</f>
        <v>No</v>
      </c>
      <c r="L156">
        <f>Deals_Raw!L156</f>
        <v>43891</v>
      </c>
      <c r="M156">
        <f>Deals_Raw!M156</f>
        <v>66</v>
      </c>
      <c r="N156" t="str">
        <f>Deals_Raw!N156</f>
        <v>Nexus AI Assistant</v>
      </c>
      <c r="O156" t="str">
        <f>Deals_Raw!O156</f>
        <v>Renewal</v>
      </c>
      <c r="P156">
        <f>Deals_Raw!P156</f>
        <v>0</v>
      </c>
      <c r="Q156">
        <f>Deals_Raw!Q156</f>
        <v>1</v>
      </c>
      <c r="R156">
        <f>Deals_Raw!R156</f>
        <v>236</v>
      </c>
      <c r="S156" t="str">
        <f>Deals_Raw!S156</f>
        <v>L. Williams</v>
      </c>
      <c r="T156" s="6">
        <f>Deals_Raw!T156</f>
        <v>98829.564827558017</v>
      </c>
      <c r="U156" s="8">
        <f>Deals_Raw!V156</f>
        <v>0.09</v>
      </c>
      <c r="V156" s="8">
        <f>Deals_Raw!W156</f>
        <v>7.9000000000000001E-2</v>
      </c>
      <c r="W156" s="8">
        <f>Deals_Raw!X156</f>
        <v>-0.10299999999999999</v>
      </c>
      <c r="X156" t="str">
        <f>Deals_Raw!Y156</f>
        <v>Procurement requirement</v>
      </c>
      <c r="Y156" t="str">
        <f>Deals_Raw!Z156</f>
        <v>Sales Manager</v>
      </c>
      <c r="Z156" s="6">
        <f>Deals_Raw!AA156</f>
        <v>90995.75390030726</v>
      </c>
      <c r="AA156" s="6">
        <f>Deals_Raw!AC156</f>
        <v>37095.800340508853</v>
      </c>
      <c r="AB156" s="6">
        <f>Deals_Raw!AD156</f>
        <v>53899.953559798407</v>
      </c>
      <c r="AC156" s="8">
        <f>Deals_Raw!AE156</f>
        <v>0.59233482057690179</v>
      </c>
      <c r="AD156" t="str">
        <f>Deals_Raw!AF156</f>
        <v>Won</v>
      </c>
      <c r="AE156" t="str">
        <f>Deals_Raw!AG156</f>
        <v>Yes</v>
      </c>
      <c r="AF156">
        <f>Deals_Raw!AH156</f>
        <v>0</v>
      </c>
      <c r="AG156" t="str">
        <f>Deals_Raw!AI156</f>
        <v>No</v>
      </c>
      <c r="AH156" s="6">
        <f>Deals_Raw!AJ156</f>
        <v>90995.75390030726</v>
      </c>
      <c r="AI156" s="6">
        <f>Deals_Raw!AK156</f>
        <v>53899.953559798407</v>
      </c>
      <c r="AJ156" t="str">
        <f>Deals_Raw!AL156</f>
        <v>Renewal of existing active contract</v>
      </c>
      <c r="AK156" s="9">
        <f t="shared" si="14"/>
        <v>4.5333333333333332</v>
      </c>
      <c r="AL156" s="8">
        <f t="shared" si="15"/>
        <v>0.92073413516573188</v>
      </c>
      <c r="AM156" s="8">
        <f t="shared" si="16"/>
        <v>1.0999999999999996E-2</v>
      </c>
      <c r="AN156" t="str">
        <f>IF(AC156&lt;Pricing_Policy!$C$10,"Below Floor","Pass")</f>
        <v>Pass</v>
      </c>
      <c r="AO156" t="str">
        <f>IF(V156&gt;Pricing_Policy!$C$7,"Exception","Standard")</f>
        <v>Standard</v>
      </c>
      <c r="AP156" t="str">
        <f t="shared" si="17"/>
        <v>Pass</v>
      </c>
      <c r="AQ156">
        <f t="shared" si="18"/>
        <v>1</v>
      </c>
      <c r="AR156" s="8">
        <f t="shared" si="19"/>
        <v>0.59233482057690179</v>
      </c>
      <c r="AS156">
        <f t="shared" si="20"/>
        <v>2</v>
      </c>
    </row>
    <row r="157" spans="1:45">
      <c r="A157" t="str">
        <f>Deals_Raw!A157</f>
        <v>D00177</v>
      </c>
      <c r="B157">
        <f>Deals_Raw!B157</f>
        <v>45913</v>
      </c>
      <c r="C157" t="str">
        <f>Deals_Raw!C157</f>
        <v>C0046</v>
      </c>
      <c r="D157" t="str">
        <f>Deals_Raw!D157</f>
        <v>PUB-0046</v>
      </c>
      <c r="E157" t="str">
        <f>Deals_Raw!E157</f>
        <v>CT00097</v>
      </c>
      <c r="F157" t="str">
        <f>Deals_Raw!F157</f>
        <v>Technology</v>
      </c>
      <c r="G157" t="str">
        <f>Deals_Raw!G157</f>
        <v>Public Sector</v>
      </c>
      <c r="H157" t="str">
        <f>Deals_Raw!H157</f>
        <v>South</v>
      </c>
      <c r="I157" t="str">
        <f>Deals_Raw!I157</f>
        <v>South Commercial</v>
      </c>
      <c r="J157" t="str">
        <f>Deals_Raw!J157</f>
        <v>Mid-Market</v>
      </c>
      <c r="K157" t="str">
        <f>Deals_Raw!K157</f>
        <v>No</v>
      </c>
      <c r="L157">
        <f>Deals_Raw!L157</f>
        <v>43891</v>
      </c>
      <c r="M157">
        <f>Deals_Raw!M157</f>
        <v>66</v>
      </c>
      <c r="N157" t="str">
        <f>Deals_Raw!N157</f>
        <v>Nexus AI Assistant</v>
      </c>
      <c r="O157" t="str">
        <f>Deals_Raw!O157</f>
        <v>Renewal</v>
      </c>
      <c r="P157">
        <f>Deals_Raw!P157</f>
        <v>0</v>
      </c>
      <c r="Q157">
        <f>Deals_Raw!Q157</f>
        <v>1</v>
      </c>
      <c r="R157">
        <f>Deals_Raw!R157</f>
        <v>236</v>
      </c>
      <c r="S157" t="str">
        <f>Deals_Raw!S157</f>
        <v>M. Johnson</v>
      </c>
      <c r="T157" s="6">
        <f>Deals_Raw!T157</f>
        <v>101284.18512689442</v>
      </c>
      <c r="U157" s="8">
        <f>Deals_Raw!V157</f>
        <v>0.19600000000000001</v>
      </c>
      <c r="V157" s="8">
        <f>Deals_Raw!W157</f>
        <v>0.17599999999999999</v>
      </c>
      <c r="W157" s="8">
        <f>Deals_Raw!X157</f>
        <v>7.0000000000000007E-2</v>
      </c>
      <c r="X157" t="str">
        <f>Deals_Raw!Y157</f>
        <v>Expansion opportunity</v>
      </c>
      <c r="Y157" t="str">
        <f>Deals_Raw!Z157</f>
        <v>Pricing Analyst</v>
      </c>
      <c r="Z157" s="6">
        <f>Deals_Raw!AA157</f>
        <v>83478.988731028498</v>
      </c>
      <c r="AA157" s="6">
        <f>Deals_Raw!AC157</f>
        <v>38833.006658401937</v>
      </c>
      <c r="AB157" s="6">
        <f>Deals_Raw!AD157</f>
        <v>44645.982072626561</v>
      </c>
      <c r="AC157" s="8">
        <f>Deals_Raw!AE157</f>
        <v>0.53481699708266817</v>
      </c>
      <c r="AD157" t="str">
        <f>Deals_Raw!AF157</f>
        <v>Won</v>
      </c>
      <c r="AE157" t="str">
        <f>Deals_Raw!AG157</f>
        <v>Yes</v>
      </c>
      <c r="AF157">
        <f>Deals_Raw!AH157</f>
        <v>0</v>
      </c>
      <c r="AG157" t="str">
        <f>Deals_Raw!AI157</f>
        <v>No</v>
      </c>
      <c r="AH157" s="6">
        <f>Deals_Raw!AJ157</f>
        <v>83478.988731028498</v>
      </c>
      <c r="AI157" s="6">
        <f>Deals_Raw!AK157</f>
        <v>44645.982072626561</v>
      </c>
      <c r="AJ157" t="str">
        <f>Deals_Raw!AL157</f>
        <v>Renewal of existing active contract</v>
      </c>
      <c r="AK157" s="9">
        <f t="shared" si="14"/>
        <v>5.5333333333333332</v>
      </c>
      <c r="AL157" s="8">
        <f t="shared" si="15"/>
        <v>0.82420556206718165</v>
      </c>
      <c r="AM157" s="8">
        <f t="shared" si="16"/>
        <v>2.0000000000000018E-2</v>
      </c>
      <c r="AN157" t="str">
        <f>IF(AC157&lt;Pricing_Policy!$C$10,"Below Floor","Pass")</f>
        <v>Pass</v>
      </c>
      <c r="AO157" t="str">
        <f>IF(V157&gt;Pricing_Policy!$C$7,"Exception","Standard")</f>
        <v>Standard</v>
      </c>
      <c r="AP157" t="str">
        <f t="shared" si="17"/>
        <v>Pass</v>
      </c>
      <c r="AQ157">
        <f t="shared" si="18"/>
        <v>1</v>
      </c>
      <c r="AR157" s="8">
        <f t="shared" si="19"/>
        <v>0.53481699708266817</v>
      </c>
      <c r="AS157">
        <f t="shared" si="20"/>
        <v>2</v>
      </c>
    </row>
    <row r="158" spans="1:45">
      <c r="A158" t="str">
        <f>Deals_Raw!A158</f>
        <v>D00178</v>
      </c>
      <c r="B158">
        <f>Deals_Raw!B158</f>
        <v>45822</v>
      </c>
      <c r="C158" t="str">
        <f>Deals_Raw!C158</f>
        <v>C0046</v>
      </c>
      <c r="D158" t="str">
        <f>Deals_Raw!D158</f>
        <v>PUB-0046</v>
      </c>
      <c r="E158" t="str">
        <f>Deals_Raw!E158</f>
        <v>CT00098</v>
      </c>
      <c r="F158" t="str">
        <f>Deals_Raw!F158</f>
        <v>Operations</v>
      </c>
      <c r="G158" t="str">
        <f>Deals_Raw!G158</f>
        <v>Public Sector</v>
      </c>
      <c r="H158" t="str">
        <f>Deals_Raw!H158</f>
        <v>South</v>
      </c>
      <c r="I158" t="str">
        <f>Deals_Raw!I158</f>
        <v>South Commercial</v>
      </c>
      <c r="J158" t="str">
        <f>Deals_Raw!J158</f>
        <v>Mid-Market</v>
      </c>
      <c r="K158" t="str">
        <f>Deals_Raw!K158</f>
        <v>No</v>
      </c>
      <c r="L158">
        <f>Deals_Raw!L158</f>
        <v>43891</v>
      </c>
      <c r="M158">
        <f>Deals_Raw!M158</f>
        <v>66</v>
      </c>
      <c r="N158" t="str">
        <f>Deals_Raw!N158</f>
        <v>Nexus Compliance</v>
      </c>
      <c r="O158" t="str">
        <f>Deals_Raw!O158</f>
        <v>New Business</v>
      </c>
      <c r="P158">
        <f>Deals_Raw!P158</f>
        <v>0</v>
      </c>
      <c r="Q158">
        <f>Deals_Raw!Q158</f>
        <v>2</v>
      </c>
      <c r="R158">
        <f>Deals_Raw!R158</f>
        <v>292</v>
      </c>
      <c r="S158" t="str">
        <f>Deals_Raw!S158</f>
        <v>M. Johnson</v>
      </c>
      <c r="T158" s="6">
        <f>Deals_Raw!T158</f>
        <v>184221.87807163122</v>
      </c>
      <c r="U158" s="8">
        <f>Deals_Raw!V158</f>
        <v>7.6999999999999999E-2</v>
      </c>
      <c r="V158" s="8">
        <f>Deals_Raw!W158</f>
        <v>3.2000000000000001E-2</v>
      </c>
      <c r="W158" s="8">
        <f>Deals_Raw!X158</f>
        <v>0.15</v>
      </c>
      <c r="X158" t="str">
        <f>Deals_Raw!Y158</f>
        <v>Expansion opportunity</v>
      </c>
      <c r="Y158" t="str">
        <f>Deals_Raw!Z158</f>
        <v>Sales Manager</v>
      </c>
      <c r="Z158" s="6">
        <f>Deals_Raw!AA158</f>
        <v>178285.49059966439</v>
      </c>
      <c r="AA158" s="6">
        <f>Deals_Raw!AC158</f>
        <v>64929.303892937438</v>
      </c>
      <c r="AB158" s="6">
        <f>Deals_Raw!AD158</f>
        <v>113356.18670672696</v>
      </c>
      <c r="AC158" s="8">
        <f>Deals_Raw!AE158</f>
        <v>0.63581274239116548</v>
      </c>
      <c r="AD158" t="str">
        <f>Deals_Raw!AF158</f>
        <v>Won</v>
      </c>
      <c r="AE158">
        <f>Deals_Raw!AG158</f>
        <v>0</v>
      </c>
      <c r="AF158">
        <f>Deals_Raw!AH158</f>
        <v>0</v>
      </c>
      <c r="AG158" t="str">
        <f>Deals_Raw!AI158</f>
        <v>No</v>
      </c>
      <c r="AH158" s="6">
        <f>Deals_Raw!AJ158</f>
        <v>178285.49059966439</v>
      </c>
      <c r="AI158" s="6">
        <f>Deals_Raw!AK158</f>
        <v>113356.18670672696</v>
      </c>
      <c r="AJ158" t="str">
        <f>Deals_Raw!AL158</f>
        <v>First purchase under this contract</v>
      </c>
      <c r="AK158" s="9">
        <f t="shared" si="14"/>
        <v>5.2861111111111114</v>
      </c>
      <c r="AL158" s="8">
        <f t="shared" si="15"/>
        <v>0.96777588235389411</v>
      </c>
      <c r="AM158" s="8">
        <f t="shared" si="16"/>
        <v>4.4999999999999998E-2</v>
      </c>
      <c r="AN158" t="str">
        <f>IF(AC158&lt;Pricing_Policy!$C$10,"Below Floor","Pass")</f>
        <v>Pass</v>
      </c>
      <c r="AO158" t="str">
        <f>IF(V158&gt;Pricing_Policy!$C$7,"Exception","Standard")</f>
        <v>Standard</v>
      </c>
      <c r="AP158" t="str">
        <f t="shared" si="17"/>
        <v>Pass</v>
      </c>
      <c r="AQ158">
        <f t="shared" si="18"/>
        <v>1</v>
      </c>
      <c r="AR158" s="8">
        <f t="shared" si="19"/>
        <v>0.63581274239116548</v>
      </c>
      <c r="AS158">
        <f t="shared" si="20"/>
        <v>1</v>
      </c>
    </row>
    <row r="159" spans="1:45">
      <c r="A159" t="str">
        <f>Deals_Raw!A159</f>
        <v>D00179</v>
      </c>
      <c r="B159">
        <f>Deals_Raw!B159</f>
        <v>45447</v>
      </c>
      <c r="C159" t="str">
        <f>Deals_Raw!C159</f>
        <v>C0047</v>
      </c>
      <c r="D159" t="str">
        <f>Deals_Raw!D159</f>
        <v>MAN-0047</v>
      </c>
      <c r="E159" t="str">
        <f>Deals_Raw!E159</f>
        <v>CT00099</v>
      </c>
      <c r="F159" t="str">
        <f>Deals_Raw!F159</f>
        <v>Finance</v>
      </c>
      <c r="G159" t="str">
        <f>Deals_Raw!G159</f>
        <v>Manufacturing</v>
      </c>
      <c r="H159" t="str">
        <f>Deals_Raw!H159</f>
        <v>West</v>
      </c>
      <c r="I159" t="str">
        <f>Deals_Raw!I159</f>
        <v>West Enterprise</v>
      </c>
      <c r="J159" t="str">
        <f>Deals_Raw!J159</f>
        <v>Enterprise</v>
      </c>
      <c r="K159" t="str">
        <f>Deals_Raw!K159</f>
        <v>No</v>
      </c>
      <c r="L159">
        <f>Deals_Raw!L159</f>
        <v>45627</v>
      </c>
      <c r="M159">
        <f>Deals_Raw!M159</f>
        <v>77</v>
      </c>
      <c r="N159" t="str">
        <f>Deals_Raw!N159</f>
        <v>Nexus AI Assistant</v>
      </c>
      <c r="O159" t="str">
        <f>Deals_Raw!O159</f>
        <v>New Business</v>
      </c>
      <c r="P159">
        <f>Deals_Raw!P159</f>
        <v>0</v>
      </c>
      <c r="Q159">
        <f>Deals_Raw!Q159</f>
        <v>1</v>
      </c>
      <c r="R159">
        <f>Deals_Raw!R159</f>
        <v>1805</v>
      </c>
      <c r="S159" t="str">
        <f>Deals_Raw!S159</f>
        <v>A. Patel</v>
      </c>
      <c r="T159" s="6">
        <f>Deals_Raw!T159</f>
        <v>124654.98072259182</v>
      </c>
      <c r="U159" s="8">
        <f>Deals_Raw!V159</f>
        <v>0.104</v>
      </c>
      <c r="V159" s="8">
        <f>Deals_Raw!W159</f>
        <v>6.0999999999999999E-2</v>
      </c>
      <c r="W159" s="8">
        <f>Deals_Raw!X159</f>
        <v>9.1999999999999998E-2</v>
      </c>
      <c r="X159" t="str">
        <f>Deals_Raw!Y159</f>
        <v>Procurement requirement</v>
      </c>
      <c r="Y159" t="str">
        <f>Deals_Raw!Z159</f>
        <v>Sales Manager</v>
      </c>
      <c r="Z159" s="6">
        <f>Deals_Raw!AA159</f>
        <v>117009.40455359341</v>
      </c>
      <c r="AA159" s="6">
        <f>Deals_Raw!AC159</f>
        <v>52235.671511045432</v>
      </c>
      <c r="AB159" s="6">
        <f>Deals_Raw!AD159</f>
        <v>64773.733042547981</v>
      </c>
      <c r="AC159" s="8">
        <f>Deals_Raw!AE159</f>
        <v>0.55357715296192189</v>
      </c>
      <c r="AD159" t="str">
        <f>Deals_Raw!AF159</f>
        <v>Lost</v>
      </c>
      <c r="AE159">
        <f>Deals_Raw!AG159</f>
        <v>0</v>
      </c>
      <c r="AF159">
        <f>Deals_Raw!AH159</f>
        <v>0</v>
      </c>
      <c r="AG159" t="str">
        <f>Deals_Raw!AI159</f>
        <v>No</v>
      </c>
      <c r="AH159" s="6">
        <f>Deals_Raw!AJ159</f>
        <v>0</v>
      </c>
      <c r="AI159" s="6">
        <f>Deals_Raw!AK159</f>
        <v>0</v>
      </c>
      <c r="AJ159" t="str">
        <f>Deals_Raw!AL159</f>
        <v>First purchase under this contract</v>
      </c>
      <c r="AK159" s="9">
        <f t="shared" si="14"/>
        <v>0.49166666666666664</v>
      </c>
      <c r="AL159" s="8">
        <f t="shared" si="15"/>
        <v>0.93866609962410619</v>
      </c>
      <c r="AM159" s="8">
        <f t="shared" si="16"/>
        <v>4.2999999999999997E-2</v>
      </c>
      <c r="AN159" t="str">
        <f>IF(AC159&lt;Pricing_Policy!$C$10,"Below Floor","Pass")</f>
        <v>Pass</v>
      </c>
      <c r="AO159" t="str">
        <f>IF(V159&gt;Pricing_Policy!$C$7,"Exception","Standard")</f>
        <v>Standard</v>
      </c>
      <c r="AP159" t="str">
        <f t="shared" si="17"/>
        <v>Pass</v>
      </c>
      <c r="AQ159">
        <f t="shared" si="18"/>
        <v>0</v>
      </c>
      <c r="AR159" s="8">
        <f t="shared" si="19"/>
        <v>0</v>
      </c>
      <c r="AS159">
        <f t="shared" si="20"/>
        <v>1</v>
      </c>
    </row>
    <row r="160" spans="1:45">
      <c r="A160" t="str">
        <f>Deals_Raw!A160</f>
        <v>D00180</v>
      </c>
      <c r="B160">
        <f>Deals_Raw!B160</f>
        <v>45732</v>
      </c>
      <c r="C160" t="str">
        <f>Deals_Raw!C160</f>
        <v>C0048</v>
      </c>
      <c r="D160" t="str">
        <f>Deals_Raw!D160</f>
        <v>MAN-0048</v>
      </c>
      <c r="E160" t="str">
        <f>Deals_Raw!E160</f>
        <v>CT00100</v>
      </c>
      <c r="F160" t="str">
        <f>Deals_Raw!F160</f>
        <v>Operations</v>
      </c>
      <c r="G160" t="str">
        <f>Deals_Raw!G160</f>
        <v>Manufacturing</v>
      </c>
      <c r="H160" t="str">
        <f>Deals_Raw!H160</f>
        <v>Midwest</v>
      </c>
      <c r="I160" t="str">
        <f>Deals_Raw!I160</f>
        <v>Midwest Commercial</v>
      </c>
      <c r="J160" t="str">
        <f>Deals_Raw!J160</f>
        <v>Mid-Market</v>
      </c>
      <c r="K160" t="str">
        <f>Deals_Raw!K160</f>
        <v>No</v>
      </c>
      <c r="L160">
        <f>Deals_Raw!L160</f>
        <v>43800</v>
      </c>
      <c r="M160">
        <f>Deals_Raw!M160</f>
        <v>61</v>
      </c>
      <c r="N160" t="str">
        <f>Deals_Raw!N160</f>
        <v>Nexus Insights</v>
      </c>
      <c r="O160" t="str">
        <f>Deals_Raw!O160</f>
        <v>New Business</v>
      </c>
      <c r="P160">
        <f>Deals_Raw!P160</f>
        <v>0</v>
      </c>
      <c r="Q160">
        <f>Deals_Raw!Q160</f>
        <v>3</v>
      </c>
      <c r="R160">
        <f>Deals_Raw!R160</f>
        <v>70</v>
      </c>
      <c r="S160" t="str">
        <f>Deals_Raw!S160</f>
        <v>L. Williams</v>
      </c>
      <c r="T160" s="6">
        <f>Deals_Raw!T160</f>
        <v>56440.202754460122</v>
      </c>
      <c r="U160" s="8">
        <f>Deals_Raw!V160</f>
        <v>0.14599999999999999</v>
      </c>
      <c r="V160" s="8">
        <f>Deals_Raw!W160</f>
        <v>0.107</v>
      </c>
      <c r="W160" s="8">
        <f>Deals_Raw!X160</f>
        <v>-0.03</v>
      </c>
      <c r="X160" t="str">
        <f>Deals_Raw!Y160</f>
        <v>Budget constraint</v>
      </c>
      <c r="Y160" t="str">
        <f>Deals_Raw!Z160</f>
        <v>Pricing Analyst</v>
      </c>
      <c r="Z160" s="6">
        <f>Deals_Raw!AA160</f>
        <v>50428.682080301245</v>
      </c>
      <c r="AA160" s="6">
        <f>Deals_Raw!AC160</f>
        <v>15273.132774352527</v>
      </c>
      <c r="AB160" s="6">
        <f>Deals_Raw!AD160</f>
        <v>35155.54930594872</v>
      </c>
      <c r="AC160" s="8">
        <f>Deals_Raw!AE160</f>
        <v>0.69713400897465438</v>
      </c>
      <c r="AD160" t="str">
        <f>Deals_Raw!AF160</f>
        <v>Won</v>
      </c>
      <c r="AE160">
        <f>Deals_Raw!AG160</f>
        <v>0</v>
      </c>
      <c r="AF160">
        <f>Deals_Raw!AH160</f>
        <v>0</v>
      </c>
      <c r="AG160" t="str">
        <f>Deals_Raw!AI160</f>
        <v>No</v>
      </c>
      <c r="AH160" s="6">
        <f>Deals_Raw!AJ160</f>
        <v>50428.682080301245</v>
      </c>
      <c r="AI160" s="6">
        <f>Deals_Raw!AK160</f>
        <v>35155.54930594872</v>
      </c>
      <c r="AJ160" t="str">
        <f>Deals_Raw!AL160</f>
        <v>First purchase under this contract</v>
      </c>
      <c r="AK160" s="9">
        <f t="shared" si="14"/>
        <v>5.291666666666667</v>
      </c>
      <c r="AL160" s="8">
        <f t="shared" si="15"/>
        <v>0.89348867685129241</v>
      </c>
      <c r="AM160" s="8">
        <f t="shared" si="16"/>
        <v>3.8999999999999993E-2</v>
      </c>
      <c r="AN160" t="str">
        <f>IF(AC160&lt;Pricing_Policy!$C$10,"Below Floor","Pass")</f>
        <v>Pass</v>
      </c>
      <c r="AO160" t="str">
        <f>IF(V160&gt;Pricing_Policy!$C$7,"Exception","Standard")</f>
        <v>Standard</v>
      </c>
      <c r="AP160" t="str">
        <f t="shared" si="17"/>
        <v>Pass</v>
      </c>
      <c r="AQ160">
        <f t="shared" si="18"/>
        <v>1</v>
      </c>
      <c r="AR160" s="8">
        <f t="shared" si="19"/>
        <v>0.69713400897465438</v>
      </c>
      <c r="AS160">
        <f t="shared" si="20"/>
        <v>1</v>
      </c>
    </row>
    <row r="161" spans="1:45">
      <c r="A161" t="str">
        <f>Deals_Raw!A161</f>
        <v>D00181</v>
      </c>
      <c r="B161">
        <f>Deals_Raw!B161</f>
        <v>45543</v>
      </c>
      <c r="C161" t="str">
        <f>Deals_Raw!C161</f>
        <v>C0049</v>
      </c>
      <c r="D161" t="str">
        <f>Deals_Raw!D161</f>
        <v>LEG-0049</v>
      </c>
      <c r="E161" t="str">
        <f>Deals_Raw!E161</f>
        <v>CT00101</v>
      </c>
      <c r="F161" t="str">
        <f>Deals_Raw!F161</f>
        <v>Finance</v>
      </c>
      <c r="G161" t="str">
        <f>Deals_Raw!G161</f>
        <v>Legal</v>
      </c>
      <c r="H161" t="str">
        <f>Deals_Raw!H161</f>
        <v>Midwest</v>
      </c>
      <c r="I161" t="str">
        <f>Deals_Raw!I161</f>
        <v>Midwest Commercial</v>
      </c>
      <c r="J161" t="str">
        <f>Deals_Raw!J161</f>
        <v>Mid-Market</v>
      </c>
      <c r="K161" t="str">
        <f>Deals_Raw!K161</f>
        <v>No</v>
      </c>
      <c r="L161">
        <f>Deals_Raw!L161</f>
        <v>44256</v>
      </c>
      <c r="M161">
        <f>Deals_Raw!M161</f>
        <v>67</v>
      </c>
      <c r="N161" t="str">
        <f>Deals_Raw!N161</f>
        <v>Nexus Insights</v>
      </c>
      <c r="O161" t="str">
        <f>Deals_Raw!O161</f>
        <v>Renewal</v>
      </c>
      <c r="P161">
        <f>Deals_Raw!P161</f>
        <v>0</v>
      </c>
      <c r="Q161">
        <f>Deals_Raw!Q161</f>
        <v>1</v>
      </c>
      <c r="R161">
        <f>Deals_Raw!R161</f>
        <v>276</v>
      </c>
      <c r="S161" t="str">
        <f>Deals_Raw!S161</f>
        <v>D. Chen</v>
      </c>
      <c r="T161" s="6">
        <f>Deals_Raw!T161</f>
        <v>63975.927724041205</v>
      </c>
      <c r="U161" s="8">
        <f>Deals_Raw!V161</f>
        <v>0.14000000000000001</v>
      </c>
      <c r="V161" s="8">
        <f>Deals_Raw!W161</f>
        <v>0.13100000000000001</v>
      </c>
      <c r="W161" s="8">
        <f>Deals_Raw!X161</f>
        <v>3.0000000000000001E-3</v>
      </c>
      <c r="X161" t="str">
        <f>Deals_Raw!Y161</f>
        <v>Volume purchase</v>
      </c>
      <c r="Y161" t="str">
        <f>Deals_Raw!Z161</f>
        <v>Pricing Analyst</v>
      </c>
      <c r="Z161" s="6">
        <f>Deals_Raw!AA161</f>
        <v>55588.875427835235</v>
      </c>
      <c r="AA161" s="6">
        <f>Deals_Raw!AC161</f>
        <v>17837.075423303704</v>
      </c>
      <c r="AB161" s="6">
        <f>Deals_Raw!AD161</f>
        <v>37751.800004531528</v>
      </c>
      <c r="AC161" s="8">
        <f>Deals_Raw!AE161</f>
        <v>0.67912508957912687</v>
      </c>
      <c r="AD161" t="str">
        <f>Deals_Raw!AF161</f>
        <v>Won</v>
      </c>
      <c r="AE161" t="str">
        <f>Deals_Raw!AG161</f>
        <v>Yes</v>
      </c>
      <c r="AF161">
        <f>Deals_Raw!AH161</f>
        <v>0</v>
      </c>
      <c r="AG161" t="str">
        <f>Deals_Raw!AI161</f>
        <v>No</v>
      </c>
      <c r="AH161" s="6">
        <f>Deals_Raw!AJ161</f>
        <v>55588.875427835235</v>
      </c>
      <c r="AI161" s="6">
        <f>Deals_Raw!AK161</f>
        <v>37751.800004531528</v>
      </c>
      <c r="AJ161" t="str">
        <f>Deals_Raw!AL161</f>
        <v>Renewal of existing active contract</v>
      </c>
      <c r="AK161" s="9">
        <f t="shared" si="14"/>
        <v>3.5194444444444444</v>
      </c>
      <c r="AL161" s="8">
        <f t="shared" si="15"/>
        <v>0.86890299844680108</v>
      </c>
      <c r="AM161" s="8">
        <f t="shared" si="16"/>
        <v>9.000000000000008E-3</v>
      </c>
      <c r="AN161" t="str">
        <f>IF(AC161&lt;Pricing_Policy!$C$10,"Below Floor","Pass")</f>
        <v>Pass</v>
      </c>
      <c r="AO161" t="str">
        <f>IF(V161&gt;Pricing_Policy!$C$7,"Exception","Standard")</f>
        <v>Standard</v>
      </c>
      <c r="AP161" t="str">
        <f t="shared" si="17"/>
        <v>Pass</v>
      </c>
      <c r="AQ161">
        <f t="shared" si="18"/>
        <v>1</v>
      </c>
      <c r="AR161" s="8">
        <f t="shared" si="19"/>
        <v>0.67912508957912687</v>
      </c>
      <c r="AS161">
        <f t="shared" si="20"/>
        <v>3</v>
      </c>
    </row>
    <row r="162" spans="1:45">
      <c r="A162" t="str">
        <f>Deals_Raw!A162</f>
        <v>D00182</v>
      </c>
      <c r="B162">
        <f>Deals_Raw!B162</f>
        <v>45758</v>
      </c>
      <c r="C162" t="str">
        <f>Deals_Raw!C162</f>
        <v>C0049</v>
      </c>
      <c r="D162" t="str">
        <f>Deals_Raw!D162</f>
        <v>LEG-0049</v>
      </c>
      <c r="E162" t="str">
        <f>Deals_Raw!E162</f>
        <v>CT00101</v>
      </c>
      <c r="F162" t="str">
        <f>Deals_Raw!F162</f>
        <v>Finance</v>
      </c>
      <c r="G162" t="str">
        <f>Deals_Raw!G162</f>
        <v>Legal</v>
      </c>
      <c r="H162" t="str">
        <f>Deals_Raw!H162</f>
        <v>Midwest</v>
      </c>
      <c r="I162" t="str">
        <f>Deals_Raw!I162</f>
        <v>Midwest Commercial</v>
      </c>
      <c r="J162" t="str">
        <f>Deals_Raw!J162</f>
        <v>Mid-Market</v>
      </c>
      <c r="K162" t="str">
        <f>Deals_Raw!K162</f>
        <v>No</v>
      </c>
      <c r="L162">
        <f>Deals_Raw!L162</f>
        <v>44256</v>
      </c>
      <c r="M162">
        <f>Deals_Raw!M162</f>
        <v>67</v>
      </c>
      <c r="N162" t="str">
        <f>Deals_Raw!N162</f>
        <v>Nexus Insights</v>
      </c>
      <c r="O162" t="str">
        <f>Deals_Raw!O162</f>
        <v>Expansion</v>
      </c>
      <c r="P162" t="str">
        <f>Deals_Raw!P162</f>
        <v>Enterprise Upgrade</v>
      </c>
      <c r="Q162">
        <f>Deals_Raw!Q162</f>
        <v>1</v>
      </c>
      <c r="R162">
        <f>Deals_Raw!R162</f>
        <v>367</v>
      </c>
      <c r="S162" t="str">
        <f>Deals_Raw!S162</f>
        <v>S. Rivera</v>
      </c>
      <c r="T162" s="6">
        <f>Deals_Raw!T162</f>
        <v>75295.617172149854</v>
      </c>
      <c r="U162" s="8">
        <f>Deals_Raw!V162</f>
        <v>0.155</v>
      </c>
      <c r="V162" s="8">
        <f>Deals_Raw!W162</f>
        <v>0.14199999999999999</v>
      </c>
      <c r="W162" s="8">
        <f>Deals_Raw!X162</f>
        <v>-5.0999999999999997E-2</v>
      </c>
      <c r="X162" t="str">
        <f>Deals_Raw!Y162</f>
        <v>Expansion opportunity</v>
      </c>
      <c r="Y162" t="str">
        <f>Deals_Raw!Z162</f>
        <v>Pricing Analyst</v>
      </c>
      <c r="Z162" s="6">
        <f>Deals_Raw!AA162</f>
        <v>64630.142418922682</v>
      </c>
      <c r="AA162" s="6">
        <f>Deals_Raw!AC162</f>
        <v>24923.022322219647</v>
      </c>
      <c r="AB162" s="6">
        <f>Deals_Raw!AD162</f>
        <v>39707.120096703031</v>
      </c>
      <c r="AC162" s="8">
        <f>Deals_Raw!AE162</f>
        <v>0.61437463404192372</v>
      </c>
      <c r="AD162" t="str">
        <f>Deals_Raw!AF162</f>
        <v>Won</v>
      </c>
      <c r="AE162">
        <f>Deals_Raw!AG162</f>
        <v>0</v>
      </c>
      <c r="AF162" t="str">
        <f>Deals_Raw!AH162</f>
        <v>Yes</v>
      </c>
      <c r="AG162" t="str">
        <f>Deals_Raw!AI162</f>
        <v>No</v>
      </c>
      <c r="AH162" s="6">
        <f>Deals_Raw!AJ162</f>
        <v>64630.142418922682</v>
      </c>
      <c r="AI162" s="6">
        <f>Deals_Raw!AK162</f>
        <v>39707.120096703031</v>
      </c>
      <c r="AJ162" t="str">
        <f>Deals_Raw!AL162</f>
        <v>Expansion allowed because contract was active</v>
      </c>
      <c r="AK162" s="9">
        <f t="shared" si="14"/>
        <v>4.1111111111111107</v>
      </c>
      <c r="AL162" s="8">
        <f t="shared" si="15"/>
        <v>0.85835198443433314</v>
      </c>
      <c r="AM162" s="8">
        <f t="shared" si="16"/>
        <v>1.3000000000000012E-2</v>
      </c>
      <c r="AN162" t="str">
        <f>IF(AC162&lt;Pricing_Policy!$C$10,"Below Floor","Pass")</f>
        <v>Pass</v>
      </c>
      <c r="AO162" t="str">
        <f>IF(V162&gt;Pricing_Policy!$C$7,"Exception","Standard")</f>
        <v>Standard</v>
      </c>
      <c r="AP162" t="str">
        <f t="shared" si="17"/>
        <v>Pass</v>
      </c>
      <c r="AQ162">
        <f t="shared" si="18"/>
        <v>1</v>
      </c>
      <c r="AR162" s="8">
        <f t="shared" si="19"/>
        <v>0.61437463404192372</v>
      </c>
      <c r="AS162">
        <f t="shared" si="20"/>
        <v>3</v>
      </c>
    </row>
    <row r="163" spans="1:45">
      <c r="A163" t="str">
        <f>Deals_Raw!A163</f>
        <v>D00183</v>
      </c>
      <c r="B163">
        <f>Deals_Raw!B163</f>
        <v>45908</v>
      </c>
      <c r="C163" t="str">
        <f>Deals_Raw!C163</f>
        <v>C0049</v>
      </c>
      <c r="D163" t="str">
        <f>Deals_Raw!D163</f>
        <v>LEG-0049</v>
      </c>
      <c r="E163" t="str">
        <f>Deals_Raw!E163</f>
        <v>CT00101</v>
      </c>
      <c r="F163" t="str">
        <f>Deals_Raw!F163</f>
        <v>Finance</v>
      </c>
      <c r="G163" t="str">
        <f>Deals_Raw!G163</f>
        <v>Legal</v>
      </c>
      <c r="H163" t="str">
        <f>Deals_Raw!H163</f>
        <v>Midwest</v>
      </c>
      <c r="I163" t="str">
        <f>Deals_Raw!I163</f>
        <v>Midwest Commercial</v>
      </c>
      <c r="J163" t="str">
        <f>Deals_Raw!J163</f>
        <v>Mid-Market</v>
      </c>
      <c r="K163" t="str">
        <f>Deals_Raw!K163</f>
        <v>No</v>
      </c>
      <c r="L163">
        <f>Deals_Raw!L163</f>
        <v>44256</v>
      </c>
      <c r="M163">
        <f>Deals_Raw!M163</f>
        <v>67</v>
      </c>
      <c r="N163" t="str">
        <f>Deals_Raw!N163</f>
        <v>Nexus Insights</v>
      </c>
      <c r="O163" t="str">
        <f>Deals_Raw!O163</f>
        <v>Renewal</v>
      </c>
      <c r="P163">
        <f>Deals_Raw!P163</f>
        <v>0</v>
      </c>
      <c r="Q163">
        <f>Deals_Raw!Q163</f>
        <v>1</v>
      </c>
      <c r="R163">
        <f>Deals_Raw!R163</f>
        <v>367</v>
      </c>
      <c r="S163" t="str">
        <f>Deals_Raw!S163</f>
        <v>M. Johnson</v>
      </c>
      <c r="T163" s="6">
        <f>Deals_Raw!T163</f>
        <v>77956.056522961255</v>
      </c>
      <c r="U163" s="8">
        <f>Deals_Raw!V163</f>
        <v>8.7999999999999995E-2</v>
      </c>
      <c r="V163" s="8">
        <f>Deals_Raw!W163</f>
        <v>4.4999999999999998E-2</v>
      </c>
      <c r="W163" s="8">
        <f>Deals_Raw!X163</f>
        <v>3.7999999999999999E-2</v>
      </c>
      <c r="X163" t="str">
        <f>Deals_Raw!Y163</f>
        <v>Expansion opportunity</v>
      </c>
      <c r="Y163" t="str">
        <f>Deals_Raw!Z163</f>
        <v>Sales Manager</v>
      </c>
      <c r="Z163" s="6">
        <f>Deals_Raw!AA163</f>
        <v>74437.255117224166</v>
      </c>
      <c r="AA163" s="6">
        <f>Deals_Raw!AC163</f>
        <v>17814.331314686551</v>
      </c>
      <c r="AB163" s="6">
        <f>Deals_Raw!AD163</f>
        <v>56622.923802537611</v>
      </c>
      <c r="AC163" s="8">
        <f>Deals_Raw!AE163</f>
        <v>0.76067990031829547</v>
      </c>
      <c r="AD163" t="str">
        <f>Deals_Raw!AF163</f>
        <v>Won</v>
      </c>
      <c r="AE163" t="str">
        <f>Deals_Raw!AG163</f>
        <v>Yes</v>
      </c>
      <c r="AF163">
        <f>Deals_Raw!AH163</f>
        <v>0</v>
      </c>
      <c r="AG163" t="str">
        <f>Deals_Raw!AI163</f>
        <v>No</v>
      </c>
      <c r="AH163" s="6">
        <f>Deals_Raw!AJ163</f>
        <v>74437.255117224166</v>
      </c>
      <c r="AI163" s="6">
        <f>Deals_Raw!AK163</f>
        <v>56622.923802537611</v>
      </c>
      <c r="AJ163" t="str">
        <f>Deals_Raw!AL163</f>
        <v>Renewal of existing active contract</v>
      </c>
      <c r="AK163" s="9">
        <f t="shared" si="14"/>
        <v>4.5194444444444448</v>
      </c>
      <c r="AL163" s="8">
        <f t="shared" si="15"/>
        <v>0.95486173156154119</v>
      </c>
      <c r="AM163" s="8">
        <f t="shared" si="16"/>
        <v>4.2999999999999997E-2</v>
      </c>
      <c r="AN163" t="str">
        <f>IF(AC163&lt;Pricing_Policy!$C$10,"Below Floor","Pass")</f>
        <v>Pass</v>
      </c>
      <c r="AO163" t="str">
        <f>IF(V163&gt;Pricing_Policy!$C$7,"Exception","Standard")</f>
        <v>Standard</v>
      </c>
      <c r="AP163" t="str">
        <f t="shared" si="17"/>
        <v>Pass</v>
      </c>
      <c r="AQ163">
        <f t="shared" si="18"/>
        <v>1</v>
      </c>
      <c r="AR163" s="8">
        <f t="shared" si="19"/>
        <v>0.76067990031829547</v>
      </c>
      <c r="AS163">
        <f t="shared" si="20"/>
        <v>3</v>
      </c>
    </row>
    <row r="164" spans="1:45">
      <c r="A164" t="str">
        <f>Deals_Raw!A164</f>
        <v>D00184</v>
      </c>
      <c r="B164">
        <f>Deals_Raw!B164</f>
        <v>45836</v>
      </c>
      <c r="C164" t="str">
        <f>Deals_Raw!C164</f>
        <v>C0050</v>
      </c>
      <c r="D164" t="str">
        <f>Deals_Raw!D164</f>
        <v>PUB-0050</v>
      </c>
      <c r="E164" t="str">
        <f>Deals_Raw!E164</f>
        <v>CT00102</v>
      </c>
      <c r="F164" t="str">
        <f>Deals_Raw!F164</f>
        <v>Technology</v>
      </c>
      <c r="G164" t="str">
        <f>Deals_Raw!G164</f>
        <v>Public Sector</v>
      </c>
      <c r="H164" t="str">
        <f>Deals_Raw!H164</f>
        <v>Northeast</v>
      </c>
      <c r="I164" t="str">
        <f>Deals_Raw!I164</f>
        <v>Northeast Commercial</v>
      </c>
      <c r="J164" t="str">
        <f>Deals_Raw!J164</f>
        <v>Mid-Market</v>
      </c>
      <c r="K164" t="str">
        <f>Deals_Raw!K164</f>
        <v>No</v>
      </c>
      <c r="L164">
        <f>Deals_Raw!L164</f>
        <v>44652</v>
      </c>
      <c r="M164">
        <f>Deals_Raw!M164</f>
        <v>81</v>
      </c>
      <c r="N164" t="str">
        <f>Deals_Raw!N164</f>
        <v>Nexus Compliance</v>
      </c>
      <c r="O164" t="str">
        <f>Deals_Raw!O164</f>
        <v>New Business</v>
      </c>
      <c r="P164">
        <f>Deals_Raw!P164</f>
        <v>0</v>
      </c>
      <c r="Q164">
        <f>Deals_Raw!Q164</f>
        <v>3</v>
      </c>
      <c r="R164">
        <f>Deals_Raw!R164</f>
        <v>77</v>
      </c>
      <c r="S164" t="str">
        <f>Deals_Raw!S164</f>
        <v>D. Chen</v>
      </c>
      <c r="T164" s="6">
        <f>Deals_Raw!T164</f>
        <v>119488.28879321752</v>
      </c>
      <c r="U164" s="8">
        <f>Deals_Raw!V164</f>
        <v>8.1000000000000003E-2</v>
      </c>
      <c r="V164" s="8">
        <f>Deals_Raw!W164</f>
        <v>6.2E-2</v>
      </c>
      <c r="W164" s="8">
        <f>Deals_Raw!X164</f>
        <v>7.9000000000000001E-2</v>
      </c>
      <c r="X164" t="str">
        <f>Deals_Raw!Y164</f>
        <v>Multi-year commitment</v>
      </c>
      <c r="Y164" t="str">
        <f>Deals_Raw!Z164</f>
        <v>Sales Manager</v>
      </c>
      <c r="Z164" s="6">
        <f>Deals_Raw!AA164</f>
        <v>112099.98384088035</v>
      </c>
      <c r="AA164" s="6">
        <f>Deals_Raw!AC164</f>
        <v>40424.103751544892</v>
      </c>
      <c r="AB164" s="6">
        <f>Deals_Raw!AD164</f>
        <v>71675.880089335464</v>
      </c>
      <c r="AC164" s="8">
        <f>Deals_Raw!AE164</f>
        <v>0.63939242124312312</v>
      </c>
      <c r="AD164" t="str">
        <f>Deals_Raw!AF164</f>
        <v>Won</v>
      </c>
      <c r="AE164">
        <f>Deals_Raw!AG164</f>
        <v>0</v>
      </c>
      <c r="AF164">
        <f>Deals_Raw!AH164</f>
        <v>0</v>
      </c>
      <c r="AG164" t="str">
        <f>Deals_Raw!AI164</f>
        <v>No</v>
      </c>
      <c r="AH164" s="6">
        <f>Deals_Raw!AJ164</f>
        <v>112099.98384088035</v>
      </c>
      <c r="AI164" s="6">
        <f>Deals_Raw!AK164</f>
        <v>71675.880089335464</v>
      </c>
      <c r="AJ164" t="str">
        <f>Deals_Raw!AL164</f>
        <v>First purchase under this contract</v>
      </c>
      <c r="AK164" s="9">
        <f t="shared" si="14"/>
        <v>3.2416666666666667</v>
      </c>
      <c r="AL164" s="8">
        <f t="shared" si="15"/>
        <v>0.93816712058599205</v>
      </c>
      <c r="AM164" s="8">
        <f t="shared" si="16"/>
        <v>1.9000000000000003E-2</v>
      </c>
      <c r="AN164" t="str">
        <f>IF(AC164&lt;Pricing_Policy!$C$10,"Below Floor","Pass")</f>
        <v>Pass</v>
      </c>
      <c r="AO164" t="str">
        <f>IF(V164&gt;Pricing_Policy!$C$7,"Exception","Standard")</f>
        <v>Standard</v>
      </c>
      <c r="AP164" t="str">
        <f t="shared" si="17"/>
        <v>Pass</v>
      </c>
      <c r="AQ164">
        <f t="shared" si="18"/>
        <v>1</v>
      </c>
      <c r="AR164" s="8">
        <f t="shared" si="19"/>
        <v>0.63939242124312312</v>
      </c>
      <c r="AS164">
        <f t="shared" si="20"/>
        <v>1</v>
      </c>
    </row>
    <row r="165" spans="1:45">
      <c r="A165" t="str">
        <f>Deals_Raw!A165</f>
        <v>D00185</v>
      </c>
      <c r="B165">
        <f>Deals_Raw!B165</f>
        <v>45814</v>
      </c>
      <c r="C165" t="str">
        <f>Deals_Raw!C165</f>
        <v>C0051</v>
      </c>
      <c r="D165" t="str">
        <f>Deals_Raw!D165</f>
        <v>HEA-0051</v>
      </c>
      <c r="E165" t="str">
        <f>Deals_Raw!E165</f>
        <v>CT00103</v>
      </c>
      <c r="F165" t="str">
        <f>Deals_Raw!F165</f>
        <v>Finance</v>
      </c>
      <c r="G165" t="str">
        <f>Deals_Raw!G165</f>
        <v>Healthcare</v>
      </c>
      <c r="H165" t="str">
        <f>Deals_Raw!H165</f>
        <v>South</v>
      </c>
      <c r="I165" t="str">
        <f>Deals_Raw!I165</f>
        <v>South Commercial</v>
      </c>
      <c r="J165" t="str">
        <f>Deals_Raw!J165</f>
        <v>SMB</v>
      </c>
      <c r="K165" t="str">
        <f>Deals_Raw!K165</f>
        <v>No</v>
      </c>
      <c r="L165">
        <f>Deals_Raw!L165</f>
        <v>43617</v>
      </c>
      <c r="M165">
        <f>Deals_Raw!M165</f>
        <v>60</v>
      </c>
      <c r="N165" t="str">
        <f>Deals_Raw!N165</f>
        <v>Nexus Analytics</v>
      </c>
      <c r="O165" t="str">
        <f>Deals_Raw!O165</f>
        <v>New Business</v>
      </c>
      <c r="P165">
        <f>Deals_Raw!P165</f>
        <v>0</v>
      </c>
      <c r="Q165">
        <f>Deals_Raw!Q165</f>
        <v>3</v>
      </c>
      <c r="R165">
        <f>Deals_Raw!R165</f>
        <v>44</v>
      </c>
      <c r="S165" t="str">
        <f>Deals_Raw!S165</f>
        <v>R. Singh</v>
      </c>
      <c r="T165" s="6">
        <f>Deals_Raw!T165</f>
        <v>50192.74996666333</v>
      </c>
      <c r="U165" s="8">
        <f>Deals_Raw!V165</f>
        <v>0.17100000000000001</v>
      </c>
      <c r="V165" s="8">
        <f>Deals_Raw!W165</f>
        <v>0.16300000000000001</v>
      </c>
      <c r="W165" s="8">
        <f>Deals_Raw!X165</f>
        <v>0.128</v>
      </c>
      <c r="X165" t="str">
        <f>Deals_Raw!Y165</f>
        <v>Procurement requirement</v>
      </c>
      <c r="Y165" t="str">
        <f>Deals_Raw!Z165</f>
        <v>Pricing Analyst</v>
      </c>
      <c r="Z165" s="6">
        <f>Deals_Raw!AA165</f>
        <v>42001.266497403536</v>
      </c>
      <c r="AA165" s="6">
        <f>Deals_Raw!AC165</f>
        <v>17352.568073254781</v>
      </c>
      <c r="AB165" s="6">
        <f>Deals_Raw!AD165</f>
        <v>24648.698424148755</v>
      </c>
      <c r="AC165" s="8">
        <f>Deals_Raw!AE165</f>
        <v>0.58685607553459151</v>
      </c>
      <c r="AD165" t="str">
        <f>Deals_Raw!AF165</f>
        <v>Lost</v>
      </c>
      <c r="AE165">
        <f>Deals_Raw!AG165</f>
        <v>0</v>
      </c>
      <c r="AF165">
        <f>Deals_Raw!AH165</f>
        <v>0</v>
      </c>
      <c r="AG165" t="str">
        <f>Deals_Raw!AI165</f>
        <v>No</v>
      </c>
      <c r="AH165" s="6">
        <f>Deals_Raw!AJ165</f>
        <v>0</v>
      </c>
      <c r="AI165" s="6">
        <f>Deals_Raw!AK165</f>
        <v>0</v>
      </c>
      <c r="AJ165" t="str">
        <f>Deals_Raw!AL165</f>
        <v>First purchase under this contract</v>
      </c>
      <c r="AK165" s="9">
        <f t="shared" si="14"/>
        <v>6.0138888888888893</v>
      </c>
      <c r="AL165" s="8">
        <f t="shared" si="15"/>
        <v>0.83679946855471443</v>
      </c>
      <c r="AM165" s="8">
        <f t="shared" si="16"/>
        <v>8.0000000000000071E-3</v>
      </c>
      <c r="AN165" t="str">
        <f>IF(AC165&lt;Pricing_Policy!$C$10,"Below Floor","Pass")</f>
        <v>Pass</v>
      </c>
      <c r="AO165" t="str">
        <f>IF(V165&gt;Pricing_Policy!$C$7,"Exception","Standard")</f>
        <v>Standard</v>
      </c>
      <c r="AP165" t="str">
        <f t="shared" si="17"/>
        <v>Pass</v>
      </c>
      <c r="AQ165">
        <f t="shared" si="18"/>
        <v>0</v>
      </c>
      <c r="AR165" s="8">
        <f t="shared" si="19"/>
        <v>0</v>
      </c>
      <c r="AS165">
        <f t="shared" si="20"/>
        <v>1</v>
      </c>
    </row>
    <row r="166" spans="1:45">
      <c r="A166" t="str">
        <f>Deals_Raw!A166</f>
        <v>D00186</v>
      </c>
      <c r="B166">
        <f>Deals_Raw!B166</f>
        <v>45843</v>
      </c>
      <c r="C166" t="str">
        <f>Deals_Raw!C166</f>
        <v>C0051</v>
      </c>
      <c r="D166" t="str">
        <f>Deals_Raw!D166</f>
        <v>HEA-0051</v>
      </c>
      <c r="E166" t="str">
        <f>Deals_Raw!E166</f>
        <v>CT00104</v>
      </c>
      <c r="F166" t="str">
        <f>Deals_Raw!F166</f>
        <v>Finance</v>
      </c>
      <c r="G166" t="str">
        <f>Deals_Raw!G166</f>
        <v>Healthcare</v>
      </c>
      <c r="H166" t="str">
        <f>Deals_Raw!H166</f>
        <v>South</v>
      </c>
      <c r="I166" t="str">
        <f>Deals_Raw!I166</f>
        <v>South Commercial</v>
      </c>
      <c r="J166" t="str">
        <f>Deals_Raw!J166</f>
        <v>SMB</v>
      </c>
      <c r="K166" t="str">
        <f>Deals_Raw!K166</f>
        <v>No</v>
      </c>
      <c r="L166">
        <f>Deals_Raw!L166</f>
        <v>43617</v>
      </c>
      <c r="M166">
        <f>Deals_Raw!M166</f>
        <v>60</v>
      </c>
      <c r="N166" t="str">
        <f>Deals_Raw!N166</f>
        <v>Nexus Insights</v>
      </c>
      <c r="O166" t="str">
        <f>Deals_Raw!O166</f>
        <v>Renewal</v>
      </c>
      <c r="P166">
        <f>Deals_Raw!P166</f>
        <v>0</v>
      </c>
      <c r="Q166">
        <f>Deals_Raw!Q166</f>
        <v>2</v>
      </c>
      <c r="R166">
        <f>Deals_Raw!R166</f>
        <v>37</v>
      </c>
      <c r="S166" t="str">
        <f>Deals_Raw!S166</f>
        <v>T. Brooks</v>
      </c>
      <c r="T166" s="6">
        <f>Deals_Raw!T166</f>
        <v>24830.625364557556</v>
      </c>
      <c r="U166" s="8">
        <f>Deals_Raw!V166</f>
        <v>0.156</v>
      </c>
      <c r="V166" s="8">
        <f>Deals_Raw!W166</f>
        <v>0.154</v>
      </c>
      <c r="W166" s="8">
        <f>Deals_Raw!X166</f>
        <v>-4.4999999999999998E-2</v>
      </c>
      <c r="X166" t="str">
        <f>Deals_Raw!Y166</f>
        <v>Renewal retention risk</v>
      </c>
      <c r="Y166" t="str">
        <f>Deals_Raw!Z166</f>
        <v>Pricing Analyst</v>
      </c>
      <c r="Z166" s="6">
        <f>Deals_Raw!AA166</f>
        <v>21011.535292102806</v>
      </c>
      <c r="AA166" s="6">
        <f>Deals_Raw!AC166</f>
        <v>6444.6001077292367</v>
      </c>
      <c r="AB166" s="6">
        <f>Deals_Raw!AD166</f>
        <v>14566.935184373569</v>
      </c>
      <c r="AC166" s="8">
        <f>Deals_Raw!AE166</f>
        <v>0.69328276024877433</v>
      </c>
      <c r="AD166" t="str">
        <f>Deals_Raw!AF166</f>
        <v>Won</v>
      </c>
      <c r="AE166" t="str">
        <f>Deals_Raw!AG166</f>
        <v>Yes</v>
      </c>
      <c r="AF166">
        <f>Deals_Raw!AH166</f>
        <v>0</v>
      </c>
      <c r="AG166" t="str">
        <f>Deals_Raw!AI166</f>
        <v>No</v>
      </c>
      <c r="AH166" s="6">
        <f>Deals_Raw!AJ166</f>
        <v>21011.535292102806</v>
      </c>
      <c r="AI166" s="6">
        <f>Deals_Raw!AK166</f>
        <v>14566.935184373569</v>
      </c>
      <c r="AJ166" t="str">
        <f>Deals_Raw!AL166</f>
        <v>Renewal of existing active contract</v>
      </c>
      <c r="AK166" s="9">
        <f t="shared" si="14"/>
        <v>6.0944444444444441</v>
      </c>
      <c r="AL166" s="8">
        <f t="shared" si="15"/>
        <v>0.84619436617548915</v>
      </c>
      <c r="AM166" s="8">
        <f t="shared" si="16"/>
        <v>2.0000000000000018E-3</v>
      </c>
      <c r="AN166" t="str">
        <f>IF(AC166&lt;Pricing_Policy!$C$10,"Below Floor","Pass")</f>
        <v>Pass</v>
      </c>
      <c r="AO166" t="str">
        <f>IF(V166&gt;Pricing_Policy!$C$7,"Exception","Standard")</f>
        <v>Standard</v>
      </c>
      <c r="AP166" t="str">
        <f t="shared" si="17"/>
        <v>Pass</v>
      </c>
      <c r="AQ166">
        <f t="shared" si="18"/>
        <v>1</v>
      </c>
      <c r="AR166" s="8">
        <f t="shared" si="19"/>
        <v>0.69328276024877433</v>
      </c>
      <c r="AS166">
        <f t="shared" si="20"/>
        <v>1</v>
      </c>
    </row>
    <row r="167" spans="1:45">
      <c r="A167" t="str">
        <f>Deals_Raw!A167</f>
        <v>D00187</v>
      </c>
      <c r="B167">
        <f>Deals_Raw!B167</f>
        <v>45642</v>
      </c>
      <c r="C167" t="str">
        <f>Deals_Raw!C167</f>
        <v>C0052</v>
      </c>
      <c r="D167" t="str">
        <f>Deals_Raw!D167</f>
        <v>PUB-0052</v>
      </c>
      <c r="E167" t="str">
        <f>Deals_Raw!E167</f>
        <v>CT00106</v>
      </c>
      <c r="F167" t="str">
        <f>Deals_Raw!F167</f>
        <v>Corporate</v>
      </c>
      <c r="G167" t="str">
        <f>Deals_Raw!G167</f>
        <v>Public Sector</v>
      </c>
      <c r="H167" t="str">
        <f>Deals_Raw!H167</f>
        <v>Northeast</v>
      </c>
      <c r="I167" t="str">
        <f>Deals_Raw!I167</f>
        <v>Northeast Commercial</v>
      </c>
      <c r="J167" t="str">
        <f>Deals_Raw!J167</f>
        <v>SMB</v>
      </c>
      <c r="K167" t="str">
        <f>Deals_Raw!K167</f>
        <v>No</v>
      </c>
      <c r="L167">
        <f>Deals_Raw!L167</f>
        <v>44652</v>
      </c>
      <c r="M167">
        <f>Deals_Raw!M167</f>
        <v>47</v>
      </c>
      <c r="N167" t="str">
        <f>Deals_Raw!N167</f>
        <v>Nexus Compliance</v>
      </c>
      <c r="O167" t="str">
        <f>Deals_Raw!O167</f>
        <v>New Business</v>
      </c>
      <c r="P167">
        <f>Deals_Raw!P167</f>
        <v>0</v>
      </c>
      <c r="Q167">
        <f>Deals_Raw!Q167</f>
        <v>3</v>
      </c>
      <c r="R167">
        <f>Deals_Raw!R167</f>
        <v>19</v>
      </c>
      <c r="S167" t="str">
        <f>Deals_Raw!S167</f>
        <v>K. Nguyen</v>
      </c>
      <c r="T167" s="6">
        <f>Deals_Raw!T167</f>
        <v>89723.612557179396</v>
      </c>
      <c r="U167" s="8">
        <f>Deals_Raw!V167</f>
        <v>9.8000000000000004E-2</v>
      </c>
      <c r="V167" s="8">
        <f>Deals_Raw!W167</f>
        <v>7.6999999999999999E-2</v>
      </c>
      <c r="W167" s="8">
        <f>Deals_Raw!X167</f>
        <v>-0.04</v>
      </c>
      <c r="X167" t="str">
        <f>Deals_Raw!Y167</f>
        <v>Multi-year commitment</v>
      </c>
      <c r="Y167" t="str">
        <f>Deals_Raw!Z167</f>
        <v>Sales Manager</v>
      </c>
      <c r="Z167" s="6">
        <f>Deals_Raw!AA167</f>
        <v>82778.508137629877</v>
      </c>
      <c r="AA167" s="6">
        <f>Deals_Raw!AC167</f>
        <v>29644.954300996298</v>
      </c>
      <c r="AB167" s="6">
        <f>Deals_Raw!AD167</f>
        <v>53133.553836633582</v>
      </c>
      <c r="AC167" s="8">
        <f>Deals_Raw!AE167</f>
        <v>0.64187619506614257</v>
      </c>
      <c r="AD167" t="str">
        <f>Deals_Raw!AF167</f>
        <v>Won</v>
      </c>
      <c r="AE167">
        <f>Deals_Raw!AG167</f>
        <v>0</v>
      </c>
      <c r="AF167">
        <f>Deals_Raw!AH167</f>
        <v>0</v>
      </c>
      <c r="AG167" t="str">
        <f>Deals_Raw!AI167</f>
        <v>No</v>
      </c>
      <c r="AH167" s="6">
        <f>Deals_Raw!AJ167</f>
        <v>82778.508137629877</v>
      </c>
      <c r="AI167" s="6">
        <f>Deals_Raw!AK167</f>
        <v>53133.553836633582</v>
      </c>
      <c r="AJ167" t="str">
        <f>Deals_Raw!AL167</f>
        <v>First purchase under this contract</v>
      </c>
      <c r="AK167" s="9">
        <f t="shared" si="14"/>
        <v>2.7083333333333335</v>
      </c>
      <c r="AL167" s="8">
        <f t="shared" si="15"/>
        <v>0.92259446291104785</v>
      </c>
      <c r="AM167" s="8">
        <f t="shared" si="16"/>
        <v>2.1000000000000005E-2</v>
      </c>
      <c r="AN167" t="str">
        <f>IF(AC167&lt;Pricing_Policy!$C$10,"Below Floor","Pass")</f>
        <v>Pass</v>
      </c>
      <c r="AO167" t="str">
        <f>IF(V167&gt;Pricing_Policy!$C$7,"Exception","Standard")</f>
        <v>Standard</v>
      </c>
      <c r="AP167" t="str">
        <f t="shared" si="17"/>
        <v>Pass</v>
      </c>
      <c r="AQ167">
        <f t="shared" si="18"/>
        <v>1</v>
      </c>
      <c r="AR167" s="8">
        <f t="shared" si="19"/>
        <v>0.64187619506614257</v>
      </c>
      <c r="AS167">
        <f t="shared" si="20"/>
        <v>1</v>
      </c>
    </row>
    <row r="168" spans="1:45">
      <c r="A168" t="str">
        <f>Deals_Raw!A168</f>
        <v>D00188</v>
      </c>
      <c r="B168">
        <f>Deals_Raw!B168</f>
        <v>45790</v>
      </c>
      <c r="C168" t="str">
        <f>Deals_Raw!C168</f>
        <v>C0053</v>
      </c>
      <c r="D168" t="str">
        <f>Deals_Raw!D168</f>
        <v>MAN-0053</v>
      </c>
      <c r="E168" t="str">
        <f>Deals_Raw!E168</f>
        <v>CT00107</v>
      </c>
      <c r="F168" t="str">
        <f>Deals_Raw!F168</f>
        <v>Corporate</v>
      </c>
      <c r="G168" t="str">
        <f>Deals_Raw!G168</f>
        <v>Manufacturing</v>
      </c>
      <c r="H168" t="str">
        <f>Deals_Raw!H168</f>
        <v>Midwest</v>
      </c>
      <c r="I168" t="str">
        <f>Deals_Raw!I168</f>
        <v>Midwest Enterprise</v>
      </c>
      <c r="J168" t="str">
        <f>Deals_Raw!J168</f>
        <v>Enterprise</v>
      </c>
      <c r="K168" t="str">
        <f>Deals_Raw!K168</f>
        <v>Yes</v>
      </c>
      <c r="L168">
        <f>Deals_Raw!L168</f>
        <v>43891</v>
      </c>
      <c r="M168">
        <f>Deals_Raw!M168</f>
        <v>71</v>
      </c>
      <c r="N168" t="str">
        <f>Deals_Raw!N168</f>
        <v>Nexus Analytics</v>
      </c>
      <c r="O168" t="str">
        <f>Deals_Raw!O168</f>
        <v>New Business</v>
      </c>
      <c r="P168">
        <f>Deals_Raw!P168</f>
        <v>0</v>
      </c>
      <c r="Q168">
        <f>Deals_Raw!Q168</f>
        <v>3</v>
      </c>
      <c r="R168">
        <f>Deals_Raw!R168</f>
        <v>376</v>
      </c>
      <c r="S168" t="str">
        <f>Deals_Raw!S168</f>
        <v>T. Brooks</v>
      </c>
      <c r="T168" s="6">
        <f>Deals_Raw!T168</f>
        <v>276489.04389229312</v>
      </c>
      <c r="U168" s="8">
        <f>Deals_Raw!V168</f>
        <v>0.17699999999999999</v>
      </c>
      <c r="V168" s="8">
        <f>Deals_Raw!W168</f>
        <v>0.13300000000000001</v>
      </c>
      <c r="W168" s="8">
        <f>Deals_Raw!X168</f>
        <v>-0.109</v>
      </c>
      <c r="X168" t="str">
        <f>Deals_Raw!Y168</f>
        <v>Expansion opportunity</v>
      </c>
      <c r="Y168" t="str">
        <f>Deals_Raw!Z168</f>
        <v>Pricing Analyst</v>
      </c>
      <c r="Z168" s="6">
        <f>Deals_Raw!AA168</f>
        <v>239746.95446042126</v>
      </c>
      <c r="AA168" s="6">
        <f>Deals_Raw!AC168</f>
        <v>107628.86182651384</v>
      </c>
      <c r="AB168" s="6">
        <f>Deals_Raw!AD168</f>
        <v>132118.09263390742</v>
      </c>
      <c r="AC168" s="8">
        <f>Deals_Raw!AE168</f>
        <v>0.55107308007834654</v>
      </c>
      <c r="AD168" t="str">
        <f>Deals_Raw!AF168</f>
        <v>Lost</v>
      </c>
      <c r="AE168">
        <f>Deals_Raw!AG168</f>
        <v>0</v>
      </c>
      <c r="AF168">
        <f>Deals_Raw!AH168</f>
        <v>0</v>
      </c>
      <c r="AG168" t="str">
        <f>Deals_Raw!AI168</f>
        <v>No</v>
      </c>
      <c r="AH168" s="6">
        <f>Deals_Raw!AJ168</f>
        <v>0</v>
      </c>
      <c r="AI168" s="6">
        <f>Deals_Raw!AK168</f>
        <v>0</v>
      </c>
      <c r="AJ168" t="str">
        <f>Deals_Raw!AL168</f>
        <v>First purchase under this contract</v>
      </c>
      <c r="AK168" s="9">
        <f t="shared" si="14"/>
        <v>5.2</v>
      </c>
      <c r="AL168" s="8">
        <f t="shared" si="15"/>
        <v>0.86711195165409582</v>
      </c>
      <c r="AM168" s="8">
        <f t="shared" si="16"/>
        <v>4.3999999999999984E-2</v>
      </c>
      <c r="AN168" t="str">
        <f>IF(AC168&lt;Pricing_Policy!$C$10,"Below Floor","Pass")</f>
        <v>Pass</v>
      </c>
      <c r="AO168" t="str">
        <f>IF(V168&gt;Pricing_Policy!$C$7,"Exception","Standard")</f>
        <v>Standard</v>
      </c>
      <c r="AP168" t="str">
        <f t="shared" si="17"/>
        <v>Pass</v>
      </c>
      <c r="AQ168">
        <f t="shared" si="18"/>
        <v>0</v>
      </c>
      <c r="AR168" s="8">
        <f t="shared" si="19"/>
        <v>0</v>
      </c>
      <c r="AS168">
        <f t="shared" si="20"/>
        <v>1</v>
      </c>
    </row>
    <row r="169" spans="1:45">
      <c r="A169" t="str">
        <f>Deals_Raw!A169</f>
        <v>D00189</v>
      </c>
      <c r="B169">
        <f>Deals_Raw!B169</f>
        <v>45399</v>
      </c>
      <c r="C169" t="str">
        <f>Deals_Raw!C169</f>
        <v>C0054</v>
      </c>
      <c r="D169" t="str">
        <f>Deals_Raw!D169</f>
        <v>FIN-0054</v>
      </c>
      <c r="E169" t="str">
        <f>Deals_Raw!E169</f>
        <v>CT00109</v>
      </c>
      <c r="F169" t="str">
        <f>Deals_Raw!F169</f>
        <v>Technology</v>
      </c>
      <c r="G169" t="str">
        <f>Deals_Raw!G169</f>
        <v>Financial Services</v>
      </c>
      <c r="H169" t="str">
        <f>Deals_Raw!H169</f>
        <v>West</v>
      </c>
      <c r="I169" t="str">
        <f>Deals_Raw!I169</f>
        <v>West Commercial</v>
      </c>
      <c r="J169" t="str">
        <f>Deals_Raw!J169</f>
        <v>Mid-Market</v>
      </c>
      <c r="K169" t="str">
        <f>Deals_Raw!K169</f>
        <v>No</v>
      </c>
      <c r="L169">
        <f>Deals_Raw!L169</f>
        <v>45108</v>
      </c>
      <c r="M169">
        <f>Deals_Raw!M169</f>
        <v>78</v>
      </c>
      <c r="N169" t="str">
        <f>Deals_Raw!N169</f>
        <v>Nexus Insights</v>
      </c>
      <c r="O169" t="str">
        <f>Deals_Raw!O169</f>
        <v>New Business</v>
      </c>
      <c r="P169">
        <f>Deals_Raw!P169</f>
        <v>0</v>
      </c>
      <c r="Q169">
        <f>Deals_Raw!Q169</f>
        <v>3</v>
      </c>
      <c r="R169">
        <f>Deals_Raw!R169</f>
        <v>253</v>
      </c>
      <c r="S169" t="str">
        <f>Deals_Raw!S169</f>
        <v>K. Nguyen</v>
      </c>
      <c r="T169" s="6">
        <f>Deals_Raw!T169</f>
        <v>59095.03090117676</v>
      </c>
      <c r="U169" s="8">
        <f>Deals_Raw!V169</f>
        <v>0.151</v>
      </c>
      <c r="V169" s="8">
        <f>Deals_Raw!W169</f>
        <v>0.14699999999999999</v>
      </c>
      <c r="W169" s="8">
        <f>Deals_Raw!X169</f>
        <v>-6.8000000000000005E-2</v>
      </c>
      <c r="X169" t="str">
        <f>Deals_Raw!Y169</f>
        <v>Multi-year commitment</v>
      </c>
      <c r="Y169" t="str">
        <f>Deals_Raw!Z169</f>
        <v>Pricing Analyst</v>
      </c>
      <c r="Z169" s="6">
        <f>Deals_Raw!AA169</f>
        <v>50399.906622299583</v>
      </c>
      <c r="AA169" s="6">
        <f>Deals_Raw!AC169</f>
        <v>19946.983461372525</v>
      </c>
      <c r="AB169" s="6">
        <f>Deals_Raw!AD169</f>
        <v>30452.923160927057</v>
      </c>
      <c r="AC169" s="8">
        <f>Deals_Raw!AE169</f>
        <v>0.60422578535994897</v>
      </c>
      <c r="AD169" t="str">
        <f>Deals_Raw!AF169</f>
        <v>Lost</v>
      </c>
      <c r="AE169">
        <f>Deals_Raw!AG169</f>
        <v>0</v>
      </c>
      <c r="AF169">
        <f>Deals_Raw!AH169</f>
        <v>0</v>
      </c>
      <c r="AG169" t="str">
        <f>Deals_Raw!AI169</f>
        <v>No</v>
      </c>
      <c r="AH169" s="6">
        <f>Deals_Raw!AJ169</f>
        <v>0</v>
      </c>
      <c r="AI169" s="6">
        <f>Deals_Raw!AK169</f>
        <v>0</v>
      </c>
      <c r="AJ169" t="str">
        <f>Deals_Raw!AL169</f>
        <v>First purchase under this contract</v>
      </c>
      <c r="AK169" s="9">
        <f t="shared" si="14"/>
        <v>0.7944444444444444</v>
      </c>
      <c r="AL169" s="8">
        <f t="shared" si="15"/>
        <v>0.85286200639411069</v>
      </c>
      <c r="AM169" s="8">
        <f t="shared" si="16"/>
        <v>4.0000000000000036E-3</v>
      </c>
      <c r="AN169" t="str">
        <f>IF(AC169&lt;Pricing_Policy!$C$10,"Below Floor","Pass")</f>
        <v>Pass</v>
      </c>
      <c r="AO169" t="str">
        <f>IF(V169&gt;Pricing_Policy!$C$7,"Exception","Standard")</f>
        <v>Standard</v>
      </c>
      <c r="AP169" t="str">
        <f t="shared" si="17"/>
        <v>Pass</v>
      </c>
      <c r="AQ169">
        <f t="shared" si="18"/>
        <v>0</v>
      </c>
      <c r="AR169" s="8">
        <f t="shared" si="19"/>
        <v>0</v>
      </c>
      <c r="AS169">
        <f t="shared" si="20"/>
        <v>1</v>
      </c>
    </row>
    <row r="170" spans="1:45">
      <c r="A170" t="str">
        <f>Deals_Raw!A170</f>
        <v>D00190</v>
      </c>
      <c r="B170">
        <f>Deals_Raw!B170</f>
        <v>45404</v>
      </c>
      <c r="C170" t="str">
        <f>Deals_Raw!C170</f>
        <v>C0054</v>
      </c>
      <c r="D170" t="str">
        <f>Deals_Raw!D170</f>
        <v>FIN-0054</v>
      </c>
      <c r="E170" t="str">
        <f>Deals_Raw!E170</f>
        <v>CT00110</v>
      </c>
      <c r="F170" t="str">
        <f>Deals_Raw!F170</f>
        <v>Finance</v>
      </c>
      <c r="G170" t="str">
        <f>Deals_Raw!G170</f>
        <v>Financial Services</v>
      </c>
      <c r="H170" t="str">
        <f>Deals_Raw!H170</f>
        <v>West</v>
      </c>
      <c r="I170" t="str">
        <f>Deals_Raw!I170</f>
        <v>West Commercial</v>
      </c>
      <c r="J170" t="str">
        <f>Deals_Raw!J170</f>
        <v>Mid-Market</v>
      </c>
      <c r="K170" t="str">
        <f>Deals_Raw!K170</f>
        <v>No</v>
      </c>
      <c r="L170">
        <f>Deals_Raw!L170</f>
        <v>45108</v>
      </c>
      <c r="M170">
        <f>Deals_Raw!M170</f>
        <v>78</v>
      </c>
      <c r="N170" t="str">
        <f>Deals_Raw!N170</f>
        <v>Nexus Compliance</v>
      </c>
      <c r="O170" t="str">
        <f>Deals_Raw!O170</f>
        <v>New Business</v>
      </c>
      <c r="P170">
        <f>Deals_Raw!P170</f>
        <v>0</v>
      </c>
      <c r="Q170">
        <f>Deals_Raw!Q170</f>
        <v>2</v>
      </c>
      <c r="R170">
        <f>Deals_Raw!R170</f>
        <v>170</v>
      </c>
      <c r="S170" t="str">
        <f>Deals_Raw!S170</f>
        <v>R. Singh</v>
      </c>
      <c r="T170" s="6">
        <f>Deals_Raw!T170</f>
        <v>134352.35432218268</v>
      </c>
      <c r="U170" s="8">
        <f>Deals_Raw!V170</f>
        <v>0.20100000000000001</v>
      </c>
      <c r="V170" s="8">
        <f>Deals_Raw!W170</f>
        <v>0.153</v>
      </c>
      <c r="W170" s="8">
        <f>Deals_Raw!X170</f>
        <v>-3.1E-2</v>
      </c>
      <c r="X170" t="str">
        <f>Deals_Raw!Y170</f>
        <v>Verified competitor pressure</v>
      </c>
      <c r="Y170" t="str">
        <f>Deals_Raw!Z170</f>
        <v>Pricing Analyst</v>
      </c>
      <c r="Z170" s="6">
        <f>Deals_Raw!AA170</f>
        <v>113849.67685500553</v>
      </c>
      <c r="AA170" s="6">
        <f>Deals_Raw!AC170</f>
        <v>47871.902575854059</v>
      </c>
      <c r="AB170" s="6">
        <f>Deals_Raw!AD170</f>
        <v>65977.774279151461</v>
      </c>
      <c r="AC170" s="8">
        <f>Deals_Raw!AE170</f>
        <v>0.57951657046140026</v>
      </c>
      <c r="AD170" t="str">
        <f>Deals_Raw!AF170</f>
        <v>Won</v>
      </c>
      <c r="AE170">
        <f>Deals_Raw!AG170</f>
        <v>0</v>
      </c>
      <c r="AF170">
        <f>Deals_Raw!AH170</f>
        <v>0</v>
      </c>
      <c r="AG170" t="str">
        <f>Deals_Raw!AI170</f>
        <v>No</v>
      </c>
      <c r="AH170" s="6">
        <f>Deals_Raw!AJ170</f>
        <v>113849.67685500553</v>
      </c>
      <c r="AI170" s="6">
        <f>Deals_Raw!AK170</f>
        <v>65977.774279151461</v>
      </c>
      <c r="AJ170" t="str">
        <f>Deals_Raw!AL170</f>
        <v>First purchase under this contract</v>
      </c>
      <c r="AK170" s="9">
        <f t="shared" si="14"/>
        <v>0.80833333333333335</v>
      </c>
      <c r="AL170" s="8">
        <f t="shared" si="15"/>
        <v>0.84739621742682036</v>
      </c>
      <c r="AM170" s="8">
        <f t="shared" si="16"/>
        <v>4.8000000000000015E-2</v>
      </c>
      <c r="AN170" t="str">
        <f>IF(AC170&lt;Pricing_Policy!$C$10,"Below Floor","Pass")</f>
        <v>Pass</v>
      </c>
      <c r="AO170" t="str">
        <f>IF(V170&gt;Pricing_Policy!$C$7,"Exception","Standard")</f>
        <v>Standard</v>
      </c>
      <c r="AP170" t="str">
        <f t="shared" si="17"/>
        <v>Pass</v>
      </c>
      <c r="AQ170">
        <f t="shared" si="18"/>
        <v>1</v>
      </c>
      <c r="AR170" s="8">
        <f t="shared" si="19"/>
        <v>0.57951657046140026</v>
      </c>
      <c r="AS170">
        <f t="shared" si="20"/>
        <v>1</v>
      </c>
    </row>
    <row r="171" spans="1:45">
      <c r="A171" t="str">
        <f>Deals_Raw!A171</f>
        <v>D00193</v>
      </c>
      <c r="B171">
        <f>Deals_Raw!B171</f>
        <v>45350</v>
      </c>
      <c r="C171" t="str">
        <f>Deals_Raw!C171</f>
        <v>C0055</v>
      </c>
      <c r="D171" t="str">
        <f>Deals_Raw!D171</f>
        <v>MAN-0055</v>
      </c>
      <c r="E171" t="str">
        <f>Deals_Raw!E171</f>
        <v>CT00111</v>
      </c>
      <c r="F171" t="str">
        <f>Deals_Raw!F171</f>
        <v>Finance</v>
      </c>
      <c r="G171" t="str">
        <f>Deals_Raw!G171</f>
        <v>Manufacturing</v>
      </c>
      <c r="H171" t="str">
        <f>Deals_Raw!H171</f>
        <v>Northeast</v>
      </c>
      <c r="I171" t="str">
        <f>Deals_Raw!I171</f>
        <v>Northeast Commercial</v>
      </c>
      <c r="J171" t="str">
        <f>Deals_Raw!J171</f>
        <v>Mid-Market</v>
      </c>
      <c r="K171" t="str">
        <f>Deals_Raw!K171</f>
        <v>No</v>
      </c>
      <c r="L171">
        <f>Deals_Raw!L171</f>
        <v>44317</v>
      </c>
      <c r="M171">
        <f>Deals_Raw!M171</f>
        <v>78</v>
      </c>
      <c r="N171" t="str">
        <f>Deals_Raw!N171</f>
        <v>Nexus AI Assistant</v>
      </c>
      <c r="O171" t="str">
        <f>Deals_Raw!O171</f>
        <v>Renewal</v>
      </c>
      <c r="P171">
        <f>Deals_Raw!P171</f>
        <v>0</v>
      </c>
      <c r="Q171">
        <f>Deals_Raw!Q171</f>
        <v>1</v>
      </c>
      <c r="R171">
        <f>Deals_Raw!R171</f>
        <v>103</v>
      </c>
      <c r="S171" t="str">
        <f>Deals_Raw!S171</f>
        <v>L. Williams</v>
      </c>
      <c r="T171" s="6">
        <f>Deals_Raw!T171</f>
        <v>108468.65746535362</v>
      </c>
      <c r="U171" s="8">
        <f>Deals_Raw!V171</f>
        <v>0.18</v>
      </c>
      <c r="V171" s="8">
        <f>Deals_Raw!W171</f>
        <v>0.155</v>
      </c>
      <c r="W171" s="8">
        <f>Deals_Raw!X171</f>
        <v>-4.8000000000000001E-2</v>
      </c>
      <c r="X171" t="str">
        <f>Deals_Raw!Y171</f>
        <v>Verified competitor pressure</v>
      </c>
      <c r="Y171" t="str">
        <f>Deals_Raw!Z171</f>
        <v>Pricing Analyst</v>
      </c>
      <c r="Z171" s="6">
        <f>Deals_Raw!AA171</f>
        <v>91693.576853474355</v>
      </c>
      <c r="AA171" s="6">
        <f>Deals_Raw!AC171</f>
        <v>40479.006524496202</v>
      </c>
      <c r="AB171" s="6">
        <f>Deals_Raw!AD171</f>
        <v>51214.570328978152</v>
      </c>
      <c r="AC171" s="8">
        <f>Deals_Raw!AE171</f>
        <v>0.55854043528936215</v>
      </c>
      <c r="AD171" t="str">
        <f>Deals_Raw!AF171</f>
        <v>Won</v>
      </c>
      <c r="AE171" t="str">
        <f>Deals_Raw!AG171</f>
        <v>Yes</v>
      </c>
      <c r="AF171">
        <f>Deals_Raw!AH171</f>
        <v>0</v>
      </c>
      <c r="AG171" t="str">
        <f>Deals_Raw!AI171</f>
        <v>No</v>
      </c>
      <c r="AH171" s="6">
        <f>Deals_Raw!AJ171</f>
        <v>91693.576853474355</v>
      </c>
      <c r="AI171" s="6">
        <f>Deals_Raw!AK171</f>
        <v>51214.570328978152</v>
      </c>
      <c r="AJ171" t="str">
        <f>Deals_Raw!AL171</f>
        <v>Renewal of existing active contract</v>
      </c>
      <c r="AK171" s="9">
        <f t="shared" si="14"/>
        <v>2.8250000000000002</v>
      </c>
      <c r="AL171" s="8">
        <f t="shared" si="15"/>
        <v>0.8453462870853965</v>
      </c>
      <c r="AM171" s="8">
        <f t="shared" si="16"/>
        <v>2.4999999999999994E-2</v>
      </c>
      <c r="AN171" t="str">
        <f>IF(AC171&lt;Pricing_Policy!$C$10,"Below Floor","Pass")</f>
        <v>Pass</v>
      </c>
      <c r="AO171" t="str">
        <f>IF(V171&gt;Pricing_Policy!$C$7,"Exception","Standard")</f>
        <v>Standard</v>
      </c>
      <c r="AP171" t="str">
        <f t="shared" si="17"/>
        <v>Pass</v>
      </c>
      <c r="AQ171">
        <f t="shared" si="18"/>
        <v>1</v>
      </c>
      <c r="AR171" s="8">
        <f t="shared" si="19"/>
        <v>0.55854043528936215</v>
      </c>
      <c r="AS171">
        <f t="shared" si="20"/>
        <v>2</v>
      </c>
    </row>
    <row r="172" spans="1:45">
      <c r="A172" t="str">
        <f>Deals_Raw!A172</f>
        <v>D00194</v>
      </c>
      <c r="B172">
        <f>Deals_Raw!B172</f>
        <v>45715</v>
      </c>
      <c r="C172" t="str">
        <f>Deals_Raw!C172</f>
        <v>C0055</v>
      </c>
      <c r="D172" t="str">
        <f>Deals_Raw!D172</f>
        <v>MAN-0055</v>
      </c>
      <c r="E172" t="str">
        <f>Deals_Raw!E172</f>
        <v>CT00111</v>
      </c>
      <c r="F172" t="str">
        <f>Deals_Raw!F172</f>
        <v>Finance</v>
      </c>
      <c r="G172" t="str">
        <f>Deals_Raw!G172</f>
        <v>Manufacturing</v>
      </c>
      <c r="H172" t="str">
        <f>Deals_Raw!H172</f>
        <v>Northeast</v>
      </c>
      <c r="I172" t="str">
        <f>Deals_Raw!I172</f>
        <v>Northeast Commercial</v>
      </c>
      <c r="J172" t="str">
        <f>Deals_Raw!J172</f>
        <v>Mid-Market</v>
      </c>
      <c r="K172" t="str">
        <f>Deals_Raw!K172</f>
        <v>No</v>
      </c>
      <c r="L172">
        <f>Deals_Raw!L172</f>
        <v>44317</v>
      </c>
      <c r="M172">
        <f>Deals_Raw!M172</f>
        <v>78</v>
      </c>
      <c r="N172" t="str">
        <f>Deals_Raw!N172</f>
        <v>Nexus AI Assistant</v>
      </c>
      <c r="O172" t="str">
        <f>Deals_Raw!O172</f>
        <v>Renewal</v>
      </c>
      <c r="P172">
        <f>Deals_Raw!P172</f>
        <v>0</v>
      </c>
      <c r="Q172">
        <f>Deals_Raw!Q172</f>
        <v>1</v>
      </c>
      <c r="R172">
        <f>Deals_Raw!R172</f>
        <v>103</v>
      </c>
      <c r="S172" t="str">
        <f>Deals_Raw!S172</f>
        <v>L. Williams</v>
      </c>
      <c r="T172" s="6">
        <f>Deals_Raw!T172</f>
        <v>112468.79572299444</v>
      </c>
      <c r="U172" s="8">
        <f>Deals_Raw!V172</f>
        <v>0.14000000000000001</v>
      </c>
      <c r="V172" s="8">
        <f>Deals_Raw!W172</f>
        <v>0.108</v>
      </c>
      <c r="W172" s="8">
        <f>Deals_Raw!X172</f>
        <v>-0.14899999999999999</v>
      </c>
      <c r="X172" t="str">
        <f>Deals_Raw!Y172</f>
        <v>Multi-year commitment</v>
      </c>
      <c r="Y172" t="str">
        <f>Deals_Raw!Z172</f>
        <v>Pricing Analyst</v>
      </c>
      <c r="Z172" s="6">
        <f>Deals_Raw!AA172</f>
        <v>100362.22887262399</v>
      </c>
      <c r="AA172" s="6">
        <f>Deals_Raw!AC172</f>
        <v>44663.935146583099</v>
      </c>
      <c r="AB172" s="6">
        <f>Deals_Raw!AD172</f>
        <v>55698.293726040894</v>
      </c>
      <c r="AC172" s="8">
        <f>Deals_Raw!AE172</f>
        <v>0.55497266602888118</v>
      </c>
      <c r="AD172" t="str">
        <f>Deals_Raw!AF172</f>
        <v>Won</v>
      </c>
      <c r="AE172" t="str">
        <f>Deals_Raw!AG172</f>
        <v>Yes</v>
      </c>
      <c r="AF172">
        <f>Deals_Raw!AH172</f>
        <v>0</v>
      </c>
      <c r="AG172" t="str">
        <f>Deals_Raw!AI172</f>
        <v>No</v>
      </c>
      <c r="AH172" s="6">
        <f>Deals_Raw!AJ172</f>
        <v>100362.22887262399</v>
      </c>
      <c r="AI172" s="6">
        <f>Deals_Raw!AK172</f>
        <v>55698.293726040894</v>
      </c>
      <c r="AJ172" t="str">
        <f>Deals_Raw!AL172</f>
        <v>Renewal of existing active contract</v>
      </c>
      <c r="AK172" s="9">
        <f t="shared" si="14"/>
        <v>3.8222222222222224</v>
      </c>
      <c r="AL172" s="8">
        <f t="shared" si="15"/>
        <v>0.89235621513910068</v>
      </c>
      <c r="AM172" s="8">
        <f t="shared" si="16"/>
        <v>3.2000000000000015E-2</v>
      </c>
      <c r="AN172" t="str">
        <f>IF(AC172&lt;Pricing_Policy!$C$10,"Below Floor","Pass")</f>
        <v>Pass</v>
      </c>
      <c r="AO172" t="str">
        <f>IF(V172&gt;Pricing_Policy!$C$7,"Exception","Standard")</f>
        <v>Standard</v>
      </c>
      <c r="AP172" t="str">
        <f t="shared" si="17"/>
        <v>Pass</v>
      </c>
      <c r="AQ172">
        <f t="shared" si="18"/>
        <v>1</v>
      </c>
      <c r="AR172" s="8">
        <f t="shared" si="19"/>
        <v>0.55497266602888118</v>
      </c>
      <c r="AS172">
        <f t="shared" si="20"/>
        <v>2</v>
      </c>
    </row>
    <row r="173" spans="1:45">
      <c r="A173" t="str">
        <f>Deals_Raw!A173</f>
        <v>D00195</v>
      </c>
      <c r="B173">
        <f>Deals_Raw!B173</f>
        <v>45422</v>
      </c>
      <c r="C173" t="str">
        <f>Deals_Raw!C173</f>
        <v>C0055</v>
      </c>
      <c r="D173" t="str">
        <f>Deals_Raw!D173</f>
        <v>MAN-0055</v>
      </c>
      <c r="E173" t="str">
        <f>Deals_Raw!E173</f>
        <v>CT00112</v>
      </c>
      <c r="F173" t="str">
        <f>Deals_Raw!F173</f>
        <v>Legal</v>
      </c>
      <c r="G173" t="str">
        <f>Deals_Raw!G173</f>
        <v>Manufacturing</v>
      </c>
      <c r="H173" t="str">
        <f>Deals_Raw!H173</f>
        <v>Northeast</v>
      </c>
      <c r="I173" t="str">
        <f>Deals_Raw!I173</f>
        <v>Northeast Commercial</v>
      </c>
      <c r="J173" t="str">
        <f>Deals_Raw!J173</f>
        <v>Mid-Market</v>
      </c>
      <c r="K173" t="str">
        <f>Deals_Raw!K173</f>
        <v>No</v>
      </c>
      <c r="L173">
        <f>Deals_Raw!L173</f>
        <v>44317</v>
      </c>
      <c r="M173">
        <f>Deals_Raw!M173</f>
        <v>78</v>
      </c>
      <c r="N173" t="str">
        <f>Deals_Raw!N173</f>
        <v>Nexus Insights</v>
      </c>
      <c r="O173" t="str">
        <f>Deals_Raw!O173</f>
        <v>Renewal</v>
      </c>
      <c r="P173">
        <f>Deals_Raw!P173</f>
        <v>0</v>
      </c>
      <c r="Q173">
        <f>Deals_Raw!Q173</f>
        <v>2</v>
      </c>
      <c r="R173">
        <f>Deals_Raw!R173</f>
        <v>261</v>
      </c>
      <c r="S173" t="str">
        <f>Deals_Raw!S173</f>
        <v>S. Rivera</v>
      </c>
      <c r="T173" s="6">
        <f>Deals_Raw!T173</f>
        <v>68439.163702037346</v>
      </c>
      <c r="U173" s="8">
        <f>Deals_Raw!V173</f>
        <v>8.7999999999999995E-2</v>
      </c>
      <c r="V173" s="8">
        <f>Deals_Raw!W173</f>
        <v>4.7E-2</v>
      </c>
      <c r="W173" s="8">
        <f>Deals_Raw!X173</f>
        <v>-2.5999999999999999E-2</v>
      </c>
      <c r="X173" t="str">
        <f>Deals_Raw!Y173</f>
        <v>Expansion opportunity</v>
      </c>
      <c r="Y173" t="str">
        <f>Deals_Raw!Z173</f>
        <v>Sales Manager</v>
      </c>
      <c r="Z173" s="6">
        <f>Deals_Raw!AA173</f>
        <v>65201.461661404675</v>
      </c>
      <c r="AA173" s="6">
        <f>Deals_Raw!AC173</f>
        <v>16005.137088195455</v>
      </c>
      <c r="AB173" s="6">
        <f>Deals_Raw!AD173</f>
        <v>49196.324573209218</v>
      </c>
      <c r="AC173" s="8">
        <f>Deals_Raw!AE173</f>
        <v>0.75452794031963344</v>
      </c>
      <c r="AD173" t="str">
        <f>Deals_Raw!AF173</f>
        <v>Won</v>
      </c>
      <c r="AE173" t="str">
        <f>Deals_Raw!AG173</f>
        <v>Yes</v>
      </c>
      <c r="AF173">
        <f>Deals_Raw!AH173</f>
        <v>0</v>
      </c>
      <c r="AG173" t="str">
        <f>Deals_Raw!AI173</f>
        <v>No</v>
      </c>
      <c r="AH173" s="6">
        <f>Deals_Raw!AJ173</f>
        <v>65201.461661404675</v>
      </c>
      <c r="AI173" s="6">
        <f>Deals_Raw!AK173</f>
        <v>49196.324573209218</v>
      </c>
      <c r="AJ173" t="str">
        <f>Deals_Raw!AL173</f>
        <v>Renewal of existing active contract</v>
      </c>
      <c r="AK173" s="9">
        <f t="shared" si="14"/>
        <v>3.0249999999999999</v>
      </c>
      <c r="AL173" s="8">
        <f t="shared" si="15"/>
        <v>0.95269226177677147</v>
      </c>
      <c r="AM173" s="8">
        <f t="shared" si="16"/>
        <v>4.0999999999999995E-2</v>
      </c>
      <c r="AN173" t="str">
        <f>IF(AC173&lt;Pricing_Policy!$C$10,"Below Floor","Pass")</f>
        <v>Pass</v>
      </c>
      <c r="AO173" t="str">
        <f>IF(V173&gt;Pricing_Policy!$C$7,"Exception","Standard")</f>
        <v>Standard</v>
      </c>
      <c r="AP173" t="str">
        <f t="shared" si="17"/>
        <v>Pass</v>
      </c>
      <c r="AQ173">
        <f t="shared" si="18"/>
        <v>1</v>
      </c>
      <c r="AR173" s="8">
        <f t="shared" si="19"/>
        <v>0.75452794031963344</v>
      </c>
      <c r="AS173">
        <f t="shared" si="20"/>
        <v>1</v>
      </c>
    </row>
    <row r="174" spans="1:45">
      <c r="A174" t="str">
        <f>Deals_Raw!A174</f>
        <v>D00196</v>
      </c>
      <c r="B174">
        <f>Deals_Raw!B174</f>
        <v>45710</v>
      </c>
      <c r="C174" t="str">
        <f>Deals_Raw!C174</f>
        <v>C0056</v>
      </c>
      <c r="D174" t="str">
        <f>Deals_Raw!D174</f>
        <v>HEA-0056</v>
      </c>
      <c r="E174" t="str">
        <f>Deals_Raw!E174</f>
        <v>CT00113</v>
      </c>
      <c r="F174" t="str">
        <f>Deals_Raw!F174</f>
        <v>Corporate</v>
      </c>
      <c r="G174" t="str">
        <f>Deals_Raw!G174</f>
        <v>Healthcare</v>
      </c>
      <c r="H174" t="str">
        <f>Deals_Raw!H174</f>
        <v>West</v>
      </c>
      <c r="I174" t="str">
        <f>Deals_Raw!I174</f>
        <v>West Commercial</v>
      </c>
      <c r="J174" t="str">
        <f>Deals_Raw!J174</f>
        <v>SMB</v>
      </c>
      <c r="K174" t="str">
        <f>Deals_Raw!K174</f>
        <v>No</v>
      </c>
      <c r="L174">
        <f>Deals_Raw!L174</f>
        <v>44866</v>
      </c>
      <c r="M174">
        <f>Deals_Raw!M174</f>
        <v>75</v>
      </c>
      <c r="N174" t="str">
        <f>Deals_Raw!N174</f>
        <v>Nexus Compliance</v>
      </c>
      <c r="O174" t="str">
        <f>Deals_Raw!O174</f>
        <v>New Business</v>
      </c>
      <c r="P174">
        <f>Deals_Raw!P174</f>
        <v>0</v>
      </c>
      <c r="Q174">
        <f>Deals_Raw!Q174</f>
        <v>1</v>
      </c>
      <c r="R174">
        <f>Deals_Raw!R174</f>
        <v>45</v>
      </c>
      <c r="S174" t="str">
        <f>Deals_Raw!S174</f>
        <v>L. Williams</v>
      </c>
      <c r="T174" s="6">
        <f>Deals_Raw!T174</f>
        <v>69644.793760900953</v>
      </c>
      <c r="U174" s="8">
        <f>Deals_Raw!V174</f>
        <v>0.16700000000000001</v>
      </c>
      <c r="V174" s="8">
        <f>Deals_Raw!W174</f>
        <v>0.128</v>
      </c>
      <c r="W174" s="8">
        <f>Deals_Raw!X174</f>
        <v>3.0000000000000001E-3</v>
      </c>
      <c r="X174" t="str">
        <f>Deals_Raw!Y174</f>
        <v>Verified competitor pressure</v>
      </c>
      <c r="Y174" t="str">
        <f>Deals_Raw!Z174</f>
        <v>Pricing Analyst</v>
      </c>
      <c r="Z174" s="6">
        <f>Deals_Raw!AA174</f>
        <v>60753.737918444007</v>
      </c>
      <c r="AA174" s="6">
        <f>Deals_Raw!AC174</f>
        <v>27074.660845982984</v>
      </c>
      <c r="AB174" s="6">
        <f>Deals_Raw!AD174</f>
        <v>33679.077072461019</v>
      </c>
      <c r="AC174" s="8">
        <f>Deals_Raw!AE174</f>
        <v>0.55435399082229164</v>
      </c>
      <c r="AD174" t="str">
        <f>Deals_Raw!AF174</f>
        <v>Won</v>
      </c>
      <c r="AE174">
        <f>Deals_Raw!AG174</f>
        <v>0</v>
      </c>
      <c r="AF174">
        <f>Deals_Raw!AH174</f>
        <v>0</v>
      </c>
      <c r="AG174" t="str">
        <f>Deals_Raw!AI174</f>
        <v>No</v>
      </c>
      <c r="AH174" s="6">
        <f>Deals_Raw!AJ174</f>
        <v>60753.737918444007</v>
      </c>
      <c r="AI174" s="6">
        <f>Deals_Raw!AK174</f>
        <v>33679.077072461019</v>
      </c>
      <c r="AJ174" t="str">
        <f>Deals_Raw!AL174</f>
        <v>First purchase under this contract</v>
      </c>
      <c r="AK174" s="9">
        <f t="shared" si="14"/>
        <v>2.3083333333333331</v>
      </c>
      <c r="AL174" s="8">
        <f t="shared" si="15"/>
        <v>0.87233710716437729</v>
      </c>
      <c r="AM174" s="8">
        <f t="shared" si="16"/>
        <v>3.9000000000000007E-2</v>
      </c>
      <c r="AN174" t="str">
        <f>IF(AC174&lt;Pricing_Policy!$C$10,"Below Floor","Pass")</f>
        <v>Pass</v>
      </c>
      <c r="AO174" t="str">
        <f>IF(V174&gt;Pricing_Policy!$C$7,"Exception","Standard")</f>
        <v>Standard</v>
      </c>
      <c r="AP174" t="str">
        <f t="shared" si="17"/>
        <v>Pass</v>
      </c>
      <c r="AQ174">
        <f t="shared" si="18"/>
        <v>1</v>
      </c>
      <c r="AR174" s="8">
        <f t="shared" si="19"/>
        <v>0.55435399082229164</v>
      </c>
      <c r="AS174">
        <f t="shared" si="20"/>
        <v>1</v>
      </c>
    </row>
    <row r="175" spans="1:45">
      <c r="A175" t="str">
        <f>Deals_Raw!A175</f>
        <v>D00197</v>
      </c>
      <c r="B175">
        <f>Deals_Raw!B175</f>
        <v>45780</v>
      </c>
      <c r="C175" t="str">
        <f>Deals_Raw!C175</f>
        <v>C0057</v>
      </c>
      <c r="D175" t="str">
        <f>Deals_Raw!D175</f>
        <v>MAN-0057</v>
      </c>
      <c r="E175" t="str">
        <f>Deals_Raw!E175</f>
        <v>CT00115</v>
      </c>
      <c r="F175" t="str">
        <f>Deals_Raw!F175</f>
        <v>Sales</v>
      </c>
      <c r="G175" t="str">
        <f>Deals_Raw!G175</f>
        <v>Manufacturing</v>
      </c>
      <c r="H175" t="str">
        <f>Deals_Raw!H175</f>
        <v>Midwest</v>
      </c>
      <c r="I175" t="str">
        <f>Deals_Raw!I175</f>
        <v>Midwest Commercial</v>
      </c>
      <c r="J175" t="str">
        <f>Deals_Raw!J175</f>
        <v>Mid-Market</v>
      </c>
      <c r="K175" t="str">
        <f>Deals_Raw!K175</f>
        <v>No</v>
      </c>
      <c r="L175">
        <f>Deals_Raw!L175</f>
        <v>44866</v>
      </c>
      <c r="M175">
        <f>Deals_Raw!M175</f>
        <v>46</v>
      </c>
      <c r="N175" t="str">
        <f>Deals_Raw!N175</f>
        <v>Nexus Enterprise Suite</v>
      </c>
      <c r="O175" t="str">
        <f>Deals_Raw!O175</f>
        <v>New Business</v>
      </c>
      <c r="P175">
        <f>Deals_Raw!P175</f>
        <v>0</v>
      </c>
      <c r="Q175">
        <f>Deals_Raw!Q175</f>
        <v>3</v>
      </c>
      <c r="R175">
        <f>Deals_Raw!R175</f>
        <v>189</v>
      </c>
      <c r="S175" t="str">
        <f>Deals_Raw!S175</f>
        <v>K. Nguyen</v>
      </c>
      <c r="T175" s="6">
        <f>Deals_Raw!T175</f>
        <v>223329.23841161327</v>
      </c>
      <c r="U175" s="8">
        <f>Deals_Raw!V175</f>
        <v>0.123</v>
      </c>
      <c r="V175" s="8">
        <f>Deals_Raw!W175</f>
        <v>8.7999999999999995E-2</v>
      </c>
      <c r="W175" s="8">
        <f>Deals_Raw!X175</f>
        <v>0.105</v>
      </c>
      <c r="X175" t="str">
        <f>Deals_Raw!Y175</f>
        <v>Verified competitor pressure</v>
      </c>
      <c r="Y175" t="str">
        <f>Deals_Raw!Z175</f>
        <v>Sales Manager</v>
      </c>
      <c r="Z175" s="6">
        <f>Deals_Raw!AA175</f>
        <v>203567.5928250518</v>
      </c>
      <c r="AA175" s="6">
        <f>Deals_Raw!AC175</f>
        <v>87124.048092336365</v>
      </c>
      <c r="AB175" s="6">
        <f>Deals_Raw!AD175</f>
        <v>116443.54473271544</v>
      </c>
      <c r="AC175" s="8">
        <f>Deals_Raw!AE175</f>
        <v>0.57201415567549729</v>
      </c>
      <c r="AD175" t="str">
        <f>Deals_Raw!AF175</f>
        <v>Lost</v>
      </c>
      <c r="AE175">
        <f>Deals_Raw!AG175</f>
        <v>0</v>
      </c>
      <c r="AF175">
        <f>Deals_Raw!AH175</f>
        <v>0</v>
      </c>
      <c r="AG175" t="str">
        <f>Deals_Raw!AI175</f>
        <v>No</v>
      </c>
      <c r="AH175" s="6">
        <f>Deals_Raw!AJ175</f>
        <v>0</v>
      </c>
      <c r="AI175" s="6">
        <f>Deals_Raw!AK175</f>
        <v>0</v>
      </c>
      <c r="AJ175" t="str">
        <f>Deals_Raw!AL175</f>
        <v>First purchase under this contract</v>
      </c>
      <c r="AK175" s="9">
        <f t="shared" si="14"/>
        <v>2.5055555555555555</v>
      </c>
      <c r="AL175" s="8">
        <f t="shared" si="15"/>
        <v>0.91151339731818182</v>
      </c>
      <c r="AM175" s="8">
        <f t="shared" si="16"/>
        <v>3.5000000000000003E-2</v>
      </c>
      <c r="AN175" t="str">
        <f>IF(AC175&lt;Pricing_Policy!$C$10,"Below Floor","Pass")</f>
        <v>Pass</v>
      </c>
      <c r="AO175" t="str">
        <f>IF(V175&gt;Pricing_Policy!$C$7,"Exception","Standard")</f>
        <v>Standard</v>
      </c>
      <c r="AP175" t="str">
        <f t="shared" si="17"/>
        <v>Pass</v>
      </c>
      <c r="AQ175">
        <f t="shared" si="18"/>
        <v>0</v>
      </c>
      <c r="AR175" s="8">
        <f t="shared" si="19"/>
        <v>0</v>
      </c>
      <c r="AS175">
        <f t="shared" si="20"/>
        <v>1</v>
      </c>
    </row>
    <row r="176" spans="1:45">
      <c r="A176" t="str">
        <f>Deals_Raw!A176</f>
        <v>D00198</v>
      </c>
      <c r="B176">
        <f>Deals_Raw!B176</f>
        <v>45331</v>
      </c>
      <c r="C176" t="str">
        <f>Deals_Raw!C176</f>
        <v>C0058</v>
      </c>
      <c r="D176" t="str">
        <f>Deals_Raw!D176</f>
        <v>PUB-0058</v>
      </c>
      <c r="E176" t="str">
        <f>Deals_Raw!E176</f>
        <v>CT00116</v>
      </c>
      <c r="F176" t="str">
        <f>Deals_Raw!F176</f>
        <v>Legal</v>
      </c>
      <c r="G176" t="str">
        <f>Deals_Raw!G176</f>
        <v>Public Sector</v>
      </c>
      <c r="H176" t="str">
        <f>Deals_Raw!H176</f>
        <v>West</v>
      </c>
      <c r="I176" t="str">
        <f>Deals_Raw!I176</f>
        <v>West Commercial</v>
      </c>
      <c r="J176" t="str">
        <f>Deals_Raw!J176</f>
        <v>SMB</v>
      </c>
      <c r="K176" t="str">
        <f>Deals_Raw!K176</f>
        <v>No</v>
      </c>
      <c r="L176">
        <f>Deals_Raw!L176</f>
        <v>45505</v>
      </c>
      <c r="M176">
        <f>Deals_Raw!M176</f>
        <v>92</v>
      </c>
      <c r="N176" t="str">
        <f>Deals_Raw!N176</f>
        <v>Nexus Insights</v>
      </c>
      <c r="O176" t="str">
        <f>Deals_Raw!O176</f>
        <v>New Business</v>
      </c>
      <c r="P176">
        <f>Deals_Raw!P176</f>
        <v>0</v>
      </c>
      <c r="Q176">
        <f>Deals_Raw!Q176</f>
        <v>1</v>
      </c>
      <c r="R176">
        <f>Deals_Raw!R176</f>
        <v>20</v>
      </c>
      <c r="S176" t="str">
        <f>Deals_Raw!S176</f>
        <v>D. Chen</v>
      </c>
      <c r="T176" s="6">
        <f>Deals_Raw!T176</f>
        <v>24004.417123027892</v>
      </c>
      <c r="U176" s="8">
        <f>Deals_Raw!V176</f>
        <v>0.17899999999999999</v>
      </c>
      <c r="V176" s="8">
        <f>Deals_Raw!W176</f>
        <v>0.17199999999999999</v>
      </c>
      <c r="W176" s="8">
        <f>Deals_Raw!X176</f>
        <v>-1.4E-2</v>
      </c>
      <c r="X176" t="str">
        <f>Deals_Raw!Y176</f>
        <v>Expansion opportunity</v>
      </c>
      <c r="Y176" t="str">
        <f>Deals_Raw!Z176</f>
        <v>Pricing Analyst</v>
      </c>
      <c r="Z176" s="6">
        <f>Deals_Raw!AA176</f>
        <v>19879.87496705637</v>
      </c>
      <c r="AA176" s="6">
        <f>Deals_Raw!AC176</f>
        <v>7200.6476098795738</v>
      </c>
      <c r="AB176" s="6">
        <f>Deals_Raw!AD176</f>
        <v>12679.227357176796</v>
      </c>
      <c r="AC176" s="8">
        <f>Deals_Raw!AE176</f>
        <v>0.63779210775661233</v>
      </c>
      <c r="AD176" t="str">
        <f>Deals_Raw!AF176</f>
        <v>Won</v>
      </c>
      <c r="AE176">
        <f>Deals_Raw!AG176</f>
        <v>0</v>
      </c>
      <c r="AF176">
        <f>Deals_Raw!AH176</f>
        <v>0</v>
      </c>
      <c r="AG176" t="str">
        <f>Deals_Raw!AI176</f>
        <v>No</v>
      </c>
      <c r="AH176" s="6">
        <f>Deals_Raw!AJ176</f>
        <v>19879.87496705637</v>
      </c>
      <c r="AI176" s="6">
        <f>Deals_Raw!AK176</f>
        <v>12679.227357176796</v>
      </c>
      <c r="AJ176" t="str">
        <f>Deals_Raw!AL176</f>
        <v>First purchase under this contract</v>
      </c>
      <c r="AK176" s="9">
        <f t="shared" si="14"/>
        <v>0.4777777777777778</v>
      </c>
      <c r="AL176" s="8">
        <f t="shared" si="15"/>
        <v>0.8281757005457645</v>
      </c>
      <c r="AM176" s="8">
        <f t="shared" si="16"/>
        <v>7.0000000000000062E-3</v>
      </c>
      <c r="AN176" t="str">
        <f>IF(AC176&lt;Pricing_Policy!$C$10,"Below Floor","Pass")</f>
        <v>Pass</v>
      </c>
      <c r="AO176" t="str">
        <f>IF(V176&gt;Pricing_Policy!$C$7,"Exception","Standard")</f>
        <v>Standard</v>
      </c>
      <c r="AP176" t="str">
        <f t="shared" si="17"/>
        <v>Pass</v>
      </c>
      <c r="AQ176">
        <f t="shared" si="18"/>
        <v>1</v>
      </c>
      <c r="AR176" s="8">
        <f t="shared" si="19"/>
        <v>0.63779210775661233</v>
      </c>
      <c r="AS176">
        <f t="shared" si="20"/>
        <v>3</v>
      </c>
    </row>
    <row r="177" spans="1:45">
      <c r="A177" t="str">
        <f>Deals_Raw!A177</f>
        <v>D00199</v>
      </c>
      <c r="B177">
        <f>Deals_Raw!B177</f>
        <v>45488</v>
      </c>
      <c r="C177" t="str">
        <f>Deals_Raw!C177</f>
        <v>C0058</v>
      </c>
      <c r="D177" t="str">
        <f>Deals_Raw!D177</f>
        <v>PUB-0058</v>
      </c>
      <c r="E177" t="str">
        <f>Deals_Raw!E177</f>
        <v>CT00116</v>
      </c>
      <c r="F177" t="str">
        <f>Deals_Raw!F177</f>
        <v>Legal</v>
      </c>
      <c r="G177" t="str">
        <f>Deals_Raw!G177</f>
        <v>Public Sector</v>
      </c>
      <c r="H177" t="str">
        <f>Deals_Raw!H177</f>
        <v>West</v>
      </c>
      <c r="I177" t="str">
        <f>Deals_Raw!I177</f>
        <v>West Commercial</v>
      </c>
      <c r="J177" t="str">
        <f>Deals_Raw!J177</f>
        <v>SMB</v>
      </c>
      <c r="K177" t="str">
        <f>Deals_Raw!K177</f>
        <v>No</v>
      </c>
      <c r="L177">
        <f>Deals_Raw!L177</f>
        <v>45505</v>
      </c>
      <c r="M177">
        <f>Deals_Raw!M177</f>
        <v>92</v>
      </c>
      <c r="N177" t="str">
        <f>Deals_Raw!N177</f>
        <v>Nexus Insights</v>
      </c>
      <c r="O177" t="str">
        <f>Deals_Raw!O177</f>
        <v>Expansion</v>
      </c>
      <c r="P177" t="str">
        <f>Deals_Raw!P177</f>
        <v>Storage / Usage Expansion</v>
      </c>
      <c r="Q177">
        <f>Deals_Raw!Q177</f>
        <v>1</v>
      </c>
      <c r="R177">
        <f>Deals_Raw!R177</f>
        <v>27</v>
      </c>
      <c r="S177" t="str">
        <f>Deals_Raw!S177</f>
        <v>T. Brooks</v>
      </c>
      <c r="T177" s="6">
        <f>Deals_Raw!T177</f>
        <v>32308.431004231225</v>
      </c>
      <c r="U177" s="8">
        <f>Deals_Raw!V177</f>
        <v>0.11899999999999999</v>
      </c>
      <c r="V177" s="8">
        <f>Deals_Raw!W177</f>
        <v>0.107</v>
      </c>
      <c r="W177" s="8">
        <f>Deals_Raw!X177</f>
        <v>-5.0999999999999997E-2</v>
      </c>
      <c r="X177" t="str">
        <f>Deals_Raw!Y177</f>
        <v>Expansion opportunity</v>
      </c>
      <c r="Y177" t="str">
        <f>Deals_Raw!Z177</f>
        <v>Pricing Analyst</v>
      </c>
      <c r="Z177" s="6">
        <f>Deals_Raw!AA177</f>
        <v>28859.790385581404</v>
      </c>
      <c r="AA177" s="6">
        <f>Deals_Raw!AC177</f>
        <v>9183.2874411190132</v>
      </c>
      <c r="AB177" s="6">
        <f>Deals_Raw!AD177</f>
        <v>19676.502944462391</v>
      </c>
      <c r="AC177" s="8">
        <f>Deals_Raw!AE177</f>
        <v>0.68179646080495926</v>
      </c>
      <c r="AD177" t="str">
        <f>Deals_Raw!AF177</f>
        <v>Won</v>
      </c>
      <c r="AE177">
        <f>Deals_Raw!AG177</f>
        <v>0</v>
      </c>
      <c r="AF177" t="str">
        <f>Deals_Raw!AH177</f>
        <v>Yes</v>
      </c>
      <c r="AG177" t="str">
        <f>Deals_Raw!AI177</f>
        <v>No</v>
      </c>
      <c r="AH177" s="6">
        <f>Deals_Raw!AJ177</f>
        <v>28859.790385581404</v>
      </c>
      <c r="AI177" s="6">
        <f>Deals_Raw!AK177</f>
        <v>19676.502944462391</v>
      </c>
      <c r="AJ177" t="str">
        <f>Deals_Raw!AL177</f>
        <v>Expansion allowed because contract was active</v>
      </c>
      <c r="AK177" s="9">
        <f t="shared" si="14"/>
        <v>4.4444444444444446E-2</v>
      </c>
      <c r="AL177" s="8">
        <f t="shared" si="15"/>
        <v>0.89325880237891542</v>
      </c>
      <c r="AM177" s="8">
        <f t="shared" si="16"/>
        <v>1.1999999999999997E-2</v>
      </c>
      <c r="AN177" t="str">
        <f>IF(AC177&lt;Pricing_Policy!$C$10,"Below Floor","Pass")</f>
        <v>Pass</v>
      </c>
      <c r="AO177" t="str">
        <f>IF(V177&gt;Pricing_Policy!$C$7,"Exception","Standard")</f>
        <v>Standard</v>
      </c>
      <c r="AP177" t="str">
        <f t="shared" si="17"/>
        <v>Pass</v>
      </c>
      <c r="AQ177">
        <f t="shared" si="18"/>
        <v>1</v>
      </c>
      <c r="AR177" s="8">
        <f t="shared" si="19"/>
        <v>0.68179646080495926</v>
      </c>
      <c r="AS177">
        <f t="shared" si="20"/>
        <v>3</v>
      </c>
    </row>
    <row r="178" spans="1:45">
      <c r="A178" t="str">
        <f>Deals_Raw!A178</f>
        <v>D00200</v>
      </c>
      <c r="B178">
        <f>Deals_Raw!B178</f>
        <v>45696</v>
      </c>
      <c r="C178" t="str">
        <f>Deals_Raw!C178</f>
        <v>C0058</v>
      </c>
      <c r="D178" t="str">
        <f>Deals_Raw!D178</f>
        <v>PUB-0058</v>
      </c>
      <c r="E178" t="str">
        <f>Deals_Raw!E178</f>
        <v>CT00116</v>
      </c>
      <c r="F178" t="str">
        <f>Deals_Raw!F178</f>
        <v>Legal</v>
      </c>
      <c r="G178" t="str">
        <f>Deals_Raw!G178</f>
        <v>Public Sector</v>
      </c>
      <c r="H178" t="str">
        <f>Deals_Raw!H178</f>
        <v>West</v>
      </c>
      <c r="I178" t="str">
        <f>Deals_Raw!I178</f>
        <v>West Commercial</v>
      </c>
      <c r="J178" t="str">
        <f>Deals_Raw!J178</f>
        <v>SMB</v>
      </c>
      <c r="K178" t="str">
        <f>Deals_Raw!K178</f>
        <v>No</v>
      </c>
      <c r="L178">
        <f>Deals_Raw!L178</f>
        <v>45505</v>
      </c>
      <c r="M178">
        <f>Deals_Raw!M178</f>
        <v>92</v>
      </c>
      <c r="N178" t="str">
        <f>Deals_Raw!N178</f>
        <v>Nexus Insights</v>
      </c>
      <c r="O178" t="str">
        <f>Deals_Raw!O178</f>
        <v>Renewal</v>
      </c>
      <c r="P178">
        <f>Deals_Raw!P178</f>
        <v>0</v>
      </c>
      <c r="Q178">
        <f>Deals_Raw!Q178</f>
        <v>1</v>
      </c>
      <c r="R178">
        <f>Deals_Raw!R178</f>
        <v>27</v>
      </c>
      <c r="S178" t="str">
        <f>Deals_Raw!S178</f>
        <v>T. Brooks</v>
      </c>
      <c r="T178" s="6">
        <f>Deals_Raw!T178</f>
        <v>34499.548105239628</v>
      </c>
      <c r="U178" s="8">
        <f>Deals_Raw!V178</f>
        <v>0.113</v>
      </c>
      <c r="V178" s="8">
        <f>Deals_Raw!W178</f>
        <v>0.108</v>
      </c>
      <c r="W178" s="8">
        <f>Deals_Raw!X178</f>
        <v>-7.6999999999999999E-2</v>
      </c>
      <c r="X178" t="str">
        <f>Deals_Raw!Y178</f>
        <v>Budget constraint</v>
      </c>
      <c r="Y178" t="str">
        <f>Deals_Raw!Z178</f>
        <v>Pricing Analyst</v>
      </c>
      <c r="Z178" s="6">
        <f>Deals_Raw!AA178</f>
        <v>30764.444839968677</v>
      </c>
      <c r="AA178" s="6">
        <f>Deals_Raw!AC178</f>
        <v>10756.818264021585</v>
      </c>
      <c r="AB178" s="6">
        <f>Deals_Raw!AD178</f>
        <v>20007.626575947092</v>
      </c>
      <c r="AC178" s="8">
        <f>Deals_Raw!AE178</f>
        <v>0.65034902076157419</v>
      </c>
      <c r="AD178" t="str">
        <f>Deals_Raw!AF178</f>
        <v>Won</v>
      </c>
      <c r="AE178" t="str">
        <f>Deals_Raw!AG178</f>
        <v>Yes</v>
      </c>
      <c r="AF178">
        <f>Deals_Raw!AH178</f>
        <v>0</v>
      </c>
      <c r="AG178" t="str">
        <f>Deals_Raw!AI178</f>
        <v>No</v>
      </c>
      <c r="AH178" s="6">
        <f>Deals_Raw!AJ178</f>
        <v>30764.444839968677</v>
      </c>
      <c r="AI178" s="6">
        <f>Deals_Raw!AK178</f>
        <v>20007.626575947092</v>
      </c>
      <c r="AJ178" t="str">
        <f>Deals_Raw!AL178</f>
        <v>Renewal of existing active contract</v>
      </c>
      <c r="AK178" s="9">
        <f t="shared" si="14"/>
        <v>0.51944444444444449</v>
      </c>
      <c r="AL178" s="8">
        <f t="shared" si="15"/>
        <v>0.89173471913669267</v>
      </c>
      <c r="AM178" s="8">
        <f t="shared" si="16"/>
        <v>5.0000000000000044E-3</v>
      </c>
      <c r="AN178" t="str">
        <f>IF(AC178&lt;Pricing_Policy!$C$10,"Below Floor","Pass")</f>
        <v>Pass</v>
      </c>
      <c r="AO178" t="str">
        <f>IF(V178&gt;Pricing_Policy!$C$7,"Exception","Standard")</f>
        <v>Standard</v>
      </c>
      <c r="AP178" t="str">
        <f t="shared" si="17"/>
        <v>Pass</v>
      </c>
      <c r="AQ178">
        <f t="shared" si="18"/>
        <v>1</v>
      </c>
      <c r="AR178" s="8">
        <f t="shared" si="19"/>
        <v>0.65034902076157419</v>
      </c>
      <c r="AS178">
        <f t="shared" si="20"/>
        <v>3</v>
      </c>
    </row>
    <row r="179" spans="1:45">
      <c r="A179" t="str">
        <f>Deals_Raw!A179</f>
        <v>D00201</v>
      </c>
      <c r="B179">
        <f>Deals_Raw!B179</f>
        <v>45354</v>
      </c>
      <c r="C179" t="str">
        <f>Deals_Raw!C179</f>
        <v>C0058</v>
      </c>
      <c r="D179" t="str">
        <f>Deals_Raw!D179</f>
        <v>PUB-0058</v>
      </c>
      <c r="E179" t="str">
        <f>Deals_Raw!E179</f>
        <v>CT00117</v>
      </c>
      <c r="F179" t="str">
        <f>Deals_Raw!F179</f>
        <v>Sales</v>
      </c>
      <c r="G179" t="str">
        <f>Deals_Raw!G179</f>
        <v>Public Sector</v>
      </c>
      <c r="H179" t="str">
        <f>Deals_Raw!H179</f>
        <v>West</v>
      </c>
      <c r="I179" t="str">
        <f>Deals_Raw!I179</f>
        <v>West Commercial</v>
      </c>
      <c r="J179" t="str">
        <f>Deals_Raw!J179</f>
        <v>SMB</v>
      </c>
      <c r="K179" t="str">
        <f>Deals_Raw!K179</f>
        <v>No</v>
      </c>
      <c r="L179">
        <f>Deals_Raw!L179</f>
        <v>45505</v>
      </c>
      <c r="M179">
        <f>Deals_Raw!M179</f>
        <v>92</v>
      </c>
      <c r="N179" t="str">
        <f>Deals_Raw!N179</f>
        <v>Nexus Compliance</v>
      </c>
      <c r="O179" t="str">
        <f>Deals_Raw!O179</f>
        <v>New Business</v>
      </c>
      <c r="P179">
        <f>Deals_Raw!P179</f>
        <v>0</v>
      </c>
      <c r="Q179">
        <f>Deals_Raw!Q179</f>
        <v>3</v>
      </c>
      <c r="R179">
        <f>Deals_Raw!R179</f>
        <v>74</v>
      </c>
      <c r="S179" t="str">
        <f>Deals_Raw!S179</f>
        <v>A. Patel</v>
      </c>
      <c r="T179" s="6">
        <f>Deals_Raw!T179</f>
        <v>77417.315830969615</v>
      </c>
      <c r="U179" s="8">
        <f>Deals_Raw!V179</f>
        <v>0.14299999999999999</v>
      </c>
      <c r="V179" s="8">
        <f>Deals_Raw!W179</f>
        <v>8.8999999999999996E-2</v>
      </c>
      <c r="W179" s="8">
        <f>Deals_Raw!X179</f>
        <v>4.4999999999999998E-2</v>
      </c>
      <c r="X179" t="str">
        <f>Deals_Raw!Y179</f>
        <v>Multi-year commitment</v>
      </c>
      <c r="Y179" t="str">
        <f>Deals_Raw!Z179</f>
        <v>Sales Manager</v>
      </c>
      <c r="Z179" s="6">
        <f>Deals_Raw!AA179</f>
        <v>70543.012759794641</v>
      </c>
      <c r="AA179" s="6">
        <f>Deals_Raw!AC179</f>
        <v>32108.726969299383</v>
      </c>
      <c r="AB179" s="6">
        <f>Deals_Raw!AD179</f>
        <v>38434.285790495254</v>
      </c>
      <c r="AC179" s="8">
        <f>Deals_Raw!AE179</f>
        <v>0.54483476515764195</v>
      </c>
      <c r="AD179" t="str">
        <f>Deals_Raw!AF179</f>
        <v>Lost</v>
      </c>
      <c r="AE179">
        <f>Deals_Raw!AG179</f>
        <v>0</v>
      </c>
      <c r="AF179">
        <f>Deals_Raw!AH179</f>
        <v>0</v>
      </c>
      <c r="AG179" t="str">
        <f>Deals_Raw!AI179</f>
        <v>No</v>
      </c>
      <c r="AH179" s="6">
        <f>Deals_Raw!AJ179</f>
        <v>0</v>
      </c>
      <c r="AI179" s="6">
        <f>Deals_Raw!AK179</f>
        <v>0</v>
      </c>
      <c r="AJ179" t="str">
        <f>Deals_Raw!AL179</f>
        <v>First purchase under this contract</v>
      </c>
      <c r="AK179" s="9">
        <f t="shared" si="14"/>
        <v>0.41111111111111109</v>
      </c>
      <c r="AL179" s="8">
        <f t="shared" si="15"/>
        <v>0.91120458004273752</v>
      </c>
      <c r="AM179" s="8">
        <f t="shared" si="16"/>
        <v>5.3999999999999992E-2</v>
      </c>
      <c r="AN179" t="str">
        <f>IF(AC179&lt;Pricing_Policy!$C$10,"Below Floor","Pass")</f>
        <v>Pass</v>
      </c>
      <c r="AO179" t="str">
        <f>IF(V179&gt;Pricing_Policy!$C$7,"Exception","Standard")</f>
        <v>Standard</v>
      </c>
      <c r="AP179" t="str">
        <f t="shared" si="17"/>
        <v>Pass</v>
      </c>
      <c r="AQ179">
        <f t="shared" si="18"/>
        <v>0</v>
      </c>
      <c r="AR179" s="8">
        <f t="shared" si="19"/>
        <v>0</v>
      </c>
      <c r="AS179">
        <f t="shared" si="20"/>
        <v>1</v>
      </c>
    </row>
    <row r="180" spans="1:45">
      <c r="A180" t="str">
        <f>Deals_Raw!A180</f>
        <v>D00202</v>
      </c>
      <c r="B180">
        <f>Deals_Raw!B180</f>
        <v>45796</v>
      </c>
      <c r="C180" t="str">
        <f>Deals_Raw!C180</f>
        <v>C0059</v>
      </c>
      <c r="D180" t="str">
        <f>Deals_Raw!D180</f>
        <v>FIN-0059</v>
      </c>
      <c r="E180" t="str">
        <f>Deals_Raw!E180</f>
        <v>CT00118</v>
      </c>
      <c r="F180" t="str">
        <f>Deals_Raw!F180</f>
        <v>Technology</v>
      </c>
      <c r="G180" t="str">
        <f>Deals_Raw!G180</f>
        <v>Financial Services</v>
      </c>
      <c r="H180" t="str">
        <f>Deals_Raw!H180</f>
        <v>Midwest</v>
      </c>
      <c r="I180" t="str">
        <f>Deals_Raw!I180</f>
        <v>Midwest Commercial</v>
      </c>
      <c r="J180" t="str">
        <f>Deals_Raw!J180</f>
        <v>SMB</v>
      </c>
      <c r="K180" t="str">
        <f>Deals_Raw!K180</f>
        <v>No</v>
      </c>
      <c r="L180">
        <f>Deals_Raw!L180</f>
        <v>45597</v>
      </c>
      <c r="M180">
        <f>Deals_Raw!M180</f>
        <v>62</v>
      </c>
      <c r="N180" t="str">
        <f>Deals_Raw!N180</f>
        <v>Nexus Enterprise Suite</v>
      </c>
      <c r="O180" t="str">
        <f>Deals_Raw!O180</f>
        <v>New Business</v>
      </c>
      <c r="P180">
        <f>Deals_Raw!P180</f>
        <v>0</v>
      </c>
      <c r="Q180">
        <f>Deals_Raw!Q180</f>
        <v>1</v>
      </c>
      <c r="R180">
        <f>Deals_Raw!R180</f>
        <v>58</v>
      </c>
      <c r="S180" t="str">
        <f>Deals_Raw!S180</f>
        <v>T. Brooks</v>
      </c>
      <c r="T180" s="6">
        <f>Deals_Raw!T180</f>
        <v>138526.92578910972</v>
      </c>
      <c r="U180" s="8">
        <f>Deals_Raw!V180</f>
        <v>0.17</v>
      </c>
      <c r="V180" s="8">
        <f>Deals_Raw!W180</f>
        <v>0.14000000000000001</v>
      </c>
      <c r="W180" s="8">
        <f>Deals_Raw!X180</f>
        <v>5.5E-2</v>
      </c>
      <c r="X180" t="str">
        <f>Deals_Raw!Y180</f>
        <v>Volume purchase</v>
      </c>
      <c r="Y180" t="str">
        <f>Deals_Raw!Z180</f>
        <v>Pricing Analyst</v>
      </c>
      <c r="Z180" s="6">
        <f>Deals_Raw!AA180</f>
        <v>119075.5322801295</v>
      </c>
      <c r="AA180" s="6">
        <f>Deals_Raw!AC180</f>
        <v>53163.478843493271</v>
      </c>
      <c r="AB180" s="6">
        <f>Deals_Raw!AD180</f>
        <v>65912.053436636226</v>
      </c>
      <c r="AC180" s="8">
        <f>Deals_Raw!AE180</f>
        <v>0.55353146170764733</v>
      </c>
      <c r="AD180" t="str">
        <f>Deals_Raw!AF180</f>
        <v>Won</v>
      </c>
      <c r="AE180">
        <f>Deals_Raw!AG180</f>
        <v>0</v>
      </c>
      <c r="AF180">
        <f>Deals_Raw!AH180</f>
        <v>0</v>
      </c>
      <c r="AG180" t="str">
        <f>Deals_Raw!AI180</f>
        <v>No</v>
      </c>
      <c r="AH180" s="6">
        <f>Deals_Raw!AJ180</f>
        <v>119075.5322801295</v>
      </c>
      <c r="AI180" s="6">
        <f>Deals_Raw!AK180</f>
        <v>65912.053436636226</v>
      </c>
      <c r="AJ180" t="str">
        <f>Deals_Raw!AL180</f>
        <v>First purchase under this contract</v>
      </c>
      <c r="AK180" s="9">
        <f t="shared" si="14"/>
        <v>0.55000000000000004</v>
      </c>
      <c r="AL180" s="8">
        <f t="shared" si="15"/>
        <v>0.85958402384102139</v>
      </c>
      <c r="AM180" s="8">
        <f t="shared" si="16"/>
        <v>0.03</v>
      </c>
      <c r="AN180" t="str">
        <f>IF(AC180&lt;Pricing_Policy!$C$10,"Below Floor","Pass")</f>
        <v>Pass</v>
      </c>
      <c r="AO180" t="str">
        <f>IF(V180&gt;Pricing_Policy!$C$7,"Exception","Standard")</f>
        <v>Standard</v>
      </c>
      <c r="AP180" t="str">
        <f t="shared" si="17"/>
        <v>Pass</v>
      </c>
      <c r="AQ180">
        <f t="shared" si="18"/>
        <v>1</v>
      </c>
      <c r="AR180" s="8">
        <f t="shared" si="19"/>
        <v>0.55353146170764733</v>
      </c>
      <c r="AS180">
        <f t="shared" si="20"/>
        <v>1</v>
      </c>
    </row>
    <row r="181" spans="1:45">
      <c r="A181" t="str">
        <f>Deals_Raw!A181</f>
        <v>D00203</v>
      </c>
      <c r="B181">
        <f>Deals_Raw!B181</f>
        <v>45339</v>
      </c>
      <c r="C181" t="str">
        <f>Deals_Raw!C181</f>
        <v>C0059</v>
      </c>
      <c r="D181" t="str">
        <f>Deals_Raw!D181</f>
        <v>FIN-0059</v>
      </c>
      <c r="E181" t="str">
        <f>Deals_Raw!E181</f>
        <v>CT00119</v>
      </c>
      <c r="F181" t="str">
        <f>Deals_Raw!F181</f>
        <v>Operations</v>
      </c>
      <c r="G181" t="str">
        <f>Deals_Raw!G181</f>
        <v>Financial Services</v>
      </c>
      <c r="H181" t="str">
        <f>Deals_Raw!H181</f>
        <v>Midwest</v>
      </c>
      <c r="I181" t="str">
        <f>Deals_Raw!I181</f>
        <v>Midwest Commercial</v>
      </c>
      <c r="J181" t="str">
        <f>Deals_Raw!J181</f>
        <v>SMB</v>
      </c>
      <c r="K181" t="str">
        <f>Deals_Raw!K181</f>
        <v>No</v>
      </c>
      <c r="L181">
        <f>Deals_Raw!L181</f>
        <v>45597</v>
      </c>
      <c r="M181">
        <f>Deals_Raw!M181</f>
        <v>62</v>
      </c>
      <c r="N181" t="str">
        <f>Deals_Raw!N181</f>
        <v>Nexus AI Assistant</v>
      </c>
      <c r="O181" t="str">
        <f>Deals_Raw!O181</f>
        <v>New Business</v>
      </c>
      <c r="P181">
        <f>Deals_Raw!P181</f>
        <v>0</v>
      </c>
      <c r="Q181">
        <f>Deals_Raw!Q181</f>
        <v>1</v>
      </c>
      <c r="R181">
        <f>Deals_Raw!R181</f>
        <v>32</v>
      </c>
      <c r="S181" t="str">
        <f>Deals_Raw!S181</f>
        <v>S. Rivera</v>
      </c>
      <c r="T181" s="6">
        <f>Deals_Raw!T181</f>
        <v>35586.86887020521</v>
      </c>
      <c r="U181" s="8">
        <f>Deals_Raw!V181</f>
        <v>0.29499999999999998</v>
      </c>
      <c r="V181" s="8">
        <f>Deals_Raw!W181</f>
        <v>0.25900000000000001</v>
      </c>
      <c r="W181" s="8">
        <f>Deals_Raw!X181</f>
        <v>-0.111</v>
      </c>
      <c r="X181" t="str">
        <f>Deals_Raw!Y181</f>
        <v>Volume purchase</v>
      </c>
      <c r="Y181" t="str">
        <f>Deals_Raw!Z181</f>
        <v>Business Manager</v>
      </c>
      <c r="Z181" s="6">
        <f>Deals_Raw!AA181</f>
        <v>26353.989251912295</v>
      </c>
      <c r="AA181" s="6">
        <f>Deals_Raw!AC181</f>
        <v>14348.115825859541</v>
      </c>
      <c r="AB181" s="6">
        <f>Deals_Raw!AD181</f>
        <v>12005.873426052754</v>
      </c>
      <c r="AC181" s="8">
        <f>Deals_Raw!AE181</f>
        <v>0.45556190037459265</v>
      </c>
      <c r="AD181" t="str">
        <f>Deals_Raw!AF181</f>
        <v>Won</v>
      </c>
      <c r="AE181">
        <f>Deals_Raw!AG181</f>
        <v>0</v>
      </c>
      <c r="AF181">
        <f>Deals_Raw!AH181</f>
        <v>0</v>
      </c>
      <c r="AG181" t="str">
        <f>Deals_Raw!AI181</f>
        <v>No</v>
      </c>
      <c r="AH181" s="6">
        <f>Deals_Raw!AJ181</f>
        <v>26353.989251912295</v>
      </c>
      <c r="AI181" s="6">
        <f>Deals_Raw!AK181</f>
        <v>12005.873426052754</v>
      </c>
      <c r="AJ181" t="str">
        <f>Deals_Raw!AL181</f>
        <v>First purchase under this contract</v>
      </c>
      <c r="AK181" s="9">
        <f t="shared" si="14"/>
        <v>0.7055555555555556</v>
      </c>
      <c r="AL181" s="8">
        <f t="shared" si="15"/>
        <v>0.7405537516670071</v>
      </c>
      <c r="AM181" s="8">
        <f t="shared" si="16"/>
        <v>3.5999999999999976E-2</v>
      </c>
      <c r="AN181" t="str">
        <f>IF(AC181&lt;Pricing_Policy!$C$10,"Below Floor","Pass")</f>
        <v>Pass</v>
      </c>
      <c r="AO181" t="str">
        <f>IF(V181&gt;Pricing_Policy!$C$7,"Exception","Standard")</f>
        <v>Standard</v>
      </c>
      <c r="AP181" t="str">
        <f t="shared" si="17"/>
        <v>Pass</v>
      </c>
      <c r="AQ181">
        <f t="shared" si="18"/>
        <v>1</v>
      </c>
      <c r="AR181" s="8">
        <f t="shared" si="19"/>
        <v>0.45556190037459265</v>
      </c>
      <c r="AS181">
        <f t="shared" si="20"/>
        <v>2</v>
      </c>
    </row>
    <row r="182" spans="1:45">
      <c r="A182" t="str">
        <f>Deals_Raw!A182</f>
        <v>D00204</v>
      </c>
      <c r="B182">
        <f>Deals_Raw!B182</f>
        <v>45704</v>
      </c>
      <c r="C182" t="str">
        <f>Deals_Raw!C182</f>
        <v>C0059</v>
      </c>
      <c r="D182" t="str">
        <f>Deals_Raw!D182</f>
        <v>FIN-0059</v>
      </c>
      <c r="E182" t="str">
        <f>Deals_Raw!E182</f>
        <v>CT00119</v>
      </c>
      <c r="F182" t="str">
        <f>Deals_Raw!F182</f>
        <v>Operations</v>
      </c>
      <c r="G182" t="str">
        <f>Deals_Raw!G182</f>
        <v>Financial Services</v>
      </c>
      <c r="H182" t="str">
        <f>Deals_Raw!H182</f>
        <v>Midwest</v>
      </c>
      <c r="I182" t="str">
        <f>Deals_Raw!I182</f>
        <v>Midwest Commercial</v>
      </c>
      <c r="J182" t="str">
        <f>Deals_Raw!J182</f>
        <v>SMB</v>
      </c>
      <c r="K182" t="str">
        <f>Deals_Raw!K182</f>
        <v>No</v>
      </c>
      <c r="L182">
        <f>Deals_Raw!L182</f>
        <v>45597</v>
      </c>
      <c r="M182">
        <f>Deals_Raw!M182</f>
        <v>62</v>
      </c>
      <c r="N182" t="str">
        <f>Deals_Raw!N182</f>
        <v>Nexus AI Assistant</v>
      </c>
      <c r="O182" t="str">
        <f>Deals_Raw!O182</f>
        <v>Renewal</v>
      </c>
      <c r="P182">
        <f>Deals_Raw!P182</f>
        <v>0</v>
      </c>
      <c r="Q182">
        <f>Deals_Raw!Q182</f>
        <v>1</v>
      </c>
      <c r="R182">
        <f>Deals_Raw!R182</f>
        <v>32</v>
      </c>
      <c r="S182" t="str">
        <f>Deals_Raw!S182</f>
        <v>D. Chen</v>
      </c>
      <c r="T182" s="6">
        <f>Deals_Raw!T182</f>
        <v>37976.716434362395</v>
      </c>
      <c r="U182" s="8">
        <f>Deals_Raw!V182</f>
        <v>0.04</v>
      </c>
      <c r="V182" s="8">
        <f>Deals_Raw!W182</f>
        <v>1.2999999999999999E-2</v>
      </c>
      <c r="W182" s="8">
        <f>Deals_Raw!X182</f>
        <v>-0.01</v>
      </c>
      <c r="X182" t="str">
        <f>Deals_Raw!Y182</f>
        <v>Renewal retention risk</v>
      </c>
      <c r="Y182" t="str">
        <f>Deals_Raw!Z182</f>
        <v>Sales Manager</v>
      </c>
      <c r="Z182" s="6">
        <f>Deals_Raw!AA182</f>
        <v>37470.586505026768</v>
      </c>
      <c r="AA182" s="6">
        <f>Deals_Raw!AC182</f>
        <v>15023.654006161159</v>
      </c>
      <c r="AB182" s="6">
        <f>Deals_Raw!AD182</f>
        <v>22446.932498865608</v>
      </c>
      <c r="AC182" s="8">
        <f>Deals_Raw!AE182</f>
        <v>0.59905474113286961</v>
      </c>
      <c r="AD182" t="str">
        <f>Deals_Raw!AF182</f>
        <v>Lost</v>
      </c>
      <c r="AE182" t="str">
        <f>Deals_Raw!AG182</f>
        <v>No</v>
      </c>
      <c r="AF182">
        <f>Deals_Raw!AH182</f>
        <v>0</v>
      </c>
      <c r="AG182" t="str">
        <f>Deals_Raw!AI182</f>
        <v>No</v>
      </c>
      <c r="AH182" s="6">
        <f>Deals_Raw!AJ182</f>
        <v>0</v>
      </c>
      <c r="AI182" s="6">
        <f>Deals_Raw!AK182</f>
        <v>0</v>
      </c>
      <c r="AJ182" t="str">
        <f>Deals_Raw!AL182</f>
        <v>Renewal of existing active contract</v>
      </c>
      <c r="AK182" s="9">
        <f t="shared" si="14"/>
        <v>0.29166666666666669</v>
      </c>
      <c r="AL182" s="8">
        <f t="shared" si="15"/>
        <v>0.98667262531213296</v>
      </c>
      <c r="AM182" s="8">
        <f t="shared" si="16"/>
        <v>2.7000000000000003E-2</v>
      </c>
      <c r="AN182" t="str">
        <f>IF(AC182&lt;Pricing_Policy!$C$10,"Below Floor","Pass")</f>
        <v>Pass</v>
      </c>
      <c r="AO182" t="str">
        <f>IF(V182&gt;Pricing_Policy!$C$7,"Exception","Standard")</f>
        <v>Standard</v>
      </c>
      <c r="AP182" t="str">
        <f t="shared" si="17"/>
        <v>Pass</v>
      </c>
      <c r="AQ182">
        <f t="shared" si="18"/>
        <v>0</v>
      </c>
      <c r="AR182" s="8">
        <f t="shared" si="19"/>
        <v>0</v>
      </c>
      <c r="AS182">
        <f t="shared" si="20"/>
        <v>2</v>
      </c>
    </row>
    <row r="183" spans="1:45">
      <c r="A183" t="str">
        <f>Deals_Raw!A183</f>
        <v>D00205</v>
      </c>
      <c r="B183">
        <f>Deals_Raw!B183</f>
        <v>45598</v>
      </c>
      <c r="C183" t="str">
        <f>Deals_Raw!C183</f>
        <v>C0060</v>
      </c>
      <c r="D183" t="str">
        <f>Deals_Raw!D183</f>
        <v>TEC-0060</v>
      </c>
      <c r="E183" t="str">
        <f>Deals_Raw!E183</f>
        <v>CT00120</v>
      </c>
      <c r="F183" t="str">
        <f>Deals_Raw!F183</f>
        <v>Operations</v>
      </c>
      <c r="G183" t="str">
        <f>Deals_Raw!G183</f>
        <v>Technology</v>
      </c>
      <c r="H183" t="str">
        <f>Deals_Raw!H183</f>
        <v>Midwest</v>
      </c>
      <c r="I183" t="str">
        <f>Deals_Raw!I183</f>
        <v>Midwest Commercial</v>
      </c>
      <c r="J183" t="str">
        <f>Deals_Raw!J183</f>
        <v>Mid-Market</v>
      </c>
      <c r="K183" t="str">
        <f>Deals_Raw!K183</f>
        <v>No</v>
      </c>
      <c r="L183">
        <f>Deals_Raw!L183</f>
        <v>45017</v>
      </c>
      <c r="M183">
        <f>Deals_Raw!M183</f>
        <v>71</v>
      </c>
      <c r="N183" t="str">
        <f>Deals_Raw!N183</f>
        <v>Nexus AI Assistant</v>
      </c>
      <c r="O183" t="str">
        <f>Deals_Raw!O183</f>
        <v>New Business</v>
      </c>
      <c r="P183">
        <f>Deals_Raw!P183</f>
        <v>0</v>
      </c>
      <c r="Q183">
        <f>Deals_Raw!Q183</f>
        <v>1</v>
      </c>
      <c r="R183">
        <f>Deals_Raw!R183</f>
        <v>71</v>
      </c>
      <c r="S183" t="str">
        <f>Deals_Raw!S183</f>
        <v>K. Nguyen</v>
      </c>
      <c r="T183" s="6">
        <f>Deals_Raw!T183</f>
        <v>58156.786335952638</v>
      </c>
      <c r="U183" s="8">
        <f>Deals_Raw!V183</f>
        <v>0.11799999999999999</v>
      </c>
      <c r="V183" s="8">
        <f>Deals_Raw!W183</f>
        <v>9.4E-2</v>
      </c>
      <c r="W183" s="8">
        <f>Deals_Raw!X183</f>
        <v>0.12</v>
      </c>
      <c r="X183" t="str">
        <f>Deals_Raw!Y183</f>
        <v>Volume purchase</v>
      </c>
      <c r="Y183" t="str">
        <f>Deals_Raw!Z183</f>
        <v>Sales Manager</v>
      </c>
      <c r="Z183" s="6">
        <f>Deals_Raw!AA183</f>
        <v>52714.561768685075</v>
      </c>
      <c r="AA183" s="6">
        <f>Deals_Raw!AC183</f>
        <v>24123.238895756091</v>
      </c>
      <c r="AB183" s="6">
        <f>Deals_Raw!AD183</f>
        <v>28591.322872928984</v>
      </c>
      <c r="AC183" s="8">
        <f>Deals_Raw!AE183</f>
        <v>0.54237997838983409</v>
      </c>
      <c r="AD183" t="str">
        <f>Deals_Raw!AF183</f>
        <v>Won</v>
      </c>
      <c r="AE183">
        <f>Deals_Raw!AG183</f>
        <v>0</v>
      </c>
      <c r="AF183">
        <f>Deals_Raw!AH183</f>
        <v>0</v>
      </c>
      <c r="AG183" t="str">
        <f>Deals_Raw!AI183</f>
        <v>No</v>
      </c>
      <c r="AH183" s="6">
        <f>Deals_Raw!AJ183</f>
        <v>52714.561768685075</v>
      </c>
      <c r="AI183" s="6">
        <f>Deals_Raw!AK183</f>
        <v>28591.322872928984</v>
      </c>
      <c r="AJ183" t="str">
        <f>Deals_Raw!AL183</f>
        <v>First purchase under this contract</v>
      </c>
      <c r="AK183" s="9">
        <f t="shared" si="14"/>
        <v>1.586111111111111</v>
      </c>
      <c r="AL183" s="8">
        <f t="shared" si="15"/>
        <v>0.90642150452004655</v>
      </c>
      <c r="AM183" s="8">
        <f t="shared" si="16"/>
        <v>2.3999999999999994E-2</v>
      </c>
      <c r="AN183" t="str">
        <f>IF(AC183&lt;Pricing_Policy!$C$10,"Below Floor","Pass")</f>
        <v>Pass</v>
      </c>
      <c r="AO183" t="str">
        <f>IF(V183&gt;Pricing_Policy!$C$7,"Exception","Standard")</f>
        <v>Standard</v>
      </c>
      <c r="AP183" t="str">
        <f t="shared" si="17"/>
        <v>Pass</v>
      </c>
      <c r="AQ183">
        <f t="shared" si="18"/>
        <v>1</v>
      </c>
      <c r="AR183" s="8">
        <f t="shared" si="19"/>
        <v>0.54237997838983409</v>
      </c>
      <c r="AS183">
        <f t="shared" si="20"/>
        <v>2</v>
      </c>
    </row>
    <row r="184" spans="1:45">
      <c r="A184" t="str">
        <f>Deals_Raw!A184</f>
        <v>D00206</v>
      </c>
      <c r="B184">
        <f>Deals_Raw!B184</f>
        <v>45963</v>
      </c>
      <c r="C184" t="str">
        <f>Deals_Raw!C184</f>
        <v>C0060</v>
      </c>
      <c r="D184" t="str">
        <f>Deals_Raw!D184</f>
        <v>TEC-0060</v>
      </c>
      <c r="E184" t="str">
        <f>Deals_Raw!E184</f>
        <v>CT00120</v>
      </c>
      <c r="F184" t="str">
        <f>Deals_Raw!F184</f>
        <v>Operations</v>
      </c>
      <c r="G184" t="str">
        <f>Deals_Raw!G184</f>
        <v>Technology</v>
      </c>
      <c r="H184" t="str">
        <f>Deals_Raw!H184</f>
        <v>Midwest</v>
      </c>
      <c r="I184" t="str">
        <f>Deals_Raw!I184</f>
        <v>Midwest Commercial</v>
      </c>
      <c r="J184" t="str">
        <f>Deals_Raw!J184</f>
        <v>Mid-Market</v>
      </c>
      <c r="K184" t="str">
        <f>Deals_Raw!K184</f>
        <v>No</v>
      </c>
      <c r="L184">
        <f>Deals_Raw!L184</f>
        <v>45017</v>
      </c>
      <c r="M184">
        <f>Deals_Raw!M184</f>
        <v>71</v>
      </c>
      <c r="N184" t="str">
        <f>Deals_Raw!N184</f>
        <v>Nexus AI Assistant</v>
      </c>
      <c r="O184" t="str">
        <f>Deals_Raw!O184</f>
        <v>Renewal</v>
      </c>
      <c r="P184">
        <f>Deals_Raw!P184</f>
        <v>0</v>
      </c>
      <c r="Q184">
        <f>Deals_Raw!Q184</f>
        <v>1</v>
      </c>
      <c r="R184">
        <f>Deals_Raw!R184</f>
        <v>71</v>
      </c>
      <c r="S184" t="str">
        <f>Deals_Raw!S184</f>
        <v>D. Chen</v>
      </c>
      <c r="T184" s="6">
        <f>Deals_Raw!T184</f>
        <v>60886.080186580148</v>
      </c>
      <c r="U184" s="8">
        <f>Deals_Raw!V184</f>
        <v>0.109</v>
      </c>
      <c r="V184" s="8">
        <f>Deals_Raw!W184</f>
        <v>8.3000000000000004E-2</v>
      </c>
      <c r="W184" s="8">
        <f>Deals_Raw!X184</f>
        <v>-0.05</v>
      </c>
      <c r="X184" t="str">
        <f>Deals_Raw!Y184</f>
        <v>Budget constraint</v>
      </c>
      <c r="Y184" t="str">
        <f>Deals_Raw!Z184</f>
        <v>Sales Manager</v>
      </c>
      <c r="Z184" s="6">
        <f>Deals_Raw!AA184</f>
        <v>55816.30245799679</v>
      </c>
      <c r="AA184" s="6">
        <f>Deals_Raw!AC184</f>
        <v>24164.897580146608</v>
      </c>
      <c r="AB184" s="6">
        <f>Deals_Raw!AD184</f>
        <v>31651.404877850182</v>
      </c>
      <c r="AC184" s="8">
        <f>Deals_Raw!AE184</f>
        <v>0.56706380544767687</v>
      </c>
      <c r="AD184" t="str">
        <f>Deals_Raw!AF184</f>
        <v>Lost</v>
      </c>
      <c r="AE184" t="str">
        <f>Deals_Raw!AG184</f>
        <v>No</v>
      </c>
      <c r="AF184">
        <f>Deals_Raw!AH184</f>
        <v>0</v>
      </c>
      <c r="AG184" t="str">
        <f>Deals_Raw!AI184</f>
        <v>No</v>
      </c>
      <c r="AH184" s="6">
        <f>Deals_Raw!AJ184</f>
        <v>0</v>
      </c>
      <c r="AI184" s="6">
        <f>Deals_Raw!AK184</f>
        <v>0</v>
      </c>
      <c r="AJ184" t="str">
        <f>Deals_Raw!AL184</f>
        <v>Renewal of existing active contract</v>
      </c>
      <c r="AK184" s="9">
        <f t="shared" si="14"/>
        <v>2.5861111111111112</v>
      </c>
      <c r="AL184" s="8">
        <f t="shared" si="15"/>
        <v>0.91673338613608457</v>
      </c>
      <c r="AM184" s="8">
        <f t="shared" si="16"/>
        <v>2.5999999999999995E-2</v>
      </c>
      <c r="AN184" t="str">
        <f>IF(AC184&lt;Pricing_Policy!$C$10,"Below Floor","Pass")</f>
        <v>Pass</v>
      </c>
      <c r="AO184" t="str">
        <f>IF(V184&gt;Pricing_Policy!$C$7,"Exception","Standard")</f>
        <v>Standard</v>
      </c>
      <c r="AP184" t="str">
        <f t="shared" si="17"/>
        <v>Pass</v>
      </c>
      <c r="AQ184">
        <f t="shared" si="18"/>
        <v>0</v>
      </c>
      <c r="AR184" s="8">
        <f t="shared" si="19"/>
        <v>0</v>
      </c>
      <c r="AS184">
        <f t="shared" si="20"/>
        <v>2</v>
      </c>
    </row>
    <row r="185" spans="1:45">
      <c r="A185" t="str">
        <f>Deals_Raw!A185</f>
        <v>D00207</v>
      </c>
      <c r="B185">
        <f>Deals_Raw!B185</f>
        <v>45563</v>
      </c>
      <c r="C185" t="str">
        <f>Deals_Raw!C185</f>
        <v>C0060</v>
      </c>
      <c r="D185" t="str">
        <f>Deals_Raw!D185</f>
        <v>TEC-0060</v>
      </c>
      <c r="E185" t="str">
        <f>Deals_Raw!E185</f>
        <v>CT00121</v>
      </c>
      <c r="F185" t="str">
        <f>Deals_Raw!F185</f>
        <v>Operations</v>
      </c>
      <c r="G185" t="str">
        <f>Deals_Raw!G185</f>
        <v>Technology</v>
      </c>
      <c r="H185" t="str">
        <f>Deals_Raw!H185</f>
        <v>Midwest</v>
      </c>
      <c r="I185" t="str">
        <f>Deals_Raw!I185</f>
        <v>Midwest Commercial</v>
      </c>
      <c r="J185" t="str">
        <f>Deals_Raw!J185</f>
        <v>Mid-Market</v>
      </c>
      <c r="K185" t="str">
        <f>Deals_Raw!K185</f>
        <v>No</v>
      </c>
      <c r="L185">
        <f>Deals_Raw!L185</f>
        <v>45017</v>
      </c>
      <c r="M185">
        <f>Deals_Raw!M185</f>
        <v>71</v>
      </c>
      <c r="N185" t="str">
        <f>Deals_Raw!N185</f>
        <v>Nexus Enterprise Suite</v>
      </c>
      <c r="O185" t="str">
        <f>Deals_Raw!O185</f>
        <v>Renewal</v>
      </c>
      <c r="P185">
        <f>Deals_Raw!P185</f>
        <v>0</v>
      </c>
      <c r="Q185">
        <f>Deals_Raw!Q185</f>
        <v>1</v>
      </c>
      <c r="R185">
        <f>Deals_Raw!R185</f>
        <v>193</v>
      </c>
      <c r="S185" t="str">
        <f>Deals_Raw!S185</f>
        <v>K. Nguyen</v>
      </c>
      <c r="T185" s="6">
        <f>Deals_Raw!T185</f>
        <v>281898.91833154851</v>
      </c>
      <c r="U185" s="8">
        <f>Deals_Raw!V185</f>
        <v>0.13</v>
      </c>
      <c r="V185" s="8">
        <f>Deals_Raw!W185</f>
        <v>0.123</v>
      </c>
      <c r="W185" s="8">
        <f>Deals_Raw!X185</f>
        <v>-0.106</v>
      </c>
      <c r="X185" t="str">
        <f>Deals_Raw!Y185</f>
        <v>Expansion opportunity</v>
      </c>
      <c r="Y185" t="str">
        <f>Deals_Raw!Z185</f>
        <v>Pricing Analyst</v>
      </c>
      <c r="Z185" s="6">
        <f>Deals_Raw!AA185</f>
        <v>247324.96450244679</v>
      </c>
      <c r="AA185" s="6">
        <f>Deals_Raw!AC185</f>
        <v>108798.62568601281</v>
      </c>
      <c r="AB185" s="6">
        <f>Deals_Raw!AD185</f>
        <v>138526.33881643397</v>
      </c>
      <c r="AC185" s="8">
        <f>Deals_Raw!AE185</f>
        <v>0.56009848862250022</v>
      </c>
      <c r="AD185" t="str">
        <f>Deals_Raw!AF185</f>
        <v>Won</v>
      </c>
      <c r="AE185" t="str">
        <f>Deals_Raw!AG185</f>
        <v>Yes</v>
      </c>
      <c r="AF185">
        <f>Deals_Raw!AH185</f>
        <v>0</v>
      </c>
      <c r="AG185" t="str">
        <f>Deals_Raw!AI185</f>
        <v>No</v>
      </c>
      <c r="AH185" s="6">
        <f>Deals_Raw!AJ185</f>
        <v>247324.96450244679</v>
      </c>
      <c r="AI185" s="6">
        <f>Deals_Raw!AK185</f>
        <v>138526.33881643397</v>
      </c>
      <c r="AJ185" t="str">
        <f>Deals_Raw!AL185</f>
        <v>Renewal of existing active contract</v>
      </c>
      <c r="AK185" s="9">
        <f t="shared" si="14"/>
        <v>1.4916666666666667</v>
      </c>
      <c r="AL185" s="8">
        <f t="shared" si="15"/>
        <v>0.87735336469635394</v>
      </c>
      <c r="AM185" s="8">
        <f t="shared" si="16"/>
        <v>7.0000000000000062E-3</v>
      </c>
      <c r="AN185" t="str">
        <f>IF(AC185&lt;Pricing_Policy!$C$10,"Below Floor","Pass")</f>
        <v>Pass</v>
      </c>
      <c r="AO185" t="str">
        <f>IF(V185&gt;Pricing_Policy!$C$7,"Exception","Standard")</f>
        <v>Standard</v>
      </c>
      <c r="AP185" t="str">
        <f t="shared" si="17"/>
        <v>Pass</v>
      </c>
      <c r="AQ185">
        <f t="shared" si="18"/>
        <v>1</v>
      </c>
      <c r="AR185" s="8">
        <f t="shared" si="19"/>
        <v>0.56009848862250022</v>
      </c>
      <c r="AS185">
        <f t="shared" si="20"/>
        <v>2</v>
      </c>
    </row>
    <row r="186" spans="1:45">
      <c r="A186" t="str">
        <f>Deals_Raw!A186</f>
        <v>D00208</v>
      </c>
      <c r="B186">
        <f>Deals_Raw!B186</f>
        <v>45928</v>
      </c>
      <c r="C186" t="str">
        <f>Deals_Raw!C186</f>
        <v>C0060</v>
      </c>
      <c r="D186" t="str">
        <f>Deals_Raw!D186</f>
        <v>TEC-0060</v>
      </c>
      <c r="E186" t="str">
        <f>Deals_Raw!E186</f>
        <v>CT00121</v>
      </c>
      <c r="F186" t="str">
        <f>Deals_Raw!F186</f>
        <v>Operations</v>
      </c>
      <c r="G186" t="str">
        <f>Deals_Raw!G186</f>
        <v>Technology</v>
      </c>
      <c r="H186" t="str">
        <f>Deals_Raw!H186</f>
        <v>Midwest</v>
      </c>
      <c r="I186" t="str">
        <f>Deals_Raw!I186</f>
        <v>Midwest Commercial</v>
      </c>
      <c r="J186" t="str">
        <f>Deals_Raw!J186</f>
        <v>Mid-Market</v>
      </c>
      <c r="K186" t="str">
        <f>Deals_Raw!K186</f>
        <v>No</v>
      </c>
      <c r="L186">
        <f>Deals_Raw!L186</f>
        <v>45017</v>
      </c>
      <c r="M186">
        <f>Deals_Raw!M186</f>
        <v>71</v>
      </c>
      <c r="N186" t="str">
        <f>Deals_Raw!N186</f>
        <v>Nexus Enterprise Suite</v>
      </c>
      <c r="O186" t="str">
        <f>Deals_Raw!O186</f>
        <v>Renewal</v>
      </c>
      <c r="P186">
        <f>Deals_Raw!P186</f>
        <v>0</v>
      </c>
      <c r="Q186">
        <f>Deals_Raw!Q186</f>
        <v>1</v>
      </c>
      <c r="R186">
        <f>Deals_Raw!R186</f>
        <v>193</v>
      </c>
      <c r="S186" t="str">
        <f>Deals_Raw!S186</f>
        <v>L. Williams</v>
      </c>
      <c r="T186" s="6">
        <f>Deals_Raw!T186</f>
        <v>302756.5925830513</v>
      </c>
      <c r="U186" s="8">
        <f>Deals_Raw!V186</f>
        <v>7.0000000000000007E-2</v>
      </c>
      <c r="V186" s="8">
        <f>Deals_Raw!W186</f>
        <v>5.6000000000000001E-2</v>
      </c>
      <c r="W186" s="8">
        <f>Deals_Raw!X186</f>
        <v>-8.5999999999999993E-2</v>
      </c>
      <c r="X186" t="str">
        <f>Deals_Raw!Y186</f>
        <v>Volume purchase</v>
      </c>
      <c r="Y186" t="str">
        <f>Deals_Raw!Z186</f>
        <v>Sales Manager</v>
      </c>
      <c r="Z186" s="6">
        <f>Deals_Raw!AA186</f>
        <v>285894.68483013532</v>
      </c>
      <c r="AA186" s="6">
        <f>Deals_Raw!AC186</f>
        <v>120749.98824220945</v>
      </c>
      <c r="AB186" s="6">
        <f>Deals_Raw!AD186</f>
        <v>165144.69658792586</v>
      </c>
      <c r="AC186" s="8">
        <f>Deals_Raw!AE186</f>
        <v>0.57764171686523935</v>
      </c>
      <c r="AD186" t="str">
        <f>Deals_Raw!AF186</f>
        <v>Won</v>
      </c>
      <c r="AE186" t="str">
        <f>Deals_Raw!AG186</f>
        <v>Yes</v>
      </c>
      <c r="AF186">
        <f>Deals_Raw!AH186</f>
        <v>0</v>
      </c>
      <c r="AG186" t="str">
        <f>Deals_Raw!AI186</f>
        <v>No</v>
      </c>
      <c r="AH186" s="6">
        <f>Deals_Raw!AJ186</f>
        <v>285894.68483013532</v>
      </c>
      <c r="AI186" s="6">
        <f>Deals_Raw!AK186</f>
        <v>165144.69658792586</v>
      </c>
      <c r="AJ186" t="str">
        <f>Deals_Raw!AL186</f>
        <v>Renewal of existing active contract</v>
      </c>
      <c r="AK186" s="9">
        <f t="shared" si="14"/>
        <v>2.4916666666666667</v>
      </c>
      <c r="AL186" s="8">
        <f t="shared" si="15"/>
        <v>0.94430539857430029</v>
      </c>
      <c r="AM186" s="8">
        <f t="shared" si="16"/>
        <v>1.4000000000000005E-2</v>
      </c>
      <c r="AN186" t="str">
        <f>IF(AC186&lt;Pricing_Policy!$C$10,"Below Floor","Pass")</f>
        <v>Pass</v>
      </c>
      <c r="AO186" t="str">
        <f>IF(V186&gt;Pricing_Policy!$C$7,"Exception","Standard")</f>
        <v>Standard</v>
      </c>
      <c r="AP186" t="str">
        <f t="shared" si="17"/>
        <v>Pass</v>
      </c>
      <c r="AQ186">
        <f t="shared" si="18"/>
        <v>1</v>
      </c>
      <c r="AR186" s="8">
        <f t="shared" si="19"/>
        <v>0.57764171686523935</v>
      </c>
      <c r="AS186">
        <f t="shared" si="20"/>
        <v>2</v>
      </c>
    </row>
    <row r="187" spans="1:45">
      <c r="A187" t="str">
        <f>Deals_Raw!A187</f>
        <v>D00209</v>
      </c>
      <c r="B187">
        <f>Deals_Raw!B187</f>
        <v>45559</v>
      </c>
      <c r="C187" t="str">
        <f>Deals_Raw!C187</f>
        <v>C0060</v>
      </c>
      <c r="D187" t="str">
        <f>Deals_Raw!D187</f>
        <v>TEC-0060</v>
      </c>
      <c r="E187" t="str">
        <f>Deals_Raw!E187</f>
        <v>CT00122</v>
      </c>
      <c r="F187" t="str">
        <f>Deals_Raw!F187</f>
        <v>Sales</v>
      </c>
      <c r="G187" t="str">
        <f>Deals_Raw!G187</f>
        <v>Technology</v>
      </c>
      <c r="H187" t="str">
        <f>Deals_Raw!H187</f>
        <v>Midwest</v>
      </c>
      <c r="I187" t="str">
        <f>Deals_Raw!I187</f>
        <v>Midwest Commercial</v>
      </c>
      <c r="J187" t="str">
        <f>Deals_Raw!J187</f>
        <v>Mid-Market</v>
      </c>
      <c r="K187" t="str">
        <f>Deals_Raw!K187</f>
        <v>No</v>
      </c>
      <c r="L187">
        <f>Deals_Raw!L187</f>
        <v>45017</v>
      </c>
      <c r="M187">
        <f>Deals_Raw!M187</f>
        <v>71</v>
      </c>
      <c r="N187" t="str">
        <f>Deals_Raw!N187</f>
        <v>Nexus Compliance</v>
      </c>
      <c r="O187" t="str">
        <f>Deals_Raw!O187</f>
        <v>New Business</v>
      </c>
      <c r="P187">
        <f>Deals_Raw!P187</f>
        <v>0</v>
      </c>
      <c r="Q187">
        <f>Deals_Raw!Q187</f>
        <v>2</v>
      </c>
      <c r="R187">
        <f>Deals_Raw!R187</f>
        <v>278</v>
      </c>
      <c r="S187" t="str">
        <f>Deals_Raw!S187</f>
        <v>S. Rivera</v>
      </c>
      <c r="T187" s="6">
        <f>Deals_Raw!T187</f>
        <v>171566.8082413041</v>
      </c>
      <c r="U187" s="8">
        <f>Deals_Raw!V187</f>
        <v>0.17699999999999999</v>
      </c>
      <c r="V187" s="8">
        <f>Deals_Raw!W187</f>
        <v>0.16400000000000001</v>
      </c>
      <c r="W187" s="8">
        <f>Deals_Raw!X187</f>
        <v>-4.8000000000000001E-2</v>
      </c>
      <c r="X187" t="str">
        <f>Deals_Raw!Y187</f>
        <v>Strategic logo opportunity</v>
      </c>
      <c r="Y187" t="str">
        <f>Deals_Raw!Z187</f>
        <v>Pricing Analyst</v>
      </c>
      <c r="Z187" s="6">
        <f>Deals_Raw!AA187</f>
        <v>143428.60591466434</v>
      </c>
      <c r="AA187" s="6">
        <f>Deals_Raw!AC187</f>
        <v>60304.041300654389</v>
      </c>
      <c r="AB187" s="6">
        <f>Deals_Raw!AD187</f>
        <v>83124.564614009956</v>
      </c>
      <c r="AC187" s="8">
        <f>Deals_Raw!AE187</f>
        <v>0.57955359800029393</v>
      </c>
      <c r="AD187" t="str">
        <f>Deals_Raw!AF187</f>
        <v>Won</v>
      </c>
      <c r="AE187">
        <f>Deals_Raw!AG187</f>
        <v>0</v>
      </c>
      <c r="AF187">
        <f>Deals_Raw!AH187</f>
        <v>0</v>
      </c>
      <c r="AG187" t="str">
        <f>Deals_Raw!AI187</f>
        <v>No</v>
      </c>
      <c r="AH187" s="6">
        <f>Deals_Raw!AJ187</f>
        <v>143428.60591466434</v>
      </c>
      <c r="AI187" s="6">
        <f>Deals_Raw!AK187</f>
        <v>83124.564614009956</v>
      </c>
      <c r="AJ187" t="str">
        <f>Deals_Raw!AL187</f>
        <v>First purchase under this contract</v>
      </c>
      <c r="AK187" s="9">
        <f t="shared" si="14"/>
        <v>1.4805555555555556</v>
      </c>
      <c r="AL187" s="8">
        <f t="shared" si="15"/>
        <v>0.83599273883405156</v>
      </c>
      <c r="AM187" s="8">
        <f t="shared" si="16"/>
        <v>1.2999999999999984E-2</v>
      </c>
      <c r="AN187" t="str">
        <f>IF(AC187&lt;Pricing_Policy!$C$10,"Below Floor","Pass")</f>
        <v>Pass</v>
      </c>
      <c r="AO187" t="str">
        <f>IF(V187&gt;Pricing_Policy!$C$7,"Exception","Standard")</f>
        <v>Standard</v>
      </c>
      <c r="AP187" t="str">
        <f t="shared" si="17"/>
        <v>Pass</v>
      </c>
      <c r="AQ187">
        <f t="shared" si="18"/>
        <v>1</v>
      </c>
      <c r="AR187" s="8">
        <f t="shared" si="19"/>
        <v>0.57955359800029393</v>
      </c>
      <c r="AS187">
        <f t="shared" si="20"/>
        <v>1</v>
      </c>
    </row>
    <row r="188" spans="1:45">
      <c r="A188" t="str">
        <f>Deals_Raw!A188</f>
        <v>D00210</v>
      </c>
      <c r="B188">
        <f>Deals_Raw!B188</f>
        <v>45387</v>
      </c>
      <c r="C188" t="str">
        <f>Deals_Raw!C188</f>
        <v>C0061</v>
      </c>
      <c r="D188" t="str">
        <f>Deals_Raw!D188</f>
        <v>LEG-0061</v>
      </c>
      <c r="E188" t="str">
        <f>Deals_Raw!E188</f>
        <v>CT00123</v>
      </c>
      <c r="F188" t="str">
        <f>Deals_Raw!F188</f>
        <v>Sales</v>
      </c>
      <c r="G188" t="str">
        <f>Deals_Raw!G188</f>
        <v>Legal</v>
      </c>
      <c r="H188" t="str">
        <f>Deals_Raw!H188</f>
        <v>West</v>
      </c>
      <c r="I188" t="str">
        <f>Deals_Raw!I188</f>
        <v>West Commercial</v>
      </c>
      <c r="J188" t="str">
        <f>Deals_Raw!J188</f>
        <v>Mid-Market</v>
      </c>
      <c r="K188" t="str">
        <f>Deals_Raw!K188</f>
        <v>No</v>
      </c>
      <c r="L188">
        <f>Deals_Raw!L188</f>
        <v>45292</v>
      </c>
      <c r="M188">
        <f>Deals_Raw!M188</f>
        <v>73</v>
      </c>
      <c r="N188" t="str">
        <f>Deals_Raw!N188</f>
        <v>Nexus Enterprise Suite</v>
      </c>
      <c r="O188" t="str">
        <f>Deals_Raw!O188</f>
        <v>New Business</v>
      </c>
      <c r="P188">
        <f>Deals_Raw!P188</f>
        <v>0</v>
      </c>
      <c r="Q188">
        <f>Deals_Raw!Q188</f>
        <v>1</v>
      </c>
      <c r="R188">
        <f>Deals_Raw!R188</f>
        <v>283</v>
      </c>
      <c r="S188" t="str">
        <f>Deals_Raw!S188</f>
        <v>L. Williams</v>
      </c>
      <c r="T188" s="6">
        <f>Deals_Raw!T188</f>
        <v>295696.58652020892</v>
      </c>
      <c r="U188" s="8">
        <f>Deals_Raw!V188</f>
        <v>0.114</v>
      </c>
      <c r="V188" s="8">
        <f>Deals_Raw!W188</f>
        <v>7.4999999999999997E-2</v>
      </c>
      <c r="W188" s="8">
        <f>Deals_Raw!X188</f>
        <v>0.13400000000000001</v>
      </c>
      <c r="X188" t="str">
        <f>Deals_Raw!Y188</f>
        <v>Procurement requirement</v>
      </c>
      <c r="Y188" t="str">
        <f>Deals_Raw!Z188</f>
        <v>Sales Manager</v>
      </c>
      <c r="Z188" s="6">
        <f>Deals_Raw!AA188</f>
        <v>273436.32438937883</v>
      </c>
      <c r="AA188" s="6">
        <f>Deals_Raw!AC188</f>
        <v>117081.34074710247</v>
      </c>
      <c r="AB188" s="6">
        <f>Deals_Raw!AD188</f>
        <v>156354.98364227638</v>
      </c>
      <c r="AC188" s="8">
        <f>Deals_Raw!AE188</f>
        <v>0.57181497005358994</v>
      </c>
      <c r="AD188" t="str">
        <f>Deals_Raw!AF188</f>
        <v>Won</v>
      </c>
      <c r="AE188">
        <f>Deals_Raw!AG188</f>
        <v>0</v>
      </c>
      <c r="AF188">
        <f>Deals_Raw!AH188</f>
        <v>0</v>
      </c>
      <c r="AG188" t="str">
        <f>Deals_Raw!AI188</f>
        <v>No</v>
      </c>
      <c r="AH188" s="6">
        <f>Deals_Raw!AJ188</f>
        <v>273436.32438937883</v>
      </c>
      <c r="AI188" s="6">
        <f>Deals_Raw!AK188</f>
        <v>156354.98364227638</v>
      </c>
      <c r="AJ188" t="str">
        <f>Deals_Raw!AL188</f>
        <v>First purchase under this contract</v>
      </c>
      <c r="AK188" s="9">
        <f t="shared" si="14"/>
        <v>0.26111111111111113</v>
      </c>
      <c r="AL188" s="8">
        <f t="shared" si="15"/>
        <v>0.924719245518552</v>
      </c>
      <c r="AM188" s="8">
        <f t="shared" si="16"/>
        <v>3.9000000000000007E-2</v>
      </c>
      <c r="AN188" t="str">
        <f>IF(AC188&lt;Pricing_Policy!$C$10,"Below Floor","Pass")</f>
        <v>Pass</v>
      </c>
      <c r="AO188" t="str">
        <f>IF(V188&gt;Pricing_Policy!$C$7,"Exception","Standard")</f>
        <v>Standard</v>
      </c>
      <c r="AP188" t="str">
        <f t="shared" si="17"/>
        <v>Pass</v>
      </c>
      <c r="AQ188">
        <f t="shared" si="18"/>
        <v>1</v>
      </c>
      <c r="AR188" s="8">
        <f t="shared" si="19"/>
        <v>0.57181497005358994</v>
      </c>
      <c r="AS188">
        <f t="shared" si="20"/>
        <v>3</v>
      </c>
    </row>
    <row r="189" spans="1:45">
      <c r="A189" t="str">
        <f>Deals_Raw!A189</f>
        <v>D00211</v>
      </c>
      <c r="B189">
        <f>Deals_Raw!B189</f>
        <v>45752</v>
      </c>
      <c r="C189" t="str">
        <f>Deals_Raw!C189</f>
        <v>C0061</v>
      </c>
      <c r="D189" t="str">
        <f>Deals_Raw!D189</f>
        <v>LEG-0061</v>
      </c>
      <c r="E189" t="str">
        <f>Deals_Raw!E189</f>
        <v>CT00123</v>
      </c>
      <c r="F189" t="str">
        <f>Deals_Raw!F189</f>
        <v>Sales</v>
      </c>
      <c r="G189" t="str">
        <f>Deals_Raw!G189</f>
        <v>Legal</v>
      </c>
      <c r="H189" t="str">
        <f>Deals_Raw!H189</f>
        <v>West</v>
      </c>
      <c r="I189" t="str">
        <f>Deals_Raw!I189</f>
        <v>West Commercial</v>
      </c>
      <c r="J189" t="str">
        <f>Deals_Raw!J189</f>
        <v>Mid-Market</v>
      </c>
      <c r="K189" t="str">
        <f>Deals_Raw!K189</f>
        <v>No</v>
      </c>
      <c r="L189">
        <f>Deals_Raw!L189</f>
        <v>45292</v>
      </c>
      <c r="M189">
        <f>Deals_Raw!M189</f>
        <v>73</v>
      </c>
      <c r="N189" t="str">
        <f>Deals_Raw!N189</f>
        <v>Nexus Enterprise Suite</v>
      </c>
      <c r="O189" t="str">
        <f>Deals_Raw!O189</f>
        <v>Renewal</v>
      </c>
      <c r="P189">
        <f>Deals_Raw!P189</f>
        <v>0</v>
      </c>
      <c r="Q189">
        <f>Deals_Raw!Q189</f>
        <v>1</v>
      </c>
      <c r="R189">
        <f>Deals_Raw!R189</f>
        <v>283</v>
      </c>
      <c r="S189" t="str">
        <f>Deals_Raw!S189</f>
        <v>S. Rivera</v>
      </c>
      <c r="T189" s="6">
        <f>Deals_Raw!T189</f>
        <v>319014.65569140745</v>
      </c>
      <c r="U189" s="8">
        <f>Deals_Raw!V189</f>
        <v>0.157</v>
      </c>
      <c r="V189" s="8">
        <f>Deals_Raw!W189</f>
        <v>0.11899999999999999</v>
      </c>
      <c r="W189" s="8">
        <f>Deals_Raw!X189</f>
        <v>-4.4999999999999998E-2</v>
      </c>
      <c r="X189" t="str">
        <f>Deals_Raw!Y189</f>
        <v>Budget constraint</v>
      </c>
      <c r="Y189" t="str">
        <f>Deals_Raw!Z189</f>
        <v>Pricing Analyst</v>
      </c>
      <c r="Z189" s="6">
        <f>Deals_Raw!AA189</f>
        <v>281038.63786595257</v>
      </c>
      <c r="AA189" s="6">
        <f>Deals_Raw!AC189</f>
        <v>112962.09522350185</v>
      </c>
      <c r="AB189" s="6">
        <f>Deals_Raw!AD189</f>
        <v>168076.54264245072</v>
      </c>
      <c r="AC189" s="8">
        <f>Deals_Raw!AE189</f>
        <v>0.59805492909703917</v>
      </c>
      <c r="AD189" t="str">
        <f>Deals_Raw!AF189</f>
        <v>Won</v>
      </c>
      <c r="AE189" t="str">
        <f>Deals_Raw!AG189</f>
        <v>Yes</v>
      </c>
      <c r="AF189">
        <f>Deals_Raw!AH189</f>
        <v>0</v>
      </c>
      <c r="AG189" t="str">
        <f>Deals_Raw!AI189</f>
        <v>No</v>
      </c>
      <c r="AH189" s="6">
        <f>Deals_Raw!AJ189</f>
        <v>281038.63786595257</v>
      </c>
      <c r="AI189" s="6">
        <f>Deals_Raw!AK189</f>
        <v>168076.54264245072</v>
      </c>
      <c r="AJ189" t="str">
        <f>Deals_Raw!AL189</f>
        <v>Renewal of existing active contract</v>
      </c>
      <c r="AK189" s="9">
        <f t="shared" si="14"/>
        <v>1.2611111111111111</v>
      </c>
      <c r="AL189" s="8">
        <f t="shared" si="15"/>
        <v>0.88095839125902031</v>
      </c>
      <c r="AM189" s="8">
        <f t="shared" si="16"/>
        <v>3.8000000000000006E-2</v>
      </c>
      <c r="AN189" t="str">
        <f>IF(AC189&lt;Pricing_Policy!$C$10,"Below Floor","Pass")</f>
        <v>Pass</v>
      </c>
      <c r="AO189" t="str">
        <f>IF(V189&gt;Pricing_Policy!$C$7,"Exception","Standard")</f>
        <v>Standard</v>
      </c>
      <c r="AP189" t="str">
        <f t="shared" si="17"/>
        <v>Pass</v>
      </c>
      <c r="AQ189">
        <f t="shared" si="18"/>
        <v>1</v>
      </c>
      <c r="AR189" s="8">
        <f t="shared" si="19"/>
        <v>0.59805492909703917</v>
      </c>
      <c r="AS189">
        <f t="shared" si="20"/>
        <v>3</v>
      </c>
    </row>
    <row r="190" spans="1:45">
      <c r="A190" t="str">
        <f>Deals_Raw!A190</f>
        <v>D00212</v>
      </c>
      <c r="B190">
        <f>Deals_Raw!B190</f>
        <v>45318</v>
      </c>
      <c r="C190" t="str">
        <f>Deals_Raw!C190</f>
        <v>C0061</v>
      </c>
      <c r="D190" t="str">
        <f>Deals_Raw!D190</f>
        <v>LEG-0061</v>
      </c>
      <c r="E190" t="str">
        <f>Deals_Raw!E190</f>
        <v>CT00124</v>
      </c>
      <c r="F190" t="str">
        <f>Deals_Raw!F190</f>
        <v>Corporate</v>
      </c>
      <c r="G190" t="str">
        <f>Deals_Raw!G190</f>
        <v>Legal</v>
      </c>
      <c r="H190" t="str">
        <f>Deals_Raw!H190</f>
        <v>West</v>
      </c>
      <c r="I190" t="str">
        <f>Deals_Raw!I190</f>
        <v>West Commercial</v>
      </c>
      <c r="J190" t="str">
        <f>Deals_Raw!J190</f>
        <v>Mid-Market</v>
      </c>
      <c r="K190" t="str">
        <f>Deals_Raw!K190</f>
        <v>No</v>
      </c>
      <c r="L190">
        <f>Deals_Raw!L190</f>
        <v>45292</v>
      </c>
      <c r="M190">
        <f>Deals_Raw!M190</f>
        <v>73</v>
      </c>
      <c r="N190" t="str">
        <f>Deals_Raw!N190</f>
        <v>Nexus Enterprise Suite</v>
      </c>
      <c r="O190" t="str">
        <f>Deals_Raw!O190</f>
        <v>New Business</v>
      </c>
      <c r="P190">
        <f>Deals_Raw!P190</f>
        <v>0</v>
      </c>
      <c r="Q190">
        <f>Deals_Raw!Q190</f>
        <v>3</v>
      </c>
      <c r="R190">
        <f>Deals_Raw!R190</f>
        <v>84</v>
      </c>
      <c r="S190" t="str">
        <f>Deals_Raw!S190</f>
        <v>D. Chen</v>
      </c>
      <c r="T190" s="6">
        <f>Deals_Raw!T190</f>
        <v>225739.02358320085</v>
      </c>
      <c r="U190" s="8">
        <f>Deals_Raw!V190</f>
        <v>0.21199999999999999</v>
      </c>
      <c r="V190" s="8">
        <f>Deals_Raw!W190</f>
        <v>0.17699999999999999</v>
      </c>
      <c r="W190" s="8">
        <f>Deals_Raw!X190</f>
        <v>-8.0000000000000002E-3</v>
      </c>
      <c r="X190" t="str">
        <f>Deals_Raw!Y190</f>
        <v>Expansion opportunity</v>
      </c>
      <c r="Y190" t="str">
        <f>Deals_Raw!Z190</f>
        <v>Pricing Analyst</v>
      </c>
      <c r="Z190" s="6">
        <f>Deals_Raw!AA190</f>
        <v>185832.26856372016</v>
      </c>
      <c r="AA190" s="6">
        <f>Deals_Raw!AC190</f>
        <v>87550.462161722564</v>
      </c>
      <c r="AB190" s="6">
        <f>Deals_Raw!AD190</f>
        <v>98281.806401997601</v>
      </c>
      <c r="AC190" s="8">
        <f>Deals_Raw!AE190</f>
        <v>0.52887373738483789</v>
      </c>
      <c r="AD190" t="str">
        <f>Deals_Raw!AF190</f>
        <v>Won</v>
      </c>
      <c r="AE190">
        <f>Deals_Raw!AG190</f>
        <v>0</v>
      </c>
      <c r="AF190">
        <f>Deals_Raw!AH190</f>
        <v>0</v>
      </c>
      <c r="AG190" t="str">
        <f>Deals_Raw!AI190</f>
        <v>No</v>
      </c>
      <c r="AH190" s="6">
        <f>Deals_Raw!AJ190</f>
        <v>185832.26856372016</v>
      </c>
      <c r="AI190" s="6">
        <f>Deals_Raw!AK190</f>
        <v>98281.806401997601</v>
      </c>
      <c r="AJ190" t="str">
        <f>Deals_Raw!AL190</f>
        <v>First purchase under this contract</v>
      </c>
      <c r="AK190" s="9">
        <f t="shared" si="14"/>
        <v>7.2222222222222215E-2</v>
      </c>
      <c r="AL190" s="8">
        <f t="shared" si="15"/>
        <v>0.82321729585769998</v>
      </c>
      <c r="AM190" s="8">
        <f t="shared" si="16"/>
        <v>3.5000000000000003E-2</v>
      </c>
      <c r="AN190" t="str">
        <f>IF(AC190&lt;Pricing_Policy!$C$10,"Below Floor","Pass")</f>
        <v>Pass</v>
      </c>
      <c r="AO190" t="str">
        <f>IF(V190&gt;Pricing_Policy!$C$7,"Exception","Standard")</f>
        <v>Standard</v>
      </c>
      <c r="AP190" t="str">
        <f t="shared" si="17"/>
        <v>Pass</v>
      </c>
      <c r="AQ190">
        <f t="shared" si="18"/>
        <v>1</v>
      </c>
      <c r="AR190" s="8">
        <f t="shared" si="19"/>
        <v>0.52887373738483789</v>
      </c>
      <c r="AS190">
        <f t="shared" si="20"/>
        <v>3</v>
      </c>
    </row>
    <row r="191" spans="1:45">
      <c r="A191" t="str">
        <f>Deals_Raw!A191</f>
        <v>D00213</v>
      </c>
      <c r="B191">
        <f>Deals_Raw!B191</f>
        <v>45355</v>
      </c>
      <c r="C191" t="str">
        <f>Deals_Raw!C191</f>
        <v>C0062</v>
      </c>
      <c r="D191" t="str">
        <f>Deals_Raw!D191</f>
        <v>LEG-0062</v>
      </c>
      <c r="E191" t="str">
        <f>Deals_Raw!E191</f>
        <v>CT00125</v>
      </c>
      <c r="F191" t="str">
        <f>Deals_Raw!F191</f>
        <v>Corporate</v>
      </c>
      <c r="G191" t="str">
        <f>Deals_Raw!G191</f>
        <v>Legal</v>
      </c>
      <c r="H191" t="str">
        <f>Deals_Raw!H191</f>
        <v>Northeast</v>
      </c>
      <c r="I191" t="str">
        <f>Deals_Raw!I191</f>
        <v>Northeast Enterprise</v>
      </c>
      <c r="J191" t="str">
        <f>Deals_Raw!J191</f>
        <v>Enterprise</v>
      </c>
      <c r="K191" t="str">
        <f>Deals_Raw!K191</f>
        <v>Yes</v>
      </c>
      <c r="L191">
        <f>Deals_Raw!L191</f>
        <v>45261</v>
      </c>
      <c r="M191">
        <f>Deals_Raw!M191</f>
        <v>55</v>
      </c>
      <c r="N191" t="str">
        <f>Deals_Raw!N191</f>
        <v>Nexus Insights</v>
      </c>
      <c r="O191" t="str">
        <f>Deals_Raw!O191</f>
        <v>New Business</v>
      </c>
      <c r="P191">
        <f>Deals_Raw!P191</f>
        <v>0</v>
      </c>
      <c r="Q191">
        <f>Deals_Raw!Q191</f>
        <v>3</v>
      </c>
      <c r="R191">
        <f>Deals_Raw!R191</f>
        <v>1620</v>
      </c>
      <c r="S191" t="str">
        <f>Deals_Raw!S191</f>
        <v>A. Patel</v>
      </c>
      <c r="T191" s="6">
        <f>Deals_Raw!T191</f>
        <v>169709.43712480375</v>
      </c>
      <c r="U191" s="8">
        <f>Deals_Raw!V191</f>
        <v>0.16700000000000001</v>
      </c>
      <c r="V191" s="8">
        <f>Deals_Raw!W191</f>
        <v>0.158</v>
      </c>
      <c r="W191" s="8">
        <f>Deals_Raw!X191</f>
        <v>-5.5E-2</v>
      </c>
      <c r="X191" t="str">
        <f>Deals_Raw!Y191</f>
        <v>Expansion opportunity</v>
      </c>
      <c r="Y191" t="str">
        <f>Deals_Raw!Z191</f>
        <v>Pricing Analyst</v>
      </c>
      <c r="Z191" s="6">
        <f>Deals_Raw!AA191</f>
        <v>142861.59508925682</v>
      </c>
      <c r="AA191" s="6">
        <f>Deals_Raw!AC191</f>
        <v>51343.206395256406</v>
      </c>
      <c r="AB191" s="6">
        <f>Deals_Raw!AD191</f>
        <v>91518.388694000416</v>
      </c>
      <c r="AC191" s="8">
        <f>Deals_Raw!AE191</f>
        <v>0.64060875588587485</v>
      </c>
      <c r="AD191" t="str">
        <f>Deals_Raw!AF191</f>
        <v>Lost</v>
      </c>
      <c r="AE191">
        <f>Deals_Raw!AG191</f>
        <v>0</v>
      </c>
      <c r="AF191">
        <f>Deals_Raw!AH191</f>
        <v>0</v>
      </c>
      <c r="AG191" t="str">
        <f>Deals_Raw!AI191</f>
        <v>No</v>
      </c>
      <c r="AH191" s="6">
        <f>Deals_Raw!AJ191</f>
        <v>0</v>
      </c>
      <c r="AI191" s="6">
        <f>Deals_Raw!AK191</f>
        <v>0</v>
      </c>
      <c r="AJ191" t="str">
        <f>Deals_Raw!AL191</f>
        <v>First purchase under this contract</v>
      </c>
      <c r="AK191" s="9">
        <f t="shared" si="14"/>
        <v>0.25833333333333336</v>
      </c>
      <c r="AL191" s="8">
        <f t="shared" si="15"/>
        <v>0.84180112496747539</v>
      </c>
      <c r="AM191" s="8">
        <f t="shared" si="16"/>
        <v>9.000000000000008E-3</v>
      </c>
      <c r="AN191" t="str">
        <f>IF(AC191&lt;Pricing_Policy!$C$10,"Below Floor","Pass")</f>
        <v>Pass</v>
      </c>
      <c r="AO191" t="str">
        <f>IF(V191&gt;Pricing_Policy!$C$7,"Exception","Standard")</f>
        <v>Standard</v>
      </c>
      <c r="AP191" t="str">
        <f t="shared" si="17"/>
        <v>Pass</v>
      </c>
      <c r="AQ191">
        <f t="shared" si="18"/>
        <v>0</v>
      </c>
      <c r="AR191" s="8">
        <f t="shared" si="19"/>
        <v>0</v>
      </c>
      <c r="AS191">
        <f t="shared" si="20"/>
        <v>2</v>
      </c>
    </row>
    <row r="192" spans="1:45">
      <c r="A192" t="str">
        <f>Deals_Raw!A192</f>
        <v>D00214</v>
      </c>
      <c r="B192">
        <f>Deals_Raw!B192</f>
        <v>45534</v>
      </c>
      <c r="C192" t="str">
        <f>Deals_Raw!C192</f>
        <v>C0062</v>
      </c>
      <c r="D192" t="str">
        <f>Deals_Raw!D192</f>
        <v>LEG-0062</v>
      </c>
      <c r="E192" t="str">
        <f>Deals_Raw!E192</f>
        <v>CT00125</v>
      </c>
      <c r="F192" t="str">
        <f>Deals_Raw!F192</f>
        <v>Corporate</v>
      </c>
      <c r="G192" t="str">
        <f>Deals_Raw!G192</f>
        <v>Legal</v>
      </c>
      <c r="H192" t="str">
        <f>Deals_Raw!H192</f>
        <v>Northeast</v>
      </c>
      <c r="I192" t="str">
        <f>Deals_Raw!I192</f>
        <v>Northeast Enterprise</v>
      </c>
      <c r="J192" t="str">
        <f>Deals_Raw!J192</f>
        <v>Enterprise</v>
      </c>
      <c r="K192" t="str">
        <f>Deals_Raw!K192</f>
        <v>Yes</v>
      </c>
      <c r="L192">
        <f>Deals_Raw!L192</f>
        <v>45261</v>
      </c>
      <c r="M192">
        <f>Deals_Raw!M192</f>
        <v>55</v>
      </c>
      <c r="N192" t="str">
        <f>Deals_Raw!N192</f>
        <v>Nexus Insights</v>
      </c>
      <c r="O192" t="str">
        <f>Deals_Raw!O192</f>
        <v>Win-back</v>
      </c>
      <c r="P192">
        <f>Deals_Raw!P192</f>
        <v>0</v>
      </c>
      <c r="Q192">
        <f>Deals_Raw!Q192</f>
        <v>3</v>
      </c>
      <c r="R192">
        <f>Deals_Raw!R192</f>
        <v>1620</v>
      </c>
      <c r="S192" t="str">
        <f>Deals_Raw!S192</f>
        <v>D. Chen</v>
      </c>
      <c r="T192" s="6">
        <f>Deals_Raw!T192</f>
        <v>169709.43712480375</v>
      </c>
      <c r="U192" s="8">
        <f>Deals_Raw!V192</f>
        <v>0.27200000000000002</v>
      </c>
      <c r="V192" s="8">
        <f>Deals_Raw!W192</f>
        <v>0.23</v>
      </c>
      <c r="W192" s="8">
        <f>Deals_Raw!X192</f>
        <v>-0.106</v>
      </c>
      <c r="X192" t="str">
        <f>Deals_Raw!Y192</f>
        <v>Renewal retention risk</v>
      </c>
      <c r="Y192" t="str">
        <f>Deals_Raw!Z192</f>
        <v>Business Manager</v>
      </c>
      <c r="Z192" s="6">
        <f>Deals_Raw!AA192</f>
        <v>130626.53231638267</v>
      </c>
      <c r="AA192" s="6">
        <f>Deals_Raw!AC192</f>
        <v>54695.225626576866</v>
      </c>
      <c r="AB192" s="6">
        <f>Deals_Raw!AD192</f>
        <v>75931.306689805802</v>
      </c>
      <c r="AC192" s="8">
        <f>Deals_Raw!AE192</f>
        <v>0.58128548116011491</v>
      </c>
      <c r="AD192" t="str">
        <f>Deals_Raw!AF192</f>
        <v>Won</v>
      </c>
      <c r="AE192">
        <f>Deals_Raw!AG192</f>
        <v>0</v>
      </c>
      <c r="AF192">
        <f>Deals_Raw!AH192</f>
        <v>0</v>
      </c>
      <c r="AG192" t="str">
        <f>Deals_Raw!AI192</f>
        <v>Yes</v>
      </c>
      <c r="AH192" s="6">
        <f>Deals_Raw!AJ192</f>
        <v>130626.53231638267</v>
      </c>
      <c r="AI192" s="6">
        <f>Deals_Raw!AK192</f>
        <v>75931.306689805802</v>
      </c>
      <c r="AJ192" t="str">
        <f>Deals_Raw!AL192</f>
        <v>Customer returned after prior lost initial opportunity</v>
      </c>
      <c r="AK192" s="9">
        <f t="shared" si="14"/>
        <v>0.74722222222222223</v>
      </c>
      <c r="AL192" s="8">
        <f t="shared" si="15"/>
        <v>0.76970694458387934</v>
      </c>
      <c r="AM192" s="8">
        <f t="shared" si="16"/>
        <v>4.200000000000001E-2</v>
      </c>
      <c r="AN192" t="str">
        <f>IF(AC192&lt;Pricing_Policy!$C$10,"Below Floor","Pass")</f>
        <v>Pass</v>
      </c>
      <c r="AO192" t="str">
        <f>IF(V192&gt;Pricing_Policy!$C$7,"Exception","Standard")</f>
        <v>Standard</v>
      </c>
      <c r="AP192" t="str">
        <f t="shared" si="17"/>
        <v>Pass</v>
      </c>
      <c r="AQ192">
        <f t="shared" si="18"/>
        <v>1</v>
      </c>
      <c r="AR192" s="8">
        <f t="shared" si="19"/>
        <v>0.58128548116011491</v>
      </c>
      <c r="AS192">
        <f t="shared" si="20"/>
        <v>2</v>
      </c>
    </row>
    <row r="193" spans="1:45">
      <c r="A193" t="str">
        <f>Deals_Raw!A193</f>
        <v>D00215</v>
      </c>
      <c r="B193">
        <f>Deals_Raw!B193</f>
        <v>45426</v>
      </c>
      <c r="C193" t="str">
        <f>Deals_Raw!C193</f>
        <v>C0062</v>
      </c>
      <c r="D193" t="str">
        <f>Deals_Raw!D193</f>
        <v>LEG-0062</v>
      </c>
      <c r="E193" t="str">
        <f>Deals_Raw!E193</f>
        <v>CT00126</v>
      </c>
      <c r="F193" t="str">
        <f>Deals_Raw!F193</f>
        <v>Sales</v>
      </c>
      <c r="G193" t="str">
        <f>Deals_Raw!G193</f>
        <v>Legal</v>
      </c>
      <c r="H193" t="str">
        <f>Deals_Raw!H193</f>
        <v>Northeast</v>
      </c>
      <c r="I193" t="str">
        <f>Deals_Raw!I193</f>
        <v>Northeast Enterprise</v>
      </c>
      <c r="J193" t="str">
        <f>Deals_Raw!J193</f>
        <v>Enterprise</v>
      </c>
      <c r="K193" t="str">
        <f>Deals_Raw!K193</f>
        <v>Yes</v>
      </c>
      <c r="L193">
        <f>Deals_Raw!L193</f>
        <v>45261</v>
      </c>
      <c r="M193">
        <f>Deals_Raw!M193</f>
        <v>55</v>
      </c>
      <c r="N193" t="str">
        <f>Deals_Raw!N193</f>
        <v>Nexus Enterprise Suite</v>
      </c>
      <c r="O193" t="str">
        <f>Deals_Raw!O193</f>
        <v>New Business</v>
      </c>
      <c r="P193">
        <f>Deals_Raw!P193</f>
        <v>0</v>
      </c>
      <c r="Q193">
        <f>Deals_Raw!Q193</f>
        <v>3</v>
      </c>
      <c r="R193">
        <f>Deals_Raw!R193</f>
        <v>1891</v>
      </c>
      <c r="S193" t="str">
        <f>Deals_Raw!S193</f>
        <v>T. Brooks</v>
      </c>
      <c r="T193" s="6">
        <f>Deals_Raw!T193</f>
        <v>1049450.2492702347</v>
      </c>
      <c r="U193" s="8">
        <f>Deals_Raw!V193</f>
        <v>0.17299999999999999</v>
      </c>
      <c r="V193" s="8">
        <f>Deals_Raw!W193</f>
        <v>0.111</v>
      </c>
      <c r="W193" s="8">
        <f>Deals_Raw!X193</f>
        <v>-7.2999999999999995E-2</v>
      </c>
      <c r="X193" t="str">
        <f>Deals_Raw!Y193</f>
        <v>Procurement requirement</v>
      </c>
      <c r="Y193" t="str">
        <f>Deals_Raw!Z193</f>
        <v>Pricing Analyst</v>
      </c>
      <c r="Z193" s="6">
        <f>Deals_Raw!AA193</f>
        <v>932826.21537542366</v>
      </c>
      <c r="AA193" s="6">
        <f>Deals_Raw!AC193</f>
        <v>432977.40544878074</v>
      </c>
      <c r="AB193" s="6">
        <f>Deals_Raw!AD193</f>
        <v>499848.80992664292</v>
      </c>
      <c r="AC193" s="8">
        <f>Deals_Raw!AE193</f>
        <v>0.53584344188426847</v>
      </c>
      <c r="AD193" t="str">
        <f>Deals_Raw!AF193</f>
        <v>Won</v>
      </c>
      <c r="AE193">
        <f>Deals_Raw!AG193</f>
        <v>0</v>
      </c>
      <c r="AF193">
        <f>Deals_Raw!AH193</f>
        <v>0</v>
      </c>
      <c r="AG193" t="str">
        <f>Deals_Raw!AI193</f>
        <v>No</v>
      </c>
      <c r="AH193" s="6">
        <f>Deals_Raw!AJ193</f>
        <v>932826.21537542366</v>
      </c>
      <c r="AI193" s="6">
        <f>Deals_Raw!AK193</f>
        <v>499848.80992664292</v>
      </c>
      <c r="AJ193" t="str">
        <f>Deals_Raw!AL193</f>
        <v>First purchase under this contract</v>
      </c>
      <c r="AK193" s="9">
        <f t="shared" si="14"/>
        <v>0.45277777777777778</v>
      </c>
      <c r="AL193" s="8">
        <f t="shared" si="15"/>
        <v>0.8888713076433028</v>
      </c>
      <c r="AM193" s="8">
        <f t="shared" si="16"/>
        <v>6.1999999999999986E-2</v>
      </c>
      <c r="AN193" t="str">
        <f>IF(AC193&lt;Pricing_Policy!$C$10,"Below Floor","Pass")</f>
        <v>Pass</v>
      </c>
      <c r="AO193" t="str">
        <f>IF(V193&gt;Pricing_Policy!$C$7,"Exception","Standard")</f>
        <v>Standard</v>
      </c>
      <c r="AP193" t="str">
        <f t="shared" si="17"/>
        <v>Pass</v>
      </c>
      <c r="AQ193">
        <f t="shared" si="18"/>
        <v>1</v>
      </c>
      <c r="AR193" s="8">
        <f t="shared" si="19"/>
        <v>0.53584344188426847</v>
      </c>
      <c r="AS193">
        <f t="shared" si="20"/>
        <v>1</v>
      </c>
    </row>
    <row r="194" spans="1:45">
      <c r="A194" t="str">
        <f>Deals_Raw!A194</f>
        <v>D00216</v>
      </c>
      <c r="B194">
        <f>Deals_Raw!B194</f>
        <v>45477</v>
      </c>
      <c r="C194" t="str">
        <f>Deals_Raw!C194</f>
        <v>C0063</v>
      </c>
      <c r="D194" t="str">
        <f>Deals_Raw!D194</f>
        <v>LEG-0063</v>
      </c>
      <c r="E194" t="str">
        <f>Deals_Raw!E194</f>
        <v>CT00127</v>
      </c>
      <c r="F194" t="str">
        <f>Deals_Raw!F194</f>
        <v>Finance</v>
      </c>
      <c r="G194" t="str">
        <f>Deals_Raw!G194</f>
        <v>Legal</v>
      </c>
      <c r="H194" t="str">
        <f>Deals_Raw!H194</f>
        <v>Midwest</v>
      </c>
      <c r="I194" t="str">
        <f>Deals_Raw!I194</f>
        <v>Midwest Enterprise</v>
      </c>
      <c r="J194" t="str">
        <f>Deals_Raw!J194</f>
        <v>Enterprise</v>
      </c>
      <c r="K194" t="str">
        <f>Deals_Raw!K194</f>
        <v>Yes</v>
      </c>
      <c r="L194">
        <f>Deals_Raw!L194</f>
        <v>43952</v>
      </c>
      <c r="M194">
        <f>Deals_Raw!M194</f>
        <v>94</v>
      </c>
      <c r="N194" t="str">
        <f>Deals_Raw!N194</f>
        <v>Nexus AI Assistant</v>
      </c>
      <c r="O194" t="str">
        <f>Deals_Raw!O194</f>
        <v>New Business</v>
      </c>
      <c r="P194">
        <f>Deals_Raw!P194</f>
        <v>0</v>
      </c>
      <c r="Q194">
        <f>Deals_Raw!Q194</f>
        <v>1</v>
      </c>
      <c r="R194">
        <f>Deals_Raw!R194</f>
        <v>1520</v>
      </c>
      <c r="S194" t="str">
        <f>Deals_Raw!S194</f>
        <v>D. Chen</v>
      </c>
      <c r="T194" s="6">
        <f>Deals_Raw!T194</f>
        <v>260893.44959535651</v>
      </c>
      <c r="U194" s="8">
        <f>Deals_Raw!V194</f>
        <v>0.214</v>
      </c>
      <c r="V194" s="8">
        <f>Deals_Raw!W194</f>
        <v>0.18099999999999999</v>
      </c>
      <c r="W194" s="8">
        <f>Deals_Raw!X194</f>
        <v>4.4999999999999998E-2</v>
      </c>
      <c r="X194" t="str">
        <f>Deals_Raw!Y194</f>
        <v>Verified competitor pressure</v>
      </c>
      <c r="Y194" t="str">
        <f>Deals_Raw!Z194</f>
        <v>Pricing Analyst</v>
      </c>
      <c r="Z194" s="6">
        <f>Deals_Raw!AA194</f>
        <v>213611.39614932158</v>
      </c>
      <c r="AA194" s="6">
        <f>Deals_Raw!AC194</f>
        <v>105615.28149304538</v>
      </c>
      <c r="AB194" s="6">
        <f>Deals_Raw!AD194</f>
        <v>107996.1146562762</v>
      </c>
      <c r="AC194" s="8">
        <f>Deals_Raw!AE194</f>
        <v>0.50557281401214793</v>
      </c>
      <c r="AD194" t="str">
        <f>Deals_Raw!AF194</f>
        <v>Won</v>
      </c>
      <c r="AE194">
        <f>Deals_Raw!AG194</f>
        <v>0</v>
      </c>
      <c r="AF194">
        <f>Deals_Raw!AH194</f>
        <v>0</v>
      </c>
      <c r="AG194" t="str">
        <f>Deals_Raw!AI194</f>
        <v>No</v>
      </c>
      <c r="AH194" s="6">
        <f>Deals_Raw!AJ194</f>
        <v>213611.39614932158</v>
      </c>
      <c r="AI194" s="6">
        <f>Deals_Raw!AK194</f>
        <v>107996.1146562762</v>
      </c>
      <c r="AJ194" t="str">
        <f>Deals_Raw!AL194</f>
        <v>First purchase under this contract</v>
      </c>
      <c r="AK194" s="9">
        <f t="shared" si="14"/>
        <v>4.1749999999999998</v>
      </c>
      <c r="AL194" s="8">
        <f t="shared" si="15"/>
        <v>0.8187687214095678</v>
      </c>
      <c r="AM194" s="8">
        <f t="shared" si="16"/>
        <v>3.3000000000000002E-2</v>
      </c>
      <c r="AN194" t="str">
        <f>IF(AC194&lt;Pricing_Policy!$C$10,"Below Floor","Pass")</f>
        <v>Pass</v>
      </c>
      <c r="AO194" t="str">
        <f>IF(V194&gt;Pricing_Policy!$C$7,"Exception","Standard")</f>
        <v>Standard</v>
      </c>
      <c r="AP194" t="str">
        <f t="shared" si="17"/>
        <v>Pass</v>
      </c>
      <c r="AQ194">
        <f t="shared" si="18"/>
        <v>1</v>
      </c>
      <c r="AR194" s="8">
        <f t="shared" si="19"/>
        <v>0.50557281401214793</v>
      </c>
      <c r="AS194">
        <f t="shared" si="20"/>
        <v>2</v>
      </c>
    </row>
    <row r="195" spans="1:45">
      <c r="A195" t="str">
        <f>Deals_Raw!A195</f>
        <v>D00217</v>
      </c>
      <c r="B195">
        <f>Deals_Raw!B195</f>
        <v>45842</v>
      </c>
      <c r="C195" t="str">
        <f>Deals_Raw!C195</f>
        <v>C0063</v>
      </c>
      <c r="D195" t="str">
        <f>Deals_Raw!D195</f>
        <v>LEG-0063</v>
      </c>
      <c r="E195" t="str">
        <f>Deals_Raw!E195</f>
        <v>CT00127</v>
      </c>
      <c r="F195" t="str">
        <f>Deals_Raw!F195</f>
        <v>Finance</v>
      </c>
      <c r="G195" t="str">
        <f>Deals_Raw!G195</f>
        <v>Legal</v>
      </c>
      <c r="H195" t="str">
        <f>Deals_Raw!H195</f>
        <v>Midwest</v>
      </c>
      <c r="I195" t="str">
        <f>Deals_Raw!I195</f>
        <v>Midwest Enterprise</v>
      </c>
      <c r="J195" t="str">
        <f>Deals_Raw!J195</f>
        <v>Enterprise</v>
      </c>
      <c r="K195" t="str">
        <f>Deals_Raw!K195</f>
        <v>Yes</v>
      </c>
      <c r="L195">
        <f>Deals_Raw!L195</f>
        <v>43952</v>
      </c>
      <c r="M195">
        <f>Deals_Raw!M195</f>
        <v>94</v>
      </c>
      <c r="N195" t="str">
        <f>Deals_Raw!N195</f>
        <v>Nexus AI Assistant</v>
      </c>
      <c r="O195" t="str">
        <f>Deals_Raw!O195</f>
        <v>Renewal</v>
      </c>
      <c r="P195">
        <f>Deals_Raw!P195</f>
        <v>0</v>
      </c>
      <c r="Q195">
        <f>Deals_Raw!Q195</f>
        <v>1</v>
      </c>
      <c r="R195">
        <f>Deals_Raw!R195</f>
        <v>1520</v>
      </c>
      <c r="S195" t="str">
        <f>Deals_Raw!S195</f>
        <v>T. Brooks</v>
      </c>
      <c r="T195" s="6">
        <f>Deals_Raw!T195</f>
        <v>277812.18630499294</v>
      </c>
      <c r="U195" s="8">
        <f>Deals_Raw!V195</f>
        <v>7.9000000000000001E-2</v>
      </c>
      <c r="V195" s="8">
        <f>Deals_Raw!W195</f>
        <v>5.3999999999999999E-2</v>
      </c>
      <c r="W195" s="8">
        <f>Deals_Raw!X195</f>
        <v>-7.6999999999999999E-2</v>
      </c>
      <c r="X195" t="str">
        <f>Deals_Raw!Y195</f>
        <v>Renewal retention risk</v>
      </c>
      <c r="Y195" t="str">
        <f>Deals_Raw!Z195</f>
        <v>Sales Manager</v>
      </c>
      <c r="Z195" s="6">
        <f>Deals_Raw!AA195</f>
        <v>262875.63167713094</v>
      </c>
      <c r="AA195" s="6">
        <f>Deals_Raw!AC195</f>
        <v>100184.80017986604</v>
      </c>
      <c r="AB195" s="6">
        <f>Deals_Raw!AD195</f>
        <v>162690.83149726491</v>
      </c>
      <c r="AC195" s="8">
        <f>Deals_Raw!AE195</f>
        <v>0.61888897977841106</v>
      </c>
      <c r="AD195" t="str">
        <f>Deals_Raw!AF195</f>
        <v>Won</v>
      </c>
      <c r="AE195" t="str">
        <f>Deals_Raw!AG195</f>
        <v>Yes</v>
      </c>
      <c r="AF195">
        <f>Deals_Raw!AH195</f>
        <v>0</v>
      </c>
      <c r="AG195" t="str">
        <f>Deals_Raw!AI195</f>
        <v>No</v>
      </c>
      <c r="AH195" s="6">
        <f>Deals_Raw!AJ195</f>
        <v>262875.63167713094</v>
      </c>
      <c r="AI195" s="6">
        <f>Deals_Raw!AK195</f>
        <v>162690.83149726491</v>
      </c>
      <c r="AJ195" t="str">
        <f>Deals_Raw!AL195</f>
        <v>Renewal of existing active contract</v>
      </c>
      <c r="AK195" s="9">
        <f t="shared" si="14"/>
        <v>5.1749999999999998</v>
      </c>
      <c r="AL195" s="8">
        <f t="shared" si="15"/>
        <v>0.94623506323993978</v>
      </c>
      <c r="AM195" s="8">
        <f t="shared" si="16"/>
        <v>2.5000000000000001E-2</v>
      </c>
      <c r="AN195" t="str">
        <f>IF(AC195&lt;Pricing_Policy!$C$10,"Below Floor","Pass")</f>
        <v>Pass</v>
      </c>
      <c r="AO195" t="str">
        <f>IF(V195&gt;Pricing_Policy!$C$7,"Exception","Standard")</f>
        <v>Standard</v>
      </c>
      <c r="AP195" t="str">
        <f t="shared" si="17"/>
        <v>Pass</v>
      </c>
      <c r="AQ195">
        <f t="shared" si="18"/>
        <v>1</v>
      </c>
      <c r="AR195" s="8">
        <f t="shared" si="19"/>
        <v>0.61888897977841106</v>
      </c>
      <c r="AS195">
        <f t="shared" si="20"/>
        <v>2</v>
      </c>
    </row>
    <row r="196" spans="1:45">
      <c r="A196" t="str">
        <f>Deals_Raw!A196</f>
        <v>D00218</v>
      </c>
      <c r="B196">
        <f>Deals_Raw!B196</f>
        <v>45381</v>
      </c>
      <c r="C196" t="str">
        <f>Deals_Raw!C196</f>
        <v>C0063</v>
      </c>
      <c r="D196" t="str">
        <f>Deals_Raw!D196</f>
        <v>LEG-0063</v>
      </c>
      <c r="E196" t="str">
        <f>Deals_Raw!E196</f>
        <v>CT00128</v>
      </c>
      <c r="F196" t="str">
        <f>Deals_Raw!F196</f>
        <v>Corporate</v>
      </c>
      <c r="G196" t="str">
        <f>Deals_Raw!G196</f>
        <v>Legal</v>
      </c>
      <c r="H196" t="str">
        <f>Deals_Raw!H196</f>
        <v>Midwest</v>
      </c>
      <c r="I196" t="str">
        <f>Deals_Raw!I196</f>
        <v>Midwest Enterprise</v>
      </c>
      <c r="J196" t="str">
        <f>Deals_Raw!J196</f>
        <v>Enterprise</v>
      </c>
      <c r="K196" t="str">
        <f>Deals_Raw!K196</f>
        <v>Yes</v>
      </c>
      <c r="L196">
        <f>Deals_Raw!L196</f>
        <v>43952</v>
      </c>
      <c r="M196">
        <f>Deals_Raw!M196</f>
        <v>94</v>
      </c>
      <c r="N196" t="str">
        <f>Deals_Raw!N196</f>
        <v>Nexus Compliance</v>
      </c>
      <c r="O196" t="str">
        <f>Deals_Raw!O196</f>
        <v>Expansion</v>
      </c>
      <c r="P196" t="str">
        <f>Deals_Raw!P196</f>
        <v>Storage / Usage Expansion</v>
      </c>
      <c r="Q196">
        <f>Deals_Raw!Q196</f>
        <v>1</v>
      </c>
      <c r="R196">
        <f>Deals_Raw!R196</f>
        <v>2404</v>
      </c>
      <c r="S196" t="str">
        <f>Deals_Raw!S196</f>
        <v>R. Singh</v>
      </c>
      <c r="T196" s="6">
        <f>Deals_Raw!T196</f>
        <v>513576.63271935581</v>
      </c>
      <c r="U196" s="8">
        <f>Deals_Raw!V196</f>
        <v>0.17499999999999999</v>
      </c>
      <c r="V196" s="8">
        <f>Deals_Raw!W196</f>
        <v>0.15</v>
      </c>
      <c r="W196" s="8">
        <f>Deals_Raw!X196</f>
        <v>1.9E-2</v>
      </c>
      <c r="X196" t="str">
        <f>Deals_Raw!Y196</f>
        <v>Expansion opportunity</v>
      </c>
      <c r="Y196" t="str">
        <f>Deals_Raw!Z196</f>
        <v>Pricing Analyst</v>
      </c>
      <c r="Z196" s="6">
        <f>Deals_Raw!AA196</f>
        <v>436643.66028532106</v>
      </c>
      <c r="AA196" s="6">
        <f>Deals_Raw!AC196</f>
        <v>175951.00374183586</v>
      </c>
      <c r="AB196" s="6">
        <f>Deals_Raw!AD196</f>
        <v>260692.65654348521</v>
      </c>
      <c r="AC196" s="8">
        <f>Deals_Raw!AE196</f>
        <v>0.5970375394277746</v>
      </c>
      <c r="AD196" t="str">
        <f>Deals_Raw!AF196</f>
        <v>Won</v>
      </c>
      <c r="AE196">
        <f>Deals_Raw!AG196</f>
        <v>0</v>
      </c>
      <c r="AF196" t="str">
        <f>Deals_Raw!AH196</f>
        <v>Yes</v>
      </c>
      <c r="AG196" t="str">
        <f>Deals_Raw!AI196</f>
        <v>No</v>
      </c>
      <c r="AH196" s="6">
        <f>Deals_Raw!AJ196</f>
        <v>436643.66028532106</v>
      </c>
      <c r="AI196" s="6">
        <f>Deals_Raw!AK196</f>
        <v>260692.65654348521</v>
      </c>
      <c r="AJ196" t="str">
        <f>Deals_Raw!AL196</f>
        <v>Expansion allowed because contract was active</v>
      </c>
      <c r="AK196" s="9">
        <f t="shared" si="14"/>
        <v>3.9138888888888888</v>
      </c>
      <c r="AL196" s="8">
        <f t="shared" si="15"/>
        <v>0.85020157162003351</v>
      </c>
      <c r="AM196" s="8">
        <f t="shared" si="16"/>
        <v>2.4999999999999994E-2</v>
      </c>
      <c r="AN196" t="str">
        <f>IF(AC196&lt;Pricing_Policy!$C$10,"Below Floor","Pass")</f>
        <v>Pass</v>
      </c>
      <c r="AO196" t="str">
        <f>IF(V196&gt;Pricing_Policy!$C$7,"Exception","Standard")</f>
        <v>Standard</v>
      </c>
      <c r="AP196" t="str">
        <f t="shared" si="17"/>
        <v>Pass</v>
      </c>
      <c r="AQ196">
        <f t="shared" si="18"/>
        <v>1</v>
      </c>
      <c r="AR196" s="8">
        <f t="shared" si="19"/>
        <v>0.5970375394277746</v>
      </c>
      <c r="AS196">
        <f t="shared" si="20"/>
        <v>2</v>
      </c>
    </row>
    <row r="197" spans="1:45">
      <c r="A197" t="str">
        <f>Deals_Raw!A197</f>
        <v>D00219</v>
      </c>
      <c r="B197">
        <f>Deals_Raw!B197</f>
        <v>45598</v>
      </c>
      <c r="C197" t="str">
        <f>Deals_Raw!C197</f>
        <v>C0063</v>
      </c>
      <c r="D197" t="str">
        <f>Deals_Raw!D197</f>
        <v>LEG-0063</v>
      </c>
      <c r="E197" t="str">
        <f>Deals_Raw!E197</f>
        <v>CT00128</v>
      </c>
      <c r="F197" t="str">
        <f>Deals_Raw!F197</f>
        <v>Corporate</v>
      </c>
      <c r="G197" t="str">
        <f>Deals_Raw!G197</f>
        <v>Legal</v>
      </c>
      <c r="H197" t="str">
        <f>Deals_Raw!H197</f>
        <v>Midwest</v>
      </c>
      <c r="I197" t="str">
        <f>Deals_Raw!I197</f>
        <v>Midwest Enterprise</v>
      </c>
      <c r="J197" t="str">
        <f>Deals_Raw!J197</f>
        <v>Enterprise</v>
      </c>
      <c r="K197" t="str">
        <f>Deals_Raw!K197</f>
        <v>Yes</v>
      </c>
      <c r="L197">
        <f>Deals_Raw!L197</f>
        <v>43952</v>
      </c>
      <c r="M197">
        <f>Deals_Raw!M197</f>
        <v>94</v>
      </c>
      <c r="N197" t="str">
        <f>Deals_Raw!N197</f>
        <v>Nexus Compliance</v>
      </c>
      <c r="O197" t="str">
        <f>Deals_Raw!O197</f>
        <v>Renewal</v>
      </c>
      <c r="P197">
        <f>Deals_Raw!P197</f>
        <v>0</v>
      </c>
      <c r="Q197">
        <f>Deals_Raw!Q197</f>
        <v>1</v>
      </c>
      <c r="R197">
        <f>Deals_Raw!R197</f>
        <v>2404</v>
      </c>
      <c r="S197" t="str">
        <f>Deals_Raw!S197</f>
        <v>L. Williams</v>
      </c>
      <c r="T197" s="6">
        <f>Deals_Raw!T197</f>
        <v>532999.95042927726</v>
      </c>
      <c r="U197" s="8">
        <f>Deals_Raw!V197</f>
        <v>0.20100000000000001</v>
      </c>
      <c r="V197" s="8">
        <f>Deals_Raw!W197</f>
        <v>0.189</v>
      </c>
      <c r="W197" s="8">
        <f>Deals_Raw!X197</f>
        <v>0.01</v>
      </c>
      <c r="X197" t="str">
        <f>Deals_Raw!Y197</f>
        <v>Verified competitor pressure</v>
      </c>
      <c r="Y197" t="str">
        <f>Deals_Raw!Z197</f>
        <v>Pricing Analyst</v>
      </c>
      <c r="Z197" s="6">
        <f>Deals_Raw!AA197</f>
        <v>432043.64451054437</v>
      </c>
      <c r="AA197" s="6">
        <f>Deals_Raw!AC197</f>
        <v>202283.34192281839</v>
      </c>
      <c r="AB197" s="6">
        <f>Deals_Raw!AD197</f>
        <v>229760.30258772598</v>
      </c>
      <c r="AC197" s="8">
        <f>Deals_Raw!AE197</f>
        <v>0.53179882520437927</v>
      </c>
      <c r="AD197" t="str">
        <f>Deals_Raw!AF197</f>
        <v>Lost</v>
      </c>
      <c r="AE197" t="str">
        <f>Deals_Raw!AG197</f>
        <v>No</v>
      </c>
      <c r="AF197">
        <f>Deals_Raw!AH197</f>
        <v>0</v>
      </c>
      <c r="AG197" t="str">
        <f>Deals_Raw!AI197</f>
        <v>No</v>
      </c>
      <c r="AH197" s="6">
        <f>Deals_Raw!AJ197</f>
        <v>0</v>
      </c>
      <c r="AI197" s="6">
        <f>Deals_Raw!AK197</f>
        <v>0</v>
      </c>
      <c r="AJ197" t="str">
        <f>Deals_Raw!AL197</f>
        <v>Renewal of existing active contract</v>
      </c>
      <c r="AK197" s="9">
        <f t="shared" ref="AK197:AK260" si="21">YEARFRAC(L197,B197)</f>
        <v>4.5027777777777782</v>
      </c>
      <c r="AL197" s="8">
        <f t="shared" ref="AL197:AL260" si="22">IFERROR(Z197/T197,0)</f>
        <v>0.81058852662664815</v>
      </c>
      <c r="AM197" s="8">
        <f t="shared" ref="AM197:AM260" si="23">U197-V197</f>
        <v>1.2000000000000011E-2</v>
      </c>
      <c r="AN197" t="str">
        <f>IF(AC197&lt;Pricing_Policy!$C$10,"Below Floor","Pass")</f>
        <v>Pass</v>
      </c>
      <c r="AO197" t="str">
        <f>IF(V197&gt;Pricing_Policy!$C$7,"Exception","Standard")</f>
        <v>Standard</v>
      </c>
      <c r="AP197" t="str">
        <f t="shared" ref="AP197:AP260" si="24">IF(OR(AND(V197&lt;=0.1,Y197&lt;&gt;"Sales Manager"),AND(V197&gt;0.1,V197&lt;=0.2,Y197&lt;&gt;"Pricing Analyst"),AND(V197&gt;0.2,V197&lt;=0.28,Y197&lt;&gt;"Business Manager"),AND(V197&gt;0.28,Y197&lt;&gt;"VP Pricing")),"Review","Pass")</f>
        <v>Pass</v>
      </c>
      <c r="AQ197">
        <f t="shared" ref="AQ197:AQ260" si="25">IF(AD197="Won",1,0)</f>
        <v>0</v>
      </c>
      <c r="AR197" s="8">
        <f t="shared" ref="AR197:AR260" si="26">IFERROR(AI197/AH197,0)</f>
        <v>0</v>
      </c>
      <c r="AS197">
        <f t="shared" ref="AS197:AS260" si="27">COUNTIFS($C:$C,C197,$N:$N,N197)</f>
        <v>2</v>
      </c>
    </row>
    <row r="198" spans="1:45">
      <c r="A198" t="str">
        <f>Deals_Raw!A198</f>
        <v>D00220</v>
      </c>
      <c r="B198">
        <f>Deals_Raw!B198</f>
        <v>45317</v>
      </c>
      <c r="C198" t="str">
        <f>Deals_Raw!C198</f>
        <v>C0064</v>
      </c>
      <c r="D198" t="str">
        <f>Deals_Raw!D198</f>
        <v>MAN-0064</v>
      </c>
      <c r="E198" t="str">
        <f>Deals_Raw!E198</f>
        <v>CT00129</v>
      </c>
      <c r="F198" t="str">
        <f>Deals_Raw!F198</f>
        <v>Legal</v>
      </c>
      <c r="G198" t="str">
        <f>Deals_Raw!G198</f>
        <v>Manufacturing</v>
      </c>
      <c r="H198" t="str">
        <f>Deals_Raw!H198</f>
        <v>Northeast</v>
      </c>
      <c r="I198" t="str">
        <f>Deals_Raw!I198</f>
        <v>Northeast Commercial</v>
      </c>
      <c r="J198" t="str">
        <f>Deals_Raw!J198</f>
        <v>Mid-Market</v>
      </c>
      <c r="K198" t="str">
        <f>Deals_Raw!K198</f>
        <v>Yes</v>
      </c>
      <c r="L198">
        <f>Deals_Raw!L198</f>
        <v>44743</v>
      </c>
      <c r="M198">
        <f>Deals_Raw!M198</f>
        <v>52</v>
      </c>
      <c r="N198" t="str">
        <f>Deals_Raw!N198</f>
        <v>Nexus Enterprise Suite</v>
      </c>
      <c r="O198" t="str">
        <f>Deals_Raw!O198</f>
        <v>New Business</v>
      </c>
      <c r="P198">
        <f>Deals_Raw!P198</f>
        <v>0</v>
      </c>
      <c r="Q198">
        <f>Deals_Raw!Q198</f>
        <v>1</v>
      </c>
      <c r="R198">
        <f>Deals_Raw!R198</f>
        <v>168</v>
      </c>
      <c r="S198" t="str">
        <f>Deals_Raw!S198</f>
        <v>S. Rivera</v>
      </c>
      <c r="T198" s="6">
        <f>Deals_Raw!T198</f>
        <v>295808.67810881074</v>
      </c>
      <c r="U198" s="8">
        <f>Deals_Raw!V198</f>
        <v>0.108</v>
      </c>
      <c r="V198" s="8">
        <f>Deals_Raw!W198</f>
        <v>0.10299999999999999</v>
      </c>
      <c r="W198" s="8">
        <f>Deals_Raw!X198</f>
        <v>0.13600000000000001</v>
      </c>
      <c r="X198" t="str">
        <f>Deals_Raw!Y198</f>
        <v>Renewal retention risk</v>
      </c>
      <c r="Y198" t="str">
        <f>Deals_Raw!Z198</f>
        <v>Pricing Analyst</v>
      </c>
      <c r="Z198" s="6">
        <f>Deals_Raw!AA198</f>
        <v>265200.94779701688</v>
      </c>
      <c r="AA198" s="6">
        <f>Deals_Raw!AC198</f>
        <v>108850.79728217315</v>
      </c>
      <c r="AB198" s="6">
        <f>Deals_Raw!AD198</f>
        <v>156350.15051484373</v>
      </c>
      <c r="AC198" s="8">
        <f>Deals_Raw!AE198</f>
        <v>0.58955351334005468</v>
      </c>
      <c r="AD198" t="str">
        <f>Deals_Raw!AF198</f>
        <v>Won</v>
      </c>
      <c r="AE198">
        <f>Deals_Raw!AG198</f>
        <v>0</v>
      </c>
      <c r="AF198">
        <f>Deals_Raw!AH198</f>
        <v>0</v>
      </c>
      <c r="AG198" t="str">
        <f>Deals_Raw!AI198</f>
        <v>No</v>
      </c>
      <c r="AH198" s="6">
        <f>Deals_Raw!AJ198</f>
        <v>265200.94779701688</v>
      </c>
      <c r="AI198" s="6">
        <f>Deals_Raw!AK198</f>
        <v>156350.15051484373</v>
      </c>
      <c r="AJ198" t="str">
        <f>Deals_Raw!AL198</f>
        <v>First purchase under this contract</v>
      </c>
      <c r="AK198" s="9">
        <f t="shared" si="21"/>
        <v>1.5694444444444444</v>
      </c>
      <c r="AL198" s="8">
        <f t="shared" si="22"/>
        <v>0.89652862618000995</v>
      </c>
      <c r="AM198" s="8">
        <f t="shared" si="23"/>
        <v>5.0000000000000044E-3</v>
      </c>
      <c r="AN198" t="str">
        <f>IF(AC198&lt;Pricing_Policy!$C$10,"Below Floor","Pass")</f>
        <v>Pass</v>
      </c>
      <c r="AO198" t="str">
        <f>IF(V198&gt;Pricing_Policy!$C$7,"Exception","Standard")</f>
        <v>Standard</v>
      </c>
      <c r="AP198" t="str">
        <f t="shared" si="24"/>
        <v>Pass</v>
      </c>
      <c r="AQ198">
        <f t="shared" si="25"/>
        <v>1</v>
      </c>
      <c r="AR198" s="8">
        <f t="shared" si="26"/>
        <v>0.58955351334005468</v>
      </c>
      <c r="AS198">
        <f t="shared" si="27"/>
        <v>2</v>
      </c>
    </row>
    <row r="199" spans="1:45">
      <c r="A199" t="str">
        <f>Deals_Raw!A199</f>
        <v>D00221</v>
      </c>
      <c r="B199">
        <f>Deals_Raw!B199</f>
        <v>45682</v>
      </c>
      <c r="C199" t="str">
        <f>Deals_Raw!C199</f>
        <v>C0064</v>
      </c>
      <c r="D199" t="str">
        <f>Deals_Raw!D199</f>
        <v>MAN-0064</v>
      </c>
      <c r="E199" t="str">
        <f>Deals_Raw!E199</f>
        <v>CT00129</v>
      </c>
      <c r="F199" t="str">
        <f>Deals_Raw!F199</f>
        <v>Legal</v>
      </c>
      <c r="G199" t="str">
        <f>Deals_Raw!G199</f>
        <v>Manufacturing</v>
      </c>
      <c r="H199" t="str">
        <f>Deals_Raw!H199</f>
        <v>Northeast</v>
      </c>
      <c r="I199" t="str">
        <f>Deals_Raw!I199</f>
        <v>Northeast Commercial</v>
      </c>
      <c r="J199" t="str">
        <f>Deals_Raw!J199</f>
        <v>Mid-Market</v>
      </c>
      <c r="K199" t="str">
        <f>Deals_Raw!K199</f>
        <v>Yes</v>
      </c>
      <c r="L199">
        <f>Deals_Raw!L199</f>
        <v>44743</v>
      </c>
      <c r="M199">
        <f>Deals_Raw!M199</f>
        <v>52</v>
      </c>
      <c r="N199" t="str">
        <f>Deals_Raw!N199</f>
        <v>Nexus Enterprise Suite</v>
      </c>
      <c r="O199" t="str">
        <f>Deals_Raw!O199</f>
        <v>Renewal</v>
      </c>
      <c r="P199">
        <f>Deals_Raw!P199</f>
        <v>0</v>
      </c>
      <c r="Q199">
        <f>Deals_Raw!Q199</f>
        <v>1</v>
      </c>
      <c r="R199">
        <f>Deals_Raw!R199</f>
        <v>168</v>
      </c>
      <c r="S199" t="str">
        <f>Deals_Raw!S199</f>
        <v>L. Williams</v>
      </c>
      <c r="T199" s="6">
        <f>Deals_Raw!T199</f>
        <v>313318.52521633607</v>
      </c>
      <c r="U199" s="8">
        <f>Deals_Raw!V199</f>
        <v>0.28100000000000003</v>
      </c>
      <c r="V199" s="8">
        <f>Deals_Raw!W199</f>
        <v>0.25900000000000001</v>
      </c>
      <c r="W199" s="8">
        <f>Deals_Raw!X199</f>
        <v>-3.9E-2</v>
      </c>
      <c r="X199" t="str">
        <f>Deals_Raw!Y199</f>
        <v>Renewal retention risk</v>
      </c>
      <c r="Y199" t="str">
        <f>Deals_Raw!Z199</f>
        <v>Business Manager</v>
      </c>
      <c r="Z199" s="6">
        <f>Deals_Raw!AA199</f>
        <v>232193.53187699107</v>
      </c>
      <c r="AA199" s="6">
        <f>Deals_Raw!AC199</f>
        <v>105339.77243114181</v>
      </c>
      <c r="AB199" s="6">
        <f>Deals_Raw!AD199</f>
        <v>126853.75944584925</v>
      </c>
      <c r="AC199" s="8">
        <f>Deals_Raw!AE199</f>
        <v>0.54632770525689078</v>
      </c>
      <c r="AD199" t="str">
        <f>Deals_Raw!AF199</f>
        <v>Won</v>
      </c>
      <c r="AE199" t="str">
        <f>Deals_Raw!AG199</f>
        <v>Yes</v>
      </c>
      <c r="AF199">
        <f>Deals_Raw!AH199</f>
        <v>0</v>
      </c>
      <c r="AG199" t="str">
        <f>Deals_Raw!AI199</f>
        <v>No</v>
      </c>
      <c r="AH199" s="6">
        <f>Deals_Raw!AJ199</f>
        <v>232193.53187699107</v>
      </c>
      <c r="AI199" s="6">
        <f>Deals_Raw!AK199</f>
        <v>126853.75944584925</v>
      </c>
      <c r="AJ199" t="str">
        <f>Deals_Raw!AL199</f>
        <v>Renewal of existing active contract</v>
      </c>
      <c r="AK199" s="9">
        <f t="shared" si="21"/>
        <v>2.5666666666666669</v>
      </c>
      <c r="AL199" s="8">
        <f t="shared" si="22"/>
        <v>0.74107821015903586</v>
      </c>
      <c r="AM199" s="8">
        <f t="shared" si="23"/>
        <v>2.200000000000002E-2</v>
      </c>
      <c r="AN199" t="str">
        <f>IF(AC199&lt;Pricing_Policy!$C$10,"Below Floor","Pass")</f>
        <v>Pass</v>
      </c>
      <c r="AO199" t="str">
        <f>IF(V199&gt;Pricing_Policy!$C$7,"Exception","Standard")</f>
        <v>Standard</v>
      </c>
      <c r="AP199" t="str">
        <f t="shared" si="24"/>
        <v>Pass</v>
      </c>
      <c r="AQ199">
        <f t="shared" si="25"/>
        <v>1</v>
      </c>
      <c r="AR199" s="8">
        <f t="shared" si="26"/>
        <v>0.54632770525689078</v>
      </c>
      <c r="AS199">
        <f t="shared" si="27"/>
        <v>2</v>
      </c>
    </row>
    <row r="200" spans="1:45">
      <c r="A200" t="str">
        <f>Deals_Raw!A200</f>
        <v>D00223</v>
      </c>
      <c r="B200">
        <f>Deals_Raw!B200</f>
        <v>45517</v>
      </c>
      <c r="C200" t="str">
        <f>Deals_Raw!C200</f>
        <v>C0064</v>
      </c>
      <c r="D200" t="str">
        <f>Deals_Raw!D200</f>
        <v>MAN-0064</v>
      </c>
      <c r="E200" t="str">
        <f>Deals_Raw!E200</f>
        <v>CT00130</v>
      </c>
      <c r="F200" t="str">
        <f>Deals_Raw!F200</f>
        <v>Legal</v>
      </c>
      <c r="G200" t="str">
        <f>Deals_Raw!G200</f>
        <v>Manufacturing</v>
      </c>
      <c r="H200" t="str">
        <f>Deals_Raw!H200</f>
        <v>Northeast</v>
      </c>
      <c r="I200" t="str">
        <f>Deals_Raw!I200</f>
        <v>Northeast Commercial</v>
      </c>
      <c r="J200" t="str">
        <f>Deals_Raw!J200</f>
        <v>Mid-Market</v>
      </c>
      <c r="K200" t="str">
        <f>Deals_Raw!K200</f>
        <v>Yes</v>
      </c>
      <c r="L200">
        <f>Deals_Raw!L200</f>
        <v>44743</v>
      </c>
      <c r="M200">
        <f>Deals_Raw!M200</f>
        <v>52</v>
      </c>
      <c r="N200" t="str">
        <f>Deals_Raw!N200</f>
        <v>Nexus Analytics</v>
      </c>
      <c r="O200" t="str">
        <f>Deals_Raw!O200</f>
        <v>Renewal</v>
      </c>
      <c r="P200">
        <f>Deals_Raw!P200</f>
        <v>0</v>
      </c>
      <c r="Q200">
        <f>Deals_Raw!Q200</f>
        <v>1</v>
      </c>
      <c r="R200">
        <f>Deals_Raw!R200</f>
        <v>240</v>
      </c>
      <c r="S200" t="str">
        <f>Deals_Raw!S200</f>
        <v>D. Chen</v>
      </c>
      <c r="T200" s="6">
        <f>Deals_Raw!T200</f>
        <v>81223.103547020975</v>
      </c>
      <c r="U200" s="8">
        <f>Deals_Raw!V200</f>
        <v>0.17</v>
      </c>
      <c r="V200" s="8">
        <f>Deals_Raw!W200</f>
        <v>0.158</v>
      </c>
      <c r="W200" s="8">
        <f>Deals_Raw!X200</f>
        <v>-0.11799999999999999</v>
      </c>
      <c r="X200" t="str">
        <f>Deals_Raw!Y200</f>
        <v>Renewal retention risk</v>
      </c>
      <c r="Y200" t="str">
        <f>Deals_Raw!Z200</f>
        <v>Pricing Analyst</v>
      </c>
      <c r="Z200" s="6">
        <f>Deals_Raw!AA200</f>
        <v>68404.332248874431</v>
      </c>
      <c r="AA200" s="6">
        <f>Deals_Raw!AC200</f>
        <v>25252.632968906761</v>
      </c>
      <c r="AB200" s="6">
        <f>Deals_Raw!AD200</f>
        <v>43151.699279967666</v>
      </c>
      <c r="AC200" s="8">
        <f>Deals_Raw!AE200</f>
        <v>0.63083284144883545</v>
      </c>
      <c r="AD200" t="str">
        <f>Deals_Raw!AF200</f>
        <v>Won</v>
      </c>
      <c r="AE200" t="str">
        <f>Deals_Raw!AG200</f>
        <v>Yes</v>
      </c>
      <c r="AF200">
        <f>Deals_Raw!AH200</f>
        <v>0</v>
      </c>
      <c r="AG200" t="str">
        <f>Deals_Raw!AI200</f>
        <v>No</v>
      </c>
      <c r="AH200" s="6">
        <f>Deals_Raw!AJ200</f>
        <v>68404.332248874431</v>
      </c>
      <c r="AI200" s="6">
        <f>Deals_Raw!AK200</f>
        <v>43151.699279967666</v>
      </c>
      <c r="AJ200" t="str">
        <f>Deals_Raw!AL200</f>
        <v>Renewal of existing active contract</v>
      </c>
      <c r="AK200" s="9">
        <f t="shared" si="21"/>
        <v>2.1166666666666667</v>
      </c>
      <c r="AL200" s="8">
        <f t="shared" si="22"/>
        <v>0.84217826285441544</v>
      </c>
      <c r="AM200" s="8">
        <f t="shared" si="23"/>
        <v>1.2000000000000011E-2</v>
      </c>
      <c r="AN200" t="str">
        <f>IF(AC200&lt;Pricing_Policy!$C$10,"Below Floor","Pass")</f>
        <v>Pass</v>
      </c>
      <c r="AO200" t="str">
        <f>IF(V200&gt;Pricing_Policy!$C$7,"Exception","Standard")</f>
        <v>Standard</v>
      </c>
      <c r="AP200" t="str">
        <f t="shared" si="24"/>
        <v>Pass</v>
      </c>
      <c r="AQ200">
        <f t="shared" si="25"/>
        <v>1</v>
      </c>
      <c r="AR200" s="8">
        <f t="shared" si="26"/>
        <v>0.63083284144883545</v>
      </c>
      <c r="AS200">
        <f t="shared" si="27"/>
        <v>2</v>
      </c>
    </row>
    <row r="201" spans="1:45">
      <c r="A201" t="str">
        <f>Deals_Raw!A201</f>
        <v>D00224</v>
      </c>
      <c r="B201">
        <f>Deals_Raw!B201</f>
        <v>45882</v>
      </c>
      <c r="C201" t="str">
        <f>Deals_Raw!C201</f>
        <v>C0064</v>
      </c>
      <c r="D201" t="str">
        <f>Deals_Raw!D201</f>
        <v>MAN-0064</v>
      </c>
      <c r="E201" t="str">
        <f>Deals_Raw!E201</f>
        <v>CT00130</v>
      </c>
      <c r="F201" t="str">
        <f>Deals_Raw!F201</f>
        <v>Legal</v>
      </c>
      <c r="G201" t="str">
        <f>Deals_Raw!G201</f>
        <v>Manufacturing</v>
      </c>
      <c r="H201" t="str">
        <f>Deals_Raw!H201</f>
        <v>Northeast</v>
      </c>
      <c r="I201" t="str">
        <f>Deals_Raw!I201</f>
        <v>Northeast Commercial</v>
      </c>
      <c r="J201" t="str">
        <f>Deals_Raw!J201</f>
        <v>Mid-Market</v>
      </c>
      <c r="K201" t="str">
        <f>Deals_Raw!K201</f>
        <v>Yes</v>
      </c>
      <c r="L201">
        <f>Deals_Raw!L201</f>
        <v>44743</v>
      </c>
      <c r="M201">
        <f>Deals_Raw!M201</f>
        <v>52</v>
      </c>
      <c r="N201" t="str">
        <f>Deals_Raw!N201</f>
        <v>Nexus Analytics</v>
      </c>
      <c r="O201" t="str">
        <f>Deals_Raw!O201</f>
        <v>Renewal</v>
      </c>
      <c r="P201">
        <f>Deals_Raw!P201</f>
        <v>0</v>
      </c>
      <c r="Q201">
        <f>Deals_Raw!Q201</f>
        <v>1</v>
      </c>
      <c r="R201">
        <f>Deals_Raw!R201</f>
        <v>240</v>
      </c>
      <c r="S201" t="str">
        <f>Deals_Raw!S201</f>
        <v>S. Rivera</v>
      </c>
      <c r="T201" s="6">
        <f>Deals_Raw!T201</f>
        <v>87621.528994129549</v>
      </c>
      <c r="U201" s="8">
        <f>Deals_Raw!V201</f>
        <v>0.20399999999999999</v>
      </c>
      <c r="V201" s="8">
        <f>Deals_Raw!W201</f>
        <v>0.19600000000000001</v>
      </c>
      <c r="W201" s="8">
        <f>Deals_Raw!X201</f>
        <v>4.0000000000000001E-3</v>
      </c>
      <c r="X201" t="str">
        <f>Deals_Raw!Y201</f>
        <v>Renewal retention risk</v>
      </c>
      <c r="Y201" t="str">
        <f>Deals_Raw!Z201</f>
        <v>Pricing Analyst</v>
      </c>
      <c r="Z201" s="6">
        <f>Deals_Raw!AA201</f>
        <v>70424.94355478989</v>
      </c>
      <c r="AA201" s="6">
        <f>Deals_Raw!AC201</f>
        <v>23611.143767067377</v>
      </c>
      <c r="AB201" s="6">
        <f>Deals_Raw!AD201</f>
        <v>46813.799787722513</v>
      </c>
      <c r="AC201" s="8">
        <f>Deals_Raw!AE201</f>
        <v>0.6647332241211078</v>
      </c>
      <c r="AD201" t="str">
        <f>Deals_Raw!AF201</f>
        <v>Won</v>
      </c>
      <c r="AE201" t="str">
        <f>Deals_Raw!AG201</f>
        <v>Yes</v>
      </c>
      <c r="AF201">
        <f>Deals_Raw!AH201</f>
        <v>0</v>
      </c>
      <c r="AG201" t="str">
        <f>Deals_Raw!AI201</f>
        <v>No</v>
      </c>
      <c r="AH201" s="6">
        <f>Deals_Raw!AJ201</f>
        <v>70424.94355478989</v>
      </c>
      <c r="AI201" s="6">
        <f>Deals_Raw!AK201</f>
        <v>46813.799787722513</v>
      </c>
      <c r="AJ201" t="str">
        <f>Deals_Raw!AL201</f>
        <v>Renewal of existing active contract</v>
      </c>
      <c r="AK201" s="9">
        <f t="shared" si="21"/>
        <v>3.1166666666666667</v>
      </c>
      <c r="AL201" s="8">
        <f t="shared" si="22"/>
        <v>0.80374018078945197</v>
      </c>
      <c r="AM201" s="8">
        <f t="shared" si="23"/>
        <v>7.9999999999999793E-3</v>
      </c>
      <c r="AN201" t="str">
        <f>IF(AC201&lt;Pricing_Policy!$C$10,"Below Floor","Pass")</f>
        <v>Pass</v>
      </c>
      <c r="AO201" t="str">
        <f>IF(V201&gt;Pricing_Policy!$C$7,"Exception","Standard")</f>
        <v>Standard</v>
      </c>
      <c r="AP201" t="str">
        <f t="shared" si="24"/>
        <v>Pass</v>
      </c>
      <c r="AQ201">
        <f t="shared" si="25"/>
        <v>1</v>
      </c>
      <c r="AR201" s="8">
        <f t="shared" si="26"/>
        <v>0.6647332241211078</v>
      </c>
      <c r="AS201">
        <f t="shared" si="27"/>
        <v>2</v>
      </c>
    </row>
    <row r="202" spans="1:45">
      <c r="A202" t="str">
        <f>Deals_Raw!A202</f>
        <v>D00225</v>
      </c>
      <c r="B202">
        <f>Deals_Raw!B202</f>
        <v>45456</v>
      </c>
      <c r="C202" t="str">
        <f>Deals_Raw!C202</f>
        <v>C0065</v>
      </c>
      <c r="D202" t="str">
        <f>Deals_Raw!D202</f>
        <v>PUB-0065</v>
      </c>
      <c r="E202" t="str">
        <f>Deals_Raw!E202</f>
        <v>CT00131</v>
      </c>
      <c r="F202" t="str">
        <f>Deals_Raw!F202</f>
        <v>Sales</v>
      </c>
      <c r="G202" t="str">
        <f>Deals_Raw!G202</f>
        <v>Public Sector</v>
      </c>
      <c r="H202" t="str">
        <f>Deals_Raw!H202</f>
        <v>Midwest</v>
      </c>
      <c r="I202" t="str">
        <f>Deals_Raw!I202</f>
        <v>Midwest Enterprise</v>
      </c>
      <c r="J202" t="str">
        <f>Deals_Raw!J202</f>
        <v>Enterprise</v>
      </c>
      <c r="K202" t="str">
        <f>Deals_Raw!K202</f>
        <v>No</v>
      </c>
      <c r="L202">
        <f>Deals_Raw!L202</f>
        <v>45047</v>
      </c>
      <c r="M202">
        <f>Deals_Raw!M202</f>
        <v>42</v>
      </c>
      <c r="N202" t="str">
        <f>Deals_Raw!N202</f>
        <v>Nexus Analytics</v>
      </c>
      <c r="O202" t="str">
        <f>Deals_Raw!O202</f>
        <v>New Business</v>
      </c>
      <c r="P202">
        <f>Deals_Raw!P202</f>
        <v>0</v>
      </c>
      <c r="Q202">
        <f>Deals_Raw!Q202</f>
        <v>1</v>
      </c>
      <c r="R202">
        <f>Deals_Raw!R202</f>
        <v>434</v>
      </c>
      <c r="S202" t="str">
        <f>Deals_Raw!S202</f>
        <v>R. Singh</v>
      </c>
      <c r="T202" s="6">
        <f>Deals_Raw!T202</f>
        <v>165337.33941684355</v>
      </c>
      <c r="U202" s="8">
        <f>Deals_Raw!V202</f>
        <v>0.16800000000000001</v>
      </c>
      <c r="V202" s="8">
        <f>Deals_Raw!W202</f>
        <v>0.15</v>
      </c>
      <c r="W202" s="8">
        <f>Deals_Raw!X202</f>
        <v>-1.6E-2</v>
      </c>
      <c r="X202" t="str">
        <f>Deals_Raw!Y202</f>
        <v>Renewal retention risk</v>
      </c>
      <c r="Y202" t="str">
        <f>Deals_Raw!Z202</f>
        <v>Pricing Analyst</v>
      </c>
      <c r="Z202" s="6">
        <f>Deals_Raw!AA202</f>
        <v>140551.04764513831</v>
      </c>
      <c r="AA202" s="6">
        <f>Deals_Raw!AC202</f>
        <v>54645.254268272925</v>
      </c>
      <c r="AB202" s="6">
        <f>Deals_Raw!AD202</f>
        <v>85905.793376865389</v>
      </c>
      <c r="AC202" s="8">
        <f>Deals_Raw!AE202</f>
        <v>0.61120706544827297</v>
      </c>
      <c r="AD202" t="str">
        <f>Deals_Raw!AF202</f>
        <v>Lost</v>
      </c>
      <c r="AE202">
        <f>Deals_Raw!AG202</f>
        <v>0</v>
      </c>
      <c r="AF202">
        <f>Deals_Raw!AH202</f>
        <v>0</v>
      </c>
      <c r="AG202" t="str">
        <f>Deals_Raw!AI202</f>
        <v>No</v>
      </c>
      <c r="AH202" s="6">
        <f>Deals_Raw!AJ202</f>
        <v>0</v>
      </c>
      <c r="AI202" s="6">
        <f>Deals_Raw!AK202</f>
        <v>0</v>
      </c>
      <c r="AJ202" t="str">
        <f>Deals_Raw!AL202</f>
        <v>First purchase under this contract</v>
      </c>
      <c r="AK202" s="9">
        <f t="shared" si="21"/>
        <v>1.1166666666666667</v>
      </c>
      <c r="AL202" s="8">
        <f t="shared" si="22"/>
        <v>0.85008654512569137</v>
      </c>
      <c r="AM202" s="8">
        <f t="shared" si="23"/>
        <v>1.8000000000000016E-2</v>
      </c>
      <c r="AN202" t="str">
        <f>IF(AC202&lt;Pricing_Policy!$C$10,"Below Floor","Pass")</f>
        <v>Pass</v>
      </c>
      <c r="AO202" t="str">
        <f>IF(V202&gt;Pricing_Policy!$C$7,"Exception","Standard")</f>
        <v>Standard</v>
      </c>
      <c r="AP202" t="str">
        <f t="shared" si="24"/>
        <v>Pass</v>
      </c>
      <c r="AQ202">
        <f t="shared" si="25"/>
        <v>0</v>
      </c>
      <c r="AR202" s="8">
        <f t="shared" si="26"/>
        <v>0</v>
      </c>
      <c r="AS202">
        <f t="shared" si="27"/>
        <v>1</v>
      </c>
    </row>
    <row r="203" spans="1:45">
      <c r="A203" t="str">
        <f>Deals_Raw!A203</f>
        <v>D00226</v>
      </c>
      <c r="B203">
        <f>Deals_Raw!B203</f>
        <v>45479</v>
      </c>
      <c r="C203" t="str">
        <f>Deals_Raw!C203</f>
        <v>C0066</v>
      </c>
      <c r="D203" t="str">
        <f>Deals_Raw!D203</f>
        <v>LEG-0066</v>
      </c>
      <c r="E203" t="str">
        <f>Deals_Raw!E203</f>
        <v>CT00132</v>
      </c>
      <c r="F203" t="str">
        <f>Deals_Raw!F203</f>
        <v>Legal</v>
      </c>
      <c r="G203" t="str">
        <f>Deals_Raw!G203</f>
        <v>Legal</v>
      </c>
      <c r="H203" t="str">
        <f>Deals_Raw!H203</f>
        <v>Northeast</v>
      </c>
      <c r="I203" t="str">
        <f>Deals_Raw!I203</f>
        <v>Northeast Enterprise</v>
      </c>
      <c r="J203" t="str">
        <f>Deals_Raw!J203</f>
        <v>Enterprise</v>
      </c>
      <c r="K203" t="str">
        <f>Deals_Raw!K203</f>
        <v>No</v>
      </c>
      <c r="L203">
        <f>Deals_Raw!L203</f>
        <v>44197</v>
      </c>
      <c r="M203">
        <f>Deals_Raw!M203</f>
        <v>59</v>
      </c>
      <c r="N203" t="str">
        <f>Deals_Raw!N203</f>
        <v>Nexus AI Assistant</v>
      </c>
      <c r="O203" t="str">
        <f>Deals_Raw!O203</f>
        <v>New Business</v>
      </c>
      <c r="P203">
        <f>Deals_Raw!P203</f>
        <v>0</v>
      </c>
      <c r="Q203">
        <f>Deals_Raw!Q203</f>
        <v>1</v>
      </c>
      <c r="R203">
        <f>Deals_Raw!R203</f>
        <v>1521</v>
      </c>
      <c r="S203" t="str">
        <f>Deals_Raw!S203</f>
        <v>R. Singh</v>
      </c>
      <c r="T203" s="6">
        <f>Deals_Raw!T203</f>
        <v>100465.15858281347</v>
      </c>
      <c r="U203" s="8">
        <f>Deals_Raw!V203</f>
        <v>0.109</v>
      </c>
      <c r="V203" s="8">
        <f>Deals_Raw!W203</f>
        <v>9.5000000000000001E-2</v>
      </c>
      <c r="W203" s="8">
        <f>Deals_Raw!X203</f>
        <v>-8.5999999999999993E-2</v>
      </c>
      <c r="X203" t="str">
        <f>Deals_Raw!Y203</f>
        <v>Volume purchase</v>
      </c>
      <c r="Y203" t="str">
        <f>Deals_Raw!Z203</f>
        <v>Sales Manager</v>
      </c>
      <c r="Z203" s="6">
        <f>Deals_Raw!AA203</f>
        <v>90963.55702190494</v>
      </c>
      <c r="AA203" s="6">
        <f>Deals_Raw!AC203</f>
        <v>45792.557012286634</v>
      </c>
      <c r="AB203" s="6">
        <f>Deals_Raw!AD203</f>
        <v>45171.000009618307</v>
      </c>
      <c r="AC203" s="8">
        <f>Deals_Raw!AE203</f>
        <v>0.49658348341348035</v>
      </c>
      <c r="AD203" t="str">
        <f>Deals_Raw!AF203</f>
        <v>Won</v>
      </c>
      <c r="AE203">
        <f>Deals_Raw!AG203</f>
        <v>0</v>
      </c>
      <c r="AF203">
        <f>Deals_Raw!AH203</f>
        <v>0</v>
      </c>
      <c r="AG203" t="str">
        <f>Deals_Raw!AI203</f>
        <v>No</v>
      </c>
      <c r="AH203" s="6">
        <f>Deals_Raw!AJ203</f>
        <v>90963.55702190494</v>
      </c>
      <c r="AI203" s="6">
        <f>Deals_Raw!AK203</f>
        <v>45171.000009618307</v>
      </c>
      <c r="AJ203" t="str">
        <f>Deals_Raw!AL203</f>
        <v>First purchase under this contract</v>
      </c>
      <c r="AK203" s="9">
        <f t="shared" si="21"/>
        <v>3.5138888888888888</v>
      </c>
      <c r="AL203" s="8">
        <f t="shared" si="22"/>
        <v>0.90542391317606541</v>
      </c>
      <c r="AM203" s="8">
        <f t="shared" si="23"/>
        <v>1.3999999999999999E-2</v>
      </c>
      <c r="AN203" t="str">
        <f>IF(AC203&lt;Pricing_Policy!$C$10,"Below Floor","Pass")</f>
        <v>Pass</v>
      </c>
      <c r="AO203" t="str">
        <f>IF(V203&gt;Pricing_Policy!$C$7,"Exception","Standard")</f>
        <v>Standard</v>
      </c>
      <c r="AP203" t="str">
        <f t="shared" si="24"/>
        <v>Pass</v>
      </c>
      <c r="AQ203">
        <f t="shared" si="25"/>
        <v>1</v>
      </c>
      <c r="AR203" s="8">
        <f t="shared" si="26"/>
        <v>0.49658348341348035</v>
      </c>
      <c r="AS203">
        <f t="shared" si="27"/>
        <v>4</v>
      </c>
    </row>
    <row r="204" spans="1:45">
      <c r="A204" t="str">
        <f>Deals_Raw!A204</f>
        <v>D00227</v>
      </c>
      <c r="B204">
        <f>Deals_Raw!B204</f>
        <v>45659</v>
      </c>
      <c r="C204" t="str">
        <f>Deals_Raw!C204</f>
        <v>C0066</v>
      </c>
      <c r="D204" t="str">
        <f>Deals_Raw!D204</f>
        <v>LEG-0066</v>
      </c>
      <c r="E204" t="str">
        <f>Deals_Raw!E204</f>
        <v>CT00132</v>
      </c>
      <c r="F204" t="str">
        <f>Deals_Raw!F204</f>
        <v>Legal</v>
      </c>
      <c r="G204" t="str">
        <f>Deals_Raw!G204</f>
        <v>Legal</v>
      </c>
      <c r="H204" t="str">
        <f>Deals_Raw!H204</f>
        <v>Northeast</v>
      </c>
      <c r="I204" t="str">
        <f>Deals_Raw!I204</f>
        <v>Northeast Enterprise</v>
      </c>
      <c r="J204" t="str">
        <f>Deals_Raw!J204</f>
        <v>Enterprise</v>
      </c>
      <c r="K204" t="str">
        <f>Deals_Raw!K204</f>
        <v>No</v>
      </c>
      <c r="L204">
        <f>Deals_Raw!L204</f>
        <v>44197</v>
      </c>
      <c r="M204">
        <f>Deals_Raw!M204</f>
        <v>59</v>
      </c>
      <c r="N204" t="str">
        <f>Deals_Raw!N204</f>
        <v>Nexus AI Assistant</v>
      </c>
      <c r="O204" t="str">
        <f>Deals_Raw!O204</f>
        <v>Expansion</v>
      </c>
      <c r="P204" t="str">
        <f>Deals_Raw!P204</f>
        <v>Seat Expansion</v>
      </c>
      <c r="Q204">
        <f>Deals_Raw!Q204</f>
        <v>1</v>
      </c>
      <c r="R204">
        <f>Deals_Raw!R204</f>
        <v>2075</v>
      </c>
      <c r="S204" t="str">
        <f>Deals_Raw!S204</f>
        <v>A. Patel</v>
      </c>
      <c r="T204" s="6">
        <f>Deals_Raw!T204</f>
        <v>118451.54300795803</v>
      </c>
      <c r="U204" s="8">
        <f>Deals_Raw!V204</f>
        <v>3.2000000000000001E-2</v>
      </c>
      <c r="V204" s="8">
        <f>Deals_Raw!W204</f>
        <v>2.1999999999999999E-2</v>
      </c>
      <c r="W204" s="8">
        <f>Deals_Raw!X204</f>
        <v>-0.01</v>
      </c>
      <c r="X204" t="str">
        <f>Deals_Raw!Y204</f>
        <v>Expansion opportunity</v>
      </c>
      <c r="Y204" t="str">
        <f>Deals_Raw!Z204</f>
        <v>Sales Manager</v>
      </c>
      <c r="Z204" s="6">
        <f>Deals_Raw!AA204</f>
        <v>115863.13350939096</v>
      </c>
      <c r="AA204" s="6">
        <f>Deals_Raw!AC204</f>
        <v>44770.283428284427</v>
      </c>
      <c r="AB204" s="6">
        <f>Deals_Raw!AD204</f>
        <v>71092.850081106531</v>
      </c>
      <c r="AC204" s="8">
        <f>Deals_Raw!AE204</f>
        <v>0.61359336596350811</v>
      </c>
      <c r="AD204" t="str">
        <f>Deals_Raw!AF204</f>
        <v>Won</v>
      </c>
      <c r="AE204">
        <f>Deals_Raw!AG204</f>
        <v>0</v>
      </c>
      <c r="AF204" t="str">
        <f>Deals_Raw!AH204</f>
        <v>Yes</v>
      </c>
      <c r="AG204" t="str">
        <f>Deals_Raw!AI204</f>
        <v>No</v>
      </c>
      <c r="AH204" s="6">
        <f>Deals_Raw!AJ204</f>
        <v>115863.13350939096</v>
      </c>
      <c r="AI204" s="6">
        <f>Deals_Raw!AK204</f>
        <v>71092.850081106531</v>
      </c>
      <c r="AJ204" t="str">
        <f>Deals_Raw!AL204</f>
        <v>Expansion allowed because contract was active</v>
      </c>
      <c r="AK204" s="9">
        <f t="shared" si="21"/>
        <v>4.0027777777777782</v>
      </c>
      <c r="AL204" s="8">
        <f t="shared" si="22"/>
        <v>0.97814794613192024</v>
      </c>
      <c r="AM204" s="8">
        <f t="shared" si="23"/>
        <v>1.0000000000000002E-2</v>
      </c>
      <c r="AN204" t="str">
        <f>IF(AC204&lt;Pricing_Policy!$C$10,"Below Floor","Pass")</f>
        <v>Pass</v>
      </c>
      <c r="AO204" t="str">
        <f>IF(V204&gt;Pricing_Policy!$C$7,"Exception","Standard")</f>
        <v>Standard</v>
      </c>
      <c r="AP204" t="str">
        <f t="shared" si="24"/>
        <v>Pass</v>
      </c>
      <c r="AQ204">
        <f t="shared" si="25"/>
        <v>1</v>
      </c>
      <c r="AR204" s="8">
        <f t="shared" si="26"/>
        <v>0.61359336596350811</v>
      </c>
      <c r="AS204">
        <f t="shared" si="27"/>
        <v>4</v>
      </c>
    </row>
    <row r="205" spans="1:45">
      <c r="A205" t="str">
        <f>Deals_Raw!A205</f>
        <v>D00228</v>
      </c>
      <c r="B205">
        <f>Deals_Raw!B205</f>
        <v>45844</v>
      </c>
      <c r="C205" t="str">
        <f>Deals_Raw!C205</f>
        <v>C0066</v>
      </c>
      <c r="D205" t="str">
        <f>Deals_Raw!D205</f>
        <v>LEG-0066</v>
      </c>
      <c r="E205" t="str">
        <f>Deals_Raw!E205</f>
        <v>CT00132</v>
      </c>
      <c r="F205" t="str">
        <f>Deals_Raw!F205</f>
        <v>Legal</v>
      </c>
      <c r="G205" t="str">
        <f>Deals_Raw!G205</f>
        <v>Legal</v>
      </c>
      <c r="H205" t="str">
        <f>Deals_Raw!H205</f>
        <v>Northeast</v>
      </c>
      <c r="I205" t="str">
        <f>Deals_Raw!I205</f>
        <v>Northeast Enterprise</v>
      </c>
      <c r="J205" t="str">
        <f>Deals_Raw!J205</f>
        <v>Enterprise</v>
      </c>
      <c r="K205" t="str">
        <f>Deals_Raw!K205</f>
        <v>No</v>
      </c>
      <c r="L205">
        <f>Deals_Raw!L205</f>
        <v>44197</v>
      </c>
      <c r="M205">
        <f>Deals_Raw!M205</f>
        <v>59</v>
      </c>
      <c r="N205" t="str">
        <f>Deals_Raw!N205</f>
        <v>Nexus AI Assistant</v>
      </c>
      <c r="O205" t="str">
        <f>Deals_Raw!O205</f>
        <v>Renewal</v>
      </c>
      <c r="P205">
        <f>Deals_Raw!P205</f>
        <v>0</v>
      </c>
      <c r="Q205">
        <f>Deals_Raw!Q205</f>
        <v>1</v>
      </c>
      <c r="R205">
        <f>Deals_Raw!R205</f>
        <v>2075</v>
      </c>
      <c r="S205" t="str">
        <f>Deals_Raw!S205</f>
        <v>S. Rivera</v>
      </c>
      <c r="T205" s="6">
        <f>Deals_Raw!T205</f>
        <v>121448.18593066897</v>
      </c>
      <c r="U205" s="8">
        <f>Deals_Raw!V205</f>
        <v>9.8000000000000004E-2</v>
      </c>
      <c r="V205" s="8">
        <f>Deals_Raw!W205</f>
        <v>0.09</v>
      </c>
      <c r="W205" s="8">
        <f>Deals_Raw!X205</f>
        <v>7.5999999999999998E-2</v>
      </c>
      <c r="X205" t="str">
        <f>Deals_Raw!Y205</f>
        <v>Renewal retention risk</v>
      </c>
      <c r="Y205" t="str">
        <f>Deals_Raw!Z205</f>
        <v>Sales Manager</v>
      </c>
      <c r="Z205" s="6">
        <f>Deals_Raw!AA205</f>
        <v>110475.46848135866</v>
      </c>
      <c r="AA205" s="6">
        <f>Deals_Raw!AC205</f>
        <v>47423.473976008114</v>
      </c>
      <c r="AB205" s="6">
        <f>Deals_Raw!AD205</f>
        <v>63051.994505350551</v>
      </c>
      <c r="AC205" s="8">
        <f>Deals_Raw!AE205</f>
        <v>0.57073299051897464</v>
      </c>
      <c r="AD205" t="str">
        <f>Deals_Raw!AF205</f>
        <v>Lost</v>
      </c>
      <c r="AE205" t="str">
        <f>Deals_Raw!AG205</f>
        <v>No</v>
      </c>
      <c r="AF205">
        <f>Deals_Raw!AH205</f>
        <v>0</v>
      </c>
      <c r="AG205" t="str">
        <f>Deals_Raw!AI205</f>
        <v>No</v>
      </c>
      <c r="AH205" s="6">
        <f>Deals_Raw!AJ205</f>
        <v>0</v>
      </c>
      <c r="AI205" s="6">
        <f>Deals_Raw!AK205</f>
        <v>0</v>
      </c>
      <c r="AJ205" t="str">
        <f>Deals_Raw!AL205</f>
        <v>Renewal of existing active contract</v>
      </c>
      <c r="AK205" s="9">
        <f t="shared" si="21"/>
        <v>4.5138888888888893</v>
      </c>
      <c r="AL205" s="8">
        <f t="shared" si="22"/>
        <v>0.90965103871066222</v>
      </c>
      <c r="AM205" s="8">
        <f t="shared" si="23"/>
        <v>8.0000000000000071E-3</v>
      </c>
      <c r="AN205" t="str">
        <f>IF(AC205&lt;Pricing_Policy!$C$10,"Below Floor","Pass")</f>
        <v>Pass</v>
      </c>
      <c r="AO205" t="str">
        <f>IF(V205&gt;Pricing_Policy!$C$7,"Exception","Standard")</f>
        <v>Standard</v>
      </c>
      <c r="AP205" t="str">
        <f t="shared" si="24"/>
        <v>Pass</v>
      </c>
      <c r="AQ205">
        <f t="shared" si="25"/>
        <v>0</v>
      </c>
      <c r="AR205" s="8">
        <f t="shared" si="26"/>
        <v>0</v>
      </c>
      <c r="AS205">
        <f t="shared" si="27"/>
        <v>4</v>
      </c>
    </row>
    <row r="206" spans="1:45">
      <c r="A206" t="str">
        <f>Deals_Raw!A206</f>
        <v>D00229</v>
      </c>
      <c r="B206">
        <f>Deals_Raw!B206</f>
        <v>45977</v>
      </c>
      <c r="C206" t="str">
        <f>Deals_Raw!C206</f>
        <v>C0066</v>
      </c>
      <c r="D206" t="str">
        <f>Deals_Raw!D206</f>
        <v>LEG-0066</v>
      </c>
      <c r="E206" t="str">
        <f>Deals_Raw!E206</f>
        <v>CT00132</v>
      </c>
      <c r="F206" t="str">
        <f>Deals_Raw!F206</f>
        <v>Legal</v>
      </c>
      <c r="G206" t="str">
        <f>Deals_Raw!G206</f>
        <v>Legal</v>
      </c>
      <c r="H206" t="str">
        <f>Deals_Raw!H206</f>
        <v>Northeast</v>
      </c>
      <c r="I206" t="str">
        <f>Deals_Raw!I206</f>
        <v>Northeast Enterprise</v>
      </c>
      <c r="J206" t="str">
        <f>Deals_Raw!J206</f>
        <v>Enterprise</v>
      </c>
      <c r="K206" t="str">
        <f>Deals_Raw!K206</f>
        <v>No</v>
      </c>
      <c r="L206">
        <f>Deals_Raw!L206</f>
        <v>44197</v>
      </c>
      <c r="M206">
        <f>Deals_Raw!M206</f>
        <v>59</v>
      </c>
      <c r="N206" t="str">
        <f>Deals_Raw!N206</f>
        <v>Nexus AI Assistant</v>
      </c>
      <c r="O206" t="str">
        <f>Deals_Raw!O206</f>
        <v>Win-back</v>
      </c>
      <c r="P206">
        <f>Deals_Raw!P206</f>
        <v>0</v>
      </c>
      <c r="Q206">
        <f>Deals_Raw!Q206</f>
        <v>1</v>
      </c>
      <c r="R206">
        <f>Deals_Raw!R206</f>
        <v>2075</v>
      </c>
      <c r="S206" t="str">
        <f>Deals_Raw!S206</f>
        <v>R. Singh</v>
      </c>
      <c r="T206" s="6">
        <f>Deals_Raw!T206</f>
        <v>121448.18593066897</v>
      </c>
      <c r="U206" s="8">
        <f>Deals_Raw!V206</f>
        <v>0.16500000000000001</v>
      </c>
      <c r="V206" s="8">
        <f>Deals_Raw!W206</f>
        <v>0.16400000000000001</v>
      </c>
      <c r="W206" s="8">
        <f>Deals_Raw!X206</f>
        <v>-0.10299999999999999</v>
      </c>
      <c r="X206" t="str">
        <f>Deals_Raw!Y206</f>
        <v>Renewal retention risk</v>
      </c>
      <c r="Y206" t="str">
        <f>Deals_Raw!Z206</f>
        <v>Pricing Analyst</v>
      </c>
      <c r="Z206" s="6">
        <f>Deals_Raw!AA206</f>
        <v>101519.90139286032</v>
      </c>
      <c r="AA206" s="6">
        <f>Deals_Raw!AC206</f>
        <v>49093.568113436333</v>
      </c>
      <c r="AB206" s="6">
        <f>Deals_Raw!AD206</f>
        <v>52426.33327942399</v>
      </c>
      <c r="AC206" s="8">
        <f>Deals_Raw!AE206</f>
        <v>0.51641434398705022</v>
      </c>
      <c r="AD206" t="str">
        <f>Deals_Raw!AF206</f>
        <v>Won</v>
      </c>
      <c r="AE206">
        <f>Deals_Raw!AG206</f>
        <v>0</v>
      </c>
      <c r="AF206">
        <f>Deals_Raw!AH206</f>
        <v>0</v>
      </c>
      <c r="AG206" t="str">
        <f>Deals_Raw!AI206</f>
        <v>Yes</v>
      </c>
      <c r="AH206" s="6">
        <f>Deals_Raw!AJ206</f>
        <v>101519.90139286032</v>
      </c>
      <c r="AI206" s="6">
        <f>Deals_Raw!AK206</f>
        <v>52426.33327942399</v>
      </c>
      <c r="AJ206" t="str">
        <f>Deals_Raw!AL206</f>
        <v>Customer returned after lost renewal</v>
      </c>
      <c r="AK206" s="9">
        <f t="shared" si="21"/>
        <v>4.875</v>
      </c>
      <c r="AL206" s="8">
        <f t="shared" si="22"/>
        <v>0.83591122102733517</v>
      </c>
      <c r="AM206" s="8">
        <f t="shared" si="23"/>
        <v>1.0000000000000009E-3</v>
      </c>
      <c r="AN206" t="str">
        <f>IF(AC206&lt;Pricing_Policy!$C$10,"Below Floor","Pass")</f>
        <v>Pass</v>
      </c>
      <c r="AO206" t="str">
        <f>IF(V206&gt;Pricing_Policy!$C$7,"Exception","Standard")</f>
        <v>Standard</v>
      </c>
      <c r="AP206" t="str">
        <f t="shared" si="24"/>
        <v>Pass</v>
      </c>
      <c r="AQ206">
        <f t="shared" si="25"/>
        <v>1</v>
      </c>
      <c r="AR206" s="8">
        <f t="shared" si="26"/>
        <v>0.51641434398705022</v>
      </c>
      <c r="AS206">
        <f t="shared" si="27"/>
        <v>4</v>
      </c>
    </row>
    <row r="207" spans="1:45">
      <c r="A207" t="str">
        <f>Deals_Raw!A207</f>
        <v>D00230</v>
      </c>
      <c r="B207">
        <f>Deals_Raw!B207</f>
        <v>45797</v>
      </c>
      <c r="C207" t="str">
        <f>Deals_Raw!C207</f>
        <v>C0066</v>
      </c>
      <c r="D207" t="str">
        <f>Deals_Raw!D207</f>
        <v>LEG-0066</v>
      </c>
      <c r="E207" t="str">
        <f>Deals_Raw!E207</f>
        <v>CT00133</v>
      </c>
      <c r="F207" t="str">
        <f>Deals_Raw!F207</f>
        <v>Legal</v>
      </c>
      <c r="G207" t="str">
        <f>Deals_Raw!G207</f>
        <v>Legal</v>
      </c>
      <c r="H207" t="str">
        <f>Deals_Raw!H207</f>
        <v>Northeast</v>
      </c>
      <c r="I207" t="str">
        <f>Deals_Raw!I207</f>
        <v>Northeast Enterprise</v>
      </c>
      <c r="J207" t="str">
        <f>Deals_Raw!J207</f>
        <v>Enterprise</v>
      </c>
      <c r="K207" t="str">
        <f>Deals_Raw!K207</f>
        <v>No</v>
      </c>
      <c r="L207">
        <f>Deals_Raw!L207</f>
        <v>44197</v>
      </c>
      <c r="M207">
        <f>Deals_Raw!M207</f>
        <v>59</v>
      </c>
      <c r="N207" t="str">
        <f>Deals_Raw!N207</f>
        <v>Nexus Analytics</v>
      </c>
      <c r="O207" t="str">
        <f>Deals_Raw!O207</f>
        <v>New Business</v>
      </c>
      <c r="P207">
        <f>Deals_Raw!P207</f>
        <v>0</v>
      </c>
      <c r="Q207">
        <f>Deals_Raw!Q207</f>
        <v>2</v>
      </c>
      <c r="R207">
        <f>Deals_Raw!R207</f>
        <v>394</v>
      </c>
      <c r="S207" t="str">
        <f>Deals_Raw!S207</f>
        <v>R. Singh</v>
      </c>
      <c r="T207" s="6">
        <f>Deals_Raw!T207</f>
        <v>122511.31282765683</v>
      </c>
      <c r="U207" s="8">
        <f>Deals_Raw!V207</f>
        <v>0.14099999999999999</v>
      </c>
      <c r="V207" s="8">
        <f>Deals_Raw!W207</f>
        <v>0.13700000000000001</v>
      </c>
      <c r="W207" s="8">
        <f>Deals_Raw!X207</f>
        <v>8.7999999999999995E-2</v>
      </c>
      <c r="X207" t="str">
        <f>Deals_Raw!Y207</f>
        <v>Verified competitor pressure</v>
      </c>
      <c r="Y207" t="str">
        <f>Deals_Raw!Z207</f>
        <v>Pricing Analyst</v>
      </c>
      <c r="Z207" s="6">
        <f>Deals_Raw!AA207</f>
        <v>105764.59847918188</v>
      </c>
      <c r="AA207" s="6">
        <f>Deals_Raw!AC207</f>
        <v>42636.796520562893</v>
      </c>
      <c r="AB207" s="6">
        <f>Deals_Raw!AD207</f>
        <v>63127.801958618984</v>
      </c>
      <c r="AC207" s="8">
        <f>Deals_Raw!AE207</f>
        <v>0.59687081373494477</v>
      </c>
      <c r="AD207" t="str">
        <f>Deals_Raw!AF207</f>
        <v>Lost</v>
      </c>
      <c r="AE207">
        <f>Deals_Raw!AG207</f>
        <v>0</v>
      </c>
      <c r="AF207">
        <f>Deals_Raw!AH207</f>
        <v>0</v>
      </c>
      <c r="AG207" t="str">
        <f>Deals_Raw!AI207</f>
        <v>No</v>
      </c>
      <c r="AH207" s="6">
        <f>Deals_Raw!AJ207</f>
        <v>0</v>
      </c>
      <c r="AI207" s="6">
        <f>Deals_Raw!AK207</f>
        <v>0</v>
      </c>
      <c r="AJ207" t="str">
        <f>Deals_Raw!AL207</f>
        <v>First purchase under this contract</v>
      </c>
      <c r="AK207" s="9">
        <f t="shared" si="21"/>
        <v>4.3861111111111111</v>
      </c>
      <c r="AL207" s="8">
        <f t="shared" si="22"/>
        <v>0.86330475152091912</v>
      </c>
      <c r="AM207" s="8">
        <f t="shared" si="23"/>
        <v>3.9999999999999758E-3</v>
      </c>
      <c r="AN207" t="str">
        <f>IF(AC207&lt;Pricing_Policy!$C$10,"Below Floor","Pass")</f>
        <v>Pass</v>
      </c>
      <c r="AO207" t="str">
        <f>IF(V207&gt;Pricing_Policy!$C$7,"Exception","Standard")</f>
        <v>Standard</v>
      </c>
      <c r="AP207" t="str">
        <f t="shared" si="24"/>
        <v>Pass</v>
      </c>
      <c r="AQ207">
        <f t="shared" si="25"/>
        <v>0</v>
      </c>
      <c r="AR207" s="8">
        <f t="shared" si="26"/>
        <v>0</v>
      </c>
      <c r="AS207">
        <f t="shared" si="27"/>
        <v>1</v>
      </c>
    </row>
    <row r="208" spans="1:45">
      <c r="A208" t="str">
        <f>Deals_Raw!A208</f>
        <v>D00231</v>
      </c>
      <c r="B208">
        <f>Deals_Raw!B208</f>
        <v>45512</v>
      </c>
      <c r="C208" t="str">
        <f>Deals_Raw!C208</f>
        <v>C0066</v>
      </c>
      <c r="D208" t="str">
        <f>Deals_Raw!D208</f>
        <v>LEG-0066</v>
      </c>
      <c r="E208" t="str">
        <f>Deals_Raw!E208</f>
        <v>CT00134</v>
      </c>
      <c r="F208" t="str">
        <f>Deals_Raw!F208</f>
        <v>Technology</v>
      </c>
      <c r="G208" t="str">
        <f>Deals_Raw!G208</f>
        <v>Legal</v>
      </c>
      <c r="H208" t="str">
        <f>Deals_Raw!H208</f>
        <v>Northeast</v>
      </c>
      <c r="I208" t="str">
        <f>Deals_Raw!I208</f>
        <v>Northeast Enterprise</v>
      </c>
      <c r="J208" t="str">
        <f>Deals_Raw!J208</f>
        <v>Enterprise</v>
      </c>
      <c r="K208" t="str">
        <f>Deals_Raw!K208</f>
        <v>No</v>
      </c>
      <c r="L208">
        <f>Deals_Raw!L208</f>
        <v>44197</v>
      </c>
      <c r="M208">
        <f>Deals_Raw!M208</f>
        <v>59</v>
      </c>
      <c r="N208" t="str">
        <f>Deals_Raw!N208</f>
        <v>Nexus Enterprise Suite</v>
      </c>
      <c r="O208" t="str">
        <f>Deals_Raw!O208</f>
        <v>Renewal</v>
      </c>
      <c r="P208">
        <f>Deals_Raw!P208</f>
        <v>0</v>
      </c>
      <c r="Q208">
        <f>Deals_Raw!Q208</f>
        <v>1</v>
      </c>
      <c r="R208">
        <f>Deals_Raw!R208</f>
        <v>1122</v>
      </c>
      <c r="S208" t="str">
        <f>Deals_Raw!S208</f>
        <v>R. Singh</v>
      </c>
      <c r="T208" s="6">
        <f>Deals_Raw!T208</f>
        <v>1050799.9437925734</v>
      </c>
      <c r="U208" s="8">
        <f>Deals_Raw!V208</f>
        <v>0.248</v>
      </c>
      <c r="V208" s="8">
        <f>Deals_Raw!W208</f>
        <v>0.23899999999999999</v>
      </c>
      <c r="W208" s="8">
        <f>Deals_Raw!X208</f>
        <v>-0.10199999999999999</v>
      </c>
      <c r="X208" t="str">
        <f>Deals_Raw!Y208</f>
        <v>Renewal retention risk</v>
      </c>
      <c r="Y208" t="str">
        <f>Deals_Raw!Z208</f>
        <v>Business Manager</v>
      </c>
      <c r="Z208" s="6">
        <f>Deals_Raw!AA208</f>
        <v>799283.58686107735</v>
      </c>
      <c r="AA208" s="6">
        <f>Deals_Raw!AC208</f>
        <v>372627.93673957128</v>
      </c>
      <c r="AB208" s="6">
        <f>Deals_Raw!AD208</f>
        <v>426655.65012150607</v>
      </c>
      <c r="AC208" s="8">
        <f>Deals_Raw!AE208</f>
        <v>0.53379758715808912</v>
      </c>
      <c r="AD208" t="str">
        <f>Deals_Raw!AF208</f>
        <v>Won</v>
      </c>
      <c r="AE208" t="str">
        <f>Deals_Raw!AG208</f>
        <v>Yes</v>
      </c>
      <c r="AF208">
        <f>Deals_Raw!AH208</f>
        <v>0</v>
      </c>
      <c r="AG208" t="str">
        <f>Deals_Raw!AI208</f>
        <v>No</v>
      </c>
      <c r="AH208" s="6">
        <f>Deals_Raw!AJ208</f>
        <v>799283.58686107735</v>
      </c>
      <c r="AI208" s="6">
        <f>Deals_Raw!AK208</f>
        <v>426655.65012150607</v>
      </c>
      <c r="AJ208" t="str">
        <f>Deals_Raw!AL208</f>
        <v>Renewal of existing active contract</v>
      </c>
      <c r="AK208" s="9">
        <f t="shared" si="21"/>
        <v>3.6027777777777779</v>
      </c>
      <c r="AL208" s="8">
        <f t="shared" si="22"/>
        <v>0.760642966896518</v>
      </c>
      <c r="AM208" s="8">
        <f t="shared" si="23"/>
        <v>9.000000000000008E-3</v>
      </c>
      <c r="AN208" t="str">
        <f>IF(AC208&lt;Pricing_Policy!$C$10,"Below Floor","Pass")</f>
        <v>Pass</v>
      </c>
      <c r="AO208" t="str">
        <f>IF(V208&gt;Pricing_Policy!$C$7,"Exception","Standard")</f>
        <v>Standard</v>
      </c>
      <c r="AP208" t="str">
        <f t="shared" si="24"/>
        <v>Pass</v>
      </c>
      <c r="AQ208">
        <f t="shared" si="25"/>
        <v>1</v>
      </c>
      <c r="AR208" s="8">
        <f t="shared" si="26"/>
        <v>0.53379758715808912</v>
      </c>
      <c r="AS208">
        <f t="shared" si="27"/>
        <v>2</v>
      </c>
    </row>
    <row r="209" spans="1:45">
      <c r="A209" t="str">
        <f>Deals_Raw!A209</f>
        <v>D00232</v>
      </c>
      <c r="B209">
        <f>Deals_Raw!B209</f>
        <v>45877</v>
      </c>
      <c r="C209" t="str">
        <f>Deals_Raw!C209</f>
        <v>C0066</v>
      </c>
      <c r="D209" t="str">
        <f>Deals_Raw!D209</f>
        <v>LEG-0066</v>
      </c>
      <c r="E209" t="str">
        <f>Deals_Raw!E209</f>
        <v>CT00134</v>
      </c>
      <c r="F209" t="str">
        <f>Deals_Raw!F209</f>
        <v>Technology</v>
      </c>
      <c r="G209" t="str">
        <f>Deals_Raw!G209</f>
        <v>Legal</v>
      </c>
      <c r="H209" t="str">
        <f>Deals_Raw!H209</f>
        <v>Northeast</v>
      </c>
      <c r="I209" t="str">
        <f>Deals_Raw!I209</f>
        <v>Northeast Enterprise</v>
      </c>
      <c r="J209" t="str">
        <f>Deals_Raw!J209</f>
        <v>Enterprise</v>
      </c>
      <c r="K209" t="str">
        <f>Deals_Raw!K209</f>
        <v>No</v>
      </c>
      <c r="L209">
        <f>Deals_Raw!L209</f>
        <v>44197</v>
      </c>
      <c r="M209">
        <f>Deals_Raw!M209</f>
        <v>59</v>
      </c>
      <c r="N209" t="str">
        <f>Deals_Raw!N209</f>
        <v>Nexus Enterprise Suite</v>
      </c>
      <c r="O209" t="str">
        <f>Deals_Raw!O209</f>
        <v>Renewal</v>
      </c>
      <c r="P209">
        <f>Deals_Raw!P209</f>
        <v>0</v>
      </c>
      <c r="Q209">
        <f>Deals_Raw!Q209</f>
        <v>1</v>
      </c>
      <c r="R209">
        <f>Deals_Raw!R209</f>
        <v>1122</v>
      </c>
      <c r="S209" t="str">
        <f>Deals_Raw!S209</f>
        <v>A. Patel</v>
      </c>
      <c r="T209" s="6">
        <f>Deals_Raw!T209</f>
        <v>1114648.2647693874</v>
      </c>
      <c r="U209" s="8">
        <f>Deals_Raw!V209</f>
        <v>0.17</v>
      </c>
      <c r="V209" s="8">
        <f>Deals_Raw!W209</f>
        <v>0.16800000000000001</v>
      </c>
      <c r="W209" s="8">
        <f>Deals_Raw!X209</f>
        <v>-9.8000000000000004E-2</v>
      </c>
      <c r="X209" t="str">
        <f>Deals_Raw!Y209</f>
        <v>Renewal retention risk</v>
      </c>
      <c r="Y209" t="str">
        <f>Deals_Raw!Z209</f>
        <v>Pricing Analyst</v>
      </c>
      <c r="Z209" s="6">
        <f>Deals_Raw!AA209</f>
        <v>927329.75498612085</v>
      </c>
      <c r="AA209" s="6">
        <f>Deals_Raw!AC209</f>
        <v>372608.94759528281</v>
      </c>
      <c r="AB209" s="6">
        <f>Deals_Raw!AD209</f>
        <v>554720.80739083805</v>
      </c>
      <c r="AC209" s="8">
        <f>Deals_Raw!AE209</f>
        <v>0.59819153263246738</v>
      </c>
      <c r="AD209" t="str">
        <f>Deals_Raw!AF209</f>
        <v>Lost</v>
      </c>
      <c r="AE209" t="str">
        <f>Deals_Raw!AG209</f>
        <v>No</v>
      </c>
      <c r="AF209">
        <f>Deals_Raw!AH209</f>
        <v>0</v>
      </c>
      <c r="AG209" t="str">
        <f>Deals_Raw!AI209</f>
        <v>No</v>
      </c>
      <c r="AH209" s="6">
        <f>Deals_Raw!AJ209</f>
        <v>0</v>
      </c>
      <c r="AI209" s="6">
        <f>Deals_Raw!AK209</f>
        <v>0</v>
      </c>
      <c r="AJ209" t="str">
        <f>Deals_Raw!AL209</f>
        <v>Renewal of existing active contract</v>
      </c>
      <c r="AK209" s="9">
        <f t="shared" si="21"/>
        <v>4.6027777777777779</v>
      </c>
      <c r="AL209" s="8">
        <f t="shared" si="22"/>
        <v>0.83194832333765723</v>
      </c>
      <c r="AM209" s="8">
        <f t="shared" si="23"/>
        <v>2.0000000000000018E-3</v>
      </c>
      <c r="AN209" t="str">
        <f>IF(AC209&lt;Pricing_Policy!$C$10,"Below Floor","Pass")</f>
        <v>Pass</v>
      </c>
      <c r="AO209" t="str">
        <f>IF(V209&gt;Pricing_Policy!$C$7,"Exception","Standard")</f>
        <v>Standard</v>
      </c>
      <c r="AP209" t="str">
        <f t="shared" si="24"/>
        <v>Pass</v>
      </c>
      <c r="AQ209">
        <f t="shared" si="25"/>
        <v>0</v>
      </c>
      <c r="AR209" s="8">
        <f t="shared" si="26"/>
        <v>0</v>
      </c>
      <c r="AS209">
        <f t="shared" si="27"/>
        <v>2</v>
      </c>
    </row>
    <row r="210" spans="1:45">
      <c r="A210" t="str">
        <f>Deals_Raw!A210</f>
        <v>D00234</v>
      </c>
      <c r="B210">
        <f>Deals_Raw!B210</f>
        <v>45467</v>
      </c>
      <c r="C210" t="str">
        <f>Deals_Raw!C210</f>
        <v>C0067</v>
      </c>
      <c r="D210" t="str">
        <f>Deals_Raw!D210</f>
        <v>TEC-0067</v>
      </c>
      <c r="E210" t="str">
        <f>Deals_Raw!E210</f>
        <v>CT00135</v>
      </c>
      <c r="F210" t="str">
        <f>Deals_Raw!F210</f>
        <v>Technology</v>
      </c>
      <c r="G210" t="str">
        <f>Deals_Raw!G210</f>
        <v>Technology</v>
      </c>
      <c r="H210" t="str">
        <f>Deals_Raw!H210</f>
        <v>South</v>
      </c>
      <c r="I210" t="str">
        <f>Deals_Raw!I210</f>
        <v>South Commercial</v>
      </c>
      <c r="J210" t="str">
        <f>Deals_Raw!J210</f>
        <v>Mid-Market</v>
      </c>
      <c r="K210" t="str">
        <f>Deals_Raw!K210</f>
        <v>Yes</v>
      </c>
      <c r="L210">
        <f>Deals_Raw!L210</f>
        <v>43466</v>
      </c>
      <c r="M210">
        <f>Deals_Raw!M210</f>
        <v>82</v>
      </c>
      <c r="N210" t="str">
        <f>Deals_Raw!N210</f>
        <v>Nexus Insights</v>
      </c>
      <c r="O210" t="str">
        <f>Deals_Raw!O210</f>
        <v>Expansion</v>
      </c>
      <c r="P210" t="str">
        <f>Deals_Raw!P210</f>
        <v>Seat Expansion</v>
      </c>
      <c r="Q210">
        <f>Deals_Raw!Q210</f>
        <v>1</v>
      </c>
      <c r="R210">
        <f>Deals_Raw!R210</f>
        <v>311</v>
      </c>
      <c r="S210" t="str">
        <f>Deals_Raw!S210</f>
        <v>A. Patel</v>
      </c>
      <c r="T210" s="6">
        <f>Deals_Raw!T210</f>
        <v>48033.777212208108</v>
      </c>
      <c r="U210" s="8">
        <f>Deals_Raw!V210</f>
        <v>0.121</v>
      </c>
      <c r="V210" s="8">
        <f>Deals_Raw!W210</f>
        <v>0.11799999999999999</v>
      </c>
      <c r="W210" s="8">
        <f>Deals_Raw!X210</f>
        <v>-6.4000000000000001E-2</v>
      </c>
      <c r="X210" t="str">
        <f>Deals_Raw!Y210</f>
        <v>Expansion opportunity</v>
      </c>
      <c r="Y210" t="str">
        <f>Deals_Raw!Z210</f>
        <v>Pricing Analyst</v>
      </c>
      <c r="Z210" s="6">
        <f>Deals_Raw!AA210</f>
        <v>42351.70869757115</v>
      </c>
      <c r="AA210" s="6">
        <f>Deals_Raw!AC210</f>
        <v>15440.372151648531</v>
      </c>
      <c r="AB210" s="6">
        <f>Deals_Raw!AD210</f>
        <v>26911.336545922619</v>
      </c>
      <c r="AC210" s="8">
        <f>Deals_Raw!AE210</f>
        <v>0.63542504832788416</v>
      </c>
      <c r="AD210" t="str">
        <f>Deals_Raw!AF210</f>
        <v>Won</v>
      </c>
      <c r="AE210">
        <f>Deals_Raw!AG210</f>
        <v>0</v>
      </c>
      <c r="AF210" t="str">
        <f>Deals_Raw!AH210</f>
        <v>Yes</v>
      </c>
      <c r="AG210" t="str">
        <f>Deals_Raw!AI210</f>
        <v>No</v>
      </c>
      <c r="AH210" s="6">
        <f>Deals_Raw!AJ210</f>
        <v>42351.70869757115</v>
      </c>
      <c r="AI210" s="6">
        <f>Deals_Raw!AK210</f>
        <v>26911.336545922619</v>
      </c>
      <c r="AJ210" t="str">
        <f>Deals_Raw!AL210</f>
        <v>Expansion allowed because contract was active</v>
      </c>
      <c r="AK210" s="9">
        <f t="shared" si="21"/>
        <v>5.4805555555555552</v>
      </c>
      <c r="AL210" s="8">
        <f t="shared" si="22"/>
        <v>0.88170681457062627</v>
      </c>
      <c r="AM210" s="8">
        <f t="shared" si="23"/>
        <v>3.0000000000000027E-3</v>
      </c>
      <c r="AN210" t="str">
        <f>IF(AC210&lt;Pricing_Policy!$C$10,"Below Floor","Pass")</f>
        <v>Pass</v>
      </c>
      <c r="AO210" t="str">
        <f>IF(V210&gt;Pricing_Policy!$C$7,"Exception","Standard")</f>
        <v>Standard</v>
      </c>
      <c r="AP210" t="str">
        <f t="shared" si="24"/>
        <v>Pass</v>
      </c>
      <c r="AQ210">
        <f t="shared" si="25"/>
        <v>1</v>
      </c>
      <c r="AR210" s="8">
        <f t="shared" si="26"/>
        <v>0.63542504832788416</v>
      </c>
      <c r="AS210">
        <f t="shared" si="27"/>
        <v>3</v>
      </c>
    </row>
    <row r="211" spans="1:45">
      <c r="A211" t="str">
        <f>Deals_Raw!A211</f>
        <v>D00235</v>
      </c>
      <c r="B211">
        <f>Deals_Raw!B211</f>
        <v>45585</v>
      </c>
      <c r="C211" t="str">
        <f>Deals_Raw!C211</f>
        <v>C0067</v>
      </c>
      <c r="D211" t="str">
        <f>Deals_Raw!D211</f>
        <v>TEC-0067</v>
      </c>
      <c r="E211" t="str">
        <f>Deals_Raw!E211</f>
        <v>CT00135</v>
      </c>
      <c r="F211" t="str">
        <f>Deals_Raw!F211</f>
        <v>Technology</v>
      </c>
      <c r="G211" t="str">
        <f>Deals_Raw!G211</f>
        <v>Technology</v>
      </c>
      <c r="H211" t="str">
        <f>Deals_Raw!H211</f>
        <v>South</v>
      </c>
      <c r="I211" t="str">
        <f>Deals_Raw!I211</f>
        <v>South Commercial</v>
      </c>
      <c r="J211" t="str">
        <f>Deals_Raw!J211</f>
        <v>Mid-Market</v>
      </c>
      <c r="K211" t="str">
        <f>Deals_Raw!K211</f>
        <v>Yes</v>
      </c>
      <c r="L211">
        <f>Deals_Raw!L211</f>
        <v>43466</v>
      </c>
      <c r="M211">
        <f>Deals_Raw!M211</f>
        <v>82</v>
      </c>
      <c r="N211" t="str">
        <f>Deals_Raw!N211</f>
        <v>Nexus Insights</v>
      </c>
      <c r="O211" t="str">
        <f>Deals_Raw!O211</f>
        <v>Renewal</v>
      </c>
      <c r="P211">
        <f>Deals_Raw!P211</f>
        <v>0</v>
      </c>
      <c r="Q211">
        <f>Deals_Raw!Q211</f>
        <v>1</v>
      </c>
      <c r="R211">
        <f>Deals_Raw!R211</f>
        <v>311</v>
      </c>
      <c r="S211" t="str">
        <f>Deals_Raw!S211</f>
        <v>T. Brooks</v>
      </c>
      <c r="T211" s="6">
        <f>Deals_Raw!T211</f>
        <v>49818.559895462509</v>
      </c>
      <c r="U211" s="8">
        <f>Deals_Raw!V211</f>
        <v>0.186</v>
      </c>
      <c r="V211" s="8">
        <f>Deals_Raw!W211</f>
        <v>0.16800000000000001</v>
      </c>
      <c r="W211" s="8">
        <f>Deals_Raw!X211</f>
        <v>-3.6999999999999998E-2</v>
      </c>
      <c r="X211" t="str">
        <f>Deals_Raw!Y211</f>
        <v>Strategic logo opportunity</v>
      </c>
      <c r="Y211" t="str">
        <f>Deals_Raw!Z211</f>
        <v>Pricing Analyst</v>
      </c>
      <c r="Z211" s="6">
        <f>Deals_Raw!AA211</f>
        <v>41431.854120656979</v>
      </c>
      <c r="AA211" s="6">
        <f>Deals_Raw!AC211</f>
        <v>13813.571259783615</v>
      </c>
      <c r="AB211" s="6">
        <f>Deals_Raw!AD211</f>
        <v>27618.282860873362</v>
      </c>
      <c r="AC211" s="8">
        <f>Deals_Raw!AE211</f>
        <v>0.66659538770444537</v>
      </c>
      <c r="AD211" t="str">
        <f>Deals_Raw!AF211</f>
        <v>Won</v>
      </c>
      <c r="AE211" t="str">
        <f>Deals_Raw!AG211</f>
        <v>Yes</v>
      </c>
      <c r="AF211">
        <f>Deals_Raw!AH211</f>
        <v>0</v>
      </c>
      <c r="AG211" t="str">
        <f>Deals_Raw!AI211</f>
        <v>No</v>
      </c>
      <c r="AH211" s="6">
        <f>Deals_Raw!AJ211</f>
        <v>41431.854120656979</v>
      </c>
      <c r="AI211" s="6">
        <f>Deals_Raw!AK211</f>
        <v>27618.282860873362</v>
      </c>
      <c r="AJ211" t="str">
        <f>Deals_Raw!AL211</f>
        <v>Renewal of existing active contract</v>
      </c>
      <c r="AK211" s="9">
        <f t="shared" si="21"/>
        <v>5.802777777777778</v>
      </c>
      <c r="AL211" s="8">
        <f t="shared" si="22"/>
        <v>0.83165499379339958</v>
      </c>
      <c r="AM211" s="8">
        <f t="shared" si="23"/>
        <v>1.7999999999999988E-2</v>
      </c>
      <c r="AN211" t="str">
        <f>IF(AC211&lt;Pricing_Policy!$C$10,"Below Floor","Pass")</f>
        <v>Pass</v>
      </c>
      <c r="AO211" t="str">
        <f>IF(V211&gt;Pricing_Policy!$C$7,"Exception","Standard")</f>
        <v>Standard</v>
      </c>
      <c r="AP211" t="str">
        <f t="shared" si="24"/>
        <v>Pass</v>
      </c>
      <c r="AQ211">
        <f t="shared" si="25"/>
        <v>1</v>
      </c>
      <c r="AR211" s="8">
        <f t="shared" si="26"/>
        <v>0.66659538770444537</v>
      </c>
      <c r="AS211">
        <f t="shared" si="27"/>
        <v>3</v>
      </c>
    </row>
    <row r="212" spans="1:45">
      <c r="A212" t="str">
        <f>Deals_Raw!A212</f>
        <v>D00236</v>
      </c>
      <c r="B212">
        <f>Deals_Raw!B212</f>
        <v>45950</v>
      </c>
      <c r="C212" t="str">
        <f>Deals_Raw!C212</f>
        <v>C0067</v>
      </c>
      <c r="D212" t="str">
        <f>Deals_Raw!D212</f>
        <v>TEC-0067</v>
      </c>
      <c r="E212" t="str">
        <f>Deals_Raw!E212</f>
        <v>CT00135</v>
      </c>
      <c r="F212" t="str">
        <f>Deals_Raw!F212</f>
        <v>Technology</v>
      </c>
      <c r="G212" t="str">
        <f>Deals_Raw!G212</f>
        <v>Technology</v>
      </c>
      <c r="H212" t="str">
        <f>Deals_Raw!H212</f>
        <v>South</v>
      </c>
      <c r="I212" t="str">
        <f>Deals_Raw!I212</f>
        <v>South Commercial</v>
      </c>
      <c r="J212" t="str">
        <f>Deals_Raw!J212</f>
        <v>Mid-Market</v>
      </c>
      <c r="K212" t="str">
        <f>Deals_Raw!K212</f>
        <v>Yes</v>
      </c>
      <c r="L212">
        <f>Deals_Raw!L212</f>
        <v>43466</v>
      </c>
      <c r="M212">
        <f>Deals_Raw!M212</f>
        <v>82</v>
      </c>
      <c r="N212" t="str">
        <f>Deals_Raw!N212</f>
        <v>Nexus Insights</v>
      </c>
      <c r="O212" t="str">
        <f>Deals_Raw!O212</f>
        <v>Renewal</v>
      </c>
      <c r="P212">
        <f>Deals_Raw!P212</f>
        <v>0</v>
      </c>
      <c r="Q212">
        <f>Deals_Raw!Q212</f>
        <v>1</v>
      </c>
      <c r="R212">
        <f>Deals_Raw!R212</f>
        <v>311</v>
      </c>
      <c r="S212" t="str">
        <f>Deals_Raw!S212</f>
        <v>D. Chen</v>
      </c>
      <c r="T212" s="6">
        <f>Deals_Raw!T212</f>
        <v>51321.642030662217</v>
      </c>
      <c r="U212" s="8">
        <f>Deals_Raw!V212</f>
        <v>0.157</v>
      </c>
      <c r="V212" s="8">
        <f>Deals_Raw!W212</f>
        <v>0.13200000000000001</v>
      </c>
      <c r="W212" s="8">
        <f>Deals_Raw!X212</f>
        <v>-4.4999999999999998E-2</v>
      </c>
      <c r="X212" t="str">
        <f>Deals_Raw!Y212</f>
        <v>Expansion opportunity</v>
      </c>
      <c r="Y212" t="str">
        <f>Deals_Raw!Z212</f>
        <v>Pricing Analyst</v>
      </c>
      <c r="Z212" s="6">
        <f>Deals_Raw!AA212</f>
        <v>44558.478584936012</v>
      </c>
      <c r="AA212" s="6">
        <f>Deals_Raw!AC212</f>
        <v>14088.709187789804</v>
      </c>
      <c r="AB212" s="6">
        <f>Deals_Raw!AD212</f>
        <v>30469.769397146207</v>
      </c>
      <c r="AC212" s="8">
        <f>Deals_Raw!AE212</f>
        <v>0.68381529991123158</v>
      </c>
      <c r="AD212" t="str">
        <f>Deals_Raw!AF212</f>
        <v>Lost</v>
      </c>
      <c r="AE212" t="str">
        <f>Deals_Raw!AG212</f>
        <v>No</v>
      </c>
      <c r="AF212">
        <f>Deals_Raw!AH212</f>
        <v>0</v>
      </c>
      <c r="AG212" t="str">
        <f>Deals_Raw!AI212</f>
        <v>No</v>
      </c>
      <c r="AH212" s="6">
        <f>Deals_Raw!AJ212</f>
        <v>0</v>
      </c>
      <c r="AI212" s="6">
        <f>Deals_Raw!AK212</f>
        <v>0</v>
      </c>
      <c r="AJ212" t="str">
        <f>Deals_Raw!AL212</f>
        <v>Renewal of existing active contract</v>
      </c>
      <c r="AK212" s="9">
        <f t="shared" si="21"/>
        <v>6.802777777777778</v>
      </c>
      <c r="AL212" s="8">
        <f t="shared" si="22"/>
        <v>0.86822004951272724</v>
      </c>
      <c r="AM212" s="8">
        <f t="shared" si="23"/>
        <v>2.4999999999999994E-2</v>
      </c>
      <c r="AN212" t="str">
        <f>IF(AC212&lt;Pricing_Policy!$C$10,"Below Floor","Pass")</f>
        <v>Pass</v>
      </c>
      <c r="AO212" t="str">
        <f>IF(V212&gt;Pricing_Policy!$C$7,"Exception","Standard")</f>
        <v>Standard</v>
      </c>
      <c r="AP212" t="str">
        <f t="shared" si="24"/>
        <v>Pass</v>
      </c>
      <c r="AQ212">
        <f t="shared" si="25"/>
        <v>0</v>
      </c>
      <c r="AR212" s="8">
        <f t="shared" si="26"/>
        <v>0</v>
      </c>
      <c r="AS212">
        <f t="shared" si="27"/>
        <v>3</v>
      </c>
    </row>
    <row r="213" spans="1:45">
      <c r="A213" t="str">
        <f>Deals_Raw!A213</f>
        <v>D00238</v>
      </c>
      <c r="B213">
        <f>Deals_Raw!B213</f>
        <v>45437</v>
      </c>
      <c r="C213" t="str">
        <f>Deals_Raw!C213</f>
        <v>C0067</v>
      </c>
      <c r="D213" t="str">
        <f>Deals_Raw!D213</f>
        <v>TEC-0067</v>
      </c>
      <c r="E213" t="str">
        <f>Deals_Raw!E213</f>
        <v>CT00136</v>
      </c>
      <c r="F213" t="str">
        <f>Deals_Raw!F213</f>
        <v>Legal</v>
      </c>
      <c r="G213" t="str">
        <f>Deals_Raw!G213</f>
        <v>Technology</v>
      </c>
      <c r="H213" t="str">
        <f>Deals_Raw!H213</f>
        <v>South</v>
      </c>
      <c r="I213" t="str">
        <f>Deals_Raw!I213</f>
        <v>South Commercial</v>
      </c>
      <c r="J213" t="str">
        <f>Deals_Raw!J213</f>
        <v>Mid-Market</v>
      </c>
      <c r="K213" t="str">
        <f>Deals_Raw!K213</f>
        <v>Yes</v>
      </c>
      <c r="L213">
        <f>Deals_Raw!L213</f>
        <v>43466</v>
      </c>
      <c r="M213">
        <f>Deals_Raw!M213</f>
        <v>82</v>
      </c>
      <c r="N213" t="str">
        <f>Deals_Raw!N213</f>
        <v>Nexus Enterprise Suite</v>
      </c>
      <c r="O213" t="str">
        <f>Deals_Raw!O213</f>
        <v>Expansion</v>
      </c>
      <c r="P213" t="str">
        <f>Deals_Raw!P213</f>
        <v>Storage / Usage Expansion</v>
      </c>
      <c r="Q213">
        <f>Deals_Raw!Q213</f>
        <v>1</v>
      </c>
      <c r="R213">
        <f>Deals_Raw!R213</f>
        <v>241</v>
      </c>
      <c r="S213" t="str">
        <f>Deals_Raw!S213</f>
        <v>A. Patel</v>
      </c>
      <c r="T213" s="6">
        <f>Deals_Raw!T213</f>
        <v>382139.5091985013</v>
      </c>
      <c r="U213" s="8">
        <f>Deals_Raw!V213</f>
        <v>0.12</v>
      </c>
      <c r="V213" s="8">
        <f>Deals_Raw!W213</f>
        <v>0.113</v>
      </c>
      <c r="W213" s="8">
        <f>Deals_Raw!X213</f>
        <v>-5.8000000000000003E-2</v>
      </c>
      <c r="X213" t="str">
        <f>Deals_Raw!Y213</f>
        <v>Expansion opportunity</v>
      </c>
      <c r="Y213" t="str">
        <f>Deals_Raw!Z213</f>
        <v>Pricing Analyst</v>
      </c>
      <c r="Z213" s="6">
        <f>Deals_Raw!AA213</f>
        <v>338789.33425424184</v>
      </c>
      <c r="AA213" s="6">
        <f>Deals_Raw!AC213</f>
        <v>136892.79523361704</v>
      </c>
      <c r="AB213" s="6">
        <f>Deals_Raw!AD213</f>
        <v>201896.5390206248</v>
      </c>
      <c r="AC213" s="8">
        <f>Deals_Raw!AE213</f>
        <v>0.59593534567742057</v>
      </c>
      <c r="AD213" t="str">
        <f>Deals_Raw!AF213</f>
        <v>Lost</v>
      </c>
      <c r="AE213">
        <f>Deals_Raw!AG213</f>
        <v>0</v>
      </c>
      <c r="AF213" t="str">
        <f>Deals_Raw!AH213</f>
        <v>No</v>
      </c>
      <c r="AG213" t="str">
        <f>Deals_Raw!AI213</f>
        <v>No</v>
      </c>
      <c r="AH213" s="6">
        <f>Deals_Raw!AJ213</f>
        <v>0</v>
      </c>
      <c r="AI213" s="6">
        <f>Deals_Raw!AK213</f>
        <v>0</v>
      </c>
      <c r="AJ213" t="str">
        <f>Deals_Raw!AL213</f>
        <v>Expansion allowed because contract was active</v>
      </c>
      <c r="AK213" s="9">
        <f t="shared" si="21"/>
        <v>5.4</v>
      </c>
      <c r="AL213" s="8">
        <f t="shared" si="22"/>
        <v>0.88655929601421735</v>
      </c>
      <c r="AM213" s="8">
        <f t="shared" si="23"/>
        <v>6.9999999999999923E-3</v>
      </c>
      <c r="AN213" t="str">
        <f>IF(AC213&lt;Pricing_Policy!$C$10,"Below Floor","Pass")</f>
        <v>Pass</v>
      </c>
      <c r="AO213" t="str">
        <f>IF(V213&gt;Pricing_Policy!$C$7,"Exception","Standard")</f>
        <v>Standard</v>
      </c>
      <c r="AP213" t="str">
        <f t="shared" si="24"/>
        <v>Pass</v>
      </c>
      <c r="AQ213">
        <f t="shared" si="25"/>
        <v>0</v>
      </c>
      <c r="AR213" s="8">
        <f t="shared" si="26"/>
        <v>0</v>
      </c>
      <c r="AS213">
        <f t="shared" si="27"/>
        <v>2</v>
      </c>
    </row>
    <row r="214" spans="1:45">
      <c r="A214" t="str">
        <f>Deals_Raw!A214</f>
        <v>D00239</v>
      </c>
      <c r="B214">
        <f>Deals_Raw!B214</f>
        <v>45628</v>
      </c>
      <c r="C214" t="str">
        <f>Deals_Raw!C214</f>
        <v>C0067</v>
      </c>
      <c r="D214" t="str">
        <f>Deals_Raw!D214</f>
        <v>TEC-0067</v>
      </c>
      <c r="E214" t="str">
        <f>Deals_Raw!E214</f>
        <v>CT00136</v>
      </c>
      <c r="F214" t="str">
        <f>Deals_Raw!F214</f>
        <v>Legal</v>
      </c>
      <c r="G214" t="str">
        <f>Deals_Raw!G214</f>
        <v>Technology</v>
      </c>
      <c r="H214" t="str">
        <f>Deals_Raw!H214</f>
        <v>South</v>
      </c>
      <c r="I214" t="str">
        <f>Deals_Raw!I214</f>
        <v>South Commercial</v>
      </c>
      <c r="J214" t="str">
        <f>Deals_Raw!J214</f>
        <v>Mid-Market</v>
      </c>
      <c r="K214" t="str">
        <f>Deals_Raw!K214</f>
        <v>Yes</v>
      </c>
      <c r="L214">
        <f>Deals_Raw!L214</f>
        <v>43466</v>
      </c>
      <c r="M214">
        <f>Deals_Raw!M214</f>
        <v>82</v>
      </c>
      <c r="N214" t="str">
        <f>Deals_Raw!N214</f>
        <v>Nexus Enterprise Suite</v>
      </c>
      <c r="O214" t="str">
        <f>Deals_Raw!O214</f>
        <v>Renewal</v>
      </c>
      <c r="P214">
        <f>Deals_Raw!P214</f>
        <v>0</v>
      </c>
      <c r="Q214">
        <f>Deals_Raw!Q214</f>
        <v>1</v>
      </c>
      <c r="R214">
        <f>Deals_Raw!R214</f>
        <v>183</v>
      </c>
      <c r="S214" t="str">
        <f>Deals_Raw!S214</f>
        <v>M. Johnson</v>
      </c>
      <c r="T214" s="6">
        <f>Deals_Raw!T214</f>
        <v>307202.21541123634</v>
      </c>
      <c r="U214" s="8">
        <f>Deals_Raw!V214</f>
        <v>7.2999999999999995E-2</v>
      </c>
      <c r="V214" s="8">
        <f>Deals_Raw!W214</f>
        <v>6.6000000000000003E-2</v>
      </c>
      <c r="W214" s="8">
        <f>Deals_Raw!X214</f>
        <v>-2.8000000000000001E-2</v>
      </c>
      <c r="X214" t="str">
        <f>Deals_Raw!Y214</f>
        <v>Verified competitor pressure</v>
      </c>
      <c r="Y214" t="str">
        <f>Deals_Raw!Z214</f>
        <v>Sales Manager</v>
      </c>
      <c r="Z214" s="6">
        <f>Deals_Raw!AA214</f>
        <v>287079.84683204978</v>
      </c>
      <c r="AA214" s="6">
        <f>Deals_Raw!AC214</f>
        <v>114504.76997377793</v>
      </c>
      <c r="AB214" s="6">
        <f>Deals_Raw!AD214</f>
        <v>172575.07685827184</v>
      </c>
      <c r="AC214" s="8">
        <f>Deals_Raw!AE214</f>
        <v>0.60113964377037366</v>
      </c>
      <c r="AD214" t="str">
        <f>Deals_Raw!AF214</f>
        <v>Lost</v>
      </c>
      <c r="AE214" t="str">
        <f>Deals_Raw!AG214</f>
        <v>No</v>
      </c>
      <c r="AF214">
        <f>Deals_Raw!AH214</f>
        <v>0</v>
      </c>
      <c r="AG214" t="str">
        <f>Deals_Raw!AI214</f>
        <v>No</v>
      </c>
      <c r="AH214" s="6">
        <f>Deals_Raw!AJ214</f>
        <v>0</v>
      </c>
      <c r="AI214" s="6">
        <f>Deals_Raw!AK214</f>
        <v>0</v>
      </c>
      <c r="AJ214" t="str">
        <f>Deals_Raw!AL214</f>
        <v>Renewal of existing active contract</v>
      </c>
      <c r="AK214" s="9">
        <f t="shared" si="21"/>
        <v>5.9194444444444443</v>
      </c>
      <c r="AL214" s="8">
        <f t="shared" si="22"/>
        <v>0.93449797049070837</v>
      </c>
      <c r="AM214" s="8">
        <f t="shared" si="23"/>
        <v>6.9999999999999923E-3</v>
      </c>
      <c r="AN214" t="str">
        <f>IF(AC214&lt;Pricing_Policy!$C$10,"Below Floor","Pass")</f>
        <v>Pass</v>
      </c>
      <c r="AO214" t="str">
        <f>IF(V214&gt;Pricing_Policy!$C$7,"Exception","Standard")</f>
        <v>Standard</v>
      </c>
      <c r="AP214" t="str">
        <f t="shared" si="24"/>
        <v>Pass</v>
      </c>
      <c r="AQ214">
        <f t="shared" si="25"/>
        <v>0</v>
      </c>
      <c r="AR214" s="8">
        <f t="shared" si="26"/>
        <v>0</v>
      </c>
      <c r="AS214">
        <f t="shared" si="27"/>
        <v>2</v>
      </c>
    </row>
    <row r="215" spans="1:45">
      <c r="A215" t="str">
        <f>Deals_Raw!A215</f>
        <v>D00240</v>
      </c>
      <c r="B215">
        <f>Deals_Raw!B215</f>
        <v>45502</v>
      </c>
      <c r="C215" t="str">
        <f>Deals_Raw!C215</f>
        <v>C0068</v>
      </c>
      <c r="D215" t="str">
        <f>Deals_Raw!D215</f>
        <v>LEG-0068</v>
      </c>
      <c r="E215" t="str">
        <f>Deals_Raw!E215</f>
        <v>CT00137</v>
      </c>
      <c r="F215" t="str">
        <f>Deals_Raw!F215</f>
        <v>Operations</v>
      </c>
      <c r="G215" t="str">
        <f>Deals_Raw!G215</f>
        <v>Legal</v>
      </c>
      <c r="H215" t="str">
        <f>Deals_Raw!H215</f>
        <v>South</v>
      </c>
      <c r="I215" t="str">
        <f>Deals_Raw!I215</f>
        <v>South Commercial</v>
      </c>
      <c r="J215" t="str">
        <f>Deals_Raw!J215</f>
        <v>Mid-Market</v>
      </c>
      <c r="K215" t="str">
        <f>Deals_Raw!K215</f>
        <v>No</v>
      </c>
      <c r="L215">
        <f>Deals_Raw!L215</f>
        <v>44470</v>
      </c>
      <c r="M215">
        <f>Deals_Raw!M215</f>
        <v>78</v>
      </c>
      <c r="N215" t="str">
        <f>Deals_Raw!N215</f>
        <v>Nexus Compliance</v>
      </c>
      <c r="O215" t="str">
        <f>Deals_Raw!O215</f>
        <v>New Business</v>
      </c>
      <c r="P215">
        <f>Deals_Raw!P215</f>
        <v>0</v>
      </c>
      <c r="Q215">
        <f>Deals_Raw!Q215</f>
        <v>1</v>
      </c>
      <c r="R215">
        <f>Deals_Raw!R215</f>
        <v>244</v>
      </c>
      <c r="S215" t="str">
        <f>Deals_Raw!S215</f>
        <v>L. Williams</v>
      </c>
      <c r="T215" s="6">
        <f>Deals_Raw!T215</f>
        <v>98723.049214531595</v>
      </c>
      <c r="U215" s="8">
        <f>Deals_Raw!V215</f>
        <v>0.14099999999999999</v>
      </c>
      <c r="V215" s="8">
        <f>Deals_Raw!W215</f>
        <v>9.8000000000000004E-2</v>
      </c>
      <c r="W215" s="8">
        <f>Deals_Raw!X215</f>
        <v>0.01</v>
      </c>
      <c r="X215" t="str">
        <f>Deals_Raw!Y215</f>
        <v>Strategic logo opportunity</v>
      </c>
      <c r="Y215" t="str">
        <f>Deals_Raw!Z215</f>
        <v>Sales Manager</v>
      </c>
      <c r="Z215" s="6">
        <f>Deals_Raw!AA215</f>
        <v>89092.084191075337</v>
      </c>
      <c r="AA215" s="6">
        <f>Deals_Raw!AC215</f>
        <v>34208.772598559604</v>
      </c>
      <c r="AB215" s="6">
        <f>Deals_Raw!AD215</f>
        <v>54883.311592515733</v>
      </c>
      <c r="AC215" s="8">
        <f>Deals_Raw!AE215</f>
        <v>0.61602904557500049</v>
      </c>
      <c r="AD215" t="str">
        <f>Deals_Raw!AF215</f>
        <v>Lost</v>
      </c>
      <c r="AE215">
        <f>Deals_Raw!AG215</f>
        <v>0</v>
      </c>
      <c r="AF215">
        <f>Deals_Raw!AH215</f>
        <v>0</v>
      </c>
      <c r="AG215" t="str">
        <f>Deals_Raw!AI215</f>
        <v>No</v>
      </c>
      <c r="AH215" s="6">
        <f>Deals_Raw!AJ215</f>
        <v>0</v>
      </c>
      <c r="AI215" s="6">
        <f>Deals_Raw!AK215</f>
        <v>0</v>
      </c>
      <c r="AJ215" t="str">
        <f>Deals_Raw!AL215</f>
        <v>First purchase under this contract</v>
      </c>
      <c r="AK215" s="9">
        <f t="shared" si="21"/>
        <v>2.8277777777777779</v>
      </c>
      <c r="AL215" s="8">
        <f t="shared" si="22"/>
        <v>0.90244461551701527</v>
      </c>
      <c r="AM215" s="8">
        <f t="shared" si="23"/>
        <v>4.2999999999999983E-2</v>
      </c>
      <c r="AN215" t="str">
        <f>IF(AC215&lt;Pricing_Policy!$C$10,"Below Floor","Pass")</f>
        <v>Pass</v>
      </c>
      <c r="AO215" t="str">
        <f>IF(V215&gt;Pricing_Policy!$C$7,"Exception","Standard")</f>
        <v>Standard</v>
      </c>
      <c r="AP215" t="str">
        <f t="shared" si="24"/>
        <v>Pass</v>
      </c>
      <c r="AQ215">
        <f t="shared" si="25"/>
        <v>0</v>
      </c>
      <c r="AR215" s="8">
        <f t="shared" si="26"/>
        <v>0</v>
      </c>
      <c r="AS215">
        <f t="shared" si="27"/>
        <v>3</v>
      </c>
    </row>
    <row r="216" spans="1:45">
      <c r="A216" t="str">
        <f>Deals_Raw!A216</f>
        <v>D00241</v>
      </c>
      <c r="B216">
        <f>Deals_Raw!B216</f>
        <v>45907</v>
      </c>
      <c r="C216" t="str">
        <f>Deals_Raw!C216</f>
        <v>C0068</v>
      </c>
      <c r="D216" t="str">
        <f>Deals_Raw!D216</f>
        <v>LEG-0068</v>
      </c>
      <c r="E216" t="str">
        <f>Deals_Raw!E216</f>
        <v>CT00137</v>
      </c>
      <c r="F216" t="str">
        <f>Deals_Raw!F216</f>
        <v>Operations</v>
      </c>
      <c r="G216" t="str">
        <f>Deals_Raw!G216</f>
        <v>Legal</v>
      </c>
      <c r="H216" t="str">
        <f>Deals_Raw!H216</f>
        <v>South</v>
      </c>
      <c r="I216" t="str">
        <f>Deals_Raw!I216</f>
        <v>South Commercial</v>
      </c>
      <c r="J216" t="str">
        <f>Deals_Raw!J216</f>
        <v>Mid-Market</v>
      </c>
      <c r="K216" t="str">
        <f>Deals_Raw!K216</f>
        <v>No</v>
      </c>
      <c r="L216">
        <f>Deals_Raw!L216</f>
        <v>44470</v>
      </c>
      <c r="M216">
        <f>Deals_Raw!M216</f>
        <v>78</v>
      </c>
      <c r="N216" t="str">
        <f>Deals_Raw!N216</f>
        <v>Nexus Compliance</v>
      </c>
      <c r="O216" t="str">
        <f>Deals_Raw!O216</f>
        <v>Win-back</v>
      </c>
      <c r="P216">
        <f>Deals_Raw!P216</f>
        <v>0</v>
      </c>
      <c r="Q216">
        <f>Deals_Raw!Q216</f>
        <v>1</v>
      </c>
      <c r="R216">
        <f>Deals_Raw!R216</f>
        <v>244</v>
      </c>
      <c r="S216" t="str">
        <f>Deals_Raw!S216</f>
        <v>L. Williams</v>
      </c>
      <c r="T216" s="6">
        <f>Deals_Raw!T216</f>
        <v>98723.049214531595</v>
      </c>
      <c r="U216" s="8">
        <f>Deals_Raw!V216</f>
        <v>0.191</v>
      </c>
      <c r="V216" s="8">
        <f>Deals_Raw!W216</f>
        <v>0.17899999999999999</v>
      </c>
      <c r="W216" s="8">
        <f>Deals_Raw!X216</f>
        <v>-7.8E-2</v>
      </c>
      <c r="X216" t="str">
        <f>Deals_Raw!Y216</f>
        <v>Renewal retention risk</v>
      </c>
      <c r="Y216" t="str">
        <f>Deals_Raw!Z216</f>
        <v>Pricing Analyst</v>
      </c>
      <c r="Z216" s="6">
        <f>Deals_Raw!AA216</f>
        <v>81012.28681227268</v>
      </c>
      <c r="AA216" s="6">
        <f>Deals_Raw!AC216</f>
        <v>35742.81929245931</v>
      </c>
      <c r="AB216" s="6">
        <f>Deals_Raw!AD216</f>
        <v>45269.46751981337</v>
      </c>
      <c r="AC216" s="8">
        <f>Deals_Raw!AE216</f>
        <v>0.55879755159504307</v>
      </c>
      <c r="AD216" t="str">
        <f>Deals_Raw!AF216</f>
        <v>Won</v>
      </c>
      <c r="AE216">
        <f>Deals_Raw!AG216</f>
        <v>0</v>
      </c>
      <c r="AF216">
        <f>Deals_Raw!AH216</f>
        <v>0</v>
      </c>
      <c r="AG216" t="str">
        <f>Deals_Raw!AI216</f>
        <v>Yes</v>
      </c>
      <c r="AH216" s="6">
        <f>Deals_Raw!AJ216</f>
        <v>81012.28681227268</v>
      </c>
      <c r="AI216" s="6">
        <f>Deals_Raw!AK216</f>
        <v>45269.46751981337</v>
      </c>
      <c r="AJ216" t="str">
        <f>Deals_Raw!AL216</f>
        <v>Customer returned after prior lost initial opportunity</v>
      </c>
      <c r="AK216" s="9">
        <f t="shared" si="21"/>
        <v>3.9333333333333331</v>
      </c>
      <c r="AL216" s="8">
        <f t="shared" si="22"/>
        <v>0.82060154601006818</v>
      </c>
      <c r="AM216" s="8">
        <f t="shared" si="23"/>
        <v>1.2000000000000011E-2</v>
      </c>
      <c r="AN216" t="str">
        <f>IF(AC216&lt;Pricing_Policy!$C$10,"Below Floor","Pass")</f>
        <v>Pass</v>
      </c>
      <c r="AO216" t="str">
        <f>IF(V216&gt;Pricing_Policy!$C$7,"Exception","Standard")</f>
        <v>Standard</v>
      </c>
      <c r="AP216" t="str">
        <f t="shared" si="24"/>
        <v>Pass</v>
      </c>
      <c r="AQ216">
        <f t="shared" si="25"/>
        <v>1</v>
      </c>
      <c r="AR216" s="8">
        <f t="shared" si="26"/>
        <v>0.55879755159504307</v>
      </c>
      <c r="AS216">
        <f t="shared" si="27"/>
        <v>3</v>
      </c>
    </row>
    <row r="217" spans="1:45">
      <c r="A217" t="str">
        <f>Deals_Raw!A217</f>
        <v>D00242</v>
      </c>
      <c r="B217">
        <f>Deals_Raw!B217</f>
        <v>45561</v>
      </c>
      <c r="C217" t="str">
        <f>Deals_Raw!C217</f>
        <v>C0068</v>
      </c>
      <c r="D217" t="str">
        <f>Deals_Raw!D217</f>
        <v>LEG-0068</v>
      </c>
      <c r="E217" t="str">
        <f>Deals_Raw!E217</f>
        <v>CT00138</v>
      </c>
      <c r="F217" t="str">
        <f>Deals_Raw!F217</f>
        <v>Corporate</v>
      </c>
      <c r="G217" t="str">
        <f>Deals_Raw!G217</f>
        <v>Legal</v>
      </c>
      <c r="H217" t="str">
        <f>Deals_Raw!H217</f>
        <v>South</v>
      </c>
      <c r="I217" t="str">
        <f>Deals_Raw!I217</f>
        <v>South Commercial</v>
      </c>
      <c r="J217" t="str">
        <f>Deals_Raw!J217</f>
        <v>Mid-Market</v>
      </c>
      <c r="K217" t="str">
        <f>Deals_Raw!K217</f>
        <v>No</v>
      </c>
      <c r="L217">
        <f>Deals_Raw!L217</f>
        <v>44470</v>
      </c>
      <c r="M217">
        <f>Deals_Raw!M217</f>
        <v>78</v>
      </c>
      <c r="N217" t="str">
        <f>Deals_Raw!N217</f>
        <v>Nexus Compliance</v>
      </c>
      <c r="O217" t="str">
        <f>Deals_Raw!O217</f>
        <v>New Business</v>
      </c>
      <c r="P217">
        <f>Deals_Raw!P217</f>
        <v>0</v>
      </c>
      <c r="Q217">
        <f>Deals_Raw!Q217</f>
        <v>3</v>
      </c>
      <c r="R217">
        <f>Deals_Raw!R217</f>
        <v>126</v>
      </c>
      <c r="S217" t="str">
        <f>Deals_Raw!S217</f>
        <v>T. Brooks</v>
      </c>
      <c r="T217" s="6">
        <f>Deals_Raw!T217</f>
        <v>104084.5002308804</v>
      </c>
      <c r="U217" s="8">
        <f>Deals_Raw!V217</f>
        <v>0.16400000000000001</v>
      </c>
      <c r="V217" s="8">
        <f>Deals_Raw!W217</f>
        <v>0.14499999999999999</v>
      </c>
      <c r="W217" s="8">
        <f>Deals_Raw!X217</f>
        <v>-3.3000000000000002E-2</v>
      </c>
      <c r="X217" t="str">
        <f>Deals_Raw!Y217</f>
        <v>Procurement requirement</v>
      </c>
      <c r="Y217" t="str">
        <f>Deals_Raw!Z217</f>
        <v>Pricing Analyst</v>
      </c>
      <c r="Z217" s="6">
        <f>Deals_Raw!AA217</f>
        <v>88986.945934349889</v>
      </c>
      <c r="AA217" s="6">
        <f>Deals_Raw!AC217</f>
        <v>39197.782473142448</v>
      </c>
      <c r="AB217" s="6">
        <f>Deals_Raw!AD217</f>
        <v>49789.163461207441</v>
      </c>
      <c r="AC217" s="8">
        <f>Deals_Raw!AE217</f>
        <v>0.55951086913286574</v>
      </c>
      <c r="AD217" t="str">
        <f>Deals_Raw!AF217</f>
        <v>Lost</v>
      </c>
      <c r="AE217">
        <f>Deals_Raw!AG217</f>
        <v>0</v>
      </c>
      <c r="AF217">
        <f>Deals_Raw!AH217</f>
        <v>0</v>
      </c>
      <c r="AG217" t="str">
        <f>Deals_Raw!AI217</f>
        <v>No</v>
      </c>
      <c r="AH217" s="6">
        <f>Deals_Raw!AJ217</f>
        <v>0</v>
      </c>
      <c r="AI217" s="6">
        <f>Deals_Raw!AK217</f>
        <v>0</v>
      </c>
      <c r="AJ217" t="str">
        <f>Deals_Raw!AL217</f>
        <v>First purchase under this contract</v>
      </c>
      <c r="AK217" s="9">
        <f t="shared" si="21"/>
        <v>2.9861111111111112</v>
      </c>
      <c r="AL217" s="8">
        <f t="shared" si="22"/>
        <v>0.85494906289561756</v>
      </c>
      <c r="AM217" s="8">
        <f t="shared" si="23"/>
        <v>1.9000000000000017E-2</v>
      </c>
      <c r="AN217" t="str">
        <f>IF(AC217&lt;Pricing_Policy!$C$10,"Below Floor","Pass")</f>
        <v>Pass</v>
      </c>
      <c r="AO217" t="str">
        <f>IF(V217&gt;Pricing_Policy!$C$7,"Exception","Standard")</f>
        <v>Standard</v>
      </c>
      <c r="AP217" t="str">
        <f t="shared" si="24"/>
        <v>Pass</v>
      </c>
      <c r="AQ217">
        <f t="shared" si="25"/>
        <v>0</v>
      </c>
      <c r="AR217" s="8">
        <f t="shared" si="26"/>
        <v>0</v>
      </c>
      <c r="AS217">
        <f t="shared" si="27"/>
        <v>3</v>
      </c>
    </row>
    <row r="218" spans="1:45">
      <c r="A218" t="str">
        <f>Deals_Raw!A218</f>
        <v>D00243</v>
      </c>
      <c r="B218">
        <f>Deals_Raw!B218</f>
        <v>45794</v>
      </c>
      <c r="C218" t="str">
        <f>Deals_Raw!C218</f>
        <v>C0069</v>
      </c>
      <c r="D218" t="str">
        <f>Deals_Raw!D218</f>
        <v>MAN-0069</v>
      </c>
      <c r="E218" t="str">
        <f>Deals_Raw!E218</f>
        <v>CT00140</v>
      </c>
      <c r="F218" t="str">
        <f>Deals_Raw!F218</f>
        <v>Technology</v>
      </c>
      <c r="G218" t="str">
        <f>Deals_Raw!G218</f>
        <v>Manufacturing</v>
      </c>
      <c r="H218" t="str">
        <f>Deals_Raw!H218</f>
        <v>Midwest</v>
      </c>
      <c r="I218" t="str">
        <f>Deals_Raw!I218</f>
        <v>Midwest Commercial</v>
      </c>
      <c r="J218" t="str">
        <f>Deals_Raw!J218</f>
        <v>SMB</v>
      </c>
      <c r="K218" t="str">
        <f>Deals_Raw!K218</f>
        <v>No</v>
      </c>
      <c r="L218">
        <f>Deals_Raw!L218</f>
        <v>44652</v>
      </c>
      <c r="M218">
        <f>Deals_Raw!M218</f>
        <v>53</v>
      </c>
      <c r="N218" t="str">
        <f>Deals_Raw!N218</f>
        <v>Nexus Insights</v>
      </c>
      <c r="O218" t="str">
        <f>Deals_Raw!O218</f>
        <v>Renewal</v>
      </c>
      <c r="P218">
        <f>Deals_Raw!P218</f>
        <v>0</v>
      </c>
      <c r="Q218">
        <f>Deals_Raw!Q218</f>
        <v>3</v>
      </c>
      <c r="R218">
        <f>Deals_Raw!R218</f>
        <v>38</v>
      </c>
      <c r="S218" t="str">
        <f>Deals_Raw!S218</f>
        <v>M. Johnson</v>
      </c>
      <c r="T218" s="6">
        <f>Deals_Raw!T218</f>
        <v>22340.015410176042</v>
      </c>
      <c r="U218" s="8">
        <f>Deals_Raw!V218</f>
        <v>0.13</v>
      </c>
      <c r="V218" s="8">
        <f>Deals_Raw!W218</f>
        <v>0.11</v>
      </c>
      <c r="W218" s="8">
        <f>Deals_Raw!X218</f>
        <v>-3.1E-2</v>
      </c>
      <c r="X218" t="str">
        <f>Deals_Raw!Y218</f>
        <v>Renewal retention risk</v>
      </c>
      <c r="Y218" t="str">
        <f>Deals_Raw!Z218</f>
        <v>Pricing Analyst</v>
      </c>
      <c r="Z218" s="6">
        <f>Deals_Raw!AA218</f>
        <v>19891.930272292178</v>
      </c>
      <c r="AA218" s="6">
        <f>Deals_Raw!AC218</f>
        <v>5337.0365126444858</v>
      </c>
      <c r="AB218" s="6">
        <f>Deals_Raw!AD218</f>
        <v>14554.893759647694</v>
      </c>
      <c r="AC218" s="8">
        <f>Deals_Raw!AE218</f>
        <v>0.73169841038109118</v>
      </c>
      <c r="AD218" t="str">
        <f>Deals_Raw!AF218</f>
        <v>Won</v>
      </c>
      <c r="AE218" t="str">
        <f>Deals_Raw!AG218</f>
        <v>Yes</v>
      </c>
      <c r="AF218">
        <f>Deals_Raw!AH218</f>
        <v>0</v>
      </c>
      <c r="AG218" t="str">
        <f>Deals_Raw!AI218</f>
        <v>No</v>
      </c>
      <c r="AH218" s="6">
        <f>Deals_Raw!AJ218</f>
        <v>19891.930272292178</v>
      </c>
      <c r="AI218" s="6">
        <f>Deals_Raw!AK218</f>
        <v>14554.893759647694</v>
      </c>
      <c r="AJ218" t="str">
        <f>Deals_Raw!AL218</f>
        <v>Renewal of existing active contract</v>
      </c>
      <c r="AK218" s="9">
        <f t="shared" si="21"/>
        <v>3.1277777777777778</v>
      </c>
      <c r="AL218" s="8">
        <f t="shared" si="22"/>
        <v>0.89041703450353293</v>
      </c>
      <c r="AM218" s="8">
        <f t="shared" si="23"/>
        <v>2.0000000000000004E-2</v>
      </c>
      <c r="AN218" t="str">
        <f>IF(AC218&lt;Pricing_Policy!$C$10,"Below Floor","Pass")</f>
        <v>Pass</v>
      </c>
      <c r="AO218" t="str">
        <f>IF(V218&gt;Pricing_Policy!$C$7,"Exception","Standard")</f>
        <v>Standard</v>
      </c>
      <c r="AP218" t="str">
        <f t="shared" si="24"/>
        <v>Pass</v>
      </c>
      <c r="AQ218">
        <f t="shared" si="25"/>
        <v>1</v>
      </c>
      <c r="AR218" s="8">
        <f t="shared" si="26"/>
        <v>0.73169841038109118</v>
      </c>
      <c r="AS218">
        <f t="shared" si="27"/>
        <v>1</v>
      </c>
    </row>
    <row r="219" spans="1:45">
      <c r="A219" t="str">
        <f>Deals_Raw!A219</f>
        <v>D00244</v>
      </c>
      <c r="B219">
        <f>Deals_Raw!B219</f>
        <v>45905</v>
      </c>
      <c r="C219" t="str">
        <f>Deals_Raw!C219</f>
        <v>C0070</v>
      </c>
      <c r="D219" t="str">
        <f>Deals_Raw!D219</f>
        <v>TEC-0070</v>
      </c>
      <c r="E219" t="str">
        <f>Deals_Raw!E219</f>
        <v>CT00141</v>
      </c>
      <c r="F219" t="str">
        <f>Deals_Raw!F219</f>
        <v>Technology</v>
      </c>
      <c r="G219" t="str">
        <f>Deals_Raw!G219</f>
        <v>Technology</v>
      </c>
      <c r="H219" t="str">
        <f>Deals_Raw!H219</f>
        <v>Northeast</v>
      </c>
      <c r="I219" t="str">
        <f>Deals_Raw!I219</f>
        <v>Northeast Commercial</v>
      </c>
      <c r="J219" t="str">
        <f>Deals_Raw!J219</f>
        <v>Mid-Market</v>
      </c>
      <c r="K219" t="str">
        <f>Deals_Raw!K219</f>
        <v>No</v>
      </c>
      <c r="L219">
        <f>Deals_Raw!L219</f>
        <v>44805</v>
      </c>
      <c r="M219">
        <f>Deals_Raw!M219</f>
        <v>69</v>
      </c>
      <c r="N219" t="str">
        <f>Deals_Raw!N219</f>
        <v>Nexus Insights</v>
      </c>
      <c r="O219" t="str">
        <f>Deals_Raw!O219</f>
        <v>Renewal</v>
      </c>
      <c r="P219">
        <f>Deals_Raw!P219</f>
        <v>0</v>
      </c>
      <c r="Q219">
        <f>Deals_Raw!Q219</f>
        <v>3</v>
      </c>
      <c r="R219">
        <f>Deals_Raw!R219</f>
        <v>322</v>
      </c>
      <c r="S219" t="str">
        <f>Deals_Raw!S219</f>
        <v>R. Singh</v>
      </c>
      <c r="T219" s="6">
        <f>Deals_Raw!T219</f>
        <v>40138.323458376166</v>
      </c>
      <c r="U219" s="8">
        <f>Deals_Raw!V219</f>
        <v>8.4000000000000005E-2</v>
      </c>
      <c r="V219" s="8">
        <f>Deals_Raw!W219</f>
        <v>7.3999999999999996E-2</v>
      </c>
      <c r="W219" s="8">
        <f>Deals_Raw!X219</f>
        <v>2E-3</v>
      </c>
      <c r="X219" t="str">
        <f>Deals_Raw!Y219</f>
        <v>Renewal retention risk</v>
      </c>
      <c r="Y219" t="str">
        <f>Deals_Raw!Z219</f>
        <v>Sales Manager</v>
      </c>
      <c r="Z219" s="6">
        <f>Deals_Raw!AA219</f>
        <v>37168.734620594958</v>
      </c>
      <c r="AA219" s="6">
        <f>Deals_Raw!AC219</f>
        <v>11662.282630973499</v>
      </c>
      <c r="AB219" s="6">
        <f>Deals_Raw!AD219</f>
        <v>25506.451989621459</v>
      </c>
      <c r="AC219" s="8">
        <f>Deals_Raw!AE219</f>
        <v>0.68623406876726167</v>
      </c>
      <c r="AD219" t="str">
        <f>Deals_Raw!AF219</f>
        <v>Won</v>
      </c>
      <c r="AE219" t="str">
        <f>Deals_Raw!AG219</f>
        <v>Yes</v>
      </c>
      <c r="AF219">
        <f>Deals_Raw!AH219</f>
        <v>0</v>
      </c>
      <c r="AG219" t="str">
        <f>Deals_Raw!AI219</f>
        <v>No</v>
      </c>
      <c r="AH219" s="6">
        <f>Deals_Raw!AJ219</f>
        <v>37168.734620594958</v>
      </c>
      <c r="AI219" s="6">
        <f>Deals_Raw!AK219</f>
        <v>25506.451989621459</v>
      </c>
      <c r="AJ219" t="str">
        <f>Deals_Raw!AL219</f>
        <v>Renewal of existing active contract</v>
      </c>
      <c r="AK219" s="9">
        <f t="shared" si="21"/>
        <v>3.0111111111111111</v>
      </c>
      <c r="AL219" s="8">
        <f t="shared" si="22"/>
        <v>0.92601612170322212</v>
      </c>
      <c r="AM219" s="8">
        <f t="shared" si="23"/>
        <v>1.0000000000000009E-2</v>
      </c>
      <c r="AN219" t="str">
        <f>IF(AC219&lt;Pricing_Policy!$C$10,"Below Floor","Pass")</f>
        <v>Pass</v>
      </c>
      <c r="AO219" t="str">
        <f>IF(V219&gt;Pricing_Policy!$C$7,"Exception","Standard")</f>
        <v>Standard</v>
      </c>
      <c r="AP219" t="str">
        <f t="shared" si="24"/>
        <v>Pass</v>
      </c>
      <c r="AQ219">
        <f t="shared" si="25"/>
        <v>1</v>
      </c>
      <c r="AR219" s="8">
        <f t="shared" si="26"/>
        <v>0.68623406876726167</v>
      </c>
      <c r="AS219">
        <f t="shared" si="27"/>
        <v>1</v>
      </c>
    </row>
    <row r="220" spans="1:45">
      <c r="A220" t="str">
        <f>Deals_Raw!A220</f>
        <v>D00245</v>
      </c>
      <c r="B220">
        <f>Deals_Raw!B220</f>
        <v>45316</v>
      </c>
      <c r="C220" t="str">
        <f>Deals_Raw!C220</f>
        <v>C0070</v>
      </c>
      <c r="D220" t="str">
        <f>Deals_Raw!D220</f>
        <v>TEC-0070</v>
      </c>
      <c r="E220" t="str">
        <f>Deals_Raw!E220</f>
        <v>CT00142</v>
      </c>
      <c r="F220" t="str">
        <f>Deals_Raw!F220</f>
        <v>Corporate</v>
      </c>
      <c r="G220" t="str">
        <f>Deals_Raw!G220</f>
        <v>Technology</v>
      </c>
      <c r="H220" t="str">
        <f>Deals_Raw!H220</f>
        <v>Northeast</v>
      </c>
      <c r="I220" t="str">
        <f>Deals_Raw!I220</f>
        <v>Northeast Commercial</v>
      </c>
      <c r="J220" t="str">
        <f>Deals_Raw!J220</f>
        <v>Mid-Market</v>
      </c>
      <c r="K220" t="str">
        <f>Deals_Raw!K220</f>
        <v>No</v>
      </c>
      <c r="L220">
        <f>Deals_Raw!L220</f>
        <v>44805</v>
      </c>
      <c r="M220">
        <f>Deals_Raw!M220</f>
        <v>69</v>
      </c>
      <c r="N220" t="str">
        <f>Deals_Raw!N220</f>
        <v>Nexus Compliance</v>
      </c>
      <c r="O220" t="str">
        <f>Deals_Raw!O220</f>
        <v>New Business</v>
      </c>
      <c r="P220">
        <f>Deals_Raw!P220</f>
        <v>0</v>
      </c>
      <c r="Q220">
        <f>Deals_Raw!Q220</f>
        <v>1</v>
      </c>
      <c r="R220">
        <f>Deals_Raw!R220</f>
        <v>60</v>
      </c>
      <c r="S220" t="str">
        <f>Deals_Raw!S220</f>
        <v>D. Chen</v>
      </c>
      <c r="T220" s="6">
        <f>Deals_Raw!T220</f>
        <v>157010.33938845474</v>
      </c>
      <c r="U220" s="8">
        <f>Deals_Raw!V220</f>
        <v>8.3000000000000004E-2</v>
      </c>
      <c r="V220" s="8">
        <f>Deals_Raw!W220</f>
        <v>6.8000000000000005E-2</v>
      </c>
      <c r="W220" s="8">
        <f>Deals_Raw!X220</f>
        <v>-7.1999999999999995E-2</v>
      </c>
      <c r="X220" t="str">
        <f>Deals_Raw!Y220</f>
        <v>Expansion opportunity</v>
      </c>
      <c r="Y220" t="str">
        <f>Deals_Raw!Z220</f>
        <v>Sales Manager</v>
      </c>
      <c r="Z220" s="6">
        <f>Deals_Raw!AA220</f>
        <v>146284.00001394833</v>
      </c>
      <c r="AA220" s="6">
        <f>Deals_Raw!AC220</f>
        <v>65291.512295241868</v>
      </c>
      <c r="AB220" s="6">
        <f>Deals_Raw!AD220</f>
        <v>80992.487718706456</v>
      </c>
      <c r="AC220" s="8">
        <f>Deals_Raw!AE220</f>
        <v>0.55366607223608688</v>
      </c>
      <c r="AD220" t="str">
        <f>Deals_Raw!AF220</f>
        <v>Lost</v>
      </c>
      <c r="AE220">
        <f>Deals_Raw!AG220</f>
        <v>0</v>
      </c>
      <c r="AF220">
        <f>Deals_Raw!AH220</f>
        <v>0</v>
      </c>
      <c r="AG220" t="str">
        <f>Deals_Raw!AI220</f>
        <v>No</v>
      </c>
      <c r="AH220" s="6">
        <f>Deals_Raw!AJ220</f>
        <v>0</v>
      </c>
      <c r="AI220" s="6">
        <f>Deals_Raw!AK220</f>
        <v>0</v>
      </c>
      <c r="AJ220" t="str">
        <f>Deals_Raw!AL220</f>
        <v>First purchase under this contract</v>
      </c>
      <c r="AK220" s="9">
        <f t="shared" si="21"/>
        <v>1.4</v>
      </c>
      <c r="AL220" s="8">
        <f t="shared" si="22"/>
        <v>0.93168386606713405</v>
      </c>
      <c r="AM220" s="8">
        <f t="shared" si="23"/>
        <v>1.4999999999999999E-2</v>
      </c>
      <c r="AN220" t="str">
        <f>IF(AC220&lt;Pricing_Policy!$C$10,"Below Floor","Pass")</f>
        <v>Pass</v>
      </c>
      <c r="AO220" t="str">
        <f>IF(V220&gt;Pricing_Policy!$C$7,"Exception","Standard")</f>
        <v>Standard</v>
      </c>
      <c r="AP220" t="str">
        <f t="shared" si="24"/>
        <v>Pass</v>
      </c>
      <c r="AQ220">
        <f t="shared" si="25"/>
        <v>0</v>
      </c>
      <c r="AR220" s="8">
        <f t="shared" si="26"/>
        <v>0</v>
      </c>
      <c r="AS220">
        <f t="shared" si="27"/>
        <v>4</v>
      </c>
    </row>
    <row r="221" spans="1:45">
      <c r="A221" t="str">
        <f>Deals_Raw!A221</f>
        <v>D00246</v>
      </c>
      <c r="B221">
        <f>Deals_Raw!B221</f>
        <v>45635</v>
      </c>
      <c r="C221" t="str">
        <f>Deals_Raw!C221</f>
        <v>C0070</v>
      </c>
      <c r="D221" t="str">
        <f>Deals_Raw!D221</f>
        <v>TEC-0070</v>
      </c>
      <c r="E221" t="str">
        <f>Deals_Raw!E221</f>
        <v>CT00142</v>
      </c>
      <c r="F221" t="str">
        <f>Deals_Raw!F221</f>
        <v>Corporate</v>
      </c>
      <c r="G221" t="str">
        <f>Deals_Raw!G221</f>
        <v>Technology</v>
      </c>
      <c r="H221" t="str">
        <f>Deals_Raw!H221</f>
        <v>Northeast</v>
      </c>
      <c r="I221" t="str">
        <f>Deals_Raw!I221</f>
        <v>Northeast Commercial</v>
      </c>
      <c r="J221" t="str">
        <f>Deals_Raw!J221</f>
        <v>Mid-Market</v>
      </c>
      <c r="K221" t="str">
        <f>Deals_Raw!K221</f>
        <v>No</v>
      </c>
      <c r="L221">
        <f>Deals_Raw!L221</f>
        <v>44805</v>
      </c>
      <c r="M221">
        <f>Deals_Raw!M221</f>
        <v>69</v>
      </c>
      <c r="N221" t="str">
        <f>Deals_Raw!N221</f>
        <v>Nexus Compliance</v>
      </c>
      <c r="O221" t="str">
        <f>Deals_Raw!O221</f>
        <v>Win-back</v>
      </c>
      <c r="P221">
        <f>Deals_Raw!P221</f>
        <v>0</v>
      </c>
      <c r="Q221">
        <f>Deals_Raw!Q221</f>
        <v>1</v>
      </c>
      <c r="R221">
        <f>Deals_Raw!R221</f>
        <v>60</v>
      </c>
      <c r="S221" t="str">
        <f>Deals_Raw!S221</f>
        <v>M. Johnson</v>
      </c>
      <c r="T221" s="6">
        <f>Deals_Raw!T221</f>
        <v>157010.33938845474</v>
      </c>
      <c r="U221" s="8">
        <f>Deals_Raw!V221</f>
        <v>0.191</v>
      </c>
      <c r="V221" s="8">
        <f>Deals_Raw!W221</f>
        <v>0.156</v>
      </c>
      <c r="W221" s="8">
        <f>Deals_Raw!X221</f>
        <v>-0.16700000000000001</v>
      </c>
      <c r="X221" t="str">
        <f>Deals_Raw!Y221</f>
        <v>Renewal retention risk</v>
      </c>
      <c r="Y221" t="str">
        <f>Deals_Raw!Z221</f>
        <v>Pricing Analyst</v>
      </c>
      <c r="Z221" s="6">
        <f>Deals_Raw!AA221</f>
        <v>132563.57907817294</v>
      </c>
      <c r="AA221" s="6">
        <f>Deals_Raw!AC221</f>
        <v>50966.644909617164</v>
      </c>
      <c r="AB221" s="6">
        <f>Deals_Raw!AD221</f>
        <v>81596.934168555774</v>
      </c>
      <c r="AC221" s="8">
        <f>Deals_Raw!AE221</f>
        <v>0.61553056077671175</v>
      </c>
      <c r="AD221" t="str">
        <f>Deals_Raw!AF221</f>
        <v>Won</v>
      </c>
      <c r="AE221">
        <f>Deals_Raw!AG221</f>
        <v>0</v>
      </c>
      <c r="AF221">
        <f>Deals_Raw!AH221</f>
        <v>0</v>
      </c>
      <c r="AG221" t="str">
        <f>Deals_Raw!AI221</f>
        <v>Yes</v>
      </c>
      <c r="AH221" s="6">
        <f>Deals_Raw!AJ221</f>
        <v>132563.57907817294</v>
      </c>
      <c r="AI221" s="6">
        <f>Deals_Raw!AK221</f>
        <v>81596.934168555774</v>
      </c>
      <c r="AJ221" t="str">
        <f>Deals_Raw!AL221</f>
        <v>Customer returned after prior lost initial opportunity</v>
      </c>
      <c r="AK221" s="9">
        <f t="shared" si="21"/>
        <v>2.2722222222222221</v>
      </c>
      <c r="AL221" s="8">
        <f t="shared" si="22"/>
        <v>0.84429840477066431</v>
      </c>
      <c r="AM221" s="8">
        <f t="shared" si="23"/>
        <v>3.5000000000000003E-2</v>
      </c>
      <c r="AN221" t="str">
        <f>IF(AC221&lt;Pricing_Policy!$C$10,"Below Floor","Pass")</f>
        <v>Pass</v>
      </c>
      <c r="AO221" t="str">
        <f>IF(V221&gt;Pricing_Policy!$C$7,"Exception","Standard")</f>
        <v>Standard</v>
      </c>
      <c r="AP221" t="str">
        <f t="shared" si="24"/>
        <v>Pass</v>
      </c>
      <c r="AQ221">
        <f t="shared" si="25"/>
        <v>1</v>
      </c>
      <c r="AR221" s="8">
        <f t="shared" si="26"/>
        <v>0.61553056077671175</v>
      </c>
      <c r="AS221">
        <f t="shared" si="27"/>
        <v>4</v>
      </c>
    </row>
    <row r="222" spans="1:45">
      <c r="A222" t="str">
        <f>Deals_Raw!A222</f>
        <v>D00247</v>
      </c>
      <c r="B222">
        <f>Deals_Raw!B222</f>
        <v>45806</v>
      </c>
      <c r="C222" t="str">
        <f>Deals_Raw!C222</f>
        <v>C0070</v>
      </c>
      <c r="D222" t="str">
        <f>Deals_Raw!D222</f>
        <v>TEC-0070</v>
      </c>
      <c r="E222" t="str">
        <f>Deals_Raw!E222</f>
        <v>CT00142</v>
      </c>
      <c r="F222" t="str">
        <f>Deals_Raw!F222</f>
        <v>Corporate</v>
      </c>
      <c r="G222" t="str">
        <f>Deals_Raw!G222</f>
        <v>Technology</v>
      </c>
      <c r="H222" t="str">
        <f>Deals_Raw!H222</f>
        <v>Northeast</v>
      </c>
      <c r="I222" t="str">
        <f>Deals_Raw!I222</f>
        <v>Northeast Commercial</v>
      </c>
      <c r="J222" t="str">
        <f>Deals_Raw!J222</f>
        <v>Mid-Market</v>
      </c>
      <c r="K222" t="str">
        <f>Deals_Raw!K222</f>
        <v>No</v>
      </c>
      <c r="L222">
        <f>Deals_Raw!L222</f>
        <v>44805</v>
      </c>
      <c r="M222">
        <f>Deals_Raw!M222</f>
        <v>69</v>
      </c>
      <c r="N222" t="str">
        <f>Deals_Raw!N222</f>
        <v>Nexus Compliance</v>
      </c>
      <c r="O222" t="str">
        <f>Deals_Raw!O222</f>
        <v>Expansion</v>
      </c>
      <c r="P222" t="str">
        <f>Deals_Raw!P222</f>
        <v>AI Add-on</v>
      </c>
      <c r="Q222">
        <f>Deals_Raw!Q222</f>
        <v>1</v>
      </c>
      <c r="R222">
        <f>Deals_Raw!R222</f>
        <v>78</v>
      </c>
      <c r="S222" t="str">
        <f>Deals_Raw!S222</f>
        <v>D. Chen</v>
      </c>
      <c r="T222" s="6">
        <f>Deals_Raw!T222</f>
        <v>170583.63021138098</v>
      </c>
      <c r="U222" s="8">
        <f>Deals_Raw!V222</f>
        <v>0.19600000000000001</v>
      </c>
      <c r="V222" s="8">
        <f>Deals_Raw!W222</f>
        <v>0.186</v>
      </c>
      <c r="W222" s="8">
        <f>Deals_Raw!X222</f>
        <v>6.0999999999999999E-2</v>
      </c>
      <c r="X222" t="str">
        <f>Deals_Raw!Y222</f>
        <v>Expansion opportunity</v>
      </c>
      <c r="Y222" t="str">
        <f>Deals_Raw!Z222</f>
        <v>Pricing Analyst</v>
      </c>
      <c r="Z222" s="6">
        <f>Deals_Raw!AA222</f>
        <v>138818.14248897388</v>
      </c>
      <c r="AA222" s="6">
        <f>Deals_Raw!AC222</f>
        <v>64121.951411486509</v>
      </c>
      <c r="AB222" s="6">
        <f>Deals_Raw!AD222</f>
        <v>74696.191077487369</v>
      </c>
      <c r="AC222" s="8">
        <f>Deals_Raw!AE222</f>
        <v>0.53808666315658538</v>
      </c>
      <c r="AD222" t="str">
        <f>Deals_Raw!AF222</f>
        <v>Won</v>
      </c>
      <c r="AE222">
        <f>Deals_Raw!AG222</f>
        <v>0</v>
      </c>
      <c r="AF222" t="str">
        <f>Deals_Raw!AH222</f>
        <v>Yes</v>
      </c>
      <c r="AG222" t="str">
        <f>Deals_Raw!AI222</f>
        <v>No</v>
      </c>
      <c r="AH222" s="6">
        <f>Deals_Raw!AJ222</f>
        <v>138818.14248897388</v>
      </c>
      <c r="AI222" s="6">
        <f>Deals_Raw!AK222</f>
        <v>74696.191077487369</v>
      </c>
      <c r="AJ222" t="str">
        <f>Deals_Raw!AL222</f>
        <v>Expansion allowed because contract was active</v>
      </c>
      <c r="AK222" s="9">
        <f t="shared" si="21"/>
        <v>2.7444444444444445</v>
      </c>
      <c r="AL222" s="8">
        <f t="shared" si="22"/>
        <v>0.81378349327514921</v>
      </c>
      <c r="AM222" s="8">
        <f t="shared" si="23"/>
        <v>1.0000000000000009E-2</v>
      </c>
      <c r="AN222" t="str">
        <f>IF(AC222&lt;Pricing_Policy!$C$10,"Below Floor","Pass")</f>
        <v>Pass</v>
      </c>
      <c r="AO222" t="str">
        <f>IF(V222&gt;Pricing_Policy!$C$7,"Exception","Standard")</f>
        <v>Standard</v>
      </c>
      <c r="AP222" t="str">
        <f t="shared" si="24"/>
        <v>Pass</v>
      </c>
      <c r="AQ222">
        <f t="shared" si="25"/>
        <v>1</v>
      </c>
      <c r="AR222" s="8">
        <f t="shared" si="26"/>
        <v>0.53808666315658538</v>
      </c>
      <c r="AS222">
        <f t="shared" si="27"/>
        <v>4</v>
      </c>
    </row>
    <row r="223" spans="1:45">
      <c r="A223" t="str">
        <f>Deals_Raw!A223</f>
        <v>D00248</v>
      </c>
      <c r="B223">
        <f>Deals_Raw!B223</f>
        <v>46000</v>
      </c>
      <c r="C223" t="str">
        <f>Deals_Raw!C223</f>
        <v>C0070</v>
      </c>
      <c r="D223" t="str">
        <f>Deals_Raw!D223</f>
        <v>TEC-0070</v>
      </c>
      <c r="E223" t="str">
        <f>Deals_Raw!E223</f>
        <v>CT00142</v>
      </c>
      <c r="F223" t="str">
        <f>Deals_Raw!F223</f>
        <v>Corporate</v>
      </c>
      <c r="G223" t="str">
        <f>Deals_Raw!G223</f>
        <v>Technology</v>
      </c>
      <c r="H223" t="str">
        <f>Deals_Raw!H223</f>
        <v>Northeast</v>
      </c>
      <c r="I223" t="str">
        <f>Deals_Raw!I223</f>
        <v>Northeast Commercial</v>
      </c>
      <c r="J223" t="str">
        <f>Deals_Raw!J223</f>
        <v>Mid-Market</v>
      </c>
      <c r="K223" t="str">
        <f>Deals_Raw!K223</f>
        <v>No</v>
      </c>
      <c r="L223">
        <f>Deals_Raw!L223</f>
        <v>44805</v>
      </c>
      <c r="M223">
        <f>Deals_Raw!M223</f>
        <v>69</v>
      </c>
      <c r="N223" t="str">
        <f>Deals_Raw!N223</f>
        <v>Nexus Compliance</v>
      </c>
      <c r="O223" t="str">
        <f>Deals_Raw!O223</f>
        <v>Renewal</v>
      </c>
      <c r="P223">
        <f>Deals_Raw!P223</f>
        <v>0</v>
      </c>
      <c r="Q223">
        <f>Deals_Raw!Q223</f>
        <v>1</v>
      </c>
      <c r="R223">
        <f>Deals_Raw!R223</f>
        <v>78</v>
      </c>
      <c r="S223" t="str">
        <f>Deals_Raw!S223</f>
        <v>S. Rivera</v>
      </c>
      <c r="T223" s="6">
        <f>Deals_Raw!T223</f>
        <v>176959.79169185751</v>
      </c>
      <c r="U223" s="8">
        <f>Deals_Raw!V223</f>
        <v>0.114</v>
      </c>
      <c r="V223" s="8">
        <f>Deals_Raw!W223</f>
        <v>0.10299999999999999</v>
      </c>
      <c r="W223" s="8">
        <f>Deals_Raw!X223</f>
        <v>5.3999999999999999E-2</v>
      </c>
      <c r="X223" t="str">
        <f>Deals_Raw!Y223</f>
        <v>Verified competitor pressure</v>
      </c>
      <c r="Y223" t="str">
        <f>Deals_Raw!Z223</f>
        <v>Pricing Analyst</v>
      </c>
      <c r="Z223" s="6">
        <f>Deals_Raw!AA223</f>
        <v>158789.58406667152</v>
      </c>
      <c r="AA223" s="6">
        <f>Deals_Raw!AC223</f>
        <v>54460.180652338095</v>
      </c>
      <c r="AB223" s="6">
        <f>Deals_Raw!AD223</f>
        <v>104329.40341433343</v>
      </c>
      <c r="AC223" s="8">
        <f>Deals_Raw!AE223</f>
        <v>0.65702926314441557</v>
      </c>
      <c r="AD223" t="str">
        <f>Deals_Raw!AF223</f>
        <v>Won</v>
      </c>
      <c r="AE223" t="str">
        <f>Deals_Raw!AG223</f>
        <v>Yes</v>
      </c>
      <c r="AF223">
        <f>Deals_Raw!AH223</f>
        <v>0</v>
      </c>
      <c r="AG223" t="str">
        <f>Deals_Raw!AI223</f>
        <v>No</v>
      </c>
      <c r="AH223" s="6">
        <f>Deals_Raw!AJ223</f>
        <v>158789.58406667152</v>
      </c>
      <c r="AI223" s="6">
        <f>Deals_Raw!AK223</f>
        <v>104329.40341433343</v>
      </c>
      <c r="AJ223" t="str">
        <f>Deals_Raw!AL223</f>
        <v>Renewal of existing active contract</v>
      </c>
      <c r="AK223" s="9">
        <f t="shared" si="21"/>
        <v>3.2722222222222221</v>
      </c>
      <c r="AL223" s="8">
        <f t="shared" si="22"/>
        <v>0.89732013441321168</v>
      </c>
      <c r="AM223" s="8">
        <f t="shared" si="23"/>
        <v>1.100000000000001E-2</v>
      </c>
      <c r="AN223" t="str">
        <f>IF(AC223&lt;Pricing_Policy!$C$10,"Below Floor","Pass")</f>
        <v>Pass</v>
      </c>
      <c r="AO223" t="str">
        <f>IF(V223&gt;Pricing_Policy!$C$7,"Exception","Standard")</f>
        <v>Standard</v>
      </c>
      <c r="AP223" t="str">
        <f t="shared" si="24"/>
        <v>Pass</v>
      </c>
      <c r="AQ223">
        <f t="shared" si="25"/>
        <v>1</v>
      </c>
      <c r="AR223" s="8">
        <f t="shared" si="26"/>
        <v>0.65702926314441557</v>
      </c>
      <c r="AS223">
        <f t="shared" si="27"/>
        <v>4</v>
      </c>
    </row>
    <row r="224" spans="1:45">
      <c r="A224" t="str">
        <f>Deals_Raw!A224</f>
        <v>D00249</v>
      </c>
      <c r="B224">
        <f>Deals_Raw!B224</f>
        <v>45467</v>
      </c>
      <c r="C224" t="str">
        <f>Deals_Raw!C224</f>
        <v>C0071</v>
      </c>
      <c r="D224" t="str">
        <f>Deals_Raw!D224</f>
        <v>PUB-0071</v>
      </c>
      <c r="E224" t="str">
        <f>Deals_Raw!E224</f>
        <v>CT00143</v>
      </c>
      <c r="F224" t="str">
        <f>Deals_Raw!F224</f>
        <v>Corporate</v>
      </c>
      <c r="G224" t="str">
        <f>Deals_Raw!G224</f>
        <v>Public Sector</v>
      </c>
      <c r="H224" t="str">
        <f>Deals_Raw!H224</f>
        <v>Midwest</v>
      </c>
      <c r="I224" t="str">
        <f>Deals_Raw!I224</f>
        <v>Midwest Commercial</v>
      </c>
      <c r="J224" t="str">
        <f>Deals_Raw!J224</f>
        <v>Mid-Market</v>
      </c>
      <c r="K224" t="str">
        <f>Deals_Raw!K224</f>
        <v>Yes</v>
      </c>
      <c r="L224">
        <f>Deals_Raw!L224</f>
        <v>45078</v>
      </c>
      <c r="M224">
        <f>Deals_Raw!M224</f>
        <v>79</v>
      </c>
      <c r="N224" t="str">
        <f>Deals_Raw!N224</f>
        <v>Nexus Compliance</v>
      </c>
      <c r="O224" t="str">
        <f>Deals_Raw!O224</f>
        <v>New Business</v>
      </c>
      <c r="P224">
        <f>Deals_Raw!P224</f>
        <v>0</v>
      </c>
      <c r="Q224">
        <f>Deals_Raw!Q224</f>
        <v>1</v>
      </c>
      <c r="R224">
        <f>Deals_Raw!R224</f>
        <v>113</v>
      </c>
      <c r="S224" t="str">
        <f>Deals_Raw!S224</f>
        <v>M. Johnson</v>
      </c>
      <c r="T224" s="6">
        <f>Deals_Raw!T224</f>
        <v>130479.47336165821</v>
      </c>
      <c r="U224" s="8">
        <f>Deals_Raw!V224</f>
        <v>0.14199999999999999</v>
      </c>
      <c r="V224" s="8">
        <f>Deals_Raw!W224</f>
        <v>0.12</v>
      </c>
      <c r="W224" s="8">
        <f>Deals_Raw!X224</f>
        <v>0.15</v>
      </c>
      <c r="X224" t="str">
        <f>Deals_Raw!Y224</f>
        <v>Multi-year commitment</v>
      </c>
      <c r="Y224" t="str">
        <f>Deals_Raw!Z224</f>
        <v>Pricing Analyst</v>
      </c>
      <c r="Z224" s="6">
        <f>Deals_Raw!AA224</f>
        <v>114775.25685658728</v>
      </c>
      <c r="AA224" s="6">
        <f>Deals_Raw!AC224</f>
        <v>46368.743357030529</v>
      </c>
      <c r="AB224" s="6">
        <f>Deals_Raw!AD224</f>
        <v>68406.51349955675</v>
      </c>
      <c r="AC224" s="8">
        <f>Deals_Raw!AE224</f>
        <v>0.59600401143106396</v>
      </c>
      <c r="AD224" t="str">
        <f>Deals_Raw!AF224</f>
        <v>Won</v>
      </c>
      <c r="AE224">
        <f>Deals_Raw!AG224</f>
        <v>0</v>
      </c>
      <c r="AF224">
        <f>Deals_Raw!AH224</f>
        <v>0</v>
      </c>
      <c r="AG224" t="str">
        <f>Deals_Raw!AI224</f>
        <v>No</v>
      </c>
      <c r="AH224" s="6">
        <f>Deals_Raw!AJ224</f>
        <v>114775.25685658728</v>
      </c>
      <c r="AI224" s="6">
        <f>Deals_Raw!AK224</f>
        <v>68406.51349955675</v>
      </c>
      <c r="AJ224" t="str">
        <f>Deals_Raw!AL224</f>
        <v>First purchase under this contract</v>
      </c>
      <c r="AK224" s="9">
        <f t="shared" si="21"/>
        <v>1.0638888888888889</v>
      </c>
      <c r="AL224" s="8">
        <f t="shared" si="22"/>
        <v>0.87964224486450404</v>
      </c>
      <c r="AM224" s="8">
        <f t="shared" si="23"/>
        <v>2.1999999999999992E-2</v>
      </c>
      <c r="AN224" t="str">
        <f>IF(AC224&lt;Pricing_Policy!$C$10,"Below Floor","Pass")</f>
        <v>Pass</v>
      </c>
      <c r="AO224" t="str">
        <f>IF(V224&gt;Pricing_Policy!$C$7,"Exception","Standard")</f>
        <v>Standard</v>
      </c>
      <c r="AP224" t="str">
        <f t="shared" si="24"/>
        <v>Pass</v>
      </c>
      <c r="AQ224">
        <f t="shared" si="25"/>
        <v>1</v>
      </c>
      <c r="AR224" s="8">
        <f t="shared" si="26"/>
        <v>0.59600401143106396</v>
      </c>
      <c r="AS224">
        <f t="shared" si="27"/>
        <v>3</v>
      </c>
    </row>
    <row r="225" spans="1:45">
      <c r="A225" t="str">
        <f>Deals_Raw!A225</f>
        <v>D00250</v>
      </c>
      <c r="B225">
        <f>Deals_Raw!B225</f>
        <v>45680</v>
      </c>
      <c r="C225" t="str">
        <f>Deals_Raw!C225</f>
        <v>C0071</v>
      </c>
      <c r="D225" t="str">
        <f>Deals_Raw!D225</f>
        <v>PUB-0071</v>
      </c>
      <c r="E225" t="str">
        <f>Deals_Raw!E225</f>
        <v>CT00143</v>
      </c>
      <c r="F225" t="str">
        <f>Deals_Raw!F225</f>
        <v>Corporate</v>
      </c>
      <c r="G225" t="str">
        <f>Deals_Raw!G225</f>
        <v>Public Sector</v>
      </c>
      <c r="H225" t="str">
        <f>Deals_Raw!H225</f>
        <v>Midwest</v>
      </c>
      <c r="I225" t="str">
        <f>Deals_Raw!I225</f>
        <v>Midwest Commercial</v>
      </c>
      <c r="J225" t="str">
        <f>Deals_Raw!J225</f>
        <v>Mid-Market</v>
      </c>
      <c r="K225" t="str">
        <f>Deals_Raw!K225</f>
        <v>Yes</v>
      </c>
      <c r="L225">
        <f>Deals_Raw!L225</f>
        <v>45078</v>
      </c>
      <c r="M225">
        <f>Deals_Raw!M225</f>
        <v>79</v>
      </c>
      <c r="N225" t="str">
        <f>Deals_Raw!N225</f>
        <v>Nexus Compliance</v>
      </c>
      <c r="O225" t="str">
        <f>Deals_Raw!O225</f>
        <v>Expansion</v>
      </c>
      <c r="P225" t="str">
        <f>Deals_Raw!P225</f>
        <v>Multi-year Extension</v>
      </c>
      <c r="Q225">
        <f>Deals_Raw!Q225</f>
        <v>1</v>
      </c>
      <c r="R225">
        <f>Deals_Raw!R225</f>
        <v>152</v>
      </c>
      <c r="S225" t="str">
        <f>Deals_Raw!S225</f>
        <v>A. Patel</v>
      </c>
      <c r="T225" s="6">
        <f>Deals_Raw!T225</f>
        <v>148402.02265774627</v>
      </c>
      <c r="U225" s="8">
        <f>Deals_Raw!V225</f>
        <v>7.1999999999999995E-2</v>
      </c>
      <c r="V225" s="8">
        <f>Deals_Raw!W225</f>
        <v>5.8999999999999997E-2</v>
      </c>
      <c r="W225" s="8">
        <f>Deals_Raw!X225</f>
        <v>-0.01</v>
      </c>
      <c r="X225" t="str">
        <f>Deals_Raw!Y225</f>
        <v>Expansion opportunity</v>
      </c>
      <c r="Y225" t="str">
        <f>Deals_Raw!Z225</f>
        <v>Sales Manager</v>
      </c>
      <c r="Z225" s="6">
        <f>Deals_Raw!AA225</f>
        <v>139700.13708891167</v>
      </c>
      <c r="AA225" s="6">
        <f>Deals_Raw!AC225</f>
        <v>51719.595101550854</v>
      </c>
      <c r="AB225" s="6">
        <f>Deals_Raw!AD225</f>
        <v>87980.541987360804</v>
      </c>
      <c r="AC225" s="8">
        <f>Deals_Raw!AE225</f>
        <v>0.62978135756134512</v>
      </c>
      <c r="AD225" t="str">
        <f>Deals_Raw!AF225</f>
        <v>Won</v>
      </c>
      <c r="AE225">
        <f>Deals_Raw!AG225</f>
        <v>0</v>
      </c>
      <c r="AF225" t="str">
        <f>Deals_Raw!AH225</f>
        <v>Yes</v>
      </c>
      <c r="AG225" t="str">
        <f>Deals_Raw!AI225</f>
        <v>No</v>
      </c>
      <c r="AH225" s="6">
        <f>Deals_Raw!AJ225</f>
        <v>139700.13708891167</v>
      </c>
      <c r="AI225" s="6">
        <f>Deals_Raw!AK225</f>
        <v>87980.541987360804</v>
      </c>
      <c r="AJ225" t="str">
        <f>Deals_Raw!AL225</f>
        <v>Expansion allowed because contract was active</v>
      </c>
      <c r="AK225" s="9">
        <f t="shared" si="21"/>
        <v>1.6444444444444444</v>
      </c>
      <c r="AL225" s="8">
        <f t="shared" si="22"/>
        <v>0.94136275629542177</v>
      </c>
      <c r="AM225" s="8">
        <f t="shared" si="23"/>
        <v>1.2999999999999998E-2</v>
      </c>
      <c r="AN225" t="str">
        <f>IF(AC225&lt;Pricing_Policy!$C$10,"Below Floor","Pass")</f>
        <v>Pass</v>
      </c>
      <c r="AO225" t="str">
        <f>IF(V225&gt;Pricing_Policy!$C$7,"Exception","Standard")</f>
        <v>Standard</v>
      </c>
      <c r="AP225" t="str">
        <f t="shared" si="24"/>
        <v>Pass</v>
      </c>
      <c r="AQ225">
        <f t="shared" si="25"/>
        <v>1</v>
      </c>
      <c r="AR225" s="8">
        <f t="shared" si="26"/>
        <v>0.62978135756134512</v>
      </c>
      <c r="AS225">
        <f t="shared" si="27"/>
        <v>3</v>
      </c>
    </row>
    <row r="226" spans="1:45">
      <c r="A226" t="str">
        <f>Deals_Raw!A226</f>
        <v>D00251</v>
      </c>
      <c r="B226">
        <f>Deals_Raw!B226</f>
        <v>45832</v>
      </c>
      <c r="C226" t="str">
        <f>Deals_Raw!C226</f>
        <v>C0071</v>
      </c>
      <c r="D226" t="str">
        <f>Deals_Raw!D226</f>
        <v>PUB-0071</v>
      </c>
      <c r="E226" t="str">
        <f>Deals_Raw!E226</f>
        <v>CT00143</v>
      </c>
      <c r="F226" t="str">
        <f>Deals_Raw!F226</f>
        <v>Corporate</v>
      </c>
      <c r="G226" t="str">
        <f>Deals_Raw!G226</f>
        <v>Public Sector</v>
      </c>
      <c r="H226" t="str">
        <f>Deals_Raw!H226</f>
        <v>Midwest</v>
      </c>
      <c r="I226" t="str">
        <f>Deals_Raw!I226</f>
        <v>Midwest Commercial</v>
      </c>
      <c r="J226" t="str">
        <f>Deals_Raw!J226</f>
        <v>Mid-Market</v>
      </c>
      <c r="K226" t="str">
        <f>Deals_Raw!K226</f>
        <v>Yes</v>
      </c>
      <c r="L226">
        <f>Deals_Raw!L226</f>
        <v>45078</v>
      </c>
      <c r="M226">
        <f>Deals_Raw!M226</f>
        <v>79</v>
      </c>
      <c r="N226" t="str">
        <f>Deals_Raw!N226</f>
        <v>Nexus Compliance</v>
      </c>
      <c r="O226" t="str">
        <f>Deals_Raw!O226</f>
        <v>Renewal</v>
      </c>
      <c r="P226">
        <f>Deals_Raw!P226</f>
        <v>0</v>
      </c>
      <c r="Q226">
        <f>Deals_Raw!Q226</f>
        <v>1</v>
      </c>
      <c r="R226">
        <f>Deals_Raw!R226</f>
        <v>152</v>
      </c>
      <c r="S226" t="str">
        <f>Deals_Raw!S226</f>
        <v>L. Williams</v>
      </c>
      <c r="T226" s="6">
        <f>Deals_Raw!T226</f>
        <v>152882.964854027</v>
      </c>
      <c r="U226" s="8">
        <f>Deals_Raw!V226</f>
        <v>8.8999999999999996E-2</v>
      </c>
      <c r="V226" s="8">
        <f>Deals_Raw!W226</f>
        <v>6.5000000000000002E-2</v>
      </c>
      <c r="W226" s="8">
        <f>Deals_Raw!X226</f>
        <v>-4.4999999999999998E-2</v>
      </c>
      <c r="X226" t="str">
        <f>Deals_Raw!Y226</f>
        <v>Multi-year commitment</v>
      </c>
      <c r="Y226" t="str">
        <f>Deals_Raw!Z226</f>
        <v>Sales Manager</v>
      </c>
      <c r="Z226" s="6">
        <f>Deals_Raw!AA226</f>
        <v>142875.26178375937</v>
      </c>
      <c r="AA226" s="6">
        <f>Deals_Raw!AC226</f>
        <v>51590.099287378958</v>
      </c>
      <c r="AB226" s="6">
        <f>Deals_Raw!AD226</f>
        <v>91285.162496380421</v>
      </c>
      <c r="AC226" s="8">
        <f>Deals_Raw!AE226</f>
        <v>0.63891510228369575</v>
      </c>
      <c r="AD226" t="str">
        <f>Deals_Raw!AF226</f>
        <v>Won</v>
      </c>
      <c r="AE226" t="str">
        <f>Deals_Raw!AG226</f>
        <v>Yes</v>
      </c>
      <c r="AF226">
        <f>Deals_Raw!AH226</f>
        <v>0</v>
      </c>
      <c r="AG226" t="str">
        <f>Deals_Raw!AI226</f>
        <v>No</v>
      </c>
      <c r="AH226" s="6">
        <f>Deals_Raw!AJ226</f>
        <v>142875.26178375937</v>
      </c>
      <c r="AI226" s="6">
        <f>Deals_Raw!AK226</f>
        <v>91285.162496380421</v>
      </c>
      <c r="AJ226" t="str">
        <f>Deals_Raw!AL226</f>
        <v>Renewal of existing active contract</v>
      </c>
      <c r="AK226" s="9">
        <f t="shared" si="21"/>
        <v>2.0638888888888891</v>
      </c>
      <c r="AL226" s="8">
        <f t="shared" si="22"/>
        <v>0.9345401034063997</v>
      </c>
      <c r="AM226" s="8">
        <f t="shared" si="23"/>
        <v>2.3999999999999994E-2</v>
      </c>
      <c r="AN226" t="str">
        <f>IF(AC226&lt;Pricing_Policy!$C$10,"Below Floor","Pass")</f>
        <v>Pass</v>
      </c>
      <c r="AO226" t="str">
        <f>IF(V226&gt;Pricing_Policy!$C$7,"Exception","Standard")</f>
        <v>Standard</v>
      </c>
      <c r="AP226" t="str">
        <f t="shared" si="24"/>
        <v>Pass</v>
      </c>
      <c r="AQ226">
        <f t="shared" si="25"/>
        <v>1</v>
      </c>
      <c r="AR226" s="8">
        <f t="shared" si="26"/>
        <v>0.63891510228369575</v>
      </c>
      <c r="AS226">
        <f t="shared" si="27"/>
        <v>3</v>
      </c>
    </row>
    <row r="227" spans="1:45">
      <c r="A227" t="str">
        <f>Deals_Raw!A227</f>
        <v>D00252</v>
      </c>
      <c r="B227">
        <f>Deals_Raw!B227</f>
        <v>45824</v>
      </c>
      <c r="C227" t="str">
        <f>Deals_Raw!C227</f>
        <v>C0071</v>
      </c>
      <c r="D227" t="str">
        <f>Deals_Raw!D227</f>
        <v>PUB-0071</v>
      </c>
      <c r="E227" t="str">
        <f>Deals_Raw!E227</f>
        <v>CT00145</v>
      </c>
      <c r="F227" t="str">
        <f>Deals_Raw!F227</f>
        <v>Operations</v>
      </c>
      <c r="G227" t="str">
        <f>Deals_Raw!G227</f>
        <v>Public Sector</v>
      </c>
      <c r="H227" t="str">
        <f>Deals_Raw!H227</f>
        <v>Midwest</v>
      </c>
      <c r="I227" t="str">
        <f>Deals_Raw!I227</f>
        <v>Midwest Commercial</v>
      </c>
      <c r="J227" t="str">
        <f>Deals_Raw!J227</f>
        <v>Mid-Market</v>
      </c>
      <c r="K227" t="str">
        <f>Deals_Raw!K227</f>
        <v>Yes</v>
      </c>
      <c r="L227">
        <f>Deals_Raw!L227</f>
        <v>45078</v>
      </c>
      <c r="M227">
        <f>Deals_Raw!M227</f>
        <v>79</v>
      </c>
      <c r="N227" t="str">
        <f>Deals_Raw!N227</f>
        <v>Nexus Insights</v>
      </c>
      <c r="O227" t="str">
        <f>Deals_Raw!O227</f>
        <v>Expansion</v>
      </c>
      <c r="P227" t="str">
        <f>Deals_Raw!P227</f>
        <v>Multi-year Extension</v>
      </c>
      <c r="Q227">
        <f>Deals_Raw!Q227</f>
        <v>2</v>
      </c>
      <c r="R227">
        <f>Deals_Raw!R227</f>
        <v>302</v>
      </c>
      <c r="S227" t="str">
        <f>Deals_Raw!S227</f>
        <v>R. Singh</v>
      </c>
      <c r="T227" s="6">
        <f>Deals_Raw!T227</f>
        <v>41834.530238664745</v>
      </c>
      <c r="U227" s="8">
        <f>Deals_Raw!V227</f>
        <v>0.08</v>
      </c>
      <c r="V227" s="8">
        <f>Deals_Raw!W227</f>
        <v>0.06</v>
      </c>
      <c r="W227" s="8">
        <f>Deals_Raw!X227</f>
        <v>1.2E-2</v>
      </c>
      <c r="X227" t="str">
        <f>Deals_Raw!Y227</f>
        <v>Expansion opportunity</v>
      </c>
      <c r="Y227" t="str">
        <f>Deals_Raw!Z227</f>
        <v>Sales Manager</v>
      </c>
      <c r="Z227" s="6">
        <f>Deals_Raw!AA227</f>
        <v>39341.565756997159</v>
      </c>
      <c r="AA227" s="6">
        <f>Deals_Raw!AC227</f>
        <v>11829.023341111633</v>
      </c>
      <c r="AB227" s="6">
        <f>Deals_Raw!AD227</f>
        <v>27512.542415885524</v>
      </c>
      <c r="AC227" s="8">
        <f>Deals_Raw!AE227</f>
        <v>0.69932504938475248</v>
      </c>
      <c r="AD227" t="str">
        <f>Deals_Raw!AF227</f>
        <v>Lost</v>
      </c>
      <c r="AE227">
        <f>Deals_Raw!AG227</f>
        <v>0</v>
      </c>
      <c r="AF227" t="str">
        <f>Deals_Raw!AH227</f>
        <v>No</v>
      </c>
      <c r="AG227" t="str">
        <f>Deals_Raw!AI227</f>
        <v>No</v>
      </c>
      <c r="AH227" s="6">
        <f>Deals_Raw!AJ227</f>
        <v>0</v>
      </c>
      <c r="AI227" s="6">
        <f>Deals_Raw!AK227</f>
        <v>0</v>
      </c>
      <c r="AJ227" t="str">
        <f>Deals_Raw!AL227</f>
        <v>Expansion allowed because contract was active</v>
      </c>
      <c r="AK227" s="9">
        <f t="shared" si="21"/>
        <v>2.0416666666666665</v>
      </c>
      <c r="AL227" s="8">
        <f t="shared" si="22"/>
        <v>0.94040892852279445</v>
      </c>
      <c r="AM227" s="8">
        <f t="shared" si="23"/>
        <v>2.0000000000000004E-2</v>
      </c>
      <c r="AN227" t="str">
        <f>IF(AC227&lt;Pricing_Policy!$C$10,"Below Floor","Pass")</f>
        <v>Pass</v>
      </c>
      <c r="AO227" t="str">
        <f>IF(V227&gt;Pricing_Policy!$C$7,"Exception","Standard")</f>
        <v>Standard</v>
      </c>
      <c r="AP227" t="str">
        <f t="shared" si="24"/>
        <v>Pass</v>
      </c>
      <c r="AQ227">
        <f t="shared" si="25"/>
        <v>0</v>
      </c>
      <c r="AR227" s="8">
        <f t="shared" si="26"/>
        <v>0</v>
      </c>
      <c r="AS227">
        <f t="shared" si="27"/>
        <v>2</v>
      </c>
    </row>
    <row r="228" spans="1:45">
      <c r="A228" t="str">
        <f>Deals_Raw!A228</f>
        <v>D00253</v>
      </c>
      <c r="B228">
        <f>Deals_Raw!B228</f>
        <v>45993</v>
      </c>
      <c r="C228" t="str">
        <f>Deals_Raw!C228</f>
        <v>C0071</v>
      </c>
      <c r="D228" t="str">
        <f>Deals_Raw!D228</f>
        <v>PUB-0071</v>
      </c>
      <c r="E228" t="str">
        <f>Deals_Raw!E228</f>
        <v>CT00145</v>
      </c>
      <c r="F228" t="str">
        <f>Deals_Raw!F228</f>
        <v>Operations</v>
      </c>
      <c r="G228" t="str">
        <f>Deals_Raw!G228</f>
        <v>Public Sector</v>
      </c>
      <c r="H228" t="str">
        <f>Deals_Raw!H228</f>
        <v>Midwest</v>
      </c>
      <c r="I228" t="str">
        <f>Deals_Raw!I228</f>
        <v>Midwest Commercial</v>
      </c>
      <c r="J228" t="str">
        <f>Deals_Raw!J228</f>
        <v>Mid-Market</v>
      </c>
      <c r="K228" t="str">
        <f>Deals_Raw!K228</f>
        <v>Yes</v>
      </c>
      <c r="L228">
        <f>Deals_Raw!L228</f>
        <v>45078</v>
      </c>
      <c r="M228">
        <f>Deals_Raw!M228</f>
        <v>79</v>
      </c>
      <c r="N228" t="str">
        <f>Deals_Raw!N228</f>
        <v>Nexus Insights</v>
      </c>
      <c r="O228" t="str">
        <f>Deals_Raw!O228</f>
        <v>Renewal</v>
      </c>
      <c r="P228">
        <f>Deals_Raw!P228</f>
        <v>0</v>
      </c>
      <c r="Q228">
        <f>Deals_Raw!Q228</f>
        <v>2</v>
      </c>
      <c r="R228">
        <f>Deals_Raw!R228</f>
        <v>223</v>
      </c>
      <c r="S228" t="str">
        <f>Deals_Raw!S228</f>
        <v>A. Patel</v>
      </c>
      <c r="T228" s="6">
        <f>Deals_Raw!T228</f>
        <v>33122.594382102849</v>
      </c>
      <c r="U228" s="8">
        <f>Deals_Raw!V228</f>
        <v>0.16200000000000001</v>
      </c>
      <c r="V228" s="8">
        <f>Deals_Raw!W228</f>
        <v>0.154</v>
      </c>
      <c r="W228" s="8">
        <f>Deals_Raw!X228</f>
        <v>0.02</v>
      </c>
      <c r="X228" t="str">
        <f>Deals_Raw!Y228</f>
        <v>Verified competitor pressure</v>
      </c>
      <c r="Y228" t="str">
        <f>Deals_Raw!Z228</f>
        <v>Pricing Analyst</v>
      </c>
      <c r="Z228" s="6">
        <f>Deals_Raw!AA228</f>
        <v>28019.229490009842</v>
      </c>
      <c r="AA228" s="6">
        <f>Deals_Raw!AC228</f>
        <v>9568.7620931241072</v>
      </c>
      <c r="AB228" s="6">
        <f>Deals_Raw!AD228</f>
        <v>18450.467396885735</v>
      </c>
      <c r="AC228" s="8">
        <f>Deals_Raw!AE228</f>
        <v>0.65849303256052005</v>
      </c>
      <c r="AD228" t="str">
        <f>Deals_Raw!AF228</f>
        <v>Won</v>
      </c>
      <c r="AE228" t="str">
        <f>Deals_Raw!AG228</f>
        <v>Yes</v>
      </c>
      <c r="AF228">
        <f>Deals_Raw!AH228</f>
        <v>0</v>
      </c>
      <c r="AG228" t="str">
        <f>Deals_Raw!AI228</f>
        <v>No</v>
      </c>
      <c r="AH228" s="6">
        <f>Deals_Raw!AJ228</f>
        <v>28019.229490009842</v>
      </c>
      <c r="AI228" s="6">
        <f>Deals_Raw!AK228</f>
        <v>18450.467396885735</v>
      </c>
      <c r="AJ228" t="str">
        <f>Deals_Raw!AL228</f>
        <v>Renewal of existing active contract</v>
      </c>
      <c r="AK228" s="9">
        <f t="shared" si="21"/>
        <v>2.5027777777777778</v>
      </c>
      <c r="AL228" s="8">
        <f t="shared" si="22"/>
        <v>0.84592496489796376</v>
      </c>
      <c r="AM228" s="8">
        <f t="shared" si="23"/>
        <v>8.0000000000000071E-3</v>
      </c>
      <c r="AN228" t="str">
        <f>IF(AC228&lt;Pricing_Policy!$C$10,"Below Floor","Pass")</f>
        <v>Pass</v>
      </c>
      <c r="AO228" t="str">
        <f>IF(V228&gt;Pricing_Policy!$C$7,"Exception","Standard")</f>
        <v>Standard</v>
      </c>
      <c r="AP228" t="str">
        <f t="shared" si="24"/>
        <v>Pass</v>
      </c>
      <c r="AQ228">
        <f t="shared" si="25"/>
        <v>1</v>
      </c>
      <c r="AR228" s="8">
        <f t="shared" si="26"/>
        <v>0.65849303256052005</v>
      </c>
      <c r="AS228">
        <f t="shared" si="27"/>
        <v>2</v>
      </c>
    </row>
    <row r="229" spans="1:45">
      <c r="A229" t="str">
        <f>Deals_Raw!A229</f>
        <v>D00254</v>
      </c>
      <c r="B229">
        <f>Deals_Raw!B229</f>
        <v>45332</v>
      </c>
      <c r="C229" t="str">
        <f>Deals_Raw!C229</f>
        <v>C0072</v>
      </c>
      <c r="D229" t="str">
        <f>Deals_Raw!D229</f>
        <v>MAN-0072</v>
      </c>
      <c r="E229" t="str">
        <f>Deals_Raw!E229</f>
        <v>CT00146</v>
      </c>
      <c r="F229" t="str">
        <f>Deals_Raw!F229</f>
        <v>Operations</v>
      </c>
      <c r="G229" t="str">
        <f>Deals_Raw!G229</f>
        <v>Manufacturing</v>
      </c>
      <c r="H229" t="str">
        <f>Deals_Raw!H229</f>
        <v>South</v>
      </c>
      <c r="I229" t="str">
        <f>Deals_Raw!I229</f>
        <v>South Commercial</v>
      </c>
      <c r="J229" t="str">
        <f>Deals_Raw!J229</f>
        <v>SMB</v>
      </c>
      <c r="K229" t="str">
        <f>Deals_Raw!K229</f>
        <v>Yes</v>
      </c>
      <c r="L229">
        <f>Deals_Raw!L229</f>
        <v>44228</v>
      </c>
      <c r="M229">
        <f>Deals_Raw!M229</f>
        <v>64</v>
      </c>
      <c r="N229" t="str">
        <f>Deals_Raw!N229</f>
        <v>Nexus Enterprise Suite</v>
      </c>
      <c r="O229" t="str">
        <f>Deals_Raw!O229</f>
        <v>Renewal</v>
      </c>
      <c r="P229">
        <f>Deals_Raw!P229</f>
        <v>0</v>
      </c>
      <c r="Q229">
        <f>Deals_Raw!Q229</f>
        <v>1</v>
      </c>
      <c r="R229">
        <f>Deals_Raw!R229</f>
        <v>34</v>
      </c>
      <c r="S229" t="str">
        <f>Deals_Raw!S229</f>
        <v>T. Brooks</v>
      </c>
      <c r="T229" s="6">
        <f>Deals_Raw!T229</f>
        <v>148819.03690173078</v>
      </c>
      <c r="U229" s="8">
        <f>Deals_Raw!V229</f>
        <v>0.191</v>
      </c>
      <c r="V229" s="8">
        <f>Deals_Raw!W229</f>
        <v>0.182</v>
      </c>
      <c r="W229" s="8">
        <f>Deals_Raw!X229</f>
        <v>3.5000000000000003E-2</v>
      </c>
      <c r="X229" t="str">
        <f>Deals_Raw!Y229</f>
        <v>Renewal retention risk</v>
      </c>
      <c r="Y229" t="str">
        <f>Deals_Raw!Z229</f>
        <v>Pricing Analyst</v>
      </c>
      <c r="Z229" s="6">
        <f>Deals_Raw!AA229</f>
        <v>121737.9362589582</v>
      </c>
      <c r="AA229" s="6">
        <f>Deals_Raw!AC229</f>
        <v>55023.883495518661</v>
      </c>
      <c r="AB229" s="6">
        <f>Deals_Raw!AD229</f>
        <v>66714.05276343954</v>
      </c>
      <c r="AC229" s="8">
        <f>Deals_Raw!AE229</f>
        <v>0.5480136661880558</v>
      </c>
      <c r="AD229" t="str">
        <f>Deals_Raw!AF229</f>
        <v>Won</v>
      </c>
      <c r="AE229" t="str">
        <f>Deals_Raw!AG229</f>
        <v>Yes</v>
      </c>
      <c r="AF229">
        <f>Deals_Raw!AH229</f>
        <v>0</v>
      </c>
      <c r="AG229" t="str">
        <f>Deals_Raw!AI229</f>
        <v>No</v>
      </c>
      <c r="AH229" s="6">
        <f>Deals_Raw!AJ229</f>
        <v>121737.9362589582</v>
      </c>
      <c r="AI229" s="6">
        <f>Deals_Raw!AK229</f>
        <v>66714.05276343954</v>
      </c>
      <c r="AJ229" t="str">
        <f>Deals_Raw!AL229</f>
        <v>Renewal of existing active contract</v>
      </c>
      <c r="AK229" s="9">
        <f t="shared" si="21"/>
        <v>3.0249999999999999</v>
      </c>
      <c r="AL229" s="8">
        <f t="shared" si="22"/>
        <v>0.81802663687001975</v>
      </c>
      <c r="AM229" s="8">
        <f t="shared" si="23"/>
        <v>9.000000000000008E-3</v>
      </c>
      <c r="AN229" t="str">
        <f>IF(AC229&lt;Pricing_Policy!$C$10,"Below Floor","Pass")</f>
        <v>Pass</v>
      </c>
      <c r="AO229" t="str">
        <f>IF(V229&gt;Pricing_Policy!$C$7,"Exception","Standard")</f>
        <v>Standard</v>
      </c>
      <c r="AP229" t="str">
        <f t="shared" si="24"/>
        <v>Pass</v>
      </c>
      <c r="AQ229">
        <f t="shared" si="25"/>
        <v>1</v>
      </c>
      <c r="AR229" s="8">
        <f t="shared" si="26"/>
        <v>0.5480136661880558</v>
      </c>
      <c r="AS229">
        <f t="shared" si="27"/>
        <v>3</v>
      </c>
    </row>
    <row r="230" spans="1:45">
      <c r="A230" t="str">
        <f>Deals_Raw!A230</f>
        <v>D00255</v>
      </c>
      <c r="B230">
        <f>Deals_Raw!B230</f>
        <v>45566</v>
      </c>
      <c r="C230" t="str">
        <f>Deals_Raw!C230</f>
        <v>C0072</v>
      </c>
      <c r="D230" t="str">
        <f>Deals_Raw!D230</f>
        <v>MAN-0072</v>
      </c>
      <c r="E230" t="str">
        <f>Deals_Raw!E230</f>
        <v>CT00146</v>
      </c>
      <c r="F230" t="str">
        <f>Deals_Raw!F230</f>
        <v>Operations</v>
      </c>
      <c r="G230" t="str">
        <f>Deals_Raw!G230</f>
        <v>Manufacturing</v>
      </c>
      <c r="H230" t="str">
        <f>Deals_Raw!H230</f>
        <v>South</v>
      </c>
      <c r="I230" t="str">
        <f>Deals_Raw!I230</f>
        <v>South Commercial</v>
      </c>
      <c r="J230" t="str">
        <f>Deals_Raw!J230</f>
        <v>SMB</v>
      </c>
      <c r="K230" t="str">
        <f>Deals_Raw!K230</f>
        <v>Yes</v>
      </c>
      <c r="L230">
        <f>Deals_Raw!L230</f>
        <v>44228</v>
      </c>
      <c r="M230">
        <f>Deals_Raw!M230</f>
        <v>64</v>
      </c>
      <c r="N230" t="str">
        <f>Deals_Raw!N230</f>
        <v>Nexus Enterprise Suite</v>
      </c>
      <c r="O230" t="str">
        <f>Deals_Raw!O230</f>
        <v>Expansion</v>
      </c>
      <c r="P230" t="str">
        <f>Deals_Raw!P230</f>
        <v>Storage / Usage Expansion</v>
      </c>
      <c r="Q230">
        <f>Deals_Raw!Q230</f>
        <v>1</v>
      </c>
      <c r="R230">
        <f>Deals_Raw!R230</f>
        <v>45</v>
      </c>
      <c r="S230" t="str">
        <f>Deals_Raw!S230</f>
        <v>A. Patel</v>
      </c>
      <c r="T230" s="6">
        <f>Deals_Raw!T230</f>
        <v>199266.57007510631</v>
      </c>
      <c r="U230" s="8">
        <f>Deals_Raw!V230</f>
        <v>7.0999999999999994E-2</v>
      </c>
      <c r="V230" s="8">
        <f>Deals_Raw!W230</f>
        <v>0.04</v>
      </c>
      <c r="W230" s="8">
        <f>Deals_Raw!X230</f>
        <v>-1.2E-2</v>
      </c>
      <c r="X230" t="str">
        <f>Deals_Raw!Y230</f>
        <v>Expansion opportunity</v>
      </c>
      <c r="Y230" t="str">
        <f>Deals_Raw!Z230</f>
        <v>Sales Manager</v>
      </c>
      <c r="Z230" s="6">
        <f>Deals_Raw!AA230</f>
        <v>191209.03779262278</v>
      </c>
      <c r="AA230" s="6">
        <f>Deals_Raw!AC230</f>
        <v>73718.519288504714</v>
      </c>
      <c r="AB230" s="6">
        <f>Deals_Raw!AD230</f>
        <v>117490.51850411807</v>
      </c>
      <c r="AC230" s="8">
        <f>Deals_Raw!AE230</f>
        <v>0.61446111470705322</v>
      </c>
      <c r="AD230" t="str">
        <f>Deals_Raw!AF230</f>
        <v>Won</v>
      </c>
      <c r="AE230">
        <f>Deals_Raw!AG230</f>
        <v>0</v>
      </c>
      <c r="AF230" t="str">
        <f>Deals_Raw!AH230</f>
        <v>Yes</v>
      </c>
      <c r="AG230" t="str">
        <f>Deals_Raw!AI230</f>
        <v>No</v>
      </c>
      <c r="AH230" s="6">
        <f>Deals_Raw!AJ230</f>
        <v>191209.03779262278</v>
      </c>
      <c r="AI230" s="6">
        <f>Deals_Raw!AK230</f>
        <v>117490.51850411807</v>
      </c>
      <c r="AJ230" t="str">
        <f>Deals_Raw!AL230</f>
        <v>Expansion allowed because contract was active</v>
      </c>
      <c r="AK230" s="9">
        <f t="shared" si="21"/>
        <v>3.6666666666666665</v>
      </c>
      <c r="AL230" s="8">
        <f t="shared" si="22"/>
        <v>0.9595640539231115</v>
      </c>
      <c r="AM230" s="8">
        <f t="shared" si="23"/>
        <v>3.0999999999999993E-2</v>
      </c>
      <c r="AN230" t="str">
        <f>IF(AC230&lt;Pricing_Policy!$C$10,"Below Floor","Pass")</f>
        <v>Pass</v>
      </c>
      <c r="AO230" t="str">
        <f>IF(V230&gt;Pricing_Policy!$C$7,"Exception","Standard")</f>
        <v>Standard</v>
      </c>
      <c r="AP230" t="str">
        <f t="shared" si="24"/>
        <v>Pass</v>
      </c>
      <c r="AQ230">
        <f t="shared" si="25"/>
        <v>1</v>
      </c>
      <c r="AR230" s="8">
        <f t="shared" si="26"/>
        <v>0.61446111470705322</v>
      </c>
      <c r="AS230">
        <f t="shared" si="27"/>
        <v>3</v>
      </c>
    </row>
    <row r="231" spans="1:45">
      <c r="A231" t="str">
        <f>Deals_Raw!A231</f>
        <v>D00256</v>
      </c>
      <c r="B231">
        <f>Deals_Raw!B231</f>
        <v>45697</v>
      </c>
      <c r="C231" t="str">
        <f>Deals_Raw!C231</f>
        <v>C0072</v>
      </c>
      <c r="D231" t="str">
        <f>Deals_Raw!D231</f>
        <v>MAN-0072</v>
      </c>
      <c r="E231" t="str">
        <f>Deals_Raw!E231</f>
        <v>CT00146</v>
      </c>
      <c r="F231" t="str">
        <f>Deals_Raw!F231</f>
        <v>Operations</v>
      </c>
      <c r="G231" t="str">
        <f>Deals_Raw!G231</f>
        <v>Manufacturing</v>
      </c>
      <c r="H231" t="str">
        <f>Deals_Raw!H231</f>
        <v>South</v>
      </c>
      <c r="I231" t="str">
        <f>Deals_Raw!I231</f>
        <v>South Commercial</v>
      </c>
      <c r="J231" t="str">
        <f>Deals_Raw!J231</f>
        <v>SMB</v>
      </c>
      <c r="K231" t="str">
        <f>Deals_Raw!K231</f>
        <v>Yes</v>
      </c>
      <c r="L231">
        <f>Deals_Raw!L231</f>
        <v>44228</v>
      </c>
      <c r="M231">
        <f>Deals_Raw!M231</f>
        <v>64</v>
      </c>
      <c r="N231" t="str">
        <f>Deals_Raw!N231</f>
        <v>Nexus Enterprise Suite</v>
      </c>
      <c r="O231" t="str">
        <f>Deals_Raw!O231</f>
        <v>Renewal</v>
      </c>
      <c r="P231">
        <f>Deals_Raw!P231</f>
        <v>0</v>
      </c>
      <c r="Q231">
        <f>Deals_Raw!Q231</f>
        <v>1</v>
      </c>
      <c r="R231">
        <f>Deals_Raw!R231</f>
        <v>45</v>
      </c>
      <c r="S231" t="str">
        <f>Deals_Raw!S231</f>
        <v>A. Patel</v>
      </c>
      <c r="T231" s="6">
        <f>Deals_Raw!T231</f>
        <v>211632.60185952537</v>
      </c>
      <c r="U231" s="8">
        <f>Deals_Raw!V231</f>
        <v>0.20200000000000001</v>
      </c>
      <c r="V231" s="8">
        <f>Deals_Raw!W231</f>
        <v>0.16400000000000001</v>
      </c>
      <c r="W231" s="8">
        <f>Deals_Raw!X231</f>
        <v>1.0999999999999999E-2</v>
      </c>
      <c r="X231" t="str">
        <f>Deals_Raw!Y231</f>
        <v>Renewal retention risk</v>
      </c>
      <c r="Y231" t="str">
        <f>Deals_Raw!Z231</f>
        <v>Pricing Analyst</v>
      </c>
      <c r="Z231" s="6">
        <f>Deals_Raw!AA231</f>
        <v>177023.45412785039</v>
      </c>
      <c r="AA231" s="6">
        <f>Deals_Raw!AC231</f>
        <v>66089.349346003539</v>
      </c>
      <c r="AB231" s="6">
        <f>Deals_Raw!AD231</f>
        <v>110934.10478184685</v>
      </c>
      <c r="AC231" s="8">
        <f>Deals_Raw!AE231</f>
        <v>0.6266633160469669</v>
      </c>
      <c r="AD231" t="str">
        <f>Deals_Raw!AF231</f>
        <v>Won</v>
      </c>
      <c r="AE231" t="str">
        <f>Deals_Raw!AG231</f>
        <v>Yes</v>
      </c>
      <c r="AF231">
        <f>Deals_Raw!AH231</f>
        <v>0</v>
      </c>
      <c r="AG231" t="str">
        <f>Deals_Raw!AI231</f>
        <v>No</v>
      </c>
      <c r="AH231" s="6">
        <f>Deals_Raw!AJ231</f>
        <v>177023.45412785039</v>
      </c>
      <c r="AI231" s="6">
        <f>Deals_Raw!AK231</f>
        <v>110934.10478184685</v>
      </c>
      <c r="AJ231" t="str">
        <f>Deals_Raw!AL231</f>
        <v>Renewal of existing active contract</v>
      </c>
      <c r="AK231" s="9">
        <f t="shared" si="21"/>
        <v>4.0222222222222221</v>
      </c>
      <c r="AL231" s="8">
        <f t="shared" si="22"/>
        <v>0.83646589690067041</v>
      </c>
      <c r="AM231" s="8">
        <f t="shared" si="23"/>
        <v>3.8000000000000006E-2</v>
      </c>
      <c r="AN231" t="str">
        <f>IF(AC231&lt;Pricing_Policy!$C$10,"Below Floor","Pass")</f>
        <v>Pass</v>
      </c>
      <c r="AO231" t="str">
        <f>IF(V231&gt;Pricing_Policy!$C$7,"Exception","Standard")</f>
        <v>Standard</v>
      </c>
      <c r="AP231" t="str">
        <f t="shared" si="24"/>
        <v>Pass</v>
      </c>
      <c r="AQ231">
        <f t="shared" si="25"/>
        <v>1</v>
      </c>
      <c r="AR231" s="8">
        <f t="shared" si="26"/>
        <v>0.6266633160469669</v>
      </c>
      <c r="AS231">
        <f t="shared" si="27"/>
        <v>3</v>
      </c>
    </row>
    <row r="232" spans="1:45">
      <c r="A232" t="str">
        <f>Deals_Raw!A232</f>
        <v>D00257</v>
      </c>
      <c r="B232">
        <f>Deals_Raw!B232</f>
        <v>45434</v>
      </c>
      <c r="C232" t="str">
        <f>Deals_Raw!C232</f>
        <v>C0072</v>
      </c>
      <c r="D232" t="str">
        <f>Deals_Raw!D232</f>
        <v>MAN-0072</v>
      </c>
      <c r="E232" t="str">
        <f>Deals_Raw!E232</f>
        <v>CT00147</v>
      </c>
      <c r="F232" t="str">
        <f>Deals_Raw!F232</f>
        <v>Technology</v>
      </c>
      <c r="G232" t="str">
        <f>Deals_Raw!G232</f>
        <v>Manufacturing</v>
      </c>
      <c r="H232" t="str">
        <f>Deals_Raw!H232</f>
        <v>South</v>
      </c>
      <c r="I232" t="str">
        <f>Deals_Raw!I232</f>
        <v>South Commercial</v>
      </c>
      <c r="J232" t="str">
        <f>Deals_Raw!J232</f>
        <v>SMB</v>
      </c>
      <c r="K232" t="str">
        <f>Deals_Raw!K232</f>
        <v>Yes</v>
      </c>
      <c r="L232">
        <f>Deals_Raw!L232</f>
        <v>44228</v>
      </c>
      <c r="M232">
        <f>Deals_Raw!M232</f>
        <v>64</v>
      </c>
      <c r="N232" t="str">
        <f>Deals_Raw!N232</f>
        <v>Nexus Compliance</v>
      </c>
      <c r="O232" t="str">
        <f>Deals_Raw!O232</f>
        <v>Renewal</v>
      </c>
      <c r="P232">
        <f>Deals_Raw!P232</f>
        <v>0</v>
      </c>
      <c r="Q232">
        <f>Deals_Raw!Q232</f>
        <v>1</v>
      </c>
      <c r="R232">
        <f>Deals_Raw!R232</f>
        <v>32</v>
      </c>
      <c r="S232" t="str">
        <f>Deals_Raw!S232</f>
        <v>A. Patel</v>
      </c>
      <c r="T232" s="6">
        <f>Deals_Raw!T232</f>
        <v>87981.070345492626</v>
      </c>
      <c r="U232" s="8">
        <f>Deals_Raw!V232</f>
        <v>0.186</v>
      </c>
      <c r="V232" s="8">
        <f>Deals_Raw!W232</f>
        <v>0.14599999999999999</v>
      </c>
      <c r="W232" s="8">
        <f>Deals_Raw!X232</f>
        <v>-0.13100000000000001</v>
      </c>
      <c r="X232" t="str">
        <f>Deals_Raw!Y232</f>
        <v>Renewal retention risk</v>
      </c>
      <c r="Y232" t="str">
        <f>Deals_Raw!Z232</f>
        <v>Pricing Analyst</v>
      </c>
      <c r="Z232" s="6">
        <f>Deals_Raw!AA232</f>
        <v>75114.486078446746</v>
      </c>
      <c r="AA232" s="6">
        <f>Deals_Raw!AC232</f>
        <v>31428.808864924002</v>
      </c>
      <c r="AB232" s="6">
        <f>Deals_Raw!AD232</f>
        <v>43685.677213522744</v>
      </c>
      <c r="AC232" s="8">
        <f>Deals_Raw!AE232</f>
        <v>0.58158791325416337</v>
      </c>
      <c r="AD232" t="str">
        <f>Deals_Raw!AF232</f>
        <v>Won</v>
      </c>
      <c r="AE232" t="str">
        <f>Deals_Raw!AG232</f>
        <v>Yes</v>
      </c>
      <c r="AF232">
        <f>Deals_Raw!AH232</f>
        <v>0</v>
      </c>
      <c r="AG232" t="str">
        <f>Deals_Raw!AI232</f>
        <v>No</v>
      </c>
      <c r="AH232" s="6">
        <f>Deals_Raw!AJ232</f>
        <v>75114.486078446746</v>
      </c>
      <c r="AI232" s="6">
        <f>Deals_Raw!AK232</f>
        <v>43685.677213522744</v>
      </c>
      <c r="AJ232" t="str">
        <f>Deals_Raw!AL232</f>
        <v>Renewal of existing active contract</v>
      </c>
      <c r="AK232" s="9">
        <f t="shared" si="21"/>
        <v>3.3083333333333331</v>
      </c>
      <c r="AL232" s="8">
        <f t="shared" si="22"/>
        <v>0.85375735693462096</v>
      </c>
      <c r="AM232" s="8">
        <f t="shared" si="23"/>
        <v>4.0000000000000008E-2</v>
      </c>
      <c r="AN232" t="str">
        <f>IF(AC232&lt;Pricing_Policy!$C$10,"Below Floor","Pass")</f>
        <v>Pass</v>
      </c>
      <c r="AO232" t="str">
        <f>IF(V232&gt;Pricing_Policy!$C$7,"Exception","Standard")</f>
        <v>Standard</v>
      </c>
      <c r="AP232" t="str">
        <f t="shared" si="24"/>
        <v>Pass</v>
      </c>
      <c r="AQ232">
        <f t="shared" si="25"/>
        <v>1</v>
      </c>
      <c r="AR232" s="8">
        <f t="shared" si="26"/>
        <v>0.58158791325416337</v>
      </c>
      <c r="AS232">
        <f t="shared" si="27"/>
        <v>3</v>
      </c>
    </row>
    <row r="233" spans="1:45">
      <c r="A233" t="str">
        <f>Deals_Raw!A233</f>
        <v>D00258</v>
      </c>
      <c r="B233">
        <f>Deals_Raw!B233</f>
        <v>45573</v>
      </c>
      <c r="C233" t="str">
        <f>Deals_Raw!C233</f>
        <v>C0072</v>
      </c>
      <c r="D233" t="str">
        <f>Deals_Raw!D233</f>
        <v>MAN-0072</v>
      </c>
      <c r="E233" t="str">
        <f>Deals_Raw!E233</f>
        <v>CT00147</v>
      </c>
      <c r="F233" t="str">
        <f>Deals_Raw!F233</f>
        <v>Technology</v>
      </c>
      <c r="G233" t="str">
        <f>Deals_Raw!G233</f>
        <v>Manufacturing</v>
      </c>
      <c r="H233" t="str">
        <f>Deals_Raw!H233</f>
        <v>South</v>
      </c>
      <c r="I233" t="str">
        <f>Deals_Raw!I233</f>
        <v>South Commercial</v>
      </c>
      <c r="J233" t="str">
        <f>Deals_Raw!J233</f>
        <v>SMB</v>
      </c>
      <c r="K233" t="str">
        <f>Deals_Raw!K233</f>
        <v>Yes</v>
      </c>
      <c r="L233">
        <f>Deals_Raw!L233</f>
        <v>44228</v>
      </c>
      <c r="M233">
        <f>Deals_Raw!M233</f>
        <v>64</v>
      </c>
      <c r="N233" t="str">
        <f>Deals_Raw!N233</f>
        <v>Nexus Compliance</v>
      </c>
      <c r="O233" t="str">
        <f>Deals_Raw!O233</f>
        <v>Expansion</v>
      </c>
      <c r="P233" t="str">
        <f>Deals_Raw!P233</f>
        <v>Module Add-on</v>
      </c>
      <c r="Q233">
        <f>Deals_Raw!Q233</f>
        <v>1</v>
      </c>
      <c r="R233">
        <f>Deals_Raw!R233</f>
        <v>43</v>
      </c>
      <c r="S233" t="str">
        <f>Deals_Raw!S233</f>
        <v>K. Nguyen</v>
      </c>
      <c r="T233" s="6">
        <f>Deals_Raw!T233</f>
        <v>109623.11920424932</v>
      </c>
      <c r="U233" s="8">
        <f>Deals_Raw!V233</f>
        <v>7.5999999999999998E-2</v>
      </c>
      <c r="V233" s="8">
        <f>Deals_Raw!W233</f>
        <v>0.06</v>
      </c>
      <c r="W233" s="8">
        <f>Deals_Raw!X233</f>
        <v>-0.02</v>
      </c>
      <c r="X233" t="str">
        <f>Deals_Raw!Y233</f>
        <v>Expansion opportunity</v>
      </c>
      <c r="Y233" t="str">
        <f>Deals_Raw!Z233</f>
        <v>Sales Manager</v>
      </c>
      <c r="Z233" s="6">
        <f>Deals_Raw!AA233</f>
        <v>103039.32817748682</v>
      </c>
      <c r="AA233" s="6">
        <f>Deals_Raw!AC233</f>
        <v>34847.856137443458</v>
      </c>
      <c r="AB233" s="6">
        <f>Deals_Raw!AD233</f>
        <v>68191.472040043358</v>
      </c>
      <c r="AC233" s="8">
        <f>Deals_Raw!AE233</f>
        <v>0.66180043335087069</v>
      </c>
      <c r="AD233" t="str">
        <f>Deals_Raw!AF233</f>
        <v>Lost</v>
      </c>
      <c r="AE233">
        <f>Deals_Raw!AG233</f>
        <v>0</v>
      </c>
      <c r="AF233" t="str">
        <f>Deals_Raw!AH233</f>
        <v>No</v>
      </c>
      <c r="AG233" t="str">
        <f>Deals_Raw!AI233</f>
        <v>No</v>
      </c>
      <c r="AH233" s="6">
        <f>Deals_Raw!AJ233</f>
        <v>0</v>
      </c>
      <c r="AI233" s="6">
        <f>Deals_Raw!AK233</f>
        <v>0</v>
      </c>
      <c r="AJ233" t="str">
        <f>Deals_Raw!AL233</f>
        <v>Expansion allowed because contract was active</v>
      </c>
      <c r="AK233" s="9">
        <f t="shared" si="21"/>
        <v>3.6861111111111109</v>
      </c>
      <c r="AL233" s="8">
        <f t="shared" si="22"/>
        <v>0.93994158281068785</v>
      </c>
      <c r="AM233" s="8">
        <f t="shared" si="23"/>
        <v>1.6E-2</v>
      </c>
      <c r="AN233" t="str">
        <f>IF(AC233&lt;Pricing_Policy!$C$10,"Below Floor","Pass")</f>
        <v>Pass</v>
      </c>
      <c r="AO233" t="str">
        <f>IF(V233&gt;Pricing_Policy!$C$7,"Exception","Standard")</f>
        <v>Standard</v>
      </c>
      <c r="AP233" t="str">
        <f t="shared" si="24"/>
        <v>Pass</v>
      </c>
      <c r="AQ233">
        <f t="shared" si="25"/>
        <v>0</v>
      </c>
      <c r="AR233" s="8">
        <f t="shared" si="26"/>
        <v>0</v>
      </c>
      <c r="AS233">
        <f t="shared" si="27"/>
        <v>3</v>
      </c>
    </row>
    <row r="234" spans="1:45">
      <c r="A234" t="str">
        <f>Deals_Raw!A234</f>
        <v>D00259</v>
      </c>
      <c r="B234">
        <f>Deals_Raw!B234</f>
        <v>45799</v>
      </c>
      <c r="C234" t="str">
        <f>Deals_Raw!C234</f>
        <v>C0072</v>
      </c>
      <c r="D234" t="str">
        <f>Deals_Raw!D234</f>
        <v>MAN-0072</v>
      </c>
      <c r="E234" t="str">
        <f>Deals_Raw!E234</f>
        <v>CT00147</v>
      </c>
      <c r="F234" t="str">
        <f>Deals_Raw!F234</f>
        <v>Technology</v>
      </c>
      <c r="G234" t="str">
        <f>Deals_Raw!G234</f>
        <v>Manufacturing</v>
      </c>
      <c r="H234" t="str">
        <f>Deals_Raw!H234</f>
        <v>South</v>
      </c>
      <c r="I234" t="str">
        <f>Deals_Raw!I234</f>
        <v>South Commercial</v>
      </c>
      <c r="J234" t="str">
        <f>Deals_Raw!J234</f>
        <v>SMB</v>
      </c>
      <c r="K234" t="str">
        <f>Deals_Raw!K234</f>
        <v>Yes</v>
      </c>
      <c r="L234">
        <f>Deals_Raw!L234</f>
        <v>44228</v>
      </c>
      <c r="M234">
        <f>Deals_Raw!M234</f>
        <v>64</v>
      </c>
      <c r="N234" t="str">
        <f>Deals_Raw!N234</f>
        <v>Nexus Compliance</v>
      </c>
      <c r="O234" t="str">
        <f>Deals_Raw!O234</f>
        <v>Renewal</v>
      </c>
      <c r="P234">
        <f>Deals_Raw!P234</f>
        <v>0</v>
      </c>
      <c r="Q234">
        <f>Deals_Raw!Q234</f>
        <v>1</v>
      </c>
      <c r="R234">
        <f>Deals_Raw!R234</f>
        <v>32</v>
      </c>
      <c r="S234" t="str">
        <f>Deals_Raw!S234</f>
        <v>A. Patel</v>
      </c>
      <c r="T234" s="6">
        <f>Deals_Raw!T234</f>
        <v>94313.100996206646</v>
      </c>
      <c r="U234" s="8">
        <f>Deals_Raw!V234</f>
        <v>6.0999999999999999E-2</v>
      </c>
      <c r="V234" s="8">
        <f>Deals_Raw!W234</f>
        <v>1.7000000000000001E-2</v>
      </c>
      <c r="W234" s="8">
        <f>Deals_Raw!X234</f>
        <v>-4.8000000000000001E-2</v>
      </c>
      <c r="X234" t="str">
        <f>Deals_Raw!Y234</f>
        <v>Renewal retention risk</v>
      </c>
      <c r="Y234" t="str">
        <f>Deals_Raw!Z234</f>
        <v>Sales Manager</v>
      </c>
      <c r="Z234" s="6">
        <f>Deals_Raw!AA234</f>
        <v>92732.946399570821</v>
      </c>
      <c r="AA234" s="6">
        <f>Deals_Raw!AC234</f>
        <v>31388.108255033956</v>
      </c>
      <c r="AB234" s="6">
        <f>Deals_Raw!AD234</f>
        <v>61344.838144536865</v>
      </c>
      <c r="AC234" s="8">
        <f>Deals_Raw!AE234</f>
        <v>0.66152150369742568</v>
      </c>
      <c r="AD234" t="str">
        <f>Deals_Raw!AF234</f>
        <v>Won</v>
      </c>
      <c r="AE234" t="str">
        <f>Deals_Raw!AG234</f>
        <v>Yes</v>
      </c>
      <c r="AF234">
        <f>Deals_Raw!AH234</f>
        <v>0</v>
      </c>
      <c r="AG234" t="str">
        <f>Deals_Raw!AI234</f>
        <v>No</v>
      </c>
      <c r="AH234" s="6">
        <f>Deals_Raw!AJ234</f>
        <v>92732.946399570821</v>
      </c>
      <c r="AI234" s="6">
        <f>Deals_Raw!AK234</f>
        <v>61344.838144536865</v>
      </c>
      <c r="AJ234" t="str">
        <f>Deals_Raw!AL234</f>
        <v>Renewal of existing active contract</v>
      </c>
      <c r="AK234" s="9">
        <f t="shared" si="21"/>
        <v>4.3083333333333336</v>
      </c>
      <c r="AL234" s="8">
        <f t="shared" si="22"/>
        <v>0.98324565113494278</v>
      </c>
      <c r="AM234" s="8">
        <f t="shared" si="23"/>
        <v>4.3999999999999997E-2</v>
      </c>
      <c r="AN234" t="str">
        <f>IF(AC234&lt;Pricing_Policy!$C$10,"Below Floor","Pass")</f>
        <v>Pass</v>
      </c>
      <c r="AO234" t="str">
        <f>IF(V234&gt;Pricing_Policy!$C$7,"Exception","Standard")</f>
        <v>Standard</v>
      </c>
      <c r="AP234" t="str">
        <f t="shared" si="24"/>
        <v>Pass</v>
      </c>
      <c r="AQ234">
        <f t="shared" si="25"/>
        <v>1</v>
      </c>
      <c r="AR234" s="8">
        <f t="shared" si="26"/>
        <v>0.66152150369742568</v>
      </c>
      <c r="AS234">
        <f t="shared" si="27"/>
        <v>3</v>
      </c>
    </row>
    <row r="235" spans="1:45">
      <c r="A235" t="str">
        <f>Deals_Raw!A235</f>
        <v>D00260</v>
      </c>
      <c r="B235">
        <f>Deals_Raw!B235</f>
        <v>45616</v>
      </c>
      <c r="C235" t="str">
        <f>Deals_Raw!C235</f>
        <v>C0073</v>
      </c>
      <c r="D235" t="str">
        <f>Deals_Raw!D235</f>
        <v>TEC-0073</v>
      </c>
      <c r="E235" t="str">
        <f>Deals_Raw!E235</f>
        <v>CT00148</v>
      </c>
      <c r="F235" t="str">
        <f>Deals_Raw!F235</f>
        <v>Finance</v>
      </c>
      <c r="G235" t="str">
        <f>Deals_Raw!G235</f>
        <v>Technology</v>
      </c>
      <c r="H235" t="str">
        <f>Deals_Raw!H235</f>
        <v>South</v>
      </c>
      <c r="I235" t="str">
        <f>Deals_Raw!I235</f>
        <v>South Commercial</v>
      </c>
      <c r="J235" t="str">
        <f>Deals_Raw!J235</f>
        <v>Mid-Market</v>
      </c>
      <c r="K235" t="str">
        <f>Deals_Raw!K235</f>
        <v>No</v>
      </c>
      <c r="L235">
        <f>Deals_Raw!L235</f>
        <v>43556</v>
      </c>
      <c r="M235">
        <f>Deals_Raw!M235</f>
        <v>76</v>
      </c>
      <c r="N235" t="str">
        <f>Deals_Raw!N235</f>
        <v>Nexus AI Assistant</v>
      </c>
      <c r="O235" t="str">
        <f>Deals_Raw!O235</f>
        <v>New Business</v>
      </c>
      <c r="P235">
        <f>Deals_Raw!P235</f>
        <v>0</v>
      </c>
      <c r="Q235">
        <f>Deals_Raw!Q235</f>
        <v>3</v>
      </c>
      <c r="R235">
        <f>Deals_Raw!R235</f>
        <v>143</v>
      </c>
      <c r="S235" t="str">
        <f>Deals_Raw!S235</f>
        <v>A. Patel</v>
      </c>
      <c r="T235" s="6">
        <f>Deals_Raw!T235</f>
        <v>75247.96241315818</v>
      </c>
      <c r="U235" s="8">
        <f>Deals_Raw!V235</f>
        <v>0.30299999999999999</v>
      </c>
      <c r="V235" s="8">
        <f>Deals_Raw!W235</f>
        <v>0.25800000000000001</v>
      </c>
      <c r="W235" s="8">
        <f>Deals_Raw!X235</f>
        <v>-7.9000000000000001E-2</v>
      </c>
      <c r="X235" t="str">
        <f>Deals_Raw!Y235</f>
        <v>Renewal retention risk</v>
      </c>
      <c r="Y235" t="str">
        <f>Deals_Raw!Z235</f>
        <v>Business Manager</v>
      </c>
      <c r="Z235" s="6">
        <f>Deals_Raw!AA235</f>
        <v>55825.998104450147</v>
      </c>
      <c r="AA235" s="6">
        <f>Deals_Raw!AC235</f>
        <v>29388.988788687439</v>
      </c>
      <c r="AB235" s="6">
        <f>Deals_Raw!AD235</f>
        <v>26437.009315762709</v>
      </c>
      <c r="AC235" s="8">
        <f>Deals_Raw!AE235</f>
        <v>0.47356088943182356</v>
      </c>
      <c r="AD235" t="str">
        <f>Deals_Raw!AF235</f>
        <v>Won</v>
      </c>
      <c r="AE235">
        <f>Deals_Raw!AG235</f>
        <v>0</v>
      </c>
      <c r="AF235">
        <f>Deals_Raw!AH235</f>
        <v>0</v>
      </c>
      <c r="AG235" t="str">
        <f>Deals_Raw!AI235</f>
        <v>No</v>
      </c>
      <c r="AH235" s="6">
        <f>Deals_Raw!AJ235</f>
        <v>55825.998104450147</v>
      </c>
      <c r="AI235" s="6">
        <f>Deals_Raw!AK235</f>
        <v>26437.009315762709</v>
      </c>
      <c r="AJ235" t="str">
        <f>Deals_Raw!AL235</f>
        <v>First purchase under this contract</v>
      </c>
      <c r="AK235" s="9">
        <f t="shared" si="21"/>
        <v>5.6361111111111111</v>
      </c>
      <c r="AL235" s="8">
        <f t="shared" si="22"/>
        <v>0.741893817641608</v>
      </c>
      <c r="AM235" s="8">
        <f t="shared" si="23"/>
        <v>4.4999999999999984E-2</v>
      </c>
      <c r="AN235" t="str">
        <f>IF(AC235&lt;Pricing_Policy!$C$10,"Below Floor","Pass")</f>
        <v>Pass</v>
      </c>
      <c r="AO235" t="str">
        <f>IF(V235&gt;Pricing_Policy!$C$7,"Exception","Standard")</f>
        <v>Standard</v>
      </c>
      <c r="AP235" t="str">
        <f t="shared" si="24"/>
        <v>Pass</v>
      </c>
      <c r="AQ235">
        <f t="shared" si="25"/>
        <v>1</v>
      </c>
      <c r="AR235" s="8">
        <f t="shared" si="26"/>
        <v>0.47356088943182356</v>
      </c>
      <c r="AS235">
        <f t="shared" si="27"/>
        <v>1</v>
      </c>
    </row>
    <row r="236" spans="1:45">
      <c r="A236" t="str">
        <f>Deals_Raw!A236</f>
        <v>D00262</v>
      </c>
      <c r="B236">
        <f>Deals_Raw!B236</f>
        <v>45395</v>
      </c>
      <c r="C236" t="str">
        <f>Deals_Raw!C236</f>
        <v>C0073</v>
      </c>
      <c r="D236" t="str">
        <f>Deals_Raw!D236</f>
        <v>TEC-0073</v>
      </c>
      <c r="E236" t="str">
        <f>Deals_Raw!E236</f>
        <v>CT00149</v>
      </c>
      <c r="F236" t="str">
        <f>Deals_Raw!F236</f>
        <v>Legal</v>
      </c>
      <c r="G236" t="str">
        <f>Deals_Raw!G236</f>
        <v>Technology</v>
      </c>
      <c r="H236" t="str">
        <f>Deals_Raw!H236</f>
        <v>South</v>
      </c>
      <c r="I236" t="str">
        <f>Deals_Raw!I236</f>
        <v>South Commercial</v>
      </c>
      <c r="J236" t="str">
        <f>Deals_Raw!J236</f>
        <v>Mid-Market</v>
      </c>
      <c r="K236" t="str">
        <f>Deals_Raw!K236</f>
        <v>No</v>
      </c>
      <c r="L236">
        <f>Deals_Raw!L236</f>
        <v>43556</v>
      </c>
      <c r="M236">
        <f>Deals_Raw!M236</f>
        <v>76</v>
      </c>
      <c r="N236" t="str">
        <f>Deals_Raw!N236</f>
        <v>Nexus Insights</v>
      </c>
      <c r="O236" t="str">
        <f>Deals_Raw!O236</f>
        <v>Expansion</v>
      </c>
      <c r="P236" t="str">
        <f>Deals_Raw!P236</f>
        <v>Seat Expansion</v>
      </c>
      <c r="Q236">
        <f>Deals_Raw!Q236</f>
        <v>1</v>
      </c>
      <c r="R236">
        <f>Deals_Raw!R236</f>
        <v>109</v>
      </c>
      <c r="S236" t="str">
        <f>Deals_Raw!S236</f>
        <v>R. Singh</v>
      </c>
      <c r="T236" s="6">
        <f>Deals_Raw!T236</f>
        <v>77006.629531664847</v>
      </c>
      <c r="U236" s="8">
        <f>Deals_Raw!V236</f>
        <v>0.16700000000000001</v>
      </c>
      <c r="V236" s="8">
        <f>Deals_Raw!W236</f>
        <v>0.14699999999999999</v>
      </c>
      <c r="W236" s="8">
        <f>Deals_Raw!X236</f>
        <v>3.5999999999999997E-2</v>
      </c>
      <c r="X236" t="str">
        <f>Deals_Raw!Y236</f>
        <v>Expansion opportunity</v>
      </c>
      <c r="Y236" t="str">
        <f>Deals_Raw!Z236</f>
        <v>Pricing Analyst</v>
      </c>
      <c r="Z236" s="6">
        <f>Deals_Raw!AA236</f>
        <v>65651.771800494316</v>
      </c>
      <c r="AA236" s="6">
        <f>Deals_Raw!AC236</f>
        <v>20744.336859194438</v>
      </c>
      <c r="AB236" s="6">
        <f>Deals_Raw!AD236</f>
        <v>44907.434941299878</v>
      </c>
      <c r="AC236" s="8">
        <f>Deals_Raw!AE236</f>
        <v>0.6840247217967963</v>
      </c>
      <c r="AD236" t="str">
        <f>Deals_Raw!AF236</f>
        <v>Won</v>
      </c>
      <c r="AE236">
        <f>Deals_Raw!AG236</f>
        <v>0</v>
      </c>
      <c r="AF236" t="str">
        <f>Deals_Raw!AH236</f>
        <v>Yes</v>
      </c>
      <c r="AG236" t="str">
        <f>Deals_Raw!AI236</f>
        <v>No</v>
      </c>
      <c r="AH236" s="6">
        <f>Deals_Raw!AJ236</f>
        <v>65651.771800494316</v>
      </c>
      <c r="AI236" s="6">
        <f>Deals_Raw!AK236</f>
        <v>44907.434941299878</v>
      </c>
      <c r="AJ236" t="str">
        <f>Deals_Raw!AL236</f>
        <v>Expansion allowed because contract was active</v>
      </c>
      <c r="AK236" s="9">
        <f t="shared" si="21"/>
        <v>5.0333333333333332</v>
      </c>
      <c r="AL236" s="8">
        <f t="shared" si="22"/>
        <v>0.85254701055963689</v>
      </c>
      <c r="AM236" s="8">
        <f t="shared" si="23"/>
        <v>2.0000000000000018E-2</v>
      </c>
      <c r="AN236" t="str">
        <f>IF(AC236&lt;Pricing_Policy!$C$10,"Below Floor","Pass")</f>
        <v>Pass</v>
      </c>
      <c r="AO236" t="str">
        <f>IF(V236&gt;Pricing_Policy!$C$7,"Exception","Standard")</f>
        <v>Standard</v>
      </c>
      <c r="AP236" t="str">
        <f t="shared" si="24"/>
        <v>Pass</v>
      </c>
      <c r="AQ236">
        <f t="shared" si="25"/>
        <v>1</v>
      </c>
      <c r="AR236" s="8">
        <f t="shared" si="26"/>
        <v>0.6840247217967963</v>
      </c>
      <c r="AS236">
        <f t="shared" si="27"/>
        <v>3</v>
      </c>
    </row>
    <row r="237" spans="1:45">
      <c r="A237" t="str">
        <f>Deals_Raw!A237</f>
        <v>D00263</v>
      </c>
      <c r="B237">
        <f>Deals_Raw!B237</f>
        <v>45508</v>
      </c>
      <c r="C237" t="str">
        <f>Deals_Raw!C237</f>
        <v>C0073</v>
      </c>
      <c r="D237" t="str">
        <f>Deals_Raw!D237</f>
        <v>TEC-0073</v>
      </c>
      <c r="E237" t="str">
        <f>Deals_Raw!E237</f>
        <v>CT00149</v>
      </c>
      <c r="F237" t="str">
        <f>Deals_Raw!F237</f>
        <v>Legal</v>
      </c>
      <c r="G237" t="str">
        <f>Deals_Raw!G237</f>
        <v>Technology</v>
      </c>
      <c r="H237" t="str">
        <f>Deals_Raw!H237</f>
        <v>South</v>
      </c>
      <c r="I237" t="str">
        <f>Deals_Raw!I237</f>
        <v>South Commercial</v>
      </c>
      <c r="J237" t="str">
        <f>Deals_Raw!J237</f>
        <v>Mid-Market</v>
      </c>
      <c r="K237" t="str">
        <f>Deals_Raw!K237</f>
        <v>No</v>
      </c>
      <c r="L237">
        <f>Deals_Raw!L237</f>
        <v>43556</v>
      </c>
      <c r="M237">
        <f>Deals_Raw!M237</f>
        <v>76</v>
      </c>
      <c r="N237" t="str">
        <f>Deals_Raw!N237</f>
        <v>Nexus Insights</v>
      </c>
      <c r="O237" t="str">
        <f>Deals_Raw!O237</f>
        <v>Renewal</v>
      </c>
      <c r="P237">
        <f>Deals_Raw!P237</f>
        <v>0</v>
      </c>
      <c r="Q237">
        <f>Deals_Raw!Q237</f>
        <v>1</v>
      </c>
      <c r="R237">
        <f>Deals_Raw!R237</f>
        <v>109</v>
      </c>
      <c r="S237" t="str">
        <f>Deals_Raw!S237</f>
        <v>K. Nguyen</v>
      </c>
      <c r="T237" s="6">
        <f>Deals_Raw!T237</f>
        <v>80187.024649612344</v>
      </c>
      <c r="U237" s="8">
        <f>Deals_Raw!V237</f>
        <v>8.5999999999999993E-2</v>
      </c>
      <c r="V237" s="8">
        <f>Deals_Raw!W237</f>
        <v>8.2000000000000003E-2</v>
      </c>
      <c r="W237" s="8">
        <f>Deals_Raw!X237</f>
        <v>0.01</v>
      </c>
      <c r="X237" t="str">
        <f>Deals_Raw!Y237</f>
        <v>Strategic logo opportunity</v>
      </c>
      <c r="Y237" t="str">
        <f>Deals_Raw!Z237</f>
        <v>Sales Manager</v>
      </c>
      <c r="Z237" s="6">
        <f>Deals_Raw!AA237</f>
        <v>73594.986070498315</v>
      </c>
      <c r="AA237" s="6">
        <f>Deals_Raw!AC237</f>
        <v>22508.688956705515</v>
      </c>
      <c r="AB237" s="6">
        <f>Deals_Raw!AD237</f>
        <v>51086.297113792796</v>
      </c>
      <c r="AC237" s="8">
        <f>Deals_Raw!AE237</f>
        <v>0.69415458635804439</v>
      </c>
      <c r="AD237" t="str">
        <f>Deals_Raw!AF237</f>
        <v>Won</v>
      </c>
      <c r="AE237" t="str">
        <f>Deals_Raw!AG237</f>
        <v>Yes</v>
      </c>
      <c r="AF237">
        <f>Deals_Raw!AH237</f>
        <v>0</v>
      </c>
      <c r="AG237" t="str">
        <f>Deals_Raw!AI237</f>
        <v>No</v>
      </c>
      <c r="AH237" s="6">
        <f>Deals_Raw!AJ237</f>
        <v>73594.986070498315</v>
      </c>
      <c r="AI237" s="6">
        <f>Deals_Raw!AK237</f>
        <v>51086.297113792796</v>
      </c>
      <c r="AJ237" t="str">
        <f>Deals_Raw!AL237</f>
        <v>Renewal of existing active contract</v>
      </c>
      <c r="AK237" s="9">
        <f t="shared" si="21"/>
        <v>5.3416666666666668</v>
      </c>
      <c r="AL237" s="8">
        <f t="shared" si="22"/>
        <v>0.91779170498071472</v>
      </c>
      <c r="AM237" s="8">
        <f t="shared" si="23"/>
        <v>3.9999999999999897E-3</v>
      </c>
      <c r="AN237" t="str">
        <f>IF(AC237&lt;Pricing_Policy!$C$10,"Below Floor","Pass")</f>
        <v>Pass</v>
      </c>
      <c r="AO237" t="str">
        <f>IF(V237&gt;Pricing_Policy!$C$7,"Exception","Standard")</f>
        <v>Standard</v>
      </c>
      <c r="AP237" t="str">
        <f t="shared" si="24"/>
        <v>Pass</v>
      </c>
      <c r="AQ237">
        <f t="shared" si="25"/>
        <v>1</v>
      </c>
      <c r="AR237" s="8">
        <f t="shared" si="26"/>
        <v>0.69415458635804439</v>
      </c>
      <c r="AS237">
        <f t="shared" si="27"/>
        <v>3</v>
      </c>
    </row>
    <row r="238" spans="1:45">
      <c r="A238" t="str">
        <f>Deals_Raw!A238</f>
        <v>D00264</v>
      </c>
      <c r="B238">
        <f>Deals_Raw!B238</f>
        <v>45873</v>
      </c>
      <c r="C238" t="str">
        <f>Deals_Raw!C238</f>
        <v>C0073</v>
      </c>
      <c r="D238" t="str">
        <f>Deals_Raw!D238</f>
        <v>TEC-0073</v>
      </c>
      <c r="E238" t="str">
        <f>Deals_Raw!E238</f>
        <v>CT00149</v>
      </c>
      <c r="F238" t="str">
        <f>Deals_Raw!F238</f>
        <v>Legal</v>
      </c>
      <c r="G238" t="str">
        <f>Deals_Raw!G238</f>
        <v>Technology</v>
      </c>
      <c r="H238" t="str">
        <f>Deals_Raw!H238</f>
        <v>South</v>
      </c>
      <c r="I238" t="str">
        <f>Deals_Raw!I238</f>
        <v>South Commercial</v>
      </c>
      <c r="J238" t="str">
        <f>Deals_Raw!J238</f>
        <v>Mid-Market</v>
      </c>
      <c r="K238" t="str">
        <f>Deals_Raw!K238</f>
        <v>No</v>
      </c>
      <c r="L238">
        <f>Deals_Raw!L238</f>
        <v>43556</v>
      </c>
      <c r="M238">
        <f>Deals_Raw!M238</f>
        <v>76</v>
      </c>
      <c r="N238" t="str">
        <f>Deals_Raw!N238</f>
        <v>Nexus Insights</v>
      </c>
      <c r="O238" t="str">
        <f>Deals_Raw!O238</f>
        <v>Renewal</v>
      </c>
      <c r="P238">
        <f>Deals_Raw!P238</f>
        <v>0</v>
      </c>
      <c r="Q238">
        <f>Deals_Raw!Q238</f>
        <v>1</v>
      </c>
      <c r="R238">
        <f>Deals_Raw!R238</f>
        <v>109</v>
      </c>
      <c r="S238" t="str">
        <f>Deals_Raw!S238</f>
        <v>T. Brooks</v>
      </c>
      <c r="T238" s="6">
        <f>Deals_Raw!T238</f>
        <v>83502.420879554076</v>
      </c>
      <c r="U238" s="8">
        <f>Deals_Raw!V238</f>
        <v>0.245</v>
      </c>
      <c r="V238" s="8">
        <f>Deals_Raw!W238</f>
        <v>0.189</v>
      </c>
      <c r="W238" s="8">
        <f>Deals_Raw!X238</f>
        <v>5.6000000000000001E-2</v>
      </c>
      <c r="X238" t="str">
        <f>Deals_Raw!Y238</f>
        <v>Budget constraint</v>
      </c>
      <c r="Y238" t="str">
        <f>Deals_Raw!Z238</f>
        <v>Pricing Analyst</v>
      </c>
      <c r="Z238" s="6">
        <f>Deals_Raw!AA238</f>
        <v>67680.320691414992</v>
      </c>
      <c r="AA238" s="6">
        <f>Deals_Raw!AC238</f>
        <v>22509.292729644207</v>
      </c>
      <c r="AB238" s="6">
        <f>Deals_Raw!AD238</f>
        <v>45171.027961770786</v>
      </c>
      <c r="AC238" s="8">
        <f>Deals_Raw!AE238</f>
        <v>0.6674174634562654</v>
      </c>
      <c r="AD238" t="str">
        <f>Deals_Raw!AF238</f>
        <v>Won</v>
      </c>
      <c r="AE238" t="str">
        <f>Deals_Raw!AG238</f>
        <v>Yes</v>
      </c>
      <c r="AF238">
        <f>Deals_Raw!AH238</f>
        <v>0</v>
      </c>
      <c r="AG238" t="str">
        <f>Deals_Raw!AI238</f>
        <v>No</v>
      </c>
      <c r="AH238" s="6">
        <f>Deals_Raw!AJ238</f>
        <v>67680.320691414992</v>
      </c>
      <c r="AI238" s="6">
        <f>Deals_Raw!AK238</f>
        <v>45171.027961770786</v>
      </c>
      <c r="AJ238" t="str">
        <f>Deals_Raw!AL238</f>
        <v>Renewal of existing active contract</v>
      </c>
      <c r="AK238" s="9">
        <f t="shared" si="21"/>
        <v>6.3416666666666668</v>
      </c>
      <c r="AL238" s="8">
        <f t="shared" si="22"/>
        <v>0.81051926373534411</v>
      </c>
      <c r="AM238" s="8">
        <f t="shared" si="23"/>
        <v>5.5999999999999994E-2</v>
      </c>
      <c r="AN238" t="str">
        <f>IF(AC238&lt;Pricing_Policy!$C$10,"Below Floor","Pass")</f>
        <v>Pass</v>
      </c>
      <c r="AO238" t="str">
        <f>IF(V238&gt;Pricing_Policy!$C$7,"Exception","Standard")</f>
        <v>Standard</v>
      </c>
      <c r="AP238" t="str">
        <f t="shared" si="24"/>
        <v>Pass</v>
      </c>
      <c r="AQ238">
        <f t="shared" si="25"/>
        <v>1</v>
      </c>
      <c r="AR238" s="8">
        <f t="shared" si="26"/>
        <v>0.6674174634562654</v>
      </c>
      <c r="AS238">
        <f t="shared" si="27"/>
        <v>3</v>
      </c>
    </row>
    <row r="239" spans="1:45">
      <c r="A239" t="str">
        <f>Deals_Raw!A239</f>
        <v>D00265</v>
      </c>
      <c r="B239">
        <f>Deals_Raw!B239</f>
        <v>45395</v>
      </c>
      <c r="C239" t="str">
        <f>Deals_Raw!C239</f>
        <v>C0074</v>
      </c>
      <c r="D239" t="str">
        <f>Deals_Raw!D239</f>
        <v>PUB-0074</v>
      </c>
      <c r="E239" t="str">
        <f>Deals_Raw!E239</f>
        <v>CT00150</v>
      </c>
      <c r="F239" t="str">
        <f>Deals_Raw!F239</f>
        <v>Technology</v>
      </c>
      <c r="G239" t="str">
        <f>Deals_Raw!G239</f>
        <v>Public Sector</v>
      </c>
      <c r="H239" t="str">
        <f>Deals_Raw!H239</f>
        <v>Midwest</v>
      </c>
      <c r="I239" t="str">
        <f>Deals_Raw!I239</f>
        <v>Midwest Commercial</v>
      </c>
      <c r="J239" t="str">
        <f>Deals_Raw!J239</f>
        <v>Mid-Market</v>
      </c>
      <c r="K239" t="str">
        <f>Deals_Raw!K239</f>
        <v>No</v>
      </c>
      <c r="L239">
        <f>Deals_Raw!L239</f>
        <v>45231</v>
      </c>
      <c r="M239">
        <f>Deals_Raw!M239</f>
        <v>87</v>
      </c>
      <c r="N239" t="str">
        <f>Deals_Raw!N239</f>
        <v>Nexus Compliance</v>
      </c>
      <c r="O239" t="str">
        <f>Deals_Raw!O239</f>
        <v>New Business</v>
      </c>
      <c r="P239">
        <f>Deals_Raw!P239</f>
        <v>0</v>
      </c>
      <c r="Q239">
        <f>Deals_Raw!Q239</f>
        <v>2</v>
      </c>
      <c r="R239">
        <f>Deals_Raw!R239</f>
        <v>60</v>
      </c>
      <c r="S239" t="str">
        <f>Deals_Raw!S239</f>
        <v>L. Williams</v>
      </c>
      <c r="T239" s="6">
        <f>Deals_Raw!T239</f>
        <v>188934.95449437317</v>
      </c>
      <c r="U239" s="8">
        <f>Deals_Raw!V239</f>
        <v>0.16500000000000001</v>
      </c>
      <c r="V239" s="8">
        <f>Deals_Raw!W239</f>
        <v>0.14099999999999999</v>
      </c>
      <c r="W239" s="8">
        <f>Deals_Raw!X239</f>
        <v>5.8999999999999997E-2</v>
      </c>
      <c r="X239" t="str">
        <f>Deals_Raw!Y239</f>
        <v>Volume purchase</v>
      </c>
      <c r="Y239" t="str">
        <f>Deals_Raw!Z239</f>
        <v>Pricing Analyst</v>
      </c>
      <c r="Z239" s="6">
        <f>Deals_Raw!AA239</f>
        <v>162225.43853180212</v>
      </c>
      <c r="AA239" s="6">
        <f>Deals_Raw!AC239</f>
        <v>65639.452421605223</v>
      </c>
      <c r="AB239" s="6">
        <f>Deals_Raw!AD239</f>
        <v>96585.9861101969</v>
      </c>
      <c r="AC239" s="8">
        <f>Deals_Raw!AE239</f>
        <v>0.59538126069705466</v>
      </c>
      <c r="AD239" t="str">
        <f>Deals_Raw!AF239</f>
        <v>Won</v>
      </c>
      <c r="AE239">
        <f>Deals_Raw!AG239</f>
        <v>0</v>
      </c>
      <c r="AF239">
        <f>Deals_Raw!AH239</f>
        <v>0</v>
      </c>
      <c r="AG239" t="str">
        <f>Deals_Raw!AI239</f>
        <v>No</v>
      </c>
      <c r="AH239" s="6">
        <f>Deals_Raw!AJ239</f>
        <v>162225.43853180212</v>
      </c>
      <c r="AI239" s="6">
        <f>Deals_Raw!AK239</f>
        <v>96585.9861101969</v>
      </c>
      <c r="AJ239" t="str">
        <f>Deals_Raw!AL239</f>
        <v>First purchase under this contract</v>
      </c>
      <c r="AK239" s="9">
        <f t="shared" si="21"/>
        <v>0.45</v>
      </c>
      <c r="AL239" s="8">
        <f t="shared" si="22"/>
        <v>0.85863115677005919</v>
      </c>
      <c r="AM239" s="8">
        <f t="shared" si="23"/>
        <v>2.4000000000000021E-2</v>
      </c>
      <c r="AN239" t="str">
        <f>IF(AC239&lt;Pricing_Policy!$C$10,"Below Floor","Pass")</f>
        <v>Pass</v>
      </c>
      <c r="AO239" t="str">
        <f>IF(V239&gt;Pricing_Policy!$C$7,"Exception","Standard")</f>
        <v>Standard</v>
      </c>
      <c r="AP239" t="str">
        <f t="shared" si="24"/>
        <v>Pass</v>
      </c>
      <c r="AQ239">
        <f t="shared" si="25"/>
        <v>1</v>
      </c>
      <c r="AR239" s="8">
        <f t="shared" si="26"/>
        <v>0.59538126069705466</v>
      </c>
      <c r="AS239">
        <f t="shared" si="27"/>
        <v>1</v>
      </c>
    </row>
    <row r="240" spans="1:45">
      <c r="A240" t="str">
        <f>Deals_Raw!A240</f>
        <v>D00266</v>
      </c>
      <c r="B240">
        <f>Deals_Raw!B240</f>
        <v>45576</v>
      </c>
      <c r="C240" t="str">
        <f>Deals_Raw!C240</f>
        <v>C0074</v>
      </c>
      <c r="D240" t="str">
        <f>Deals_Raw!D240</f>
        <v>PUB-0074</v>
      </c>
      <c r="E240" t="str">
        <f>Deals_Raw!E240</f>
        <v>CT00151</v>
      </c>
      <c r="F240" t="str">
        <f>Deals_Raw!F240</f>
        <v>Technology</v>
      </c>
      <c r="G240" t="str">
        <f>Deals_Raw!G240</f>
        <v>Public Sector</v>
      </c>
      <c r="H240" t="str">
        <f>Deals_Raw!H240</f>
        <v>Midwest</v>
      </c>
      <c r="I240" t="str">
        <f>Deals_Raw!I240</f>
        <v>Midwest Commercial</v>
      </c>
      <c r="J240" t="str">
        <f>Deals_Raw!J240</f>
        <v>Mid-Market</v>
      </c>
      <c r="K240" t="str">
        <f>Deals_Raw!K240</f>
        <v>No</v>
      </c>
      <c r="L240">
        <f>Deals_Raw!L240</f>
        <v>45231</v>
      </c>
      <c r="M240">
        <f>Deals_Raw!M240</f>
        <v>87</v>
      </c>
      <c r="N240" t="str">
        <f>Deals_Raw!N240</f>
        <v>Nexus Insights</v>
      </c>
      <c r="O240" t="str">
        <f>Deals_Raw!O240</f>
        <v>New Business</v>
      </c>
      <c r="P240">
        <f>Deals_Raw!P240</f>
        <v>0</v>
      </c>
      <c r="Q240">
        <f>Deals_Raw!Q240</f>
        <v>3</v>
      </c>
      <c r="R240">
        <f>Deals_Raw!R240</f>
        <v>76</v>
      </c>
      <c r="S240" t="str">
        <f>Deals_Raw!S240</f>
        <v>S. Rivera</v>
      </c>
      <c r="T240" s="6">
        <f>Deals_Raw!T240</f>
        <v>44571.821609145867</v>
      </c>
      <c r="U240" s="8">
        <f>Deals_Raw!V240</f>
        <v>0.17100000000000001</v>
      </c>
      <c r="V240" s="8">
        <f>Deals_Raw!W240</f>
        <v>0.158</v>
      </c>
      <c r="W240" s="8">
        <f>Deals_Raw!X240</f>
        <v>-6.6000000000000003E-2</v>
      </c>
      <c r="X240" t="str">
        <f>Deals_Raw!Y240</f>
        <v>Strategic logo opportunity</v>
      </c>
      <c r="Y240" t="str">
        <f>Deals_Raw!Z240</f>
        <v>Pricing Analyst</v>
      </c>
      <c r="Z240" s="6">
        <f>Deals_Raw!AA240</f>
        <v>37546.171741247184</v>
      </c>
      <c r="AA240" s="6">
        <f>Deals_Raw!AC240</f>
        <v>13373.47188573787</v>
      </c>
      <c r="AB240" s="6">
        <f>Deals_Raw!AD240</f>
        <v>24172.699855509316</v>
      </c>
      <c r="AC240" s="8">
        <f>Deals_Raw!AE240</f>
        <v>0.64381263746668094</v>
      </c>
      <c r="AD240" t="str">
        <f>Deals_Raw!AF240</f>
        <v>Won</v>
      </c>
      <c r="AE240">
        <f>Deals_Raw!AG240</f>
        <v>0</v>
      </c>
      <c r="AF240">
        <f>Deals_Raw!AH240</f>
        <v>0</v>
      </c>
      <c r="AG240" t="str">
        <f>Deals_Raw!AI240</f>
        <v>No</v>
      </c>
      <c r="AH240" s="6">
        <f>Deals_Raw!AJ240</f>
        <v>37546.171741247184</v>
      </c>
      <c r="AI240" s="6">
        <f>Deals_Raw!AK240</f>
        <v>24172.699855509316</v>
      </c>
      <c r="AJ240" t="str">
        <f>Deals_Raw!AL240</f>
        <v>First purchase under this contract</v>
      </c>
      <c r="AK240" s="9">
        <f t="shared" si="21"/>
        <v>0.94444444444444442</v>
      </c>
      <c r="AL240" s="8">
        <f t="shared" si="22"/>
        <v>0.84237463010807123</v>
      </c>
      <c r="AM240" s="8">
        <f t="shared" si="23"/>
        <v>1.3000000000000012E-2</v>
      </c>
      <c r="AN240" t="str">
        <f>IF(AC240&lt;Pricing_Policy!$C$10,"Below Floor","Pass")</f>
        <v>Pass</v>
      </c>
      <c r="AO240" t="str">
        <f>IF(V240&gt;Pricing_Policy!$C$7,"Exception","Standard")</f>
        <v>Standard</v>
      </c>
      <c r="AP240" t="str">
        <f t="shared" si="24"/>
        <v>Pass</v>
      </c>
      <c r="AQ240">
        <f t="shared" si="25"/>
        <v>1</v>
      </c>
      <c r="AR240" s="8">
        <f t="shared" si="26"/>
        <v>0.64381263746668094</v>
      </c>
      <c r="AS240">
        <f t="shared" si="27"/>
        <v>1</v>
      </c>
    </row>
    <row r="241" spans="1:45">
      <c r="A241" t="str">
        <f>Deals_Raw!A241</f>
        <v>D00267</v>
      </c>
      <c r="B241">
        <f>Deals_Raw!B241</f>
        <v>45759</v>
      </c>
      <c r="C241" t="str">
        <f>Deals_Raw!C241</f>
        <v>C0075</v>
      </c>
      <c r="D241" t="str">
        <f>Deals_Raw!D241</f>
        <v>PUB-0075</v>
      </c>
      <c r="E241" t="str">
        <f>Deals_Raw!E241</f>
        <v>CT00152</v>
      </c>
      <c r="F241" t="str">
        <f>Deals_Raw!F241</f>
        <v>Legal</v>
      </c>
      <c r="G241" t="str">
        <f>Deals_Raw!G241</f>
        <v>Public Sector</v>
      </c>
      <c r="H241" t="str">
        <f>Deals_Raw!H241</f>
        <v>West</v>
      </c>
      <c r="I241" t="str">
        <f>Deals_Raw!I241</f>
        <v>West Commercial</v>
      </c>
      <c r="J241" t="str">
        <f>Deals_Raw!J241</f>
        <v>SMB</v>
      </c>
      <c r="K241" t="str">
        <f>Deals_Raw!K241</f>
        <v>No</v>
      </c>
      <c r="L241">
        <f>Deals_Raw!L241</f>
        <v>45017</v>
      </c>
      <c r="M241">
        <f>Deals_Raw!M241</f>
        <v>59</v>
      </c>
      <c r="N241" t="str">
        <f>Deals_Raw!N241</f>
        <v>Nexus Compliance</v>
      </c>
      <c r="O241" t="str">
        <f>Deals_Raw!O241</f>
        <v>New Business</v>
      </c>
      <c r="P241">
        <f>Deals_Raw!P241</f>
        <v>0</v>
      </c>
      <c r="Q241">
        <f>Deals_Raw!Q241</f>
        <v>1</v>
      </c>
      <c r="R241">
        <f>Deals_Raw!R241</f>
        <v>71</v>
      </c>
      <c r="S241" t="str">
        <f>Deals_Raw!S241</f>
        <v>R. Singh</v>
      </c>
      <c r="T241" s="6">
        <f>Deals_Raw!T241</f>
        <v>69007.137860572358</v>
      </c>
      <c r="U241" s="8">
        <f>Deals_Raw!V241</f>
        <v>4.8000000000000001E-2</v>
      </c>
      <c r="V241" s="8">
        <f>Deals_Raw!W241</f>
        <v>1.9E-2</v>
      </c>
      <c r="W241" s="8">
        <f>Deals_Raw!X241</f>
        <v>-3.1E-2</v>
      </c>
      <c r="X241" t="str">
        <f>Deals_Raw!Y241</f>
        <v>Renewal retention risk</v>
      </c>
      <c r="Y241" t="str">
        <f>Deals_Raw!Z241</f>
        <v>Sales Manager</v>
      </c>
      <c r="Z241" s="6">
        <f>Deals_Raw!AA241</f>
        <v>67715.361543148727</v>
      </c>
      <c r="AA241" s="6">
        <f>Deals_Raw!AC241</f>
        <v>25396.098071913024</v>
      </c>
      <c r="AB241" s="6">
        <f>Deals_Raw!AD241</f>
        <v>42319.263471235703</v>
      </c>
      <c r="AC241" s="8">
        <f>Deals_Raw!AE241</f>
        <v>0.62495809675725589</v>
      </c>
      <c r="AD241" t="str">
        <f>Deals_Raw!AF241</f>
        <v>Won</v>
      </c>
      <c r="AE241">
        <f>Deals_Raw!AG241</f>
        <v>0</v>
      </c>
      <c r="AF241">
        <f>Deals_Raw!AH241</f>
        <v>0</v>
      </c>
      <c r="AG241" t="str">
        <f>Deals_Raw!AI241</f>
        <v>No</v>
      </c>
      <c r="AH241" s="6">
        <f>Deals_Raw!AJ241</f>
        <v>67715.361543148727</v>
      </c>
      <c r="AI241" s="6">
        <f>Deals_Raw!AK241</f>
        <v>42319.263471235703</v>
      </c>
      <c r="AJ241" t="str">
        <f>Deals_Raw!AL241</f>
        <v>First purchase under this contract</v>
      </c>
      <c r="AK241" s="9">
        <f t="shared" si="21"/>
        <v>2.0305555555555554</v>
      </c>
      <c r="AL241" s="8">
        <f t="shared" si="22"/>
        <v>0.98128054057199643</v>
      </c>
      <c r="AM241" s="8">
        <f t="shared" si="23"/>
        <v>2.9000000000000001E-2</v>
      </c>
      <c r="AN241" t="str">
        <f>IF(AC241&lt;Pricing_Policy!$C$10,"Below Floor","Pass")</f>
        <v>Pass</v>
      </c>
      <c r="AO241" t="str">
        <f>IF(V241&gt;Pricing_Policy!$C$7,"Exception","Standard")</f>
        <v>Standard</v>
      </c>
      <c r="AP241" t="str">
        <f t="shared" si="24"/>
        <v>Pass</v>
      </c>
      <c r="AQ241">
        <f t="shared" si="25"/>
        <v>1</v>
      </c>
      <c r="AR241" s="8">
        <f t="shared" si="26"/>
        <v>0.62495809675725589</v>
      </c>
      <c r="AS241">
        <f t="shared" si="27"/>
        <v>1</v>
      </c>
    </row>
    <row r="242" spans="1:45">
      <c r="A242" t="str">
        <f>Deals_Raw!A242</f>
        <v>D00268</v>
      </c>
      <c r="B242">
        <f>Deals_Raw!B242</f>
        <v>45870</v>
      </c>
      <c r="C242" t="str">
        <f>Deals_Raw!C242</f>
        <v>C0075</v>
      </c>
      <c r="D242" t="str">
        <f>Deals_Raw!D242</f>
        <v>PUB-0075</v>
      </c>
      <c r="E242" t="str">
        <f>Deals_Raw!E242</f>
        <v>CT00153</v>
      </c>
      <c r="F242" t="str">
        <f>Deals_Raw!F242</f>
        <v>Legal</v>
      </c>
      <c r="G242" t="str">
        <f>Deals_Raw!G242</f>
        <v>Public Sector</v>
      </c>
      <c r="H242" t="str">
        <f>Deals_Raw!H242</f>
        <v>West</v>
      </c>
      <c r="I242" t="str">
        <f>Deals_Raw!I242</f>
        <v>West Commercial</v>
      </c>
      <c r="J242" t="str">
        <f>Deals_Raw!J242</f>
        <v>SMB</v>
      </c>
      <c r="K242" t="str">
        <f>Deals_Raw!K242</f>
        <v>No</v>
      </c>
      <c r="L242">
        <f>Deals_Raw!L242</f>
        <v>45017</v>
      </c>
      <c r="M242">
        <f>Deals_Raw!M242</f>
        <v>59</v>
      </c>
      <c r="N242" t="str">
        <f>Deals_Raw!N242</f>
        <v>Nexus AI Assistant</v>
      </c>
      <c r="O242" t="str">
        <f>Deals_Raw!O242</f>
        <v>Expansion</v>
      </c>
      <c r="P242" t="str">
        <f>Deals_Raw!P242</f>
        <v>Storage / Usage Expansion</v>
      </c>
      <c r="Q242">
        <f>Deals_Raw!Q242</f>
        <v>2</v>
      </c>
      <c r="R242">
        <f>Deals_Raw!R242</f>
        <v>34</v>
      </c>
      <c r="S242" t="str">
        <f>Deals_Raw!S242</f>
        <v>R. Singh</v>
      </c>
      <c r="T242" s="6">
        <f>Deals_Raw!T242</f>
        <v>43812.083933674141</v>
      </c>
      <c r="U242" s="8">
        <f>Deals_Raw!V242</f>
        <v>0.13800000000000001</v>
      </c>
      <c r="V242" s="8">
        <f>Deals_Raw!W242</f>
        <v>0.122</v>
      </c>
      <c r="W242" s="8">
        <f>Deals_Raw!X242</f>
        <v>-2.1000000000000001E-2</v>
      </c>
      <c r="X242" t="str">
        <f>Deals_Raw!Y242</f>
        <v>Expansion opportunity</v>
      </c>
      <c r="Y242" t="str">
        <f>Deals_Raw!Z242</f>
        <v>Pricing Analyst</v>
      </c>
      <c r="Z242" s="6">
        <f>Deals_Raw!AA242</f>
        <v>38446.847196104965</v>
      </c>
      <c r="AA242" s="6">
        <f>Deals_Raw!AC242</f>
        <v>17214.101288235499</v>
      </c>
      <c r="AB242" s="6">
        <f>Deals_Raw!AD242</f>
        <v>21232.745907869466</v>
      </c>
      <c r="AC242" s="8">
        <f>Deals_Raw!AE242</f>
        <v>0.55226234285396869</v>
      </c>
      <c r="AD242" t="str">
        <f>Deals_Raw!AF242</f>
        <v>Won</v>
      </c>
      <c r="AE242">
        <f>Deals_Raw!AG242</f>
        <v>0</v>
      </c>
      <c r="AF242" t="str">
        <f>Deals_Raw!AH242</f>
        <v>Yes</v>
      </c>
      <c r="AG242" t="str">
        <f>Deals_Raw!AI242</f>
        <v>No</v>
      </c>
      <c r="AH242" s="6">
        <f>Deals_Raw!AJ242</f>
        <v>38446.847196104965</v>
      </c>
      <c r="AI242" s="6">
        <f>Deals_Raw!AK242</f>
        <v>21232.745907869466</v>
      </c>
      <c r="AJ242" t="str">
        <f>Deals_Raw!AL242</f>
        <v>Expansion allowed because contract was active</v>
      </c>
      <c r="AK242" s="9">
        <f t="shared" si="21"/>
        <v>2.3333333333333335</v>
      </c>
      <c r="AL242" s="8">
        <f t="shared" si="22"/>
        <v>0.87753979596835763</v>
      </c>
      <c r="AM242" s="8">
        <f t="shared" si="23"/>
        <v>1.6000000000000014E-2</v>
      </c>
      <c r="AN242" t="str">
        <f>IF(AC242&lt;Pricing_Policy!$C$10,"Below Floor","Pass")</f>
        <v>Pass</v>
      </c>
      <c r="AO242" t="str">
        <f>IF(V242&gt;Pricing_Policy!$C$7,"Exception","Standard")</f>
        <v>Standard</v>
      </c>
      <c r="AP242" t="str">
        <f t="shared" si="24"/>
        <v>Pass</v>
      </c>
      <c r="AQ242">
        <f t="shared" si="25"/>
        <v>1</v>
      </c>
      <c r="AR242" s="8">
        <f t="shared" si="26"/>
        <v>0.55226234285396869</v>
      </c>
      <c r="AS242">
        <f t="shared" si="27"/>
        <v>2</v>
      </c>
    </row>
    <row r="243" spans="1:45">
      <c r="A243" t="str">
        <f>Deals_Raw!A243</f>
        <v>D00269</v>
      </c>
      <c r="B243">
        <f>Deals_Raw!B243</f>
        <v>45969</v>
      </c>
      <c r="C243" t="str">
        <f>Deals_Raw!C243</f>
        <v>C0075</v>
      </c>
      <c r="D243" t="str">
        <f>Deals_Raw!D243</f>
        <v>PUB-0075</v>
      </c>
      <c r="E243" t="str">
        <f>Deals_Raw!E243</f>
        <v>CT00153</v>
      </c>
      <c r="F243" t="str">
        <f>Deals_Raw!F243</f>
        <v>Legal</v>
      </c>
      <c r="G243" t="str">
        <f>Deals_Raw!G243</f>
        <v>Public Sector</v>
      </c>
      <c r="H243" t="str">
        <f>Deals_Raw!H243</f>
        <v>West</v>
      </c>
      <c r="I243" t="str">
        <f>Deals_Raw!I243</f>
        <v>West Commercial</v>
      </c>
      <c r="J243" t="str">
        <f>Deals_Raw!J243</f>
        <v>SMB</v>
      </c>
      <c r="K243" t="str">
        <f>Deals_Raw!K243</f>
        <v>No</v>
      </c>
      <c r="L243">
        <f>Deals_Raw!L243</f>
        <v>45017</v>
      </c>
      <c r="M243">
        <f>Deals_Raw!M243</f>
        <v>59</v>
      </c>
      <c r="N243" t="str">
        <f>Deals_Raw!N243</f>
        <v>Nexus AI Assistant</v>
      </c>
      <c r="O243" t="str">
        <f>Deals_Raw!O243</f>
        <v>Renewal</v>
      </c>
      <c r="P243">
        <f>Deals_Raw!P243</f>
        <v>0</v>
      </c>
      <c r="Q243">
        <f>Deals_Raw!Q243</f>
        <v>2</v>
      </c>
      <c r="R243">
        <f>Deals_Raw!R243</f>
        <v>34</v>
      </c>
      <c r="S243" t="str">
        <f>Deals_Raw!S243</f>
        <v>D. Chen</v>
      </c>
      <c r="T243" s="6">
        <f>Deals_Raw!T243</f>
        <v>46937.184566034797</v>
      </c>
      <c r="U243" s="8">
        <f>Deals_Raw!V243</f>
        <v>0.17599999999999999</v>
      </c>
      <c r="V243" s="8">
        <f>Deals_Raw!W243</f>
        <v>0.129</v>
      </c>
      <c r="W243" s="8">
        <f>Deals_Raw!X243</f>
        <v>-5.8000000000000003E-2</v>
      </c>
      <c r="X243" t="str">
        <f>Deals_Raw!Y243</f>
        <v>Renewal retention risk</v>
      </c>
      <c r="Y243" t="str">
        <f>Deals_Raw!Z243</f>
        <v>Pricing Analyst</v>
      </c>
      <c r="Z243" s="6">
        <f>Deals_Raw!AA243</f>
        <v>40875.235694458133</v>
      </c>
      <c r="AA243" s="6">
        <f>Deals_Raw!AC243</f>
        <v>17781.84170845908</v>
      </c>
      <c r="AB243" s="6">
        <f>Deals_Raw!AD243</f>
        <v>23093.393985999053</v>
      </c>
      <c r="AC243" s="8">
        <f>Deals_Raw!AE243</f>
        <v>0.56497274189736491</v>
      </c>
      <c r="AD243" t="str">
        <f>Deals_Raw!AF243</f>
        <v>Won</v>
      </c>
      <c r="AE243" t="str">
        <f>Deals_Raw!AG243</f>
        <v>Yes</v>
      </c>
      <c r="AF243">
        <f>Deals_Raw!AH243</f>
        <v>0</v>
      </c>
      <c r="AG243" t="str">
        <f>Deals_Raw!AI243</f>
        <v>No</v>
      </c>
      <c r="AH243" s="6">
        <f>Deals_Raw!AJ243</f>
        <v>40875.235694458133</v>
      </c>
      <c r="AI243" s="6">
        <f>Deals_Raw!AK243</f>
        <v>23093.393985999053</v>
      </c>
      <c r="AJ243" t="str">
        <f>Deals_Raw!AL243</f>
        <v>Renewal of existing active contract</v>
      </c>
      <c r="AK243" s="9">
        <f t="shared" si="21"/>
        <v>2.6027777777777779</v>
      </c>
      <c r="AL243" s="8">
        <f t="shared" si="22"/>
        <v>0.87084975531397169</v>
      </c>
      <c r="AM243" s="8">
        <f t="shared" si="23"/>
        <v>4.6999999999999986E-2</v>
      </c>
      <c r="AN243" t="str">
        <f>IF(AC243&lt;Pricing_Policy!$C$10,"Below Floor","Pass")</f>
        <v>Pass</v>
      </c>
      <c r="AO243" t="str">
        <f>IF(V243&gt;Pricing_Policy!$C$7,"Exception","Standard")</f>
        <v>Standard</v>
      </c>
      <c r="AP243" t="str">
        <f t="shared" si="24"/>
        <v>Pass</v>
      </c>
      <c r="AQ243">
        <f t="shared" si="25"/>
        <v>1</v>
      </c>
      <c r="AR243" s="8">
        <f t="shared" si="26"/>
        <v>0.56497274189736491</v>
      </c>
      <c r="AS243">
        <f t="shared" si="27"/>
        <v>2</v>
      </c>
    </row>
    <row r="244" spans="1:45">
      <c r="A244" t="str">
        <f>Deals_Raw!A244</f>
        <v>D00270</v>
      </c>
      <c r="B244">
        <f>Deals_Raw!B244</f>
        <v>45647</v>
      </c>
      <c r="C244" t="str">
        <f>Deals_Raw!C244</f>
        <v>C0075</v>
      </c>
      <c r="D244" t="str">
        <f>Deals_Raw!D244</f>
        <v>PUB-0075</v>
      </c>
      <c r="E244" t="str">
        <f>Deals_Raw!E244</f>
        <v>CT00154</v>
      </c>
      <c r="F244" t="str">
        <f>Deals_Raw!F244</f>
        <v>Sales</v>
      </c>
      <c r="G244" t="str">
        <f>Deals_Raw!G244</f>
        <v>Public Sector</v>
      </c>
      <c r="H244" t="str">
        <f>Deals_Raw!H244</f>
        <v>West</v>
      </c>
      <c r="I244" t="str">
        <f>Deals_Raw!I244</f>
        <v>West Commercial</v>
      </c>
      <c r="J244" t="str">
        <f>Deals_Raw!J244</f>
        <v>SMB</v>
      </c>
      <c r="K244" t="str">
        <f>Deals_Raw!K244</f>
        <v>No</v>
      </c>
      <c r="L244">
        <f>Deals_Raw!L244</f>
        <v>45017</v>
      </c>
      <c r="M244">
        <f>Deals_Raw!M244</f>
        <v>59</v>
      </c>
      <c r="N244" t="str">
        <f>Deals_Raw!N244</f>
        <v>Nexus Insights</v>
      </c>
      <c r="O244" t="str">
        <f>Deals_Raw!O244</f>
        <v>New Business</v>
      </c>
      <c r="P244">
        <f>Deals_Raw!P244</f>
        <v>0</v>
      </c>
      <c r="Q244">
        <f>Deals_Raw!Q244</f>
        <v>1</v>
      </c>
      <c r="R244">
        <f>Deals_Raw!R244</f>
        <v>23</v>
      </c>
      <c r="S244" t="str">
        <f>Deals_Raw!S244</f>
        <v>D. Chen</v>
      </c>
      <c r="T244" s="6">
        <f>Deals_Raw!T244</f>
        <v>23493.900875546173</v>
      </c>
      <c r="U244" s="8">
        <f>Deals_Raw!V244</f>
        <v>0.17799999999999999</v>
      </c>
      <c r="V244" s="8">
        <f>Deals_Raw!W244</f>
        <v>0.115</v>
      </c>
      <c r="W244" s="8">
        <f>Deals_Raw!X244</f>
        <v>2.7E-2</v>
      </c>
      <c r="X244" t="str">
        <f>Deals_Raw!Y244</f>
        <v>Multi-year commitment</v>
      </c>
      <c r="Y244" t="str">
        <f>Deals_Raw!Z244</f>
        <v>Pricing Analyst</v>
      </c>
      <c r="Z244" s="6">
        <f>Deals_Raw!AA244</f>
        <v>20800.758164150062</v>
      </c>
      <c r="AA244" s="6">
        <f>Deals_Raw!AC244</f>
        <v>6965.8116807352662</v>
      </c>
      <c r="AB244" s="6">
        <f>Deals_Raw!AD244</f>
        <v>13834.946483414795</v>
      </c>
      <c r="AC244" s="8">
        <f>Deals_Raw!AE244</f>
        <v>0.66511741419402748</v>
      </c>
      <c r="AD244" t="str">
        <f>Deals_Raw!AF244</f>
        <v>Won</v>
      </c>
      <c r="AE244">
        <f>Deals_Raw!AG244</f>
        <v>0</v>
      </c>
      <c r="AF244">
        <f>Deals_Raw!AH244</f>
        <v>0</v>
      </c>
      <c r="AG244" t="str">
        <f>Deals_Raw!AI244</f>
        <v>No</v>
      </c>
      <c r="AH244" s="6">
        <f>Deals_Raw!AJ244</f>
        <v>20800.758164150062</v>
      </c>
      <c r="AI244" s="6">
        <f>Deals_Raw!AK244</f>
        <v>13834.946483414795</v>
      </c>
      <c r="AJ244" t="str">
        <f>Deals_Raw!AL244</f>
        <v>First purchase under this contract</v>
      </c>
      <c r="AK244" s="9">
        <f t="shared" si="21"/>
        <v>1.7222222222222223</v>
      </c>
      <c r="AL244" s="8">
        <f t="shared" si="22"/>
        <v>0.8853684313361817</v>
      </c>
      <c r="AM244" s="8">
        <f t="shared" si="23"/>
        <v>6.2999999999999987E-2</v>
      </c>
      <c r="AN244" t="str">
        <f>IF(AC244&lt;Pricing_Policy!$C$10,"Below Floor","Pass")</f>
        <v>Pass</v>
      </c>
      <c r="AO244" t="str">
        <f>IF(V244&gt;Pricing_Policy!$C$7,"Exception","Standard")</f>
        <v>Standard</v>
      </c>
      <c r="AP244" t="str">
        <f t="shared" si="24"/>
        <v>Pass</v>
      </c>
      <c r="AQ244">
        <f t="shared" si="25"/>
        <v>1</v>
      </c>
      <c r="AR244" s="8">
        <f t="shared" si="26"/>
        <v>0.66511741419402748</v>
      </c>
      <c r="AS244">
        <f t="shared" si="27"/>
        <v>2</v>
      </c>
    </row>
    <row r="245" spans="1:45">
      <c r="A245" t="str">
        <f>Deals_Raw!A245</f>
        <v>D00271</v>
      </c>
      <c r="B245">
        <f>Deals_Raw!B245</f>
        <v>46012</v>
      </c>
      <c r="C245" t="str">
        <f>Deals_Raw!C245</f>
        <v>C0075</v>
      </c>
      <c r="D245" t="str">
        <f>Deals_Raw!D245</f>
        <v>PUB-0075</v>
      </c>
      <c r="E245" t="str">
        <f>Deals_Raw!E245</f>
        <v>CT00154</v>
      </c>
      <c r="F245" t="str">
        <f>Deals_Raw!F245</f>
        <v>Sales</v>
      </c>
      <c r="G245" t="str">
        <f>Deals_Raw!G245</f>
        <v>Public Sector</v>
      </c>
      <c r="H245" t="str">
        <f>Deals_Raw!H245</f>
        <v>West</v>
      </c>
      <c r="I245" t="str">
        <f>Deals_Raw!I245</f>
        <v>West Commercial</v>
      </c>
      <c r="J245" t="str">
        <f>Deals_Raw!J245</f>
        <v>SMB</v>
      </c>
      <c r="K245" t="str">
        <f>Deals_Raw!K245</f>
        <v>No</v>
      </c>
      <c r="L245">
        <f>Deals_Raw!L245</f>
        <v>45017</v>
      </c>
      <c r="M245">
        <f>Deals_Raw!M245</f>
        <v>59</v>
      </c>
      <c r="N245" t="str">
        <f>Deals_Raw!N245</f>
        <v>Nexus Insights</v>
      </c>
      <c r="O245" t="str">
        <f>Deals_Raw!O245</f>
        <v>Renewal</v>
      </c>
      <c r="P245">
        <f>Deals_Raw!P245</f>
        <v>0</v>
      </c>
      <c r="Q245">
        <f>Deals_Raw!Q245</f>
        <v>1</v>
      </c>
      <c r="R245">
        <f>Deals_Raw!R245</f>
        <v>23</v>
      </c>
      <c r="S245" t="str">
        <f>Deals_Raw!S245</f>
        <v>R. Singh</v>
      </c>
      <c r="T245" s="6">
        <f>Deals_Raw!T245</f>
        <v>25246.029618593315</v>
      </c>
      <c r="U245" s="8">
        <f>Deals_Raw!V245</f>
        <v>0.183</v>
      </c>
      <c r="V245" s="8">
        <f>Deals_Raw!W245</f>
        <v>0.13300000000000001</v>
      </c>
      <c r="W245" s="8">
        <f>Deals_Raw!X245</f>
        <v>-3.7999999999999999E-2</v>
      </c>
      <c r="X245" t="str">
        <f>Deals_Raw!Y245</f>
        <v>Renewal retention risk</v>
      </c>
      <c r="Y245" t="str">
        <f>Deals_Raw!Z245</f>
        <v>Pricing Analyst</v>
      </c>
      <c r="Z245" s="6">
        <f>Deals_Raw!AA245</f>
        <v>21899.634974059882</v>
      </c>
      <c r="AA245" s="6">
        <f>Deals_Raw!AC245</f>
        <v>6974.0368361258015</v>
      </c>
      <c r="AB245" s="6">
        <f>Deals_Raw!AD245</f>
        <v>14925.598137934081</v>
      </c>
      <c r="AC245" s="8">
        <f>Deals_Raw!AE245</f>
        <v>0.68154552144880276</v>
      </c>
      <c r="AD245" t="str">
        <f>Deals_Raw!AF245</f>
        <v>Won</v>
      </c>
      <c r="AE245" t="str">
        <f>Deals_Raw!AG245</f>
        <v>Yes</v>
      </c>
      <c r="AF245">
        <f>Deals_Raw!AH245</f>
        <v>0</v>
      </c>
      <c r="AG245" t="str">
        <f>Deals_Raw!AI245</f>
        <v>No</v>
      </c>
      <c r="AH245" s="6">
        <f>Deals_Raw!AJ245</f>
        <v>21899.634974059882</v>
      </c>
      <c r="AI245" s="6">
        <f>Deals_Raw!AK245</f>
        <v>14925.598137934081</v>
      </c>
      <c r="AJ245" t="str">
        <f>Deals_Raw!AL245</f>
        <v>Renewal of existing active contract</v>
      </c>
      <c r="AK245" s="9">
        <f t="shared" si="21"/>
        <v>2.7222222222222223</v>
      </c>
      <c r="AL245" s="8">
        <f t="shared" si="22"/>
        <v>0.86744867628338418</v>
      </c>
      <c r="AM245" s="8">
        <f t="shared" si="23"/>
        <v>4.9999999999999989E-2</v>
      </c>
      <c r="AN245" t="str">
        <f>IF(AC245&lt;Pricing_Policy!$C$10,"Below Floor","Pass")</f>
        <v>Pass</v>
      </c>
      <c r="AO245" t="str">
        <f>IF(V245&gt;Pricing_Policy!$C$7,"Exception","Standard")</f>
        <v>Standard</v>
      </c>
      <c r="AP245" t="str">
        <f t="shared" si="24"/>
        <v>Pass</v>
      </c>
      <c r="AQ245">
        <f t="shared" si="25"/>
        <v>1</v>
      </c>
      <c r="AR245" s="8">
        <f t="shared" si="26"/>
        <v>0.68154552144880276</v>
      </c>
      <c r="AS245">
        <f t="shared" si="27"/>
        <v>2</v>
      </c>
    </row>
    <row r="246" spans="1:45">
      <c r="A246" t="str">
        <f>Deals_Raw!A246</f>
        <v>D00272</v>
      </c>
      <c r="B246">
        <f>Deals_Raw!B246</f>
        <v>45312</v>
      </c>
      <c r="C246" t="str">
        <f>Deals_Raw!C246</f>
        <v>C0076</v>
      </c>
      <c r="D246" t="str">
        <f>Deals_Raw!D246</f>
        <v>TEC-0076</v>
      </c>
      <c r="E246" t="str">
        <f>Deals_Raw!E246</f>
        <v>CT00155</v>
      </c>
      <c r="F246" t="str">
        <f>Deals_Raw!F246</f>
        <v>Legal</v>
      </c>
      <c r="G246" t="str">
        <f>Deals_Raw!G246</f>
        <v>Technology</v>
      </c>
      <c r="H246" t="str">
        <f>Deals_Raw!H246</f>
        <v>Northeast</v>
      </c>
      <c r="I246" t="str">
        <f>Deals_Raw!I246</f>
        <v>Northeast Enterprise</v>
      </c>
      <c r="J246" t="str">
        <f>Deals_Raw!J246</f>
        <v>Enterprise</v>
      </c>
      <c r="K246" t="str">
        <f>Deals_Raw!K246</f>
        <v>No</v>
      </c>
      <c r="L246">
        <f>Deals_Raw!L246</f>
        <v>44501</v>
      </c>
      <c r="M246">
        <f>Deals_Raw!M246</f>
        <v>62</v>
      </c>
      <c r="N246" t="str">
        <f>Deals_Raw!N246</f>
        <v>Nexus AI Assistant</v>
      </c>
      <c r="O246" t="str">
        <f>Deals_Raw!O246</f>
        <v>New Business</v>
      </c>
      <c r="P246">
        <f>Deals_Raw!P246</f>
        <v>0</v>
      </c>
      <c r="Q246">
        <f>Deals_Raw!Q246</f>
        <v>2</v>
      </c>
      <c r="R246">
        <f>Deals_Raw!R246</f>
        <v>426</v>
      </c>
      <c r="S246" t="str">
        <f>Deals_Raw!S246</f>
        <v>D. Chen</v>
      </c>
      <c r="T246" s="6">
        <f>Deals_Raw!T246</f>
        <v>295903.76729166333</v>
      </c>
      <c r="U246" s="8">
        <f>Deals_Raw!V246</f>
        <v>4.1000000000000002E-2</v>
      </c>
      <c r="V246" s="8">
        <f>Deals_Raw!W246</f>
        <v>3.9E-2</v>
      </c>
      <c r="W246" s="8">
        <f>Deals_Raw!X246</f>
        <v>2.1000000000000001E-2</v>
      </c>
      <c r="X246" t="str">
        <f>Deals_Raw!Y246</f>
        <v>Renewal retention risk</v>
      </c>
      <c r="Y246" t="str">
        <f>Deals_Raw!Z246</f>
        <v>Sales Manager</v>
      </c>
      <c r="Z246" s="6">
        <f>Deals_Raw!AA246</f>
        <v>284392.87545581465</v>
      </c>
      <c r="AA246" s="6">
        <f>Deals_Raw!AC246</f>
        <v>125758.93259500567</v>
      </c>
      <c r="AB246" s="6">
        <f>Deals_Raw!AD246</f>
        <v>158633.94286080898</v>
      </c>
      <c r="AC246" s="8">
        <f>Deals_Raw!AE246</f>
        <v>0.5577985827055485</v>
      </c>
      <c r="AD246" t="str">
        <f>Deals_Raw!AF246</f>
        <v>Lost</v>
      </c>
      <c r="AE246">
        <f>Deals_Raw!AG246</f>
        <v>0</v>
      </c>
      <c r="AF246">
        <f>Deals_Raw!AH246</f>
        <v>0</v>
      </c>
      <c r="AG246" t="str">
        <f>Deals_Raw!AI246</f>
        <v>No</v>
      </c>
      <c r="AH246" s="6">
        <f>Deals_Raw!AJ246</f>
        <v>0</v>
      </c>
      <c r="AI246" s="6">
        <f>Deals_Raw!AK246</f>
        <v>0</v>
      </c>
      <c r="AJ246" t="str">
        <f>Deals_Raw!AL246</f>
        <v>First purchase under this contract</v>
      </c>
      <c r="AK246" s="9">
        <f t="shared" si="21"/>
        <v>2.2222222222222223</v>
      </c>
      <c r="AL246" s="8">
        <f t="shared" si="22"/>
        <v>0.96109920484891043</v>
      </c>
      <c r="AM246" s="8">
        <f t="shared" si="23"/>
        <v>2.0000000000000018E-3</v>
      </c>
      <c r="AN246" t="str">
        <f>IF(AC246&lt;Pricing_Policy!$C$10,"Below Floor","Pass")</f>
        <v>Pass</v>
      </c>
      <c r="AO246" t="str">
        <f>IF(V246&gt;Pricing_Policy!$C$7,"Exception","Standard")</f>
        <v>Standard</v>
      </c>
      <c r="AP246" t="str">
        <f t="shared" si="24"/>
        <v>Pass</v>
      </c>
      <c r="AQ246">
        <f t="shared" si="25"/>
        <v>0</v>
      </c>
      <c r="AR246" s="8">
        <f t="shared" si="26"/>
        <v>0</v>
      </c>
      <c r="AS246">
        <f t="shared" si="27"/>
        <v>4</v>
      </c>
    </row>
    <row r="247" spans="1:45">
      <c r="A247" t="str">
        <f>Deals_Raw!A247</f>
        <v>D00273</v>
      </c>
      <c r="B247">
        <f>Deals_Raw!B247</f>
        <v>45551</v>
      </c>
      <c r="C247" t="str">
        <f>Deals_Raw!C247</f>
        <v>C0076</v>
      </c>
      <c r="D247" t="str">
        <f>Deals_Raw!D247</f>
        <v>TEC-0076</v>
      </c>
      <c r="E247" t="str">
        <f>Deals_Raw!E247</f>
        <v>CT00155</v>
      </c>
      <c r="F247" t="str">
        <f>Deals_Raw!F247</f>
        <v>Legal</v>
      </c>
      <c r="G247" t="str">
        <f>Deals_Raw!G247</f>
        <v>Technology</v>
      </c>
      <c r="H247" t="str">
        <f>Deals_Raw!H247</f>
        <v>Northeast</v>
      </c>
      <c r="I247" t="str">
        <f>Deals_Raw!I247</f>
        <v>Northeast Enterprise</v>
      </c>
      <c r="J247" t="str">
        <f>Deals_Raw!J247</f>
        <v>Enterprise</v>
      </c>
      <c r="K247" t="str">
        <f>Deals_Raw!K247</f>
        <v>No</v>
      </c>
      <c r="L247">
        <f>Deals_Raw!L247</f>
        <v>44501</v>
      </c>
      <c r="M247">
        <f>Deals_Raw!M247</f>
        <v>62</v>
      </c>
      <c r="N247" t="str">
        <f>Deals_Raw!N247</f>
        <v>Nexus AI Assistant</v>
      </c>
      <c r="O247" t="str">
        <f>Deals_Raw!O247</f>
        <v>Win-back</v>
      </c>
      <c r="P247">
        <f>Deals_Raw!P247</f>
        <v>0</v>
      </c>
      <c r="Q247">
        <f>Deals_Raw!Q247</f>
        <v>2</v>
      </c>
      <c r="R247">
        <f>Deals_Raw!R247</f>
        <v>426</v>
      </c>
      <c r="S247" t="str">
        <f>Deals_Raw!S247</f>
        <v>L. Williams</v>
      </c>
      <c r="T247" s="6">
        <f>Deals_Raw!T247</f>
        <v>295903.76729166333</v>
      </c>
      <c r="U247" s="8">
        <f>Deals_Raw!V247</f>
        <v>0.22800000000000001</v>
      </c>
      <c r="V247" s="8">
        <f>Deals_Raw!W247</f>
        <v>0.20699999999999999</v>
      </c>
      <c r="W247" s="8">
        <f>Deals_Raw!X247</f>
        <v>-5.0999999999999997E-2</v>
      </c>
      <c r="X247" t="str">
        <f>Deals_Raw!Y247</f>
        <v>Renewal retention risk</v>
      </c>
      <c r="Y247" t="str">
        <f>Deals_Raw!Z247</f>
        <v>Business Manager</v>
      </c>
      <c r="Z247" s="6">
        <f>Deals_Raw!AA247</f>
        <v>234749.35132264459</v>
      </c>
      <c r="AA247" s="6">
        <f>Deals_Raw!AC247</f>
        <v>122668.1666162972</v>
      </c>
      <c r="AB247" s="6">
        <f>Deals_Raw!AD247</f>
        <v>112081.1847063474</v>
      </c>
      <c r="AC247" s="8">
        <f>Deals_Raw!AE247</f>
        <v>0.47745045545323184</v>
      </c>
      <c r="AD247" t="str">
        <f>Deals_Raw!AF247</f>
        <v>Lost</v>
      </c>
      <c r="AE247">
        <f>Deals_Raw!AG247</f>
        <v>0</v>
      </c>
      <c r="AF247">
        <f>Deals_Raw!AH247</f>
        <v>0</v>
      </c>
      <c r="AG247" t="str">
        <f>Deals_Raw!AI247</f>
        <v>Yes</v>
      </c>
      <c r="AH247" s="6">
        <f>Deals_Raw!AJ247</f>
        <v>0</v>
      </c>
      <c r="AI247" s="6">
        <f>Deals_Raw!AK247</f>
        <v>0</v>
      </c>
      <c r="AJ247" t="str">
        <f>Deals_Raw!AL247</f>
        <v>Customer returned after prior lost initial opportunity</v>
      </c>
      <c r="AK247" s="9">
        <f t="shared" si="21"/>
        <v>2.875</v>
      </c>
      <c r="AL247" s="8">
        <f t="shared" si="22"/>
        <v>0.79333005277779822</v>
      </c>
      <c r="AM247" s="8">
        <f t="shared" si="23"/>
        <v>2.1000000000000019E-2</v>
      </c>
      <c r="AN247" t="str">
        <f>IF(AC247&lt;Pricing_Policy!$C$10,"Below Floor","Pass")</f>
        <v>Pass</v>
      </c>
      <c r="AO247" t="str">
        <f>IF(V247&gt;Pricing_Policy!$C$7,"Exception","Standard")</f>
        <v>Standard</v>
      </c>
      <c r="AP247" t="str">
        <f t="shared" si="24"/>
        <v>Pass</v>
      </c>
      <c r="AQ247">
        <f t="shared" si="25"/>
        <v>0</v>
      </c>
      <c r="AR247" s="8">
        <f t="shared" si="26"/>
        <v>0</v>
      </c>
      <c r="AS247">
        <f t="shared" si="27"/>
        <v>4</v>
      </c>
    </row>
    <row r="248" spans="1:45">
      <c r="A248" t="str">
        <f>Deals_Raw!A248</f>
        <v>D00274</v>
      </c>
      <c r="B248">
        <f>Deals_Raw!B248</f>
        <v>45602</v>
      </c>
      <c r="C248" t="str">
        <f>Deals_Raw!C248</f>
        <v>C0076</v>
      </c>
      <c r="D248" t="str">
        <f>Deals_Raw!D248</f>
        <v>TEC-0076</v>
      </c>
      <c r="E248" t="str">
        <f>Deals_Raw!E248</f>
        <v>CT00156</v>
      </c>
      <c r="F248" t="str">
        <f>Deals_Raw!F248</f>
        <v>Technology</v>
      </c>
      <c r="G248" t="str">
        <f>Deals_Raw!G248</f>
        <v>Technology</v>
      </c>
      <c r="H248" t="str">
        <f>Deals_Raw!H248</f>
        <v>Northeast</v>
      </c>
      <c r="I248" t="str">
        <f>Deals_Raw!I248</f>
        <v>Northeast Enterprise</v>
      </c>
      <c r="J248" t="str">
        <f>Deals_Raw!J248</f>
        <v>Enterprise</v>
      </c>
      <c r="K248" t="str">
        <f>Deals_Raw!K248</f>
        <v>No</v>
      </c>
      <c r="L248">
        <f>Deals_Raw!L248</f>
        <v>44501</v>
      </c>
      <c r="M248">
        <f>Deals_Raw!M248</f>
        <v>62</v>
      </c>
      <c r="N248" t="str">
        <f>Deals_Raw!N248</f>
        <v>Nexus Insights</v>
      </c>
      <c r="O248" t="str">
        <f>Deals_Raw!O248</f>
        <v>Renewal</v>
      </c>
      <c r="P248">
        <f>Deals_Raw!P248</f>
        <v>0</v>
      </c>
      <c r="Q248">
        <f>Deals_Raw!Q248</f>
        <v>3</v>
      </c>
      <c r="R248">
        <f>Deals_Raw!R248</f>
        <v>417</v>
      </c>
      <c r="S248" t="str">
        <f>Deals_Raw!S248</f>
        <v>R. Singh</v>
      </c>
      <c r="T248" s="6">
        <f>Deals_Raw!T248</f>
        <v>133279.11716649146</v>
      </c>
      <c r="U248" s="8">
        <f>Deals_Raw!V248</f>
        <v>0.1</v>
      </c>
      <c r="V248" s="8">
        <f>Deals_Raw!W248</f>
        <v>5.7000000000000002E-2</v>
      </c>
      <c r="W248" s="8">
        <f>Deals_Raw!X248</f>
        <v>-5.0999999999999997E-2</v>
      </c>
      <c r="X248" t="str">
        <f>Deals_Raw!Y248</f>
        <v>Renewal retention risk</v>
      </c>
      <c r="Y248" t="str">
        <f>Deals_Raw!Z248</f>
        <v>Sales Manager</v>
      </c>
      <c r="Z248" s="6">
        <f>Deals_Raw!AA248</f>
        <v>125636.17439231835</v>
      </c>
      <c r="AA248" s="6">
        <f>Deals_Raw!AC248</f>
        <v>40947.1633520053</v>
      </c>
      <c r="AB248" s="6">
        <f>Deals_Raw!AD248</f>
        <v>84689.011040313053</v>
      </c>
      <c r="AC248" s="8">
        <f>Deals_Raw!AE248</f>
        <v>0.67408142161236573</v>
      </c>
      <c r="AD248" t="str">
        <f>Deals_Raw!AF248</f>
        <v>Lost</v>
      </c>
      <c r="AE248" t="str">
        <f>Deals_Raw!AG248</f>
        <v>No</v>
      </c>
      <c r="AF248">
        <f>Deals_Raw!AH248</f>
        <v>0</v>
      </c>
      <c r="AG248" t="str">
        <f>Deals_Raw!AI248</f>
        <v>No</v>
      </c>
      <c r="AH248" s="6">
        <f>Deals_Raw!AJ248</f>
        <v>0</v>
      </c>
      <c r="AI248" s="6">
        <f>Deals_Raw!AK248</f>
        <v>0</v>
      </c>
      <c r="AJ248" t="str">
        <f>Deals_Raw!AL248</f>
        <v>Renewal of existing active contract</v>
      </c>
      <c r="AK248" s="9">
        <f t="shared" si="21"/>
        <v>3.0138888888888888</v>
      </c>
      <c r="AL248" s="8">
        <f t="shared" si="22"/>
        <v>0.94265461134000772</v>
      </c>
      <c r="AM248" s="8">
        <f t="shared" si="23"/>
        <v>4.3000000000000003E-2</v>
      </c>
      <c r="AN248" t="str">
        <f>IF(AC248&lt;Pricing_Policy!$C$10,"Below Floor","Pass")</f>
        <v>Pass</v>
      </c>
      <c r="AO248" t="str">
        <f>IF(V248&gt;Pricing_Policy!$C$7,"Exception","Standard")</f>
        <v>Standard</v>
      </c>
      <c r="AP248" t="str">
        <f t="shared" si="24"/>
        <v>Pass</v>
      </c>
      <c r="AQ248">
        <f t="shared" si="25"/>
        <v>0</v>
      </c>
      <c r="AR248" s="8">
        <f t="shared" si="26"/>
        <v>0</v>
      </c>
      <c r="AS248">
        <f t="shared" si="27"/>
        <v>2</v>
      </c>
    </row>
    <row r="249" spans="1:45">
      <c r="A249" t="str">
        <f>Deals_Raw!A249</f>
        <v>D00275</v>
      </c>
      <c r="B249">
        <f>Deals_Raw!B249</f>
        <v>45743</v>
      </c>
      <c r="C249" t="str">
        <f>Deals_Raw!C249</f>
        <v>C0076</v>
      </c>
      <c r="D249" t="str">
        <f>Deals_Raw!D249</f>
        <v>TEC-0076</v>
      </c>
      <c r="E249" t="str">
        <f>Deals_Raw!E249</f>
        <v>CT00156</v>
      </c>
      <c r="F249" t="str">
        <f>Deals_Raw!F249</f>
        <v>Technology</v>
      </c>
      <c r="G249" t="str">
        <f>Deals_Raw!G249</f>
        <v>Technology</v>
      </c>
      <c r="H249" t="str">
        <f>Deals_Raw!H249</f>
        <v>Northeast</v>
      </c>
      <c r="I249" t="str">
        <f>Deals_Raw!I249</f>
        <v>Northeast Enterprise</v>
      </c>
      <c r="J249" t="str">
        <f>Deals_Raw!J249</f>
        <v>Enterprise</v>
      </c>
      <c r="K249" t="str">
        <f>Deals_Raw!K249</f>
        <v>No</v>
      </c>
      <c r="L249">
        <f>Deals_Raw!L249</f>
        <v>44501</v>
      </c>
      <c r="M249">
        <f>Deals_Raw!M249</f>
        <v>62</v>
      </c>
      <c r="N249" t="str">
        <f>Deals_Raw!N249</f>
        <v>Nexus Insights</v>
      </c>
      <c r="O249" t="str">
        <f>Deals_Raw!O249</f>
        <v>Win-back</v>
      </c>
      <c r="P249">
        <f>Deals_Raw!P249</f>
        <v>0</v>
      </c>
      <c r="Q249">
        <f>Deals_Raw!Q249</f>
        <v>3</v>
      </c>
      <c r="R249">
        <f>Deals_Raw!R249</f>
        <v>417</v>
      </c>
      <c r="S249" t="str">
        <f>Deals_Raw!S249</f>
        <v>M. Johnson</v>
      </c>
      <c r="T249" s="6">
        <f>Deals_Raw!T249</f>
        <v>133279.11716649146</v>
      </c>
      <c r="U249" s="8">
        <f>Deals_Raw!V249</f>
        <v>0.14799999999999999</v>
      </c>
      <c r="V249" s="8">
        <f>Deals_Raw!W249</f>
        <v>0.123</v>
      </c>
      <c r="W249" s="8">
        <f>Deals_Raw!X249</f>
        <v>1.6E-2</v>
      </c>
      <c r="X249" t="str">
        <f>Deals_Raw!Y249</f>
        <v>Renewal retention risk</v>
      </c>
      <c r="Y249" t="str">
        <f>Deals_Raw!Z249</f>
        <v>Pricing Analyst</v>
      </c>
      <c r="Z249" s="6">
        <f>Deals_Raw!AA249</f>
        <v>116865.15877809501</v>
      </c>
      <c r="AA249" s="6">
        <f>Deals_Raw!AC249</f>
        <v>35375.133539655551</v>
      </c>
      <c r="AB249" s="6">
        <f>Deals_Raw!AD249</f>
        <v>81490.025238439455</v>
      </c>
      <c r="AC249" s="8">
        <f>Deals_Raw!AE249</f>
        <v>0.69729957234879314</v>
      </c>
      <c r="AD249" t="str">
        <f>Deals_Raw!AF249</f>
        <v>Lost</v>
      </c>
      <c r="AE249">
        <f>Deals_Raw!AG249</f>
        <v>0</v>
      </c>
      <c r="AF249">
        <f>Deals_Raw!AH249</f>
        <v>0</v>
      </c>
      <c r="AG249" t="str">
        <f>Deals_Raw!AI249</f>
        <v>Yes</v>
      </c>
      <c r="AH249" s="6">
        <f>Deals_Raw!AJ249</f>
        <v>0</v>
      </c>
      <c r="AI249" s="6">
        <f>Deals_Raw!AK249</f>
        <v>0</v>
      </c>
      <c r="AJ249" t="str">
        <f>Deals_Raw!AL249</f>
        <v>Customer returned after lost renewal</v>
      </c>
      <c r="AK249" s="9">
        <f t="shared" si="21"/>
        <v>3.4055555555555554</v>
      </c>
      <c r="AL249" s="8">
        <f t="shared" si="22"/>
        <v>0.87684523474227227</v>
      </c>
      <c r="AM249" s="8">
        <f t="shared" si="23"/>
        <v>2.4999999999999994E-2</v>
      </c>
      <c r="AN249" t="str">
        <f>IF(AC249&lt;Pricing_Policy!$C$10,"Below Floor","Pass")</f>
        <v>Pass</v>
      </c>
      <c r="AO249" t="str">
        <f>IF(V249&gt;Pricing_Policy!$C$7,"Exception","Standard")</f>
        <v>Standard</v>
      </c>
      <c r="AP249" t="str">
        <f t="shared" si="24"/>
        <v>Pass</v>
      </c>
      <c r="AQ249">
        <f t="shared" si="25"/>
        <v>0</v>
      </c>
      <c r="AR249" s="8">
        <f t="shared" si="26"/>
        <v>0</v>
      </c>
      <c r="AS249">
        <f t="shared" si="27"/>
        <v>2</v>
      </c>
    </row>
    <row r="250" spans="1:45">
      <c r="A250" t="str">
        <f>Deals_Raw!A250</f>
        <v>D00276</v>
      </c>
      <c r="B250">
        <f>Deals_Raw!B250</f>
        <v>45821</v>
      </c>
      <c r="C250" t="str">
        <f>Deals_Raw!C250</f>
        <v>C0076</v>
      </c>
      <c r="D250" t="str">
        <f>Deals_Raw!D250</f>
        <v>TEC-0076</v>
      </c>
      <c r="E250" t="str">
        <f>Deals_Raw!E250</f>
        <v>CT00157</v>
      </c>
      <c r="F250" t="str">
        <f>Deals_Raw!F250</f>
        <v>Corporate</v>
      </c>
      <c r="G250" t="str">
        <f>Deals_Raw!G250</f>
        <v>Technology</v>
      </c>
      <c r="H250" t="str">
        <f>Deals_Raw!H250</f>
        <v>Northeast</v>
      </c>
      <c r="I250" t="str">
        <f>Deals_Raw!I250</f>
        <v>Northeast Enterprise</v>
      </c>
      <c r="J250" t="str">
        <f>Deals_Raw!J250</f>
        <v>Enterprise</v>
      </c>
      <c r="K250" t="str">
        <f>Deals_Raw!K250</f>
        <v>No</v>
      </c>
      <c r="L250">
        <f>Deals_Raw!L250</f>
        <v>44501</v>
      </c>
      <c r="M250">
        <f>Deals_Raw!M250</f>
        <v>62</v>
      </c>
      <c r="N250" t="str">
        <f>Deals_Raw!N250</f>
        <v>Nexus AI Assistant</v>
      </c>
      <c r="O250" t="str">
        <f>Deals_Raw!O250</f>
        <v>Expansion</v>
      </c>
      <c r="P250" t="str">
        <f>Deals_Raw!P250</f>
        <v>Storage / Usage Expansion</v>
      </c>
      <c r="Q250">
        <f>Deals_Raw!Q250</f>
        <v>3</v>
      </c>
      <c r="R250">
        <f>Deals_Raw!R250</f>
        <v>1213</v>
      </c>
      <c r="S250" t="str">
        <f>Deals_Raw!S250</f>
        <v>D. Chen</v>
      </c>
      <c r="T250" s="6">
        <f>Deals_Raw!T250</f>
        <v>249054.64520402218</v>
      </c>
      <c r="U250" s="8">
        <f>Deals_Raw!V250</f>
        <v>9.8000000000000004E-2</v>
      </c>
      <c r="V250" s="8">
        <f>Deals_Raw!W250</f>
        <v>8.5000000000000006E-2</v>
      </c>
      <c r="W250" s="8">
        <f>Deals_Raw!X250</f>
        <v>2.8000000000000001E-2</v>
      </c>
      <c r="X250" t="str">
        <f>Deals_Raw!Y250</f>
        <v>Expansion opportunity</v>
      </c>
      <c r="Y250" t="str">
        <f>Deals_Raw!Z250</f>
        <v>Sales Manager</v>
      </c>
      <c r="Z250" s="6">
        <f>Deals_Raw!AA250</f>
        <v>227975.0824488345</v>
      </c>
      <c r="AA250" s="6">
        <f>Deals_Raw!AC250</f>
        <v>94472.593338026229</v>
      </c>
      <c r="AB250" s="6">
        <f>Deals_Raw!AD250</f>
        <v>133502.48911080827</v>
      </c>
      <c r="AC250" s="8">
        <f>Deals_Raw!AE250</f>
        <v>0.58560123183975976</v>
      </c>
      <c r="AD250" t="str">
        <f>Deals_Raw!AF250</f>
        <v>Won</v>
      </c>
      <c r="AE250">
        <f>Deals_Raw!AG250</f>
        <v>0</v>
      </c>
      <c r="AF250" t="str">
        <f>Deals_Raw!AH250</f>
        <v>Yes</v>
      </c>
      <c r="AG250" t="str">
        <f>Deals_Raw!AI250</f>
        <v>No</v>
      </c>
      <c r="AH250" s="6">
        <f>Deals_Raw!AJ250</f>
        <v>227975.0824488345</v>
      </c>
      <c r="AI250" s="6">
        <f>Deals_Raw!AK250</f>
        <v>133502.48911080827</v>
      </c>
      <c r="AJ250" t="str">
        <f>Deals_Raw!AL250</f>
        <v>Expansion allowed because contract was active</v>
      </c>
      <c r="AK250" s="9">
        <f t="shared" si="21"/>
        <v>3.6166666666666667</v>
      </c>
      <c r="AL250" s="8">
        <f t="shared" si="22"/>
        <v>0.91536169607308637</v>
      </c>
      <c r="AM250" s="8">
        <f t="shared" si="23"/>
        <v>1.2999999999999998E-2</v>
      </c>
      <c r="AN250" t="str">
        <f>IF(AC250&lt;Pricing_Policy!$C$10,"Below Floor","Pass")</f>
        <v>Pass</v>
      </c>
      <c r="AO250" t="str">
        <f>IF(V250&gt;Pricing_Policy!$C$7,"Exception","Standard")</f>
        <v>Standard</v>
      </c>
      <c r="AP250" t="str">
        <f t="shared" si="24"/>
        <v>Pass</v>
      </c>
      <c r="AQ250">
        <f t="shared" si="25"/>
        <v>1</v>
      </c>
      <c r="AR250" s="8">
        <f t="shared" si="26"/>
        <v>0.58560123183975976</v>
      </c>
      <c r="AS250">
        <f t="shared" si="27"/>
        <v>4</v>
      </c>
    </row>
    <row r="251" spans="1:45">
      <c r="A251" t="str">
        <f>Deals_Raw!A251</f>
        <v>D00277</v>
      </c>
      <c r="B251">
        <f>Deals_Raw!B251</f>
        <v>45933</v>
      </c>
      <c r="C251" t="str">
        <f>Deals_Raw!C251</f>
        <v>C0076</v>
      </c>
      <c r="D251" t="str">
        <f>Deals_Raw!D251</f>
        <v>TEC-0076</v>
      </c>
      <c r="E251" t="str">
        <f>Deals_Raw!E251</f>
        <v>CT00157</v>
      </c>
      <c r="F251" t="str">
        <f>Deals_Raw!F251</f>
        <v>Corporate</v>
      </c>
      <c r="G251" t="str">
        <f>Deals_Raw!G251</f>
        <v>Technology</v>
      </c>
      <c r="H251" t="str">
        <f>Deals_Raw!H251</f>
        <v>Northeast</v>
      </c>
      <c r="I251" t="str">
        <f>Deals_Raw!I251</f>
        <v>Northeast Enterprise</v>
      </c>
      <c r="J251" t="str">
        <f>Deals_Raw!J251</f>
        <v>Enterprise</v>
      </c>
      <c r="K251" t="str">
        <f>Deals_Raw!K251</f>
        <v>No</v>
      </c>
      <c r="L251">
        <f>Deals_Raw!L251</f>
        <v>44501</v>
      </c>
      <c r="M251">
        <f>Deals_Raw!M251</f>
        <v>62</v>
      </c>
      <c r="N251" t="str">
        <f>Deals_Raw!N251</f>
        <v>Nexus AI Assistant</v>
      </c>
      <c r="O251" t="str">
        <f>Deals_Raw!O251</f>
        <v>Renewal</v>
      </c>
      <c r="P251">
        <f>Deals_Raw!P251</f>
        <v>0</v>
      </c>
      <c r="Q251">
        <f>Deals_Raw!Q251</f>
        <v>3</v>
      </c>
      <c r="R251">
        <f>Deals_Raw!R251</f>
        <v>1213</v>
      </c>
      <c r="S251" t="str">
        <f>Deals_Raw!S251</f>
        <v>R. Singh</v>
      </c>
      <c r="T251" s="6">
        <f>Deals_Raw!T251</f>
        <v>266025.63762416918</v>
      </c>
      <c r="U251" s="8">
        <f>Deals_Raw!V251</f>
        <v>0.14399999999999999</v>
      </c>
      <c r="V251" s="8">
        <f>Deals_Raw!W251</f>
        <v>0.115</v>
      </c>
      <c r="W251" s="8">
        <f>Deals_Raw!X251</f>
        <v>5.0000000000000001E-3</v>
      </c>
      <c r="X251" t="str">
        <f>Deals_Raw!Y251</f>
        <v>Renewal retention risk</v>
      </c>
      <c r="Y251" t="str">
        <f>Deals_Raw!Z251</f>
        <v>Pricing Analyst</v>
      </c>
      <c r="Z251" s="6">
        <f>Deals_Raw!AA251</f>
        <v>235300.98799609713</v>
      </c>
      <c r="AA251" s="6">
        <f>Deals_Raw!AC251</f>
        <v>104728.18911849707</v>
      </c>
      <c r="AB251" s="6">
        <f>Deals_Raw!AD251</f>
        <v>130572.79887760006</v>
      </c>
      <c r="AC251" s="8">
        <f>Deals_Raw!AE251</f>
        <v>0.55491819218271121</v>
      </c>
      <c r="AD251" t="str">
        <f>Deals_Raw!AF251</f>
        <v>Won</v>
      </c>
      <c r="AE251" t="str">
        <f>Deals_Raw!AG251</f>
        <v>Yes</v>
      </c>
      <c r="AF251">
        <f>Deals_Raw!AH251</f>
        <v>0</v>
      </c>
      <c r="AG251" t="str">
        <f>Deals_Raw!AI251</f>
        <v>No</v>
      </c>
      <c r="AH251" s="6">
        <f>Deals_Raw!AJ251</f>
        <v>235300.98799609713</v>
      </c>
      <c r="AI251" s="6">
        <f>Deals_Raw!AK251</f>
        <v>130572.79887760006</v>
      </c>
      <c r="AJ251" t="str">
        <f>Deals_Raw!AL251</f>
        <v>Renewal of existing active contract</v>
      </c>
      <c r="AK251" s="9">
        <f t="shared" si="21"/>
        <v>3.9222222222222221</v>
      </c>
      <c r="AL251" s="8">
        <f t="shared" si="22"/>
        <v>0.88450493004182307</v>
      </c>
      <c r="AM251" s="8">
        <f t="shared" si="23"/>
        <v>2.8999999999999984E-2</v>
      </c>
      <c r="AN251" t="str">
        <f>IF(AC251&lt;Pricing_Policy!$C$10,"Below Floor","Pass")</f>
        <v>Pass</v>
      </c>
      <c r="AO251" t="str">
        <f>IF(V251&gt;Pricing_Policy!$C$7,"Exception","Standard")</f>
        <v>Standard</v>
      </c>
      <c r="AP251" t="str">
        <f t="shared" si="24"/>
        <v>Pass</v>
      </c>
      <c r="AQ251">
        <f t="shared" si="25"/>
        <v>1</v>
      </c>
      <c r="AR251" s="8">
        <f t="shared" si="26"/>
        <v>0.55491819218271121</v>
      </c>
      <c r="AS251">
        <f t="shared" si="27"/>
        <v>4</v>
      </c>
    </row>
    <row r="252" spans="1:45">
      <c r="A252" t="str">
        <f>Deals_Raw!A252</f>
        <v>D00280</v>
      </c>
      <c r="B252">
        <f>Deals_Raw!B252</f>
        <v>45629</v>
      </c>
      <c r="C252" t="str">
        <f>Deals_Raw!C252</f>
        <v>C0077</v>
      </c>
      <c r="D252" t="str">
        <f>Deals_Raw!D252</f>
        <v>PUB-0077</v>
      </c>
      <c r="E252" t="str">
        <f>Deals_Raw!E252</f>
        <v>CT00158</v>
      </c>
      <c r="F252" t="str">
        <f>Deals_Raw!F252</f>
        <v>Corporate</v>
      </c>
      <c r="G252" t="str">
        <f>Deals_Raw!G252</f>
        <v>Public Sector</v>
      </c>
      <c r="H252" t="str">
        <f>Deals_Raw!H252</f>
        <v>Midwest</v>
      </c>
      <c r="I252" t="str">
        <f>Deals_Raw!I252</f>
        <v>Midwest Commercial</v>
      </c>
      <c r="J252" t="str">
        <f>Deals_Raw!J252</f>
        <v>Mid-Market</v>
      </c>
      <c r="K252" t="str">
        <f>Deals_Raw!K252</f>
        <v>No</v>
      </c>
      <c r="L252">
        <f>Deals_Raw!L252</f>
        <v>43466</v>
      </c>
      <c r="M252">
        <f>Deals_Raw!M252</f>
        <v>51</v>
      </c>
      <c r="N252" t="str">
        <f>Deals_Raw!N252</f>
        <v>Nexus AI Assistant</v>
      </c>
      <c r="O252" t="str">
        <f>Deals_Raw!O252</f>
        <v>Renewal</v>
      </c>
      <c r="P252">
        <f>Deals_Raw!P252</f>
        <v>0</v>
      </c>
      <c r="Q252">
        <f>Deals_Raw!Q252</f>
        <v>1</v>
      </c>
      <c r="R252">
        <f>Deals_Raw!R252</f>
        <v>91</v>
      </c>
      <c r="S252" t="str">
        <f>Deals_Raw!S252</f>
        <v>S. Rivera</v>
      </c>
      <c r="T252" s="6">
        <f>Deals_Raw!T252</f>
        <v>84149.475828177776</v>
      </c>
      <c r="U252" s="8">
        <f>Deals_Raw!V252</f>
        <v>0.11600000000000001</v>
      </c>
      <c r="V252" s="8">
        <f>Deals_Raw!W252</f>
        <v>0.10199999999999999</v>
      </c>
      <c r="W252" s="8">
        <f>Deals_Raw!X252</f>
        <v>-4.3999999999999997E-2</v>
      </c>
      <c r="X252" t="str">
        <f>Deals_Raw!Y252</f>
        <v>Renewal retention risk</v>
      </c>
      <c r="Y252" t="str">
        <f>Deals_Raw!Z252</f>
        <v>Pricing Analyst</v>
      </c>
      <c r="Z252" s="6">
        <f>Deals_Raw!AA252</f>
        <v>75586.202656634647</v>
      </c>
      <c r="AA252" s="6">
        <f>Deals_Raw!AC252</f>
        <v>33236.480555447575</v>
      </c>
      <c r="AB252" s="6">
        <f>Deals_Raw!AD252</f>
        <v>42349.722101187072</v>
      </c>
      <c r="AC252" s="8">
        <f>Deals_Raw!AE252</f>
        <v>0.5602837636065553</v>
      </c>
      <c r="AD252" t="str">
        <f>Deals_Raw!AF252</f>
        <v>Lost</v>
      </c>
      <c r="AE252" t="str">
        <f>Deals_Raw!AG252</f>
        <v>No</v>
      </c>
      <c r="AF252">
        <f>Deals_Raw!AH252</f>
        <v>0</v>
      </c>
      <c r="AG252" t="str">
        <f>Deals_Raw!AI252</f>
        <v>No</v>
      </c>
      <c r="AH252" s="6">
        <f>Deals_Raw!AJ252</f>
        <v>0</v>
      </c>
      <c r="AI252" s="6">
        <f>Deals_Raw!AK252</f>
        <v>0</v>
      </c>
      <c r="AJ252" t="str">
        <f>Deals_Raw!AL252</f>
        <v>Renewal of existing active contract</v>
      </c>
      <c r="AK252" s="9">
        <f t="shared" si="21"/>
        <v>5.9222222222222225</v>
      </c>
      <c r="AL252" s="8">
        <f t="shared" si="22"/>
        <v>0.89823735576168995</v>
      </c>
      <c r="AM252" s="8">
        <f t="shared" si="23"/>
        <v>1.4000000000000012E-2</v>
      </c>
      <c r="AN252" t="str">
        <f>IF(AC252&lt;Pricing_Policy!$C$10,"Below Floor","Pass")</f>
        <v>Pass</v>
      </c>
      <c r="AO252" t="str">
        <f>IF(V252&gt;Pricing_Policy!$C$7,"Exception","Standard")</f>
        <v>Standard</v>
      </c>
      <c r="AP252" t="str">
        <f t="shared" si="24"/>
        <v>Pass</v>
      </c>
      <c r="AQ252">
        <f t="shared" si="25"/>
        <v>0</v>
      </c>
      <c r="AR252" s="8">
        <f t="shared" si="26"/>
        <v>0</v>
      </c>
      <c r="AS252">
        <f t="shared" si="27"/>
        <v>1</v>
      </c>
    </row>
    <row r="253" spans="1:45">
      <c r="A253" t="str">
        <f>Deals_Raw!A253</f>
        <v>D00281</v>
      </c>
      <c r="B253">
        <f>Deals_Raw!B253</f>
        <v>45454</v>
      </c>
      <c r="C253" t="str">
        <f>Deals_Raw!C253</f>
        <v>C0077</v>
      </c>
      <c r="D253" t="str">
        <f>Deals_Raw!D253</f>
        <v>PUB-0077</v>
      </c>
      <c r="E253" t="str">
        <f>Deals_Raw!E253</f>
        <v>CT00159</v>
      </c>
      <c r="F253" t="str">
        <f>Deals_Raw!F253</f>
        <v>Corporate</v>
      </c>
      <c r="G253" t="str">
        <f>Deals_Raw!G253</f>
        <v>Public Sector</v>
      </c>
      <c r="H253" t="str">
        <f>Deals_Raw!H253</f>
        <v>Midwest</v>
      </c>
      <c r="I253" t="str">
        <f>Deals_Raw!I253</f>
        <v>Midwest Commercial</v>
      </c>
      <c r="J253" t="str">
        <f>Deals_Raw!J253</f>
        <v>Mid-Market</v>
      </c>
      <c r="K253" t="str">
        <f>Deals_Raw!K253</f>
        <v>No</v>
      </c>
      <c r="L253">
        <f>Deals_Raw!L253</f>
        <v>43466</v>
      </c>
      <c r="M253">
        <f>Deals_Raw!M253</f>
        <v>51</v>
      </c>
      <c r="N253" t="str">
        <f>Deals_Raw!N253</f>
        <v>Nexus Enterprise Suite</v>
      </c>
      <c r="O253" t="str">
        <f>Deals_Raw!O253</f>
        <v>New Business</v>
      </c>
      <c r="P253">
        <f>Deals_Raw!P253</f>
        <v>0</v>
      </c>
      <c r="Q253">
        <f>Deals_Raw!Q253</f>
        <v>3</v>
      </c>
      <c r="R253">
        <f>Deals_Raw!R253</f>
        <v>341</v>
      </c>
      <c r="S253" t="str">
        <f>Deals_Raw!S253</f>
        <v>A. Patel</v>
      </c>
      <c r="T253" s="6">
        <f>Deals_Raw!T253</f>
        <v>227900.5306313489</v>
      </c>
      <c r="U253" s="8">
        <f>Deals_Raw!V253</f>
        <v>0.11700000000000001</v>
      </c>
      <c r="V253" s="8">
        <f>Deals_Raw!W253</f>
        <v>0.106</v>
      </c>
      <c r="W253" s="8">
        <f>Deals_Raw!X253</f>
        <v>3.5000000000000003E-2</v>
      </c>
      <c r="X253" t="str">
        <f>Deals_Raw!Y253</f>
        <v>Expansion opportunity</v>
      </c>
      <c r="Y253" t="str">
        <f>Deals_Raw!Z253</f>
        <v>Pricing Analyst</v>
      </c>
      <c r="Z253" s="6">
        <f>Deals_Raw!AA253</f>
        <v>203649.9178677559</v>
      </c>
      <c r="AA253" s="6">
        <f>Deals_Raw!AC253</f>
        <v>88252.466581846791</v>
      </c>
      <c r="AB253" s="6">
        <f>Deals_Raw!AD253</f>
        <v>115397.4512859091</v>
      </c>
      <c r="AC253" s="8">
        <f>Deals_Raw!AE253</f>
        <v>0.56664619605122901</v>
      </c>
      <c r="AD253" t="str">
        <f>Deals_Raw!AF253</f>
        <v>Won</v>
      </c>
      <c r="AE253">
        <f>Deals_Raw!AG253</f>
        <v>0</v>
      </c>
      <c r="AF253">
        <f>Deals_Raw!AH253</f>
        <v>0</v>
      </c>
      <c r="AG253" t="str">
        <f>Deals_Raw!AI253</f>
        <v>No</v>
      </c>
      <c r="AH253" s="6">
        <f>Deals_Raw!AJ253</f>
        <v>203649.9178677559</v>
      </c>
      <c r="AI253" s="6">
        <f>Deals_Raw!AK253</f>
        <v>115397.4512859091</v>
      </c>
      <c r="AJ253" t="str">
        <f>Deals_Raw!AL253</f>
        <v>First purchase under this contract</v>
      </c>
      <c r="AK253" s="9">
        <f t="shared" si="21"/>
        <v>5.4444444444444446</v>
      </c>
      <c r="AL253" s="8">
        <f t="shared" si="22"/>
        <v>0.89359124045735239</v>
      </c>
      <c r="AM253" s="8">
        <f t="shared" si="23"/>
        <v>1.100000000000001E-2</v>
      </c>
      <c r="AN253" t="str">
        <f>IF(AC253&lt;Pricing_Policy!$C$10,"Below Floor","Pass")</f>
        <v>Pass</v>
      </c>
      <c r="AO253" t="str">
        <f>IF(V253&gt;Pricing_Policy!$C$7,"Exception","Standard")</f>
        <v>Standard</v>
      </c>
      <c r="AP253" t="str">
        <f t="shared" si="24"/>
        <v>Pass</v>
      </c>
      <c r="AQ253">
        <f t="shared" si="25"/>
        <v>1</v>
      </c>
      <c r="AR253" s="8">
        <f t="shared" si="26"/>
        <v>0.56664619605122901</v>
      </c>
      <c r="AS253">
        <f t="shared" si="27"/>
        <v>1</v>
      </c>
    </row>
    <row r="254" spans="1:45">
      <c r="A254" t="str">
        <f>Deals_Raw!A254</f>
        <v>D00282</v>
      </c>
      <c r="B254">
        <f>Deals_Raw!B254</f>
        <v>45507</v>
      </c>
      <c r="C254" t="str">
        <f>Deals_Raw!C254</f>
        <v>C0077</v>
      </c>
      <c r="D254" t="str">
        <f>Deals_Raw!D254</f>
        <v>PUB-0077</v>
      </c>
      <c r="E254" t="str">
        <f>Deals_Raw!E254</f>
        <v>CT00160</v>
      </c>
      <c r="F254" t="str">
        <f>Deals_Raw!F254</f>
        <v>Legal</v>
      </c>
      <c r="G254" t="str">
        <f>Deals_Raw!G254</f>
        <v>Public Sector</v>
      </c>
      <c r="H254" t="str">
        <f>Deals_Raw!H254</f>
        <v>Midwest</v>
      </c>
      <c r="I254" t="str">
        <f>Deals_Raw!I254</f>
        <v>Midwest Commercial</v>
      </c>
      <c r="J254" t="str">
        <f>Deals_Raw!J254</f>
        <v>Mid-Market</v>
      </c>
      <c r="K254" t="str">
        <f>Deals_Raw!K254</f>
        <v>No</v>
      </c>
      <c r="L254">
        <f>Deals_Raw!L254</f>
        <v>43466</v>
      </c>
      <c r="M254">
        <f>Deals_Raw!M254</f>
        <v>51</v>
      </c>
      <c r="N254" t="str">
        <f>Deals_Raw!N254</f>
        <v>Nexus Insights</v>
      </c>
      <c r="O254" t="str">
        <f>Deals_Raw!O254</f>
        <v>Renewal</v>
      </c>
      <c r="P254">
        <f>Deals_Raw!P254</f>
        <v>0</v>
      </c>
      <c r="Q254">
        <f>Deals_Raw!Q254</f>
        <v>3</v>
      </c>
      <c r="R254">
        <f>Deals_Raw!R254</f>
        <v>174</v>
      </c>
      <c r="S254" t="str">
        <f>Deals_Raw!S254</f>
        <v>L. Williams</v>
      </c>
      <c r="T254" s="6">
        <f>Deals_Raw!T254</f>
        <v>49097.164984279079</v>
      </c>
      <c r="U254" s="8">
        <f>Deals_Raw!V254</f>
        <v>0.124</v>
      </c>
      <c r="V254" s="8">
        <f>Deals_Raw!W254</f>
        <v>0.111</v>
      </c>
      <c r="W254" s="8">
        <f>Deals_Raw!X254</f>
        <v>3.0000000000000001E-3</v>
      </c>
      <c r="X254" t="str">
        <f>Deals_Raw!Y254</f>
        <v>Renewal retention risk</v>
      </c>
      <c r="Y254" t="str">
        <f>Deals_Raw!Z254</f>
        <v>Pricing Analyst</v>
      </c>
      <c r="Z254" s="6">
        <f>Deals_Raw!AA254</f>
        <v>43642.425972931611</v>
      </c>
      <c r="AA254" s="6">
        <f>Deals_Raw!AC254</f>
        <v>13680.698375210914</v>
      </c>
      <c r="AB254" s="6">
        <f>Deals_Raw!AD254</f>
        <v>29961.727597720695</v>
      </c>
      <c r="AC254" s="8">
        <f>Deals_Raw!AE254</f>
        <v>0.68652754584046016</v>
      </c>
      <c r="AD254" t="str">
        <f>Deals_Raw!AF254</f>
        <v>Won</v>
      </c>
      <c r="AE254" t="str">
        <f>Deals_Raw!AG254</f>
        <v>Yes</v>
      </c>
      <c r="AF254">
        <f>Deals_Raw!AH254</f>
        <v>0</v>
      </c>
      <c r="AG254" t="str">
        <f>Deals_Raw!AI254</f>
        <v>No</v>
      </c>
      <c r="AH254" s="6">
        <f>Deals_Raw!AJ254</f>
        <v>43642.425972931611</v>
      </c>
      <c r="AI254" s="6">
        <f>Deals_Raw!AK254</f>
        <v>29961.727597720695</v>
      </c>
      <c r="AJ254" t="str">
        <f>Deals_Raw!AL254</f>
        <v>Renewal of existing active contract</v>
      </c>
      <c r="AK254" s="9">
        <f t="shared" si="21"/>
        <v>5.5888888888888886</v>
      </c>
      <c r="AL254" s="8">
        <f t="shared" si="22"/>
        <v>0.8888991041927965</v>
      </c>
      <c r="AM254" s="8">
        <f t="shared" si="23"/>
        <v>1.2999999999999998E-2</v>
      </c>
      <c r="AN254" t="str">
        <f>IF(AC254&lt;Pricing_Policy!$C$10,"Below Floor","Pass")</f>
        <v>Pass</v>
      </c>
      <c r="AO254" t="str">
        <f>IF(V254&gt;Pricing_Policy!$C$7,"Exception","Standard")</f>
        <v>Standard</v>
      </c>
      <c r="AP254" t="str">
        <f t="shared" si="24"/>
        <v>Pass</v>
      </c>
      <c r="AQ254">
        <f t="shared" si="25"/>
        <v>1</v>
      </c>
      <c r="AR254" s="8">
        <f t="shared" si="26"/>
        <v>0.68652754584046016</v>
      </c>
      <c r="AS254">
        <f t="shared" si="27"/>
        <v>1</v>
      </c>
    </row>
    <row r="255" spans="1:45">
      <c r="A255" t="str">
        <f>Deals_Raw!A255</f>
        <v>D00283</v>
      </c>
      <c r="B255">
        <f>Deals_Raw!B255</f>
        <v>45360</v>
      </c>
      <c r="C255" t="str">
        <f>Deals_Raw!C255</f>
        <v>C0078</v>
      </c>
      <c r="D255" t="str">
        <f>Deals_Raw!D255</f>
        <v>FIN-0078</v>
      </c>
      <c r="E255" t="str">
        <f>Deals_Raw!E255</f>
        <v>CT00161</v>
      </c>
      <c r="F255" t="str">
        <f>Deals_Raw!F255</f>
        <v>Legal</v>
      </c>
      <c r="G255" t="str">
        <f>Deals_Raw!G255</f>
        <v>Financial Services</v>
      </c>
      <c r="H255" t="str">
        <f>Deals_Raw!H255</f>
        <v>West</v>
      </c>
      <c r="I255" t="str">
        <f>Deals_Raw!I255</f>
        <v>West Enterprise</v>
      </c>
      <c r="J255" t="str">
        <f>Deals_Raw!J255</f>
        <v>Enterprise</v>
      </c>
      <c r="K255" t="str">
        <f>Deals_Raw!K255</f>
        <v>Yes</v>
      </c>
      <c r="L255">
        <f>Deals_Raw!L255</f>
        <v>43891</v>
      </c>
      <c r="M255">
        <f>Deals_Raw!M255</f>
        <v>60</v>
      </c>
      <c r="N255" t="str">
        <f>Deals_Raw!N255</f>
        <v>Nexus Enterprise Suite</v>
      </c>
      <c r="O255" t="str">
        <f>Deals_Raw!O255</f>
        <v>Expansion</v>
      </c>
      <c r="P255" t="str">
        <f>Deals_Raw!P255</f>
        <v>AI Add-on</v>
      </c>
      <c r="Q255">
        <f>Deals_Raw!Q255</f>
        <v>1</v>
      </c>
      <c r="R255">
        <f>Deals_Raw!R255</f>
        <v>832</v>
      </c>
      <c r="S255" t="str">
        <f>Deals_Raw!S255</f>
        <v>T. Brooks</v>
      </c>
      <c r="T255" s="6">
        <f>Deals_Raw!T255</f>
        <v>794461.68121273117</v>
      </c>
      <c r="U255" s="8">
        <f>Deals_Raw!V255</f>
        <v>0.14599999999999999</v>
      </c>
      <c r="V255" s="8">
        <f>Deals_Raw!W255</f>
        <v>0.125</v>
      </c>
      <c r="W255" s="8">
        <f>Deals_Raw!X255</f>
        <v>-5.8000000000000003E-2</v>
      </c>
      <c r="X255" t="str">
        <f>Deals_Raw!Y255</f>
        <v>Expansion opportunity</v>
      </c>
      <c r="Y255" t="str">
        <f>Deals_Raw!Z255</f>
        <v>Pricing Analyst</v>
      </c>
      <c r="Z255" s="6">
        <f>Deals_Raw!AA255</f>
        <v>695468.68231570011</v>
      </c>
      <c r="AA255" s="6">
        <f>Deals_Raw!AC255</f>
        <v>275713.45571745175</v>
      </c>
      <c r="AB255" s="6">
        <f>Deals_Raw!AD255</f>
        <v>419755.22659824835</v>
      </c>
      <c r="AC255" s="8">
        <f>Deals_Raw!AE255</f>
        <v>0.60355733805380074</v>
      </c>
      <c r="AD255" t="str">
        <f>Deals_Raw!AF255</f>
        <v>Won</v>
      </c>
      <c r="AE255">
        <f>Deals_Raw!AG255</f>
        <v>0</v>
      </c>
      <c r="AF255" t="str">
        <f>Deals_Raw!AH255</f>
        <v>Yes</v>
      </c>
      <c r="AG255" t="str">
        <f>Deals_Raw!AI255</f>
        <v>No</v>
      </c>
      <c r="AH255" s="6">
        <f>Deals_Raw!AJ255</f>
        <v>695468.68231570011</v>
      </c>
      <c r="AI255" s="6">
        <f>Deals_Raw!AK255</f>
        <v>419755.22659824835</v>
      </c>
      <c r="AJ255" t="str">
        <f>Deals_Raw!AL255</f>
        <v>Expansion allowed because contract was active</v>
      </c>
      <c r="AK255" s="9">
        <f t="shared" si="21"/>
        <v>4.0222222222222221</v>
      </c>
      <c r="AL255" s="8">
        <f t="shared" si="22"/>
        <v>0.87539613144598738</v>
      </c>
      <c r="AM255" s="8">
        <f t="shared" si="23"/>
        <v>2.0999999999999991E-2</v>
      </c>
      <c r="AN255" t="str">
        <f>IF(AC255&lt;Pricing_Policy!$C$10,"Below Floor","Pass")</f>
        <v>Pass</v>
      </c>
      <c r="AO255" t="str">
        <f>IF(V255&gt;Pricing_Policy!$C$7,"Exception","Standard")</f>
        <v>Standard</v>
      </c>
      <c r="AP255" t="str">
        <f t="shared" si="24"/>
        <v>Pass</v>
      </c>
      <c r="AQ255">
        <f t="shared" si="25"/>
        <v>1</v>
      </c>
      <c r="AR255" s="8">
        <f t="shared" si="26"/>
        <v>0.60355733805380074</v>
      </c>
      <c r="AS255">
        <f t="shared" si="27"/>
        <v>2</v>
      </c>
    </row>
    <row r="256" spans="1:45">
      <c r="A256" t="str">
        <f>Deals_Raw!A256</f>
        <v>D00284</v>
      </c>
      <c r="B256">
        <f>Deals_Raw!B256</f>
        <v>45577</v>
      </c>
      <c r="C256" t="str">
        <f>Deals_Raw!C256</f>
        <v>C0078</v>
      </c>
      <c r="D256" t="str">
        <f>Deals_Raw!D256</f>
        <v>FIN-0078</v>
      </c>
      <c r="E256" t="str">
        <f>Deals_Raw!E256</f>
        <v>CT00161</v>
      </c>
      <c r="F256" t="str">
        <f>Deals_Raw!F256</f>
        <v>Legal</v>
      </c>
      <c r="G256" t="str">
        <f>Deals_Raw!G256</f>
        <v>Financial Services</v>
      </c>
      <c r="H256" t="str">
        <f>Deals_Raw!H256</f>
        <v>West</v>
      </c>
      <c r="I256" t="str">
        <f>Deals_Raw!I256</f>
        <v>West Enterprise</v>
      </c>
      <c r="J256" t="str">
        <f>Deals_Raw!J256</f>
        <v>Enterprise</v>
      </c>
      <c r="K256" t="str">
        <f>Deals_Raw!K256</f>
        <v>Yes</v>
      </c>
      <c r="L256">
        <f>Deals_Raw!L256</f>
        <v>43891</v>
      </c>
      <c r="M256">
        <f>Deals_Raw!M256</f>
        <v>60</v>
      </c>
      <c r="N256" t="str">
        <f>Deals_Raw!N256</f>
        <v>Nexus Enterprise Suite</v>
      </c>
      <c r="O256" t="str">
        <f>Deals_Raw!O256</f>
        <v>Renewal</v>
      </c>
      <c r="P256">
        <f>Deals_Raw!P256</f>
        <v>0</v>
      </c>
      <c r="Q256">
        <f>Deals_Raw!Q256</f>
        <v>1</v>
      </c>
      <c r="R256">
        <f>Deals_Raw!R256</f>
        <v>832</v>
      </c>
      <c r="S256" t="str">
        <f>Deals_Raw!S256</f>
        <v>L. Williams</v>
      </c>
      <c r="T256" s="6">
        <f>Deals_Raw!T256</f>
        <v>812753.71336289821</v>
      </c>
      <c r="U256" s="8">
        <f>Deals_Raw!V256</f>
        <v>0.155</v>
      </c>
      <c r="V256" s="8">
        <f>Deals_Raw!W256</f>
        <v>0.109</v>
      </c>
      <c r="W256" s="8">
        <f>Deals_Raw!X256</f>
        <v>-0.11899999999999999</v>
      </c>
      <c r="X256" t="str">
        <f>Deals_Raw!Y256</f>
        <v>Renewal retention risk</v>
      </c>
      <c r="Y256" t="str">
        <f>Deals_Raw!Z256</f>
        <v>Pricing Analyst</v>
      </c>
      <c r="Z256" s="6">
        <f>Deals_Raw!AA256</f>
        <v>723827.88013782632</v>
      </c>
      <c r="AA256" s="6">
        <f>Deals_Raw!AC256</f>
        <v>289293.32324454893</v>
      </c>
      <c r="AB256" s="6">
        <f>Deals_Raw!AD256</f>
        <v>434534.55689327739</v>
      </c>
      <c r="AC256" s="8">
        <f>Deals_Raw!AE256</f>
        <v>0.6003285709449826</v>
      </c>
      <c r="AD256" t="str">
        <f>Deals_Raw!AF256</f>
        <v>Lost</v>
      </c>
      <c r="AE256" t="str">
        <f>Deals_Raw!AG256</f>
        <v>No</v>
      </c>
      <c r="AF256">
        <f>Deals_Raw!AH256</f>
        <v>0</v>
      </c>
      <c r="AG256" t="str">
        <f>Deals_Raw!AI256</f>
        <v>No</v>
      </c>
      <c r="AH256" s="6">
        <f>Deals_Raw!AJ256</f>
        <v>0</v>
      </c>
      <c r="AI256" s="6">
        <f>Deals_Raw!AK256</f>
        <v>0</v>
      </c>
      <c r="AJ256" t="str">
        <f>Deals_Raw!AL256</f>
        <v>Renewal of existing active contract</v>
      </c>
      <c r="AK256" s="9">
        <f t="shared" si="21"/>
        <v>4.6138888888888889</v>
      </c>
      <c r="AL256" s="8">
        <f t="shared" si="22"/>
        <v>0.89058698623827004</v>
      </c>
      <c r="AM256" s="8">
        <f t="shared" si="23"/>
        <v>4.5999999999999999E-2</v>
      </c>
      <c r="AN256" t="str">
        <f>IF(AC256&lt;Pricing_Policy!$C$10,"Below Floor","Pass")</f>
        <v>Pass</v>
      </c>
      <c r="AO256" t="str">
        <f>IF(V256&gt;Pricing_Policy!$C$7,"Exception","Standard")</f>
        <v>Standard</v>
      </c>
      <c r="AP256" t="str">
        <f t="shared" si="24"/>
        <v>Pass</v>
      </c>
      <c r="AQ256">
        <f t="shared" si="25"/>
        <v>0</v>
      </c>
      <c r="AR256" s="8">
        <f t="shared" si="26"/>
        <v>0</v>
      </c>
      <c r="AS256">
        <f t="shared" si="27"/>
        <v>2</v>
      </c>
    </row>
    <row r="257" spans="1:45">
      <c r="A257" t="str">
        <f>Deals_Raw!A257</f>
        <v>D00285</v>
      </c>
      <c r="B257">
        <f>Deals_Raw!B257</f>
        <v>45639</v>
      </c>
      <c r="C257" t="str">
        <f>Deals_Raw!C257</f>
        <v>C0078</v>
      </c>
      <c r="D257" t="str">
        <f>Deals_Raw!D257</f>
        <v>FIN-0078</v>
      </c>
      <c r="E257" t="str">
        <f>Deals_Raw!E257</f>
        <v>CT00162</v>
      </c>
      <c r="F257" t="str">
        <f>Deals_Raw!F257</f>
        <v>Corporate</v>
      </c>
      <c r="G257" t="str">
        <f>Deals_Raw!G257</f>
        <v>Financial Services</v>
      </c>
      <c r="H257" t="str">
        <f>Deals_Raw!H257</f>
        <v>West</v>
      </c>
      <c r="I257" t="str">
        <f>Deals_Raw!I257</f>
        <v>West Enterprise</v>
      </c>
      <c r="J257" t="str">
        <f>Deals_Raw!J257</f>
        <v>Enterprise</v>
      </c>
      <c r="K257" t="str">
        <f>Deals_Raw!K257</f>
        <v>Yes</v>
      </c>
      <c r="L257">
        <f>Deals_Raw!L257</f>
        <v>43891</v>
      </c>
      <c r="M257">
        <f>Deals_Raw!M257</f>
        <v>60</v>
      </c>
      <c r="N257" t="str">
        <f>Deals_Raw!N257</f>
        <v>Nexus Compliance</v>
      </c>
      <c r="O257" t="str">
        <f>Deals_Raw!O257</f>
        <v>Renewal</v>
      </c>
      <c r="P257">
        <f>Deals_Raw!P257</f>
        <v>0</v>
      </c>
      <c r="Q257">
        <f>Deals_Raw!Q257</f>
        <v>1</v>
      </c>
      <c r="R257">
        <f>Deals_Raw!R257</f>
        <v>381</v>
      </c>
      <c r="S257" t="str">
        <f>Deals_Raw!S257</f>
        <v>K. Nguyen</v>
      </c>
      <c r="T257" s="6">
        <f>Deals_Raw!T257</f>
        <v>288013.30448871717</v>
      </c>
      <c r="U257" s="8">
        <f>Deals_Raw!V257</f>
        <v>0.17199999999999999</v>
      </c>
      <c r="V257" s="8">
        <f>Deals_Raw!W257</f>
        <v>0.155</v>
      </c>
      <c r="W257" s="8">
        <f>Deals_Raw!X257</f>
        <v>0.08</v>
      </c>
      <c r="X257" t="str">
        <f>Deals_Raw!Y257</f>
        <v>Renewal retention risk</v>
      </c>
      <c r="Y257" t="str">
        <f>Deals_Raw!Z257</f>
        <v>Pricing Analyst</v>
      </c>
      <c r="Z257" s="6">
        <f>Deals_Raw!AA257</f>
        <v>243227.3859084752</v>
      </c>
      <c r="AA257" s="6">
        <f>Deals_Raw!AC257</f>
        <v>102708.6291963824</v>
      </c>
      <c r="AB257" s="6">
        <f>Deals_Raw!AD257</f>
        <v>140518.75671209279</v>
      </c>
      <c r="AC257" s="8">
        <f>Deals_Raw!AE257</f>
        <v>0.57772588471994279</v>
      </c>
      <c r="AD257" t="str">
        <f>Deals_Raw!AF257</f>
        <v>Won</v>
      </c>
      <c r="AE257" t="str">
        <f>Deals_Raw!AG257</f>
        <v>Yes</v>
      </c>
      <c r="AF257">
        <f>Deals_Raw!AH257</f>
        <v>0</v>
      </c>
      <c r="AG257" t="str">
        <f>Deals_Raw!AI257</f>
        <v>No</v>
      </c>
      <c r="AH257" s="6">
        <f>Deals_Raw!AJ257</f>
        <v>243227.3859084752</v>
      </c>
      <c r="AI257" s="6">
        <f>Deals_Raw!AK257</f>
        <v>140518.75671209279</v>
      </c>
      <c r="AJ257" t="str">
        <f>Deals_Raw!AL257</f>
        <v>Renewal of existing active contract</v>
      </c>
      <c r="AK257" s="9">
        <f t="shared" si="21"/>
        <v>4.7833333333333332</v>
      </c>
      <c r="AL257" s="8">
        <f t="shared" si="22"/>
        <v>0.84450052173893086</v>
      </c>
      <c r="AM257" s="8">
        <f t="shared" si="23"/>
        <v>1.6999999999999987E-2</v>
      </c>
      <c r="AN257" t="str">
        <f>IF(AC257&lt;Pricing_Policy!$C$10,"Below Floor","Pass")</f>
        <v>Pass</v>
      </c>
      <c r="AO257" t="str">
        <f>IF(V257&gt;Pricing_Policy!$C$7,"Exception","Standard")</f>
        <v>Standard</v>
      </c>
      <c r="AP257" t="str">
        <f t="shared" si="24"/>
        <v>Pass</v>
      </c>
      <c r="AQ257">
        <f t="shared" si="25"/>
        <v>1</v>
      </c>
      <c r="AR257" s="8">
        <f t="shared" si="26"/>
        <v>0.57772588471994279</v>
      </c>
      <c r="AS257">
        <f t="shared" si="27"/>
        <v>2</v>
      </c>
    </row>
    <row r="258" spans="1:45">
      <c r="A258" t="str">
        <f>Deals_Raw!A258</f>
        <v>D00286</v>
      </c>
      <c r="B258">
        <f>Deals_Raw!B258</f>
        <v>46004</v>
      </c>
      <c r="C258" t="str">
        <f>Deals_Raw!C258</f>
        <v>C0078</v>
      </c>
      <c r="D258" t="str">
        <f>Deals_Raw!D258</f>
        <v>FIN-0078</v>
      </c>
      <c r="E258" t="str">
        <f>Deals_Raw!E258</f>
        <v>CT00162</v>
      </c>
      <c r="F258" t="str">
        <f>Deals_Raw!F258</f>
        <v>Corporate</v>
      </c>
      <c r="G258" t="str">
        <f>Deals_Raw!G258</f>
        <v>Financial Services</v>
      </c>
      <c r="H258" t="str">
        <f>Deals_Raw!H258</f>
        <v>West</v>
      </c>
      <c r="I258" t="str">
        <f>Deals_Raw!I258</f>
        <v>West Enterprise</v>
      </c>
      <c r="J258" t="str">
        <f>Deals_Raw!J258</f>
        <v>Enterprise</v>
      </c>
      <c r="K258" t="str">
        <f>Deals_Raw!K258</f>
        <v>Yes</v>
      </c>
      <c r="L258">
        <f>Deals_Raw!L258</f>
        <v>43891</v>
      </c>
      <c r="M258">
        <f>Deals_Raw!M258</f>
        <v>60</v>
      </c>
      <c r="N258" t="str">
        <f>Deals_Raw!N258</f>
        <v>Nexus Compliance</v>
      </c>
      <c r="O258" t="str">
        <f>Deals_Raw!O258</f>
        <v>Renewal</v>
      </c>
      <c r="P258">
        <f>Deals_Raw!P258</f>
        <v>0</v>
      </c>
      <c r="Q258">
        <f>Deals_Raw!Q258</f>
        <v>1</v>
      </c>
      <c r="R258">
        <f>Deals_Raw!R258</f>
        <v>381</v>
      </c>
      <c r="S258" t="str">
        <f>Deals_Raw!S258</f>
        <v>K. Nguyen</v>
      </c>
      <c r="T258" s="6">
        <f>Deals_Raw!T258</f>
        <v>297012.3845452352</v>
      </c>
      <c r="U258" s="8">
        <f>Deals_Raw!V258</f>
        <v>2.1999999999999999E-2</v>
      </c>
      <c r="V258" s="8">
        <f>Deals_Raw!W258</f>
        <v>0</v>
      </c>
      <c r="W258" s="8">
        <f>Deals_Raw!X258</f>
        <v>-2.4E-2</v>
      </c>
      <c r="X258" t="str">
        <f>Deals_Raw!Y258</f>
        <v>Renewal retention risk</v>
      </c>
      <c r="Y258" t="str">
        <f>Deals_Raw!Z258</f>
        <v>Sales Manager</v>
      </c>
      <c r="Z258" s="6">
        <f>Deals_Raw!AA258</f>
        <v>297012.3845452352</v>
      </c>
      <c r="AA258" s="6">
        <f>Deals_Raw!AC258</f>
        <v>105808.81683390845</v>
      </c>
      <c r="AB258" s="6">
        <f>Deals_Raw!AD258</f>
        <v>191203.56771132676</v>
      </c>
      <c r="AC258" s="8">
        <f>Deals_Raw!AE258</f>
        <v>0.64375621240199943</v>
      </c>
      <c r="AD258" t="str">
        <f>Deals_Raw!AF258</f>
        <v>Won</v>
      </c>
      <c r="AE258" t="str">
        <f>Deals_Raw!AG258</f>
        <v>Yes</v>
      </c>
      <c r="AF258">
        <f>Deals_Raw!AH258</f>
        <v>0</v>
      </c>
      <c r="AG258" t="str">
        <f>Deals_Raw!AI258</f>
        <v>No</v>
      </c>
      <c r="AH258" s="6">
        <f>Deals_Raw!AJ258</f>
        <v>297012.3845452352</v>
      </c>
      <c r="AI258" s="6">
        <f>Deals_Raw!AK258</f>
        <v>191203.56771132676</v>
      </c>
      <c r="AJ258" t="str">
        <f>Deals_Raw!AL258</f>
        <v>Renewal of existing active contract</v>
      </c>
      <c r="AK258" s="9">
        <f t="shared" si="21"/>
        <v>5.7833333333333332</v>
      </c>
      <c r="AL258" s="8">
        <f t="shared" si="22"/>
        <v>1</v>
      </c>
      <c r="AM258" s="8">
        <f t="shared" si="23"/>
        <v>2.1999999999999999E-2</v>
      </c>
      <c r="AN258" t="str">
        <f>IF(AC258&lt;Pricing_Policy!$C$10,"Below Floor","Pass")</f>
        <v>Pass</v>
      </c>
      <c r="AO258" t="str">
        <f>IF(V258&gt;Pricing_Policy!$C$7,"Exception","Standard")</f>
        <v>Standard</v>
      </c>
      <c r="AP258" t="str">
        <f t="shared" si="24"/>
        <v>Pass</v>
      </c>
      <c r="AQ258">
        <f t="shared" si="25"/>
        <v>1</v>
      </c>
      <c r="AR258" s="8">
        <f t="shared" si="26"/>
        <v>0.64375621240199943</v>
      </c>
      <c r="AS258">
        <f t="shared" si="27"/>
        <v>2</v>
      </c>
    </row>
    <row r="259" spans="1:45">
      <c r="A259" t="str">
        <f>Deals_Raw!A259</f>
        <v>D00287</v>
      </c>
      <c r="B259">
        <f>Deals_Raw!B259</f>
        <v>45429</v>
      </c>
      <c r="C259" t="str">
        <f>Deals_Raw!C259</f>
        <v>C0079</v>
      </c>
      <c r="D259" t="str">
        <f>Deals_Raw!D259</f>
        <v>TEC-0079</v>
      </c>
      <c r="E259" t="str">
        <f>Deals_Raw!E259</f>
        <v>CT00163</v>
      </c>
      <c r="F259" t="str">
        <f>Deals_Raw!F259</f>
        <v>Corporate</v>
      </c>
      <c r="G259" t="str">
        <f>Deals_Raw!G259</f>
        <v>Technology</v>
      </c>
      <c r="H259" t="str">
        <f>Deals_Raw!H259</f>
        <v>West</v>
      </c>
      <c r="I259" t="str">
        <f>Deals_Raw!I259</f>
        <v>West Commercial</v>
      </c>
      <c r="J259" t="str">
        <f>Deals_Raw!J259</f>
        <v>Mid-Market</v>
      </c>
      <c r="K259" t="str">
        <f>Deals_Raw!K259</f>
        <v>Yes</v>
      </c>
      <c r="L259">
        <f>Deals_Raw!L259</f>
        <v>43101</v>
      </c>
      <c r="M259">
        <f>Deals_Raw!M259</f>
        <v>81</v>
      </c>
      <c r="N259" t="str">
        <f>Deals_Raw!N259</f>
        <v>Nexus Enterprise Suite</v>
      </c>
      <c r="O259" t="str">
        <f>Deals_Raw!O259</f>
        <v>Expansion</v>
      </c>
      <c r="P259" t="str">
        <f>Deals_Raw!P259</f>
        <v>Storage / Usage Expansion</v>
      </c>
      <c r="Q259">
        <f>Deals_Raw!Q259</f>
        <v>1</v>
      </c>
      <c r="R259">
        <f>Deals_Raw!R259</f>
        <v>367</v>
      </c>
      <c r="S259" t="str">
        <f>Deals_Raw!S259</f>
        <v>L. Williams</v>
      </c>
      <c r="T259" s="6">
        <f>Deals_Raw!T259</f>
        <v>445670.95700423402</v>
      </c>
      <c r="U259" s="8">
        <f>Deals_Raw!V259</f>
        <v>0.17199999999999999</v>
      </c>
      <c r="V259" s="8">
        <f>Deals_Raw!W259</f>
        <v>0.14899999999999999</v>
      </c>
      <c r="W259" s="8">
        <f>Deals_Raw!X259</f>
        <v>-7.2999999999999995E-2</v>
      </c>
      <c r="X259" t="str">
        <f>Deals_Raw!Y259</f>
        <v>Expansion opportunity</v>
      </c>
      <c r="Y259" t="str">
        <f>Deals_Raw!Z259</f>
        <v>Pricing Analyst</v>
      </c>
      <c r="Z259" s="6">
        <f>Deals_Raw!AA259</f>
        <v>379365.36189818237</v>
      </c>
      <c r="AA259" s="6">
        <f>Deals_Raw!AC259</f>
        <v>167202.45597502749</v>
      </c>
      <c r="AB259" s="6">
        <f>Deals_Raw!AD259</f>
        <v>212162.90592315487</v>
      </c>
      <c r="AC259" s="8">
        <f>Deals_Raw!AE259</f>
        <v>0.55925745266141913</v>
      </c>
      <c r="AD259" t="str">
        <f>Deals_Raw!AF259</f>
        <v>Won</v>
      </c>
      <c r="AE259">
        <f>Deals_Raw!AG259</f>
        <v>0</v>
      </c>
      <c r="AF259" t="str">
        <f>Deals_Raw!AH259</f>
        <v>Yes</v>
      </c>
      <c r="AG259" t="str">
        <f>Deals_Raw!AI259</f>
        <v>No</v>
      </c>
      <c r="AH259" s="6">
        <f>Deals_Raw!AJ259</f>
        <v>379365.36189818237</v>
      </c>
      <c r="AI259" s="6">
        <f>Deals_Raw!AK259</f>
        <v>212162.90592315487</v>
      </c>
      <c r="AJ259" t="str">
        <f>Deals_Raw!AL259</f>
        <v>Expansion allowed because contract was active</v>
      </c>
      <c r="AK259" s="9">
        <f t="shared" si="21"/>
        <v>6.3777777777777782</v>
      </c>
      <c r="AL259" s="8">
        <f t="shared" si="22"/>
        <v>0.85122298398856233</v>
      </c>
      <c r="AM259" s="8">
        <f t="shared" si="23"/>
        <v>2.2999999999999993E-2</v>
      </c>
      <c r="AN259" t="str">
        <f>IF(AC259&lt;Pricing_Policy!$C$10,"Below Floor","Pass")</f>
        <v>Pass</v>
      </c>
      <c r="AO259" t="str">
        <f>IF(V259&gt;Pricing_Policy!$C$7,"Exception","Standard")</f>
        <v>Standard</v>
      </c>
      <c r="AP259" t="str">
        <f t="shared" si="24"/>
        <v>Pass</v>
      </c>
      <c r="AQ259">
        <f t="shared" si="25"/>
        <v>1</v>
      </c>
      <c r="AR259" s="8">
        <f t="shared" si="26"/>
        <v>0.55925745266141913</v>
      </c>
      <c r="AS259">
        <f t="shared" si="27"/>
        <v>5</v>
      </c>
    </row>
    <row r="260" spans="1:45">
      <c r="A260" t="str">
        <f>Deals_Raw!A260</f>
        <v>D00288</v>
      </c>
      <c r="B260">
        <f>Deals_Raw!B260</f>
        <v>45648</v>
      </c>
      <c r="C260" t="str">
        <f>Deals_Raw!C260</f>
        <v>C0079</v>
      </c>
      <c r="D260" t="str">
        <f>Deals_Raw!D260</f>
        <v>TEC-0079</v>
      </c>
      <c r="E260" t="str">
        <f>Deals_Raw!E260</f>
        <v>CT00163</v>
      </c>
      <c r="F260" t="str">
        <f>Deals_Raw!F260</f>
        <v>Corporate</v>
      </c>
      <c r="G260" t="str">
        <f>Deals_Raw!G260</f>
        <v>Technology</v>
      </c>
      <c r="H260" t="str">
        <f>Deals_Raw!H260</f>
        <v>West</v>
      </c>
      <c r="I260" t="str">
        <f>Deals_Raw!I260</f>
        <v>West Commercial</v>
      </c>
      <c r="J260" t="str">
        <f>Deals_Raw!J260</f>
        <v>Mid-Market</v>
      </c>
      <c r="K260" t="str">
        <f>Deals_Raw!K260</f>
        <v>Yes</v>
      </c>
      <c r="L260">
        <f>Deals_Raw!L260</f>
        <v>43101</v>
      </c>
      <c r="M260">
        <f>Deals_Raw!M260</f>
        <v>81</v>
      </c>
      <c r="N260" t="str">
        <f>Deals_Raw!N260</f>
        <v>Nexus Enterprise Suite</v>
      </c>
      <c r="O260" t="str">
        <f>Deals_Raw!O260</f>
        <v>Renewal</v>
      </c>
      <c r="P260">
        <f>Deals_Raw!P260</f>
        <v>0</v>
      </c>
      <c r="Q260">
        <f>Deals_Raw!Q260</f>
        <v>1</v>
      </c>
      <c r="R260">
        <f>Deals_Raw!R260</f>
        <v>367</v>
      </c>
      <c r="S260" t="str">
        <f>Deals_Raw!S260</f>
        <v>A. Patel</v>
      </c>
      <c r="T260" s="6">
        <f>Deals_Raw!T260</f>
        <v>479392.06473381532</v>
      </c>
      <c r="U260" s="8">
        <f>Deals_Raw!V260</f>
        <v>0.16800000000000001</v>
      </c>
      <c r="V260" s="8">
        <f>Deals_Raw!W260</f>
        <v>0.14399999999999999</v>
      </c>
      <c r="W260" s="8">
        <f>Deals_Raw!X260</f>
        <v>-3.7999999999999999E-2</v>
      </c>
      <c r="X260" t="str">
        <f>Deals_Raw!Y260</f>
        <v>Renewal retention risk</v>
      </c>
      <c r="Y260" t="str">
        <f>Deals_Raw!Z260</f>
        <v>Pricing Analyst</v>
      </c>
      <c r="Z260" s="6">
        <f>Deals_Raw!AA260</f>
        <v>410416.02109236497</v>
      </c>
      <c r="AA260" s="6">
        <f>Deals_Raw!AC260</f>
        <v>168403.53209211008</v>
      </c>
      <c r="AB260" s="6">
        <f>Deals_Raw!AD260</f>
        <v>242012.48900025489</v>
      </c>
      <c r="AC260" s="8">
        <f>Deals_Raw!AE260</f>
        <v>0.58967602764656568</v>
      </c>
      <c r="AD260" t="str">
        <f>Deals_Raw!AF260</f>
        <v>Won</v>
      </c>
      <c r="AE260" t="str">
        <f>Deals_Raw!AG260</f>
        <v>Yes</v>
      </c>
      <c r="AF260">
        <f>Deals_Raw!AH260</f>
        <v>0</v>
      </c>
      <c r="AG260" t="str">
        <f>Deals_Raw!AI260</f>
        <v>No</v>
      </c>
      <c r="AH260" s="6">
        <f>Deals_Raw!AJ260</f>
        <v>410416.02109236497</v>
      </c>
      <c r="AI260" s="6">
        <f>Deals_Raw!AK260</f>
        <v>242012.48900025489</v>
      </c>
      <c r="AJ260" t="str">
        <f>Deals_Raw!AL260</f>
        <v>Renewal of existing active contract</v>
      </c>
      <c r="AK260" s="9">
        <f t="shared" si="21"/>
        <v>6.9749999999999996</v>
      </c>
      <c r="AL260" s="8">
        <f t="shared" si="22"/>
        <v>0.85611767754280699</v>
      </c>
      <c r="AM260" s="8">
        <f t="shared" si="23"/>
        <v>2.4000000000000021E-2</v>
      </c>
      <c r="AN260" t="str">
        <f>IF(AC260&lt;Pricing_Policy!$C$10,"Below Floor","Pass")</f>
        <v>Pass</v>
      </c>
      <c r="AO260" t="str">
        <f>IF(V260&gt;Pricing_Policy!$C$7,"Exception","Standard")</f>
        <v>Standard</v>
      </c>
      <c r="AP260" t="str">
        <f t="shared" si="24"/>
        <v>Pass</v>
      </c>
      <c r="AQ260">
        <f t="shared" si="25"/>
        <v>1</v>
      </c>
      <c r="AR260" s="8">
        <f t="shared" si="26"/>
        <v>0.58967602764656568</v>
      </c>
      <c r="AS260">
        <f t="shared" si="27"/>
        <v>5</v>
      </c>
    </row>
    <row r="261" spans="1:45">
      <c r="A261" t="str">
        <f>Deals_Raw!A261</f>
        <v>D00289</v>
      </c>
      <c r="B261">
        <f>Deals_Raw!B261</f>
        <v>46013</v>
      </c>
      <c r="C261" t="str">
        <f>Deals_Raw!C261</f>
        <v>C0079</v>
      </c>
      <c r="D261" t="str">
        <f>Deals_Raw!D261</f>
        <v>TEC-0079</v>
      </c>
      <c r="E261" t="str">
        <f>Deals_Raw!E261</f>
        <v>CT00163</v>
      </c>
      <c r="F261" t="str">
        <f>Deals_Raw!F261</f>
        <v>Corporate</v>
      </c>
      <c r="G261" t="str">
        <f>Deals_Raw!G261</f>
        <v>Technology</v>
      </c>
      <c r="H261" t="str">
        <f>Deals_Raw!H261</f>
        <v>West</v>
      </c>
      <c r="I261" t="str">
        <f>Deals_Raw!I261</f>
        <v>West Commercial</v>
      </c>
      <c r="J261" t="str">
        <f>Deals_Raw!J261</f>
        <v>Mid-Market</v>
      </c>
      <c r="K261" t="str">
        <f>Deals_Raw!K261</f>
        <v>Yes</v>
      </c>
      <c r="L261">
        <f>Deals_Raw!L261</f>
        <v>43101</v>
      </c>
      <c r="M261">
        <f>Deals_Raw!M261</f>
        <v>81</v>
      </c>
      <c r="N261" t="str">
        <f>Deals_Raw!N261</f>
        <v>Nexus Enterprise Suite</v>
      </c>
      <c r="O261" t="str">
        <f>Deals_Raw!O261</f>
        <v>Renewal</v>
      </c>
      <c r="P261">
        <f>Deals_Raw!P261</f>
        <v>0</v>
      </c>
      <c r="Q261">
        <f>Deals_Raw!Q261</f>
        <v>1</v>
      </c>
      <c r="R261">
        <f>Deals_Raw!R261</f>
        <v>367</v>
      </c>
      <c r="S261" t="str">
        <f>Deals_Raw!S261</f>
        <v>L. Williams</v>
      </c>
      <c r="T261" s="6">
        <f>Deals_Raw!T261</f>
        <v>507657.51842319599</v>
      </c>
      <c r="U261" s="8">
        <f>Deals_Raw!V261</f>
        <v>0.22800000000000001</v>
      </c>
      <c r="V261" s="8">
        <f>Deals_Raw!W261</f>
        <v>0.21199999999999999</v>
      </c>
      <c r="W261" s="8">
        <f>Deals_Raw!X261</f>
        <v>-5.3999999999999999E-2</v>
      </c>
      <c r="X261" t="str">
        <f>Deals_Raw!Y261</f>
        <v>Expansion opportunity</v>
      </c>
      <c r="Y261" t="str">
        <f>Deals_Raw!Z261</f>
        <v>Business Manager</v>
      </c>
      <c r="Z261" s="6">
        <f>Deals_Raw!AA261</f>
        <v>400264.50101313216</v>
      </c>
      <c r="AA261" s="6">
        <f>Deals_Raw!AC261</f>
        <v>181466.86671303163</v>
      </c>
      <c r="AB261" s="6">
        <f>Deals_Raw!AD261</f>
        <v>218797.63430010053</v>
      </c>
      <c r="AC261" s="8">
        <f>Deals_Raw!AE261</f>
        <v>0.54663262354340547</v>
      </c>
      <c r="AD261" t="str">
        <f>Deals_Raw!AF261</f>
        <v>Won</v>
      </c>
      <c r="AE261" t="str">
        <f>Deals_Raw!AG261</f>
        <v>Yes</v>
      </c>
      <c r="AF261">
        <f>Deals_Raw!AH261</f>
        <v>0</v>
      </c>
      <c r="AG261" t="str">
        <f>Deals_Raw!AI261</f>
        <v>No</v>
      </c>
      <c r="AH261" s="6">
        <f>Deals_Raw!AJ261</f>
        <v>400264.50101313216</v>
      </c>
      <c r="AI261" s="6">
        <f>Deals_Raw!AK261</f>
        <v>218797.63430010053</v>
      </c>
      <c r="AJ261" t="str">
        <f>Deals_Raw!AL261</f>
        <v>Renewal of existing active contract</v>
      </c>
      <c r="AK261" s="9">
        <f t="shared" ref="AK261:AK324" si="28">YEARFRAC(L261,B261)</f>
        <v>7.9749999999999996</v>
      </c>
      <c r="AL261" s="8">
        <f t="shared" ref="AL261:AL324" si="29">IFERROR(Z261/T261,0)</f>
        <v>0.78845380298191836</v>
      </c>
      <c r="AM261" s="8">
        <f t="shared" ref="AM261:AM324" si="30">U261-V261</f>
        <v>1.6000000000000014E-2</v>
      </c>
      <c r="AN261" t="str">
        <f>IF(AC261&lt;Pricing_Policy!$C$10,"Below Floor","Pass")</f>
        <v>Pass</v>
      </c>
      <c r="AO261" t="str">
        <f>IF(V261&gt;Pricing_Policy!$C$7,"Exception","Standard")</f>
        <v>Standard</v>
      </c>
      <c r="AP261" t="str">
        <f t="shared" ref="AP261:AP324" si="31">IF(OR(AND(V261&lt;=0.1,Y261&lt;&gt;"Sales Manager"),AND(V261&gt;0.1,V261&lt;=0.2,Y261&lt;&gt;"Pricing Analyst"),AND(V261&gt;0.2,V261&lt;=0.28,Y261&lt;&gt;"Business Manager"),AND(V261&gt;0.28,Y261&lt;&gt;"VP Pricing")),"Review","Pass")</f>
        <v>Pass</v>
      </c>
      <c r="AQ261">
        <f t="shared" ref="AQ261:AQ324" si="32">IF(AD261="Won",1,0)</f>
        <v>1</v>
      </c>
      <c r="AR261" s="8">
        <f t="shared" ref="AR261:AR324" si="33">IFERROR(AI261/AH261,0)</f>
        <v>0.54663262354340547</v>
      </c>
      <c r="AS261">
        <f t="shared" ref="AS261:AS324" si="34">COUNTIFS($C:$C,C261,$N:$N,N261)</f>
        <v>5</v>
      </c>
    </row>
    <row r="262" spans="1:45">
      <c r="A262" t="str">
        <f>Deals_Raw!A262</f>
        <v>D00291</v>
      </c>
      <c r="B262">
        <f>Deals_Raw!B262</f>
        <v>46010</v>
      </c>
      <c r="C262" t="str">
        <f>Deals_Raw!C262</f>
        <v>C0079</v>
      </c>
      <c r="D262" t="str">
        <f>Deals_Raw!D262</f>
        <v>TEC-0079</v>
      </c>
      <c r="E262" t="str">
        <f>Deals_Raw!E262</f>
        <v>CT00164</v>
      </c>
      <c r="F262" t="str">
        <f>Deals_Raw!F262</f>
        <v>Finance</v>
      </c>
      <c r="G262" t="str">
        <f>Deals_Raw!G262</f>
        <v>Technology</v>
      </c>
      <c r="H262" t="str">
        <f>Deals_Raw!H262</f>
        <v>West</v>
      </c>
      <c r="I262" t="str">
        <f>Deals_Raw!I262</f>
        <v>West Commercial</v>
      </c>
      <c r="J262" t="str">
        <f>Deals_Raw!J262</f>
        <v>Mid-Market</v>
      </c>
      <c r="K262" t="str">
        <f>Deals_Raw!K262</f>
        <v>Yes</v>
      </c>
      <c r="L262">
        <f>Deals_Raw!L262</f>
        <v>43101</v>
      </c>
      <c r="M262">
        <f>Deals_Raw!M262</f>
        <v>81</v>
      </c>
      <c r="N262" t="str">
        <f>Deals_Raw!N262</f>
        <v>Nexus Analytics</v>
      </c>
      <c r="O262" t="str">
        <f>Deals_Raw!O262</f>
        <v>Renewal</v>
      </c>
      <c r="P262">
        <f>Deals_Raw!P262</f>
        <v>0</v>
      </c>
      <c r="Q262">
        <f>Deals_Raw!Q262</f>
        <v>2</v>
      </c>
      <c r="R262">
        <f>Deals_Raw!R262</f>
        <v>323</v>
      </c>
      <c r="S262" t="str">
        <f>Deals_Raw!S262</f>
        <v>K. Nguyen</v>
      </c>
      <c r="T262" s="6">
        <f>Deals_Raw!T262</f>
        <v>74185.050842057535</v>
      </c>
      <c r="U262" s="8">
        <f>Deals_Raw!V262</f>
        <v>0.128</v>
      </c>
      <c r="V262" s="8">
        <f>Deals_Raw!W262</f>
        <v>0.12</v>
      </c>
      <c r="W262" s="8">
        <f>Deals_Raw!X262</f>
        <v>-0.05</v>
      </c>
      <c r="X262" t="str">
        <f>Deals_Raw!Y262</f>
        <v>Multi-year commitment</v>
      </c>
      <c r="Y262" t="str">
        <f>Deals_Raw!Z262</f>
        <v>Pricing Analyst</v>
      </c>
      <c r="Z262" s="6">
        <f>Deals_Raw!AA262</f>
        <v>65288.852613705574</v>
      </c>
      <c r="AA262" s="6">
        <f>Deals_Raw!AC262</f>
        <v>21952.908389207321</v>
      </c>
      <c r="AB262" s="6">
        <f>Deals_Raw!AD262</f>
        <v>43335.944224498249</v>
      </c>
      <c r="AC262" s="8">
        <f>Deals_Raw!AE262</f>
        <v>0.66375717277348933</v>
      </c>
      <c r="AD262" t="str">
        <f>Deals_Raw!AF262</f>
        <v>Won</v>
      </c>
      <c r="AE262" t="str">
        <f>Deals_Raw!AG262</f>
        <v>Yes</v>
      </c>
      <c r="AF262">
        <f>Deals_Raw!AH262</f>
        <v>0</v>
      </c>
      <c r="AG262" t="str">
        <f>Deals_Raw!AI262</f>
        <v>No</v>
      </c>
      <c r="AH262" s="6">
        <f>Deals_Raw!AJ262</f>
        <v>65288.852613705574</v>
      </c>
      <c r="AI262" s="6">
        <f>Deals_Raw!AK262</f>
        <v>43335.944224498249</v>
      </c>
      <c r="AJ262" t="str">
        <f>Deals_Raw!AL262</f>
        <v>Renewal of existing active contract</v>
      </c>
      <c r="AK262" s="9">
        <f t="shared" si="28"/>
        <v>7.9666666666666668</v>
      </c>
      <c r="AL262" s="8">
        <f t="shared" si="29"/>
        <v>0.88008098495083242</v>
      </c>
      <c r="AM262" s="8">
        <f t="shared" si="30"/>
        <v>8.0000000000000071E-3</v>
      </c>
      <c r="AN262" t="str">
        <f>IF(AC262&lt;Pricing_Policy!$C$10,"Below Floor","Pass")</f>
        <v>Pass</v>
      </c>
      <c r="AO262" t="str">
        <f>IF(V262&gt;Pricing_Policy!$C$7,"Exception","Standard")</f>
        <v>Standard</v>
      </c>
      <c r="AP262" t="str">
        <f t="shared" si="31"/>
        <v>Pass</v>
      </c>
      <c r="AQ262">
        <f t="shared" si="32"/>
        <v>1</v>
      </c>
      <c r="AR262" s="8">
        <f t="shared" si="33"/>
        <v>0.66375717277348933</v>
      </c>
      <c r="AS262">
        <f t="shared" si="34"/>
        <v>1</v>
      </c>
    </row>
    <row r="263" spans="1:45">
      <c r="A263" t="str">
        <f>Deals_Raw!A263</f>
        <v>D00292</v>
      </c>
      <c r="B263">
        <f>Deals_Raw!B263</f>
        <v>45588</v>
      </c>
      <c r="C263" t="str">
        <f>Deals_Raw!C263</f>
        <v>C0079</v>
      </c>
      <c r="D263" t="str">
        <f>Deals_Raw!D263</f>
        <v>TEC-0079</v>
      </c>
      <c r="E263" t="str">
        <f>Deals_Raw!E263</f>
        <v>CT00165</v>
      </c>
      <c r="F263" t="str">
        <f>Deals_Raw!F263</f>
        <v>Sales</v>
      </c>
      <c r="G263" t="str">
        <f>Deals_Raw!G263</f>
        <v>Technology</v>
      </c>
      <c r="H263" t="str">
        <f>Deals_Raw!H263</f>
        <v>West</v>
      </c>
      <c r="I263" t="str">
        <f>Deals_Raw!I263</f>
        <v>West Commercial</v>
      </c>
      <c r="J263" t="str">
        <f>Deals_Raw!J263</f>
        <v>Mid-Market</v>
      </c>
      <c r="K263" t="str">
        <f>Deals_Raw!K263</f>
        <v>Yes</v>
      </c>
      <c r="L263">
        <f>Deals_Raw!L263</f>
        <v>43101</v>
      </c>
      <c r="M263">
        <f>Deals_Raw!M263</f>
        <v>81</v>
      </c>
      <c r="N263" t="str">
        <f>Deals_Raw!N263</f>
        <v>Nexus Enterprise Suite</v>
      </c>
      <c r="O263" t="str">
        <f>Deals_Raw!O263</f>
        <v>Renewal</v>
      </c>
      <c r="P263">
        <f>Deals_Raw!P263</f>
        <v>0</v>
      </c>
      <c r="Q263">
        <f>Deals_Raw!Q263</f>
        <v>1</v>
      </c>
      <c r="R263">
        <f>Deals_Raw!R263</f>
        <v>218</v>
      </c>
      <c r="S263" t="str">
        <f>Deals_Raw!S263</f>
        <v>D. Chen</v>
      </c>
      <c r="T263" s="6">
        <f>Deals_Raw!T263</f>
        <v>400167.89055544935</v>
      </c>
      <c r="U263" s="8">
        <f>Deals_Raw!V263</f>
        <v>6.4000000000000001E-2</v>
      </c>
      <c r="V263" s="8">
        <f>Deals_Raw!W263</f>
        <v>5.0999999999999997E-2</v>
      </c>
      <c r="W263" s="8">
        <f>Deals_Raw!X263</f>
        <v>-7.4999999999999997E-2</v>
      </c>
      <c r="X263" t="str">
        <f>Deals_Raw!Y263</f>
        <v>Strategic logo opportunity</v>
      </c>
      <c r="Y263" t="str">
        <f>Deals_Raw!Z263</f>
        <v>Sales Manager</v>
      </c>
      <c r="Z263" s="6">
        <f>Deals_Raw!AA263</f>
        <v>379751.64984180382</v>
      </c>
      <c r="AA263" s="6">
        <f>Deals_Raw!AC263</f>
        <v>147956.14164227061</v>
      </c>
      <c r="AB263" s="6">
        <f>Deals_Raw!AD263</f>
        <v>231795.50819953321</v>
      </c>
      <c r="AC263" s="8">
        <f>Deals_Raw!AE263</f>
        <v>0.61038709982193395</v>
      </c>
      <c r="AD263" t="str">
        <f>Deals_Raw!AF263</f>
        <v>Won</v>
      </c>
      <c r="AE263" t="str">
        <f>Deals_Raw!AG263</f>
        <v>Yes</v>
      </c>
      <c r="AF263">
        <f>Deals_Raw!AH263</f>
        <v>0</v>
      </c>
      <c r="AG263" t="str">
        <f>Deals_Raw!AI263</f>
        <v>No</v>
      </c>
      <c r="AH263" s="6">
        <f>Deals_Raw!AJ263</f>
        <v>379751.64984180382</v>
      </c>
      <c r="AI263" s="6">
        <f>Deals_Raw!AK263</f>
        <v>231795.50819953321</v>
      </c>
      <c r="AJ263" t="str">
        <f>Deals_Raw!AL263</f>
        <v>Renewal of existing active contract</v>
      </c>
      <c r="AK263" s="9">
        <f t="shared" si="28"/>
        <v>6.8111111111111109</v>
      </c>
      <c r="AL263" s="8">
        <f t="shared" si="29"/>
        <v>0.94898081231528353</v>
      </c>
      <c r="AM263" s="8">
        <f t="shared" si="30"/>
        <v>1.3000000000000005E-2</v>
      </c>
      <c r="AN263" t="str">
        <f>IF(AC263&lt;Pricing_Policy!$C$10,"Below Floor","Pass")</f>
        <v>Pass</v>
      </c>
      <c r="AO263" t="str">
        <f>IF(V263&gt;Pricing_Policy!$C$7,"Exception","Standard")</f>
        <v>Standard</v>
      </c>
      <c r="AP263" t="str">
        <f t="shared" si="31"/>
        <v>Pass</v>
      </c>
      <c r="AQ263">
        <f t="shared" si="32"/>
        <v>1</v>
      </c>
      <c r="AR263" s="8">
        <f t="shared" si="33"/>
        <v>0.61038709982193395</v>
      </c>
      <c r="AS263">
        <f t="shared" si="34"/>
        <v>5</v>
      </c>
    </row>
    <row r="264" spans="1:45">
      <c r="A264" t="str">
        <f>Deals_Raw!A264</f>
        <v>D00293</v>
      </c>
      <c r="B264">
        <f>Deals_Raw!B264</f>
        <v>45953</v>
      </c>
      <c r="C264" t="str">
        <f>Deals_Raw!C264</f>
        <v>C0079</v>
      </c>
      <c r="D264" t="str">
        <f>Deals_Raw!D264</f>
        <v>TEC-0079</v>
      </c>
      <c r="E264" t="str">
        <f>Deals_Raw!E264</f>
        <v>CT00165</v>
      </c>
      <c r="F264" t="str">
        <f>Deals_Raw!F264</f>
        <v>Sales</v>
      </c>
      <c r="G264" t="str">
        <f>Deals_Raw!G264</f>
        <v>Technology</v>
      </c>
      <c r="H264" t="str">
        <f>Deals_Raw!H264</f>
        <v>West</v>
      </c>
      <c r="I264" t="str">
        <f>Deals_Raw!I264</f>
        <v>West Commercial</v>
      </c>
      <c r="J264" t="str">
        <f>Deals_Raw!J264</f>
        <v>Mid-Market</v>
      </c>
      <c r="K264" t="str">
        <f>Deals_Raw!K264</f>
        <v>Yes</v>
      </c>
      <c r="L264">
        <f>Deals_Raw!L264</f>
        <v>43101</v>
      </c>
      <c r="M264">
        <f>Deals_Raw!M264</f>
        <v>81</v>
      </c>
      <c r="N264" t="str">
        <f>Deals_Raw!N264</f>
        <v>Nexus Enterprise Suite</v>
      </c>
      <c r="O264" t="str">
        <f>Deals_Raw!O264</f>
        <v>Renewal</v>
      </c>
      <c r="P264">
        <f>Deals_Raw!P264</f>
        <v>0</v>
      </c>
      <c r="Q264">
        <f>Deals_Raw!Q264</f>
        <v>1</v>
      </c>
      <c r="R264">
        <f>Deals_Raw!R264</f>
        <v>218</v>
      </c>
      <c r="S264" t="str">
        <f>Deals_Raw!S264</f>
        <v>D. Chen</v>
      </c>
      <c r="T264" s="6">
        <f>Deals_Raw!T264</f>
        <v>411961.53654939658</v>
      </c>
      <c r="U264" s="8">
        <f>Deals_Raw!V264</f>
        <v>8.7999999999999995E-2</v>
      </c>
      <c r="V264" s="8">
        <f>Deals_Raw!W264</f>
        <v>8.5999999999999993E-2</v>
      </c>
      <c r="W264" s="8">
        <f>Deals_Raw!X264</f>
        <v>-5.5E-2</v>
      </c>
      <c r="X264" t="str">
        <f>Deals_Raw!Y264</f>
        <v>Multi-year commitment</v>
      </c>
      <c r="Y264" t="str">
        <f>Deals_Raw!Z264</f>
        <v>Sales Manager</v>
      </c>
      <c r="Z264" s="6">
        <f>Deals_Raw!AA264</f>
        <v>376347.51664738992</v>
      </c>
      <c r="AA264" s="6">
        <f>Deals_Raw!AC264</f>
        <v>146042.9939444781</v>
      </c>
      <c r="AB264" s="6">
        <f>Deals_Raw!AD264</f>
        <v>230304.52270291181</v>
      </c>
      <c r="AC264" s="8">
        <f>Deals_Raw!AE264</f>
        <v>0.61194643917018399</v>
      </c>
      <c r="AD264" t="str">
        <f>Deals_Raw!AF264</f>
        <v>Won</v>
      </c>
      <c r="AE264" t="str">
        <f>Deals_Raw!AG264</f>
        <v>Yes</v>
      </c>
      <c r="AF264">
        <f>Deals_Raw!AH264</f>
        <v>0</v>
      </c>
      <c r="AG264" t="str">
        <f>Deals_Raw!AI264</f>
        <v>No</v>
      </c>
      <c r="AH264" s="6">
        <f>Deals_Raw!AJ264</f>
        <v>376347.51664738992</v>
      </c>
      <c r="AI264" s="6">
        <f>Deals_Raw!AK264</f>
        <v>230304.52270291181</v>
      </c>
      <c r="AJ264" t="str">
        <f>Deals_Raw!AL264</f>
        <v>Renewal of existing active contract</v>
      </c>
      <c r="AK264" s="9">
        <f t="shared" si="28"/>
        <v>7.8111111111111109</v>
      </c>
      <c r="AL264" s="8">
        <f t="shared" si="29"/>
        <v>0.91355013334421731</v>
      </c>
      <c r="AM264" s="8">
        <f t="shared" si="30"/>
        <v>2.0000000000000018E-3</v>
      </c>
      <c r="AN264" t="str">
        <f>IF(AC264&lt;Pricing_Policy!$C$10,"Below Floor","Pass")</f>
        <v>Pass</v>
      </c>
      <c r="AO264" t="str">
        <f>IF(V264&gt;Pricing_Policy!$C$7,"Exception","Standard")</f>
        <v>Standard</v>
      </c>
      <c r="AP264" t="str">
        <f t="shared" si="31"/>
        <v>Pass</v>
      </c>
      <c r="AQ264">
        <f t="shared" si="32"/>
        <v>1</v>
      </c>
      <c r="AR264" s="8">
        <f t="shared" si="33"/>
        <v>0.61194643917018399</v>
      </c>
      <c r="AS264">
        <f t="shared" si="34"/>
        <v>5</v>
      </c>
    </row>
    <row r="265" spans="1:45">
      <c r="A265" t="str">
        <f>Deals_Raw!A265</f>
        <v>D00294</v>
      </c>
      <c r="B265">
        <f>Deals_Raw!B265</f>
        <v>45412</v>
      </c>
      <c r="C265" t="str">
        <f>Deals_Raw!C265</f>
        <v>C0080</v>
      </c>
      <c r="D265" t="str">
        <f>Deals_Raw!D265</f>
        <v>TEC-0080</v>
      </c>
      <c r="E265" t="str">
        <f>Deals_Raw!E265</f>
        <v>CT00166</v>
      </c>
      <c r="F265" t="str">
        <f>Deals_Raw!F265</f>
        <v>Sales</v>
      </c>
      <c r="G265" t="str">
        <f>Deals_Raw!G265</f>
        <v>Technology</v>
      </c>
      <c r="H265" t="str">
        <f>Deals_Raw!H265</f>
        <v>Northeast</v>
      </c>
      <c r="I265" t="str">
        <f>Deals_Raw!I265</f>
        <v>Northeast Enterprise</v>
      </c>
      <c r="J265" t="str">
        <f>Deals_Raw!J265</f>
        <v>Enterprise</v>
      </c>
      <c r="K265" t="str">
        <f>Deals_Raw!K265</f>
        <v>Yes</v>
      </c>
      <c r="L265">
        <f>Deals_Raw!L265</f>
        <v>44317</v>
      </c>
      <c r="M265">
        <f>Deals_Raw!M265</f>
        <v>60</v>
      </c>
      <c r="N265" t="str">
        <f>Deals_Raw!N265</f>
        <v>Nexus Insights</v>
      </c>
      <c r="O265" t="str">
        <f>Deals_Raw!O265</f>
        <v>Renewal</v>
      </c>
      <c r="P265">
        <f>Deals_Raw!P265</f>
        <v>0</v>
      </c>
      <c r="Q265">
        <f>Deals_Raw!Q265</f>
        <v>1</v>
      </c>
      <c r="R265">
        <f>Deals_Raw!R265</f>
        <v>469</v>
      </c>
      <c r="S265" t="str">
        <f>Deals_Raw!S265</f>
        <v>M. Johnson</v>
      </c>
      <c r="T265" s="6">
        <f>Deals_Raw!T265</f>
        <v>65188.106476044486</v>
      </c>
      <c r="U265" s="8">
        <f>Deals_Raw!V265</f>
        <v>0.20799999999999999</v>
      </c>
      <c r="V265" s="8">
        <f>Deals_Raw!W265</f>
        <v>0.17</v>
      </c>
      <c r="W265" s="8">
        <f>Deals_Raw!X265</f>
        <v>7.0000000000000007E-2</v>
      </c>
      <c r="X265" t="str">
        <f>Deals_Raw!Y265</f>
        <v>Renewal retention risk</v>
      </c>
      <c r="Y265" t="str">
        <f>Deals_Raw!Z265</f>
        <v>Pricing Analyst</v>
      </c>
      <c r="Z265" s="6">
        <f>Deals_Raw!AA265</f>
        <v>54102.868509979133</v>
      </c>
      <c r="AA265" s="6">
        <f>Deals_Raw!AC265</f>
        <v>17594.549330920556</v>
      </c>
      <c r="AB265" s="6">
        <f>Deals_Raw!AD265</f>
        <v>36508.319179058577</v>
      </c>
      <c r="AC265" s="8">
        <f>Deals_Raw!AE265</f>
        <v>0.67479451985664518</v>
      </c>
      <c r="AD265" t="str">
        <f>Deals_Raw!AF265</f>
        <v>Won</v>
      </c>
      <c r="AE265" t="str">
        <f>Deals_Raw!AG265</f>
        <v>Yes</v>
      </c>
      <c r="AF265">
        <f>Deals_Raw!AH265</f>
        <v>0</v>
      </c>
      <c r="AG265" t="str">
        <f>Deals_Raw!AI265</f>
        <v>No</v>
      </c>
      <c r="AH265" s="6">
        <f>Deals_Raw!AJ265</f>
        <v>54102.868509979133</v>
      </c>
      <c r="AI265" s="6">
        <f>Deals_Raw!AK265</f>
        <v>36508.319179058577</v>
      </c>
      <c r="AJ265" t="str">
        <f>Deals_Raw!AL265</f>
        <v>Renewal of existing active contract</v>
      </c>
      <c r="AK265" s="9">
        <f t="shared" si="28"/>
        <v>2.9972222222222222</v>
      </c>
      <c r="AL265" s="8">
        <f t="shared" si="29"/>
        <v>0.82994999294635152</v>
      </c>
      <c r="AM265" s="8">
        <f t="shared" si="30"/>
        <v>3.7999999999999978E-2</v>
      </c>
      <c r="AN265" t="str">
        <f>IF(AC265&lt;Pricing_Policy!$C$10,"Below Floor","Pass")</f>
        <v>Pass</v>
      </c>
      <c r="AO265" t="str">
        <f>IF(V265&gt;Pricing_Policy!$C$7,"Exception","Standard")</f>
        <v>Standard</v>
      </c>
      <c r="AP265" t="str">
        <f t="shared" si="31"/>
        <v>Pass</v>
      </c>
      <c r="AQ265">
        <f t="shared" si="32"/>
        <v>1</v>
      </c>
      <c r="AR265" s="8">
        <f t="shared" si="33"/>
        <v>0.67479451985664518</v>
      </c>
      <c r="AS265">
        <f t="shared" si="34"/>
        <v>3</v>
      </c>
    </row>
    <row r="266" spans="1:45">
      <c r="A266" t="str">
        <f>Deals_Raw!A266</f>
        <v>D00295</v>
      </c>
      <c r="B266">
        <f>Deals_Raw!B266</f>
        <v>45653</v>
      </c>
      <c r="C266" t="str">
        <f>Deals_Raw!C266</f>
        <v>C0080</v>
      </c>
      <c r="D266" t="str">
        <f>Deals_Raw!D266</f>
        <v>TEC-0080</v>
      </c>
      <c r="E266" t="str">
        <f>Deals_Raw!E266</f>
        <v>CT00166</v>
      </c>
      <c r="F266" t="str">
        <f>Deals_Raw!F266</f>
        <v>Sales</v>
      </c>
      <c r="G266" t="str">
        <f>Deals_Raw!G266</f>
        <v>Technology</v>
      </c>
      <c r="H266" t="str">
        <f>Deals_Raw!H266</f>
        <v>Northeast</v>
      </c>
      <c r="I266" t="str">
        <f>Deals_Raw!I266</f>
        <v>Northeast Enterprise</v>
      </c>
      <c r="J266" t="str">
        <f>Deals_Raw!J266</f>
        <v>Enterprise</v>
      </c>
      <c r="K266" t="str">
        <f>Deals_Raw!K266</f>
        <v>Yes</v>
      </c>
      <c r="L266">
        <f>Deals_Raw!L266</f>
        <v>44317</v>
      </c>
      <c r="M266">
        <f>Deals_Raw!M266</f>
        <v>60</v>
      </c>
      <c r="N266" t="str">
        <f>Deals_Raw!N266</f>
        <v>Nexus Insights</v>
      </c>
      <c r="O266" t="str">
        <f>Deals_Raw!O266</f>
        <v>Expansion</v>
      </c>
      <c r="P266" t="str">
        <f>Deals_Raw!P266</f>
        <v>Storage / Usage Expansion</v>
      </c>
      <c r="Q266">
        <f>Deals_Raw!Q266</f>
        <v>1</v>
      </c>
      <c r="R266">
        <f>Deals_Raw!R266</f>
        <v>673</v>
      </c>
      <c r="S266" t="str">
        <f>Deals_Raw!S266</f>
        <v>R. Singh</v>
      </c>
      <c r="T266" s="6">
        <f>Deals_Raw!T266</f>
        <v>86773.056743416208</v>
      </c>
      <c r="U266" s="8">
        <f>Deals_Raw!V266</f>
        <v>0.14099999999999999</v>
      </c>
      <c r="V266" s="8">
        <f>Deals_Raw!W266</f>
        <v>0.123</v>
      </c>
      <c r="W266" s="8">
        <f>Deals_Raw!X266</f>
        <v>-7.0999999999999994E-2</v>
      </c>
      <c r="X266" t="str">
        <f>Deals_Raw!Y266</f>
        <v>Expansion opportunity</v>
      </c>
      <c r="Y266" t="str">
        <f>Deals_Raw!Z266</f>
        <v>Pricing Analyst</v>
      </c>
      <c r="Z266" s="6">
        <f>Deals_Raw!AA266</f>
        <v>76121.378764055858</v>
      </c>
      <c r="AA266" s="6">
        <f>Deals_Raw!AC266</f>
        <v>23124.593209672057</v>
      </c>
      <c r="AB266" s="6">
        <f>Deals_Raw!AD266</f>
        <v>52996.785554383801</v>
      </c>
      <c r="AC266" s="8">
        <f>Deals_Raw!AE266</f>
        <v>0.69621420965917424</v>
      </c>
      <c r="AD266" t="str">
        <f>Deals_Raw!AF266</f>
        <v>Won</v>
      </c>
      <c r="AE266">
        <f>Deals_Raw!AG266</f>
        <v>0</v>
      </c>
      <c r="AF266" t="str">
        <f>Deals_Raw!AH266</f>
        <v>Yes</v>
      </c>
      <c r="AG266" t="str">
        <f>Deals_Raw!AI266</f>
        <v>No</v>
      </c>
      <c r="AH266" s="6">
        <f>Deals_Raw!AJ266</f>
        <v>76121.378764055858</v>
      </c>
      <c r="AI266" s="6">
        <f>Deals_Raw!AK266</f>
        <v>52996.785554383801</v>
      </c>
      <c r="AJ266" t="str">
        <f>Deals_Raw!AL266</f>
        <v>Expansion allowed because contract was active</v>
      </c>
      <c r="AK266" s="9">
        <f t="shared" si="28"/>
        <v>3.6555555555555554</v>
      </c>
      <c r="AL266" s="8">
        <f t="shared" si="29"/>
        <v>0.87724671252671371</v>
      </c>
      <c r="AM266" s="8">
        <f t="shared" si="30"/>
        <v>1.7999999999999988E-2</v>
      </c>
      <c r="AN266" t="str">
        <f>IF(AC266&lt;Pricing_Policy!$C$10,"Below Floor","Pass")</f>
        <v>Pass</v>
      </c>
      <c r="AO266" t="str">
        <f>IF(V266&gt;Pricing_Policy!$C$7,"Exception","Standard")</f>
        <v>Standard</v>
      </c>
      <c r="AP266" t="str">
        <f t="shared" si="31"/>
        <v>Pass</v>
      </c>
      <c r="AQ266">
        <f t="shared" si="32"/>
        <v>1</v>
      </c>
      <c r="AR266" s="8">
        <f t="shared" si="33"/>
        <v>0.69621420965917424</v>
      </c>
      <c r="AS266">
        <f t="shared" si="34"/>
        <v>3</v>
      </c>
    </row>
    <row r="267" spans="1:45">
      <c r="A267" t="str">
        <f>Deals_Raw!A267</f>
        <v>D00296</v>
      </c>
      <c r="B267">
        <f>Deals_Raw!B267</f>
        <v>45777</v>
      </c>
      <c r="C267" t="str">
        <f>Deals_Raw!C267</f>
        <v>C0080</v>
      </c>
      <c r="D267" t="str">
        <f>Deals_Raw!D267</f>
        <v>TEC-0080</v>
      </c>
      <c r="E267" t="str">
        <f>Deals_Raw!E267</f>
        <v>CT00166</v>
      </c>
      <c r="F267" t="str">
        <f>Deals_Raw!F267</f>
        <v>Sales</v>
      </c>
      <c r="G267" t="str">
        <f>Deals_Raw!G267</f>
        <v>Technology</v>
      </c>
      <c r="H267" t="str">
        <f>Deals_Raw!H267</f>
        <v>Northeast</v>
      </c>
      <c r="I267" t="str">
        <f>Deals_Raw!I267</f>
        <v>Northeast Enterprise</v>
      </c>
      <c r="J267" t="str">
        <f>Deals_Raw!J267</f>
        <v>Enterprise</v>
      </c>
      <c r="K267" t="str">
        <f>Deals_Raw!K267</f>
        <v>Yes</v>
      </c>
      <c r="L267">
        <f>Deals_Raw!L267</f>
        <v>44317</v>
      </c>
      <c r="M267">
        <f>Deals_Raw!M267</f>
        <v>60</v>
      </c>
      <c r="N267" t="str">
        <f>Deals_Raw!N267</f>
        <v>Nexus Insights</v>
      </c>
      <c r="O267" t="str">
        <f>Deals_Raw!O267</f>
        <v>Renewal</v>
      </c>
      <c r="P267">
        <f>Deals_Raw!P267</f>
        <v>0</v>
      </c>
      <c r="Q267">
        <f>Deals_Raw!Q267</f>
        <v>1</v>
      </c>
      <c r="R267">
        <f>Deals_Raw!R267</f>
        <v>673</v>
      </c>
      <c r="S267" t="str">
        <f>Deals_Raw!S267</f>
        <v>A. Patel</v>
      </c>
      <c r="T267" s="6">
        <f>Deals_Raw!T267</f>
        <v>90279.846097289876</v>
      </c>
      <c r="U267" s="8">
        <f>Deals_Raw!V267</f>
        <v>0.151</v>
      </c>
      <c r="V267" s="8">
        <f>Deals_Raw!W267</f>
        <v>0.122</v>
      </c>
      <c r="W267" s="8">
        <f>Deals_Raw!X267</f>
        <v>-0.08</v>
      </c>
      <c r="X267" t="str">
        <f>Deals_Raw!Y267</f>
        <v>Renewal retention risk</v>
      </c>
      <c r="Y267" t="str">
        <f>Deals_Raw!Z267</f>
        <v>Pricing Analyst</v>
      </c>
      <c r="Z267" s="6">
        <f>Deals_Raw!AA267</f>
        <v>79310.292648009825</v>
      </c>
      <c r="AA267" s="6">
        <f>Deals_Raw!AC267</f>
        <v>26906.323395760872</v>
      </c>
      <c r="AB267" s="6">
        <f>Deals_Raw!AD267</f>
        <v>52403.969252248949</v>
      </c>
      <c r="AC267" s="8">
        <f>Deals_Raw!AE267</f>
        <v>0.66074613398320314</v>
      </c>
      <c r="AD267" t="str">
        <f>Deals_Raw!AF267</f>
        <v>Lost</v>
      </c>
      <c r="AE267" t="str">
        <f>Deals_Raw!AG267</f>
        <v>No</v>
      </c>
      <c r="AF267">
        <f>Deals_Raw!AH267</f>
        <v>0</v>
      </c>
      <c r="AG267" t="str">
        <f>Deals_Raw!AI267</f>
        <v>No</v>
      </c>
      <c r="AH267" s="6">
        <f>Deals_Raw!AJ267</f>
        <v>0</v>
      </c>
      <c r="AI267" s="6">
        <f>Deals_Raw!AK267</f>
        <v>0</v>
      </c>
      <c r="AJ267" t="str">
        <f>Deals_Raw!AL267</f>
        <v>Renewal of existing active contract</v>
      </c>
      <c r="AK267" s="9">
        <f t="shared" si="28"/>
        <v>3.9972222222222222</v>
      </c>
      <c r="AL267" s="8">
        <f t="shared" si="29"/>
        <v>0.87849388403410955</v>
      </c>
      <c r="AM267" s="8">
        <f t="shared" si="30"/>
        <v>2.8999999999999998E-2</v>
      </c>
      <c r="AN267" t="str">
        <f>IF(AC267&lt;Pricing_Policy!$C$10,"Below Floor","Pass")</f>
        <v>Pass</v>
      </c>
      <c r="AO267" t="str">
        <f>IF(V267&gt;Pricing_Policy!$C$7,"Exception","Standard")</f>
        <v>Standard</v>
      </c>
      <c r="AP267" t="str">
        <f t="shared" si="31"/>
        <v>Pass</v>
      </c>
      <c r="AQ267">
        <f t="shared" si="32"/>
        <v>0</v>
      </c>
      <c r="AR267" s="8">
        <f t="shared" si="33"/>
        <v>0</v>
      </c>
      <c r="AS267">
        <f t="shared" si="34"/>
        <v>3</v>
      </c>
    </row>
    <row r="268" spans="1:45">
      <c r="A268" t="str">
        <f>Deals_Raw!A268</f>
        <v>D00299</v>
      </c>
      <c r="B268">
        <f>Deals_Raw!B268</f>
        <v>45526</v>
      </c>
      <c r="C268" t="str">
        <f>Deals_Raw!C268</f>
        <v>C0080</v>
      </c>
      <c r="D268" t="str">
        <f>Deals_Raw!D268</f>
        <v>TEC-0080</v>
      </c>
      <c r="E268" t="str">
        <f>Deals_Raw!E268</f>
        <v>CT00167</v>
      </c>
      <c r="F268" t="str">
        <f>Deals_Raw!F268</f>
        <v>Finance</v>
      </c>
      <c r="G268" t="str">
        <f>Deals_Raw!G268</f>
        <v>Technology</v>
      </c>
      <c r="H268" t="str">
        <f>Deals_Raw!H268</f>
        <v>Northeast</v>
      </c>
      <c r="I268" t="str">
        <f>Deals_Raw!I268</f>
        <v>Northeast Enterprise</v>
      </c>
      <c r="J268" t="str">
        <f>Deals_Raw!J268</f>
        <v>Enterprise</v>
      </c>
      <c r="K268" t="str">
        <f>Deals_Raw!K268</f>
        <v>Yes</v>
      </c>
      <c r="L268">
        <f>Deals_Raw!L268</f>
        <v>44317</v>
      </c>
      <c r="M268">
        <f>Deals_Raw!M268</f>
        <v>60</v>
      </c>
      <c r="N268" t="str">
        <f>Deals_Raw!N268</f>
        <v>Nexus Enterprise Suite</v>
      </c>
      <c r="O268" t="str">
        <f>Deals_Raw!O268</f>
        <v>Renewal</v>
      </c>
      <c r="P268">
        <f>Deals_Raw!P268</f>
        <v>0</v>
      </c>
      <c r="Q268">
        <f>Deals_Raw!Q268</f>
        <v>1</v>
      </c>
      <c r="R268">
        <f>Deals_Raw!R268</f>
        <v>1706</v>
      </c>
      <c r="S268" t="str">
        <f>Deals_Raw!S268</f>
        <v>D. Chen</v>
      </c>
      <c r="T268" s="6">
        <f>Deals_Raw!T268</f>
        <v>617526.29047798202</v>
      </c>
      <c r="U268" s="8">
        <f>Deals_Raw!V268</f>
        <v>0.157</v>
      </c>
      <c r="V268" s="8">
        <f>Deals_Raw!W268</f>
        <v>0.11799999999999999</v>
      </c>
      <c r="W268" s="8">
        <f>Deals_Raw!X268</f>
        <v>1E-3</v>
      </c>
      <c r="X268" t="str">
        <f>Deals_Raw!Y268</f>
        <v>Renewal retention risk</v>
      </c>
      <c r="Y268" t="str">
        <f>Deals_Raw!Z268</f>
        <v>Pricing Analyst</v>
      </c>
      <c r="Z268" s="6">
        <f>Deals_Raw!AA268</f>
        <v>544893.35169475758</v>
      </c>
      <c r="AA268" s="6">
        <f>Deals_Raw!AC268</f>
        <v>231342.57676764255</v>
      </c>
      <c r="AB268" s="6">
        <f>Deals_Raw!AD268</f>
        <v>313550.77492711507</v>
      </c>
      <c r="AC268" s="8">
        <f>Deals_Raw!AE268</f>
        <v>0.57543512680397368</v>
      </c>
      <c r="AD268" t="str">
        <f>Deals_Raw!AF268</f>
        <v>Won</v>
      </c>
      <c r="AE268" t="str">
        <f>Deals_Raw!AG268</f>
        <v>Yes</v>
      </c>
      <c r="AF268">
        <f>Deals_Raw!AH268</f>
        <v>0</v>
      </c>
      <c r="AG268" t="str">
        <f>Deals_Raw!AI268</f>
        <v>No</v>
      </c>
      <c r="AH268" s="6">
        <f>Deals_Raw!AJ268</f>
        <v>544893.35169475758</v>
      </c>
      <c r="AI268" s="6">
        <f>Deals_Raw!AK268</f>
        <v>313550.77492711507</v>
      </c>
      <c r="AJ268" t="str">
        <f>Deals_Raw!AL268</f>
        <v>Renewal of existing active contract</v>
      </c>
      <c r="AK268" s="9">
        <f t="shared" si="28"/>
        <v>3.3083333333333331</v>
      </c>
      <c r="AL268" s="8">
        <f t="shared" si="29"/>
        <v>0.88238081535442869</v>
      </c>
      <c r="AM268" s="8">
        <f t="shared" si="30"/>
        <v>3.9000000000000007E-2</v>
      </c>
      <c r="AN268" t="str">
        <f>IF(AC268&lt;Pricing_Policy!$C$10,"Below Floor","Pass")</f>
        <v>Pass</v>
      </c>
      <c r="AO268" t="str">
        <f>IF(V268&gt;Pricing_Policy!$C$7,"Exception","Standard")</f>
        <v>Standard</v>
      </c>
      <c r="AP268" t="str">
        <f t="shared" si="31"/>
        <v>Pass</v>
      </c>
      <c r="AQ268">
        <f t="shared" si="32"/>
        <v>1</v>
      </c>
      <c r="AR268" s="8">
        <f t="shared" si="33"/>
        <v>0.57543512680397368</v>
      </c>
      <c r="AS268">
        <f t="shared" si="34"/>
        <v>3</v>
      </c>
    </row>
    <row r="269" spans="1:45">
      <c r="A269" t="str">
        <f>Deals_Raw!A269</f>
        <v>D00300</v>
      </c>
      <c r="B269">
        <f>Deals_Raw!B269</f>
        <v>45749</v>
      </c>
      <c r="C269" t="str">
        <f>Deals_Raw!C269</f>
        <v>C0080</v>
      </c>
      <c r="D269" t="str">
        <f>Deals_Raw!D269</f>
        <v>TEC-0080</v>
      </c>
      <c r="E269" t="str">
        <f>Deals_Raw!E269</f>
        <v>CT00167</v>
      </c>
      <c r="F269" t="str">
        <f>Deals_Raw!F269</f>
        <v>Finance</v>
      </c>
      <c r="G269" t="str">
        <f>Deals_Raw!G269</f>
        <v>Technology</v>
      </c>
      <c r="H269" t="str">
        <f>Deals_Raw!H269</f>
        <v>Northeast</v>
      </c>
      <c r="I269" t="str">
        <f>Deals_Raw!I269</f>
        <v>Northeast Enterprise</v>
      </c>
      <c r="J269" t="str">
        <f>Deals_Raw!J269</f>
        <v>Enterprise</v>
      </c>
      <c r="K269" t="str">
        <f>Deals_Raw!K269</f>
        <v>Yes</v>
      </c>
      <c r="L269">
        <f>Deals_Raw!L269</f>
        <v>44317</v>
      </c>
      <c r="M269">
        <f>Deals_Raw!M269</f>
        <v>60</v>
      </c>
      <c r="N269" t="str">
        <f>Deals_Raw!N269</f>
        <v>Nexus Enterprise Suite</v>
      </c>
      <c r="O269" t="str">
        <f>Deals_Raw!O269</f>
        <v>Expansion</v>
      </c>
      <c r="P269" t="str">
        <f>Deals_Raw!P269</f>
        <v>Multi-year Extension</v>
      </c>
      <c r="Q269">
        <f>Deals_Raw!Q269</f>
        <v>1</v>
      </c>
      <c r="R269">
        <f>Deals_Raw!R269</f>
        <v>2381</v>
      </c>
      <c r="S269" t="str">
        <f>Deals_Raw!S269</f>
        <v>D. Chen</v>
      </c>
      <c r="T269" s="6">
        <f>Deals_Raw!T269</f>
        <v>780390.31657182507</v>
      </c>
      <c r="U269" s="8">
        <f>Deals_Raw!V269</f>
        <v>0.13300000000000001</v>
      </c>
      <c r="V269" s="8">
        <f>Deals_Raw!W269</f>
        <v>9.7000000000000003E-2</v>
      </c>
      <c r="W269" s="8">
        <f>Deals_Raw!X269</f>
        <v>-1.2E-2</v>
      </c>
      <c r="X269" t="str">
        <f>Deals_Raw!Y269</f>
        <v>Expansion opportunity</v>
      </c>
      <c r="Y269" t="str">
        <f>Deals_Raw!Z269</f>
        <v>Sales Manager</v>
      </c>
      <c r="Z269" s="6">
        <f>Deals_Raw!AA269</f>
        <v>704750.59776241425</v>
      </c>
      <c r="AA269" s="6">
        <f>Deals_Raw!AC269</f>
        <v>251852.19494189811</v>
      </c>
      <c r="AB269" s="6">
        <f>Deals_Raw!AD269</f>
        <v>452898.40282051614</v>
      </c>
      <c r="AC269" s="8">
        <f>Deals_Raw!AE269</f>
        <v>0.64263642238611818</v>
      </c>
      <c r="AD269" t="str">
        <f>Deals_Raw!AF269</f>
        <v>Won</v>
      </c>
      <c r="AE269">
        <f>Deals_Raw!AG269</f>
        <v>0</v>
      </c>
      <c r="AF269" t="str">
        <f>Deals_Raw!AH269</f>
        <v>Yes</v>
      </c>
      <c r="AG269" t="str">
        <f>Deals_Raw!AI269</f>
        <v>No</v>
      </c>
      <c r="AH269" s="6">
        <f>Deals_Raw!AJ269</f>
        <v>704750.59776241425</v>
      </c>
      <c r="AI269" s="6">
        <f>Deals_Raw!AK269</f>
        <v>452898.40282051614</v>
      </c>
      <c r="AJ269" t="str">
        <f>Deals_Raw!AL269</f>
        <v>Expansion allowed because contract was active</v>
      </c>
      <c r="AK269" s="9">
        <f t="shared" si="28"/>
        <v>3.9194444444444443</v>
      </c>
      <c r="AL269" s="8">
        <f t="shared" si="29"/>
        <v>0.90307450361289932</v>
      </c>
      <c r="AM269" s="8">
        <f t="shared" si="30"/>
        <v>3.6000000000000004E-2</v>
      </c>
      <c r="AN269" t="str">
        <f>IF(AC269&lt;Pricing_Policy!$C$10,"Below Floor","Pass")</f>
        <v>Pass</v>
      </c>
      <c r="AO269" t="str">
        <f>IF(V269&gt;Pricing_Policy!$C$7,"Exception","Standard")</f>
        <v>Standard</v>
      </c>
      <c r="AP269" t="str">
        <f t="shared" si="31"/>
        <v>Pass</v>
      </c>
      <c r="AQ269">
        <f t="shared" si="32"/>
        <v>1</v>
      </c>
      <c r="AR269" s="8">
        <f t="shared" si="33"/>
        <v>0.64263642238611818</v>
      </c>
      <c r="AS269">
        <f t="shared" si="34"/>
        <v>3</v>
      </c>
    </row>
    <row r="270" spans="1:45">
      <c r="A270" t="str">
        <f>Deals_Raw!A270</f>
        <v>D00301</v>
      </c>
      <c r="B270">
        <f>Deals_Raw!B270</f>
        <v>45891</v>
      </c>
      <c r="C270" t="str">
        <f>Deals_Raw!C270</f>
        <v>C0080</v>
      </c>
      <c r="D270" t="str">
        <f>Deals_Raw!D270</f>
        <v>TEC-0080</v>
      </c>
      <c r="E270" t="str">
        <f>Deals_Raw!E270</f>
        <v>CT00167</v>
      </c>
      <c r="F270" t="str">
        <f>Deals_Raw!F270</f>
        <v>Finance</v>
      </c>
      <c r="G270" t="str">
        <f>Deals_Raw!G270</f>
        <v>Technology</v>
      </c>
      <c r="H270" t="str">
        <f>Deals_Raw!H270</f>
        <v>Northeast</v>
      </c>
      <c r="I270" t="str">
        <f>Deals_Raw!I270</f>
        <v>Northeast Enterprise</v>
      </c>
      <c r="J270" t="str">
        <f>Deals_Raw!J270</f>
        <v>Enterprise</v>
      </c>
      <c r="K270" t="str">
        <f>Deals_Raw!K270</f>
        <v>Yes</v>
      </c>
      <c r="L270">
        <f>Deals_Raw!L270</f>
        <v>44317</v>
      </c>
      <c r="M270">
        <f>Deals_Raw!M270</f>
        <v>60</v>
      </c>
      <c r="N270" t="str">
        <f>Deals_Raw!N270</f>
        <v>Nexus Enterprise Suite</v>
      </c>
      <c r="O270" t="str">
        <f>Deals_Raw!O270</f>
        <v>Renewal</v>
      </c>
      <c r="P270">
        <f>Deals_Raw!P270</f>
        <v>0</v>
      </c>
      <c r="Q270">
        <f>Deals_Raw!Q270</f>
        <v>1</v>
      </c>
      <c r="R270">
        <f>Deals_Raw!R270</f>
        <v>2381</v>
      </c>
      <c r="S270" t="str">
        <f>Deals_Raw!S270</f>
        <v>K. Nguyen</v>
      </c>
      <c r="T270" s="6">
        <f>Deals_Raw!T270</f>
        <v>806376.06088258128</v>
      </c>
      <c r="U270" s="8">
        <f>Deals_Raw!V270</f>
        <v>3.2000000000000001E-2</v>
      </c>
      <c r="V270" s="8">
        <f>Deals_Raw!W270</f>
        <v>0</v>
      </c>
      <c r="W270" s="8">
        <f>Deals_Raw!X270</f>
        <v>3.6999999999999998E-2</v>
      </c>
      <c r="X270" t="str">
        <f>Deals_Raw!Y270</f>
        <v>Renewal retention risk</v>
      </c>
      <c r="Y270" t="str">
        <f>Deals_Raw!Z270</f>
        <v>Sales Manager</v>
      </c>
      <c r="Z270" s="6">
        <f>Deals_Raw!AA270</f>
        <v>806376.06088258128</v>
      </c>
      <c r="AA270" s="6">
        <f>Deals_Raw!AC270</f>
        <v>286950.64025917073</v>
      </c>
      <c r="AB270" s="6">
        <f>Deals_Raw!AD270</f>
        <v>519425.42062341055</v>
      </c>
      <c r="AC270" s="8">
        <f>Deals_Raw!AE270</f>
        <v>0.64414786824759862</v>
      </c>
      <c r="AD270" t="str">
        <f>Deals_Raw!AF270</f>
        <v>Won</v>
      </c>
      <c r="AE270" t="str">
        <f>Deals_Raw!AG270</f>
        <v>Yes</v>
      </c>
      <c r="AF270">
        <f>Deals_Raw!AH270</f>
        <v>0</v>
      </c>
      <c r="AG270" t="str">
        <f>Deals_Raw!AI270</f>
        <v>No</v>
      </c>
      <c r="AH270" s="6">
        <f>Deals_Raw!AJ270</f>
        <v>806376.06088258128</v>
      </c>
      <c r="AI270" s="6">
        <f>Deals_Raw!AK270</f>
        <v>519425.42062341055</v>
      </c>
      <c r="AJ270" t="str">
        <f>Deals_Raw!AL270</f>
        <v>Renewal of existing active contract</v>
      </c>
      <c r="AK270" s="9">
        <f t="shared" si="28"/>
        <v>4.3083333333333336</v>
      </c>
      <c r="AL270" s="8">
        <f t="shared" si="29"/>
        <v>1</v>
      </c>
      <c r="AM270" s="8">
        <f t="shared" si="30"/>
        <v>3.2000000000000001E-2</v>
      </c>
      <c r="AN270" t="str">
        <f>IF(AC270&lt;Pricing_Policy!$C$10,"Below Floor","Pass")</f>
        <v>Pass</v>
      </c>
      <c r="AO270" t="str">
        <f>IF(V270&gt;Pricing_Policy!$C$7,"Exception","Standard")</f>
        <v>Standard</v>
      </c>
      <c r="AP270" t="str">
        <f t="shared" si="31"/>
        <v>Pass</v>
      </c>
      <c r="AQ270">
        <f t="shared" si="32"/>
        <v>1</v>
      </c>
      <c r="AR270" s="8">
        <f t="shared" si="33"/>
        <v>0.64414786824759862</v>
      </c>
      <c r="AS270">
        <f t="shared" si="34"/>
        <v>3</v>
      </c>
    </row>
    <row r="271" spans="1:45">
      <c r="A271" t="str">
        <f>Deals_Raw!A271</f>
        <v>D00302</v>
      </c>
      <c r="B271">
        <f>Deals_Raw!B271</f>
        <v>45517</v>
      </c>
      <c r="C271" t="str">
        <f>Deals_Raw!C271</f>
        <v>C0080</v>
      </c>
      <c r="D271" t="str">
        <f>Deals_Raw!D271</f>
        <v>TEC-0080</v>
      </c>
      <c r="E271" t="str">
        <f>Deals_Raw!E271</f>
        <v>CT00168</v>
      </c>
      <c r="F271" t="str">
        <f>Deals_Raw!F271</f>
        <v>Legal</v>
      </c>
      <c r="G271" t="str">
        <f>Deals_Raw!G271</f>
        <v>Technology</v>
      </c>
      <c r="H271" t="str">
        <f>Deals_Raw!H271</f>
        <v>Northeast</v>
      </c>
      <c r="I271" t="str">
        <f>Deals_Raw!I271</f>
        <v>Northeast Enterprise</v>
      </c>
      <c r="J271" t="str">
        <f>Deals_Raw!J271</f>
        <v>Enterprise</v>
      </c>
      <c r="K271" t="str">
        <f>Deals_Raw!K271</f>
        <v>Yes</v>
      </c>
      <c r="L271">
        <f>Deals_Raw!L271</f>
        <v>44317</v>
      </c>
      <c r="M271">
        <f>Deals_Raw!M271</f>
        <v>60</v>
      </c>
      <c r="N271" t="str">
        <f>Deals_Raw!N271</f>
        <v>Nexus Compliance</v>
      </c>
      <c r="O271" t="str">
        <f>Deals_Raw!O271</f>
        <v>Expansion</v>
      </c>
      <c r="P271" t="str">
        <f>Deals_Raw!P271</f>
        <v>Multi-year Extension</v>
      </c>
      <c r="Q271">
        <f>Deals_Raw!Q271</f>
        <v>3</v>
      </c>
      <c r="R271">
        <f>Deals_Raw!R271</f>
        <v>2371</v>
      </c>
      <c r="S271" t="str">
        <f>Deals_Raw!S271</f>
        <v>S. Rivera</v>
      </c>
      <c r="T271" s="6">
        <f>Deals_Raw!T271</f>
        <v>498492.87444137561</v>
      </c>
      <c r="U271" s="8">
        <f>Deals_Raw!V271</f>
        <v>0.106</v>
      </c>
      <c r="V271" s="8">
        <f>Deals_Raw!W271</f>
        <v>7.2999999999999995E-2</v>
      </c>
      <c r="W271" s="8">
        <f>Deals_Raw!X271</f>
        <v>-2.5000000000000001E-2</v>
      </c>
      <c r="X271" t="str">
        <f>Deals_Raw!Y271</f>
        <v>Expansion opportunity</v>
      </c>
      <c r="Y271" t="str">
        <f>Deals_Raw!Z271</f>
        <v>Sales Manager</v>
      </c>
      <c r="Z271" s="6">
        <f>Deals_Raw!AA271</f>
        <v>462167.3338464023</v>
      </c>
      <c r="AA271" s="6">
        <f>Deals_Raw!AC271</f>
        <v>173604.74861654139</v>
      </c>
      <c r="AB271" s="6">
        <f>Deals_Raw!AD271</f>
        <v>288562.58522986091</v>
      </c>
      <c r="AC271" s="8">
        <f>Deals_Raw!AE271</f>
        <v>0.62436819761424855</v>
      </c>
      <c r="AD271" t="str">
        <f>Deals_Raw!AF271</f>
        <v>Won</v>
      </c>
      <c r="AE271">
        <f>Deals_Raw!AG271</f>
        <v>0</v>
      </c>
      <c r="AF271" t="str">
        <f>Deals_Raw!AH271</f>
        <v>Yes</v>
      </c>
      <c r="AG271" t="str">
        <f>Deals_Raw!AI271</f>
        <v>No</v>
      </c>
      <c r="AH271" s="6">
        <f>Deals_Raw!AJ271</f>
        <v>462167.3338464023</v>
      </c>
      <c r="AI271" s="6">
        <f>Deals_Raw!AK271</f>
        <v>288562.58522986091</v>
      </c>
      <c r="AJ271" t="str">
        <f>Deals_Raw!AL271</f>
        <v>Expansion allowed because contract was active</v>
      </c>
      <c r="AK271" s="9">
        <f t="shared" si="28"/>
        <v>3.2833333333333332</v>
      </c>
      <c r="AL271" s="8">
        <f t="shared" si="29"/>
        <v>0.92712926812508467</v>
      </c>
      <c r="AM271" s="8">
        <f t="shared" si="30"/>
        <v>3.3000000000000002E-2</v>
      </c>
      <c r="AN271" t="str">
        <f>IF(AC271&lt;Pricing_Policy!$C$10,"Below Floor","Pass")</f>
        <v>Pass</v>
      </c>
      <c r="AO271" t="str">
        <f>IF(V271&gt;Pricing_Policy!$C$7,"Exception","Standard")</f>
        <v>Standard</v>
      </c>
      <c r="AP271" t="str">
        <f t="shared" si="31"/>
        <v>Pass</v>
      </c>
      <c r="AQ271">
        <f t="shared" si="32"/>
        <v>1</v>
      </c>
      <c r="AR271" s="8">
        <f t="shared" si="33"/>
        <v>0.62436819761424855</v>
      </c>
      <c r="AS271">
        <f t="shared" si="34"/>
        <v>2</v>
      </c>
    </row>
    <row r="272" spans="1:45">
      <c r="A272" t="str">
        <f>Deals_Raw!A272</f>
        <v>D00303</v>
      </c>
      <c r="B272">
        <f>Deals_Raw!B272</f>
        <v>45608</v>
      </c>
      <c r="C272" t="str">
        <f>Deals_Raw!C272</f>
        <v>C0080</v>
      </c>
      <c r="D272" t="str">
        <f>Deals_Raw!D272</f>
        <v>TEC-0080</v>
      </c>
      <c r="E272" t="str">
        <f>Deals_Raw!E272</f>
        <v>CT00168</v>
      </c>
      <c r="F272" t="str">
        <f>Deals_Raw!F272</f>
        <v>Legal</v>
      </c>
      <c r="G272" t="str">
        <f>Deals_Raw!G272</f>
        <v>Technology</v>
      </c>
      <c r="H272" t="str">
        <f>Deals_Raw!H272</f>
        <v>Northeast</v>
      </c>
      <c r="I272" t="str">
        <f>Deals_Raw!I272</f>
        <v>Northeast Enterprise</v>
      </c>
      <c r="J272" t="str">
        <f>Deals_Raw!J272</f>
        <v>Enterprise</v>
      </c>
      <c r="K272" t="str">
        <f>Deals_Raw!K272</f>
        <v>Yes</v>
      </c>
      <c r="L272">
        <f>Deals_Raw!L272</f>
        <v>44317</v>
      </c>
      <c r="M272">
        <f>Deals_Raw!M272</f>
        <v>60</v>
      </c>
      <c r="N272" t="str">
        <f>Deals_Raw!N272</f>
        <v>Nexus Compliance</v>
      </c>
      <c r="O272" t="str">
        <f>Deals_Raw!O272</f>
        <v>Renewal</v>
      </c>
      <c r="P272">
        <f>Deals_Raw!P272</f>
        <v>0</v>
      </c>
      <c r="Q272">
        <f>Deals_Raw!Q272</f>
        <v>3</v>
      </c>
      <c r="R272">
        <f>Deals_Raw!R272</f>
        <v>2371</v>
      </c>
      <c r="S272" t="str">
        <f>Deals_Raw!S272</f>
        <v>T. Brooks</v>
      </c>
      <c r="T272" s="6">
        <f>Deals_Raw!T272</f>
        <v>520568.62724880956</v>
      </c>
      <c r="U272" s="8">
        <f>Deals_Raw!V272</f>
        <v>4.2000000000000003E-2</v>
      </c>
      <c r="V272" s="8">
        <f>Deals_Raw!W272</f>
        <v>3.5000000000000003E-2</v>
      </c>
      <c r="W272" s="8">
        <f>Deals_Raw!X272</f>
        <v>-1.7999999999999999E-2</v>
      </c>
      <c r="X272" t="str">
        <f>Deals_Raw!Y272</f>
        <v>Renewal retention risk</v>
      </c>
      <c r="Y272" t="str">
        <f>Deals_Raw!Z272</f>
        <v>Sales Manager</v>
      </c>
      <c r="Z272" s="6">
        <f>Deals_Raw!AA272</f>
        <v>502362.84877951327</v>
      </c>
      <c r="AA272" s="6">
        <f>Deals_Raw!AC272</f>
        <v>181563.86197625988</v>
      </c>
      <c r="AB272" s="6">
        <f>Deals_Raw!AD272</f>
        <v>320798.98680325341</v>
      </c>
      <c r="AC272" s="8">
        <f>Deals_Raw!AE272</f>
        <v>0.63858023654144036</v>
      </c>
      <c r="AD272" t="str">
        <f>Deals_Raw!AF272</f>
        <v>Won</v>
      </c>
      <c r="AE272" t="str">
        <f>Deals_Raw!AG272</f>
        <v>Yes</v>
      </c>
      <c r="AF272">
        <f>Deals_Raw!AH272</f>
        <v>0</v>
      </c>
      <c r="AG272" t="str">
        <f>Deals_Raw!AI272</f>
        <v>No</v>
      </c>
      <c r="AH272" s="6">
        <f>Deals_Raw!AJ272</f>
        <v>502362.84877951327</v>
      </c>
      <c r="AI272" s="6">
        <f>Deals_Raw!AK272</f>
        <v>320798.98680325341</v>
      </c>
      <c r="AJ272" t="str">
        <f>Deals_Raw!AL272</f>
        <v>Renewal of existing active contract</v>
      </c>
      <c r="AK272" s="9">
        <f t="shared" si="28"/>
        <v>3.5305555555555554</v>
      </c>
      <c r="AL272" s="8">
        <f t="shared" si="29"/>
        <v>0.96502713087895187</v>
      </c>
      <c r="AM272" s="8">
        <f t="shared" si="30"/>
        <v>6.9999999999999993E-3</v>
      </c>
      <c r="AN272" t="str">
        <f>IF(AC272&lt;Pricing_Policy!$C$10,"Below Floor","Pass")</f>
        <v>Pass</v>
      </c>
      <c r="AO272" t="str">
        <f>IF(V272&gt;Pricing_Policy!$C$7,"Exception","Standard")</f>
        <v>Standard</v>
      </c>
      <c r="AP272" t="str">
        <f t="shared" si="31"/>
        <v>Pass</v>
      </c>
      <c r="AQ272">
        <f t="shared" si="32"/>
        <v>1</v>
      </c>
      <c r="AR272" s="8">
        <f t="shared" si="33"/>
        <v>0.63858023654144036</v>
      </c>
      <c r="AS272">
        <f t="shared" si="34"/>
        <v>2</v>
      </c>
    </row>
    <row r="273" spans="1:45">
      <c r="A273" t="str">
        <f>Deals_Raw!A273</f>
        <v>D00305</v>
      </c>
      <c r="B273">
        <f>Deals_Raw!B273</f>
        <v>45358</v>
      </c>
      <c r="C273" t="str">
        <f>Deals_Raw!C273</f>
        <v>C0081</v>
      </c>
      <c r="D273" t="str">
        <f>Deals_Raw!D273</f>
        <v>FIN-0081</v>
      </c>
      <c r="E273" t="str">
        <f>Deals_Raw!E273</f>
        <v>CT00169</v>
      </c>
      <c r="F273" t="str">
        <f>Deals_Raw!F273</f>
        <v>Corporate</v>
      </c>
      <c r="G273" t="str">
        <f>Deals_Raw!G273</f>
        <v>Financial Services</v>
      </c>
      <c r="H273" t="str">
        <f>Deals_Raw!H273</f>
        <v>Midwest</v>
      </c>
      <c r="I273" t="str">
        <f>Deals_Raw!I273</f>
        <v>Midwest Commercial</v>
      </c>
      <c r="J273" t="str">
        <f>Deals_Raw!J273</f>
        <v>Mid-Market</v>
      </c>
      <c r="K273" t="str">
        <f>Deals_Raw!K273</f>
        <v>No</v>
      </c>
      <c r="L273">
        <f>Deals_Raw!L273</f>
        <v>43252</v>
      </c>
      <c r="M273">
        <f>Deals_Raw!M273</f>
        <v>67</v>
      </c>
      <c r="N273" t="str">
        <f>Deals_Raw!N273</f>
        <v>Nexus Compliance</v>
      </c>
      <c r="O273" t="str">
        <f>Deals_Raw!O273</f>
        <v>Renewal</v>
      </c>
      <c r="P273">
        <f>Deals_Raw!P273</f>
        <v>0</v>
      </c>
      <c r="Q273">
        <f>Deals_Raw!Q273</f>
        <v>1</v>
      </c>
      <c r="R273">
        <f>Deals_Raw!R273</f>
        <v>278</v>
      </c>
      <c r="S273" t="str">
        <f>Deals_Raw!S273</f>
        <v>M. Johnson</v>
      </c>
      <c r="T273" s="6">
        <f>Deals_Raw!T273</f>
        <v>142828.47237968276</v>
      </c>
      <c r="U273" s="8">
        <f>Deals_Raw!V273</f>
        <v>0.18099999999999999</v>
      </c>
      <c r="V273" s="8">
        <f>Deals_Raw!W273</f>
        <v>0.17</v>
      </c>
      <c r="W273" s="8">
        <f>Deals_Raw!X273</f>
        <v>-3.2000000000000001E-2</v>
      </c>
      <c r="X273" t="str">
        <f>Deals_Raw!Y273</f>
        <v>Strategic logo opportunity</v>
      </c>
      <c r="Y273" t="str">
        <f>Deals_Raw!Z273</f>
        <v>Pricing Analyst</v>
      </c>
      <c r="Z273" s="6">
        <f>Deals_Raw!AA273</f>
        <v>118578.24279021358</v>
      </c>
      <c r="AA273" s="6">
        <f>Deals_Raw!AC273</f>
        <v>51155.271804586999</v>
      </c>
      <c r="AB273" s="6">
        <f>Deals_Raw!AD273</f>
        <v>67422.970985626584</v>
      </c>
      <c r="AC273" s="8">
        <f>Deals_Raw!AE273</f>
        <v>0.56859478939074892</v>
      </c>
      <c r="AD273" t="str">
        <f>Deals_Raw!AF273</f>
        <v>Won</v>
      </c>
      <c r="AE273" t="str">
        <f>Deals_Raw!AG273</f>
        <v>Yes</v>
      </c>
      <c r="AF273">
        <f>Deals_Raw!AH273</f>
        <v>0</v>
      </c>
      <c r="AG273" t="str">
        <f>Deals_Raw!AI273</f>
        <v>No</v>
      </c>
      <c r="AH273" s="6">
        <f>Deals_Raw!AJ273</f>
        <v>118578.24279021358</v>
      </c>
      <c r="AI273" s="6">
        <f>Deals_Raw!AK273</f>
        <v>67422.970985626584</v>
      </c>
      <c r="AJ273" t="str">
        <f>Deals_Raw!AL273</f>
        <v>Renewal of existing active contract</v>
      </c>
      <c r="AK273" s="9">
        <f t="shared" si="28"/>
        <v>5.7666666666666666</v>
      </c>
      <c r="AL273" s="8">
        <f t="shared" si="29"/>
        <v>0.83021431801773748</v>
      </c>
      <c r="AM273" s="8">
        <f t="shared" si="30"/>
        <v>1.0999999999999982E-2</v>
      </c>
      <c r="AN273" t="str">
        <f>IF(AC273&lt;Pricing_Policy!$C$10,"Below Floor","Pass")</f>
        <v>Pass</v>
      </c>
      <c r="AO273" t="str">
        <f>IF(V273&gt;Pricing_Policy!$C$7,"Exception","Standard")</f>
        <v>Standard</v>
      </c>
      <c r="AP273" t="str">
        <f t="shared" si="31"/>
        <v>Pass</v>
      </c>
      <c r="AQ273">
        <f t="shared" si="32"/>
        <v>1</v>
      </c>
      <c r="AR273" s="8">
        <f t="shared" si="33"/>
        <v>0.56859478939074892</v>
      </c>
      <c r="AS273">
        <f t="shared" si="34"/>
        <v>2</v>
      </c>
    </row>
    <row r="274" spans="1:45">
      <c r="A274" t="str">
        <f>Deals_Raw!A274</f>
        <v>D00306</v>
      </c>
      <c r="B274">
        <f>Deals_Raw!B274</f>
        <v>45723</v>
      </c>
      <c r="C274" t="str">
        <f>Deals_Raw!C274</f>
        <v>C0081</v>
      </c>
      <c r="D274" t="str">
        <f>Deals_Raw!D274</f>
        <v>FIN-0081</v>
      </c>
      <c r="E274" t="str">
        <f>Deals_Raw!E274</f>
        <v>CT00169</v>
      </c>
      <c r="F274" t="str">
        <f>Deals_Raw!F274</f>
        <v>Corporate</v>
      </c>
      <c r="G274" t="str">
        <f>Deals_Raw!G274</f>
        <v>Financial Services</v>
      </c>
      <c r="H274" t="str">
        <f>Deals_Raw!H274</f>
        <v>Midwest</v>
      </c>
      <c r="I274" t="str">
        <f>Deals_Raw!I274</f>
        <v>Midwest Commercial</v>
      </c>
      <c r="J274" t="str">
        <f>Deals_Raw!J274</f>
        <v>Mid-Market</v>
      </c>
      <c r="K274" t="str">
        <f>Deals_Raw!K274</f>
        <v>No</v>
      </c>
      <c r="L274">
        <f>Deals_Raw!L274</f>
        <v>43252</v>
      </c>
      <c r="M274">
        <f>Deals_Raw!M274</f>
        <v>67</v>
      </c>
      <c r="N274" t="str">
        <f>Deals_Raw!N274</f>
        <v>Nexus Compliance</v>
      </c>
      <c r="O274" t="str">
        <f>Deals_Raw!O274</f>
        <v>Renewal</v>
      </c>
      <c r="P274">
        <f>Deals_Raw!P274</f>
        <v>0</v>
      </c>
      <c r="Q274">
        <f>Deals_Raw!Q274</f>
        <v>1</v>
      </c>
      <c r="R274">
        <f>Deals_Raw!R274</f>
        <v>278</v>
      </c>
      <c r="S274" t="str">
        <f>Deals_Raw!S274</f>
        <v>T. Brooks</v>
      </c>
      <c r="T274" s="6">
        <f>Deals_Raw!T274</f>
        <v>147984.76932398262</v>
      </c>
      <c r="U274" s="8">
        <f>Deals_Raw!V274</f>
        <v>0.122</v>
      </c>
      <c r="V274" s="8">
        <f>Deals_Raw!W274</f>
        <v>0.108</v>
      </c>
      <c r="W274" s="8">
        <f>Deals_Raw!X274</f>
        <v>1.4E-2</v>
      </c>
      <c r="X274" t="str">
        <f>Deals_Raw!Y274</f>
        <v>Expansion opportunity</v>
      </c>
      <c r="Y274" t="str">
        <f>Deals_Raw!Z274</f>
        <v>Pricing Analyst</v>
      </c>
      <c r="Z274" s="6">
        <f>Deals_Raw!AA274</f>
        <v>132004.59589237109</v>
      </c>
      <c r="AA274" s="6">
        <f>Deals_Raw!AC274</f>
        <v>51441.481877470018</v>
      </c>
      <c r="AB274" s="6">
        <f>Deals_Raw!AD274</f>
        <v>80563.114014901075</v>
      </c>
      <c r="AC274" s="8">
        <f>Deals_Raw!AE274</f>
        <v>0.61030537209922286</v>
      </c>
      <c r="AD274" t="str">
        <f>Deals_Raw!AF274</f>
        <v>Won</v>
      </c>
      <c r="AE274" t="str">
        <f>Deals_Raw!AG274</f>
        <v>Yes</v>
      </c>
      <c r="AF274">
        <f>Deals_Raw!AH274</f>
        <v>0</v>
      </c>
      <c r="AG274" t="str">
        <f>Deals_Raw!AI274</f>
        <v>No</v>
      </c>
      <c r="AH274" s="6">
        <f>Deals_Raw!AJ274</f>
        <v>132004.59589237109</v>
      </c>
      <c r="AI274" s="6">
        <f>Deals_Raw!AK274</f>
        <v>80563.114014901075</v>
      </c>
      <c r="AJ274" t="str">
        <f>Deals_Raw!AL274</f>
        <v>Renewal of existing active contract</v>
      </c>
      <c r="AK274" s="9">
        <f t="shared" si="28"/>
        <v>6.7666666666666666</v>
      </c>
      <c r="AL274" s="8">
        <f t="shared" si="29"/>
        <v>0.89201474243186352</v>
      </c>
      <c r="AM274" s="8">
        <f t="shared" si="30"/>
        <v>1.3999999999999999E-2</v>
      </c>
      <c r="AN274" t="str">
        <f>IF(AC274&lt;Pricing_Policy!$C$10,"Below Floor","Pass")</f>
        <v>Pass</v>
      </c>
      <c r="AO274" t="str">
        <f>IF(V274&gt;Pricing_Policy!$C$7,"Exception","Standard")</f>
        <v>Standard</v>
      </c>
      <c r="AP274" t="str">
        <f t="shared" si="31"/>
        <v>Pass</v>
      </c>
      <c r="AQ274">
        <f t="shared" si="32"/>
        <v>1</v>
      </c>
      <c r="AR274" s="8">
        <f t="shared" si="33"/>
        <v>0.61030537209922286</v>
      </c>
      <c r="AS274">
        <f t="shared" si="34"/>
        <v>2</v>
      </c>
    </row>
    <row r="275" spans="1:45">
      <c r="A275" t="str">
        <f>Deals_Raw!A275</f>
        <v>D00307</v>
      </c>
      <c r="B275">
        <f>Deals_Raw!B275</f>
        <v>45430</v>
      </c>
      <c r="C275" t="str">
        <f>Deals_Raw!C275</f>
        <v>C0081</v>
      </c>
      <c r="D275" t="str">
        <f>Deals_Raw!D275</f>
        <v>FIN-0081</v>
      </c>
      <c r="E275" t="str">
        <f>Deals_Raw!E275</f>
        <v>CT00170</v>
      </c>
      <c r="F275" t="str">
        <f>Deals_Raw!F275</f>
        <v>Sales</v>
      </c>
      <c r="G275" t="str">
        <f>Deals_Raw!G275</f>
        <v>Financial Services</v>
      </c>
      <c r="H275" t="str">
        <f>Deals_Raw!H275</f>
        <v>Midwest</v>
      </c>
      <c r="I275" t="str">
        <f>Deals_Raw!I275</f>
        <v>Midwest Commercial</v>
      </c>
      <c r="J275" t="str">
        <f>Deals_Raw!J275</f>
        <v>Mid-Market</v>
      </c>
      <c r="K275" t="str">
        <f>Deals_Raw!K275</f>
        <v>No</v>
      </c>
      <c r="L275">
        <f>Deals_Raw!L275</f>
        <v>43252</v>
      </c>
      <c r="M275">
        <f>Deals_Raw!M275</f>
        <v>67</v>
      </c>
      <c r="N275" t="str">
        <f>Deals_Raw!N275</f>
        <v>Nexus AI Assistant</v>
      </c>
      <c r="O275" t="str">
        <f>Deals_Raw!O275</f>
        <v>Renewal</v>
      </c>
      <c r="P275">
        <f>Deals_Raw!P275</f>
        <v>0</v>
      </c>
      <c r="Q275">
        <f>Deals_Raw!Q275</f>
        <v>1</v>
      </c>
      <c r="R275">
        <f>Deals_Raw!R275</f>
        <v>105</v>
      </c>
      <c r="S275" t="str">
        <f>Deals_Raw!S275</f>
        <v>K. Nguyen</v>
      </c>
      <c r="T275" s="6">
        <f>Deals_Raw!T275</f>
        <v>62382.503230542148</v>
      </c>
      <c r="U275" s="8">
        <f>Deals_Raw!V275</f>
        <v>4.5999999999999999E-2</v>
      </c>
      <c r="V275" s="8">
        <f>Deals_Raw!W275</f>
        <v>3.4000000000000002E-2</v>
      </c>
      <c r="W275" s="8">
        <f>Deals_Raw!X275</f>
        <v>-0.02</v>
      </c>
      <c r="X275" t="str">
        <f>Deals_Raw!Y275</f>
        <v>Procurement requirement</v>
      </c>
      <c r="Y275" t="str">
        <f>Deals_Raw!Z275</f>
        <v>Sales Manager</v>
      </c>
      <c r="Z275" s="6">
        <f>Deals_Raw!AA275</f>
        <v>60264.171190919376</v>
      </c>
      <c r="AA275" s="6">
        <f>Deals_Raw!AC275</f>
        <v>24749.02242158119</v>
      </c>
      <c r="AB275" s="6">
        <f>Deals_Raw!AD275</f>
        <v>35515.148769338186</v>
      </c>
      <c r="AC275" s="8">
        <f>Deals_Raw!AE275</f>
        <v>0.58932443718216465</v>
      </c>
      <c r="AD275" t="str">
        <f>Deals_Raw!AF275</f>
        <v>Won</v>
      </c>
      <c r="AE275" t="str">
        <f>Deals_Raw!AG275</f>
        <v>Yes</v>
      </c>
      <c r="AF275">
        <f>Deals_Raw!AH275</f>
        <v>0</v>
      </c>
      <c r="AG275" t="str">
        <f>Deals_Raw!AI275</f>
        <v>No</v>
      </c>
      <c r="AH275" s="6">
        <f>Deals_Raw!AJ275</f>
        <v>60264.171190919376</v>
      </c>
      <c r="AI275" s="6">
        <f>Deals_Raw!AK275</f>
        <v>35515.148769338186</v>
      </c>
      <c r="AJ275" t="str">
        <f>Deals_Raw!AL275</f>
        <v>Renewal of existing active contract</v>
      </c>
      <c r="AK275" s="9">
        <f t="shared" si="28"/>
        <v>5.9638888888888886</v>
      </c>
      <c r="AL275" s="8">
        <f t="shared" si="29"/>
        <v>0.96604284967863152</v>
      </c>
      <c r="AM275" s="8">
        <f t="shared" si="30"/>
        <v>1.1999999999999997E-2</v>
      </c>
      <c r="AN275" t="str">
        <f>IF(AC275&lt;Pricing_Policy!$C$10,"Below Floor","Pass")</f>
        <v>Pass</v>
      </c>
      <c r="AO275" t="str">
        <f>IF(V275&gt;Pricing_Policy!$C$7,"Exception","Standard")</f>
        <v>Standard</v>
      </c>
      <c r="AP275" t="str">
        <f t="shared" si="31"/>
        <v>Pass</v>
      </c>
      <c r="AQ275">
        <f t="shared" si="32"/>
        <v>1</v>
      </c>
      <c r="AR275" s="8">
        <f t="shared" si="33"/>
        <v>0.58932443718216465</v>
      </c>
      <c r="AS275">
        <f t="shared" si="34"/>
        <v>2</v>
      </c>
    </row>
    <row r="276" spans="1:45">
      <c r="A276" t="str">
        <f>Deals_Raw!A276</f>
        <v>D00308</v>
      </c>
      <c r="B276">
        <f>Deals_Raw!B276</f>
        <v>45795</v>
      </c>
      <c r="C276" t="str">
        <f>Deals_Raw!C276</f>
        <v>C0081</v>
      </c>
      <c r="D276" t="str">
        <f>Deals_Raw!D276</f>
        <v>FIN-0081</v>
      </c>
      <c r="E276" t="str">
        <f>Deals_Raw!E276</f>
        <v>CT00170</v>
      </c>
      <c r="F276" t="str">
        <f>Deals_Raw!F276</f>
        <v>Sales</v>
      </c>
      <c r="G276" t="str">
        <f>Deals_Raw!G276</f>
        <v>Financial Services</v>
      </c>
      <c r="H276" t="str">
        <f>Deals_Raw!H276</f>
        <v>Midwest</v>
      </c>
      <c r="I276" t="str">
        <f>Deals_Raw!I276</f>
        <v>Midwest Commercial</v>
      </c>
      <c r="J276" t="str">
        <f>Deals_Raw!J276</f>
        <v>Mid-Market</v>
      </c>
      <c r="K276" t="str">
        <f>Deals_Raw!K276</f>
        <v>No</v>
      </c>
      <c r="L276">
        <f>Deals_Raw!L276</f>
        <v>43252</v>
      </c>
      <c r="M276">
        <f>Deals_Raw!M276</f>
        <v>67</v>
      </c>
      <c r="N276" t="str">
        <f>Deals_Raw!N276</f>
        <v>Nexus AI Assistant</v>
      </c>
      <c r="O276" t="str">
        <f>Deals_Raw!O276</f>
        <v>Renewal</v>
      </c>
      <c r="P276">
        <f>Deals_Raw!P276</f>
        <v>0</v>
      </c>
      <c r="Q276">
        <f>Deals_Raw!Q276</f>
        <v>1</v>
      </c>
      <c r="R276">
        <f>Deals_Raw!R276</f>
        <v>105</v>
      </c>
      <c r="S276" t="str">
        <f>Deals_Raw!S276</f>
        <v>M. Johnson</v>
      </c>
      <c r="T276" s="6">
        <f>Deals_Raw!T276</f>
        <v>66331.663728830419</v>
      </c>
      <c r="U276" s="8">
        <f>Deals_Raw!V276</f>
        <v>3.7999999999999999E-2</v>
      </c>
      <c r="V276" s="8">
        <f>Deals_Raw!W276</f>
        <v>0</v>
      </c>
      <c r="W276" s="8">
        <f>Deals_Raw!X276</f>
        <v>1.4E-2</v>
      </c>
      <c r="X276" t="str">
        <f>Deals_Raw!Y276</f>
        <v>Renewal retention risk</v>
      </c>
      <c r="Y276" t="str">
        <f>Deals_Raw!Z276</f>
        <v>Sales Manager</v>
      </c>
      <c r="Z276" s="6">
        <f>Deals_Raw!AA276</f>
        <v>66331.663728830419</v>
      </c>
      <c r="AA276" s="6">
        <f>Deals_Raw!AC276</f>
        <v>27661.94707652686</v>
      </c>
      <c r="AB276" s="6">
        <f>Deals_Raw!AD276</f>
        <v>38669.716652303556</v>
      </c>
      <c r="AC276" s="8">
        <f>Deals_Raw!AE276</f>
        <v>0.58297522598541629</v>
      </c>
      <c r="AD276" t="str">
        <f>Deals_Raw!AF276</f>
        <v>Lost</v>
      </c>
      <c r="AE276" t="str">
        <f>Deals_Raw!AG276</f>
        <v>No</v>
      </c>
      <c r="AF276">
        <f>Deals_Raw!AH276</f>
        <v>0</v>
      </c>
      <c r="AG276" t="str">
        <f>Deals_Raw!AI276</f>
        <v>No</v>
      </c>
      <c r="AH276" s="6">
        <f>Deals_Raw!AJ276</f>
        <v>0</v>
      </c>
      <c r="AI276" s="6">
        <f>Deals_Raw!AK276</f>
        <v>0</v>
      </c>
      <c r="AJ276" t="str">
        <f>Deals_Raw!AL276</f>
        <v>Renewal of existing active contract</v>
      </c>
      <c r="AK276" s="9">
        <f t="shared" si="28"/>
        <v>6.9638888888888886</v>
      </c>
      <c r="AL276" s="8">
        <f t="shared" si="29"/>
        <v>1</v>
      </c>
      <c r="AM276" s="8">
        <f t="shared" si="30"/>
        <v>3.7999999999999999E-2</v>
      </c>
      <c r="AN276" t="str">
        <f>IF(AC276&lt;Pricing_Policy!$C$10,"Below Floor","Pass")</f>
        <v>Pass</v>
      </c>
      <c r="AO276" t="str">
        <f>IF(V276&gt;Pricing_Policy!$C$7,"Exception","Standard")</f>
        <v>Standard</v>
      </c>
      <c r="AP276" t="str">
        <f t="shared" si="31"/>
        <v>Pass</v>
      </c>
      <c r="AQ276">
        <f t="shared" si="32"/>
        <v>0</v>
      </c>
      <c r="AR276" s="8">
        <f t="shared" si="33"/>
        <v>0</v>
      </c>
      <c r="AS276">
        <f t="shared" si="34"/>
        <v>2</v>
      </c>
    </row>
    <row r="277" spans="1:45">
      <c r="A277" t="str">
        <f>Deals_Raw!A277</f>
        <v>D00311</v>
      </c>
      <c r="B277">
        <f>Deals_Raw!B277</f>
        <v>45423</v>
      </c>
      <c r="C277" t="str">
        <f>Deals_Raw!C277</f>
        <v>C0082</v>
      </c>
      <c r="D277" t="str">
        <f>Deals_Raw!D277</f>
        <v>LEG-0082</v>
      </c>
      <c r="E277" t="str">
        <f>Deals_Raw!E277</f>
        <v>CT00171</v>
      </c>
      <c r="F277" t="str">
        <f>Deals_Raw!F277</f>
        <v>Technology</v>
      </c>
      <c r="G277" t="str">
        <f>Deals_Raw!G277</f>
        <v>Legal</v>
      </c>
      <c r="H277" t="str">
        <f>Deals_Raw!H277</f>
        <v>Midwest</v>
      </c>
      <c r="I277" t="str">
        <f>Deals_Raw!I277</f>
        <v>Midwest Commercial</v>
      </c>
      <c r="J277" t="str">
        <f>Deals_Raw!J277</f>
        <v>SMB</v>
      </c>
      <c r="K277" t="str">
        <f>Deals_Raw!K277</f>
        <v>No</v>
      </c>
      <c r="L277">
        <f>Deals_Raw!L277</f>
        <v>43282</v>
      </c>
      <c r="M277">
        <f>Deals_Raw!M277</f>
        <v>70</v>
      </c>
      <c r="N277" t="str">
        <f>Deals_Raw!N277</f>
        <v>Nexus Analytics</v>
      </c>
      <c r="O277" t="str">
        <f>Deals_Raw!O277</f>
        <v>Expansion</v>
      </c>
      <c r="P277" t="str">
        <f>Deals_Raw!P277</f>
        <v>AI Add-on</v>
      </c>
      <c r="Q277">
        <f>Deals_Raw!Q277</f>
        <v>1</v>
      </c>
      <c r="R277">
        <f>Deals_Raw!R277</f>
        <v>91</v>
      </c>
      <c r="S277" t="str">
        <f>Deals_Raw!S277</f>
        <v>A. Patel</v>
      </c>
      <c r="T277" s="6">
        <f>Deals_Raw!T277</f>
        <v>67841.034059131125</v>
      </c>
      <c r="U277" s="8">
        <f>Deals_Raw!V277</f>
        <v>0.13100000000000001</v>
      </c>
      <c r="V277" s="8">
        <f>Deals_Raw!W277</f>
        <v>0.105</v>
      </c>
      <c r="W277" s="8">
        <f>Deals_Raw!X277</f>
        <v>-2.1000000000000001E-2</v>
      </c>
      <c r="X277" t="str">
        <f>Deals_Raw!Y277</f>
        <v>Expansion opportunity</v>
      </c>
      <c r="Y277" t="str">
        <f>Deals_Raw!Z277</f>
        <v>Pricing Analyst</v>
      </c>
      <c r="Z277" s="6">
        <f>Deals_Raw!AA277</f>
        <v>60715.75223500924</v>
      </c>
      <c r="AA277" s="6">
        <f>Deals_Raw!AC277</f>
        <v>20220.436510680847</v>
      </c>
      <c r="AB277" s="6">
        <f>Deals_Raw!AD277</f>
        <v>40495.315724328393</v>
      </c>
      <c r="AC277" s="8">
        <f>Deals_Raw!AE277</f>
        <v>0.66696556056137335</v>
      </c>
      <c r="AD277" t="str">
        <f>Deals_Raw!AF277</f>
        <v>Won</v>
      </c>
      <c r="AE277">
        <f>Deals_Raw!AG277</f>
        <v>0</v>
      </c>
      <c r="AF277" t="str">
        <f>Deals_Raw!AH277</f>
        <v>Yes</v>
      </c>
      <c r="AG277" t="str">
        <f>Deals_Raw!AI277</f>
        <v>No</v>
      </c>
      <c r="AH277" s="6">
        <f>Deals_Raw!AJ277</f>
        <v>60715.75223500924</v>
      </c>
      <c r="AI277" s="6">
        <f>Deals_Raw!AK277</f>
        <v>40495.315724328393</v>
      </c>
      <c r="AJ277" t="str">
        <f>Deals_Raw!AL277</f>
        <v>Expansion allowed because contract was active</v>
      </c>
      <c r="AK277" s="9">
        <f t="shared" si="28"/>
        <v>5.8611111111111107</v>
      </c>
      <c r="AL277" s="8">
        <f t="shared" si="29"/>
        <v>0.89497091365217996</v>
      </c>
      <c r="AM277" s="8">
        <f t="shared" si="30"/>
        <v>2.6000000000000009E-2</v>
      </c>
      <c r="AN277" t="str">
        <f>IF(AC277&lt;Pricing_Policy!$C$10,"Below Floor","Pass")</f>
        <v>Pass</v>
      </c>
      <c r="AO277" t="str">
        <f>IF(V277&gt;Pricing_Policy!$C$7,"Exception","Standard")</f>
        <v>Standard</v>
      </c>
      <c r="AP277" t="str">
        <f t="shared" si="31"/>
        <v>Pass</v>
      </c>
      <c r="AQ277">
        <f t="shared" si="32"/>
        <v>1</v>
      </c>
      <c r="AR277" s="8">
        <f t="shared" si="33"/>
        <v>0.66696556056137335</v>
      </c>
      <c r="AS277">
        <f t="shared" si="34"/>
        <v>3</v>
      </c>
    </row>
    <row r="278" spans="1:45">
      <c r="A278" t="str">
        <f>Deals_Raw!A278</f>
        <v>D00312</v>
      </c>
      <c r="B278">
        <f>Deals_Raw!B278</f>
        <v>45606</v>
      </c>
      <c r="C278" t="str">
        <f>Deals_Raw!C278</f>
        <v>C0082</v>
      </c>
      <c r="D278" t="str">
        <f>Deals_Raw!D278</f>
        <v>LEG-0082</v>
      </c>
      <c r="E278" t="str">
        <f>Deals_Raw!E278</f>
        <v>CT00171</v>
      </c>
      <c r="F278" t="str">
        <f>Deals_Raw!F278</f>
        <v>Technology</v>
      </c>
      <c r="G278" t="str">
        <f>Deals_Raw!G278</f>
        <v>Legal</v>
      </c>
      <c r="H278" t="str">
        <f>Deals_Raw!H278</f>
        <v>Midwest</v>
      </c>
      <c r="I278" t="str">
        <f>Deals_Raw!I278</f>
        <v>Midwest Commercial</v>
      </c>
      <c r="J278" t="str">
        <f>Deals_Raw!J278</f>
        <v>SMB</v>
      </c>
      <c r="K278" t="str">
        <f>Deals_Raw!K278</f>
        <v>No</v>
      </c>
      <c r="L278">
        <f>Deals_Raw!L278</f>
        <v>43282</v>
      </c>
      <c r="M278">
        <f>Deals_Raw!M278</f>
        <v>70</v>
      </c>
      <c r="N278" t="str">
        <f>Deals_Raw!N278</f>
        <v>Nexus Analytics</v>
      </c>
      <c r="O278" t="str">
        <f>Deals_Raw!O278</f>
        <v>Renewal</v>
      </c>
      <c r="P278">
        <f>Deals_Raw!P278</f>
        <v>0</v>
      </c>
      <c r="Q278">
        <f>Deals_Raw!Q278</f>
        <v>1</v>
      </c>
      <c r="R278">
        <f>Deals_Raw!R278</f>
        <v>91</v>
      </c>
      <c r="S278" t="str">
        <f>Deals_Raw!S278</f>
        <v>A. Patel</v>
      </c>
      <c r="T278" s="6">
        <f>Deals_Raw!T278</f>
        <v>70051.687131786544</v>
      </c>
      <c r="U278" s="8">
        <f>Deals_Raw!V278</f>
        <v>0.14699999999999999</v>
      </c>
      <c r="V278" s="8">
        <f>Deals_Raw!W278</f>
        <v>0.115</v>
      </c>
      <c r="W278" s="8">
        <f>Deals_Raw!X278</f>
        <v>3.0000000000000001E-3</v>
      </c>
      <c r="X278" t="str">
        <f>Deals_Raw!Y278</f>
        <v>Volume purchase</v>
      </c>
      <c r="Y278" t="str">
        <f>Deals_Raw!Z278</f>
        <v>Pricing Analyst</v>
      </c>
      <c r="Z278" s="6">
        <f>Deals_Raw!AA278</f>
        <v>62024.566684219149</v>
      </c>
      <c r="AA278" s="6">
        <f>Deals_Raw!AC278</f>
        <v>21672.337047373861</v>
      </c>
      <c r="AB278" s="6">
        <f>Deals_Raw!AD278</f>
        <v>40352.229636845288</v>
      </c>
      <c r="AC278" s="8">
        <f>Deals_Raw!AE278</f>
        <v>0.65058462789893323</v>
      </c>
      <c r="AD278" t="str">
        <f>Deals_Raw!AF278</f>
        <v>Won</v>
      </c>
      <c r="AE278" t="str">
        <f>Deals_Raw!AG278</f>
        <v>Yes</v>
      </c>
      <c r="AF278">
        <f>Deals_Raw!AH278</f>
        <v>0</v>
      </c>
      <c r="AG278" t="str">
        <f>Deals_Raw!AI278</f>
        <v>No</v>
      </c>
      <c r="AH278" s="6">
        <f>Deals_Raw!AJ278</f>
        <v>62024.566684219149</v>
      </c>
      <c r="AI278" s="6">
        <f>Deals_Raw!AK278</f>
        <v>40352.229636845288</v>
      </c>
      <c r="AJ278" t="str">
        <f>Deals_Raw!AL278</f>
        <v>Renewal of existing active contract</v>
      </c>
      <c r="AK278" s="9">
        <f t="shared" si="28"/>
        <v>6.3583333333333334</v>
      </c>
      <c r="AL278" s="8">
        <f t="shared" si="29"/>
        <v>0.88541146150461492</v>
      </c>
      <c r="AM278" s="8">
        <f t="shared" si="30"/>
        <v>3.1999999999999987E-2</v>
      </c>
      <c r="AN278" t="str">
        <f>IF(AC278&lt;Pricing_Policy!$C$10,"Below Floor","Pass")</f>
        <v>Pass</v>
      </c>
      <c r="AO278" t="str">
        <f>IF(V278&gt;Pricing_Policy!$C$7,"Exception","Standard")</f>
        <v>Standard</v>
      </c>
      <c r="AP278" t="str">
        <f t="shared" si="31"/>
        <v>Pass</v>
      </c>
      <c r="AQ278">
        <f t="shared" si="32"/>
        <v>1</v>
      </c>
      <c r="AR278" s="8">
        <f t="shared" si="33"/>
        <v>0.65058462789893323</v>
      </c>
      <c r="AS278">
        <f t="shared" si="34"/>
        <v>3</v>
      </c>
    </row>
    <row r="279" spans="1:45">
      <c r="A279" t="str">
        <f>Deals_Raw!A279</f>
        <v>D00313</v>
      </c>
      <c r="B279">
        <f>Deals_Raw!B279</f>
        <v>45971</v>
      </c>
      <c r="C279" t="str">
        <f>Deals_Raw!C279</f>
        <v>C0082</v>
      </c>
      <c r="D279" t="str">
        <f>Deals_Raw!D279</f>
        <v>LEG-0082</v>
      </c>
      <c r="E279" t="str">
        <f>Deals_Raw!E279</f>
        <v>CT00171</v>
      </c>
      <c r="F279" t="str">
        <f>Deals_Raw!F279</f>
        <v>Technology</v>
      </c>
      <c r="G279" t="str">
        <f>Deals_Raw!G279</f>
        <v>Legal</v>
      </c>
      <c r="H279" t="str">
        <f>Deals_Raw!H279</f>
        <v>Midwest</v>
      </c>
      <c r="I279" t="str">
        <f>Deals_Raw!I279</f>
        <v>Midwest Commercial</v>
      </c>
      <c r="J279" t="str">
        <f>Deals_Raw!J279</f>
        <v>SMB</v>
      </c>
      <c r="K279" t="str">
        <f>Deals_Raw!K279</f>
        <v>No</v>
      </c>
      <c r="L279">
        <f>Deals_Raw!L279</f>
        <v>43282</v>
      </c>
      <c r="M279">
        <f>Deals_Raw!M279</f>
        <v>70</v>
      </c>
      <c r="N279" t="str">
        <f>Deals_Raw!N279</f>
        <v>Nexus Analytics</v>
      </c>
      <c r="O279" t="str">
        <f>Deals_Raw!O279</f>
        <v>Renewal</v>
      </c>
      <c r="P279">
        <f>Deals_Raw!P279</f>
        <v>0</v>
      </c>
      <c r="Q279">
        <f>Deals_Raw!Q279</f>
        <v>1</v>
      </c>
      <c r="R279">
        <f>Deals_Raw!R279</f>
        <v>91</v>
      </c>
      <c r="S279" t="str">
        <f>Deals_Raw!S279</f>
        <v>K. Nguyen</v>
      </c>
      <c r="T279" s="6">
        <f>Deals_Raw!T279</f>
        <v>75436.055228642392</v>
      </c>
      <c r="U279" s="8">
        <f>Deals_Raw!V279</f>
        <v>0.19500000000000001</v>
      </c>
      <c r="V279" s="8">
        <f>Deals_Raw!W279</f>
        <v>0.159</v>
      </c>
      <c r="W279" s="8">
        <f>Deals_Raw!X279</f>
        <v>-5.8000000000000003E-2</v>
      </c>
      <c r="X279" t="str">
        <f>Deals_Raw!Y279</f>
        <v>Verified competitor pressure</v>
      </c>
      <c r="Y279" t="str">
        <f>Deals_Raw!Z279</f>
        <v>Pricing Analyst</v>
      </c>
      <c r="Z279" s="6">
        <f>Deals_Raw!AA279</f>
        <v>63422.638733634674</v>
      </c>
      <c r="AA279" s="6">
        <f>Deals_Raw!AC279</f>
        <v>24648.3252282506</v>
      </c>
      <c r="AB279" s="6">
        <f>Deals_Raw!AD279</f>
        <v>38774.313505384074</v>
      </c>
      <c r="AC279" s="8">
        <f>Deals_Raw!AE279</f>
        <v>0.61136392744915935</v>
      </c>
      <c r="AD279" t="str">
        <f>Deals_Raw!AF279</f>
        <v>Won</v>
      </c>
      <c r="AE279" t="str">
        <f>Deals_Raw!AG279</f>
        <v>Yes</v>
      </c>
      <c r="AF279">
        <f>Deals_Raw!AH279</f>
        <v>0</v>
      </c>
      <c r="AG279" t="str">
        <f>Deals_Raw!AI279</f>
        <v>No</v>
      </c>
      <c r="AH279" s="6">
        <f>Deals_Raw!AJ279</f>
        <v>63422.638733634674</v>
      </c>
      <c r="AI279" s="6">
        <f>Deals_Raw!AK279</f>
        <v>38774.313505384074</v>
      </c>
      <c r="AJ279" t="str">
        <f>Deals_Raw!AL279</f>
        <v>Renewal of existing active contract</v>
      </c>
      <c r="AK279" s="9">
        <f t="shared" si="28"/>
        <v>7.3583333333333334</v>
      </c>
      <c r="AL279" s="8">
        <f t="shared" si="29"/>
        <v>0.84074702132029921</v>
      </c>
      <c r="AM279" s="8">
        <f t="shared" si="30"/>
        <v>3.6000000000000004E-2</v>
      </c>
      <c r="AN279" t="str">
        <f>IF(AC279&lt;Pricing_Policy!$C$10,"Below Floor","Pass")</f>
        <v>Pass</v>
      </c>
      <c r="AO279" t="str">
        <f>IF(V279&gt;Pricing_Policy!$C$7,"Exception","Standard")</f>
        <v>Standard</v>
      </c>
      <c r="AP279" t="str">
        <f t="shared" si="31"/>
        <v>Pass</v>
      </c>
      <c r="AQ279">
        <f t="shared" si="32"/>
        <v>1</v>
      </c>
      <c r="AR279" s="8">
        <f t="shared" si="33"/>
        <v>0.61136392744915935</v>
      </c>
      <c r="AS279">
        <f t="shared" si="34"/>
        <v>3</v>
      </c>
    </row>
    <row r="280" spans="1:45">
      <c r="A280" t="str">
        <f>Deals_Raw!A280</f>
        <v>D00315</v>
      </c>
      <c r="B280">
        <f>Deals_Raw!B280</f>
        <v>45471</v>
      </c>
      <c r="C280" t="str">
        <f>Deals_Raw!C280</f>
        <v>C0082</v>
      </c>
      <c r="D280" t="str">
        <f>Deals_Raw!D280</f>
        <v>LEG-0082</v>
      </c>
      <c r="E280" t="str">
        <f>Deals_Raw!E280</f>
        <v>CT00172</v>
      </c>
      <c r="F280" t="str">
        <f>Deals_Raw!F280</f>
        <v>Corporate</v>
      </c>
      <c r="G280" t="str">
        <f>Deals_Raw!G280</f>
        <v>Legal</v>
      </c>
      <c r="H280" t="str">
        <f>Deals_Raw!H280</f>
        <v>Midwest</v>
      </c>
      <c r="I280" t="str">
        <f>Deals_Raw!I280</f>
        <v>Midwest Commercial</v>
      </c>
      <c r="J280" t="str">
        <f>Deals_Raw!J280</f>
        <v>SMB</v>
      </c>
      <c r="K280" t="str">
        <f>Deals_Raw!K280</f>
        <v>No</v>
      </c>
      <c r="L280">
        <f>Deals_Raw!L280</f>
        <v>43282</v>
      </c>
      <c r="M280">
        <f>Deals_Raw!M280</f>
        <v>70</v>
      </c>
      <c r="N280" t="str">
        <f>Deals_Raw!N280</f>
        <v>Nexus Enterprise Suite</v>
      </c>
      <c r="O280" t="str">
        <f>Deals_Raw!O280</f>
        <v>Expansion</v>
      </c>
      <c r="P280" t="str">
        <f>Deals_Raw!P280</f>
        <v>Enterprise Upgrade</v>
      </c>
      <c r="Q280">
        <f>Deals_Raw!Q280</f>
        <v>1</v>
      </c>
      <c r="R280">
        <f>Deals_Raw!R280</f>
        <v>57</v>
      </c>
      <c r="S280" t="str">
        <f>Deals_Raw!S280</f>
        <v>D. Chen</v>
      </c>
      <c r="T280" s="6">
        <f>Deals_Raw!T280</f>
        <v>176492.72182807172</v>
      </c>
      <c r="U280" s="8">
        <f>Deals_Raw!V280</f>
        <v>0.13900000000000001</v>
      </c>
      <c r="V280" s="8">
        <f>Deals_Raw!W280</f>
        <v>0.1</v>
      </c>
      <c r="W280" s="8">
        <f>Deals_Raw!X280</f>
        <v>-3.7999999999999999E-2</v>
      </c>
      <c r="X280" t="str">
        <f>Deals_Raw!Y280</f>
        <v>Expansion opportunity</v>
      </c>
      <c r="Y280" t="str">
        <f>Deals_Raw!Z280</f>
        <v>Sales Manager</v>
      </c>
      <c r="Z280" s="6">
        <f>Deals_Raw!AA280</f>
        <v>158907.9246404591</v>
      </c>
      <c r="AA280" s="6">
        <f>Deals_Raw!AC280</f>
        <v>62621.052013002809</v>
      </c>
      <c r="AB280" s="6">
        <f>Deals_Raw!AD280</f>
        <v>96286.872627456294</v>
      </c>
      <c r="AC280" s="8">
        <f>Deals_Raw!AE280</f>
        <v>0.60592870270826615</v>
      </c>
      <c r="AD280" t="str">
        <f>Deals_Raw!AF280</f>
        <v>Won</v>
      </c>
      <c r="AE280">
        <f>Deals_Raw!AG280</f>
        <v>0</v>
      </c>
      <c r="AF280" t="str">
        <f>Deals_Raw!AH280</f>
        <v>Yes</v>
      </c>
      <c r="AG280" t="str">
        <f>Deals_Raw!AI280</f>
        <v>No</v>
      </c>
      <c r="AH280" s="6">
        <f>Deals_Raw!AJ280</f>
        <v>158907.9246404591</v>
      </c>
      <c r="AI280" s="6">
        <f>Deals_Raw!AK280</f>
        <v>96286.872627456294</v>
      </c>
      <c r="AJ280" t="str">
        <f>Deals_Raw!AL280</f>
        <v>Expansion allowed because contract was active</v>
      </c>
      <c r="AK280" s="9">
        <f t="shared" si="28"/>
        <v>5.9916666666666663</v>
      </c>
      <c r="AL280" s="8">
        <f t="shared" si="29"/>
        <v>0.90036531248726137</v>
      </c>
      <c r="AM280" s="8">
        <f t="shared" si="30"/>
        <v>3.9000000000000007E-2</v>
      </c>
      <c r="AN280" t="str">
        <f>IF(AC280&lt;Pricing_Policy!$C$10,"Below Floor","Pass")</f>
        <v>Pass</v>
      </c>
      <c r="AO280" t="str">
        <f>IF(V280&gt;Pricing_Policy!$C$7,"Exception","Standard")</f>
        <v>Standard</v>
      </c>
      <c r="AP280" t="str">
        <f t="shared" si="31"/>
        <v>Pass</v>
      </c>
      <c r="AQ280">
        <f t="shared" si="32"/>
        <v>1</v>
      </c>
      <c r="AR280" s="8">
        <f t="shared" si="33"/>
        <v>0.60592870270826615</v>
      </c>
      <c r="AS280">
        <f t="shared" si="34"/>
        <v>4</v>
      </c>
    </row>
    <row r="281" spans="1:45">
      <c r="A281" t="str">
        <f>Deals_Raw!A281</f>
        <v>D00316</v>
      </c>
      <c r="B281">
        <f>Deals_Raw!B281</f>
        <v>45597</v>
      </c>
      <c r="C281" t="str">
        <f>Deals_Raw!C281</f>
        <v>C0082</v>
      </c>
      <c r="D281" t="str">
        <f>Deals_Raw!D281</f>
        <v>LEG-0082</v>
      </c>
      <c r="E281" t="str">
        <f>Deals_Raw!E281</f>
        <v>CT00172</v>
      </c>
      <c r="F281" t="str">
        <f>Deals_Raw!F281</f>
        <v>Corporate</v>
      </c>
      <c r="G281" t="str">
        <f>Deals_Raw!G281</f>
        <v>Legal</v>
      </c>
      <c r="H281" t="str">
        <f>Deals_Raw!H281</f>
        <v>Midwest</v>
      </c>
      <c r="I281" t="str">
        <f>Deals_Raw!I281</f>
        <v>Midwest Commercial</v>
      </c>
      <c r="J281" t="str">
        <f>Deals_Raw!J281</f>
        <v>SMB</v>
      </c>
      <c r="K281" t="str">
        <f>Deals_Raw!K281</f>
        <v>No</v>
      </c>
      <c r="L281">
        <f>Deals_Raw!L281</f>
        <v>43282</v>
      </c>
      <c r="M281">
        <f>Deals_Raw!M281</f>
        <v>70</v>
      </c>
      <c r="N281" t="str">
        <f>Deals_Raw!N281</f>
        <v>Nexus Enterprise Suite</v>
      </c>
      <c r="O281" t="str">
        <f>Deals_Raw!O281</f>
        <v>Renewal</v>
      </c>
      <c r="P281">
        <f>Deals_Raw!P281</f>
        <v>0</v>
      </c>
      <c r="Q281">
        <f>Deals_Raw!Q281</f>
        <v>1</v>
      </c>
      <c r="R281">
        <f>Deals_Raw!R281</f>
        <v>57</v>
      </c>
      <c r="S281" t="str">
        <f>Deals_Raw!S281</f>
        <v>D. Chen</v>
      </c>
      <c r="T281" s="6">
        <f>Deals_Raw!T281</f>
        <v>189325.35644105551</v>
      </c>
      <c r="U281" s="8">
        <f>Deals_Raw!V281</f>
        <v>0.192</v>
      </c>
      <c r="V281" s="8">
        <f>Deals_Raw!W281</f>
        <v>0.17599999999999999</v>
      </c>
      <c r="W281" s="8">
        <f>Deals_Raw!X281</f>
        <v>0.09</v>
      </c>
      <c r="X281" t="str">
        <f>Deals_Raw!Y281</f>
        <v>Budget constraint</v>
      </c>
      <c r="Y281" t="str">
        <f>Deals_Raw!Z281</f>
        <v>Pricing Analyst</v>
      </c>
      <c r="Z281" s="6">
        <f>Deals_Raw!AA281</f>
        <v>156004.96528865941</v>
      </c>
      <c r="AA281" s="6">
        <f>Deals_Raw!AC281</f>
        <v>69812.986783802553</v>
      </c>
      <c r="AB281" s="6">
        <f>Deals_Raw!AD281</f>
        <v>86191.978504856859</v>
      </c>
      <c r="AC281" s="8">
        <f>Deals_Raw!AE281</f>
        <v>0.55249509748214709</v>
      </c>
      <c r="AD281" t="str">
        <f>Deals_Raw!AF281</f>
        <v>Won</v>
      </c>
      <c r="AE281" t="str">
        <f>Deals_Raw!AG281</f>
        <v>Yes</v>
      </c>
      <c r="AF281">
        <f>Deals_Raw!AH281</f>
        <v>0</v>
      </c>
      <c r="AG281" t="str">
        <f>Deals_Raw!AI281</f>
        <v>No</v>
      </c>
      <c r="AH281" s="6">
        <f>Deals_Raw!AJ281</f>
        <v>156004.96528865941</v>
      </c>
      <c r="AI281" s="6">
        <f>Deals_Raw!AK281</f>
        <v>86191.978504856859</v>
      </c>
      <c r="AJ281" t="str">
        <f>Deals_Raw!AL281</f>
        <v>Renewal of existing active contract</v>
      </c>
      <c r="AK281" s="9">
        <f t="shared" si="28"/>
        <v>6.333333333333333</v>
      </c>
      <c r="AL281" s="8">
        <f t="shared" si="29"/>
        <v>0.82400460361594485</v>
      </c>
      <c r="AM281" s="8">
        <f t="shared" si="30"/>
        <v>1.6000000000000014E-2</v>
      </c>
      <c r="AN281" t="str">
        <f>IF(AC281&lt;Pricing_Policy!$C$10,"Below Floor","Pass")</f>
        <v>Pass</v>
      </c>
      <c r="AO281" t="str">
        <f>IF(V281&gt;Pricing_Policy!$C$7,"Exception","Standard")</f>
        <v>Standard</v>
      </c>
      <c r="AP281" t="str">
        <f t="shared" si="31"/>
        <v>Pass</v>
      </c>
      <c r="AQ281">
        <f t="shared" si="32"/>
        <v>1</v>
      </c>
      <c r="AR281" s="8">
        <f t="shared" si="33"/>
        <v>0.55249509748214709</v>
      </c>
      <c r="AS281">
        <f t="shared" si="34"/>
        <v>4</v>
      </c>
    </row>
    <row r="282" spans="1:45">
      <c r="A282" t="str">
        <f>Deals_Raw!A282</f>
        <v>D00317</v>
      </c>
      <c r="B282">
        <f>Deals_Raw!B282</f>
        <v>45763</v>
      </c>
      <c r="C282" t="str">
        <f>Deals_Raw!C282</f>
        <v>C0082</v>
      </c>
      <c r="D282" t="str">
        <f>Deals_Raw!D282</f>
        <v>LEG-0082</v>
      </c>
      <c r="E282" t="str">
        <f>Deals_Raw!E282</f>
        <v>CT00172</v>
      </c>
      <c r="F282" t="str">
        <f>Deals_Raw!F282</f>
        <v>Corporate</v>
      </c>
      <c r="G282" t="str">
        <f>Deals_Raw!G282</f>
        <v>Legal</v>
      </c>
      <c r="H282" t="str">
        <f>Deals_Raw!H282</f>
        <v>Midwest</v>
      </c>
      <c r="I282" t="str">
        <f>Deals_Raw!I282</f>
        <v>Midwest Commercial</v>
      </c>
      <c r="J282" t="str">
        <f>Deals_Raw!J282</f>
        <v>SMB</v>
      </c>
      <c r="K282" t="str">
        <f>Deals_Raw!K282</f>
        <v>No</v>
      </c>
      <c r="L282">
        <f>Deals_Raw!L282</f>
        <v>43282</v>
      </c>
      <c r="M282">
        <f>Deals_Raw!M282</f>
        <v>70</v>
      </c>
      <c r="N282" t="str">
        <f>Deals_Raw!N282</f>
        <v>Nexus Enterprise Suite</v>
      </c>
      <c r="O282" t="str">
        <f>Deals_Raw!O282</f>
        <v>Expansion</v>
      </c>
      <c r="P282" t="str">
        <f>Deals_Raw!P282</f>
        <v>Multi-year Extension</v>
      </c>
      <c r="Q282">
        <f>Deals_Raw!Q282</f>
        <v>1</v>
      </c>
      <c r="R282">
        <f>Deals_Raw!R282</f>
        <v>78</v>
      </c>
      <c r="S282" t="str">
        <f>Deals_Raw!S282</f>
        <v>D. Chen</v>
      </c>
      <c r="T282" s="6">
        <f>Deals_Raw!T282</f>
        <v>220181.20400919134</v>
      </c>
      <c r="U282" s="8">
        <f>Deals_Raw!V282</f>
        <v>0.14199999999999999</v>
      </c>
      <c r="V282" s="8">
        <f>Deals_Raw!W282</f>
        <v>0.125</v>
      </c>
      <c r="W282" s="8">
        <f>Deals_Raw!X282</f>
        <v>-4.1000000000000002E-2</v>
      </c>
      <c r="X282" t="str">
        <f>Deals_Raw!Y282</f>
        <v>Expansion opportunity</v>
      </c>
      <c r="Y282" t="str">
        <f>Deals_Raw!Z282</f>
        <v>Pricing Analyst</v>
      </c>
      <c r="Z282" s="6">
        <f>Deals_Raw!AA282</f>
        <v>192762.32391479879</v>
      </c>
      <c r="AA282" s="6">
        <f>Deals_Raw!AC282</f>
        <v>77440.357801236692</v>
      </c>
      <c r="AB282" s="6">
        <f>Deals_Raw!AD282</f>
        <v>115321.9661135621</v>
      </c>
      <c r="AC282" s="8">
        <f>Deals_Raw!AE282</f>
        <v>0.59825988695039056</v>
      </c>
      <c r="AD282" t="str">
        <f>Deals_Raw!AF282</f>
        <v>Won</v>
      </c>
      <c r="AE282">
        <f>Deals_Raw!AG282</f>
        <v>0</v>
      </c>
      <c r="AF282" t="str">
        <f>Deals_Raw!AH282</f>
        <v>Yes</v>
      </c>
      <c r="AG282" t="str">
        <f>Deals_Raw!AI282</f>
        <v>No</v>
      </c>
      <c r="AH282" s="6">
        <f>Deals_Raw!AJ282</f>
        <v>192762.32391479879</v>
      </c>
      <c r="AI282" s="6">
        <f>Deals_Raw!AK282</f>
        <v>115321.9661135621</v>
      </c>
      <c r="AJ282" t="str">
        <f>Deals_Raw!AL282</f>
        <v>Expansion allowed because contract was active</v>
      </c>
      <c r="AK282" s="9">
        <f t="shared" si="28"/>
        <v>6.791666666666667</v>
      </c>
      <c r="AL282" s="8">
        <f t="shared" si="29"/>
        <v>0.87547129548238845</v>
      </c>
      <c r="AM282" s="8">
        <f t="shared" si="30"/>
        <v>1.6999999999999987E-2</v>
      </c>
      <c r="AN282" t="str">
        <f>IF(AC282&lt;Pricing_Policy!$C$10,"Below Floor","Pass")</f>
        <v>Pass</v>
      </c>
      <c r="AO282" t="str">
        <f>IF(V282&gt;Pricing_Policy!$C$7,"Exception","Standard")</f>
        <v>Standard</v>
      </c>
      <c r="AP282" t="str">
        <f t="shared" si="31"/>
        <v>Pass</v>
      </c>
      <c r="AQ282">
        <f t="shared" si="32"/>
        <v>1</v>
      </c>
      <c r="AR282" s="8">
        <f t="shared" si="33"/>
        <v>0.59825988695039056</v>
      </c>
      <c r="AS282">
        <f t="shared" si="34"/>
        <v>4</v>
      </c>
    </row>
    <row r="283" spans="1:45">
      <c r="A283" t="str">
        <f>Deals_Raw!A283</f>
        <v>D00318</v>
      </c>
      <c r="B283">
        <f>Deals_Raw!B283</f>
        <v>45962</v>
      </c>
      <c r="C283" t="str">
        <f>Deals_Raw!C283</f>
        <v>C0082</v>
      </c>
      <c r="D283" t="str">
        <f>Deals_Raw!D283</f>
        <v>LEG-0082</v>
      </c>
      <c r="E283" t="str">
        <f>Deals_Raw!E283</f>
        <v>CT00172</v>
      </c>
      <c r="F283" t="str">
        <f>Deals_Raw!F283</f>
        <v>Corporate</v>
      </c>
      <c r="G283" t="str">
        <f>Deals_Raw!G283</f>
        <v>Legal</v>
      </c>
      <c r="H283" t="str">
        <f>Deals_Raw!H283</f>
        <v>Midwest</v>
      </c>
      <c r="I283" t="str">
        <f>Deals_Raw!I283</f>
        <v>Midwest Commercial</v>
      </c>
      <c r="J283" t="str">
        <f>Deals_Raw!J283</f>
        <v>SMB</v>
      </c>
      <c r="K283" t="str">
        <f>Deals_Raw!K283</f>
        <v>No</v>
      </c>
      <c r="L283">
        <f>Deals_Raw!L283</f>
        <v>43282</v>
      </c>
      <c r="M283">
        <f>Deals_Raw!M283</f>
        <v>70</v>
      </c>
      <c r="N283" t="str">
        <f>Deals_Raw!N283</f>
        <v>Nexus Enterprise Suite</v>
      </c>
      <c r="O283" t="str">
        <f>Deals_Raw!O283</f>
        <v>Renewal</v>
      </c>
      <c r="P283">
        <f>Deals_Raw!P283</f>
        <v>0</v>
      </c>
      <c r="Q283">
        <f>Deals_Raw!Q283</f>
        <v>1</v>
      </c>
      <c r="R283">
        <f>Deals_Raw!R283</f>
        <v>78</v>
      </c>
      <c r="S283" t="str">
        <f>Deals_Raw!S283</f>
        <v>S. Rivera</v>
      </c>
      <c r="T283" s="6">
        <f>Deals_Raw!T283</f>
        <v>228773.90325906462</v>
      </c>
      <c r="U283" s="8">
        <f>Deals_Raw!V283</f>
        <v>0.153</v>
      </c>
      <c r="V283" s="8">
        <f>Deals_Raw!W283</f>
        <v>0.13400000000000001</v>
      </c>
      <c r="W283" s="8">
        <f>Deals_Raw!X283</f>
        <v>-3.0000000000000001E-3</v>
      </c>
      <c r="X283" t="str">
        <f>Deals_Raw!Y283</f>
        <v>Strategic logo opportunity</v>
      </c>
      <c r="Y283" t="str">
        <f>Deals_Raw!Z283</f>
        <v>Pricing Analyst</v>
      </c>
      <c r="Z283" s="6">
        <f>Deals_Raw!AA283</f>
        <v>198108.79693213769</v>
      </c>
      <c r="AA283" s="6">
        <f>Deals_Raw!AC283</f>
        <v>76531.340651581748</v>
      </c>
      <c r="AB283" s="6">
        <f>Deals_Raw!AD283</f>
        <v>121577.45628055594</v>
      </c>
      <c r="AC283" s="8">
        <f>Deals_Raw!AE283</f>
        <v>0.61369034673509415</v>
      </c>
      <c r="AD283" t="str">
        <f>Deals_Raw!AF283</f>
        <v>Won</v>
      </c>
      <c r="AE283" t="str">
        <f>Deals_Raw!AG283</f>
        <v>Yes</v>
      </c>
      <c r="AF283">
        <f>Deals_Raw!AH283</f>
        <v>0</v>
      </c>
      <c r="AG283" t="str">
        <f>Deals_Raw!AI283</f>
        <v>No</v>
      </c>
      <c r="AH283" s="6">
        <f>Deals_Raw!AJ283</f>
        <v>198108.79693213769</v>
      </c>
      <c r="AI283" s="6">
        <f>Deals_Raw!AK283</f>
        <v>121577.45628055594</v>
      </c>
      <c r="AJ283" t="str">
        <f>Deals_Raw!AL283</f>
        <v>Renewal of existing active contract</v>
      </c>
      <c r="AK283" s="9">
        <f t="shared" si="28"/>
        <v>7.333333333333333</v>
      </c>
      <c r="AL283" s="8">
        <f t="shared" si="29"/>
        <v>0.86595889701544482</v>
      </c>
      <c r="AM283" s="8">
        <f t="shared" si="30"/>
        <v>1.8999999999999989E-2</v>
      </c>
      <c r="AN283" t="str">
        <f>IF(AC283&lt;Pricing_Policy!$C$10,"Below Floor","Pass")</f>
        <v>Pass</v>
      </c>
      <c r="AO283" t="str">
        <f>IF(V283&gt;Pricing_Policy!$C$7,"Exception","Standard")</f>
        <v>Standard</v>
      </c>
      <c r="AP283" t="str">
        <f t="shared" si="31"/>
        <v>Pass</v>
      </c>
      <c r="AQ283">
        <f t="shared" si="32"/>
        <v>1</v>
      </c>
      <c r="AR283" s="8">
        <f t="shared" si="33"/>
        <v>0.61369034673509415</v>
      </c>
      <c r="AS283">
        <f t="shared" si="34"/>
        <v>4</v>
      </c>
    </row>
    <row r="284" spans="1:45">
      <c r="A284" t="str">
        <f>Deals_Raw!A284</f>
        <v>D00319</v>
      </c>
      <c r="B284">
        <f>Deals_Raw!B284</f>
        <v>45761</v>
      </c>
      <c r="C284" t="str">
        <f>Deals_Raw!C284</f>
        <v>C0083</v>
      </c>
      <c r="D284" t="str">
        <f>Deals_Raw!D284</f>
        <v>PUB-0083</v>
      </c>
      <c r="E284" t="str">
        <f>Deals_Raw!E284</f>
        <v>CT00173</v>
      </c>
      <c r="F284" t="str">
        <f>Deals_Raw!F284</f>
        <v>Finance</v>
      </c>
      <c r="G284" t="str">
        <f>Deals_Raw!G284</f>
        <v>Public Sector</v>
      </c>
      <c r="H284" t="str">
        <f>Deals_Raw!H284</f>
        <v>West</v>
      </c>
      <c r="I284" t="str">
        <f>Deals_Raw!I284</f>
        <v>West Commercial</v>
      </c>
      <c r="J284" t="str">
        <f>Deals_Raw!J284</f>
        <v>Mid-Market</v>
      </c>
      <c r="K284" t="str">
        <f>Deals_Raw!K284</f>
        <v>No</v>
      </c>
      <c r="L284">
        <f>Deals_Raw!L284</f>
        <v>43862</v>
      </c>
      <c r="M284">
        <f>Deals_Raw!M284</f>
        <v>85</v>
      </c>
      <c r="N284" t="str">
        <f>Deals_Raw!N284</f>
        <v>Nexus Analytics</v>
      </c>
      <c r="O284" t="str">
        <f>Deals_Raw!O284</f>
        <v>New Business</v>
      </c>
      <c r="P284">
        <f>Deals_Raw!P284</f>
        <v>0</v>
      </c>
      <c r="Q284">
        <f>Deals_Raw!Q284</f>
        <v>1</v>
      </c>
      <c r="R284">
        <f>Deals_Raw!R284</f>
        <v>155</v>
      </c>
      <c r="S284" t="str">
        <f>Deals_Raw!S284</f>
        <v>T. Brooks</v>
      </c>
      <c r="T284" s="6">
        <f>Deals_Raw!T284</f>
        <v>84543.054711284771</v>
      </c>
      <c r="U284" s="8">
        <f>Deals_Raw!V284</f>
        <v>0.17599999999999999</v>
      </c>
      <c r="V284" s="8">
        <f>Deals_Raw!W284</f>
        <v>0.115</v>
      </c>
      <c r="W284" s="8">
        <f>Deals_Raw!X284</f>
        <v>3.5000000000000003E-2</v>
      </c>
      <c r="X284" t="str">
        <f>Deals_Raw!Y284</f>
        <v>Procurement requirement</v>
      </c>
      <c r="Y284" t="str">
        <f>Deals_Raw!Z284</f>
        <v>Pricing Analyst</v>
      </c>
      <c r="Z284" s="6">
        <f>Deals_Raw!AA284</f>
        <v>74831.468005609742</v>
      </c>
      <c r="AA284" s="6">
        <f>Deals_Raw!AC284</f>
        <v>27811.184899601867</v>
      </c>
      <c r="AB284" s="6">
        <f>Deals_Raw!AD284</f>
        <v>47020.283106007875</v>
      </c>
      <c r="AC284" s="8">
        <f>Deals_Raw!AE284</f>
        <v>0.62834906703264193</v>
      </c>
      <c r="AD284" t="str">
        <f>Deals_Raw!AF284</f>
        <v>Lost</v>
      </c>
      <c r="AE284">
        <f>Deals_Raw!AG284</f>
        <v>0</v>
      </c>
      <c r="AF284">
        <f>Deals_Raw!AH284</f>
        <v>0</v>
      </c>
      <c r="AG284" t="str">
        <f>Deals_Raw!AI284</f>
        <v>No</v>
      </c>
      <c r="AH284" s="6">
        <f>Deals_Raw!AJ284</f>
        <v>0</v>
      </c>
      <c r="AI284" s="6">
        <f>Deals_Raw!AK284</f>
        <v>0</v>
      </c>
      <c r="AJ284" t="str">
        <f>Deals_Raw!AL284</f>
        <v>First purchase under this contract</v>
      </c>
      <c r="AK284" s="9">
        <f t="shared" si="28"/>
        <v>5.2027777777777775</v>
      </c>
      <c r="AL284" s="8">
        <f t="shared" si="29"/>
        <v>0.88512850950512523</v>
      </c>
      <c r="AM284" s="8">
        <f t="shared" si="30"/>
        <v>6.0999999999999985E-2</v>
      </c>
      <c r="AN284" t="str">
        <f>IF(AC284&lt;Pricing_Policy!$C$10,"Below Floor","Pass")</f>
        <v>Pass</v>
      </c>
      <c r="AO284" t="str">
        <f>IF(V284&gt;Pricing_Policy!$C$7,"Exception","Standard")</f>
        <v>Standard</v>
      </c>
      <c r="AP284" t="str">
        <f t="shared" si="31"/>
        <v>Pass</v>
      </c>
      <c r="AQ284">
        <f t="shared" si="32"/>
        <v>0</v>
      </c>
      <c r="AR284" s="8">
        <f t="shared" si="33"/>
        <v>0</v>
      </c>
      <c r="AS284">
        <f t="shared" si="34"/>
        <v>1</v>
      </c>
    </row>
    <row r="285" spans="1:45">
      <c r="A285" t="str">
        <f>Deals_Raw!A285</f>
        <v>D00320</v>
      </c>
      <c r="B285">
        <f>Deals_Raw!B285</f>
        <v>45807</v>
      </c>
      <c r="C285" t="str">
        <f>Deals_Raw!C285</f>
        <v>C0083</v>
      </c>
      <c r="D285" t="str">
        <f>Deals_Raw!D285</f>
        <v>PUB-0083</v>
      </c>
      <c r="E285" t="str">
        <f>Deals_Raw!E285</f>
        <v>CT00174</v>
      </c>
      <c r="F285" t="str">
        <f>Deals_Raw!F285</f>
        <v>Technology</v>
      </c>
      <c r="G285" t="str">
        <f>Deals_Raw!G285</f>
        <v>Public Sector</v>
      </c>
      <c r="H285" t="str">
        <f>Deals_Raw!H285</f>
        <v>West</v>
      </c>
      <c r="I285" t="str">
        <f>Deals_Raw!I285</f>
        <v>West Commercial</v>
      </c>
      <c r="J285" t="str">
        <f>Deals_Raw!J285</f>
        <v>Mid-Market</v>
      </c>
      <c r="K285" t="str">
        <f>Deals_Raw!K285</f>
        <v>No</v>
      </c>
      <c r="L285">
        <f>Deals_Raw!L285</f>
        <v>43862</v>
      </c>
      <c r="M285">
        <f>Deals_Raw!M285</f>
        <v>85</v>
      </c>
      <c r="N285" t="str">
        <f>Deals_Raw!N285</f>
        <v>Nexus AI Assistant</v>
      </c>
      <c r="O285" t="str">
        <f>Deals_Raw!O285</f>
        <v>Expansion</v>
      </c>
      <c r="P285" t="str">
        <f>Deals_Raw!P285</f>
        <v>Module Add-on</v>
      </c>
      <c r="Q285">
        <f>Deals_Raw!Q285</f>
        <v>3</v>
      </c>
      <c r="R285">
        <f>Deals_Raw!R285</f>
        <v>188</v>
      </c>
      <c r="S285" t="str">
        <f>Deals_Raw!S285</f>
        <v>D. Chen</v>
      </c>
      <c r="T285" s="6">
        <f>Deals_Raw!T285</f>
        <v>108657.64955895889</v>
      </c>
      <c r="U285" s="8">
        <f>Deals_Raw!V285</f>
        <v>8.4000000000000005E-2</v>
      </c>
      <c r="V285" s="8">
        <f>Deals_Raw!W285</f>
        <v>6.2E-2</v>
      </c>
      <c r="W285" s="8">
        <f>Deals_Raw!X285</f>
        <v>-3.5999999999999997E-2</v>
      </c>
      <c r="X285" t="str">
        <f>Deals_Raw!Y285</f>
        <v>Expansion opportunity</v>
      </c>
      <c r="Y285" t="str">
        <f>Deals_Raw!Z285</f>
        <v>Sales Manager</v>
      </c>
      <c r="Z285" s="6">
        <f>Deals_Raw!AA285</f>
        <v>101920.39630141809</v>
      </c>
      <c r="AA285" s="6">
        <f>Deals_Raw!AC285</f>
        <v>39161.774347402948</v>
      </c>
      <c r="AB285" s="6">
        <f>Deals_Raw!AD285</f>
        <v>62758.621954015143</v>
      </c>
      <c r="AC285" s="8">
        <f>Deals_Raw!AE285</f>
        <v>0.61576116490377042</v>
      </c>
      <c r="AD285" t="str">
        <f>Deals_Raw!AF285</f>
        <v>Won</v>
      </c>
      <c r="AE285">
        <f>Deals_Raw!AG285</f>
        <v>0</v>
      </c>
      <c r="AF285" t="str">
        <f>Deals_Raw!AH285</f>
        <v>Yes</v>
      </c>
      <c r="AG285" t="str">
        <f>Deals_Raw!AI285</f>
        <v>No</v>
      </c>
      <c r="AH285" s="6">
        <f>Deals_Raw!AJ285</f>
        <v>101920.39630141809</v>
      </c>
      <c r="AI285" s="6">
        <f>Deals_Raw!AK285</f>
        <v>62758.621954015143</v>
      </c>
      <c r="AJ285" t="str">
        <f>Deals_Raw!AL285</f>
        <v>Expansion allowed because contract was active</v>
      </c>
      <c r="AK285" s="9">
        <f t="shared" si="28"/>
        <v>5.3305555555555557</v>
      </c>
      <c r="AL285" s="8">
        <f t="shared" si="29"/>
        <v>0.93799559179784131</v>
      </c>
      <c r="AM285" s="8">
        <f t="shared" si="30"/>
        <v>2.2000000000000006E-2</v>
      </c>
      <c r="AN285" t="str">
        <f>IF(AC285&lt;Pricing_Policy!$C$10,"Below Floor","Pass")</f>
        <v>Pass</v>
      </c>
      <c r="AO285" t="str">
        <f>IF(V285&gt;Pricing_Policy!$C$7,"Exception","Standard")</f>
        <v>Standard</v>
      </c>
      <c r="AP285" t="str">
        <f t="shared" si="31"/>
        <v>Pass</v>
      </c>
      <c r="AQ285">
        <f t="shared" si="32"/>
        <v>1</v>
      </c>
      <c r="AR285" s="8">
        <f t="shared" si="33"/>
        <v>0.61576116490377042</v>
      </c>
      <c r="AS285">
        <f t="shared" si="34"/>
        <v>2</v>
      </c>
    </row>
    <row r="286" spans="1:45">
      <c r="A286" t="str">
        <f>Deals_Raw!A286</f>
        <v>D00321</v>
      </c>
      <c r="B286">
        <f>Deals_Raw!B286</f>
        <v>45993</v>
      </c>
      <c r="C286" t="str">
        <f>Deals_Raw!C286</f>
        <v>C0083</v>
      </c>
      <c r="D286" t="str">
        <f>Deals_Raw!D286</f>
        <v>PUB-0083</v>
      </c>
      <c r="E286" t="str">
        <f>Deals_Raw!E286</f>
        <v>CT00174</v>
      </c>
      <c r="F286" t="str">
        <f>Deals_Raw!F286</f>
        <v>Technology</v>
      </c>
      <c r="G286" t="str">
        <f>Deals_Raw!G286</f>
        <v>Public Sector</v>
      </c>
      <c r="H286" t="str">
        <f>Deals_Raw!H286</f>
        <v>West</v>
      </c>
      <c r="I286" t="str">
        <f>Deals_Raw!I286</f>
        <v>West Commercial</v>
      </c>
      <c r="J286" t="str">
        <f>Deals_Raw!J286</f>
        <v>Mid-Market</v>
      </c>
      <c r="K286" t="str">
        <f>Deals_Raw!K286</f>
        <v>No</v>
      </c>
      <c r="L286">
        <f>Deals_Raw!L286</f>
        <v>43862</v>
      </c>
      <c r="M286">
        <f>Deals_Raw!M286</f>
        <v>85</v>
      </c>
      <c r="N286" t="str">
        <f>Deals_Raw!N286</f>
        <v>Nexus AI Assistant</v>
      </c>
      <c r="O286" t="str">
        <f>Deals_Raw!O286</f>
        <v>Renewal</v>
      </c>
      <c r="P286">
        <f>Deals_Raw!P286</f>
        <v>0</v>
      </c>
      <c r="Q286">
        <f>Deals_Raw!Q286</f>
        <v>3</v>
      </c>
      <c r="R286">
        <f>Deals_Raw!R286</f>
        <v>188</v>
      </c>
      <c r="S286" t="str">
        <f>Deals_Raw!S286</f>
        <v>R. Singh</v>
      </c>
      <c r="T286" s="6">
        <f>Deals_Raw!T286</f>
        <v>113617.43049226404</v>
      </c>
      <c r="U286" s="8">
        <f>Deals_Raw!V286</f>
        <v>0.151</v>
      </c>
      <c r="V286" s="8">
        <f>Deals_Raw!W286</f>
        <v>0.113</v>
      </c>
      <c r="W286" s="8">
        <f>Deals_Raw!X286</f>
        <v>2.5000000000000001E-2</v>
      </c>
      <c r="X286" t="str">
        <f>Deals_Raw!Y286</f>
        <v>Renewal retention risk</v>
      </c>
      <c r="Y286" t="str">
        <f>Deals_Raw!Z286</f>
        <v>Pricing Analyst</v>
      </c>
      <c r="Z286" s="6">
        <f>Deals_Raw!AA286</f>
        <v>100828.50616750926</v>
      </c>
      <c r="AA286" s="6">
        <f>Deals_Raw!AC286</f>
        <v>41888.759558341109</v>
      </c>
      <c r="AB286" s="6">
        <f>Deals_Raw!AD286</f>
        <v>58939.746609168149</v>
      </c>
      <c r="AC286" s="8">
        <f>Deals_Raw!AE286</f>
        <v>0.58455439686123956</v>
      </c>
      <c r="AD286" t="str">
        <f>Deals_Raw!AF286</f>
        <v>Lost</v>
      </c>
      <c r="AE286" t="str">
        <f>Deals_Raw!AG286</f>
        <v>No</v>
      </c>
      <c r="AF286">
        <f>Deals_Raw!AH286</f>
        <v>0</v>
      </c>
      <c r="AG286" t="str">
        <f>Deals_Raw!AI286</f>
        <v>No</v>
      </c>
      <c r="AH286" s="6">
        <f>Deals_Raw!AJ286</f>
        <v>0</v>
      </c>
      <c r="AI286" s="6">
        <f>Deals_Raw!AK286</f>
        <v>0</v>
      </c>
      <c r="AJ286" t="str">
        <f>Deals_Raw!AL286</f>
        <v>Renewal of existing active contract</v>
      </c>
      <c r="AK286" s="9">
        <f t="shared" si="28"/>
        <v>5.8361111111111112</v>
      </c>
      <c r="AL286" s="8">
        <f t="shared" si="29"/>
        <v>0.88743871191818979</v>
      </c>
      <c r="AM286" s="8">
        <f t="shared" si="30"/>
        <v>3.7999999999999992E-2</v>
      </c>
      <c r="AN286" t="str">
        <f>IF(AC286&lt;Pricing_Policy!$C$10,"Below Floor","Pass")</f>
        <v>Pass</v>
      </c>
      <c r="AO286" t="str">
        <f>IF(V286&gt;Pricing_Policy!$C$7,"Exception","Standard")</f>
        <v>Standard</v>
      </c>
      <c r="AP286" t="str">
        <f t="shared" si="31"/>
        <v>Pass</v>
      </c>
      <c r="AQ286">
        <f t="shared" si="32"/>
        <v>0</v>
      </c>
      <c r="AR286" s="8">
        <f t="shared" si="33"/>
        <v>0</v>
      </c>
      <c r="AS286">
        <f t="shared" si="34"/>
        <v>2</v>
      </c>
    </row>
    <row r="287" spans="1:45">
      <c r="A287" t="str">
        <f>Deals_Raw!A287</f>
        <v>D00323</v>
      </c>
      <c r="B287">
        <f>Deals_Raw!B287</f>
        <v>45495</v>
      </c>
      <c r="C287" t="str">
        <f>Deals_Raw!C287</f>
        <v>C0084</v>
      </c>
      <c r="D287" t="str">
        <f>Deals_Raw!D287</f>
        <v>HEA-0084</v>
      </c>
      <c r="E287" t="str">
        <f>Deals_Raw!E287</f>
        <v>CT00175</v>
      </c>
      <c r="F287" t="str">
        <f>Deals_Raw!F287</f>
        <v>Operations</v>
      </c>
      <c r="G287" t="str">
        <f>Deals_Raw!G287</f>
        <v>Healthcare</v>
      </c>
      <c r="H287" t="str">
        <f>Deals_Raw!H287</f>
        <v>Northeast</v>
      </c>
      <c r="I287" t="str">
        <f>Deals_Raw!I287</f>
        <v>Northeast Commercial</v>
      </c>
      <c r="J287" t="str">
        <f>Deals_Raw!J287</f>
        <v>Mid-Market</v>
      </c>
      <c r="K287" t="str">
        <f>Deals_Raw!K287</f>
        <v>No</v>
      </c>
      <c r="L287">
        <f>Deals_Raw!L287</f>
        <v>44409</v>
      </c>
      <c r="M287">
        <f>Deals_Raw!M287</f>
        <v>92</v>
      </c>
      <c r="N287" t="str">
        <f>Deals_Raw!N287</f>
        <v>Nexus Insights</v>
      </c>
      <c r="O287" t="str">
        <f>Deals_Raw!O287</f>
        <v>Renewal</v>
      </c>
      <c r="P287">
        <f>Deals_Raw!P287</f>
        <v>0</v>
      </c>
      <c r="Q287">
        <f>Deals_Raw!Q287</f>
        <v>1</v>
      </c>
      <c r="R287">
        <f>Deals_Raw!R287</f>
        <v>79</v>
      </c>
      <c r="S287" t="str">
        <f>Deals_Raw!S287</f>
        <v>T. Brooks</v>
      </c>
      <c r="T287" s="6">
        <f>Deals_Raw!T287</f>
        <v>35228.386981992277</v>
      </c>
      <c r="U287" s="8">
        <f>Deals_Raw!V287</f>
        <v>0.191</v>
      </c>
      <c r="V287" s="8">
        <f>Deals_Raw!W287</f>
        <v>0.155</v>
      </c>
      <c r="W287" s="8">
        <f>Deals_Raw!X287</f>
        <v>-7.0000000000000007E-2</v>
      </c>
      <c r="X287" t="str">
        <f>Deals_Raw!Y287</f>
        <v>Renewal retention risk</v>
      </c>
      <c r="Y287" t="str">
        <f>Deals_Raw!Z287</f>
        <v>Pricing Analyst</v>
      </c>
      <c r="Z287" s="6">
        <f>Deals_Raw!AA287</f>
        <v>29779.254917722479</v>
      </c>
      <c r="AA287" s="6">
        <f>Deals_Raw!AC287</f>
        <v>9681.5752810319991</v>
      </c>
      <c r="AB287" s="6">
        <f>Deals_Raw!AD287</f>
        <v>20097.679636690482</v>
      </c>
      <c r="AC287" s="8">
        <f>Deals_Raw!AE287</f>
        <v>0.67488859920164701</v>
      </c>
      <c r="AD287" t="str">
        <f>Deals_Raw!AF287</f>
        <v>Won</v>
      </c>
      <c r="AE287" t="str">
        <f>Deals_Raw!AG287</f>
        <v>Yes</v>
      </c>
      <c r="AF287">
        <f>Deals_Raw!AH287</f>
        <v>0</v>
      </c>
      <c r="AG287" t="str">
        <f>Deals_Raw!AI287</f>
        <v>No</v>
      </c>
      <c r="AH287" s="6">
        <f>Deals_Raw!AJ287</f>
        <v>29779.254917722479</v>
      </c>
      <c r="AI287" s="6">
        <f>Deals_Raw!AK287</f>
        <v>20097.679636690482</v>
      </c>
      <c r="AJ287" t="str">
        <f>Deals_Raw!AL287</f>
        <v>Renewal of existing active contract</v>
      </c>
      <c r="AK287" s="9">
        <f t="shared" si="28"/>
        <v>2.9750000000000001</v>
      </c>
      <c r="AL287" s="8">
        <f t="shared" si="29"/>
        <v>0.84531985335987037</v>
      </c>
      <c r="AM287" s="8">
        <f t="shared" si="30"/>
        <v>3.6000000000000004E-2</v>
      </c>
      <c r="AN287" t="str">
        <f>IF(AC287&lt;Pricing_Policy!$C$10,"Below Floor","Pass")</f>
        <v>Pass</v>
      </c>
      <c r="AO287" t="str">
        <f>IF(V287&gt;Pricing_Policy!$C$7,"Exception","Standard")</f>
        <v>Standard</v>
      </c>
      <c r="AP287" t="str">
        <f t="shared" si="31"/>
        <v>Pass</v>
      </c>
      <c r="AQ287">
        <f t="shared" si="32"/>
        <v>1</v>
      </c>
      <c r="AR287" s="8">
        <f t="shared" si="33"/>
        <v>0.67488859920164701</v>
      </c>
      <c r="AS287">
        <f t="shared" si="34"/>
        <v>2</v>
      </c>
    </row>
    <row r="288" spans="1:45">
      <c r="A288" t="str">
        <f>Deals_Raw!A288</f>
        <v>D00324</v>
      </c>
      <c r="B288">
        <f>Deals_Raw!B288</f>
        <v>45860</v>
      </c>
      <c r="C288" t="str">
        <f>Deals_Raw!C288</f>
        <v>C0084</v>
      </c>
      <c r="D288" t="str">
        <f>Deals_Raw!D288</f>
        <v>HEA-0084</v>
      </c>
      <c r="E288" t="str">
        <f>Deals_Raw!E288</f>
        <v>CT00175</v>
      </c>
      <c r="F288" t="str">
        <f>Deals_Raw!F288</f>
        <v>Operations</v>
      </c>
      <c r="G288" t="str">
        <f>Deals_Raw!G288</f>
        <v>Healthcare</v>
      </c>
      <c r="H288" t="str">
        <f>Deals_Raw!H288</f>
        <v>Northeast</v>
      </c>
      <c r="I288" t="str">
        <f>Deals_Raw!I288</f>
        <v>Northeast Commercial</v>
      </c>
      <c r="J288" t="str">
        <f>Deals_Raw!J288</f>
        <v>Mid-Market</v>
      </c>
      <c r="K288" t="str">
        <f>Deals_Raw!K288</f>
        <v>No</v>
      </c>
      <c r="L288">
        <f>Deals_Raw!L288</f>
        <v>44409</v>
      </c>
      <c r="M288">
        <f>Deals_Raw!M288</f>
        <v>92</v>
      </c>
      <c r="N288" t="str">
        <f>Deals_Raw!N288</f>
        <v>Nexus Insights</v>
      </c>
      <c r="O288" t="str">
        <f>Deals_Raw!O288</f>
        <v>Renewal</v>
      </c>
      <c r="P288">
        <f>Deals_Raw!P288</f>
        <v>0</v>
      </c>
      <c r="Q288">
        <f>Deals_Raw!Q288</f>
        <v>1</v>
      </c>
      <c r="R288">
        <f>Deals_Raw!R288</f>
        <v>79</v>
      </c>
      <c r="S288" t="str">
        <f>Deals_Raw!S288</f>
        <v>R. Singh</v>
      </c>
      <c r="T288" s="6">
        <f>Deals_Raw!T288</f>
        <v>37749.160070989114</v>
      </c>
      <c r="U288" s="8">
        <f>Deals_Raw!V288</f>
        <v>0.19600000000000001</v>
      </c>
      <c r="V288" s="8">
        <f>Deals_Raw!W288</f>
        <v>0.183</v>
      </c>
      <c r="W288" s="8">
        <f>Deals_Raw!X288</f>
        <v>-8.9999999999999993E-3</v>
      </c>
      <c r="X288" t="str">
        <f>Deals_Raw!Y288</f>
        <v>Strategic logo opportunity</v>
      </c>
      <c r="Y288" t="str">
        <f>Deals_Raw!Z288</f>
        <v>Pricing Analyst</v>
      </c>
      <c r="Z288" s="6">
        <f>Deals_Raw!AA288</f>
        <v>30822.443765892232</v>
      </c>
      <c r="AA288" s="6">
        <f>Deals_Raw!AC288</f>
        <v>9219.8809108917503</v>
      </c>
      <c r="AB288" s="6">
        <f>Deals_Raw!AD288</f>
        <v>21602.562855000484</v>
      </c>
      <c r="AC288" s="8">
        <f>Deals_Raw!AE288</f>
        <v>0.70087119045718349</v>
      </c>
      <c r="AD288" t="str">
        <f>Deals_Raw!AF288</f>
        <v>Won</v>
      </c>
      <c r="AE288" t="str">
        <f>Deals_Raw!AG288</f>
        <v>Yes</v>
      </c>
      <c r="AF288">
        <f>Deals_Raw!AH288</f>
        <v>0</v>
      </c>
      <c r="AG288" t="str">
        <f>Deals_Raw!AI288</f>
        <v>No</v>
      </c>
      <c r="AH288" s="6">
        <f>Deals_Raw!AJ288</f>
        <v>30822.443765892232</v>
      </c>
      <c r="AI288" s="6">
        <f>Deals_Raw!AK288</f>
        <v>21602.562855000484</v>
      </c>
      <c r="AJ288" t="str">
        <f>Deals_Raw!AL288</f>
        <v>Renewal of existing active contract</v>
      </c>
      <c r="AK288" s="9">
        <f t="shared" si="28"/>
        <v>3.9750000000000001</v>
      </c>
      <c r="AL288" s="8">
        <f t="shared" si="29"/>
        <v>0.81650674367135967</v>
      </c>
      <c r="AM288" s="8">
        <f t="shared" si="30"/>
        <v>1.3000000000000012E-2</v>
      </c>
      <c r="AN288" t="str">
        <f>IF(AC288&lt;Pricing_Policy!$C$10,"Below Floor","Pass")</f>
        <v>Pass</v>
      </c>
      <c r="AO288" t="str">
        <f>IF(V288&gt;Pricing_Policy!$C$7,"Exception","Standard")</f>
        <v>Standard</v>
      </c>
      <c r="AP288" t="str">
        <f t="shared" si="31"/>
        <v>Pass</v>
      </c>
      <c r="AQ288">
        <f t="shared" si="32"/>
        <v>1</v>
      </c>
      <c r="AR288" s="8">
        <f t="shared" si="33"/>
        <v>0.70087119045718349</v>
      </c>
      <c r="AS288">
        <f t="shared" si="34"/>
        <v>2</v>
      </c>
    </row>
    <row r="289" spans="1:45">
      <c r="A289" t="str">
        <f>Deals_Raw!A289</f>
        <v>D00325</v>
      </c>
      <c r="B289">
        <f>Deals_Raw!B289</f>
        <v>45435</v>
      </c>
      <c r="C289" t="str">
        <f>Deals_Raw!C289</f>
        <v>C0085</v>
      </c>
      <c r="D289" t="str">
        <f>Deals_Raw!D289</f>
        <v>HEA-0085</v>
      </c>
      <c r="E289" t="str">
        <f>Deals_Raw!E289</f>
        <v>CT00176</v>
      </c>
      <c r="F289" t="str">
        <f>Deals_Raw!F289</f>
        <v>Technology</v>
      </c>
      <c r="G289" t="str">
        <f>Deals_Raw!G289</f>
        <v>Healthcare</v>
      </c>
      <c r="H289" t="str">
        <f>Deals_Raw!H289</f>
        <v>Northeast</v>
      </c>
      <c r="I289" t="str">
        <f>Deals_Raw!I289</f>
        <v>Northeast Commercial</v>
      </c>
      <c r="J289" t="str">
        <f>Deals_Raw!J289</f>
        <v>SMB</v>
      </c>
      <c r="K289" t="str">
        <f>Deals_Raw!K289</f>
        <v>No</v>
      </c>
      <c r="L289">
        <f>Deals_Raw!L289</f>
        <v>44621</v>
      </c>
      <c r="M289">
        <f>Deals_Raw!M289</f>
        <v>57</v>
      </c>
      <c r="N289" t="str">
        <f>Deals_Raw!N289</f>
        <v>Nexus Insights</v>
      </c>
      <c r="O289" t="str">
        <f>Deals_Raw!O289</f>
        <v>Expansion</v>
      </c>
      <c r="P289" t="str">
        <f>Deals_Raw!P289</f>
        <v>AI Add-on</v>
      </c>
      <c r="Q289">
        <f>Deals_Raw!Q289</f>
        <v>1</v>
      </c>
      <c r="R289">
        <f>Deals_Raw!R289</f>
        <v>35</v>
      </c>
      <c r="S289" t="str">
        <f>Deals_Raw!S289</f>
        <v>R. Singh</v>
      </c>
      <c r="T289" s="6">
        <f>Deals_Raw!T289</f>
        <v>35348.502606950715</v>
      </c>
      <c r="U289" s="8">
        <f>Deals_Raw!V289</f>
        <v>7.0999999999999994E-2</v>
      </c>
      <c r="V289" s="8">
        <f>Deals_Raw!W289</f>
        <v>4.9000000000000002E-2</v>
      </c>
      <c r="W289" s="8">
        <f>Deals_Raw!X289</f>
        <v>-2.5000000000000001E-2</v>
      </c>
      <c r="X289" t="str">
        <f>Deals_Raw!Y289</f>
        <v>Expansion opportunity</v>
      </c>
      <c r="Y289" t="str">
        <f>Deals_Raw!Z289</f>
        <v>Sales Manager</v>
      </c>
      <c r="Z289" s="6">
        <f>Deals_Raw!AA289</f>
        <v>33605.263579008657</v>
      </c>
      <c r="AA289" s="6">
        <f>Deals_Raw!AC289</f>
        <v>11283.206642708119</v>
      </c>
      <c r="AB289" s="6">
        <f>Deals_Raw!AD289</f>
        <v>22322.056936300538</v>
      </c>
      <c r="AC289" s="8">
        <f>Deals_Raw!AE289</f>
        <v>0.66424287623334954</v>
      </c>
      <c r="AD289" t="str">
        <f>Deals_Raw!AF289</f>
        <v>Won</v>
      </c>
      <c r="AE289">
        <f>Deals_Raw!AG289</f>
        <v>0</v>
      </c>
      <c r="AF289" t="str">
        <f>Deals_Raw!AH289</f>
        <v>Yes</v>
      </c>
      <c r="AG289" t="str">
        <f>Deals_Raw!AI289</f>
        <v>No</v>
      </c>
      <c r="AH289" s="6">
        <f>Deals_Raw!AJ289</f>
        <v>33605.263579008657</v>
      </c>
      <c r="AI289" s="6">
        <f>Deals_Raw!AK289</f>
        <v>22322.056936300538</v>
      </c>
      <c r="AJ289" t="str">
        <f>Deals_Raw!AL289</f>
        <v>Expansion allowed because contract was active</v>
      </c>
      <c r="AK289" s="9">
        <f t="shared" si="28"/>
        <v>2.2277777777777779</v>
      </c>
      <c r="AL289" s="8">
        <f t="shared" si="29"/>
        <v>0.95068421858414798</v>
      </c>
      <c r="AM289" s="8">
        <f t="shared" si="30"/>
        <v>2.1999999999999992E-2</v>
      </c>
      <c r="AN289" t="str">
        <f>IF(AC289&lt;Pricing_Policy!$C$10,"Below Floor","Pass")</f>
        <v>Pass</v>
      </c>
      <c r="AO289" t="str">
        <f>IF(V289&gt;Pricing_Policy!$C$7,"Exception","Standard")</f>
        <v>Standard</v>
      </c>
      <c r="AP289" t="str">
        <f t="shared" si="31"/>
        <v>Pass</v>
      </c>
      <c r="AQ289">
        <f t="shared" si="32"/>
        <v>1</v>
      </c>
      <c r="AR289" s="8">
        <f t="shared" si="33"/>
        <v>0.66424287623334954</v>
      </c>
      <c r="AS289">
        <f t="shared" si="34"/>
        <v>3</v>
      </c>
    </row>
    <row r="290" spans="1:45">
      <c r="A290" t="str">
        <f>Deals_Raw!A290</f>
        <v>D00326</v>
      </c>
      <c r="B290">
        <f>Deals_Raw!B290</f>
        <v>45542</v>
      </c>
      <c r="C290" t="str">
        <f>Deals_Raw!C290</f>
        <v>C0085</v>
      </c>
      <c r="D290" t="str">
        <f>Deals_Raw!D290</f>
        <v>HEA-0085</v>
      </c>
      <c r="E290" t="str">
        <f>Deals_Raw!E290</f>
        <v>CT00176</v>
      </c>
      <c r="F290" t="str">
        <f>Deals_Raw!F290</f>
        <v>Technology</v>
      </c>
      <c r="G290" t="str">
        <f>Deals_Raw!G290</f>
        <v>Healthcare</v>
      </c>
      <c r="H290" t="str">
        <f>Deals_Raw!H290</f>
        <v>Northeast</v>
      </c>
      <c r="I290" t="str">
        <f>Deals_Raw!I290</f>
        <v>Northeast Commercial</v>
      </c>
      <c r="J290" t="str">
        <f>Deals_Raw!J290</f>
        <v>SMB</v>
      </c>
      <c r="K290" t="str">
        <f>Deals_Raw!K290</f>
        <v>No</v>
      </c>
      <c r="L290">
        <f>Deals_Raw!L290</f>
        <v>44621</v>
      </c>
      <c r="M290">
        <f>Deals_Raw!M290</f>
        <v>57</v>
      </c>
      <c r="N290" t="str">
        <f>Deals_Raw!N290</f>
        <v>Nexus Insights</v>
      </c>
      <c r="O290" t="str">
        <f>Deals_Raw!O290</f>
        <v>Renewal</v>
      </c>
      <c r="P290">
        <f>Deals_Raw!P290</f>
        <v>0</v>
      </c>
      <c r="Q290">
        <f>Deals_Raw!Q290</f>
        <v>1</v>
      </c>
      <c r="R290">
        <f>Deals_Raw!R290</f>
        <v>35</v>
      </c>
      <c r="S290" t="str">
        <f>Deals_Raw!S290</f>
        <v>A. Patel</v>
      </c>
      <c r="T290" s="6">
        <f>Deals_Raw!T290</f>
        <v>37346.701451814108</v>
      </c>
      <c r="U290" s="8">
        <f>Deals_Raw!V290</f>
        <v>9.7000000000000003E-2</v>
      </c>
      <c r="V290" s="8">
        <f>Deals_Raw!W290</f>
        <v>0.05</v>
      </c>
      <c r="W290" s="8">
        <f>Deals_Raw!X290</f>
        <v>-3.5999999999999997E-2</v>
      </c>
      <c r="X290" t="str">
        <f>Deals_Raw!Y290</f>
        <v>Renewal retention risk</v>
      </c>
      <c r="Y290" t="str">
        <f>Deals_Raw!Z290</f>
        <v>Sales Manager</v>
      </c>
      <c r="Z290" s="6">
        <f>Deals_Raw!AA290</f>
        <v>35483.731664350147</v>
      </c>
      <c r="AA290" s="6">
        <f>Deals_Raw!AC290</f>
        <v>10346.197390829631</v>
      </c>
      <c r="AB290" s="6">
        <f>Deals_Raw!AD290</f>
        <v>25137.534273520516</v>
      </c>
      <c r="AC290" s="8">
        <f>Deals_Raw!AE290</f>
        <v>0.70842420158350294</v>
      </c>
      <c r="AD290" t="str">
        <f>Deals_Raw!AF290</f>
        <v>Won</v>
      </c>
      <c r="AE290" t="str">
        <f>Deals_Raw!AG290</f>
        <v>Yes</v>
      </c>
      <c r="AF290">
        <f>Deals_Raw!AH290</f>
        <v>0</v>
      </c>
      <c r="AG290" t="str">
        <f>Deals_Raw!AI290</f>
        <v>No</v>
      </c>
      <c r="AH290" s="6">
        <f>Deals_Raw!AJ290</f>
        <v>35483.731664350147</v>
      </c>
      <c r="AI290" s="6">
        <f>Deals_Raw!AK290</f>
        <v>25137.534273520516</v>
      </c>
      <c r="AJ290" t="str">
        <f>Deals_Raw!AL290</f>
        <v>Renewal of existing active contract</v>
      </c>
      <c r="AK290" s="9">
        <f t="shared" si="28"/>
        <v>2.5166666666666666</v>
      </c>
      <c r="AL290" s="8">
        <f t="shared" si="29"/>
        <v>0.9501168854264781</v>
      </c>
      <c r="AM290" s="8">
        <f t="shared" si="30"/>
        <v>4.7E-2</v>
      </c>
      <c r="AN290" t="str">
        <f>IF(AC290&lt;Pricing_Policy!$C$10,"Below Floor","Pass")</f>
        <v>Pass</v>
      </c>
      <c r="AO290" t="str">
        <f>IF(V290&gt;Pricing_Policy!$C$7,"Exception","Standard")</f>
        <v>Standard</v>
      </c>
      <c r="AP290" t="str">
        <f t="shared" si="31"/>
        <v>Pass</v>
      </c>
      <c r="AQ290">
        <f t="shared" si="32"/>
        <v>1</v>
      </c>
      <c r="AR290" s="8">
        <f t="shared" si="33"/>
        <v>0.70842420158350294</v>
      </c>
      <c r="AS290">
        <f t="shared" si="34"/>
        <v>3</v>
      </c>
    </row>
    <row r="291" spans="1:45">
      <c r="A291" t="str">
        <f>Deals_Raw!A291</f>
        <v>D00327</v>
      </c>
      <c r="B291">
        <f>Deals_Raw!B291</f>
        <v>45907</v>
      </c>
      <c r="C291" t="str">
        <f>Deals_Raw!C291</f>
        <v>C0085</v>
      </c>
      <c r="D291" t="str">
        <f>Deals_Raw!D291</f>
        <v>HEA-0085</v>
      </c>
      <c r="E291" t="str">
        <f>Deals_Raw!E291</f>
        <v>CT00176</v>
      </c>
      <c r="F291" t="str">
        <f>Deals_Raw!F291</f>
        <v>Technology</v>
      </c>
      <c r="G291" t="str">
        <f>Deals_Raw!G291</f>
        <v>Healthcare</v>
      </c>
      <c r="H291" t="str">
        <f>Deals_Raw!H291</f>
        <v>Northeast</v>
      </c>
      <c r="I291" t="str">
        <f>Deals_Raw!I291</f>
        <v>Northeast Commercial</v>
      </c>
      <c r="J291" t="str">
        <f>Deals_Raw!J291</f>
        <v>SMB</v>
      </c>
      <c r="K291" t="str">
        <f>Deals_Raw!K291</f>
        <v>No</v>
      </c>
      <c r="L291">
        <f>Deals_Raw!L291</f>
        <v>44621</v>
      </c>
      <c r="M291">
        <f>Deals_Raw!M291</f>
        <v>57</v>
      </c>
      <c r="N291" t="str">
        <f>Deals_Raw!N291</f>
        <v>Nexus Insights</v>
      </c>
      <c r="O291" t="str">
        <f>Deals_Raw!O291</f>
        <v>Renewal</v>
      </c>
      <c r="P291">
        <f>Deals_Raw!P291</f>
        <v>0</v>
      </c>
      <c r="Q291">
        <f>Deals_Raw!Q291</f>
        <v>1</v>
      </c>
      <c r="R291">
        <f>Deals_Raw!R291</f>
        <v>35</v>
      </c>
      <c r="S291" t="str">
        <f>Deals_Raw!S291</f>
        <v>D. Chen</v>
      </c>
      <c r="T291" s="6">
        <f>Deals_Raw!T291</f>
        <v>39684.973724556563</v>
      </c>
      <c r="U291" s="8">
        <f>Deals_Raw!V291</f>
        <v>0.13100000000000001</v>
      </c>
      <c r="V291" s="8">
        <f>Deals_Raw!W291</f>
        <v>0.10299999999999999</v>
      </c>
      <c r="W291" s="8">
        <f>Deals_Raw!X291</f>
        <v>8.9999999999999993E-3</v>
      </c>
      <c r="X291" t="str">
        <f>Deals_Raw!Y291</f>
        <v>Renewal retention risk</v>
      </c>
      <c r="Y291" t="str">
        <f>Deals_Raw!Z291</f>
        <v>Pricing Analyst</v>
      </c>
      <c r="Z291" s="6">
        <f>Deals_Raw!AA291</f>
        <v>35582.131564648625</v>
      </c>
      <c r="AA291" s="6">
        <f>Deals_Raw!AC291</f>
        <v>10688.659876210693</v>
      </c>
      <c r="AB291" s="6">
        <f>Deals_Raw!AD291</f>
        <v>24893.47168843793</v>
      </c>
      <c r="AC291" s="8">
        <f>Deals_Raw!AE291</f>
        <v>0.69960597057569096</v>
      </c>
      <c r="AD291" t="str">
        <f>Deals_Raw!AF291</f>
        <v>Won</v>
      </c>
      <c r="AE291" t="str">
        <f>Deals_Raw!AG291</f>
        <v>Yes</v>
      </c>
      <c r="AF291">
        <f>Deals_Raw!AH291</f>
        <v>0</v>
      </c>
      <c r="AG291" t="str">
        <f>Deals_Raw!AI291</f>
        <v>No</v>
      </c>
      <c r="AH291" s="6">
        <f>Deals_Raw!AJ291</f>
        <v>35582.131564648625</v>
      </c>
      <c r="AI291" s="6">
        <f>Deals_Raw!AK291</f>
        <v>24893.47168843793</v>
      </c>
      <c r="AJ291" t="str">
        <f>Deals_Raw!AL291</f>
        <v>Renewal of existing active contract</v>
      </c>
      <c r="AK291" s="9">
        <f t="shared" si="28"/>
        <v>3.5166666666666666</v>
      </c>
      <c r="AL291" s="8">
        <f t="shared" si="29"/>
        <v>0.89661471900209044</v>
      </c>
      <c r="AM291" s="8">
        <f t="shared" si="30"/>
        <v>2.8000000000000011E-2</v>
      </c>
      <c r="AN291" t="str">
        <f>IF(AC291&lt;Pricing_Policy!$C$10,"Below Floor","Pass")</f>
        <v>Pass</v>
      </c>
      <c r="AO291" t="str">
        <f>IF(V291&gt;Pricing_Policy!$C$7,"Exception","Standard")</f>
        <v>Standard</v>
      </c>
      <c r="AP291" t="str">
        <f t="shared" si="31"/>
        <v>Pass</v>
      </c>
      <c r="AQ291">
        <f t="shared" si="32"/>
        <v>1</v>
      </c>
      <c r="AR291" s="8">
        <f t="shared" si="33"/>
        <v>0.69960597057569096</v>
      </c>
      <c r="AS291">
        <f t="shared" si="34"/>
        <v>3</v>
      </c>
    </row>
    <row r="292" spans="1:45">
      <c r="A292" t="str">
        <f>Deals_Raw!A292</f>
        <v>D00329</v>
      </c>
      <c r="B292">
        <f>Deals_Raw!B292</f>
        <v>45601</v>
      </c>
      <c r="C292" t="str">
        <f>Deals_Raw!C292</f>
        <v>C0085</v>
      </c>
      <c r="D292" t="str">
        <f>Deals_Raw!D292</f>
        <v>HEA-0085</v>
      </c>
      <c r="E292" t="str">
        <f>Deals_Raw!E292</f>
        <v>CT00177</v>
      </c>
      <c r="F292" t="str">
        <f>Deals_Raw!F292</f>
        <v>Finance</v>
      </c>
      <c r="G292" t="str">
        <f>Deals_Raw!G292</f>
        <v>Healthcare</v>
      </c>
      <c r="H292" t="str">
        <f>Deals_Raw!H292</f>
        <v>Northeast</v>
      </c>
      <c r="I292" t="str">
        <f>Deals_Raw!I292</f>
        <v>Northeast Commercial</v>
      </c>
      <c r="J292" t="str">
        <f>Deals_Raw!J292</f>
        <v>SMB</v>
      </c>
      <c r="K292" t="str">
        <f>Deals_Raw!K292</f>
        <v>No</v>
      </c>
      <c r="L292">
        <f>Deals_Raw!L292</f>
        <v>44621</v>
      </c>
      <c r="M292">
        <f>Deals_Raw!M292</f>
        <v>57</v>
      </c>
      <c r="N292" t="str">
        <f>Deals_Raw!N292</f>
        <v>Nexus Compliance</v>
      </c>
      <c r="O292" t="str">
        <f>Deals_Raw!O292</f>
        <v>Renewal</v>
      </c>
      <c r="P292">
        <f>Deals_Raw!P292</f>
        <v>0</v>
      </c>
      <c r="Q292">
        <f>Deals_Raw!Q292</f>
        <v>1</v>
      </c>
      <c r="R292">
        <f>Deals_Raw!R292</f>
        <v>61</v>
      </c>
      <c r="S292" t="str">
        <f>Deals_Raw!S292</f>
        <v>D. Chen</v>
      </c>
      <c r="T292" s="6">
        <f>Deals_Raw!T292</f>
        <v>90099.589711914916</v>
      </c>
      <c r="U292" s="8">
        <f>Deals_Raw!V292</f>
        <v>0.219</v>
      </c>
      <c r="V292" s="8">
        <f>Deals_Raw!W292</f>
        <v>0.20499999999999999</v>
      </c>
      <c r="W292" s="8">
        <f>Deals_Raw!X292</f>
        <v>-0.10100000000000001</v>
      </c>
      <c r="X292" t="str">
        <f>Deals_Raw!Y292</f>
        <v>Renewal retention risk</v>
      </c>
      <c r="Y292" t="str">
        <f>Deals_Raw!Z292</f>
        <v>Business Manager</v>
      </c>
      <c r="Z292" s="6">
        <f>Deals_Raw!AA292</f>
        <v>71612.49262020117</v>
      </c>
      <c r="AA292" s="6">
        <f>Deals_Raw!AC292</f>
        <v>30726.374938830213</v>
      </c>
      <c r="AB292" s="6">
        <f>Deals_Raw!AD292</f>
        <v>40886.117681370961</v>
      </c>
      <c r="AC292" s="8">
        <f>Deals_Raw!AE292</f>
        <v>0.57093554749185471</v>
      </c>
      <c r="AD292" t="str">
        <f>Deals_Raw!AF292</f>
        <v>Won</v>
      </c>
      <c r="AE292" t="str">
        <f>Deals_Raw!AG292</f>
        <v>Yes</v>
      </c>
      <c r="AF292">
        <f>Deals_Raw!AH292</f>
        <v>0</v>
      </c>
      <c r="AG292" t="str">
        <f>Deals_Raw!AI292</f>
        <v>No</v>
      </c>
      <c r="AH292" s="6">
        <f>Deals_Raw!AJ292</f>
        <v>71612.49262020117</v>
      </c>
      <c r="AI292" s="6">
        <f>Deals_Raw!AK292</f>
        <v>40886.117681370961</v>
      </c>
      <c r="AJ292" t="str">
        <f>Deals_Raw!AL292</f>
        <v>Renewal of existing active contract</v>
      </c>
      <c r="AK292" s="9">
        <f t="shared" si="28"/>
        <v>2.6777777777777776</v>
      </c>
      <c r="AL292" s="8">
        <f t="shared" si="29"/>
        <v>0.7948148581938661</v>
      </c>
      <c r="AM292" s="8">
        <f t="shared" si="30"/>
        <v>1.4000000000000012E-2</v>
      </c>
      <c r="AN292" t="str">
        <f>IF(AC292&lt;Pricing_Policy!$C$10,"Below Floor","Pass")</f>
        <v>Pass</v>
      </c>
      <c r="AO292" t="str">
        <f>IF(V292&gt;Pricing_Policy!$C$7,"Exception","Standard")</f>
        <v>Standard</v>
      </c>
      <c r="AP292" t="str">
        <f t="shared" si="31"/>
        <v>Pass</v>
      </c>
      <c r="AQ292">
        <f t="shared" si="32"/>
        <v>1</v>
      </c>
      <c r="AR292" s="8">
        <f t="shared" si="33"/>
        <v>0.57093554749185471</v>
      </c>
      <c r="AS292">
        <f t="shared" si="34"/>
        <v>3</v>
      </c>
    </row>
    <row r="293" spans="1:45">
      <c r="A293" t="str">
        <f>Deals_Raw!A293</f>
        <v>D00330</v>
      </c>
      <c r="B293">
        <f>Deals_Raw!B293</f>
        <v>45868</v>
      </c>
      <c r="C293" t="str">
        <f>Deals_Raw!C293</f>
        <v>C0085</v>
      </c>
      <c r="D293" t="str">
        <f>Deals_Raw!D293</f>
        <v>HEA-0085</v>
      </c>
      <c r="E293" t="str">
        <f>Deals_Raw!E293</f>
        <v>CT00177</v>
      </c>
      <c r="F293" t="str">
        <f>Deals_Raw!F293</f>
        <v>Finance</v>
      </c>
      <c r="G293" t="str">
        <f>Deals_Raw!G293</f>
        <v>Healthcare</v>
      </c>
      <c r="H293" t="str">
        <f>Deals_Raw!H293</f>
        <v>Northeast</v>
      </c>
      <c r="I293" t="str">
        <f>Deals_Raw!I293</f>
        <v>Northeast Commercial</v>
      </c>
      <c r="J293" t="str">
        <f>Deals_Raw!J293</f>
        <v>SMB</v>
      </c>
      <c r="K293" t="str">
        <f>Deals_Raw!K293</f>
        <v>No</v>
      </c>
      <c r="L293">
        <f>Deals_Raw!L293</f>
        <v>44621</v>
      </c>
      <c r="M293">
        <f>Deals_Raw!M293</f>
        <v>57</v>
      </c>
      <c r="N293" t="str">
        <f>Deals_Raw!N293</f>
        <v>Nexus Compliance</v>
      </c>
      <c r="O293" t="str">
        <f>Deals_Raw!O293</f>
        <v>Expansion</v>
      </c>
      <c r="P293" t="str">
        <f>Deals_Raw!P293</f>
        <v>Storage / Usage Expansion</v>
      </c>
      <c r="Q293">
        <f>Deals_Raw!Q293</f>
        <v>1</v>
      </c>
      <c r="R293">
        <f>Deals_Raw!R293</f>
        <v>84</v>
      </c>
      <c r="S293" t="str">
        <f>Deals_Raw!S293</f>
        <v>T. Brooks</v>
      </c>
      <c r="T293" s="6">
        <f>Deals_Raw!T293</f>
        <v>101001.18439139094</v>
      </c>
      <c r="U293" s="8">
        <f>Deals_Raw!V293</f>
        <v>9.4E-2</v>
      </c>
      <c r="V293" s="8">
        <f>Deals_Raw!W293</f>
        <v>7.1999999999999995E-2</v>
      </c>
      <c r="W293" s="8">
        <f>Deals_Raw!X293</f>
        <v>-6.0000000000000001E-3</v>
      </c>
      <c r="X293" t="str">
        <f>Deals_Raw!Y293</f>
        <v>Expansion opportunity</v>
      </c>
      <c r="Y293" t="str">
        <f>Deals_Raw!Z293</f>
        <v>Sales Manager</v>
      </c>
      <c r="Z293" s="6">
        <f>Deals_Raw!AA293</f>
        <v>93735.656116481696</v>
      </c>
      <c r="AA293" s="6">
        <f>Deals_Raw!AC293</f>
        <v>35177.092891490815</v>
      </c>
      <c r="AB293" s="6">
        <f>Deals_Raw!AD293</f>
        <v>58558.563224990881</v>
      </c>
      <c r="AC293" s="8">
        <f>Deals_Raw!AE293</f>
        <v>0.62472025748902216</v>
      </c>
      <c r="AD293" t="str">
        <f>Deals_Raw!AF293</f>
        <v>Won</v>
      </c>
      <c r="AE293">
        <f>Deals_Raw!AG293</f>
        <v>0</v>
      </c>
      <c r="AF293" t="str">
        <f>Deals_Raw!AH293</f>
        <v>Yes</v>
      </c>
      <c r="AG293" t="str">
        <f>Deals_Raw!AI293</f>
        <v>No</v>
      </c>
      <c r="AH293" s="6">
        <f>Deals_Raw!AJ293</f>
        <v>93735.656116481696</v>
      </c>
      <c r="AI293" s="6">
        <f>Deals_Raw!AK293</f>
        <v>58558.563224990881</v>
      </c>
      <c r="AJ293" t="str">
        <f>Deals_Raw!AL293</f>
        <v>Expansion allowed because contract was active</v>
      </c>
      <c r="AK293" s="9">
        <f t="shared" si="28"/>
        <v>3.4138888888888888</v>
      </c>
      <c r="AL293" s="8">
        <f t="shared" si="29"/>
        <v>0.92806492004336794</v>
      </c>
      <c r="AM293" s="8">
        <f t="shared" si="30"/>
        <v>2.2000000000000006E-2</v>
      </c>
      <c r="AN293" t="str">
        <f>IF(AC293&lt;Pricing_Policy!$C$10,"Below Floor","Pass")</f>
        <v>Pass</v>
      </c>
      <c r="AO293" t="str">
        <f>IF(V293&gt;Pricing_Policy!$C$7,"Exception","Standard")</f>
        <v>Standard</v>
      </c>
      <c r="AP293" t="str">
        <f t="shared" si="31"/>
        <v>Pass</v>
      </c>
      <c r="AQ293">
        <f t="shared" si="32"/>
        <v>1</v>
      </c>
      <c r="AR293" s="8">
        <f t="shared" si="33"/>
        <v>0.62472025748902216</v>
      </c>
      <c r="AS293">
        <f t="shared" si="34"/>
        <v>3</v>
      </c>
    </row>
    <row r="294" spans="1:45">
      <c r="A294" t="str">
        <f>Deals_Raw!A294</f>
        <v>D00331</v>
      </c>
      <c r="B294">
        <f>Deals_Raw!B294</f>
        <v>45966</v>
      </c>
      <c r="C294" t="str">
        <f>Deals_Raw!C294</f>
        <v>C0085</v>
      </c>
      <c r="D294" t="str">
        <f>Deals_Raw!D294</f>
        <v>HEA-0085</v>
      </c>
      <c r="E294" t="str">
        <f>Deals_Raw!E294</f>
        <v>CT00177</v>
      </c>
      <c r="F294" t="str">
        <f>Deals_Raw!F294</f>
        <v>Finance</v>
      </c>
      <c r="G294" t="str">
        <f>Deals_Raw!G294</f>
        <v>Healthcare</v>
      </c>
      <c r="H294" t="str">
        <f>Deals_Raw!H294</f>
        <v>Northeast</v>
      </c>
      <c r="I294" t="str">
        <f>Deals_Raw!I294</f>
        <v>Northeast Commercial</v>
      </c>
      <c r="J294" t="str">
        <f>Deals_Raw!J294</f>
        <v>SMB</v>
      </c>
      <c r="K294" t="str">
        <f>Deals_Raw!K294</f>
        <v>No</v>
      </c>
      <c r="L294">
        <f>Deals_Raw!L294</f>
        <v>44621</v>
      </c>
      <c r="M294">
        <f>Deals_Raw!M294</f>
        <v>57</v>
      </c>
      <c r="N294" t="str">
        <f>Deals_Raw!N294</f>
        <v>Nexus Compliance</v>
      </c>
      <c r="O294" t="str">
        <f>Deals_Raw!O294</f>
        <v>Renewal</v>
      </c>
      <c r="P294">
        <f>Deals_Raw!P294</f>
        <v>0</v>
      </c>
      <c r="Q294">
        <f>Deals_Raw!Q294</f>
        <v>1</v>
      </c>
      <c r="R294">
        <f>Deals_Raw!R294</f>
        <v>84</v>
      </c>
      <c r="S294" t="str">
        <f>Deals_Raw!S294</f>
        <v>M. Johnson</v>
      </c>
      <c r="T294" s="6">
        <f>Deals_Raw!T294</f>
        <v>106255.10286446335</v>
      </c>
      <c r="U294" s="8">
        <f>Deals_Raw!V294</f>
        <v>0.17699999999999999</v>
      </c>
      <c r="V294" s="8">
        <f>Deals_Raw!W294</f>
        <v>0.17100000000000001</v>
      </c>
      <c r="W294" s="8">
        <f>Deals_Raw!X294</f>
        <v>-0.125</v>
      </c>
      <c r="X294" t="str">
        <f>Deals_Raw!Y294</f>
        <v>Renewal retention risk</v>
      </c>
      <c r="Y294" t="str">
        <f>Deals_Raw!Z294</f>
        <v>Pricing Analyst</v>
      </c>
      <c r="Z294" s="6">
        <f>Deals_Raw!AA294</f>
        <v>88092.765772363142</v>
      </c>
      <c r="AA294" s="6">
        <f>Deals_Raw!AC294</f>
        <v>38022.301289887277</v>
      </c>
      <c r="AB294" s="6">
        <f>Deals_Raw!AD294</f>
        <v>50070.464482475865</v>
      </c>
      <c r="AC294" s="8">
        <f>Deals_Raw!AE294</f>
        <v>0.56838338589414794</v>
      </c>
      <c r="AD294" t="str">
        <f>Deals_Raw!AF294</f>
        <v>Won</v>
      </c>
      <c r="AE294" t="str">
        <f>Deals_Raw!AG294</f>
        <v>Yes</v>
      </c>
      <c r="AF294">
        <f>Deals_Raw!AH294</f>
        <v>0</v>
      </c>
      <c r="AG294" t="str">
        <f>Deals_Raw!AI294</f>
        <v>No</v>
      </c>
      <c r="AH294" s="6">
        <f>Deals_Raw!AJ294</f>
        <v>88092.765772363142</v>
      </c>
      <c r="AI294" s="6">
        <f>Deals_Raw!AK294</f>
        <v>50070.464482475865</v>
      </c>
      <c r="AJ294" t="str">
        <f>Deals_Raw!AL294</f>
        <v>Renewal of existing active contract</v>
      </c>
      <c r="AK294" s="9">
        <f t="shared" si="28"/>
        <v>3.6777777777777776</v>
      </c>
      <c r="AL294" s="8">
        <f t="shared" si="29"/>
        <v>0.82906856609731316</v>
      </c>
      <c r="AM294" s="8">
        <f t="shared" si="30"/>
        <v>5.9999999999999776E-3</v>
      </c>
      <c r="AN294" t="str">
        <f>IF(AC294&lt;Pricing_Policy!$C$10,"Below Floor","Pass")</f>
        <v>Pass</v>
      </c>
      <c r="AO294" t="str">
        <f>IF(V294&gt;Pricing_Policy!$C$7,"Exception","Standard")</f>
        <v>Standard</v>
      </c>
      <c r="AP294" t="str">
        <f t="shared" si="31"/>
        <v>Pass</v>
      </c>
      <c r="AQ294">
        <f t="shared" si="32"/>
        <v>1</v>
      </c>
      <c r="AR294" s="8">
        <f t="shared" si="33"/>
        <v>0.56838338589414794</v>
      </c>
      <c r="AS294">
        <f t="shared" si="34"/>
        <v>3</v>
      </c>
    </row>
    <row r="295" spans="1:45">
      <c r="A295" t="str">
        <f>Deals_Raw!A295</f>
        <v>D00332</v>
      </c>
      <c r="B295">
        <f>Deals_Raw!B295</f>
        <v>45878</v>
      </c>
      <c r="C295" t="str">
        <f>Deals_Raw!C295</f>
        <v>C0085</v>
      </c>
      <c r="D295" t="str">
        <f>Deals_Raw!D295</f>
        <v>HEA-0085</v>
      </c>
      <c r="E295" t="str">
        <f>Deals_Raw!E295</f>
        <v>CT00178</v>
      </c>
      <c r="F295" t="str">
        <f>Deals_Raw!F295</f>
        <v>Sales</v>
      </c>
      <c r="G295" t="str">
        <f>Deals_Raw!G295</f>
        <v>Healthcare</v>
      </c>
      <c r="H295" t="str">
        <f>Deals_Raw!H295</f>
        <v>Northeast</v>
      </c>
      <c r="I295" t="str">
        <f>Deals_Raw!I295</f>
        <v>Northeast Commercial</v>
      </c>
      <c r="J295" t="str">
        <f>Deals_Raw!J295</f>
        <v>SMB</v>
      </c>
      <c r="K295" t="str">
        <f>Deals_Raw!K295</f>
        <v>No</v>
      </c>
      <c r="L295">
        <f>Deals_Raw!L295</f>
        <v>44621</v>
      </c>
      <c r="M295">
        <f>Deals_Raw!M295</f>
        <v>57</v>
      </c>
      <c r="N295" t="str">
        <f>Deals_Raw!N295</f>
        <v>Nexus Enterprise Suite</v>
      </c>
      <c r="O295" t="str">
        <f>Deals_Raw!O295</f>
        <v>Expansion</v>
      </c>
      <c r="P295" t="str">
        <f>Deals_Raw!P295</f>
        <v>Multi-year Extension</v>
      </c>
      <c r="Q295">
        <f>Deals_Raw!Q295</f>
        <v>3</v>
      </c>
      <c r="R295">
        <f>Deals_Raw!R295</f>
        <v>90</v>
      </c>
      <c r="S295" t="str">
        <f>Deals_Raw!S295</f>
        <v>A. Patel</v>
      </c>
      <c r="T295" s="6">
        <f>Deals_Raw!T295</f>
        <v>178552.30357761096</v>
      </c>
      <c r="U295" s="8">
        <f>Deals_Raw!V295</f>
        <v>8.8999999999999996E-2</v>
      </c>
      <c r="V295" s="8">
        <f>Deals_Raw!W295</f>
        <v>5.3999999999999999E-2</v>
      </c>
      <c r="W295" s="8">
        <f>Deals_Raw!X295</f>
        <v>5.3999999999999999E-2</v>
      </c>
      <c r="X295" t="str">
        <f>Deals_Raw!Y295</f>
        <v>Expansion opportunity</v>
      </c>
      <c r="Y295" t="str">
        <f>Deals_Raw!Z295</f>
        <v>Sales Manager</v>
      </c>
      <c r="Z295" s="6">
        <f>Deals_Raw!AA295</f>
        <v>168880.6256312698</v>
      </c>
      <c r="AA295" s="6">
        <f>Deals_Raw!AC295</f>
        <v>63676.613208808922</v>
      </c>
      <c r="AB295" s="6">
        <f>Deals_Raw!AD295</f>
        <v>105204.01242246087</v>
      </c>
      <c r="AC295" s="8">
        <f>Deals_Raw!AE295</f>
        <v>0.62294897374528313</v>
      </c>
      <c r="AD295" t="str">
        <f>Deals_Raw!AF295</f>
        <v>Won</v>
      </c>
      <c r="AE295">
        <f>Deals_Raw!AG295</f>
        <v>0</v>
      </c>
      <c r="AF295" t="str">
        <f>Deals_Raw!AH295</f>
        <v>Yes</v>
      </c>
      <c r="AG295" t="str">
        <f>Deals_Raw!AI295</f>
        <v>No</v>
      </c>
      <c r="AH295" s="6">
        <f>Deals_Raw!AJ295</f>
        <v>168880.6256312698</v>
      </c>
      <c r="AI295" s="6">
        <f>Deals_Raw!AK295</f>
        <v>105204.01242246087</v>
      </c>
      <c r="AJ295" t="str">
        <f>Deals_Raw!AL295</f>
        <v>Expansion allowed because contract was active</v>
      </c>
      <c r="AK295" s="9">
        <f t="shared" si="28"/>
        <v>3.4388888888888891</v>
      </c>
      <c r="AL295" s="8">
        <f t="shared" si="29"/>
        <v>0.94583280219547994</v>
      </c>
      <c r="AM295" s="8">
        <f t="shared" si="30"/>
        <v>3.4999999999999996E-2</v>
      </c>
      <c r="AN295" t="str">
        <f>IF(AC295&lt;Pricing_Policy!$C$10,"Below Floor","Pass")</f>
        <v>Pass</v>
      </c>
      <c r="AO295" t="str">
        <f>IF(V295&gt;Pricing_Policy!$C$7,"Exception","Standard")</f>
        <v>Standard</v>
      </c>
      <c r="AP295" t="str">
        <f t="shared" si="31"/>
        <v>Pass</v>
      </c>
      <c r="AQ295">
        <f t="shared" si="32"/>
        <v>1</v>
      </c>
      <c r="AR295" s="8">
        <f t="shared" si="33"/>
        <v>0.62294897374528313</v>
      </c>
      <c r="AS295">
        <f t="shared" si="34"/>
        <v>2</v>
      </c>
    </row>
    <row r="296" spans="1:45">
      <c r="A296" t="str">
        <f>Deals_Raw!A296</f>
        <v>D00333</v>
      </c>
      <c r="B296">
        <f>Deals_Raw!B296</f>
        <v>45992</v>
      </c>
      <c r="C296" t="str">
        <f>Deals_Raw!C296</f>
        <v>C0085</v>
      </c>
      <c r="D296" t="str">
        <f>Deals_Raw!D296</f>
        <v>HEA-0085</v>
      </c>
      <c r="E296" t="str">
        <f>Deals_Raw!E296</f>
        <v>CT00178</v>
      </c>
      <c r="F296" t="str">
        <f>Deals_Raw!F296</f>
        <v>Sales</v>
      </c>
      <c r="G296" t="str">
        <f>Deals_Raw!G296</f>
        <v>Healthcare</v>
      </c>
      <c r="H296" t="str">
        <f>Deals_Raw!H296</f>
        <v>Northeast</v>
      </c>
      <c r="I296" t="str">
        <f>Deals_Raw!I296</f>
        <v>Northeast Commercial</v>
      </c>
      <c r="J296" t="str">
        <f>Deals_Raw!J296</f>
        <v>SMB</v>
      </c>
      <c r="K296" t="str">
        <f>Deals_Raw!K296</f>
        <v>No</v>
      </c>
      <c r="L296">
        <f>Deals_Raw!L296</f>
        <v>44621</v>
      </c>
      <c r="M296">
        <f>Deals_Raw!M296</f>
        <v>57</v>
      </c>
      <c r="N296" t="str">
        <f>Deals_Raw!N296</f>
        <v>Nexus Enterprise Suite</v>
      </c>
      <c r="O296" t="str">
        <f>Deals_Raw!O296</f>
        <v>Renewal</v>
      </c>
      <c r="P296">
        <f>Deals_Raw!P296</f>
        <v>0</v>
      </c>
      <c r="Q296">
        <f>Deals_Raw!Q296</f>
        <v>3</v>
      </c>
      <c r="R296">
        <f>Deals_Raw!R296</f>
        <v>90</v>
      </c>
      <c r="S296" t="str">
        <f>Deals_Raw!S296</f>
        <v>A. Patel</v>
      </c>
      <c r="T296" s="6">
        <f>Deals_Raw!T296</f>
        <v>188504.35182427595</v>
      </c>
      <c r="U296" s="8">
        <f>Deals_Raw!V296</f>
        <v>0.156</v>
      </c>
      <c r="V296" s="8">
        <f>Deals_Raw!W296</f>
        <v>8.8999999999999996E-2</v>
      </c>
      <c r="W296" s="8">
        <f>Deals_Raw!X296</f>
        <v>-0.127</v>
      </c>
      <c r="X296" t="str">
        <f>Deals_Raw!Y296</f>
        <v>Renewal retention risk</v>
      </c>
      <c r="Y296" t="str">
        <f>Deals_Raw!Z296</f>
        <v>Sales Manager</v>
      </c>
      <c r="Z296" s="6">
        <f>Deals_Raw!AA296</f>
        <v>171748.59284087023</v>
      </c>
      <c r="AA296" s="6">
        <f>Deals_Raw!AC296</f>
        <v>72683.3451480074</v>
      </c>
      <c r="AB296" s="6">
        <f>Deals_Raw!AD296</f>
        <v>99065.247692862831</v>
      </c>
      <c r="AC296" s="8">
        <f>Deals_Raw!AE296</f>
        <v>0.57680383899651211</v>
      </c>
      <c r="AD296" t="str">
        <f>Deals_Raw!AF296</f>
        <v>Won</v>
      </c>
      <c r="AE296" t="str">
        <f>Deals_Raw!AG296</f>
        <v>Yes</v>
      </c>
      <c r="AF296">
        <f>Deals_Raw!AH296</f>
        <v>0</v>
      </c>
      <c r="AG296" t="str">
        <f>Deals_Raw!AI296</f>
        <v>No</v>
      </c>
      <c r="AH296" s="6">
        <f>Deals_Raw!AJ296</f>
        <v>171748.59284087023</v>
      </c>
      <c r="AI296" s="6">
        <f>Deals_Raw!AK296</f>
        <v>99065.247692862831</v>
      </c>
      <c r="AJ296" t="str">
        <f>Deals_Raw!AL296</f>
        <v>Renewal of existing active contract</v>
      </c>
      <c r="AK296" s="9">
        <f t="shared" si="28"/>
        <v>3.75</v>
      </c>
      <c r="AL296" s="8">
        <f t="shared" si="29"/>
        <v>0.91111208403811572</v>
      </c>
      <c r="AM296" s="8">
        <f t="shared" si="30"/>
        <v>6.7000000000000004E-2</v>
      </c>
      <c r="AN296" t="str">
        <f>IF(AC296&lt;Pricing_Policy!$C$10,"Below Floor","Pass")</f>
        <v>Pass</v>
      </c>
      <c r="AO296" t="str">
        <f>IF(V296&gt;Pricing_Policy!$C$7,"Exception","Standard")</f>
        <v>Standard</v>
      </c>
      <c r="AP296" t="str">
        <f t="shared" si="31"/>
        <v>Pass</v>
      </c>
      <c r="AQ296">
        <f t="shared" si="32"/>
        <v>1</v>
      </c>
      <c r="AR296" s="8">
        <f t="shared" si="33"/>
        <v>0.57680383899651211</v>
      </c>
      <c r="AS296">
        <f t="shared" si="34"/>
        <v>2</v>
      </c>
    </row>
    <row r="297" spans="1:45">
      <c r="A297" t="str">
        <f>Deals_Raw!A297</f>
        <v>D00334</v>
      </c>
      <c r="B297">
        <f>Deals_Raw!B297</f>
        <v>45644</v>
      </c>
      <c r="C297" t="str">
        <f>Deals_Raw!C297</f>
        <v>C0086</v>
      </c>
      <c r="D297" t="str">
        <f>Deals_Raw!D297</f>
        <v>FIN-0086</v>
      </c>
      <c r="E297" t="str">
        <f>Deals_Raw!E297</f>
        <v>CT00179</v>
      </c>
      <c r="F297" t="str">
        <f>Deals_Raw!F297</f>
        <v>Finance</v>
      </c>
      <c r="G297" t="str">
        <f>Deals_Raw!G297</f>
        <v>Financial Services</v>
      </c>
      <c r="H297" t="str">
        <f>Deals_Raw!H297</f>
        <v>Northeast</v>
      </c>
      <c r="I297" t="str">
        <f>Deals_Raw!I297</f>
        <v>Northeast Enterprise</v>
      </c>
      <c r="J297" t="str">
        <f>Deals_Raw!J297</f>
        <v>Enterprise</v>
      </c>
      <c r="K297" t="str">
        <f>Deals_Raw!K297</f>
        <v>Yes</v>
      </c>
      <c r="L297">
        <f>Deals_Raw!L297</f>
        <v>45108</v>
      </c>
      <c r="M297">
        <f>Deals_Raw!M297</f>
        <v>68</v>
      </c>
      <c r="N297" t="str">
        <f>Deals_Raw!N297</f>
        <v>Nexus Analytics</v>
      </c>
      <c r="O297" t="str">
        <f>Deals_Raw!O297</f>
        <v>New Business</v>
      </c>
      <c r="P297">
        <f>Deals_Raw!P297</f>
        <v>0</v>
      </c>
      <c r="Q297">
        <f>Deals_Raw!Q297</f>
        <v>1</v>
      </c>
      <c r="R297">
        <f>Deals_Raw!R297</f>
        <v>1802</v>
      </c>
      <c r="S297" t="str">
        <f>Deals_Raw!S297</f>
        <v>T. Brooks</v>
      </c>
      <c r="T297" s="6">
        <f>Deals_Raw!T297</f>
        <v>371005.256078707</v>
      </c>
      <c r="U297" s="8">
        <f>Deals_Raw!V297</f>
        <v>0.17899999999999999</v>
      </c>
      <c r="V297" s="8">
        <f>Deals_Raw!W297</f>
        <v>0.14599999999999999</v>
      </c>
      <c r="W297" s="8">
        <f>Deals_Raw!X297</f>
        <v>0</v>
      </c>
      <c r="X297" t="str">
        <f>Deals_Raw!Y297</f>
        <v>Verified competitor pressure</v>
      </c>
      <c r="Y297" t="str">
        <f>Deals_Raw!Z297</f>
        <v>Pricing Analyst</v>
      </c>
      <c r="Z297" s="6">
        <f>Deals_Raw!AA297</f>
        <v>316862.28714785591</v>
      </c>
      <c r="AA297" s="6">
        <f>Deals_Raw!AC297</f>
        <v>133995.1408225123</v>
      </c>
      <c r="AB297" s="6">
        <f>Deals_Raw!AD297</f>
        <v>182867.14632534361</v>
      </c>
      <c r="AC297" s="8">
        <f>Deals_Raw!AE297</f>
        <v>0.57711868449656556</v>
      </c>
      <c r="AD297" t="str">
        <f>Deals_Raw!AF297</f>
        <v>Won</v>
      </c>
      <c r="AE297">
        <f>Deals_Raw!AG297</f>
        <v>0</v>
      </c>
      <c r="AF297">
        <f>Deals_Raw!AH297</f>
        <v>0</v>
      </c>
      <c r="AG297" t="str">
        <f>Deals_Raw!AI297</f>
        <v>No</v>
      </c>
      <c r="AH297" s="6">
        <f>Deals_Raw!AJ297</f>
        <v>316862.28714785591</v>
      </c>
      <c r="AI297" s="6">
        <f>Deals_Raw!AK297</f>
        <v>182867.14632534361</v>
      </c>
      <c r="AJ297" t="str">
        <f>Deals_Raw!AL297</f>
        <v>First purchase under this contract</v>
      </c>
      <c r="AK297" s="9">
        <f t="shared" si="28"/>
        <v>1.4638888888888888</v>
      </c>
      <c r="AL297" s="8">
        <f t="shared" si="29"/>
        <v>0.85406414587462098</v>
      </c>
      <c r="AM297" s="8">
        <f t="shared" si="30"/>
        <v>3.3000000000000002E-2</v>
      </c>
      <c r="AN297" t="str">
        <f>IF(AC297&lt;Pricing_Policy!$C$10,"Below Floor","Pass")</f>
        <v>Pass</v>
      </c>
      <c r="AO297" t="str">
        <f>IF(V297&gt;Pricing_Policy!$C$7,"Exception","Standard")</f>
        <v>Standard</v>
      </c>
      <c r="AP297" t="str">
        <f t="shared" si="31"/>
        <v>Pass</v>
      </c>
      <c r="AQ297">
        <f t="shared" si="32"/>
        <v>1</v>
      </c>
      <c r="AR297" s="8">
        <f t="shared" si="33"/>
        <v>0.57711868449656556</v>
      </c>
      <c r="AS297">
        <f t="shared" si="34"/>
        <v>5</v>
      </c>
    </row>
    <row r="298" spans="1:45">
      <c r="A298" t="str">
        <f>Deals_Raw!A298</f>
        <v>D00335</v>
      </c>
      <c r="B298">
        <f>Deals_Raw!B298</f>
        <v>46009</v>
      </c>
      <c r="C298" t="str">
        <f>Deals_Raw!C298</f>
        <v>C0086</v>
      </c>
      <c r="D298" t="str">
        <f>Deals_Raw!D298</f>
        <v>FIN-0086</v>
      </c>
      <c r="E298" t="str">
        <f>Deals_Raw!E298</f>
        <v>CT00179</v>
      </c>
      <c r="F298" t="str">
        <f>Deals_Raw!F298</f>
        <v>Finance</v>
      </c>
      <c r="G298" t="str">
        <f>Deals_Raw!G298</f>
        <v>Financial Services</v>
      </c>
      <c r="H298" t="str">
        <f>Deals_Raw!H298</f>
        <v>Northeast</v>
      </c>
      <c r="I298" t="str">
        <f>Deals_Raw!I298</f>
        <v>Northeast Enterprise</v>
      </c>
      <c r="J298" t="str">
        <f>Deals_Raw!J298</f>
        <v>Enterprise</v>
      </c>
      <c r="K298" t="str">
        <f>Deals_Raw!K298</f>
        <v>Yes</v>
      </c>
      <c r="L298">
        <f>Deals_Raw!L298</f>
        <v>45108</v>
      </c>
      <c r="M298">
        <f>Deals_Raw!M298</f>
        <v>68</v>
      </c>
      <c r="N298" t="str">
        <f>Deals_Raw!N298</f>
        <v>Nexus Analytics</v>
      </c>
      <c r="O298" t="str">
        <f>Deals_Raw!O298</f>
        <v>Renewal</v>
      </c>
      <c r="P298">
        <f>Deals_Raw!P298</f>
        <v>0</v>
      </c>
      <c r="Q298">
        <f>Deals_Raw!Q298</f>
        <v>1</v>
      </c>
      <c r="R298">
        <f>Deals_Raw!R298</f>
        <v>1802</v>
      </c>
      <c r="S298" t="str">
        <f>Deals_Raw!S298</f>
        <v>S. Rivera</v>
      </c>
      <c r="T298" s="6">
        <f>Deals_Raw!T298</f>
        <v>388983.75602785434</v>
      </c>
      <c r="U298" s="8">
        <f>Deals_Raw!V298</f>
        <v>0.21099999999999999</v>
      </c>
      <c r="V298" s="8">
        <f>Deals_Raw!W298</f>
        <v>0.20499999999999999</v>
      </c>
      <c r="W298" s="8">
        <f>Deals_Raw!X298</f>
        <v>0.111</v>
      </c>
      <c r="X298" t="str">
        <f>Deals_Raw!Y298</f>
        <v>Renewal retention risk</v>
      </c>
      <c r="Y298" t="str">
        <f>Deals_Raw!Z298</f>
        <v>Business Manager</v>
      </c>
      <c r="Z298" s="6">
        <f>Deals_Raw!AA298</f>
        <v>309079.34148105374</v>
      </c>
      <c r="AA298" s="6">
        <f>Deals_Raw!AC298</f>
        <v>112794.03269557589</v>
      </c>
      <c r="AB298" s="6">
        <f>Deals_Raw!AD298</f>
        <v>196285.30878547783</v>
      </c>
      <c r="AC298" s="8">
        <f>Deals_Raw!AE298</f>
        <v>0.63506447194080728</v>
      </c>
      <c r="AD298" t="str">
        <f>Deals_Raw!AF298</f>
        <v>Won</v>
      </c>
      <c r="AE298" t="str">
        <f>Deals_Raw!AG298</f>
        <v>Yes</v>
      </c>
      <c r="AF298">
        <f>Deals_Raw!AH298</f>
        <v>0</v>
      </c>
      <c r="AG298" t="str">
        <f>Deals_Raw!AI298</f>
        <v>No</v>
      </c>
      <c r="AH298" s="6">
        <f>Deals_Raw!AJ298</f>
        <v>309079.34148105374</v>
      </c>
      <c r="AI298" s="6">
        <f>Deals_Raw!AK298</f>
        <v>196285.30878547783</v>
      </c>
      <c r="AJ298" t="str">
        <f>Deals_Raw!AL298</f>
        <v>Renewal of existing active contract</v>
      </c>
      <c r="AK298" s="9">
        <f t="shared" si="28"/>
        <v>2.463888888888889</v>
      </c>
      <c r="AL298" s="8">
        <f t="shared" si="29"/>
        <v>0.79458161604805211</v>
      </c>
      <c r="AM298" s="8">
        <f t="shared" si="30"/>
        <v>6.0000000000000053E-3</v>
      </c>
      <c r="AN298" t="str">
        <f>IF(AC298&lt;Pricing_Policy!$C$10,"Below Floor","Pass")</f>
        <v>Pass</v>
      </c>
      <c r="AO298" t="str">
        <f>IF(V298&gt;Pricing_Policy!$C$7,"Exception","Standard")</f>
        <v>Standard</v>
      </c>
      <c r="AP298" t="str">
        <f t="shared" si="31"/>
        <v>Pass</v>
      </c>
      <c r="AQ298">
        <f t="shared" si="32"/>
        <v>1</v>
      </c>
      <c r="AR298" s="8">
        <f t="shared" si="33"/>
        <v>0.63506447194080728</v>
      </c>
      <c r="AS298">
        <f t="shared" si="34"/>
        <v>5</v>
      </c>
    </row>
    <row r="299" spans="1:45">
      <c r="A299" t="str">
        <f>Deals_Raw!A299</f>
        <v>D00336</v>
      </c>
      <c r="B299">
        <f>Deals_Raw!B299</f>
        <v>45426</v>
      </c>
      <c r="C299" t="str">
        <f>Deals_Raw!C299</f>
        <v>C0086</v>
      </c>
      <c r="D299" t="str">
        <f>Deals_Raw!D299</f>
        <v>FIN-0086</v>
      </c>
      <c r="E299" t="str">
        <f>Deals_Raw!E299</f>
        <v>CT00180</v>
      </c>
      <c r="F299" t="str">
        <f>Deals_Raw!F299</f>
        <v>Legal</v>
      </c>
      <c r="G299" t="str">
        <f>Deals_Raw!G299</f>
        <v>Financial Services</v>
      </c>
      <c r="H299" t="str">
        <f>Deals_Raw!H299</f>
        <v>Northeast</v>
      </c>
      <c r="I299" t="str">
        <f>Deals_Raw!I299</f>
        <v>Northeast Enterprise</v>
      </c>
      <c r="J299" t="str">
        <f>Deals_Raw!J299</f>
        <v>Enterprise</v>
      </c>
      <c r="K299" t="str">
        <f>Deals_Raw!K299</f>
        <v>Yes</v>
      </c>
      <c r="L299">
        <f>Deals_Raw!L299</f>
        <v>45108</v>
      </c>
      <c r="M299">
        <f>Deals_Raw!M299</f>
        <v>68</v>
      </c>
      <c r="N299" t="str">
        <f>Deals_Raw!N299</f>
        <v>Nexus Analytics</v>
      </c>
      <c r="O299" t="str">
        <f>Deals_Raw!O299</f>
        <v>New Business</v>
      </c>
      <c r="P299">
        <f>Deals_Raw!P299</f>
        <v>0</v>
      </c>
      <c r="Q299">
        <f>Deals_Raw!Q299</f>
        <v>1</v>
      </c>
      <c r="R299">
        <f>Deals_Raw!R299</f>
        <v>1149</v>
      </c>
      <c r="S299" t="str">
        <f>Deals_Raw!S299</f>
        <v>L. Williams</v>
      </c>
      <c r="T299" s="6">
        <f>Deals_Raw!T299</f>
        <v>319436.01345536055</v>
      </c>
      <c r="U299" s="8">
        <f>Deals_Raw!V299</f>
        <v>0.126</v>
      </c>
      <c r="V299" s="8">
        <f>Deals_Raw!W299</f>
        <v>0.125</v>
      </c>
      <c r="W299" s="8">
        <f>Deals_Raw!X299</f>
        <v>8.5999999999999993E-2</v>
      </c>
      <c r="X299" t="str">
        <f>Deals_Raw!Y299</f>
        <v>Strategic logo opportunity</v>
      </c>
      <c r="Y299" t="str">
        <f>Deals_Raw!Z299</f>
        <v>Pricing Analyst</v>
      </c>
      <c r="Z299" s="6">
        <f>Deals_Raw!AA299</f>
        <v>279397.01711428573</v>
      </c>
      <c r="AA299" s="6">
        <f>Deals_Raw!AC299</f>
        <v>108418.31564877141</v>
      </c>
      <c r="AB299" s="6">
        <f>Deals_Raw!AD299</f>
        <v>170978.70146551431</v>
      </c>
      <c r="AC299" s="8">
        <f>Deals_Raw!AE299</f>
        <v>0.61195607323028955</v>
      </c>
      <c r="AD299" t="str">
        <f>Deals_Raw!AF299</f>
        <v>Won</v>
      </c>
      <c r="AE299">
        <f>Deals_Raw!AG299</f>
        <v>0</v>
      </c>
      <c r="AF299">
        <f>Deals_Raw!AH299</f>
        <v>0</v>
      </c>
      <c r="AG299" t="str">
        <f>Deals_Raw!AI299</f>
        <v>No</v>
      </c>
      <c r="AH299" s="6">
        <f>Deals_Raw!AJ299</f>
        <v>279397.01711428573</v>
      </c>
      <c r="AI299" s="6">
        <f>Deals_Raw!AK299</f>
        <v>170978.70146551431</v>
      </c>
      <c r="AJ299" t="str">
        <f>Deals_Raw!AL299</f>
        <v>First purchase under this contract</v>
      </c>
      <c r="AK299" s="9">
        <f t="shared" si="28"/>
        <v>0.86944444444444446</v>
      </c>
      <c r="AL299" s="8">
        <f t="shared" si="29"/>
        <v>0.87465722506372923</v>
      </c>
      <c r="AM299" s="8">
        <f t="shared" si="30"/>
        <v>1.0000000000000009E-3</v>
      </c>
      <c r="AN299" t="str">
        <f>IF(AC299&lt;Pricing_Policy!$C$10,"Below Floor","Pass")</f>
        <v>Pass</v>
      </c>
      <c r="AO299" t="str">
        <f>IF(V299&gt;Pricing_Policy!$C$7,"Exception","Standard")</f>
        <v>Standard</v>
      </c>
      <c r="AP299" t="str">
        <f t="shared" si="31"/>
        <v>Pass</v>
      </c>
      <c r="AQ299">
        <f t="shared" si="32"/>
        <v>1</v>
      </c>
      <c r="AR299" s="8">
        <f t="shared" si="33"/>
        <v>0.61195607323028955</v>
      </c>
      <c r="AS299">
        <f t="shared" si="34"/>
        <v>5</v>
      </c>
    </row>
    <row r="300" spans="1:45">
      <c r="A300" t="str">
        <f>Deals_Raw!A300</f>
        <v>D00337</v>
      </c>
      <c r="B300">
        <f>Deals_Raw!B300</f>
        <v>45600</v>
      </c>
      <c r="C300" t="str">
        <f>Deals_Raw!C300</f>
        <v>C0086</v>
      </c>
      <c r="D300" t="str">
        <f>Deals_Raw!D300</f>
        <v>FIN-0086</v>
      </c>
      <c r="E300" t="str">
        <f>Deals_Raw!E300</f>
        <v>CT00180</v>
      </c>
      <c r="F300" t="str">
        <f>Deals_Raw!F300</f>
        <v>Legal</v>
      </c>
      <c r="G300" t="str">
        <f>Deals_Raw!G300</f>
        <v>Financial Services</v>
      </c>
      <c r="H300" t="str">
        <f>Deals_Raw!H300</f>
        <v>Northeast</v>
      </c>
      <c r="I300" t="str">
        <f>Deals_Raw!I300</f>
        <v>Northeast Enterprise</v>
      </c>
      <c r="J300" t="str">
        <f>Deals_Raw!J300</f>
        <v>Enterprise</v>
      </c>
      <c r="K300" t="str">
        <f>Deals_Raw!K300</f>
        <v>Yes</v>
      </c>
      <c r="L300">
        <f>Deals_Raw!L300</f>
        <v>45108</v>
      </c>
      <c r="M300">
        <f>Deals_Raw!M300</f>
        <v>68</v>
      </c>
      <c r="N300" t="str">
        <f>Deals_Raw!N300</f>
        <v>Nexus Analytics</v>
      </c>
      <c r="O300" t="str">
        <f>Deals_Raw!O300</f>
        <v>Expansion</v>
      </c>
      <c r="P300" t="str">
        <f>Deals_Raw!P300</f>
        <v>Storage / Usage Expansion</v>
      </c>
      <c r="Q300">
        <f>Deals_Raw!Q300</f>
        <v>1</v>
      </c>
      <c r="R300">
        <f>Deals_Raw!R300</f>
        <v>1302</v>
      </c>
      <c r="S300" t="str">
        <f>Deals_Raw!S300</f>
        <v>L. Williams</v>
      </c>
      <c r="T300" s="6">
        <f>Deals_Raw!T300</f>
        <v>366816.45503893762</v>
      </c>
      <c r="U300" s="8">
        <f>Deals_Raw!V300</f>
        <v>6.6000000000000003E-2</v>
      </c>
      <c r="V300" s="8">
        <f>Deals_Raw!W300</f>
        <v>4.1000000000000002E-2</v>
      </c>
      <c r="W300" s="8">
        <f>Deals_Raw!X300</f>
        <v>-7.9000000000000001E-2</v>
      </c>
      <c r="X300" t="str">
        <f>Deals_Raw!Y300</f>
        <v>Expansion opportunity</v>
      </c>
      <c r="Y300" t="str">
        <f>Deals_Raw!Z300</f>
        <v>Sales Manager</v>
      </c>
      <c r="Z300" s="6">
        <f>Deals_Raw!AA300</f>
        <v>351846.17766702862</v>
      </c>
      <c r="AA300" s="6">
        <f>Deals_Raw!AC300</f>
        <v>110499.76062444114</v>
      </c>
      <c r="AB300" s="6">
        <f>Deals_Raw!AD300</f>
        <v>241346.41704258748</v>
      </c>
      <c r="AC300" s="8">
        <f>Deals_Raw!AE300</f>
        <v>0.68594298407012066</v>
      </c>
      <c r="AD300" t="str">
        <f>Deals_Raw!AF300</f>
        <v>Won</v>
      </c>
      <c r="AE300">
        <f>Deals_Raw!AG300</f>
        <v>0</v>
      </c>
      <c r="AF300" t="str">
        <f>Deals_Raw!AH300</f>
        <v>Yes</v>
      </c>
      <c r="AG300" t="str">
        <f>Deals_Raw!AI300</f>
        <v>No</v>
      </c>
      <c r="AH300" s="6">
        <f>Deals_Raw!AJ300</f>
        <v>351846.17766702862</v>
      </c>
      <c r="AI300" s="6">
        <f>Deals_Raw!AK300</f>
        <v>241346.41704258748</v>
      </c>
      <c r="AJ300" t="str">
        <f>Deals_Raw!AL300</f>
        <v>Expansion allowed because contract was active</v>
      </c>
      <c r="AK300" s="9">
        <f t="shared" si="28"/>
        <v>1.3416666666666666</v>
      </c>
      <c r="AL300" s="8">
        <f t="shared" si="29"/>
        <v>0.9591886428041515</v>
      </c>
      <c r="AM300" s="8">
        <f t="shared" si="30"/>
        <v>2.5000000000000001E-2</v>
      </c>
      <c r="AN300" t="str">
        <f>IF(AC300&lt;Pricing_Policy!$C$10,"Below Floor","Pass")</f>
        <v>Pass</v>
      </c>
      <c r="AO300" t="str">
        <f>IF(V300&gt;Pricing_Policy!$C$7,"Exception","Standard")</f>
        <v>Standard</v>
      </c>
      <c r="AP300" t="str">
        <f t="shared" si="31"/>
        <v>Pass</v>
      </c>
      <c r="AQ300">
        <f t="shared" si="32"/>
        <v>1</v>
      </c>
      <c r="AR300" s="8">
        <f t="shared" si="33"/>
        <v>0.68594298407012066</v>
      </c>
      <c r="AS300">
        <f t="shared" si="34"/>
        <v>5</v>
      </c>
    </row>
    <row r="301" spans="1:45">
      <c r="A301" t="str">
        <f>Deals_Raw!A301</f>
        <v>D00338</v>
      </c>
      <c r="B301">
        <f>Deals_Raw!B301</f>
        <v>45791</v>
      </c>
      <c r="C301" t="str">
        <f>Deals_Raw!C301</f>
        <v>C0086</v>
      </c>
      <c r="D301" t="str">
        <f>Deals_Raw!D301</f>
        <v>FIN-0086</v>
      </c>
      <c r="E301" t="str">
        <f>Deals_Raw!E301</f>
        <v>CT00180</v>
      </c>
      <c r="F301" t="str">
        <f>Deals_Raw!F301</f>
        <v>Legal</v>
      </c>
      <c r="G301" t="str">
        <f>Deals_Raw!G301</f>
        <v>Financial Services</v>
      </c>
      <c r="H301" t="str">
        <f>Deals_Raw!H301</f>
        <v>Northeast</v>
      </c>
      <c r="I301" t="str">
        <f>Deals_Raw!I301</f>
        <v>Northeast Enterprise</v>
      </c>
      <c r="J301" t="str">
        <f>Deals_Raw!J301</f>
        <v>Enterprise</v>
      </c>
      <c r="K301" t="str">
        <f>Deals_Raw!K301</f>
        <v>Yes</v>
      </c>
      <c r="L301">
        <f>Deals_Raw!L301</f>
        <v>45108</v>
      </c>
      <c r="M301">
        <f>Deals_Raw!M301</f>
        <v>68</v>
      </c>
      <c r="N301" t="str">
        <f>Deals_Raw!N301</f>
        <v>Nexus Analytics</v>
      </c>
      <c r="O301" t="str">
        <f>Deals_Raw!O301</f>
        <v>Renewal</v>
      </c>
      <c r="P301">
        <f>Deals_Raw!P301</f>
        <v>0</v>
      </c>
      <c r="Q301">
        <f>Deals_Raw!Q301</f>
        <v>1</v>
      </c>
      <c r="R301">
        <f>Deals_Raw!R301</f>
        <v>1302</v>
      </c>
      <c r="S301" t="str">
        <f>Deals_Raw!S301</f>
        <v>D. Chen</v>
      </c>
      <c r="T301" s="6">
        <f>Deals_Raw!T301</f>
        <v>393815.98532036995</v>
      </c>
      <c r="U301" s="8">
        <f>Deals_Raw!V301</f>
        <v>3.6999999999999998E-2</v>
      </c>
      <c r="V301" s="8">
        <f>Deals_Raw!W301</f>
        <v>2.8000000000000001E-2</v>
      </c>
      <c r="W301" s="8">
        <f>Deals_Raw!X301</f>
        <v>-5.7000000000000002E-2</v>
      </c>
      <c r="X301" t="str">
        <f>Deals_Raw!Y301</f>
        <v>Expansion opportunity</v>
      </c>
      <c r="Y301" t="str">
        <f>Deals_Raw!Z301</f>
        <v>Sales Manager</v>
      </c>
      <c r="Z301" s="6">
        <f>Deals_Raw!AA301</f>
        <v>382706.8638417442</v>
      </c>
      <c r="AA301" s="6">
        <f>Deals_Raw!AC301</f>
        <v>119696.93812004816</v>
      </c>
      <c r="AB301" s="6">
        <f>Deals_Raw!AD301</f>
        <v>263009.92572169605</v>
      </c>
      <c r="AC301" s="8">
        <f>Deals_Raw!AE301</f>
        <v>0.68723597763967759</v>
      </c>
      <c r="AD301" t="str">
        <f>Deals_Raw!AF301</f>
        <v>Won</v>
      </c>
      <c r="AE301" t="str">
        <f>Deals_Raw!AG301</f>
        <v>Yes</v>
      </c>
      <c r="AF301">
        <f>Deals_Raw!AH301</f>
        <v>0</v>
      </c>
      <c r="AG301" t="str">
        <f>Deals_Raw!AI301</f>
        <v>No</v>
      </c>
      <c r="AH301" s="6">
        <f>Deals_Raw!AJ301</f>
        <v>382706.8638417442</v>
      </c>
      <c r="AI301" s="6">
        <f>Deals_Raw!AK301</f>
        <v>263009.92572169605</v>
      </c>
      <c r="AJ301" t="str">
        <f>Deals_Raw!AL301</f>
        <v>Renewal of existing active contract</v>
      </c>
      <c r="AK301" s="9">
        <f t="shared" si="28"/>
        <v>1.8694444444444445</v>
      </c>
      <c r="AL301" s="8">
        <f t="shared" si="29"/>
        <v>0.97179108544923976</v>
      </c>
      <c r="AM301" s="8">
        <f t="shared" si="30"/>
        <v>8.9999999999999976E-3</v>
      </c>
      <c r="AN301" t="str">
        <f>IF(AC301&lt;Pricing_Policy!$C$10,"Below Floor","Pass")</f>
        <v>Pass</v>
      </c>
      <c r="AO301" t="str">
        <f>IF(V301&gt;Pricing_Policy!$C$7,"Exception","Standard")</f>
        <v>Standard</v>
      </c>
      <c r="AP301" t="str">
        <f t="shared" si="31"/>
        <v>Pass</v>
      </c>
      <c r="AQ301">
        <f t="shared" si="32"/>
        <v>1</v>
      </c>
      <c r="AR301" s="8">
        <f t="shared" si="33"/>
        <v>0.68723597763967759</v>
      </c>
      <c r="AS301">
        <f t="shared" si="34"/>
        <v>5</v>
      </c>
    </row>
    <row r="302" spans="1:45">
      <c r="A302" t="str">
        <f>Deals_Raw!A302</f>
        <v>D00339</v>
      </c>
      <c r="B302">
        <f>Deals_Raw!B302</f>
        <v>45619</v>
      </c>
      <c r="C302" t="str">
        <f>Deals_Raw!C302</f>
        <v>C0087</v>
      </c>
      <c r="D302" t="str">
        <f>Deals_Raw!D302</f>
        <v>TEC-0087</v>
      </c>
      <c r="E302" t="str">
        <f>Deals_Raw!E302</f>
        <v>CT00181</v>
      </c>
      <c r="F302" t="str">
        <f>Deals_Raw!F302</f>
        <v>Finance</v>
      </c>
      <c r="G302" t="str">
        <f>Deals_Raw!G302</f>
        <v>Technology</v>
      </c>
      <c r="H302" t="str">
        <f>Deals_Raw!H302</f>
        <v>West</v>
      </c>
      <c r="I302" t="str">
        <f>Deals_Raw!I302</f>
        <v>West Enterprise</v>
      </c>
      <c r="J302" t="str">
        <f>Deals_Raw!J302</f>
        <v>Enterprise</v>
      </c>
      <c r="K302" t="str">
        <f>Deals_Raw!K302</f>
        <v>Yes</v>
      </c>
      <c r="L302">
        <f>Deals_Raw!L302</f>
        <v>43313</v>
      </c>
      <c r="M302">
        <f>Deals_Raw!M302</f>
        <v>80</v>
      </c>
      <c r="N302" t="str">
        <f>Deals_Raw!N302</f>
        <v>Nexus Compliance</v>
      </c>
      <c r="O302" t="str">
        <f>Deals_Raw!O302</f>
        <v>New Business</v>
      </c>
      <c r="P302">
        <f>Deals_Raw!P302</f>
        <v>0</v>
      </c>
      <c r="Q302">
        <f>Deals_Raw!Q302</f>
        <v>1</v>
      </c>
      <c r="R302">
        <f>Deals_Raw!R302</f>
        <v>612</v>
      </c>
      <c r="S302" t="str">
        <f>Deals_Raw!S302</f>
        <v>A. Patel</v>
      </c>
      <c r="T302" s="6">
        <f>Deals_Raw!T302</f>
        <v>396321.95592893352</v>
      </c>
      <c r="U302" s="8">
        <f>Deals_Raw!V302</f>
        <v>0.11899999999999999</v>
      </c>
      <c r="V302" s="8">
        <f>Deals_Raw!W302</f>
        <v>0.11799999999999999</v>
      </c>
      <c r="W302" s="8">
        <f>Deals_Raw!X302</f>
        <v>0.10299999999999999</v>
      </c>
      <c r="X302" t="str">
        <f>Deals_Raw!Y302</f>
        <v>Renewal retention risk</v>
      </c>
      <c r="Y302" t="str">
        <f>Deals_Raw!Z302</f>
        <v>Pricing Analyst</v>
      </c>
      <c r="Z302" s="6">
        <f>Deals_Raw!AA302</f>
        <v>349577.02930749865</v>
      </c>
      <c r="AA302" s="6">
        <f>Deals_Raw!AC302</f>
        <v>157241.53324918111</v>
      </c>
      <c r="AB302" s="6">
        <f>Deals_Raw!AD302</f>
        <v>192335.49605831754</v>
      </c>
      <c r="AC302" s="8">
        <f>Deals_Raw!AE302</f>
        <v>0.55019489249430442</v>
      </c>
      <c r="AD302" t="str">
        <f>Deals_Raw!AF302</f>
        <v>Won</v>
      </c>
      <c r="AE302">
        <f>Deals_Raw!AG302</f>
        <v>0</v>
      </c>
      <c r="AF302">
        <f>Deals_Raw!AH302</f>
        <v>0</v>
      </c>
      <c r="AG302" t="str">
        <f>Deals_Raw!AI302</f>
        <v>No</v>
      </c>
      <c r="AH302" s="6">
        <f>Deals_Raw!AJ302</f>
        <v>349577.02930749865</v>
      </c>
      <c r="AI302" s="6">
        <f>Deals_Raw!AK302</f>
        <v>192335.49605831754</v>
      </c>
      <c r="AJ302" t="str">
        <f>Deals_Raw!AL302</f>
        <v>First purchase under this contract</v>
      </c>
      <c r="AK302" s="9">
        <f t="shared" si="28"/>
        <v>6.3111111111111109</v>
      </c>
      <c r="AL302" s="8">
        <f t="shared" si="29"/>
        <v>0.88205314915781019</v>
      </c>
      <c r="AM302" s="8">
        <f t="shared" si="30"/>
        <v>1.0000000000000009E-3</v>
      </c>
      <c r="AN302" t="str">
        <f>IF(AC302&lt;Pricing_Policy!$C$10,"Below Floor","Pass")</f>
        <v>Pass</v>
      </c>
      <c r="AO302" t="str">
        <f>IF(V302&gt;Pricing_Policy!$C$7,"Exception","Standard")</f>
        <v>Standard</v>
      </c>
      <c r="AP302" t="str">
        <f t="shared" si="31"/>
        <v>Pass</v>
      </c>
      <c r="AQ302">
        <f t="shared" si="32"/>
        <v>1</v>
      </c>
      <c r="AR302" s="8">
        <f t="shared" si="33"/>
        <v>0.55019489249430442</v>
      </c>
      <c r="AS302">
        <f t="shared" si="34"/>
        <v>2</v>
      </c>
    </row>
    <row r="303" spans="1:45">
      <c r="A303" t="str">
        <f>Deals_Raw!A303</f>
        <v>D00340</v>
      </c>
      <c r="B303">
        <f>Deals_Raw!B303</f>
        <v>45984</v>
      </c>
      <c r="C303" t="str">
        <f>Deals_Raw!C303</f>
        <v>C0087</v>
      </c>
      <c r="D303" t="str">
        <f>Deals_Raw!D303</f>
        <v>TEC-0087</v>
      </c>
      <c r="E303" t="str">
        <f>Deals_Raw!E303</f>
        <v>CT00181</v>
      </c>
      <c r="F303" t="str">
        <f>Deals_Raw!F303</f>
        <v>Finance</v>
      </c>
      <c r="G303" t="str">
        <f>Deals_Raw!G303</f>
        <v>Technology</v>
      </c>
      <c r="H303" t="str">
        <f>Deals_Raw!H303</f>
        <v>West</v>
      </c>
      <c r="I303" t="str">
        <f>Deals_Raw!I303</f>
        <v>West Enterprise</v>
      </c>
      <c r="J303" t="str">
        <f>Deals_Raw!J303</f>
        <v>Enterprise</v>
      </c>
      <c r="K303" t="str">
        <f>Deals_Raw!K303</f>
        <v>Yes</v>
      </c>
      <c r="L303">
        <f>Deals_Raw!L303</f>
        <v>43313</v>
      </c>
      <c r="M303">
        <f>Deals_Raw!M303</f>
        <v>80</v>
      </c>
      <c r="N303" t="str">
        <f>Deals_Raw!N303</f>
        <v>Nexus Compliance</v>
      </c>
      <c r="O303" t="str">
        <f>Deals_Raw!O303</f>
        <v>Renewal</v>
      </c>
      <c r="P303">
        <f>Deals_Raw!P303</f>
        <v>0</v>
      </c>
      <c r="Q303">
        <f>Deals_Raw!Q303</f>
        <v>1</v>
      </c>
      <c r="R303">
        <f>Deals_Raw!R303</f>
        <v>612</v>
      </c>
      <c r="S303" t="str">
        <f>Deals_Raw!S303</f>
        <v>A. Patel</v>
      </c>
      <c r="T303" s="6">
        <f>Deals_Raw!T303</f>
        <v>422695.96339347382</v>
      </c>
      <c r="U303" s="8">
        <f>Deals_Raw!V303</f>
        <v>0.14199999999999999</v>
      </c>
      <c r="V303" s="8">
        <f>Deals_Raw!W303</f>
        <v>0.14199999999999999</v>
      </c>
      <c r="W303" s="8">
        <f>Deals_Raw!X303</f>
        <v>-0.17599999999999999</v>
      </c>
      <c r="X303" t="str">
        <f>Deals_Raw!Y303</f>
        <v>Budget constraint</v>
      </c>
      <c r="Y303" t="str">
        <f>Deals_Raw!Z303</f>
        <v>Pricing Analyst</v>
      </c>
      <c r="Z303" s="6">
        <f>Deals_Raw!AA303</f>
        <v>362819.94503048342</v>
      </c>
      <c r="AA303" s="6">
        <f>Deals_Raw!AC303</f>
        <v>155993.85012984124</v>
      </c>
      <c r="AB303" s="6">
        <f>Deals_Raw!AD303</f>
        <v>206826.09490064217</v>
      </c>
      <c r="AC303" s="8">
        <f>Deals_Raw!AE303</f>
        <v>0.57005161302051643</v>
      </c>
      <c r="AD303" t="str">
        <f>Deals_Raw!AF303</f>
        <v>Won</v>
      </c>
      <c r="AE303" t="str">
        <f>Deals_Raw!AG303</f>
        <v>Yes</v>
      </c>
      <c r="AF303">
        <f>Deals_Raw!AH303</f>
        <v>0</v>
      </c>
      <c r="AG303" t="str">
        <f>Deals_Raw!AI303</f>
        <v>No</v>
      </c>
      <c r="AH303" s="6">
        <f>Deals_Raw!AJ303</f>
        <v>362819.94503048342</v>
      </c>
      <c r="AI303" s="6">
        <f>Deals_Raw!AK303</f>
        <v>206826.09490064217</v>
      </c>
      <c r="AJ303" t="str">
        <f>Deals_Raw!AL303</f>
        <v>Renewal of existing active contract</v>
      </c>
      <c r="AK303" s="9">
        <f t="shared" si="28"/>
        <v>7.3111111111111109</v>
      </c>
      <c r="AL303" s="8">
        <f t="shared" si="29"/>
        <v>0.85834731450403334</v>
      </c>
      <c r="AM303" s="8">
        <f t="shared" si="30"/>
        <v>0</v>
      </c>
      <c r="AN303" t="str">
        <f>IF(AC303&lt;Pricing_Policy!$C$10,"Below Floor","Pass")</f>
        <v>Pass</v>
      </c>
      <c r="AO303" t="str">
        <f>IF(V303&gt;Pricing_Policy!$C$7,"Exception","Standard")</f>
        <v>Standard</v>
      </c>
      <c r="AP303" t="str">
        <f t="shared" si="31"/>
        <v>Pass</v>
      </c>
      <c r="AQ303">
        <f t="shared" si="32"/>
        <v>1</v>
      </c>
      <c r="AR303" s="8">
        <f t="shared" si="33"/>
        <v>0.57005161302051643</v>
      </c>
      <c r="AS303">
        <f t="shared" si="34"/>
        <v>2</v>
      </c>
    </row>
    <row r="304" spans="1:45">
      <c r="A304" t="str">
        <f>Deals_Raw!A304</f>
        <v>D00341</v>
      </c>
      <c r="B304">
        <f>Deals_Raw!B304</f>
        <v>45740</v>
      </c>
      <c r="C304" t="str">
        <f>Deals_Raw!C304</f>
        <v>C0087</v>
      </c>
      <c r="D304" t="str">
        <f>Deals_Raw!D304</f>
        <v>TEC-0087</v>
      </c>
      <c r="E304" t="str">
        <f>Deals_Raw!E304</f>
        <v>CT00182</v>
      </c>
      <c r="F304" t="str">
        <f>Deals_Raw!F304</f>
        <v>Finance</v>
      </c>
      <c r="G304" t="str">
        <f>Deals_Raw!G304</f>
        <v>Technology</v>
      </c>
      <c r="H304" t="str">
        <f>Deals_Raw!H304</f>
        <v>West</v>
      </c>
      <c r="I304" t="str">
        <f>Deals_Raw!I304</f>
        <v>West Enterprise</v>
      </c>
      <c r="J304" t="str">
        <f>Deals_Raw!J304</f>
        <v>Enterprise</v>
      </c>
      <c r="K304" t="str">
        <f>Deals_Raw!K304</f>
        <v>Yes</v>
      </c>
      <c r="L304">
        <f>Deals_Raw!L304</f>
        <v>43313</v>
      </c>
      <c r="M304">
        <f>Deals_Raw!M304</f>
        <v>80</v>
      </c>
      <c r="N304" t="str">
        <f>Deals_Raw!N304</f>
        <v>Nexus Insights</v>
      </c>
      <c r="O304" t="str">
        <f>Deals_Raw!O304</f>
        <v>New Business</v>
      </c>
      <c r="P304">
        <f>Deals_Raw!P304</f>
        <v>0</v>
      </c>
      <c r="Q304">
        <f>Deals_Raw!Q304</f>
        <v>3</v>
      </c>
      <c r="R304">
        <f>Deals_Raw!R304</f>
        <v>302</v>
      </c>
      <c r="S304" t="str">
        <f>Deals_Raw!S304</f>
        <v>K. Nguyen</v>
      </c>
      <c r="T304" s="6">
        <f>Deals_Raw!T304</f>
        <v>198248.36265673506</v>
      </c>
      <c r="U304" s="8">
        <f>Deals_Raw!V304</f>
        <v>0.127</v>
      </c>
      <c r="V304" s="8">
        <f>Deals_Raw!W304</f>
        <v>6.7000000000000004E-2</v>
      </c>
      <c r="W304" s="8">
        <f>Deals_Raw!X304</f>
        <v>2.5999999999999999E-2</v>
      </c>
      <c r="X304" t="str">
        <f>Deals_Raw!Y304</f>
        <v>Verified competitor pressure</v>
      </c>
      <c r="Y304" t="str">
        <f>Deals_Raw!Z304</f>
        <v>Sales Manager</v>
      </c>
      <c r="Z304" s="6">
        <f>Deals_Raw!AA304</f>
        <v>184998.21850863067</v>
      </c>
      <c r="AA304" s="6">
        <f>Deals_Raw!AC304</f>
        <v>63268.443895859506</v>
      </c>
      <c r="AB304" s="6">
        <f>Deals_Raw!AD304</f>
        <v>121729.77461277117</v>
      </c>
      <c r="AC304" s="8">
        <f>Deals_Raw!AE304</f>
        <v>0.65800511807140538</v>
      </c>
      <c r="AD304" t="str">
        <f>Deals_Raw!AF304</f>
        <v>Won</v>
      </c>
      <c r="AE304">
        <f>Deals_Raw!AG304</f>
        <v>0</v>
      </c>
      <c r="AF304">
        <f>Deals_Raw!AH304</f>
        <v>0</v>
      </c>
      <c r="AG304" t="str">
        <f>Deals_Raw!AI304</f>
        <v>No</v>
      </c>
      <c r="AH304" s="6">
        <f>Deals_Raw!AJ304</f>
        <v>184998.21850863067</v>
      </c>
      <c r="AI304" s="6">
        <f>Deals_Raw!AK304</f>
        <v>121729.77461277117</v>
      </c>
      <c r="AJ304" t="str">
        <f>Deals_Raw!AL304</f>
        <v>First purchase under this contract</v>
      </c>
      <c r="AK304" s="9">
        <f t="shared" si="28"/>
        <v>6.6472222222222221</v>
      </c>
      <c r="AL304" s="8">
        <f t="shared" si="29"/>
        <v>0.9331639163595673</v>
      </c>
      <c r="AM304" s="8">
        <f t="shared" si="30"/>
        <v>0.06</v>
      </c>
      <c r="AN304" t="str">
        <f>IF(AC304&lt;Pricing_Policy!$C$10,"Below Floor","Pass")</f>
        <v>Pass</v>
      </c>
      <c r="AO304" t="str">
        <f>IF(V304&gt;Pricing_Policy!$C$7,"Exception","Standard")</f>
        <v>Standard</v>
      </c>
      <c r="AP304" t="str">
        <f t="shared" si="31"/>
        <v>Pass</v>
      </c>
      <c r="AQ304">
        <f t="shared" si="32"/>
        <v>1</v>
      </c>
      <c r="AR304" s="8">
        <f t="shared" si="33"/>
        <v>0.65800511807140538</v>
      </c>
      <c r="AS304">
        <f t="shared" si="34"/>
        <v>1</v>
      </c>
    </row>
    <row r="305" spans="1:45">
      <c r="A305" t="str">
        <f>Deals_Raw!A305</f>
        <v>D00342</v>
      </c>
      <c r="B305">
        <f>Deals_Raw!B305</f>
        <v>45551</v>
      </c>
      <c r="C305" t="str">
        <f>Deals_Raw!C305</f>
        <v>C0088</v>
      </c>
      <c r="D305" t="str">
        <f>Deals_Raw!D305</f>
        <v>FIN-0088</v>
      </c>
      <c r="E305" t="str">
        <f>Deals_Raw!E305</f>
        <v>CT00183</v>
      </c>
      <c r="F305" t="str">
        <f>Deals_Raw!F305</f>
        <v>Finance</v>
      </c>
      <c r="G305" t="str">
        <f>Deals_Raw!G305</f>
        <v>Financial Services</v>
      </c>
      <c r="H305" t="str">
        <f>Deals_Raw!H305</f>
        <v>Northeast</v>
      </c>
      <c r="I305" t="str">
        <f>Deals_Raw!I305</f>
        <v>Northeast Enterprise</v>
      </c>
      <c r="J305" t="str">
        <f>Deals_Raw!J305</f>
        <v>Enterprise</v>
      </c>
      <c r="K305" t="str">
        <f>Deals_Raw!K305</f>
        <v>Yes</v>
      </c>
      <c r="L305">
        <f>Deals_Raw!L305</f>
        <v>44562</v>
      </c>
      <c r="M305">
        <f>Deals_Raw!M305</f>
        <v>77</v>
      </c>
      <c r="N305" t="str">
        <f>Deals_Raw!N305</f>
        <v>Nexus Compliance</v>
      </c>
      <c r="O305" t="str">
        <f>Deals_Raw!O305</f>
        <v>Renewal</v>
      </c>
      <c r="P305">
        <f>Deals_Raw!P305</f>
        <v>0</v>
      </c>
      <c r="Q305">
        <f>Deals_Raw!Q305</f>
        <v>1</v>
      </c>
      <c r="R305">
        <f>Deals_Raw!R305</f>
        <v>1106</v>
      </c>
      <c r="S305" t="str">
        <f>Deals_Raw!S305</f>
        <v>L. Williams</v>
      </c>
      <c r="T305" s="6">
        <f>Deals_Raw!T305</f>
        <v>516221.24923804338</v>
      </c>
      <c r="U305" s="8">
        <f>Deals_Raw!V305</f>
        <v>0.23599999999999999</v>
      </c>
      <c r="V305" s="8">
        <f>Deals_Raw!W305</f>
        <v>0.214</v>
      </c>
      <c r="W305" s="8">
        <f>Deals_Raw!X305</f>
        <v>-3.4000000000000002E-2</v>
      </c>
      <c r="X305" t="str">
        <f>Deals_Raw!Y305</f>
        <v>Expansion opportunity</v>
      </c>
      <c r="Y305" t="str">
        <f>Deals_Raw!Z305</f>
        <v>Business Manager</v>
      </c>
      <c r="Z305" s="6">
        <f>Deals_Raw!AA305</f>
        <v>405599.85096418508</v>
      </c>
      <c r="AA305" s="6">
        <f>Deals_Raw!AC305</f>
        <v>179579.50551064685</v>
      </c>
      <c r="AB305" s="6">
        <f>Deals_Raw!AD305</f>
        <v>226020.34545353823</v>
      </c>
      <c r="AC305" s="8">
        <f>Deals_Raw!AE305</f>
        <v>0.55724957717870582</v>
      </c>
      <c r="AD305" t="str">
        <f>Deals_Raw!AF305</f>
        <v>Lost</v>
      </c>
      <c r="AE305" t="str">
        <f>Deals_Raw!AG305</f>
        <v>No</v>
      </c>
      <c r="AF305">
        <f>Deals_Raw!AH305</f>
        <v>0</v>
      </c>
      <c r="AG305" t="str">
        <f>Deals_Raw!AI305</f>
        <v>No</v>
      </c>
      <c r="AH305" s="6">
        <f>Deals_Raw!AJ305</f>
        <v>0</v>
      </c>
      <c r="AI305" s="6">
        <f>Deals_Raw!AK305</f>
        <v>0</v>
      </c>
      <c r="AJ305" t="str">
        <f>Deals_Raw!AL305</f>
        <v>Renewal of existing active contract</v>
      </c>
      <c r="AK305" s="9">
        <f t="shared" si="28"/>
        <v>2.7083333333333335</v>
      </c>
      <c r="AL305" s="8">
        <f t="shared" si="29"/>
        <v>0.78570932824416184</v>
      </c>
      <c r="AM305" s="8">
        <f t="shared" si="30"/>
        <v>2.1999999999999992E-2</v>
      </c>
      <c r="AN305" t="str">
        <f>IF(AC305&lt;Pricing_Policy!$C$10,"Below Floor","Pass")</f>
        <v>Pass</v>
      </c>
      <c r="AO305" t="str">
        <f>IF(V305&gt;Pricing_Policy!$C$7,"Exception","Standard")</f>
        <v>Standard</v>
      </c>
      <c r="AP305" t="str">
        <f t="shared" si="31"/>
        <v>Pass</v>
      </c>
      <c r="AQ305">
        <f t="shared" si="32"/>
        <v>0</v>
      </c>
      <c r="AR305" s="8">
        <f t="shared" si="33"/>
        <v>0</v>
      </c>
      <c r="AS305">
        <f t="shared" si="34"/>
        <v>2</v>
      </c>
    </row>
    <row r="306" spans="1:45">
      <c r="A306" t="str">
        <f>Deals_Raw!A306</f>
        <v>D00343</v>
      </c>
      <c r="B306">
        <f>Deals_Raw!B306</f>
        <v>45785</v>
      </c>
      <c r="C306" t="str">
        <f>Deals_Raw!C306</f>
        <v>C0088</v>
      </c>
      <c r="D306" t="str">
        <f>Deals_Raw!D306</f>
        <v>FIN-0088</v>
      </c>
      <c r="E306" t="str">
        <f>Deals_Raw!E306</f>
        <v>CT00183</v>
      </c>
      <c r="F306" t="str">
        <f>Deals_Raw!F306</f>
        <v>Finance</v>
      </c>
      <c r="G306" t="str">
        <f>Deals_Raw!G306</f>
        <v>Financial Services</v>
      </c>
      <c r="H306" t="str">
        <f>Deals_Raw!H306</f>
        <v>Northeast</v>
      </c>
      <c r="I306" t="str">
        <f>Deals_Raw!I306</f>
        <v>Northeast Enterprise</v>
      </c>
      <c r="J306" t="str">
        <f>Deals_Raw!J306</f>
        <v>Enterprise</v>
      </c>
      <c r="K306" t="str">
        <f>Deals_Raw!K306</f>
        <v>Yes</v>
      </c>
      <c r="L306">
        <f>Deals_Raw!L306</f>
        <v>44562</v>
      </c>
      <c r="M306">
        <f>Deals_Raw!M306</f>
        <v>77</v>
      </c>
      <c r="N306" t="str">
        <f>Deals_Raw!N306</f>
        <v>Nexus Compliance</v>
      </c>
      <c r="O306" t="str">
        <f>Deals_Raw!O306</f>
        <v>Win-back</v>
      </c>
      <c r="P306">
        <f>Deals_Raw!P306</f>
        <v>0</v>
      </c>
      <c r="Q306">
        <f>Deals_Raw!Q306</f>
        <v>1</v>
      </c>
      <c r="R306">
        <f>Deals_Raw!R306</f>
        <v>1106</v>
      </c>
      <c r="S306" t="str">
        <f>Deals_Raw!S306</f>
        <v>T. Brooks</v>
      </c>
      <c r="T306" s="6">
        <f>Deals_Raw!T306</f>
        <v>516221.24923804338</v>
      </c>
      <c r="U306" s="8">
        <f>Deals_Raw!V306</f>
        <v>0.20300000000000001</v>
      </c>
      <c r="V306" s="8">
        <f>Deals_Raw!W306</f>
        <v>0.184</v>
      </c>
      <c r="W306" s="8">
        <f>Deals_Raw!X306</f>
        <v>-8.7999999999999995E-2</v>
      </c>
      <c r="X306" t="str">
        <f>Deals_Raw!Y306</f>
        <v>Renewal retention risk</v>
      </c>
      <c r="Y306" t="str">
        <f>Deals_Raw!Z306</f>
        <v>Pricing Analyst</v>
      </c>
      <c r="Z306" s="6">
        <f>Deals_Raw!AA306</f>
        <v>421001.26333770953</v>
      </c>
      <c r="AA306" s="6">
        <f>Deals_Raw!AC306</f>
        <v>172014.60387831461</v>
      </c>
      <c r="AB306" s="6">
        <f>Deals_Raw!AD306</f>
        <v>248986.65945939493</v>
      </c>
      <c r="AC306" s="8">
        <f>Deals_Raw!AE306</f>
        <v>0.59141546865066841</v>
      </c>
      <c r="AD306" t="str">
        <f>Deals_Raw!AF306</f>
        <v>Lost</v>
      </c>
      <c r="AE306">
        <f>Deals_Raw!AG306</f>
        <v>0</v>
      </c>
      <c r="AF306">
        <f>Deals_Raw!AH306</f>
        <v>0</v>
      </c>
      <c r="AG306" t="str">
        <f>Deals_Raw!AI306</f>
        <v>Yes</v>
      </c>
      <c r="AH306" s="6">
        <f>Deals_Raw!AJ306</f>
        <v>0</v>
      </c>
      <c r="AI306" s="6">
        <f>Deals_Raw!AK306</f>
        <v>0</v>
      </c>
      <c r="AJ306" t="str">
        <f>Deals_Raw!AL306</f>
        <v>Customer returned after lost renewal</v>
      </c>
      <c r="AK306" s="9">
        <f t="shared" si="28"/>
        <v>3.3527777777777779</v>
      </c>
      <c r="AL306" s="8">
        <f t="shared" si="29"/>
        <v>0.81554423410334009</v>
      </c>
      <c r="AM306" s="8">
        <f t="shared" si="30"/>
        <v>1.9000000000000017E-2</v>
      </c>
      <c r="AN306" t="str">
        <f>IF(AC306&lt;Pricing_Policy!$C$10,"Below Floor","Pass")</f>
        <v>Pass</v>
      </c>
      <c r="AO306" t="str">
        <f>IF(V306&gt;Pricing_Policy!$C$7,"Exception","Standard")</f>
        <v>Standard</v>
      </c>
      <c r="AP306" t="str">
        <f t="shared" si="31"/>
        <v>Pass</v>
      </c>
      <c r="AQ306">
        <f t="shared" si="32"/>
        <v>0</v>
      </c>
      <c r="AR306" s="8">
        <f t="shared" si="33"/>
        <v>0</v>
      </c>
      <c r="AS306">
        <f t="shared" si="34"/>
        <v>2</v>
      </c>
    </row>
    <row r="307" spans="1:45">
      <c r="A307" t="str">
        <f>Deals_Raw!A307</f>
        <v>D00344</v>
      </c>
      <c r="B307">
        <f>Deals_Raw!B307</f>
        <v>45470</v>
      </c>
      <c r="C307" t="str">
        <f>Deals_Raw!C307</f>
        <v>C0089</v>
      </c>
      <c r="D307" t="str">
        <f>Deals_Raw!D307</f>
        <v>LEG-0089</v>
      </c>
      <c r="E307" t="str">
        <f>Deals_Raw!E307</f>
        <v>CT00185</v>
      </c>
      <c r="F307" t="str">
        <f>Deals_Raw!F307</f>
        <v>Technology</v>
      </c>
      <c r="G307" t="str">
        <f>Deals_Raw!G307</f>
        <v>Legal</v>
      </c>
      <c r="H307" t="str">
        <f>Deals_Raw!H307</f>
        <v>Midwest</v>
      </c>
      <c r="I307" t="str">
        <f>Deals_Raw!I307</f>
        <v>Midwest Commercial</v>
      </c>
      <c r="J307" t="str">
        <f>Deals_Raw!J307</f>
        <v>Mid-Market</v>
      </c>
      <c r="K307" t="str">
        <f>Deals_Raw!K307</f>
        <v>No</v>
      </c>
      <c r="L307">
        <f>Deals_Raw!L307</f>
        <v>44256</v>
      </c>
      <c r="M307">
        <f>Deals_Raw!M307</f>
        <v>66</v>
      </c>
      <c r="N307" t="str">
        <f>Deals_Raw!N307</f>
        <v>Nexus Enterprise Suite</v>
      </c>
      <c r="O307" t="str">
        <f>Deals_Raw!O307</f>
        <v>New Business</v>
      </c>
      <c r="P307">
        <f>Deals_Raw!P307</f>
        <v>0</v>
      </c>
      <c r="Q307">
        <f>Deals_Raw!Q307</f>
        <v>1</v>
      </c>
      <c r="R307">
        <f>Deals_Raw!R307</f>
        <v>68</v>
      </c>
      <c r="S307" t="str">
        <f>Deals_Raw!S307</f>
        <v>D. Chen</v>
      </c>
      <c r="T307" s="6">
        <f>Deals_Raw!T307</f>
        <v>254306.98126319313</v>
      </c>
      <c r="U307" s="8">
        <f>Deals_Raw!V307</f>
        <v>0.20399999999999999</v>
      </c>
      <c r="V307" s="8">
        <f>Deals_Raw!W307</f>
        <v>0.19400000000000001</v>
      </c>
      <c r="W307" s="8">
        <f>Deals_Raw!X307</f>
        <v>4.1000000000000002E-2</v>
      </c>
      <c r="X307" t="str">
        <f>Deals_Raw!Y307</f>
        <v>Verified competitor pressure</v>
      </c>
      <c r="Y307" t="str">
        <f>Deals_Raw!Z307</f>
        <v>Pricing Analyst</v>
      </c>
      <c r="Z307" s="6">
        <f>Deals_Raw!AA307</f>
        <v>204909.21740838143</v>
      </c>
      <c r="AA307" s="6">
        <f>Deals_Raw!AC307</f>
        <v>98465.487728452514</v>
      </c>
      <c r="AB307" s="6">
        <f>Deals_Raw!AD307</f>
        <v>106443.72967992892</v>
      </c>
      <c r="AC307" s="8">
        <f>Deals_Raw!AE307</f>
        <v>0.51946774784556393</v>
      </c>
      <c r="AD307" t="str">
        <f>Deals_Raw!AF307</f>
        <v>Won</v>
      </c>
      <c r="AE307">
        <f>Deals_Raw!AG307</f>
        <v>0</v>
      </c>
      <c r="AF307">
        <f>Deals_Raw!AH307</f>
        <v>0</v>
      </c>
      <c r="AG307" t="str">
        <f>Deals_Raw!AI307</f>
        <v>No</v>
      </c>
      <c r="AH307" s="6">
        <f>Deals_Raw!AJ307</f>
        <v>204909.21740838143</v>
      </c>
      <c r="AI307" s="6">
        <f>Deals_Raw!AK307</f>
        <v>106443.72967992892</v>
      </c>
      <c r="AJ307" t="str">
        <f>Deals_Raw!AL307</f>
        <v>First purchase under this contract</v>
      </c>
      <c r="AK307" s="9">
        <f t="shared" si="28"/>
        <v>3.3222222222222224</v>
      </c>
      <c r="AL307" s="8">
        <f t="shared" si="29"/>
        <v>0.80575537639807127</v>
      </c>
      <c r="AM307" s="8">
        <f t="shared" si="30"/>
        <v>9.9999999999999811E-3</v>
      </c>
      <c r="AN307" t="str">
        <f>IF(AC307&lt;Pricing_Policy!$C$10,"Below Floor","Pass")</f>
        <v>Pass</v>
      </c>
      <c r="AO307" t="str">
        <f>IF(V307&gt;Pricing_Policy!$C$7,"Exception","Standard")</f>
        <v>Standard</v>
      </c>
      <c r="AP307" t="str">
        <f t="shared" si="31"/>
        <v>Pass</v>
      </c>
      <c r="AQ307">
        <f t="shared" si="32"/>
        <v>1</v>
      </c>
      <c r="AR307" s="8">
        <f t="shared" si="33"/>
        <v>0.51946774784556393</v>
      </c>
      <c r="AS307">
        <f t="shared" si="34"/>
        <v>2</v>
      </c>
    </row>
    <row r="308" spans="1:45">
      <c r="A308" t="str">
        <f>Deals_Raw!A308</f>
        <v>D00345</v>
      </c>
      <c r="B308">
        <f>Deals_Raw!B308</f>
        <v>45835</v>
      </c>
      <c r="C308" t="str">
        <f>Deals_Raw!C308</f>
        <v>C0089</v>
      </c>
      <c r="D308" t="str">
        <f>Deals_Raw!D308</f>
        <v>LEG-0089</v>
      </c>
      <c r="E308" t="str">
        <f>Deals_Raw!E308</f>
        <v>CT00185</v>
      </c>
      <c r="F308" t="str">
        <f>Deals_Raw!F308</f>
        <v>Technology</v>
      </c>
      <c r="G308" t="str">
        <f>Deals_Raw!G308</f>
        <v>Legal</v>
      </c>
      <c r="H308" t="str">
        <f>Deals_Raw!H308</f>
        <v>Midwest</v>
      </c>
      <c r="I308" t="str">
        <f>Deals_Raw!I308</f>
        <v>Midwest Commercial</v>
      </c>
      <c r="J308" t="str">
        <f>Deals_Raw!J308</f>
        <v>Mid-Market</v>
      </c>
      <c r="K308" t="str">
        <f>Deals_Raw!K308</f>
        <v>No</v>
      </c>
      <c r="L308">
        <f>Deals_Raw!L308</f>
        <v>44256</v>
      </c>
      <c r="M308">
        <f>Deals_Raw!M308</f>
        <v>66</v>
      </c>
      <c r="N308" t="str">
        <f>Deals_Raw!N308</f>
        <v>Nexus Enterprise Suite</v>
      </c>
      <c r="O308" t="str">
        <f>Deals_Raw!O308</f>
        <v>Renewal</v>
      </c>
      <c r="P308">
        <f>Deals_Raw!P308</f>
        <v>0</v>
      </c>
      <c r="Q308">
        <f>Deals_Raw!Q308</f>
        <v>1</v>
      </c>
      <c r="R308">
        <f>Deals_Raw!R308</f>
        <v>68</v>
      </c>
      <c r="S308" t="str">
        <f>Deals_Raw!S308</f>
        <v>A. Patel</v>
      </c>
      <c r="T308" s="6">
        <f>Deals_Raw!T308</f>
        <v>271454.68894143734</v>
      </c>
      <c r="U308" s="8">
        <f>Deals_Raw!V308</f>
        <v>8.3000000000000004E-2</v>
      </c>
      <c r="V308" s="8">
        <f>Deals_Raw!W308</f>
        <v>7.9000000000000001E-2</v>
      </c>
      <c r="W308" s="8">
        <f>Deals_Raw!X308</f>
        <v>4.7E-2</v>
      </c>
      <c r="X308" t="str">
        <f>Deals_Raw!Y308</f>
        <v>Strategic logo opportunity</v>
      </c>
      <c r="Y308" t="str">
        <f>Deals_Raw!Z308</f>
        <v>Sales Manager</v>
      </c>
      <c r="Z308" s="6">
        <f>Deals_Raw!AA308</f>
        <v>250058.43261183472</v>
      </c>
      <c r="AA308" s="6">
        <f>Deals_Raw!AC308</f>
        <v>100761.30074308231</v>
      </c>
      <c r="AB308" s="6">
        <f>Deals_Raw!AD308</f>
        <v>149297.13186875242</v>
      </c>
      <c r="AC308" s="8">
        <f>Deals_Raw!AE308</f>
        <v>0.59704897895007647</v>
      </c>
      <c r="AD308" t="str">
        <f>Deals_Raw!AF308</f>
        <v>Lost</v>
      </c>
      <c r="AE308" t="str">
        <f>Deals_Raw!AG308</f>
        <v>No</v>
      </c>
      <c r="AF308">
        <f>Deals_Raw!AH308</f>
        <v>0</v>
      </c>
      <c r="AG308" t="str">
        <f>Deals_Raw!AI308</f>
        <v>No</v>
      </c>
      <c r="AH308" s="6">
        <f>Deals_Raw!AJ308</f>
        <v>0</v>
      </c>
      <c r="AI308" s="6">
        <f>Deals_Raw!AK308</f>
        <v>0</v>
      </c>
      <c r="AJ308" t="str">
        <f>Deals_Raw!AL308</f>
        <v>Renewal of existing active contract</v>
      </c>
      <c r="AK308" s="9">
        <f t="shared" si="28"/>
        <v>4.322222222222222</v>
      </c>
      <c r="AL308" s="8">
        <f t="shared" si="29"/>
        <v>0.92117927152763768</v>
      </c>
      <c r="AM308" s="8">
        <f t="shared" si="30"/>
        <v>4.0000000000000036E-3</v>
      </c>
      <c r="AN308" t="str">
        <f>IF(AC308&lt;Pricing_Policy!$C$10,"Below Floor","Pass")</f>
        <v>Pass</v>
      </c>
      <c r="AO308" t="str">
        <f>IF(V308&gt;Pricing_Policy!$C$7,"Exception","Standard")</f>
        <v>Standard</v>
      </c>
      <c r="AP308" t="str">
        <f t="shared" si="31"/>
        <v>Pass</v>
      </c>
      <c r="AQ308">
        <f t="shared" si="32"/>
        <v>0</v>
      </c>
      <c r="AR308" s="8">
        <f t="shared" si="33"/>
        <v>0</v>
      </c>
      <c r="AS308">
        <f t="shared" si="34"/>
        <v>2</v>
      </c>
    </row>
    <row r="309" spans="1:45">
      <c r="A309" t="str">
        <f>Deals_Raw!A309</f>
        <v>D00346</v>
      </c>
      <c r="B309">
        <f>Deals_Raw!B309</f>
        <v>45923</v>
      </c>
      <c r="C309" t="str">
        <f>Deals_Raw!C309</f>
        <v>C0089</v>
      </c>
      <c r="D309" t="str">
        <f>Deals_Raw!D309</f>
        <v>LEG-0089</v>
      </c>
      <c r="E309" t="str">
        <f>Deals_Raw!E309</f>
        <v>CT00186</v>
      </c>
      <c r="F309" t="str">
        <f>Deals_Raw!F309</f>
        <v>Technology</v>
      </c>
      <c r="G309" t="str">
        <f>Deals_Raw!G309</f>
        <v>Legal</v>
      </c>
      <c r="H309" t="str">
        <f>Deals_Raw!H309</f>
        <v>Midwest</v>
      </c>
      <c r="I309" t="str">
        <f>Deals_Raw!I309</f>
        <v>Midwest Commercial</v>
      </c>
      <c r="J309" t="str">
        <f>Deals_Raw!J309</f>
        <v>Mid-Market</v>
      </c>
      <c r="K309" t="str">
        <f>Deals_Raw!K309</f>
        <v>No</v>
      </c>
      <c r="L309">
        <f>Deals_Raw!L309</f>
        <v>44256</v>
      </c>
      <c r="M309">
        <f>Deals_Raw!M309</f>
        <v>66</v>
      </c>
      <c r="N309" t="str">
        <f>Deals_Raw!N309</f>
        <v>Nexus Analytics</v>
      </c>
      <c r="O309" t="str">
        <f>Deals_Raw!O309</f>
        <v>Renewal</v>
      </c>
      <c r="P309">
        <f>Deals_Raw!P309</f>
        <v>0</v>
      </c>
      <c r="Q309">
        <f>Deals_Raw!Q309</f>
        <v>2</v>
      </c>
      <c r="R309">
        <f>Deals_Raw!R309</f>
        <v>216</v>
      </c>
      <c r="S309" t="str">
        <f>Deals_Raw!S309</f>
        <v>R. Singh</v>
      </c>
      <c r="T309" s="6">
        <f>Deals_Raw!T309</f>
        <v>103975.08923241214</v>
      </c>
      <c r="U309" s="8">
        <f>Deals_Raw!V309</f>
        <v>0.158</v>
      </c>
      <c r="V309" s="8">
        <f>Deals_Raw!W309</f>
        <v>0.128</v>
      </c>
      <c r="W309" s="8">
        <f>Deals_Raw!X309</f>
        <v>-5.3999999999999999E-2</v>
      </c>
      <c r="X309" t="str">
        <f>Deals_Raw!Y309</f>
        <v>Expansion opportunity</v>
      </c>
      <c r="Y309" t="str">
        <f>Deals_Raw!Z309</f>
        <v>Pricing Analyst</v>
      </c>
      <c r="Z309" s="6">
        <f>Deals_Raw!AA309</f>
        <v>90711.180627595488</v>
      </c>
      <c r="AA309" s="6">
        <f>Deals_Raw!AC309</f>
        <v>32214.140110320193</v>
      </c>
      <c r="AB309" s="6">
        <f>Deals_Raw!AD309</f>
        <v>58497.040517275294</v>
      </c>
      <c r="AC309" s="8">
        <f>Deals_Raw!AE309</f>
        <v>0.64487133904064475</v>
      </c>
      <c r="AD309" t="str">
        <f>Deals_Raw!AF309</f>
        <v>Won</v>
      </c>
      <c r="AE309" t="str">
        <f>Deals_Raw!AG309</f>
        <v>Yes</v>
      </c>
      <c r="AF309">
        <f>Deals_Raw!AH309</f>
        <v>0</v>
      </c>
      <c r="AG309" t="str">
        <f>Deals_Raw!AI309</f>
        <v>No</v>
      </c>
      <c r="AH309" s="6">
        <f>Deals_Raw!AJ309</f>
        <v>90711.180627595488</v>
      </c>
      <c r="AI309" s="6">
        <f>Deals_Raw!AK309</f>
        <v>58497.040517275294</v>
      </c>
      <c r="AJ309" t="str">
        <f>Deals_Raw!AL309</f>
        <v>Renewal of existing active contract</v>
      </c>
      <c r="AK309" s="9">
        <f t="shared" si="28"/>
        <v>4.5611111111111109</v>
      </c>
      <c r="AL309" s="8">
        <f t="shared" si="29"/>
        <v>0.87243186129738959</v>
      </c>
      <c r="AM309" s="8">
        <f t="shared" si="30"/>
        <v>0.03</v>
      </c>
      <c r="AN309" t="str">
        <f>IF(AC309&lt;Pricing_Policy!$C$10,"Below Floor","Pass")</f>
        <v>Pass</v>
      </c>
      <c r="AO309" t="str">
        <f>IF(V309&gt;Pricing_Policy!$C$7,"Exception","Standard")</f>
        <v>Standard</v>
      </c>
      <c r="AP309" t="str">
        <f t="shared" si="31"/>
        <v>Pass</v>
      </c>
      <c r="AQ309">
        <f t="shared" si="32"/>
        <v>1</v>
      </c>
      <c r="AR309" s="8">
        <f t="shared" si="33"/>
        <v>0.64487133904064475</v>
      </c>
      <c r="AS309">
        <f t="shared" si="34"/>
        <v>1</v>
      </c>
    </row>
    <row r="310" spans="1:45">
      <c r="A310" t="str">
        <f>Deals_Raw!A310</f>
        <v>D00347</v>
      </c>
      <c r="B310">
        <f>Deals_Raw!B310</f>
        <v>45357</v>
      </c>
      <c r="C310" t="str">
        <f>Deals_Raw!C310</f>
        <v>C0090</v>
      </c>
      <c r="D310" t="str">
        <f>Deals_Raw!D310</f>
        <v>PUB-0090</v>
      </c>
      <c r="E310" t="str">
        <f>Deals_Raw!E310</f>
        <v>CT00187</v>
      </c>
      <c r="F310" t="str">
        <f>Deals_Raw!F310</f>
        <v>Legal</v>
      </c>
      <c r="G310" t="str">
        <f>Deals_Raw!G310</f>
        <v>Public Sector</v>
      </c>
      <c r="H310" t="str">
        <f>Deals_Raw!H310</f>
        <v>Northeast</v>
      </c>
      <c r="I310" t="str">
        <f>Deals_Raw!I310</f>
        <v>Northeast Commercial</v>
      </c>
      <c r="J310" t="str">
        <f>Deals_Raw!J310</f>
        <v>SMB</v>
      </c>
      <c r="K310" t="str">
        <f>Deals_Raw!K310</f>
        <v>No</v>
      </c>
      <c r="L310">
        <f>Deals_Raw!L310</f>
        <v>44986</v>
      </c>
      <c r="M310">
        <f>Deals_Raw!M310</f>
        <v>59</v>
      </c>
      <c r="N310" t="str">
        <f>Deals_Raw!N310</f>
        <v>Nexus Insights</v>
      </c>
      <c r="O310" t="str">
        <f>Deals_Raw!O310</f>
        <v>Renewal</v>
      </c>
      <c r="P310">
        <f>Deals_Raw!P310</f>
        <v>0</v>
      </c>
      <c r="Q310">
        <f>Deals_Raw!Q310</f>
        <v>1</v>
      </c>
      <c r="R310">
        <f>Deals_Raw!R310</f>
        <v>54</v>
      </c>
      <c r="S310" t="str">
        <f>Deals_Raw!S310</f>
        <v>S. Rivera</v>
      </c>
      <c r="T310" s="6">
        <f>Deals_Raw!T310</f>
        <v>29885.597978210953</v>
      </c>
      <c r="U310" s="8">
        <f>Deals_Raw!V310</f>
        <v>0.17199999999999999</v>
      </c>
      <c r="V310" s="8">
        <f>Deals_Raw!W310</f>
        <v>0.16800000000000001</v>
      </c>
      <c r="W310" s="8">
        <f>Deals_Raw!X310</f>
        <v>-2.3E-2</v>
      </c>
      <c r="X310" t="str">
        <f>Deals_Raw!Y310</f>
        <v>Renewal retention risk</v>
      </c>
      <c r="Y310" t="str">
        <f>Deals_Raw!Z310</f>
        <v>Pricing Analyst</v>
      </c>
      <c r="Z310" s="6">
        <f>Deals_Raw!AA310</f>
        <v>24855.929909837127</v>
      </c>
      <c r="AA310" s="6">
        <f>Deals_Raw!AC310</f>
        <v>8493.5725355213526</v>
      </c>
      <c r="AB310" s="6">
        <f>Deals_Raw!AD310</f>
        <v>16362.357374315774</v>
      </c>
      <c r="AC310" s="8">
        <f>Deals_Raw!AE310</f>
        <v>0.65828787873432615</v>
      </c>
      <c r="AD310" t="str">
        <f>Deals_Raw!AF310</f>
        <v>Lost</v>
      </c>
      <c r="AE310" t="str">
        <f>Deals_Raw!AG310</f>
        <v>No</v>
      </c>
      <c r="AF310">
        <f>Deals_Raw!AH310</f>
        <v>0</v>
      </c>
      <c r="AG310" t="str">
        <f>Deals_Raw!AI310</f>
        <v>No</v>
      </c>
      <c r="AH310" s="6">
        <f>Deals_Raw!AJ310</f>
        <v>0</v>
      </c>
      <c r="AI310" s="6">
        <f>Deals_Raw!AK310</f>
        <v>0</v>
      </c>
      <c r="AJ310" t="str">
        <f>Deals_Raw!AL310</f>
        <v>Renewal of existing active contract</v>
      </c>
      <c r="AK310" s="9">
        <f t="shared" si="28"/>
        <v>1.0138888888888888</v>
      </c>
      <c r="AL310" s="8">
        <f t="shared" si="29"/>
        <v>0.83170261234053722</v>
      </c>
      <c r="AM310" s="8">
        <f t="shared" si="30"/>
        <v>3.9999999999999758E-3</v>
      </c>
      <c r="AN310" t="str">
        <f>IF(AC310&lt;Pricing_Policy!$C$10,"Below Floor","Pass")</f>
        <v>Pass</v>
      </c>
      <c r="AO310" t="str">
        <f>IF(V310&gt;Pricing_Policy!$C$7,"Exception","Standard")</f>
        <v>Standard</v>
      </c>
      <c r="AP310" t="str">
        <f t="shared" si="31"/>
        <v>Pass</v>
      </c>
      <c r="AQ310">
        <f t="shared" si="32"/>
        <v>0</v>
      </c>
      <c r="AR310" s="8">
        <f t="shared" si="33"/>
        <v>0</v>
      </c>
      <c r="AS310">
        <f t="shared" si="34"/>
        <v>7</v>
      </c>
    </row>
    <row r="311" spans="1:45">
      <c r="A311" t="str">
        <f>Deals_Raw!A311</f>
        <v>D00348</v>
      </c>
      <c r="B311">
        <f>Deals_Raw!B311</f>
        <v>45454</v>
      </c>
      <c r="C311" t="str">
        <f>Deals_Raw!C311</f>
        <v>C0090</v>
      </c>
      <c r="D311" t="str">
        <f>Deals_Raw!D311</f>
        <v>PUB-0090</v>
      </c>
      <c r="E311" t="str">
        <f>Deals_Raw!E311</f>
        <v>CT00188</v>
      </c>
      <c r="F311" t="str">
        <f>Deals_Raw!F311</f>
        <v>Sales</v>
      </c>
      <c r="G311" t="str">
        <f>Deals_Raw!G311</f>
        <v>Public Sector</v>
      </c>
      <c r="H311" t="str">
        <f>Deals_Raw!H311</f>
        <v>Northeast</v>
      </c>
      <c r="I311" t="str">
        <f>Deals_Raw!I311</f>
        <v>Northeast Commercial</v>
      </c>
      <c r="J311" t="str">
        <f>Deals_Raw!J311</f>
        <v>SMB</v>
      </c>
      <c r="K311" t="str">
        <f>Deals_Raw!K311</f>
        <v>No</v>
      </c>
      <c r="L311">
        <f>Deals_Raw!L311</f>
        <v>44986</v>
      </c>
      <c r="M311">
        <f>Deals_Raw!M311</f>
        <v>59</v>
      </c>
      <c r="N311" t="str">
        <f>Deals_Raw!N311</f>
        <v>Nexus Insights</v>
      </c>
      <c r="O311" t="str">
        <f>Deals_Raw!O311</f>
        <v>Renewal</v>
      </c>
      <c r="P311">
        <f>Deals_Raw!P311</f>
        <v>0</v>
      </c>
      <c r="Q311">
        <f>Deals_Raw!Q311</f>
        <v>1</v>
      </c>
      <c r="R311">
        <f>Deals_Raw!R311</f>
        <v>56</v>
      </c>
      <c r="S311" t="str">
        <f>Deals_Raw!S311</f>
        <v>K. Nguyen</v>
      </c>
      <c r="T311" s="6">
        <f>Deals_Raw!T311</f>
        <v>26012.396162641402</v>
      </c>
      <c r="U311" s="8">
        <f>Deals_Raw!V311</f>
        <v>0.16800000000000001</v>
      </c>
      <c r="V311" s="8">
        <f>Deals_Raw!W311</f>
        <v>0.14099999999999999</v>
      </c>
      <c r="W311" s="8">
        <f>Deals_Raw!X311</f>
        <v>-7.5999999999999998E-2</v>
      </c>
      <c r="X311" t="str">
        <f>Deals_Raw!Y311</f>
        <v>Renewal retention risk</v>
      </c>
      <c r="Y311" t="str">
        <f>Deals_Raw!Z311</f>
        <v>Pricing Analyst</v>
      </c>
      <c r="Z311" s="6">
        <f>Deals_Raw!AA311</f>
        <v>22355.162768383059</v>
      </c>
      <c r="AA311" s="6">
        <f>Deals_Raw!AC311</f>
        <v>7317.077748232472</v>
      </c>
      <c r="AB311" s="6">
        <f>Deals_Raw!AD311</f>
        <v>15038.085020150587</v>
      </c>
      <c r="AC311" s="8">
        <f>Deals_Raw!AE311</f>
        <v>0.67268957850841393</v>
      </c>
      <c r="AD311" t="str">
        <f>Deals_Raw!AF311</f>
        <v>Won</v>
      </c>
      <c r="AE311" t="str">
        <f>Deals_Raw!AG311</f>
        <v>Yes</v>
      </c>
      <c r="AF311">
        <f>Deals_Raw!AH311</f>
        <v>0</v>
      </c>
      <c r="AG311" t="str">
        <f>Deals_Raw!AI311</f>
        <v>No</v>
      </c>
      <c r="AH311" s="6">
        <f>Deals_Raw!AJ311</f>
        <v>22355.162768383059</v>
      </c>
      <c r="AI311" s="6">
        <f>Deals_Raw!AK311</f>
        <v>15038.085020150587</v>
      </c>
      <c r="AJ311" t="str">
        <f>Deals_Raw!AL311</f>
        <v>Renewal of existing active contract</v>
      </c>
      <c r="AK311" s="9">
        <f t="shared" si="28"/>
        <v>1.2777777777777777</v>
      </c>
      <c r="AL311" s="8">
        <f t="shared" si="29"/>
        <v>0.85940420977015552</v>
      </c>
      <c r="AM311" s="8">
        <f t="shared" si="30"/>
        <v>2.7000000000000024E-2</v>
      </c>
      <c r="AN311" t="str">
        <f>IF(AC311&lt;Pricing_Policy!$C$10,"Below Floor","Pass")</f>
        <v>Pass</v>
      </c>
      <c r="AO311" t="str">
        <f>IF(V311&gt;Pricing_Policy!$C$7,"Exception","Standard")</f>
        <v>Standard</v>
      </c>
      <c r="AP311" t="str">
        <f t="shared" si="31"/>
        <v>Pass</v>
      </c>
      <c r="AQ311">
        <f t="shared" si="32"/>
        <v>1</v>
      </c>
      <c r="AR311" s="8">
        <f t="shared" si="33"/>
        <v>0.67268957850841393</v>
      </c>
      <c r="AS311">
        <f t="shared" si="34"/>
        <v>7</v>
      </c>
    </row>
    <row r="312" spans="1:45">
      <c r="A312" t="str">
        <f>Deals_Raw!A312</f>
        <v>D00349</v>
      </c>
      <c r="B312">
        <f>Deals_Raw!B312</f>
        <v>45819</v>
      </c>
      <c r="C312" t="str">
        <f>Deals_Raw!C312</f>
        <v>C0090</v>
      </c>
      <c r="D312" t="str">
        <f>Deals_Raw!D312</f>
        <v>PUB-0090</v>
      </c>
      <c r="E312" t="str">
        <f>Deals_Raw!E312</f>
        <v>CT00188</v>
      </c>
      <c r="F312" t="str">
        <f>Deals_Raw!F312</f>
        <v>Sales</v>
      </c>
      <c r="G312" t="str">
        <f>Deals_Raw!G312</f>
        <v>Public Sector</v>
      </c>
      <c r="H312" t="str">
        <f>Deals_Raw!H312</f>
        <v>Northeast</v>
      </c>
      <c r="I312" t="str">
        <f>Deals_Raw!I312</f>
        <v>Northeast Commercial</v>
      </c>
      <c r="J312" t="str">
        <f>Deals_Raw!J312</f>
        <v>SMB</v>
      </c>
      <c r="K312" t="str">
        <f>Deals_Raw!K312</f>
        <v>No</v>
      </c>
      <c r="L312">
        <f>Deals_Raw!L312</f>
        <v>44986</v>
      </c>
      <c r="M312">
        <f>Deals_Raw!M312</f>
        <v>59</v>
      </c>
      <c r="N312" t="str">
        <f>Deals_Raw!N312</f>
        <v>Nexus Insights</v>
      </c>
      <c r="O312" t="str">
        <f>Deals_Raw!O312</f>
        <v>Renewal</v>
      </c>
      <c r="P312">
        <f>Deals_Raw!P312</f>
        <v>0</v>
      </c>
      <c r="Q312">
        <f>Deals_Raw!Q312</f>
        <v>1</v>
      </c>
      <c r="R312">
        <f>Deals_Raw!R312</f>
        <v>56</v>
      </c>
      <c r="S312" t="str">
        <f>Deals_Raw!S312</f>
        <v>R. Singh</v>
      </c>
      <c r="T312" s="6">
        <f>Deals_Raw!T312</f>
        <v>27499.89091284692</v>
      </c>
      <c r="U312" s="8">
        <f>Deals_Raw!V312</f>
        <v>0.18</v>
      </c>
      <c r="V312" s="8">
        <f>Deals_Raw!W312</f>
        <v>0.17499999999999999</v>
      </c>
      <c r="W312" s="8">
        <f>Deals_Raw!X312</f>
        <v>3.5000000000000003E-2</v>
      </c>
      <c r="X312" t="str">
        <f>Deals_Raw!Y312</f>
        <v>Renewal retention risk</v>
      </c>
      <c r="Y312" t="str">
        <f>Deals_Raw!Z312</f>
        <v>Pricing Analyst</v>
      </c>
      <c r="Z312" s="6">
        <f>Deals_Raw!AA312</f>
        <v>22697.117193867001</v>
      </c>
      <c r="AA312" s="6">
        <f>Deals_Raw!AC312</f>
        <v>8184.7699637447504</v>
      </c>
      <c r="AB312" s="6">
        <f>Deals_Raw!AD312</f>
        <v>14512.34723012225</v>
      </c>
      <c r="AC312" s="8">
        <f>Deals_Raw!AE312</f>
        <v>0.63939165076187021</v>
      </c>
      <c r="AD312" t="str">
        <f>Deals_Raw!AF312</f>
        <v>Won</v>
      </c>
      <c r="AE312" t="str">
        <f>Deals_Raw!AG312</f>
        <v>Yes</v>
      </c>
      <c r="AF312">
        <f>Deals_Raw!AH312</f>
        <v>0</v>
      </c>
      <c r="AG312" t="str">
        <f>Deals_Raw!AI312</f>
        <v>No</v>
      </c>
      <c r="AH312" s="6">
        <f>Deals_Raw!AJ312</f>
        <v>22697.117193867001</v>
      </c>
      <c r="AI312" s="6">
        <f>Deals_Raw!AK312</f>
        <v>14512.34723012225</v>
      </c>
      <c r="AJ312" t="str">
        <f>Deals_Raw!AL312</f>
        <v>Renewal of existing active contract</v>
      </c>
      <c r="AK312" s="9">
        <f t="shared" si="28"/>
        <v>2.2777777777777777</v>
      </c>
      <c r="AL312" s="8">
        <f t="shared" si="29"/>
        <v>0.82535299015545394</v>
      </c>
      <c r="AM312" s="8">
        <f t="shared" si="30"/>
        <v>5.0000000000000044E-3</v>
      </c>
      <c r="AN312" t="str">
        <f>IF(AC312&lt;Pricing_Policy!$C$10,"Below Floor","Pass")</f>
        <v>Pass</v>
      </c>
      <c r="AO312" t="str">
        <f>IF(V312&gt;Pricing_Policy!$C$7,"Exception","Standard")</f>
        <v>Standard</v>
      </c>
      <c r="AP312" t="str">
        <f t="shared" si="31"/>
        <v>Pass</v>
      </c>
      <c r="AQ312">
        <f t="shared" si="32"/>
        <v>1</v>
      </c>
      <c r="AR312" s="8">
        <f t="shared" si="33"/>
        <v>0.63939165076187021</v>
      </c>
      <c r="AS312">
        <f t="shared" si="34"/>
        <v>7</v>
      </c>
    </row>
    <row r="313" spans="1:45">
      <c r="A313" t="str">
        <f>Deals_Raw!A313</f>
        <v>D00350</v>
      </c>
      <c r="B313">
        <f>Deals_Raw!B313</f>
        <v>45436</v>
      </c>
      <c r="C313" t="str">
        <f>Deals_Raw!C313</f>
        <v>C0090</v>
      </c>
      <c r="D313" t="str">
        <f>Deals_Raw!D313</f>
        <v>PUB-0090</v>
      </c>
      <c r="E313" t="str">
        <f>Deals_Raw!E313</f>
        <v>CT00189</v>
      </c>
      <c r="F313" t="str">
        <f>Deals_Raw!F313</f>
        <v>Corporate</v>
      </c>
      <c r="G313" t="str">
        <f>Deals_Raw!G313</f>
        <v>Public Sector</v>
      </c>
      <c r="H313" t="str">
        <f>Deals_Raw!H313</f>
        <v>Northeast</v>
      </c>
      <c r="I313" t="str">
        <f>Deals_Raw!I313</f>
        <v>Northeast Commercial</v>
      </c>
      <c r="J313" t="str">
        <f>Deals_Raw!J313</f>
        <v>SMB</v>
      </c>
      <c r="K313" t="str">
        <f>Deals_Raw!K313</f>
        <v>No</v>
      </c>
      <c r="L313">
        <f>Deals_Raw!L313</f>
        <v>44986</v>
      </c>
      <c r="M313">
        <f>Deals_Raw!M313</f>
        <v>59</v>
      </c>
      <c r="N313" t="str">
        <f>Deals_Raw!N313</f>
        <v>Nexus Insights</v>
      </c>
      <c r="O313" t="str">
        <f>Deals_Raw!O313</f>
        <v>Expansion</v>
      </c>
      <c r="P313" t="str">
        <f>Deals_Raw!P313</f>
        <v>Enterprise Upgrade</v>
      </c>
      <c r="Q313">
        <f>Deals_Raw!Q313</f>
        <v>1</v>
      </c>
      <c r="R313">
        <f>Deals_Raw!R313</f>
        <v>25</v>
      </c>
      <c r="S313" t="str">
        <f>Deals_Raw!S313</f>
        <v>D. Chen</v>
      </c>
      <c r="T313" s="6">
        <f>Deals_Raw!T313</f>
        <v>35014.162494953816</v>
      </c>
      <c r="U313" s="8">
        <f>Deals_Raw!V313</f>
        <v>0.17399999999999999</v>
      </c>
      <c r="V313" s="8">
        <f>Deals_Raw!W313</f>
        <v>0.157</v>
      </c>
      <c r="W313" s="8">
        <f>Deals_Raw!X313</f>
        <v>-6.3E-2</v>
      </c>
      <c r="X313" t="str">
        <f>Deals_Raw!Y313</f>
        <v>Expansion opportunity</v>
      </c>
      <c r="Y313" t="str">
        <f>Deals_Raw!Z313</f>
        <v>Pricing Analyst</v>
      </c>
      <c r="Z313" s="6">
        <f>Deals_Raw!AA313</f>
        <v>29524.794277753408</v>
      </c>
      <c r="AA313" s="6">
        <f>Deals_Raw!AC313</f>
        <v>10479.692612072318</v>
      </c>
      <c r="AB313" s="6">
        <f>Deals_Raw!AD313</f>
        <v>19045.10166568109</v>
      </c>
      <c r="AC313" s="8">
        <f>Deals_Raw!AE313</f>
        <v>0.64505450864500535</v>
      </c>
      <c r="AD313" t="str">
        <f>Deals_Raw!AF313</f>
        <v>Won</v>
      </c>
      <c r="AE313">
        <f>Deals_Raw!AG313</f>
        <v>0</v>
      </c>
      <c r="AF313" t="str">
        <f>Deals_Raw!AH313</f>
        <v>Yes</v>
      </c>
      <c r="AG313" t="str">
        <f>Deals_Raw!AI313</f>
        <v>No</v>
      </c>
      <c r="AH313" s="6">
        <f>Deals_Raw!AJ313</f>
        <v>29524.794277753408</v>
      </c>
      <c r="AI313" s="6">
        <f>Deals_Raw!AK313</f>
        <v>19045.10166568109</v>
      </c>
      <c r="AJ313" t="str">
        <f>Deals_Raw!AL313</f>
        <v>Expansion allowed because contract was active</v>
      </c>
      <c r="AK313" s="9">
        <f t="shared" si="28"/>
        <v>1.2305555555555556</v>
      </c>
      <c r="AL313" s="8">
        <f t="shared" si="29"/>
        <v>0.84322434620586662</v>
      </c>
      <c r="AM313" s="8">
        <f t="shared" si="30"/>
        <v>1.6999999999999987E-2</v>
      </c>
      <c r="AN313" t="str">
        <f>IF(AC313&lt;Pricing_Policy!$C$10,"Below Floor","Pass")</f>
        <v>Pass</v>
      </c>
      <c r="AO313" t="str">
        <f>IF(V313&gt;Pricing_Policy!$C$7,"Exception","Standard")</f>
        <v>Standard</v>
      </c>
      <c r="AP313" t="str">
        <f t="shared" si="31"/>
        <v>Pass</v>
      </c>
      <c r="AQ313">
        <f t="shared" si="32"/>
        <v>1</v>
      </c>
      <c r="AR313" s="8">
        <f t="shared" si="33"/>
        <v>0.64505450864500535</v>
      </c>
      <c r="AS313">
        <f t="shared" si="34"/>
        <v>7</v>
      </c>
    </row>
    <row r="314" spans="1:45">
      <c r="A314" t="str">
        <f>Deals_Raw!A314</f>
        <v>D00351</v>
      </c>
      <c r="B314">
        <f>Deals_Raw!B314</f>
        <v>45531</v>
      </c>
      <c r="C314" t="str">
        <f>Deals_Raw!C314</f>
        <v>C0090</v>
      </c>
      <c r="D314" t="str">
        <f>Deals_Raw!D314</f>
        <v>PUB-0090</v>
      </c>
      <c r="E314" t="str">
        <f>Deals_Raw!E314</f>
        <v>CT00189</v>
      </c>
      <c r="F314" t="str">
        <f>Deals_Raw!F314</f>
        <v>Corporate</v>
      </c>
      <c r="G314" t="str">
        <f>Deals_Raw!G314</f>
        <v>Public Sector</v>
      </c>
      <c r="H314" t="str">
        <f>Deals_Raw!H314</f>
        <v>Northeast</v>
      </c>
      <c r="I314" t="str">
        <f>Deals_Raw!I314</f>
        <v>Northeast Commercial</v>
      </c>
      <c r="J314" t="str">
        <f>Deals_Raw!J314</f>
        <v>SMB</v>
      </c>
      <c r="K314" t="str">
        <f>Deals_Raw!K314</f>
        <v>No</v>
      </c>
      <c r="L314">
        <f>Deals_Raw!L314</f>
        <v>44986</v>
      </c>
      <c r="M314">
        <f>Deals_Raw!M314</f>
        <v>59</v>
      </c>
      <c r="N314" t="str">
        <f>Deals_Raw!N314</f>
        <v>Nexus Insights</v>
      </c>
      <c r="O314" t="str">
        <f>Deals_Raw!O314</f>
        <v>Renewal</v>
      </c>
      <c r="P314">
        <f>Deals_Raw!P314</f>
        <v>0</v>
      </c>
      <c r="Q314">
        <f>Deals_Raw!Q314</f>
        <v>1</v>
      </c>
      <c r="R314">
        <f>Deals_Raw!R314</f>
        <v>25</v>
      </c>
      <c r="S314" t="str">
        <f>Deals_Raw!S314</f>
        <v>T. Brooks</v>
      </c>
      <c r="T314" s="6">
        <f>Deals_Raw!T314</f>
        <v>37569.747055831074</v>
      </c>
      <c r="U314" s="8">
        <f>Deals_Raw!V314</f>
        <v>0.216</v>
      </c>
      <c r="V314" s="8">
        <f>Deals_Raw!W314</f>
        <v>0.215</v>
      </c>
      <c r="W314" s="8">
        <f>Deals_Raw!X314</f>
        <v>3.1E-2</v>
      </c>
      <c r="X314" t="str">
        <f>Deals_Raw!Y314</f>
        <v>Renewal retention risk</v>
      </c>
      <c r="Y314" t="str">
        <f>Deals_Raw!Z314</f>
        <v>Business Manager</v>
      </c>
      <c r="Z314" s="6">
        <f>Deals_Raw!AA314</f>
        <v>29509.268838742231</v>
      </c>
      <c r="AA314" s="6">
        <f>Deals_Raw!AC314</f>
        <v>9276.4018092135302</v>
      </c>
      <c r="AB314" s="6">
        <f>Deals_Raw!AD314</f>
        <v>20232.867029528701</v>
      </c>
      <c r="AC314" s="8">
        <f>Deals_Raw!AE314</f>
        <v>0.68564447123695949</v>
      </c>
      <c r="AD314" t="str">
        <f>Deals_Raw!AF314</f>
        <v>Won</v>
      </c>
      <c r="AE314" t="str">
        <f>Deals_Raw!AG314</f>
        <v>Yes</v>
      </c>
      <c r="AF314">
        <f>Deals_Raw!AH314</f>
        <v>0</v>
      </c>
      <c r="AG314" t="str">
        <f>Deals_Raw!AI314</f>
        <v>No</v>
      </c>
      <c r="AH314" s="6">
        <f>Deals_Raw!AJ314</f>
        <v>29509.268838742231</v>
      </c>
      <c r="AI314" s="6">
        <f>Deals_Raw!AK314</f>
        <v>20232.867029528701</v>
      </c>
      <c r="AJ314" t="str">
        <f>Deals_Raw!AL314</f>
        <v>Renewal of existing active contract</v>
      </c>
      <c r="AK314" s="9">
        <f t="shared" si="28"/>
        <v>1.4888888888888889</v>
      </c>
      <c r="AL314" s="8">
        <f t="shared" si="29"/>
        <v>0.7854529548705651</v>
      </c>
      <c r="AM314" s="8">
        <f t="shared" si="30"/>
        <v>1.0000000000000009E-3</v>
      </c>
      <c r="AN314" t="str">
        <f>IF(AC314&lt;Pricing_Policy!$C$10,"Below Floor","Pass")</f>
        <v>Pass</v>
      </c>
      <c r="AO314" t="str">
        <f>IF(V314&gt;Pricing_Policy!$C$7,"Exception","Standard")</f>
        <v>Standard</v>
      </c>
      <c r="AP314" t="str">
        <f t="shared" si="31"/>
        <v>Pass</v>
      </c>
      <c r="AQ314">
        <f t="shared" si="32"/>
        <v>1</v>
      </c>
      <c r="AR314" s="8">
        <f t="shared" si="33"/>
        <v>0.68564447123695949</v>
      </c>
      <c r="AS314">
        <f t="shared" si="34"/>
        <v>7</v>
      </c>
    </row>
    <row r="315" spans="1:45">
      <c r="A315" t="str">
        <f>Deals_Raw!A315</f>
        <v>D00352</v>
      </c>
      <c r="B315">
        <f>Deals_Raw!B315</f>
        <v>45726</v>
      </c>
      <c r="C315" t="str">
        <f>Deals_Raw!C315</f>
        <v>C0090</v>
      </c>
      <c r="D315" t="str">
        <f>Deals_Raw!D315</f>
        <v>PUB-0090</v>
      </c>
      <c r="E315" t="str">
        <f>Deals_Raw!E315</f>
        <v>CT00189</v>
      </c>
      <c r="F315" t="str">
        <f>Deals_Raw!F315</f>
        <v>Corporate</v>
      </c>
      <c r="G315" t="str">
        <f>Deals_Raw!G315</f>
        <v>Public Sector</v>
      </c>
      <c r="H315" t="str">
        <f>Deals_Raw!H315</f>
        <v>Northeast</v>
      </c>
      <c r="I315" t="str">
        <f>Deals_Raw!I315</f>
        <v>Northeast Commercial</v>
      </c>
      <c r="J315" t="str">
        <f>Deals_Raw!J315</f>
        <v>SMB</v>
      </c>
      <c r="K315" t="str">
        <f>Deals_Raw!K315</f>
        <v>No</v>
      </c>
      <c r="L315">
        <f>Deals_Raw!L315</f>
        <v>44986</v>
      </c>
      <c r="M315">
        <f>Deals_Raw!M315</f>
        <v>59</v>
      </c>
      <c r="N315" t="str">
        <f>Deals_Raw!N315</f>
        <v>Nexus Insights</v>
      </c>
      <c r="O315" t="str">
        <f>Deals_Raw!O315</f>
        <v>Expansion</v>
      </c>
      <c r="P315" t="str">
        <f>Deals_Raw!P315</f>
        <v>AI Add-on</v>
      </c>
      <c r="Q315">
        <f>Deals_Raw!Q315</f>
        <v>1</v>
      </c>
      <c r="R315">
        <f>Deals_Raw!R315</f>
        <v>34</v>
      </c>
      <c r="S315" t="str">
        <f>Deals_Raw!S315</f>
        <v>D. Chen</v>
      </c>
      <c r="T315" s="6">
        <f>Deals_Raw!T315</f>
        <v>46656.291120742935</v>
      </c>
      <c r="U315" s="8">
        <f>Deals_Raw!V315</f>
        <v>0.13900000000000001</v>
      </c>
      <c r="V315" s="8">
        <f>Deals_Raw!W315</f>
        <v>9.1999999999999998E-2</v>
      </c>
      <c r="W315" s="8">
        <f>Deals_Raw!X315</f>
        <v>3.5000000000000003E-2</v>
      </c>
      <c r="X315" t="str">
        <f>Deals_Raw!Y315</f>
        <v>Expansion opportunity</v>
      </c>
      <c r="Y315" t="str">
        <f>Deals_Raw!Z315</f>
        <v>Sales Manager</v>
      </c>
      <c r="Z315" s="6">
        <f>Deals_Raw!AA315</f>
        <v>42356.184325461058</v>
      </c>
      <c r="AA315" s="6">
        <f>Deals_Raw!AC315</f>
        <v>11232.315408387734</v>
      </c>
      <c r="AB315" s="6">
        <f>Deals_Raw!AD315</f>
        <v>31123.868917073323</v>
      </c>
      <c r="AC315" s="8">
        <f>Deals_Raw!AE315</f>
        <v>0.73481285939074104</v>
      </c>
      <c r="AD315" t="str">
        <f>Deals_Raw!AF315</f>
        <v>Lost</v>
      </c>
      <c r="AE315">
        <f>Deals_Raw!AG315</f>
        <v>0</v>
      </c>
      <c r="AF315" t="str">
        <f>Deals_Raw!AH315</f>
        <v>No</v>
      </c>
      <c r="AG315" t="str">
        <f>Deals_Raw!AI315</f>
        <v>No</v>
      </c>
      <c r="AH315" s="6">
        <f>Deals_Raw!AJ315</f>
        <v>0</v>
      </c>
      <c r="AI315" s="6">
        <f>Deals_Raw!AK315</f>
        <v>0</v>
      </c>
      <c r="AJ315" t="str">
        <f>Deals_Raw!AL315</f>
        <v>Expansion allowed because contract was active</v>
      </c>
      <c r="AK315" s="9">
        <f t="shared" si="28"/>
        <v>2.0249999999999999</v>
      </c>
      <c r="AL315" s="8">
        <f t="shared" si="29"/>
        <v>0.90783436291252706</v>
      </c>
      <c r="AM315" s="8">
        <f t="shared" si="30"/>
        <v>4.7000000000000014E-2</v>
      </c>
      <c r="AN315" t="str">
        <f>IF(AC315&lt;Pricing_Policy!$C$10,"Below Floor","Pass")</f>
        <v>Pass</v>
      </c>
      <c r="AO315" t="str">
        <f>IF(V315&gt;Pricing_Policy!$C$7,"Exception","Standard")</f>
        <v>Standard</v>
      </c>
      <c r="AP315" t="str">
        <f t="shared" si="31"/>
        <v>Pass</v>
      </c>
      <c r="AQ315">
        <f t="shared" si="32"/>
        <v>0</v>
      </c>
      <c r="AR315" s="8">
        <f t="shared" si="33"/>
        <v>0</v>
      </c>
      <c r="AS315">
        <f t="shared" si="34"/>
        <v>7</v>
      </c>
    </row>
    <row r="316" spans="1:45">
      <c r="A316" t="str">
        <f>Deals_Raw!A316</f>
        <v>D00353</v>
      </c>
      <c r="B316">
        <f>Deals_Raw!B316</f>
        <v>45896</v>
      </c>
      <c r="C316" t="str">
        <f>Deals_Raw!C316</f>
        <v>C0090</v>
      </c>
      <c r="D316" t="str">
        <f>Deals_Raw!D316</f>
        <v>PUB-0090</v>
      </c>
      <c r="E316" t="str">
        <f>Deals_Raw!E316</f>
        <v>CT00189</v>
      </c>
      <c r="F316" t="str">
        <f>Deals_Raw!F316</f>
        <v>Corporate</v>
      </c>
      <c r="G316" t="str">
        <f>Deals_Raw!G316</f>
        <v>Public Sector</v>
      </c>
      <c r="H316" t="str">
        <f>Deals_Raw!H316</f>
        <v>Northeast</v>
      </c>
      <c r="I316" t="str">
        <f>Deals_Raw!I316</f>
        <v>Northeast Commercial</v>
      </c>
      <c r="J316" t="str">
        <f>Deals_Raw!J316</f>
        <v>SMB</v>
      </c>
      <c r="K316" t="str">
        <f>Deals_Raw!K316</f>
        <v>No</v>
      </c>
      <c r="L316">
        <f>Deals_Raw!L316</f>
        <v>44986</v>
      </c>
      <c r="M316">
        <f>Deals_Raw!M316</f>
        <v>59</v>
      </c>
      <c r="N316" t="str">
        <f>Deals_Raw!N316</f>
        <v>Nexus Insights</v>
      </c>
      <c r="O316" t="str">
        <f>Deals_Raw!O316</f>
        <v>Renewal</v>
      </c>
      <c r="P316">
        <f>Deals_Raw!P316</f>
        <v>0</v>
      </c>
      <c r="Q316">
        <f>Deals_Raw!Q316</f>
        <v>1</v>
      </c>
      <c r="R316">
        <f>Deals_Raw!R316</f>
        <v>25</v>
      </c>
      <c r="S316" t="str">
        <f>Deals_Raw!S316</f>
        <v>K. Nguyen</v>
      </c>
      <c r="T316" s="6">
        <f>Deals_Raw!T316</f>
        <v>39458.703713348703</v>
      </c>
      <c r="U316" s="8">
        <f>Deals_Raw!V316</f>
        <v>0.17</v>
      </c>
      <c r="V316" s="8">
        <f>Deals_Raw!W316</f>
        <v>0.127</v>
      </c>
      <c r="W316" s="8">
        <f>Deals_Raw!X316</f>
        <v>5.8999999999999997E-2</v>
      </c>
      <c r="X316" t="str">
        <f>Deals_Raw!Y316</f>
        <v>Renewal retention risk</v>
      </c>
      <c r="Y316" t="str">
        <f>Deals_Raw!Z316</f>
        <v>Pricing Analyst</v>
      </c>
      <c r="Z316" s="6">
        <f>Deals_Raw!AA316</f>
        <v>34442.990554326971</v>
      </c>
      <c r="AA316" s="6">
        <f>Deals_Raw!AC316</f>
        <v>12089.584675512615</v>
      </c>
      <c r="AB316" s="6">
        <f>Deals_Raw!AD316</f>
        <v>22353.405878814356</v>
      </c>
      <c r="AC316" s="8">
        <f>Deals_Raw!AE316</f>
        <v>0.6489972420819935</v>
      </c>
      <c r="AD316" t="str">
        <f>Deals_Raw!AF316</f>
        <v>Won</v>
      </c>
      <c r="AE316" t="str">
        <f>Deals_Raw!AG316</f>
        <v>Yes</v>
      </c>
      <c r="AF316">
        <f>Deals_Raw!AH316</f>
        <v>0</v>
      </c>
      <c r="AG316" t="str">
        <f>Deals_Raw!AI316</f>
        <v>No</v>
      </c>
      <c r="AH316" s="6">
        <f>Deals_Raw!AJ316</f>
        <v>34442.990554326971</v>
      </c>
      <c r="AI316" s="6">
        <f>Deals_Raw!AK316</f>
        <v>22353.405878814356</v>
      </c>
      <c r="AJ316" t="str">
        <f>Deals_Raw!AL316</f>
        <v>Renewal of existing active contract</v>
      </c>
      <c r="AK316" s="9">
        <f t="shared" si="28"/>
        <v>2.4888888888888889</v>
      </c>
      <c r="AL316" s="8">
        <f t="shared" si="29"/>
        <v>0.87288702651108785</v>
      </c>
      <c r="AM316" s="8">
        <f t="shared" si="30"/>
        <v>4.300000000000001E-2</v>
      </c>
      <c r="AN316" t="str">
        <f>IF(AC316&lt;Pricing_Policy!$C$10,"Below Floor","Pass")</f>
        <v>Pass</v>
      </c>
      <c r="AO316" t="str">
        <f>IF(V316&gt;Pricing_Policy!$C$7,"Exception","Standard")</f>
        <v>Standard</v>
      </c>
      <c r="AP316" t="str">
        <f t="shared" si="31"/>
        <v>Pass</v>
      </c>
      <c r="AQ316">
        <f t="shared" si="32"/>
        <v>1</v>
      </c>
      <c r="AR316" s="8">
        <f t="shared" si="33"/>
        <v>0.6489972420819935</v>
      </c>
      <c r="AS316">
        <f t="shared" si="34"/>
        <v>7</v>
      </c>
    </row>
    <row r="317" spans="1:45">
      <c r="A317" t="str">
        <f>Deals_Raw!A317</f>
        <v>D00356</v>
      </c>
      <c r="B317">
        <f>Deals_Raw!B317</f>
        <v>45578</v>
      </c>
      <c r="C317" t="str">
        <f>Deals_Raw!C317</f>
        <v>C0091</v>
      </c>
      <c r="D317" t="str">
        <f>Deals_Raw!D317</f>
        <v>TEC-0091</v>
      </c>
      <c r="E317" t="str">
        <f>Deals_Raw!E317</f>
        <v>CT00190</v>
      </c>
      <c r="F317" t="str">
        <f>Deals_Raw!F317</f>
        <v>Corporate</v>
      </c>
      <c r="G317" t="str">
        <f>Deals_Raw!G317</f>
        <v>Technology</v>
      </c>
      <c r="H317" t="str">
        <f>Deals_Raw!H317</f>
        <v>Northeast</v>
      </c>
      <c r="I317" t="str">
        <f>Deals_Raw!I317</f>
        <v>Northeast Commercial</v>
      </c>
      <c r="J317" t="str">
        <f>Deals_Raw!J317</f>
        <v>Mid-Market</v>
      </c>
      <c r="K317" t="str">
        <f>Deals_Raw!K317</f>
        <v>No</v>
      </c>
      <c r="L317">
        <f>Deals_Raw!L317</f>
        <v>44105</v>
      </c>
      <c r="M317">
        <f>Deals_Raw!M317</f>
        <v>66</v>
      </c>
      <c r="N317" t="str">
        <f>Deals_Raw!N317</f>
        <v>Nexus Analytics</v>
      </c>
      <c r="O317" t="str">
        <f>Deals_Raw!O317</f>
        <v>Renewal</v>
      </c>
      <c r="P317">
        <f>Deals_Raw!P317</f>
        <v>0</v>
      </c>
      <c r="Q317">
        <f>Deals_Raw!Q317</f>
        <v>1</v>
      </c>
      <c r="R317">
        <f>Deals_Raw!R317</f>
        <v>91</v>
      </c>
      <c r="S317" t="str">
        <f>Deals_Raw!S317</f>
        <v>M. Johnson</v>
      </c>
      <c r="T317" s="6">
        <f>Deals_Raw!T317</f>
        <v>107802.65323316993</v>
      </c>
      <c r="U317" s="8">
        <f>Deals_Raw!V317</f>
        <v>5.3999999999999999E-2</v>
      </c>
      <c r="V317" s="8">
        <f>Deals_Raw!W317</f>
        <v>4.2000000000000003E-2</v>
      </c>
      <c r="W317" s="8">
        <f>Deals_Raw!X317</f>
        <v>-0.10299999999999999</v>
      </c>
      <c r="X317" t="str">
        <f>Deals_Raw!Y317</f>
        <v>Strategic logo opportunity</v>
      </c>
      <c r="Y317" t="str">
        <f>Deals_Raw!Z317</f>
        <v>Sales Manager</v>
      </c>
      <c r="Z317" s="6">
        <f>Deals_Raw!AA317</f>
        <v>103223.4958111466</v>
      </c>
      <c r="AA317" s="6">
        <f>Deals_Raw!AC317</f>
        <v>35987.484261167847</v>
      </c>
      <c r="AB317" s="6">
        <f>Deals_Raw!AD317</f>
        <v>67236.01154997875</v>
      </c>
      <c r="AC317" s="8">
        <f>Deals_Raw!AE317</f>
        <v>0.65136344222434539</v>
      </c>
      <c r="AD317" t="str">
        <f>Deals_Raw!AF317</f>
        <v>Won</v>
      </c>
      <c r="AE317" t="str">
        <f>Deals_Raw!AG317</f>
        <v>Yes</v>
      </c>
      <c r="AF317">
        <f>Deals_Raw!AH317</f>
        <v>0</v>
      </c>
      <c r="AG317" t="str">
        <f>Deals_Raw!AI317</f>
        <v>No</v>
      </c>
      <c r="AH317" s="6">
        <f>Deals_Raw!AJ317</f>
        <v>103223.4958111466</v>
      </c>
      <c r="AI317" s="6">
        <f>Deals_Raw!AK317</f>
        <v>67236.01154997875</v>
      </c>
      <c r="AJ317" t="str">
        <f>Deals_Raw!AL317</f>
        <v>Renewal of existing active contract</v>
      </c>
      <c r="AK317" s="9">
        <f t="shared" si="28"/>
        <v>4.0333333333333332</v>
      </c>
      <c r="AL317" s="8">
        <f t="shared" si="29"/>
        <v>0.95752277625190807</v>
      </c>
      <c r="AM317" s="8">
        <f t="shared" si="30"/>
        <v>1.1999999999999997E-2</v>
      </c>
      <c r="AN317" t="str">
        <f>IF(AC317&lt;Pricing_Policy!$C$10,"Below Floor","Pass")</f>
        <v>Pass</v>
      </c>
      <c r="AO317" t="str">
        <f>IF(V317&gt;Pricing_Policy!$C$7,"Exception","Standard")</f>
        <v>Standard</v>
      </c>
      <c r="AP317" t="str">
        <f t="shared" si="31"/>
        <v>Pass</v>
      </c>
      <c r="AQ317">
        <f t="shared" si="32"/>
        <v>1</v>
      </c>
      <c r="AR317" s="8">
        <f t="shared" si="33"/>
        <v>0.65136344222434539</v>
      </c>
      <c r="AS317">
        <f t="shared" si="34"/>
        <v>3</v>
      </c>
    </row>
    <row r="318" spans="1:45">
      <c r="A318" t="str">
        <f>Deals_Raw!A318</f>
        <v>D00357</v>
      </c>
      <c r="B318">
        <f>Deals_Raw!B318</f>
        <v>45721</v>
      </c>
      <c r="C318" t="str">
        <f>Deals_Raw!C318</f>
        <v>C0091</v>
      </c>
      <c r="D318" t="str">
        <f>Deals_Raw!D318</f>
        <v>TEC-0091</v>
      </c>
      <c r="E318" t="str">
        <f>Deals_Raw!E318</f>
        <v>CT00190</v>
      </c>
      <c r="F318" t="str">
        <f>Deals_Raw!F318</f>
        <v>Corporate</v>
      </c>
      <c r="G318" t="str">
        <f>Deals_Raw!G318</f>
        <v>Technology</v>
      </c>
      <c r="H318" t="str">
        <f>Deals_Raw!H318</f>
        <v>Northeast</v>
      </c>
      <c r="I318" t="str">
        <f>Deals_Raw!I318</f>
        <v>Northeast Commercial</v>
      </c>
      <c r="J318" t="str">
        <f>Deals_Raw!J318</f>
        <v>Mid-Market</v>
      </c>
      <c r="K318" t="str">
        <f>Deals_Raw!K318</f>
        <v>No</v>
      </c>
      <c r="L318">
        <f>Deals_Raw!L318</f>
        <v>44105</v>
      </c>
      <c r="M318">
        <f>Deals_Raw!M318</f>
        <v>66</v>
      </c>
      <c r="N318" t="str">
        <f>Deals_Raw!N318</f>
        <v>Nexus Analytics</v>
      </c>
      <c r="O318" t="str">
        <f>Deals_Raw!O318</f>
        <v>Expansion</v>
      </c>
      <c r="P318" t="str">
        <f>Deals_Raw!P318</f>
        <v>Module Add-on</v>
      </c>
      <c r="Q318">
        <f>Deals_Raw!Q318</f>
        <v>1</v>
      </c>
      <c r="R318">
        <f>Deals_Raw!R318</f>
        <v>106</v>
      </c>
      <c r="S318" t="str">
        <f>Deals_Raw!S318</f>
        <v>K. Nguyen</v>
      </c>
      <c r="T318" s="6">
        <f>Deals_Raw!T318</f>
        <v>136061.41602171454</v>
      </c>
      <c r="U318" s="8">
        <f>Deals_Raw!V318</f>
        <v>0.122</v>
      </c>
      <c r="V318" s="8">
        <f>Deals_Raw!W318</f>
        <v>0.121</v>
      </c>
      <c r="W318" s="8">
        <f>Deals_Raw!X318</f>
        <v>-7.0000000000000001E-3</v>
      </c>
      <c r="X318" t="str">
        <f>Deals_Raw!Y318</f>
        <v>Expansion opportunity</v>
      </c>
      <c r="Y318" t="str">
        <f>Deals_Raw!Z318</f>
        <v>Pricing Analyst</v>
      </c>
      <c r="Z318" s="6">
        <f>Deals_Raw!AA318</f>
        <v>119607.03325946984</v>
      </c>
      <c r="AA318" s="6">
        <f>Deals_Raw!AC318</f>
        <v>41186.286115430717</v>
      </c>
      <c r="AB318" s="6">
        <f>Deals_Raw!AD318</f>
        <v>78420.747144039124</v>
      </c>
      <c r="AC318" s="8">
        <f>Deals_Raw!AE318</f>
        <v>0.65565330906516894</v>
      </c>
      <c r="AD318" t="str">
        <f>Deals_Raw!AF318</f>
        <v>Won</v>
      </c>
      <c r="AE318">
        <f>Deals_Raw!AG318</f>
        <v>0</v>
      </c>
      <c r="AF318" t="str">
        <f>Deals_Raw!AH318</f>
        <v>Yes</v>
      </c>
      <c r="AG318" t="str">
        <f>Deals_Raw!AI318</f>
        <v>No</v>
      </c>
      <c r="AH318" s="6">
        <f>Deals_Raw!AJ318</f>
        <v>119607.03325946984</v>
      </c>
      <c r="AI318" s="6">
        <f>Deals_Raw!AK318</f>
        <v>78420.747144039124</v>
      </c>
      <c r="AJ318" t="str">
        <f>Deals_Raw!AL318</f>
        <v>Expansion allowed because contract was active</v>
      </c>
      <c r="AK318" s="9">
        <f t="shared" si="28"/>
        <v>4.427777777777778</v>
      </c>
      <c r="AL318" s="8">
        <f t="shared" si="29"/>
        <v>0.87906650361761129</v>
      </c>
      <c r="AM318" s="8">
        <f t="shared" si="30"/>
        <v>1.0000000000000009E-3</v>
      </c>
      <c r="AN318" t="str">
        <f>IF(AC318&lt;Pricing_Policy!$C$10,"Below Floor","Pass")</f>
        <v>Pass</v>
      </c>
      <c r="AO318" t="str">
        <f>IF(V318&gt;Pricing_Policy!$C$7,"Exception","Standard")</f>
        <v>Standard</v>
      </c>
      <c r="AP318" t="str">
        <f t="shared" si="31"/>
        <v>Pass</v>
      </c>
      <c r="AQ318">
        <f t="shared" si="32"/>
        <v>1</v>
      </c>
      <c r="AR318" s="8">
        <f t="shared" si="33"/>
        <v>0.65565330906516894</v>
      </c>
      <c r="AS318">
        <f t="shared" si="34"/>
        <v>3</v>
      </c>
    </row>
    <row r="319" spans="1:45">
      <c r="A319" t="str">
        <f>Deals_Raw!A319</f>
        <v>D00358</v>
      </c>
      <c r="B319">
        <f>Deals_Raw!B319</f>
        <v>45943</v>
      </c>
      <c r="C319" t="str">
        <f>Deals_Raw!C319</f>
        <v>C0091</v>
      </c>
      <c r="D319" t="str">
        <f>Deals_Raw!D319</f>
        <v>TEC-0091</v>
      </c>
      <c r="E319" t="str">
        <f>Deals_Raw!E319</f>
        <v>CT00190</v>
      </c>
      <c r="F319" t="str">
        <f>Deals_Raw!F319</f>
        <v>Corporate</v>
      </c>
      <c r="G319" t="str">
        <f>Deals_Raw!G319</f>
        <v>Technology</v>
      </c>
      <c r="H319" t="str">
        <f>Deals_Raw!H319</f>
        <v>Northeast</v>
      </c>
      <c r="I319" t="str">
        <f>Deals_Raw!I319</f>
        <v>Northeast Commercial</v>
      </c>
      <c r="J319" t="str">
        <f>Deals_Raw!J319</f>
        <v>Mid-Market</v>
      </c>
      <c r="K319" t="str">
        <f>Deals_Raw!K319</f>
        <v>No</v>
      </c>
      <c r="L319">
        <f>Deals_Raw!L319</f>
        <v>44105</v>
      </c>
      <c r="M319">
        <f>Deals_Raw!M319</f>
        <v>66</v>
      </c>
      <c r="N319" t="str">
        <f>Deals_Raw!N319</f>
        <v>Nexus Analytics</v>
      </c>
      <c r="O319" t="str">
        <f>Deals_Raw!O319</f>
        <v>Renewal</v>
      </c>
      <c r="P319">
        <f>Deals_Raw!P319</f>
        <v>0</v>
      </c>
      <c r="Q319">
        <f>Deals_Raw!Q319</f>
        <v>1</v>
      </c>
      <c r="R319">
        <f>Deals_Raw!R319</f>
        <v>106</v>
      </c>
      <c r="S319" t="str">
        <f>Deals_Raw!S319</f>
        <v>K. Nguyen</v>
      </c>
      <c r="T319" s="6">
        <f>Deals_Raw!T319</f>
        <v>144664.6819289097</v>
      </c>
      <c r="U319" s="8">
        <f>Deals_Raw!V319</f>
        <v>0.251</v>
      </c>
      <c r="V319" s="8">
        <f>Deals_Raw!W319</f>
        <v>0.23</v>
      </c>
      <c r="W319" s="8">
        <f>Deals_Raw!X319</f>
        <v>-5.8999999999999997E-2</v>
      </c>
      <c r="X319" t="str">
        <f>Deals_Raw!Y319</f>
        <v>Expansion opportunity</v>
      </c>
      <c r="Y319" t="str">
        <f>Deals_Raw!Z319</f>
        <v>Business Manager</v>
      </c>
      <c r="Z319" s="6">
        <f>Deals_Raw!AA319</f>
        <v>111410.99231825341</v>
      </c>
      <c r="AA319" s="6">
        <f>Deals_Raw!AC319</f>
        <v>43330.905645587736</v>
      </c>
      <c r="AB319" s="6">
        <f>Deals_Raw!AD319</f>
        <v>68080.086672665668</v>
      </c>
      <c r="AC319" s="8">
        <f>Deals_Raw!AE319</f>
        <v>0.61107154021382437</v>
      </c>
      <c r="AD319" t="str">
        <f>Deals_Raw!AF319</f>
        <v>Won</v>
      </c>
      <c r="AE319" t="str">
        <f>Deals_Raw!AG319</f>
        <v>Yes</v>
      </c>
      <c r="AF319">
        <f>Deals_Raw!AH319</f>
        <v>0</v>
      </c>
      <c r="AG319" t="str">
        <f>Deals_Raw!AI319</f>
        <v>No</v>
      </c>
      <c r="AH319" s="6">
        <f>Deals_Raw!AJ319</f>
        <v>111410.99231825341</v>
      </c>
      <c r="AI319" s="6">
        <f>Deals_Raw!AK319</f>
        <v>68080.086672665668</v>
      </c>
      <c r="AJ319" t="str">
        <f>Deals_Raw!AL319</f>
        <v>Renewal of existing active contract</v>
      </c>
      <c r="AK319" s="9">
        <f t="shared" si="28"/>
        <v>5.0333333333333332</v>
      </c>
      <c r="AL319" s="8">
        <f t="shared" si="29"/>
        <v>0.77013263246244423</v>
      </c>
      <c r="AM319" s="8">
        <f t="shared" si="30"/>
        <v>2.0999999999999991E-2</v>
      </c>
      <c r="AN319" t="str">
        <f>IF(AC319&lt;Pricing_Policy!$C$10,"Below Floor","Pass")</f>
        <v>Pass</v>
      </c>
      <c r="AO319" t="str">
        <f>IF(V319&gt;Pricing_Policy!$C$7,"Exception","Standard")</f>
        <v>Standard</v>
      </c>
      <c r="AP319" t="str">
        <f t="shared" si="31"/>
        <v>Pass</v>
      </c>
      <c r="AQ319">
        <f t="shared" si="32"/>
        <v>1</v>
      </c>
      <c r="AR319" s="8">
        <f t="shared" si="33"/>
        <v>0.61107154021382437</v>
      </c>
      <c r="AS319">
        <f t="shared" si="34"/>
        <v>3</v>
      </c>
    </row>
    <row r="320" spans="1:45">
      <c r="A320" t="str">
        <f>Deals_Raw!A320</f>
        <v>D00359</v>
      </c>
      <c r="B320">
        <f>Deals_Raw!B320</f>
        <v>45345</v>
      </c>
      <c r="C320" t="str">
        <f>Deals_Raw!C320</f>
        <v>C0091</v>
      </c>
      <c r="D320" t="str">
        <f>Deals_Raw!D320</f>
        <v>TEC-0091</v>
      </c>
      <c r="E320" t="str">
        <f>Deals_Raw!E320</f>
        <v>CT00191</v>
      </c>
      <c r="F320" t="str">
        <f>Deals_Raw!F320</f>
        <v>Sales</v>
      </c>
      <c r="G320" t="str">
        <f>Deals_Raw!G320</f>
        <v>Technology</v>
      </c>
      <c r="H320" t="str">
        <f>Deals_Raw!H320</f>
        <v>Northeast</v>
      </c>
      <c r="I320" t="str">
        <f>Deals_Raw!I320</f>
        <v>Northeast Commercial</v>
      </c>
      <c r="J320" t="str">
        <f>Deals_Raw!J320</f>
        <v>Mid-Market</v>
      </c>
      <c r="K320" t="str">
        <f>Deals_Raw!K320</f>
        <v>No</v>
      </c>
      <c r="L320">
        <f>Deals_Raw!L320</f>
        <v>44105</v>
      </c>
      <c r="M320">
        <f>Deals_Raw!M320</f>
        <v>66</v>
      </c>
      <c r="N320" t="str">
        <f>Deals_Raw!N320</f>
        <v>Nexus Insights</v>
      </c>
      <c r="O320" t="str">
        <f>Deals_Raw!O320</f>
        <v>Renewal</v>
      </c>
      <c r="P320">
        <f>Deals_Raw!P320</f>
        <v>0</v>
      </c>
      <c r="Q320">
        <f>Deals_Raw!Q320</f>
        <v>1</v>
      </c>
      <c r="R320">
        <f>Deals_Raw!R320</f>
        <v>277</v>
      </c>
      <c r="S320" t="str">
        <f>Deals_Raw!S320</f>
        <v>S. Rivera</v>
      </c>
      <c r="T320" s="6">
        <f>Deals_Raw!T320</f>
        <v>32148.270891922912</v>
      </c>
      <c r="U320" s="8">
        <f>Deals_Raw!V320</f>
        <v>0.13</v>
      </c>
      <c r="V320" s="8">
        <f>Deals_Raw!W320</f>
        <v>8.8999999999999996E-2</v>
      </c>
      <c r="W320" s="8">
        <f>Deals_Raw!X320</f>
        <v>2.8000000000000001E-2</v>
      </c>
      <c r="X320" t="str">
        <f>Deals_Raw!Y320</f>
        <v>Budget constraint</v>
      </c>
      <c r="Y320" t="str">
        <f>Deals_Raw!Z320</f>
        <v>Sales Manager</v>
      </c>
      <c r="Z320" s="6">
        <f>Deals_Raw!AA320</f>
        <v>29285.04668902557</v>
      </c>
      <c r="AA320" s="6">
        <f>Deals_Raw!AC320</f>
        <v>8724.0402287810466</v>
      </c>
      <c r="AB320" s="6">
        <f>Deals_Raw!AD320</f>
        <v>20561.006460244524</v>
      </c>
      <c r="AC320" s="8">
        <f>Deals_Raw!AE320</f>
        <v>0.70209915246437571</v>
      </c>
      <c r="AD320" t="str">
        <f>Deals_Raw!AF320</f>
        <v>Won</v>
      </c>
      <c r="AE320" t="str">
        <f>Deals_Raw!AG320</f>
        <v>Yes</v>
      </c>
      <c r="AF320">
        <f>Deals_Raw!AH320</f>
        <v>0</v>
      </c>
      <c r="AG320" t="str">
        <f>Deals_Raw!AI320</f>
        <v>No</v>
      </c>
      <c r="AH320" s="6">
        <f>Deals_Raw!AJ320</f>
        <v>29285.04668902557</v>
      </c>
      <c r="AI320" s="6">
        <f>Deals_Raw!AK320</f>
        <v>20561.006460244524</v>
      </c>
      <c r="AJ320" t="str">
        <f>Deals_Raw!AL320</f>
        <v>Renewal of existing active contract</v>
      </c>
      <c r="AK320" s="9">
        <f t="shared" si="28"/>
        <v>3.3944444444444444</v>
      </c>
      <c r="AL320" s="8">
        <f t="shared" si="29"/>
        <v>0.91093691438264224</v>
      </c>
      <c r="AM320" s="8">
        <f t="shared" si="30"/>
        <v>4.1000000000000009E-2</v>
      </c>
      <c r="AN320" t="str">
        <f>IF(AC320&lt;Pricing_Policy!$C$10,"Below Floor","Pass")</f>
        <v>Pass</v>
      </c>
      <c r="AO320" t="str">
        <f>IF(V320&gt;Pricing_Policy!$C$7,"Exception","Standard")</f>
        <v>Standard</v>
      </c>
      <c r="AP320" t="str">
        <f t="shared" si="31"/>
        <v>Pass</v>
      </c>
      <c r="AQ320">
        <f t="shared" si="32"/>
        <v>1</v>
      </c>
      <c r="AR320" s="8">
        <f t="shared" si="33"/>
        <v>0.70209915246437571</v>
      </c>
      <c r="AS320">
        <f t="shared" si="34"/>
        <v>3</v>
      </c>
    </row>
    <row r="321" spans="1:45">
      <c r="A321" t="str">
        <f>Deals_Raw!A321</f>
        <v>D00360</v>
      </c>
      <c r="B321">
        <f>Deals_Raw!B321</f>
        <v>45710</v>
      </c>
      <c r="C321" t="str">
        <f>Deals_Raw!C321</f>
        <v>C0091</v>
      </c>
      <c r="D321" t="str">
        <f>Deals_Raw!D321</f>
        <v>TEC-0091</v>
      </c>
      <c r="E321" t="str">
        <f>Deals_Raw!E321</f>
        <v>CT00191</v>
      </c>
      <c r="F321" t="str">
        <f>Deals_Raw!F321</f>
        <v>Sales</v>
      </c>
      <c r="G321" t="str">
        <f>Deals_Raw!G321</f>
        <v>Technology</v>
      </c>
      <c r="H321" t="str">
        <f>Deals_Raw!H321</f>
        <v>Northeast</v>
      </c>
      <c r="I321" t="str">
        <f>Deals_Raw!I321</f>
        <v>Northeast Commercial</v>
      </c>
      <c r="J321" t="str">
        <f>Deals_Raw!J321</f>
        <v>Mid-Market</v>
      </c>
      <c r="K321" t="str">
        <f>Deals_Raw!K321</f>
        <v>No</v>
      </c>
      <c r="L321">
        <f>Deals_Raw!L321</f>
        <v>44105</v>
      </c>
      <c r="M321">
        <f>Deals_Raw!M321</f>
        <v>66</v>
      </c>
      <c r="N321" t="str">
        <f>Deals_Raw!N321</f>
        <v>Nexus Insights</v>
      </c>
      <c r="O321" t="str">
        <f>Deals_Raw!O321</f>
        <v>Renewal</v>
      </c>
      <c r="P321">
        <f>Deals_Raw!P321</f>
        <v>0</v>
      </c>
      <c r="Q321">
        <f>Deals_Raw!Q321</f>
        <v>1</v>
      </c>
      <c r="R321">
        <f>Deals_Raw!R321</f>
        <v>277</v>
      </c>
      <c r="S321" t="str">
        <f>Deals_Raw!S321</f>
        <v>D. Chen</v>
      </c>
      <c r="T321" s="6">
        <f>Deals_Raw!T321</f>
        <v>33521.210828297844</v>
      </c>
      <c r="U321" s="8">
        <f>Deals_Raw!V321</f>
        <v>0.184</v>
      </c>
      <c r="V321" s="8">
        <f>Deals_Raw!W321</f>
        <v>0.156</v>
      </c>
      <c r="W321" s="8">
        <f>Deals_Raw!X321</f>
        <v>-8.1000000000000003E-2</v>
      </c>
      <c r="X321" t="str">
        <f>Deals_Raw!Y321</f>
        <v>Expansion opportunity</v>
      </c>
      <c r="Y321" t="str">
        <f>Deals_Raw!Z321</f>
        <v>Pricing Analyst</v>
      </c>
      <c r="Z321" s="6">
        <f>Deals_Raw!AA321</f>
        <v>28294.651660210311</v>
      </c>
      <c r="AA321" s="6">
        <f>Deals_Raw!AC321</f>
        <v>9124.9276594391795</v>
      </c>
      <c r="AB321" s="6">
        <f>Deals_Raw!AD321</f>
        <v>19169.72400077113</v>
      </c>
      <c r="AC321" s="8">
        <f>Deals_Raw!AE321</f>
        <v>0.67750344591549716</v>
      </c>
      <c r="AD321" t="str">
        <f>Deals_Raw!AF321</f>
        <v>Lost</v>
      </c>
      <c r="AE321" t="str">
        <f>Deals_Raw!AG321</f>
        <v>No</v>
      </c>
      <c r="AF321">
        <f>Deals_Raw!AH321</f>
        <v>0</v>
      </c>
      <c r="AG321" t="str">
        <f>Deals_Raw!AI321</f>
        <v>No</v>
      </c>
      <c r="AH321" s="6">
        <f>Deals_Raw!AJ321</f>
        <v>0</v>
      </c>
      <c r="AI321" s="6">
        <f>Deals_Raw!AK321</f>
        <v>0</v>
      </c>
      <c r="AJ321" t="str">
        <f>Deals_Raw!AL321</f>
        <v>Renewal of existing active contract</v>
      </c>
      <c r="AK321" s="9">
        <f t="shared" si="28"/>
        <v>4.3916666666666666</v>
      </c>
      <c r="AL321" s="8">
        <f t="shared" si="29"/>
        <v>0.84408202929008191</v>
      </c>
      <c r="AM321" s="8">
        <f t="shared" si="30"/>
        <v>2.7999999999999997E-2</v>
      </c>
      <c r="AN321" t="str">
        <f>IF(AC321&lt;Pricing_Policy!$C$10,"Below Floor","Pass")</f>
        <v>Pass</v>
      </c>
      <c r="AO321" t="str">
        <f>IF(V321&gt;Pricing_Policy!$C$7,"Exception","Standard")</f>
        <v>Standard</v>
      </c>
      <c r="AP321" t="str">
        <f t="shared" si="31"/>
        <v>Pass</v>
      </c>
      <c r="AQ321">
        <f t="shared" si="32"/>
        <v>0</v>
      </c>
      <c r="AR321" s="8">
        <f t="shared" si="33"/>
        <v>0</v>
      </c>
      <c r="AS321">
        <f t="shared" si="34"/>
        <v>3</v>
      </c>
    </row>
    <row r="322" spans="1:45">
      <c r="A322" t="str">
        <f>Deals_Raw!A322</f>
        <v>D00361</v>
      </c>
      <c r="B322">
        <f>Deals_Raw!B322</f>
        <v>45675</v>
      </c>
      <c r="C322" t="str">
        <f>Deals_Raw!C322</f>
        <v>C0091</v>
      </c>
      <c r="D322" t="str">
        <f>Deals_Raw!D322</f>
        <v>TEC-0091</v>
      </c>
      <c r="E322" t="str">
        <f>Deals_Raw!E322</f>
        <v>CT00192</v>
      </c>
      <c r="F322" t="str">
        <f>Deals_Raw!F322</f>
        <v>Technology</v>
      </c>
      <c r="G322" t="str">
        <f>Deals_Raw!G322</f>
        <v>Technology</v>
      </c>
      <c r="H322" t="str">
        <f>Deals_Raw!H322</f>
        <v>Northeast</v>
      </c>
      <c r="I322" t="str">
        <f>Deals_Raw!I322</f>
        <v>Northeast Commercial</v>
      </c>
      <c r="J322" t="str">
        <f>Deals_Raw!J322</f>
        <v>Mid-Market</v>
      </c>
      <c r="K322" t="str">
        <f>Deals_Raw!K322</f>
        <v>No</v>
      </c>
      <c r="L322">
        <f>Deals_Raw!L322</f>
        <v>44105</v>
      </c>
      <c r="M322">
        <f>Deals_Raw!M322</f>
        <v>66</v>
      </c>
      <c r="N322" t="str">
        <f>Deals_Raw!N322</f>
        <v>Nexus Insights</v>
      </c>
      <c r="O322" t="str">
        <f>Deals_Raw!O322</f>
        <v>New Business</v>
      </c>
      <c r="P322">
        <f>Deals_Raw!P322</f>
        <v>0</v>
      </c>
      <c r="Q322">
        <f>Deals_Raw!Q322</f>
        <v>1</v>
      </c>
      <c r="R322">
        <f>Deals_Raw!R322</f>
        <v>64</v>
      </c>
      <c r="S322" t="str">
        <f>Deals_Raw!S322</f>
        <v>K. Nguyen</v>
      </c>
      <c r="T322" s="6">
        <f>Deals_Raw!T322</f>
        <v>59121.599398780039</v>
      </c>
      <c r="U322" s="8">
        <f>Deals_Raw!V322</f>
        <v>0.182</v>
      </c>
      <c r="V322" s="8">
        <f>Deals_Raw!W322</f>
        <v>0.16900000000000001</v>
      </c>
      <c r="W322" s="8">
        <f>Deals_Raw!X322</f>
        <v>-0.109</v>
      </c>
      <c r="X322" t="str">
        <f>Deals_Raw!Y322</f>
        <v>Budget constraint</v>
      </c>
      <c r="Y322" t="str">
        <f>Deals_Raw!Z322</f>
        <v>Pricing Analyst</v>
      </c>
      <c r="Z322" s="6">
        <f>Deals_Raw!AA322</f>
        <v>49116.84240237403</v>
      </c>
      <c r="AA322" s="6">
        <f>Deals_Raw!AC322</f>
        <v>18174.926553288919</v>
      </c>
      <c r="AB322" s="6">
        <f>Deals_Raw!AD322</f>
        <v>30941.915849085111</v>
      </c>
      <c r="AC322" s="8">
        <f>Deals_Raw!AE322</f>
        <v>0.6299654932131703</v>
      </c>
      <c r="AD322" t="str">
        <f>Deals_Raw!AF322</f>
        <v>Won</v>
      </c>
      <c r="AE322">
        <f>Deals_Raw!AG322</f>
        <v>0</v>
      </c>
      <c r="AF322">
        <f>Deals_Raw!AH322</f>
        <v>0</v>
      </c>
      <c r="AG322" t="str">
        <f>Deals_Raw!AI322</f>
        <v>No</v>
      </c>
      <c r="AH322" s="6">
        <f>Deals_Raw!AJ322</f>
        <v>49116.84240237403</v>
      </c>
      <c r="AI322" s="6">
        <f>Deals_Raw!AK322</f>
        <v>30941.915849085111</v>
      </c>
      <c r="AJ322" t="str">
        <f>Deals_Raw!AL322</f>
        <v>First purchase under this contract</v>
      </c>
      <c r="AK322" s="9">
        <f t="shared" si="28"/>
        <v>4.2972222222222225</v>
      </c>
      <c r="AL322" s="8">
        <f t="shared" si="29"/>
        <v>0.83077661805251402</v>
      </c>
      <c r="AM322" s="8">
        <f t="shared" si="30"/>
        <v>1.2999999999999984E-2</v>
      </c>
      <c r="AN322" t="str">
        <f>IF(AC322&lt;Pricing_Policy!$C$10,"Below Floor","Pass")</f>
        <v>Pass</v>
      </c>
      <c r="AO322" t="str">
        <f>IF(V322&gt;Pricing_Policy!$C$7,"Exception","Standard")</f>
        <v>Standard</v>
      </c>
      <c r="AP322" t="str">
        <f t="shared" si="31"/>
        <v>Pass</v>
      </c>
      <c r="AQ322">
        <f t="shared" si="32"/>
        <v>1</v>
      </c>
      <c r="AR322" s="8">
        <f t="shared" si="33"/>
        <v>0.6299654932131703</v>
      </c>
      <c r="AS322">
        <f t="shared" si="34"/>
        <v>3</v>
      </c>
    </row>
    <row r="323" spans="1:45">
      <c r="A323" t="str">
        <f>Deals_Raw!A323</f>
        <v>D00364</v>
      </c>
      <c r="B323">
        <f>Deals_Raw!B323</f>
        <v>45510</v>
      </c>
      <c r="C323" t="str">
        <f>Deals_Raw!C323</f>
        <v>C0092</v>
      </c>
      <c r="D323" t="str">
        <f>Deals_Raw!D323</f>
        <v>MAN-0092</v>
      </c>
      <c r="E323" t="str">
        <f>Deals_Raw!E323</f>
        <v>CT00194</v>
      </c>
      <c r="F323" t="str">
        <f>Deals_Raw!F323</f>
        <v>Technology</v>
      </c>
      <c r="G323" t="str">
        <f>Deals_Raw!G323</f>
        <v>Manufacturing</v>
      </c>
      <c r="H323" t="str">
        <f>Deals_Raw!H323</f>
        <v>Midwest</v>
      </c>
      <c r="I323" t="str">
        <f>Deals_Raw!I323</f>
        <v>Midwest Commercial</v>
      </c>
      <c r="J323" t="str">
        <f>Deals_Raw!J323</f>
        <v>Mid-Market</v>
      </c>
      <c r="K323" t="str">
        <f>Deals_Raw!K323</f>
        <v>No</v>
      </c>
      <c r="L323">
        <f>Deals_Raw!L323</f>
        <v>43191</v>
      </c>
      <c r="M323">
        <f>Deals_Raw!M323</f>
        <v>88</v>
      </c>
      <c r="N323" t="str">
        <f>Deals_Raw!N323</f>
        <v>Nexus AI Assistant</v>
      </c>
      <c r="O323" t="str">
        <f>Deals_Raw!O323</f>
        <v>Expansion</v>
      </c>
      <c r="P323" t="str">
        <f>Deals_Raw!P323</f>
        <v>Seat Expansion</v>
      </c>
      <c r="Q323">
        <f>Deals_Raw!Q323</f>
        <v>1</v>
      </c>
      <c r="R323">
        <f>Deals_Raw!R323</f>
        <v>464</v>
      </c>
      <c r="S323" t="str">
        <f>Deals_Raw!S323</f>
        <v>T. Brooks</v>
      </c>
      <c r="T323" s="6">
        <f>Deals_Raw!T323</f>
        <v>63410.976521918601</v>
      </c>
      <c r="U323" s="8">
        <f>Deals_Raw!V323</f>
        <v>9.8000000000000004E-2</v>
      </c>
      <c r="V323" s="8">
        <f>Deals_Raw!W323</f>
        <v>7.5999999999999998E-2</v>
      </c>
      <c r="W323" s="8">
        <f>Deals_Raw!X323</f>
        <v>-7.1999999999999995E-2</v>
      </c>
      <c r="X323" t="str">
        <f>Deals_Raw!Y323</f>
        <v>Expansion opportunity</v>
      </c>
      <c r="Y323" t="str">
        <f>Deals_Raw!Z323</f>
        <v>Sales Manager</v>
      </c>
      <c r="Z323" s="6">
        <f>Deals_Raw!AA323</f>
        <v>58607.533131336517</v>
      </c>
      <c r="AA323" s="6">
        <f>Deals_Raw!AC323</f>
        <v>22639.869433239299</v>
      </c>
      <c r="AB323" s="6">
        <f>Deals_Raw!AD323</f>
        <v>35967.663698097218</v>
      </c>
      <c r="AC323" s="8">
        <f>Deals_Raw!AE323</f>
        <v>0.61370376428394458</v>
      </c>
      <c r="AD323" t="str">
        <f>Deals_Raw!AF323</f>
        <v>Won</v>
      </c>
      <c r="AE323">
        <f>Deals_Raw!AG323</f>
        <v>0</v>
      </c>
      <c r="AF323" t="str">
        <f>Deals_Raw!AH323</f>
        <v>Yes</v>
      </c>
      <c r="AG323" t="str">
        <f>Deals_Raw!AI323</f>
        <v>No</v>
      </c>
      <c r="AH323" s="6">
        <f>Deals_Raw!AJ323</f>
        <v>58607.533131336517</v>
      </c>
      <c r="AI323" s="6">
        <f>Deals_Raw!AK323</f>
        <v>35967.663698097218</v>
      </c>
      <c r="AJ323" t="str">
        <f>Deals_Raw!AL323</f>
        <v>Expansion allowed because contract was active</v>
      </c>
      <c r="AK323" s="9">
        <f t="shared" si="28"/>
        <v>6.3472222222222223</v>
      </c>
      <c r="AL323" s="8">
        <f t="shared" si="29"/>
        <v>0.92424902352794192</v>
      </c>
      <c r="AM323" s="8">
        <f t="shared" si="30"/>
        <v>2.2000000000000006E-2</v>
      </c>
      <c r="AN323" t="str">
        <f>IF(AC323&lt;Pricing_Policy!$C$10,"Below Floor","Pass")</f>
        <v>Pass</v>
      </c>
      <c r="AO323" t="str">
        <f>IF(V323&gt;Pricing_Policy!$C$7,"Exception","Standard")</f>
        <v>Standard</v>
      </c>
      <c r="AP323" t="str">
        <f t="shared" si="31"/>
        <v>Pass</v>
      </c>
      <c r="AQ323">
        <f t="shared" si="32"/>
        <v>1</v>
      </c>
      <c r="AR323" s="8">
        <f t="shared" si="33"/>
        <v>0.61370376428394458</v>
      </c>
      <c r="AS323">
        <f t="shared" si="34"/>
        <v>3</v>
      </c>
    </row>
    <row r="324" spans="1:45">
      <c r="A324" t="str">
        <f>Deals_Raw!A324</f>
        <v>D00365</v>
      </c>
      <c r="B324">
        <f>Deals_Raw!B324</f>
        <v>45603</v>
      </c>
      <c r="C324" t="str">
        <f>Deals_Raw!C324</f>
        <v>C0092</v>
      </c>
      <c r="D324" t="str">
        <f>Deals_Raw!D324</f>
        <v>MAN-0092</v>
      </c>
      <c r="E324" t="str">
        <f>Deals_Raw!E324</f>
        <v>CT00194</v>
      </c>
      <c r="F324" t="str">
        <f>Deals_Raw!F324</f>
        <v>Technology</v>
      </c>
      <c r="G324" t="str">
        <f>Deals_Raw!G324</f>
        <v>Manufacturing</v>
      </c>
      <c r="H324" t="str">
        <f>Deals_Raw!H324</f>
        <v>Midwest</v>
      </c>
      <c r="I324" t="str">
        <f>Deals_Raw!I324</f>
        <v>Midwest Commercial</v>
      </c>
      <c r="J324" t="str">
        <f>Deals_Raw!J324</f>
        <v>Mid-Market</v>
      </c>
      <c r="K324" t="str">
        <f>Deals_Raw!K324</f>
        <v>No</v>
      </c>
      <c r="L324">
        <f>Deals_Raw!L324</f>
        <v>43191</v>
      </c>
      <c r="M324">
        <f>Deals_Raw!M324</f>
        <v>88</v>
      </c>
      <c r="N324" t="str">
        <f>Deals_Raw!N324</f>
        <v>Nexus AI Assistant</v>
      </c>
      <c r="O324" t="str">
        <f>Deals_Raw!O324</f>
        <v>Renewal</v>
      </c>
      <c r="P324">
        <f>Deals_Raw!P324</f>
        <v>0</v>
      </c>
      <c r="Q324">
        <f>Deals_Raw!Q324</f>
        <v>1</v>
      </c>
      <c r="R324">
        <f>Deals_Raw!R324</f>
        <v>464</v>
      </c>
      <c r="S324" t="str">
        <f>Deals_Raw!S324</f>
        <v>T. Brooks</v>
      </c>
      <c r="T324" s="6">
        <f>Deals_Raw!T324</f>
        <v>65634.004763632271</v>
      </c>
      <c r="U324" s="8">
        <f>Deals_Raw!V324</f>
        <v>0.22700000000000001</v>
      </c>
      <c r="V324" s="8">
        <f>Deals_Raw!W324</f>
        <v>0.22700000000000001</v>
      </c>
      <c r="W324" s="8">
        <f>Deals_Raw!X324</f>
        <v>-1.0999999999999999E-2</v>
      </c>
      <c r="X324" t="str">
        <f>Deals_Raw!Y324</f>
        <v>Budget constraint</v>
      </c>
      <c r="Y324" t="str">
        <f>Deals_Raw!Z324</f>
        <v>Business Manager</v>
      </c>
      <c r="Z324" s="6">
        <f>Deals_Raw!AA324</f>
        <v>50760.426232984151</v>
      </c>
      <c r="AA324" s="6">
        <f>Deals_Raw!AC324</f>
        <v>25158.456063677208</v>
      </c>
      <c r="AB324" s="6">
        <f>Deals_Raw!AD324</f>
        <v>25601.970169306944</v>
      </c>
      <c r="AC324" s="8">
        <f>Deals_Raw!AE324</f>
        <v>0.50436869958098918</v>
      </c>
      <c r="AD324" t="str">
        <f>Deals_Raw!AF324</f>
        <v>Won</v>
      </c>
      <c r="AE324" t="str">
        <f>Deals_Raw!AG324</f>
        <v>Yes</v>
      </c>
      <c r="AF324">
        <f>Deals_Raw!AH324</f>
        <v>0</v>
      </c>
      <c r="AG324" t="str">
        <f>Deals_Raw!AI324</f>
        <v>No</v>
      </c>
      <c r="AH324" s="6">
        <f>Deals_Raw!AJ324</f>
        <v>50760.426232984151</v>
      </c>
      <c r="AI324" s="6">
        <f>Deals_Raw!AK324</f>
        <v>25601.970169306944</v>
      </c>
      <c r="AJ324" t="str">
        <f>Deals_Raw!AL324</f>
        <v>Renewal of existing active contract</v>
      </c>
      <c r="AK324" s="9">
        <f t="shared" si="28"/>
        <v>6.6</v>
      </c>
      <c r="AL324" s="8">
        <f t="shared" si="29"/>
        <v>0.77338608874755799</v>
      </c>
      <c r="AM324" s="8">
        <f t="shared" si="30"/>
        <v>0</v>
      </c>
      <c r="AN324" t="str">
        <f>IF(AC324&lt;Pricing_Policy!$C$10,"Below Floor","Pass")</f>
        <v>Pass</v>
      </c>
      <c r="AO324" t="str">
        <f>IF(V324&gt;Pricing_Policy!$C$7,"Exception","Standard")</f>
        <v>Standard</v>
      </c>
      <c r="AP324" t="str">
        <f t="shared" si="31"/>
        <v>Pass</v>
      </c>
      <c r="AQ324">
        <f t="shared" si="32"/>
        <v>1</v>
      </c>
      <c r="AR324" s="8">
        <f t="shared" si="33"/>
        <v>0.50436869958098918</v>
      </c>
      <c r="AS324">
        <f t="shared" si="34"/>
        <v>3</v>
      </c>
    </row>
    <row r="325" spans="1:45">
      <c r="A325" t="str">
        <f>Deals_Raw!A325</f>
        <v>D00366</v>
      </c>
      <c r="B325">
        <f>Deals_Raw!B325</f>
        <v>45968</v>
      </c>
      <c r="C325" t="str">
        <f>Deals_Raw!C325</f>
        <v>C0092</v>
      </c>
      <c r="D325" t="str">
        <f>Deals_Raw!D325</f>
        <v>MAN-0092</v>
      </c>
      <c r="E325" t="str">
        <f>Deals_Raw!E325</f>
        <v>CT00194</v>
      </c>
      <c r="F325" t="str">
        <f>Deals_Raw!F325</f>
        <v>Technology</v>
      </c>
      <c r="G325" t="str">
        <f>Deals_Raw!G325</f>
        <v>Manufacturing</v>
      </c>
      <c r="H325" t="str">
        <f>Deals_Raw!H325</f>
        <v>Midwest</v>
      </c>
      <c r="I325" t="str">
        <f>Deals_Raw!I325</f>
        <v>Midwest Commercial</v>
      </c>
      <c r="J325" t="str">
        <f>Deals_Raw!J325</f>
        <v>Mid-Market</v>
      </c>
      <c r="K325" t="str">
        <f>Deals_Raw!K325</f>
        <v>No</v>
      </c>
      <c r="L325">
        <f>Deals_Raw!L325</f>
        <v>43191</v>
      </c>
      <c r="M325">
        <f>Deals_Raw!M325</f>
        <v>88</v>
      </c>
      <c r="N325" t="str">
        <f>Deals_Raw!N325</f>
        <v>Nexus AI Assistant</v>
      </c>
      <c r="O325" t="str">
        <f>Deals_Raw!O325</f>
        <v>Renewal</v>
      </c>
      <c r="P325">
        <f>Deals_Raw!P325</f>
        <v>0</v>
      </c>
      <c r="Q325">
        <f>Deals_Raw!Q325</f>
        <v>1</v>
      </c>
      <c r="R325">
        <f>Deals_Raw!R325</f>
        <v>464</v>
      </c>
      <c r="S325" t="str">
        <f>Deals_Raw!S325</f>
        <v>M. Johnson</v>
      </c>
      <c r="T325" s="6">
        <f>Deals_Raw!T325</f>
        <v>67911.926107047431</v>
      </c>
      <c r="U325" s="8">
        <f>Deals_Raw!V325</f>
        <v>8.2000000000000003E-2</v>
      </c>
      <c r="V325" s="8">
        <f>Deals_Raw!W325</f>
        <v>7.2999999999999995E-2</v>
      </c>
      <c r="W325" s="8">
        <f>Deals_Raw!X325</f>
        <v>-4.2000000000000003E-2</v>
      </c>
      <c r="X325" t="str">
        <f>Deals_Raw!Y325</f>
        <v>Procurement requirement</v>
      </c>
      <c r="Y325" t="str">
        <f>Deals_Raw!Z325</f>
        <v>Sales Manager</v>
      </c>
      <c r="Z325" s="6">
        <f>Deals_Raw!AA325</f>
        <v>62980.286846445539</v>
      </c>
      <c r="AA325" s="6">
        <f>Deals_Raw!AC325</f>
        <v>25421.263943920967</v>
      </c>
      <c r="AB325" s="6">
        <f>Deals_Raw!AD325</f>
        <v>37559.022902524572</v>
      </c>
      <c r="AC325" s="8">
        <f>Deals_Raw!AE325</f>
        <v>0.59636157253615807</v>
      </c>
      <c r="AD325" t="str">
        <f>Deals_Raw!AF325</f>
        <v>Won</v>
      </c>
      <c r="AE325" t="str">
        <f>Deals_Raw!AG325</f>
        <v>Yes</v>
      </c>
      <c r="AF325">
        <f>Deals_Raw!AH325</f>
        <v>0</v>
      </c>
      <c r="AG325" t="str">
        <f>Deals_Raw!AI325</f>
        <v>No</v>
      </c>
      <c r="AH325" s="6">
        <f>Deals_Raw!AJ325</f>
        <v>62980.286846445539</v>
      </c>
      <c r="AI325" s="6">
        <f>Deals_Raw!AK325</f>
        <v>37559.022902524572</v>
      </c>
      <c r="AJ325" t="str">
        <f>Deals_Raw!AL325</f>
        <v>Renewal of existing active contract</v>
      </c>
      <c r="AK325" s="9">
        <f t="shared" ref="AK325:AK388" si="35">YEARFRAC(L325,B325)</f>
        <v>7.6</v>
      </c>
      <c r="AL325" s="8">
        <f t="shared" ref="AL325:AL388" si="36">IFERROR(Z325/T325,0)</f>
        <v>0.92738183787000383</v>
      </c>
      <c r="AM325" s="8">
        <f t="shared" ref="AM325:AM388" si="37">U325-V325</f>
        <v>9.000000000000008E-3</v>
      </c>
      <c r="AN325" t="str">
        <f>IF(AC325&lt;Pricing_Policy!$C$10,"Below Floor","Pass")</f>
        <v>Pass</v>
      </c>
      <c r="AO325" t="str">
        <f>IF(V325&gt;Pricing_Policy!$C$7,"Exception","Standard")</f>
        <v>Standard</v>
      </c>
      <c r="AP325" t="str">
        <f t="shared" ref="AP325:AP388" si="38">IF(OR(AND(V325&lt;=0.1,Y325&lt;&gt;"Sales Manager"),AND(V325&gt;0.1,V325&lt;=0.2,Y325&lt;&gt;"Pricing Analyst"),AND(V325&gt;0.2,V325&lt;=0.28,Y325&lt;&gt;"Business Manager"),AND(V325&gt;0.28,Y325&lt;&gt;"VP Pricing")),"Review","Pass")</f>
        <v>Pass</v>
      </c>
      <c r="AQ325">
        <f t="shared" ref="AQ325:AQ388" si="39">IF(AD325="Won",1,0)</f>
        <v>1</v>
      </c>
      <c r="AR325" s="8">
        <f t="shared" ref="AR325:AR388" si="40">IFERROR(AI325/AH325,0)</f>
        <v>0.59636157253615807</v>
      </c>
      <c r="AS325">
        <f t="shared" ref="AS325:AS388" si="41">COUNTIFS($C:$C,C325,$N:$N,N325)</f>
        <v>3</v>
      </c>
    </row>
    <row r="326" spans="1:45">
      <c r="A326" t="str">
        <f>Deals_Raw!A326</f>
        <v>D00367</v>
      </c>
      <c r="B326">
        <f>Deals_Raw!B326</f>
        <v>46013</v>
      </c>
      <c r="C326" t="str">
        <f>Deals_Raw!C326</f>
        <v>C0092</v>
      </c>
      <c r="D326" t="str">
        <f>Deals_Raw!D326</f>
        <v>MAN-0092</v>
      </c>
      <c r="E326" t="str">
        <f>Deals_Raw!E326</f>
        <v>CT00195</v>
      </c>
      <c r="F326" t="str">
        <f>Deals_Raw!F326</f>
        <v>Sales</v>
      </c>
      <c r="G326" t="str">
        <f>Deals_Raw!G326</f>
        <v>Manufacturing</v>
      </c>
      <c r="H326" t="str">
        <f>Deals_Raw!H326</f>
        <v>Midwest</v>
      </c>
      <c r="I326" t="str">
        <f>Deals_Raw!I326</f>
        <v>Midwest Commercial</v>
      </c>
      <c r="J326" t="str">
        <f>Deals_Raw!J326</f>
        <v>Mid-Market</v>
      </c>
      <c r="K326" t="str">
        <f>Deals_Raw!K326</f>
        <v>No</v>
      </c>
      <c r="L326">
        <f>Deals_Raw!L326</f>
        <v>43191</v>
      </c>
      <c r="M326">
        <f>Deals_Raw!M326</f>
        <v>88</v>
      </c>
      <c r="N326" t="str">
        <f>Deals_Raw!N326</f>
        <v>Nexus Analytics</v>
      </c>
      <c r="O326" t="str">
        <f>Deals_Raw!O326</f>
        <v>Renewal</v>
      </c>
      <c r="P326">
        <f>Deals_Raw!P326</f>
        <v>0</v>
      </c>
      <c r="Q326">
        <f>Deals_Raw!Q326</f>
        <v>2</v>
      </c>
      <c r="R326">
        <f>Deals_Raw!R326</f>
        <v>155</v>
      </c>
      <c r="S326" t="str">
        <f>Deals_Raw!S326</f>
        <v>T. Brooks</v>
      </c>
      <c r="T326" s="6">
        <f>Deals_Raw!T326</f>
        <v>99813.572036701793</v>
      </c>
      <c r="U326" s="8">
        <f>Deals_Raw!V326</f>
        <v>0.1</v>
      </c>
      <c r="V326" s="8">
        <f>Deals_Raw!W326</f>
        <v>8.2000000000000003E-2</v>
      </c>
      <c r="W326" s="8">
        <f>Deals_Raw!X326</f>
        <v>1.7999999999999999E-2</v>
      </c>
      <c r="X326" t="str">
        <f>Deals_Raw!Y326</f>
        <v>Expansion opportunity</v>
      </c>
      <c r="Y326" t="str">
        <f>Deals_Raw!Z326</f>
        <v>Sales Manager</v>
      </c>
      <c r="Z326" s="6">
        <f>Deals_Raw!AA326</f>
        <v>91654.13070180513</v>
      </c>
      <c r="AA326" s="6">
        <f>Deals_Raw!AC326</f>
        <v>30446.923750553768</v>
      </c>
      <c r="AB326" s="6">
        <f>Deals_Raw!AD326</f>
        <v>61207.206951251363</v>
      </c>
      <c r="AC326" s="8">
        <f>Deals_Raw!AE326</f>
        <v>0.6678063114295173</v>
      </c>
      <c r="AD326" t="str">
        <f>Deals_Raw!AF326</f>
        <v>Won</v>
      </c>
      <c r="AE326" t="str">
        <f>Deals_Raw!AG326</f>
        <v>Yes</v>
      </c>
      <c r="AF326">
        <f>Deals_Raw!AH326</f>
        <v>0</v>
      </c>
      <c r="AG326" t="str">
        <f>Deals_Raw!AI326</f>
        <v>No</v>
      </c>
      <c r="AH326" s="6">
        <f>Deals_Raw!AJ326</f>
        <v>91654.13070180513</v>
      </c>
      <c r="AI326" s="6">
        <f>Deals_Raw!AK326</f>
        <v>61207.206951251363</v>
      </c>
      <c r="AJ326" t="str">
        <f>Deals_Raw!AL326</f>
        <v>Renewal of existing active contract</v>
      </c>
      <c r="AK326" s="9">
        <f t="shared" si="35"/>
        <v>7.7249999999999996</v>
      </c>
      <c r="AL326" s="8">
        <f t="shared" si="36"/>
        <v>0.91825318773386444</v>
      </c>
      <c r="AM326" s="8">
        <f t="shared" si="37"/>
        <v>1.8000000000000002E-2</v>
      </c>
      <c r="AN326" t="str">
        <f>IF(AC326&lt;Pricing_Policy!$C$10,"Below Floor","Pass")</f>
        <v>Pass</v>
      </c>
      <c r="AO326" t="str">
        <f>IF(V326&gt;Pricing_Policy!$C$7,"Exception","Standard")</f>
        <v>Standard</v>
      </c>
      <c r="AP326" t="str">
        <f t="shared" si="38"/>
        <v>Pass</v>
      </c>
      <c r="AQ326">
        <f t="shared" si="39"/>
        <v>1</v>
      </c>
      <c r="AR326" s="8">
        <f t="shared" si="40"/>
        <v>0.6678063114295173</v>
      </c>
      <c r="AS326">
        <f t="shared" si="41"/>
        <v>1</v>
      </c>
    </row>
    <row r="327" spans="1:45">
      <c r="A327" t="str">
        <f>Deals_Raw!A327</f>
        <v>D00368</v>
      </c>
      <c r="B327">
        <f>Deals_Raw!B327</f>
        <v>45320</v>
      </c>
      <c r="C327" t="str">
        <f>Deals_Raw!C327</f>
        <v>C0093</v>
      </c>
      <c r="D327" t="str">
        <f>Deals_Raw!D327</f>
        <v>FIN-0093</v>
      </c>
      <c r="E327" t="str">
        <f>Deals_Raw!E327</f>
        <v>CT00196</v>
      </c>
      <c r="F327" t="str">
        <f>Deals_Raw!F327</f>
        <v>Sales</v>
      </c>
      <c r="G327" t="str">
        <f>Deals_Raw!G327</f>
        <v>Financial Services</v>
      </c>
      <c r="H327" t="str">
        <f>Deals_Raw!H327</f>
        <v>Northeast</v>
      </c>
      <c r="I327" t="str">
        <f>Deals_Raw!I327</f>
        <v>Northeast Commercial</v>
      </c>
      <c r="J327" t="str">
        <f>Deals_Raw!J327</f>
        <v>Mid-Market</v>
      </c>
      <c r="K327" t="str">
        <f>Deals_Raw!K327</f>
        <v>No</v>
      </c>
      <c r="L327">
        <f>Deals_Raw!L327</f>
        <v>43252</v>
      </c>
      <c r="M327">
        <f>Deals_Raw!M327</f>
        <v>83</v>
      </c>
      <c r="N327" t="str">
        <f>Deals_Raw!N327</f>
        <v>Nexus Analytics</v>
      </c>
      <c r="O327" t="str">
        <f>Deals_Raw!O327</f>
        <v>Expansion</v>
      </c>
      <c r="P327" t="str">
        <f>Deals_Raw!P327</f>
        <v>Enterprise Upgrade</v>
      </c>
      <c r="Q327">
        <f>Deals_Raw!Q327</f>
        <v>1</v>
      </c>
      <c r="R327">
        <f>Deals_Raw!R327</f>
        <v>337</v>
      </c>
      <c r="S327" t="str">
        <f>Deals_Raw!S327</f>
        <v>S. Rivera</v>
      </c>
      <c r="T327" s="6">
        <f>Deals_Raw!T327</f>
        <v>136663.05858790112</v>
      </c>
      <c r="U327" s="8">
        <f>Deals_Raw!V327</f>
        <v>8.3000000000000004E-2</v>
      </c>
      <c r="V327" s="8">
        <f>Deals_Raw!W327</f>
        <v>6.6000000000000003E-2</v>
      </c>
      <c r="W327" s="8">
        <f>Deals_Raw!X327</f>
        <v>-6.3E-2</v>
      </c>
      <c r="X327" t="str">
        <f>Deals_Raw!Y327</f>
        <v>Expansion opportunity</v>
      </c>
      <c r="Y327" t="str">
        <f>Deals_Raw!Z327</f>
        <v>Sales Manager</v>
      </c>
      <c r="Z327" s="6">
        <f>Deals_Raw!AA327</f>
        <v>127705.30928937663</v>
      </c>
      <c r="AA327" s="6">
        <f>Deals_Raw!AC327</f>
        <v>41762.496720537936</v>
      </c>
      <c r="AB327" s="6">
        <f>Deals_Raw!AD327</f>
        <v>85942.812568838694</v>
      </c>
      <c r="AC327" s="8">
        <f>Deals_Raw!AE327</f>
        <v>0.67297760012541608</v>
      </c>
      <c r="AD327" t="str">
        <f>Deals_Raw!AF327</f>
        <v>Won</v>
      </c>
      <c r="AE327">
        <f>Deals_Raw!AG327</f>
        <v>0</v>
      </c>
      <c r="AF327" t="str">
        <f>Deals_Raw!AH327</f>
        <v>Yes</v>
      </c>
      <c r="AG327" t="str">
        <f>Deals_Raw!AI327</f>
        <v>No</v>
      </c>
      <c r="AH327" s="6">
        <f>Deals_Raw!AJ327</f>
        <v>127705.30928937663</v>
      </c>
      <c r="AI327" s="6">
        <f>Deals_Raw!AK327</f>
        <v>85942.812568838694</v>
      </c>
      <c r="AJ327" t="str">
        <f>Deals_Raw!AL327</f>
        <v>Expansion allowed because contract was active</v>
      </c>
      <c r="AK327" s="9">
        <f t="shared" si="35"/>
        <v>5.6611111111111114</v>
      </c>
      <c r="AL327" s="8">
        <f t="shared" si="36"/>
        <v>0.93445376247917866</v>
      </c>
      <c r="AM327" s="8">
        <f t="shared" si="37"/>
        <v>1.7000000000000001E-2</v>
      </c>
      <c r="AN327" t="str">
        <f>IF(AC327&lt;Pricing_Policy!$C$10,"Below Floor","Pass")</f>
        <v>Pass</v>
      </c>
      <c r="AO327" t="str">
        <f>IF(V327&gt;Pricing_Policy!$C$7,"Exception","Standard")</f>
        <v>Standard</v>
      </c>
      <c r="AP327" t="str">
        <f t="shared" si="38"/>
        <v>Pass</v>
      </c>
      <c r="AQ327">
        <f t="shared" si="39"/>
        <v>1</v>
      </c>
      <c r="AR327" s="8">
        <f t="shared" si="40"/>
        <v>0.67297760012541608</v>
      </c>
      <c r="AS327">
        <f t="shared" si="41"/>
        <v>3</v>
      </c>
    </row>
    <row r="328" spans="1:45">
      <c r="A328" t="str">
        <f>Deals_Raw!A328</f>
        <v>D00369</v>
      </c>
      <c r="B328">
        <f>Deals_Raw!B328</f>
        <v>45549</v>
      </c>
      <c r="C328" t="str">
        <f>Deals_Raw!C328</f>
        <v>C0093</v>
      </c>
      <c r="D328" t="str">
        <f>Deals_Raw!D328</f>
        <v>FIN-0093</v>
      </c>
      <c r="E328" t="str">
        <f>Deals_Raw!E328</f>
        <v>CT00196</v>
      </c>
      <c r="F328" t="str">
        <f>Deals_Raw!F328</f>
        <v>Sales</v>
      </c>
      <c r="G328" t="str">
        <f>Deals_Raw!G328</f>
        <v>Financial Services</v>
      </c>
      <c r="H328" t="str">
        <f>Deals_Raw!H328</f>
        <v>Northeast</v>
      </c>
      <c r="I328" t="str">
        <f>Deals_Raw!I328</f>
        <v>Northeast Commercial</v>
      </c>
      <c r="J328" t="str">
        <f>Deals_Raw!J328</f>
        <v>Mid-Market</v>
      </c>
      <c r="K328" t="str">
        <f>Deals_Raw!K328</f>
        <v>No</v>
      </c>
      <c r="L328">
        <f>Deals_Raw!L328</f>
        <v>43252</v>
      </c>
      <c r="M328">
        <f>Deals_Raw!M328</f>
        <v>83</v>
      </c>
      <c r="N328" t="str">
        <f>Deals_Raw!N328</f>
        <v>Nexus Analytics</v>
      </c>
      <c r="O328" t="str">
        <f>Deals_Raw!O328</f>
        <v>Renewal</v>
      </c>
      <c r="P328">
        <f>Deals_Raw!P328</f>
        <v>0</v>
      </c>
      <c r="Q328">
        <f>Deals_Raw!Q328</f>
        <v>1</v>
      </c>
      <c r="R328">
        <f>Deals_Raw!R328</f>
        <v>337</v>
      </c>
      <c r="S328" t="str">
        <f>Deals_Raw!S328</f>
        <v>S. Rivera</v>
      </c>
      <c r="T328" s="6">
        <f>Deals_Raw!T328</f>
        <v>141991.06488096196</v>
      </c>
      <c r="U328" s="8">
        <f>Deals_Raw!V328</f>
        <v>0.14599999999999999</v>
      </c>
      <c r="V328" s="8">
        <f>Deals_Raw!W328</f>
        <v>0.115</v>
      </c>
      <c r="W328" s="8">
        <f>Deals_Raw!X328</f>
        <v>-6.3E-2</v>
      </c>
      <c r="X328" t="str">
        <f>Deals_Raw!Y328</f>
        <v>Volume purchase</v>
      </c>
      <c r="Y328" t="str">
        <f>Deals_Raw!Z328</f>
        <v>Pricing Analyst</v>
      </c>
      <c r="Z328" s="6">
        <f>Deals_Raw!AA328</f>
        <v>125690.35439912163</v>
      </c>
      <c r="AA328" s="6">
        <f>Deals_Raw!AC328</f>
        <v>44132.581238738734</v>
      </c>
      <c r="AB328" s="6">
        <f>Deals_Raw!AD328</f>
        <v>81557.773160382902</v>
      </c>
      <c r="AC328" s="8">
        <f>Deals_Raw!AE328</f>
        <v>0.64887853606810153</v>
      </c>
      <c r="AD328" t="str">
        <f>Deals_Raw!AF328</f>
        <v>Won</v>
      </c>
      <c r="AE328" t="str">
        <f>Deals_Raw!AG328</f>
        <v>Yes</v>
      </c>
      <c r="AF328">
        <f>Deals_Raw!AH328</f>
        <v>0</v>
      </c>
      <c r="AG328" t="str">
        <f>Deals_Raw!AI328</f>
        <v>No</v>
      </c>
      <c r="AH328" s="6">
        <f>Deals_Raw!AJ328</f>
        <v>125690.35439912163</v>
      </c>
      <c r="AI328" s="6">
        <f>Deals_Raw!AK328</f>
        <v>81557.773160382902</v>
      </c>
      <c r="AJ328" t="str">
        <f>Deals_Raw!AL328</f>
        <v>Renewal of existing active contract</v>
      </c>
      <c r="AK328" s="9">
        <f t="shared" si="35"/>
        <v>6.2861111111111114</v>
      </c>
      <c r="AL328" s="8">
        <f t="shared" si="36"/>
        <v>0.88519904054874143</v>
      </c>
      <c r="AM328" s="8">
        <f t="shared" si="37"/>
        <v>3.0999999999999986E-2</v>
      </c>
      <c r="AN328" t="str">
        <f>IF(AC328&lt;Pricing_Policy!$C$10,"Below Floor","Pass")</f>
        <v>Pass</v>
      </c>
      <c r="AO328" t="str">
        <f>IF(V328&gt;Pricing_Policy!$C$7,"Exception","Standard")</f>
        <v>Standard</v>
      </c>
      <c r="AP328" t="str">
        <f t="shared" si="38"/>
        <v>Pass</v>
      </c>
      <c r="AQ328">
        <f t="shared" si="39"/>
        <v>1</v>
      </c>
      <c r="AR328" s="8">
        <f t="shared" si="40"/>
        <v>0.64887853606810153</v>
      </c>
      <c r="AS328">
        <f t="shared" si="41"/>
        <v>3</v>
      </c>
    </row>
    <row r="329" spans="1:45">
      <c r="A329" t="str">
        <f>Deals_Raw!A329</f>
        <v>D00370</v>
      </c>
      <c r="B329">
        <f>Deals_Raw!B329</f>
        <v>45914</v>
      </c>
      <c r="C329" t="str">
        <f>Deals_Raw!C329</f>
        <v>C0093</v>
      </c>
      <c r="D329" t="str">
        <f>Deals_Raw!D329</f>
        <v>FIN-0093</v>
      </c>
      <c r="E329" t="str">
        <f>Deals_Raw!E329</f>
        <v>CT00196</v>
      </c>
      <c r="F329" t="str">
        <f>Deals_Raw!F329</f>
        <v>Sales</v>
      </c>
      <c r="G329" t="str">
        <f>Deals_Raw!G329</f>
        <v>Financial Services</v>
      </c>
      <c r="H329" t="str">
        <f>Deals_Raw!H329</f>
        <v>Northeast</v>
      </c>
      <c r="I329" t="str">
        <f>Deals_Raw!I329</f>
        <v>Northeast Commercial</v>
      </c>
      <c r="J329" t="str">
        <f>Deals_Raw!J329</f>
        <v>Mid-Market</v>
      </c>
      <c r="K329" t="str">
        <f>Deals_Raw!K329</f>
        <v>No</v>
      </c>
      <c r="L329">
        <f>Deals_Raw!L329</f>
        <v>43252</v>
      </c>
      <c r="M329">
        <f>Deals_Raw!M329</f>
        <v>83</v>
      </c>
      <c r="N329" t="str">
        <f>Deals_Raw!N329</f>
        <v>Nexus Analytics</v>
      </c>
      <c r="O329" t="str">
        <f>Deals_Raw!O329</f>
        <v>Renewal</v>
      </c>
      <c r="P329">
        <f>Deals_Raw!P329</f>
        <v>0</v>
      </c>
      <c r="Q329">
        <f>Deals_Raw!Q329</f>
        <v>1</v>
      </c>
      <c r="R329">
        <f>Deals_Raw!R329</f>
        <v>337</v>
      </c>
      <c r="S329" t="str">
        <f>Deals_Raw!S329</f>
        <v>M. Johnson</v>
      </c>
      <c r="T329" s="6">
        <f>Deals_Raw!T329</f>
        <v>151788.82655482154</v>
      </c>
      <c r="U329" s="8">
        <f>Deals_Raw!V329</f>
        <v>0.13</v>
      </c>
      <c r="V329" s="8">
        <f>Deals_Raw!W329</f>
        <v>0.1</v>
      </c>
      <c r="W329" s="8">
        <f>Deals_Raw!X329</f>
        <v>1E-3</v>
      </c>
      <c r="X329" t="str">
        <f>Deals_Raw!Y329</f>
        <v>Expansion opportunity</v>
      </c>
      <c r="Y329" t="str">
        <f>Deals_Raw!Z329</f>
        <v>Sales Manager</v>
      </c>
      <c r="Z329" s="6">
        <f>Deals_Raw!AA329</f>
        <v>136626.57297209534</v>
      </c>
      <c r="AA329" s="6">
        <f>Deals_Raw!AC329</f>
        <v>46493.021476065682</v>
      </c>
      <c r="AB329" s="6">
        <f>Deals_Raw!AD329</f>
        <v>90133.551496029657</v>
      </c>
      <c r="AC329" s="8">
        <f>Deals_Raw!AE329</f>
        <v>0.65970732878177785</v>
      </c>
      <c r="AD329" t="str">
        <f>Deals_Raw!AF329</f>
        <v>Won</v>
      </c>
      <c r="AE329" t="str">
        <f>Deals_Raw!AG329</f>
        <v>Yes</v>
      </c>
      <c r="AF329">
        <f>Deals_Raw!AH329</f>
        <v>0</v>
      </c>
      <c r="AG329" t="str">
        <f>Deals_Raw!AI329</f>
        <v>No</v>
      </c>
      <c r="AH329" s="6">
        <f>Deals_Raw!AJ329</f>
        <v>136626.57297209534</v>
      </c>
      <c r="AI329" s="6">
        <f>Deals_Raw!AK329</f>
        <v>90133.551496029657</v>
      </c>
      <c r="AJ329" t="str">
        <f>Deals_Raw!AL329</f>
        <v>Renewal of existing active contract</v>
      </c>
      <c r="AK329" s="9">
        <f t="shared" si="35"/>
        <v>7.2861111111111114</v>
      </c>
      <c r="AL329" s="8">
        <f t="shared" si="36"/>
        <v>0.90010955399770443</v>
      </c>
      <c r="AM329" s="8">
        <f t="shared" si="37"/>
        <v>0.03</v>
      </c>
      <c r="AN329" t="str">
        <f>IF(AC329&lt;Pricing_Policy!$C$10,"Below Floor","Pass")</f>
        <v>Pass</v>
      </c>
      <c r="AO329" t="str">
        <f>IF(V329&gt;Pricing_Policy!$C$7,"Exception","Standard")</f>
        <v>Standard</v>
      </c>
      <c r="AP329" t="str">
        <f t="shared" si="38"/>
        <v>Pass</v>
      </c>
      <c r="AQ329">
        <f t="shared" si="39"/>
        <v>1</v>
      </c>
      <c r="AR329" s="8">
        <f t="shared" si="40"/>
        <v>0.65970732878177785</v>
      </c>
      <c r="AS329">
        <f t="shared" si="41"/>
        <v>3</v>
      </c>
    </row>
    <row r="330" spans="1:45">
      <c r="A330" t="str">
        <f>Deals_Raw!A330</f>
        <v>D00374</v>
      </c>
      <c r="B330">
        <f>Deals_Raw!B330</f>
        <v>45388</v>
      </c>
      <c r="C330" t="str">
        <f>Deals_Raw!C330</f>
        <v>C0093</v>
      </c>
      <c r="D330" t="str">
        <f>Deals_Raw!D330</f>
        <v>FIN-0093</v>
      </c>
      <c r="E330" t="str">
        <f>Deals_Raw!E330</f>
        <v>CT00197</v>
      </c>
      <c r="F330" t="str">
        <f>Deals_Raw!F330</f>
        <v>Operations</v>
      </c>
      <c r="G330" t="str">
        <f>Deals_Raw!G330</f>
        <v>Financial Services</v>
      </c>
      <c r="H330" t="str">
        <f>Deals_Raw!H330</f>
        <v>Northeast</v>
      </c>
      <c r="I330" t="str">
        <f>Deals_Raw!I330</f>
        <v>Northeast Commercial</v>
      </c>
      <c r="J330" t="str">
        <f>Deals_Raw!J330</f>
        <v>Mid-Market</v>
      </c>
      <c r="K330" t="str">
        <f>Deals_Raw!K330</f>
        <v>No</v>
      </c>
      <c r="L330">
        <f>Deals_Raw!L330</f>
        <v>43252</v>
      </c>
      <c r="M330">
        <f>Deals_Raw!M330</f>
        <v>83</v>
      </c>
      <c r="N330" t="str">
        <f>Deals_Raw!N330</f>
        <v>Nexus Enterprise Suite</v>
      </c>
      <c r="O330" t="str">
        <f>Deals_Raw!O330</f>
        <v>Expansion</v>
      </c>
      <c r="P330" t="str">
        <f>Deals_Raw!P330</f>
        <v>Seat Expansion</v>
      </c>
      <c r="Q330">
        <f>Deals_Raw!Q330</f>
        <v>1</v>
      </c>
      <c r="R330">
        <f>Deals_Raw!R330</f>
        <v>386</v>
      </c>
      <c r="S330" t="str">
        <f>Deals_Raw!S330</f>
        <v>K. Nguyen</v>
      </c>
      <c r="T330" s="6">
        <f>Deals_Raw!T330</f>
        <v>293213.03415861679</v>
      </c>
      <c r="U330" s="8">
        <f>Deals_Raw!V330</f>
        <v>0.16900000000000001</v>
      </c>
      <c r="V330" s="8">
        <f>Deals_Raw!W330</f>
        <v>0.14000000000000001</v>
      </c>
      <c r="W330" s="8">
        <f>Deals_Raw!X330</f>
        <v>-4.1000000000000002E-2</v>
      </c>
      <c r="X330" t="str">
        <f>Deals_Raw!Y330</f>
        <v>Expansion opportunity</v>
      </c>
      <c r="Y330" t="str">
        <f>Deals_Raw!Z330</f>
        <v>Pricing Analyst</v>
      </c>
      <c r="Z330" s="6">
        <f>Deals_Raw!AA330</f>
        <v>252185.586490246</v>
      </c>
      <c r="AA330" s="6">
        <f>Deals_Raw!AC330</f>
        <v>108637.26437035015</v>
      </c>
      <c r="AB330" s="6">
        <f>Deals_Raw!AD330</f>
        <v>143548.32211989583</v>
      </c>
      <c r="AC330" s="8">
        <f>Deals_Raw!AE330</f>
        <v>0.5692169965687075</v>
      </c>
      <c r="AD330" t="str">
        <f>Deals_Raw!AF330</f>
        <v>Won</v>
      </c>
      <c r="AE330">
        <f>Deals_Raw!AG330</f>
        <v>0</v>
      </c>
      <c r="AF330" t="str">
        <f>Deals_Raw!AH330</f>
        <v>Yes</v>
      </c>
      <c r="AG330" t="str">
        <f>Deals_Raw!AI330</f>
        <v>No</v>
      </c>
      <c r="AH330" s="6">
        <f>Deals_Raw!AJ330</f>
        <v>252185.586490246</v>
      </c>
      <c r="AI330" s="6">
        <f>Deals_Raw!AK330</f>
        <v>143548.32211989583</v>
      </c>
      <c r="AJ330" t="str">
        <f>Deals_Raw!AL330</f>
        <v>Expansion allowed because contract was active</v>
      </c>
      <c r="AK330" s="9">
        <f t="shared" si="35"/>
        <v>5.8472222222222223</v>
      </c>
      <c r="AL330" s="8">
        <f t="shared" si="36"/>
        <v>0.86007631691374076</v>
      </c>
      <c r="AM330" s="8">
        <f t="shared" si="37"/>
        <v>2.8999999999999998E-2</v>
      </c>
      <c r="AN330" t="str">
        <f>IF(AC330&lt;Pricing_Policy!$C$10,"Below Floor","Pass")</f>
        <v>Pass</v>
      </c>
      <c r="AO330" t="str">
        <f>IF(V330&gt;Pricing_Policy!$C$7,"Exception","Standard")</f>
        <v>Standard</v>
      </c>
      <c r="AP330" t="str">
        <f t="shared" si="38"/>
        <v>Pass</v>
      </c>
      <c r="AQ330">
        <f t="shared" si="39"/>
        <v>1</v>
      </c>
      <c r="AR330" s="8">
        <f t="shared" si="40"/>
        <v>0.5692169965687075</v>
      </c>
      <c r="AS330">
        <f t="shared" si="41"/>
        <v>3</v>
      </c>
    </row>
    <row r="331" spans="1:45">
      <c r="A331" t="str">
        <f>Deals_Raw!A331</f>
        <v>D00375</v>
      </c>
      <c r="B331">
        <f>Deals_Raw!B331</f>
        <v>45614</v>
      </c>
      <c r="C331" t="str">
        <f>Deals_Raw!C331</f>
        <v>C0093</v>
      </c>
      <c r="D331" t="str">
        <f>Deals_Raw!D331</f>
        <v>FIN-0093</v>
      </c>
      <c r="E331" t="str">
        <f>Deals_Raw!E331</f>
        <v>CT00197</v>
      </c>
      <c r="F331" t="str">
        <f>Deals_Raw!F331</f>
        <v>Operations</v>
      </c>
      <c r="G331" t="str">
        <f>Deals_Raw!G331</f>
        <v>Financial Services</v>
      </c>
      <c r="H331" t="str">
        <f>Deals_Raw!H331</f>
        <v>Northeast</v>
      </c>
      <c r="I331" t="str">
        <f>Deals_Raw!I331</f>
        <v>Northeast Commercial</v>
      </c>
      <c r="J331" t="str">
        <f>Deals_Raw!J331</f>
        <v>Mid-Market</v>
      </c>
      <c r="K331" t="str">
        <f>Deals_Raw!K331</f>
        <v>No</v>
      </c>
      <c r="L331">
        <f>Deals_Raw!L331</f>
        <v>43252</v>
      </c>
      <c r="M331">
        <f>Deals_Raw!M331</f>
        <v>83</v>
      </c>
      <c r="N331" t="str">
        <f>Deals_Raw!N331</f>
        <v>Nexus Enterprise Suite</v>
      </c>
      <c r="O331" t="str">
        <f>Deals_Raw!O331</f>
        <v>Renewal</v>
      </c>
      <c r="P331">
        <f>Deals_Raw!P331</f>
        <v>0</v>
      </c>
      <c r="Q331">
        <f>Deals_Raw!Q331</f>
        <v>1</v>
      </c>
      <c r="R331">
        <f>Deals_Raw!R331</f>
        <v>386</v>
      </c>
      <c r="S331" t="str">
        <f>Deals_Raw!S331</f>
        <v>R. Singh</v>
      </c>
      <c r="T331" s="6">
        <f>Deals_Raw!T331</f>
        <v>314262.15684870153</v>
      </c>
      <c r="U331" s="8">
        <f>Deals_Raw!V331</f>
        <v>0.184</v>
      </c>
      <c r="V331" s="8">
        <f>Deals_Raw!W331</f>
        <v>0.16200000000000001</v>
      </c>
      <c r="W331" s="8">
        <f>Deals_Raw!X331</f>
        <v>-0.105</v>
      </c>
      <c r="X331" t="str">
        <f>Deals_Raw!Y331</f>
        <v>Expansion opportunity</v>
      </c>
      <c r="Y331" t="str">
        <f>Deals_Raw!Z331</f>
        <v>Pricing Analyst</v>
      </c>
      <c r="Z331" s="6">
        <f>Deals_Raw!AA331</f>
        <v>263422.09663734323</v>
      </c>
      <c r="AA331" s="6">
        <f>Deals_Raw!AC331</f>
        <v>117146.42016351991</v>
      </c>
      <c r="AB331" s="6">
        <f>Deals_Raw!AD331</f>
        <v>146275.67647382332</v>
      </c>
      <c r="AC331" s="8">
        <f>Deals_Raw!AE331</f>
        <v>0.55529007756400561</v>
      </c>
      <c r="AD331" t="str">
        <f>Deals_Raw!AF331</f>
        <v>Won</v>
      </c>
      <c r="AE331" t="str">
        <f>Deals_Raw!AG331</f>
        <v>Yes</v>
      </c>
      <c r="AF331">
        <f>Deals_Raw!AH331</f>
        <v>0</v>
      </c>
      <c r="AG331" t="str">
        <f>Deals_Raw!AI331</f>
        <v>No</v>
      </c>
      <c r="AH331" s="6">
        <f>Deals_Raw!AJ331</f>
        <v>263422.09663734323</v>
      </c>
      <c r="AI331" s="6">
        <f>Deals_Raw!AK331</f>
        <v>146275.67647382332</v>
      </c>
      <c r="AJ331" t="str">
        <f>Deals_Raw!AL331</f>
        <v>Renewal of existing active contract</v>
      </c>
      <c r="AK331" s="9">
        <f t="shared" si="35"/>
        <v>6.4638888888888886</v>
      </c>
      <c r="AL331" s="8">
        <f t="shared" si="36"/>
        <v>0.83822404606026191</v>
      </c>
      <c r="AM331" s="8">
        <f t="shared" si="37"/>
        <v>2.1999999999999992E-2</v>
      </c>
      <c r="AN331" t="str">
        <f>IF(AC331&lt;Pricing_Policy!$C$10,"Below Floor","Pass")</f>
        <v>Pass</v>
      </c>
      <c r="AO331" t="str">
        <f>IF(V331&gt;Pricing_Policy!$C$7,"Exception","Standard")</f>
        <v>Standard</v>
      </c>
      <c r="AP331" t="str">
        <f t="shared" si="38"/>
        <v>Pass</v>
      </c>
      <c r="AQ331">
        <f t="shared" si="39"/>
        <v>1</v>
      </c>
      <c r="AR331" s="8">
        <f t="shared" si="40"/>
        <v>0.55529007756400561</v>
      </c>
      <c r="AS331">
        <f t="shared" si="41"/>
        <v>3</v>
      </c>
    </row>
    <row r="332" spans="1:45">
      <c r="A332" t="str">
        <f>Deals_Raw!A332</f>
        <v>D00376</v>
      </c>
      <c r="B332">
        <f>Deals_Raw!B332</f>
        <v>45979</v>
      </c>
      <c r="C332" t="str">
        <f>Deals_Raw!C332</f>
        <v>C0093</v>
      </c>
      <c r="D332" t="str">
        <f>Deals_Raw!D332</f>
        <v>FIN-0093</v>
      </c>
      <c r="E332" t="str">
        <f>Deals_Raw!E332</f>
        <v>CT00197</v>
      </c>
      <c r="F332" t="str">
        <f>Deals_Raw!F332</f>
        <v>Operations</v>
      </c>
      <c r="G332" t="str">
        <f>Deals_Raw!G332</f>
        <v>Financial Services</v>
      </c>
      <c r="H332" t="str">
        <f>Deals_Raw!H332</f>
        <v>Northeast</v>
      </c>
      <c r="I332" t="str">
        <f>Deals_Raw!I332</f>
        <v>Northeast Commercial</v>
      </c>
      <c r="J332" t="str">
        <f>Deals_Raw!J332</f>
        <v>Mid-Market</v>
      </c>
      <c r="K332" t="str">
        <f>Deals_Raw!K332</f>
        <v>No</v>
      </c>
      <c r="L332">
        <f>Deals_Raw!L332</f>
        <v>43252</v>
      </c>
      <c r="M332">
        <f>Deals_Raw!M332</f>
        <v>83</v>
      </c>
      <c r="N332" t="str">
        <f>Deals_Raw!N332</f>
        <v>Nexus Enterprise Suite</v>
      </c>
      <c r="O332" t="str">
        <f>Deals_Raw!O332</f>
        <v>Renewal</v>
      </c>
      <c r="P332">
        <f>Deals_Raw!P332</f>
        <v>0</v>
      </c>
      <c r="Q332">
        <f>Deals_Raw!Q332</f>
        <v>1</v>
      </c>
      <c r="R332">
        <f>Deals_Raw!R332</f>
        <v>386</v>
      </c>
      <c r="S332" t="str">
        <f>Deals_Raw!S332</f>
        <v>R. Singh</v>
      </c>
      <c r="T332" s="6">
        <f>Deals_Raw!T332</f>
        <v>337915.22664480138</v>
      </c>
      <c r="U332" s="8">
        <f>Deals_Raw!V332</f>
        <v>0.14499999999999999</v>
      </c>
      <c r="V332" s="8">
        <f>Deals_Raw!W332</f>
        <v>9.4E-2</v>
      </c>
      <c r="W332" s="8">
        <f>Deals_Raw!X332</f>
        <v>1.4E-2</v>
      </c>
      <c r="X332" t="str">
        <f>Deals_Raw!Y332</f>
        <v>Procurement requirement</v>
      </c>
      <c r="Y332" t="str">
        <f>Deals_Raw!Z332</f>
        <v>Sales Manager</v>
      </c>
      <c r="Z332" s="6">
        <f>Deals_Raw!AA332</f>
        <v>306209.35830869171</v>
      </c>
      <c r="AA332" s="6">
        <f>Deals_Raw!AC332</f>
        <v>106571.87649193796</v>
      </c>
      <c r="AB332" s="6">
        <f>Deals_Raw!AD332</f>
        <v>199637.48181675375</v>
      </c>
      <c r="AC332" s="8">
        <f>Deals_Raw!AE332</f>
        <v>0.6519640122020629</v>
      </c>
      <c r="AD332" t="str">
        <f>Deals_Raw!AF332</f>
        <v>Won</v>
      </c>
      <c r="AE332" t="str">
        <f>Deals_Raw!AG332</f>
        <v>Yes</v>
      </c>
      <c r="AF332">
        <f>Deals_Raw!AH332</f>
        <v>0</v>
      </c>
      <c r="AG332" t="str">
        <f>Deals_Raw!AI332</f>
        <v>No</v>
      </c>
      <c r="AH332" s="6">
        <f>Deals_Raw!AJ332</f>
        <v>306209.35830869171</v>
      </c>
      <c r="AI332" s="6">
        <f>Deals_Raw!AK332</f>
        <v>199637.48181675375</v>
      </c>
      <c r="AJ332" t="str">
        <f>Deals_Raw!AL332</f>
        <v>Renewal of existing active contract</v>
      </c>
      <c r="AK332" s="9">
        <f t="shared" si="35"/>
        <v>7.4638888888888886</v>
      </c>
      <c r="AL332" s="8">
        <f t="shared" si="36"/>
        <v>0.90617212295840932</v>
      </c>
      <c r="AM332" s="8">
        <f t="shared" si="37"/>
        <v>5.099999999999999E-2</v>
      </c>
      <c r="AN332" t="str">
        <f>IF(AC332&lt;Pricing_Policy!$C$10,"Below Floor","Pass")</f>
        <v>Pass</v>
      </c>
      <c r="AO332" t="str">
        <f>IF(V332&gt;Pricing_Policy!$C$7,"Exception","Standard")</f>
        <v>Standard</v>
      </c>
      <c r="AP332" t="str">
        <f t="shared" si="38"/>
        <v>Pass</v>
      </c>
      <c r="AQ332">
        <f t="shared" si="39"/>
        <v>1</v>
      </c>
      <c r="AR332" s="8">
        <f t="shared" si="40"/>
        <v>0.6519640122020629</v>
      </c>
      <c r="AS332">
        <f t="shared" si="41"/>
        <v>3</v>
      </c>
    </row>
    <row r="333" spans="1:45">
      <c r="A333" t="str">
        <f>Deals_Raw!A333</f>
        <v>D00378</v>
      </c>
      <c r="B333">
        <f>Deals_Raw!B333</f>
        <v>45351</v>
      </c>
      <c r="C333" t="str">
        <f>Deals_Raw!C333</f>
        <v>C0094</v>
      </c>
      <c r="D333" t="str">
        <f>Deals_Raw!D333</f>
        <v>PUB-0094</v>
      </c>
      <c r="E333" t="str">
        <f>Deals_Raw!E333</f>
        <v>CT00198</v>
      </c>
      <c r="F333" t="str">
        <f>Deals_Raw!F333</f>
        <v>Legal</v>
      </c>
      <c r="G333" t="str">
        <f>Deals_Raw!G333</f>
        <v>Public Sector</v>
      </c>
      <c r="H333" t="str">
        <f>Deals_Raw!H333</f>
        <v>West</v>
      </c>
      <c r="I333" t="str">
        <f>Deals_Raw!I333</f>
        <v>West Enterprise</v>
      </c>
      <c r="J333" t="str">
        <f>Deals_Raw!J333</f>
        <v>Enterprise</v>
      </c>
      <c r="K333" t="str">
        <f>Deals_Raw!K333</f>
        <v>No</v>
      </c>
      <c r="L333">
        <f>Deals_Raw!L333</f>
        <v>43770</v>
      </c>
      <c r="M333">
        <f>Deals_Raw!M333</f>
        <v>83</v>
      </c>
      <c r="N333" t="str">
        <f>Deals_Raw!N333</f>
        <v>Nexus Enterprise Suite</v>
      </c>
      <c r="O333" t="str">
        <f>Deals_Raw!O333</f>
        <v>Renewal</v>
      </c>
      <c r="P333">
        <f>Deals_Raw!P333</f>
        <v>0</v>
      </c>
      <c r="Q333">
        <f>Deals_Raw!Q333</f>
        <v>1</v>
      </c>
      <c r="R333">
        <f>Deals_Raw!R333</f>
        <v>1921</v>
      </c>
      <c r="S333" t="str">
        <f>Deals_Raw!S333</f>
        <v>T. Brooks</v>
      </c>
      <c r="T333" s="6">
        <f>Deals_Raw!T333</f>
        <v>967989.4774763115</v>
      </c>
      <c r="U333" s="8">
        <f>Deals_Raw!V333</f>
        <v>8.1000000000000003E-2</v>
      </c>
      <c r="V333" s="8">
        <f>Deals_Raw!W333</f>
        <v>5.1999999999999998E-2</v>
      </c>
      <c r="W333" s="8">
        <f>Deals_Raw!X333</f>
        <v>-0.154</v>
      </c>
      <c r="X333" t="str">
        <f>Deals_Raw!Y333</f>
        <v>Strategic logo opportunity</v>
      </c>
      <c r="Y333" t="str">
        <f>Deals_Raw!Z333</f>
        <v>Sales Manager</v>
      </c>
      <c r="Z333" s="6">
        <f>Deals_Raw!AA333</f>
        <v>917918.35162756324</v>
      </c>
      <c r="AA333" s="6">
        <f>Deals_Raw!AC333</f>
        <v>342389.34499518416</v>
      </c>
      <c r="AB333" s="6">
        <f>Deals_Raw!AD333</f>
        <v>575529.00663237902</v>
      </c>
      <c r="AC333" s="8">
        <f>Deals_Raw!AE333</f>
        <v>0.62699368153159496</v>
      </c>
      <c r="AD333" t="str">
        <f>Deals_Raw!AF333</f>
        <v>Lost</v>
      </c>
      <c r="AE333" t="str">
        <f>Deals_Raw!AG333</f>
        <v>No</v>
      </c>
      <c r="AF333">
        <f>Deals_Raw!AH333</f>
        <v>0</v>
      </c>
      <c r="AG333" t="str">
        <f>Deals_Raw!AI333</f>
        <v>No</v>
      </c>
      <c r="AH333" s="6">
        <f>Deals_Raw!AJ333</f>
        <v>0</v>
      </c>
      <c r="AI333" s="6">
        <f>Deals_Raw!AK333</f>
        <v>0</v>
      </c>
      <c r="AJ333" t="str">
        <f>Deals_Raw!AL333</f>
        <v>Renewal of existing active contract</v>
      </c>
      <c r="AK333" s="9">
        <f t="shared" si="35"/>
        <v>4.3277777777777775</v>
      </c>
      <c r="AL333" s="8">
        <f t="shared" si="36"/>
        <v>0.94827306803035616</v>
      </c>
      <c r="AM333" s="8">
        <f t="shared" si="37"/>
        <v>2.9000000000000005E-2</v>
      </c>
      <c r="AN333" t="str">
        <f>IF(AC333&lt;Pricing_Policy!$C$10,"Below Floor","Pass")</f>
        <v>Pass</v>
      </c>
      <c r="AO333" t="str">
        <f>IF(V333&gt;Pricing_Policy!$C$7,"Exception","Standard")</f>
        <v>Standard</v>
      </c>
      <c r="AP333" t="str">
        <f t="shared" si="38"/>
        <v>Pass</v>
      </c>
      <c r="AQ333">
        <f t="shared" si="39"/>
        <v>0</v>
      </c>
      <c r="AR333" s="8">
        <f t="shared" si="40"/>
        <v>0</v>
      </c>
      <c r="AS333">
        <f t="shared" si="41"/>
        <v>2</v>
      </c>
    </row>
    <row r="334" spans="1:45">
      <c r="A334" t="str">
        <f>Deals_Raw!A334</f>
        <v>D00379</v>
      </c>
      <c r="B334">
        <f>Deals_Raw!B334</f>
        <v>45669</v>
      </c>
      <c r="C334" t="str">
        <f>Deals_Raw!C334</f>
        <v>C0094</v>
      </c>
      <c r="D334" t="str">
        <f>Deals_Raw!D334</f>
        <v>PUB-0094</v>
      </c>
      <c r="E334" t="str">
        <f>Deals_Raw!E334</f>
        <v>CT00198</v>
      </c>
      <c r="F334" t="str">
        <f>Deals_Raw!F334</f>
        <v>Legal</v>
      </c>
      <c r="G334" t="str">
        <f>Deals_Raw!G334</f>
        <v>Public Sector</v>
      </c>
      <c r="H334" t="str">
        <f>Deals_Raw!H334</f>
        <v>West</v>
      </c>
      <c r="I334" t="str">
        <f>Deals_Raw!I334</f>
        <v>West Enterprise</v>
      </c>
      <c r="J334" t="str">
        <f>Deals_Raw!J334</f>
        <v>Enterprise</v>
      </c>
      <c r="K334" t="str">
        <f>Deals_Raw!K334</f>
        <v>No</v>
      </c>
      <c r="L334">
        <f>Deals_Raw!L334</f>
        <v>43770</v>
      </c>
      <c r="M334">
        <f>Deals_Raw!M334</f>
        <v>83</v>
      </c>
      <c r="N334" t="str">
        <f>Deals_Raw!N334</f>
        <v>Nexus Enterprise Suite</v>
      </c>
      <c r="O334" t="str">
        <f>Deals_Raw!O334</f>
        <v>Win-back</v>
      </c>
      <c r="P334">
        <f>Deals_Raw!P334</f>
        <v>0</v>
      </c>
      <c r="Q334">
        <f>Deals_Raw!Q334</f>
        <v>1</v>
      </c>
      <c r="R334">
        <f>Deals_Raw!R334</f>
        <v>1921</v>
      </c>
      <c r="S334" t="str">
        <f>Deals_Raw!S334</f>
        <v>S. Rivera</v>
      </c>
      <c r="T334" s="6">
        <f>Deals_Raw!T334</f>
        <v>967989.4774763115</v>
      </c>
      <c r="U334" s="8">
        <f>Deals_Raw!V334</f>
        <v>0.22600000000000001</v>
      </c>
      <c r="V334" s="8">
        <f>Deals_Raw!W334</f>
        <v>0.215</v>
      </c>
      <c r="W334" s="8">
        <f>Deals_Raw!X334</f>
        <v>-5.0000000000000001E-3</v>
      </c>
      <c r="X334" t="str">
        <f>Deals_Raw!Y334</f>
        <v>Renewal retention risk</v>
      </c>
      <c r="Y334" t="str">
        <f>Deals_Raw!Z334</f>
        <v>Business Manager</v>
      </c>
      <c r="Z334" s="6">
        <f>Deals_Raw!AA334</f>
        <v>759506.89635424747</v>
      </c>
      <c r="AA334" s="6">
        <f>Deals_Raw!AC334</f>
        <v>325296.95235952124</v>
      </c>
      <c r="AB334" s="6">
        <f>Deals_Raw!AD334</f>
        <v>434209.94399472623</v>
      </c>
      <c r="AC334" s="8">
        <f>Deals_Raw!AE334</f>
        <v>0.57169980427959544</v>
      </c>
      <c r="AD334" t="str">
        <f>Deals_Raw!AF334</f>
        <v>Won</v>
      </c>
      <c r="AE334">
        <f>Deals_Raw!AG334</f>
        <v>0</v>
      </c>
      <c r="AF334">
        <f>Deals_Raw!AH334</f>
        <v>0</v>
      </c>
      <c r="AG334" t="str">
        <f>Deals_Raw!AI334</f>
        <v>Yes</v>
      </c>
      <c r="AH334" s="6">
        <f>Deals_Raw!AJ334</f>
        <v>759506.89635424747</v>
      </c>
      <c r="AI334" s="6">
        <f>Deals_Raw!AK334</f>
        <v>434209.94399472623</v>
      </c>
      <c r="AJ334" t="str">
        <f>Deals_Raw!AL334</f>
        <v>Customer returned after lost renewal</v>
      </c>
      <c r="AK334" s="9">
        <f t="shared" si="35"/>
        <v>5.197222222222222</v>
      </c>
      <c r="AL334" s="8">
        <f t="shared" si="36"/>
        <v>0.78462309149722553</v>
      </c>
      <c r="AM334" s="8">
        <f t="shared" si="37"/>
        <v>1.100000000000001E-2</v>
      </c>
      <c r="AN334" t="str">
        <f>IF(AC334&lt;Pricing_Policy!$C$10,"Below Floor","Pass")</f>
        <v>Pass</v>
      </c>
      <c r="AO334" t="str">
        <f>IF(V334&gt;Pricing_Policy!$C$7,"Exception","Standard")</f>
        <v>Standard</v>
      </c>
      <c r="AP334" t="str">
        <f t="shared" si="38"/>
        <v>Pass</v>
      </c>
      <c r="AQ334">
        <f t="shared" si="39"/>
        <v>1</v>
      </c>
      <c r="AR334" s="8">
        <f t="shared" si="40"/>
        <v>0.57169980427959544</v>
      </c>
      <c r="AS334">
        <f t="shared" si="41"/>
        <v>2</v>
      </c>
    </row>
    <row r="335" spans="1:45">
      <c r="A335" t="str">
        <f>Deals_Raw!A335</f>
        <v>D00381</v>
      </c>
      <c r="B335">
        <f>Deals_Raw!B335</f>
        <v>45368</v>
      </c>
      <c r="C335" t="str">
        <f>Deals_Raw!C335</f>
        <v>C0094</v>
      </c>
      <c r="D335" t="str">
        <f>Deals_Raw!D335</f>
        <v>PUB-0094</v>
      </c>
      <c r="E335" t="str">
        <f>Deals_Raw!E335</f>
        <v>CT00199</v>
      </c>
      <c r="F335" t="str">
        <f>Deals_Raw!F335</f>
        <v>Sales</v>
      </c>
      <c r="G335" t="str">
        <f>Deals_Raw!G335</f>
        <v>Public Sector</v>
      </c>
      <c r="H335" t="str">
        <f>Deals_Raw!H335</f>
        <v>West</v>
      </c>
      <c r="I335" t="str">
        <f>Deals_Raw!I335</f>
        <v>West Enterprise</v>
      </c>
      <c r="J335" t="str">
        <f>Deals_Raw!J335</f>
        <v>Enterprise</v>
      </c>
      <c r="K335" t="str">
        <f>Deals_Raw!K335</f>
        <v>No</v>
      </c>
      <c r="L335">
        <f>Deals_Raw!L335</f>
        <v>43770</v>
      </c>
      <c r="M335">
        <f>Deals_Raw!M335</f>
        <v>83</v>
      </c>
      <c r="N335" t="str">
        <f>Deals_Raw!N335</f>
        <v>Nexus Insights</v>
      </c>
      <c r="O335" t="str">
        <f>Deals_Raw!O335</f>
        <v>Renewal</v>
      </c>
      <c r="P335">
        <f>Deals_Raw!P335</f>
        <v>0</v>
      </c>
      <c r="Q335">
        <f>Deals_Raw!Q335</f>
        <v>1</v>
      </c>
      <c r="R335">
        <f>Deals_Raw!R335</f>
        <v>262</v>
      </c>
      <c r="S335" t="str">
        <f>Deals_Raw!S335</f>
        <v>S. Rivera</v>
      </c>
      <c r="T335" s="6">
        <f>Deals_Raw!T335</f>
        <v>132455.58011710402</v>
      </c>
      <c r="U335" s="8">
        <f>Deals_Raw!V335</f>
        <v>0.106</v>
      </c>
      <c r="V335" s="8">
        <f>Deals_Raw!W335</f>
        <v>9.7000000000000003E-2</v>
      </c>
      <c r="W335" s="8">
        <f>Deals_Raw!X335</f>
        <v>0.02</v>
      </c>
      <c r="X335" t="str">
        <f>Deals_Raw!Y335</f>
        <v>Procurement requirement</v>
      </c>
      <c r="Y335" t="str">
        <f>Deals_Raw!Z335</f>
        <v>Sales Manager</v>
      </c>
      <c r="Z335" s="6">
        <f>Deals_Raw!AA335</f>
        <v>119595.15307153121</v>
      </c>
      <c r="AA335" s="6">
        <f>Deals_Raw!AC335</f>
        <v>41475.207469397712</v>
      </c>
      <c r="AB335" s="6">
        <f>Deals_Raw!AD335</f>
        <v>78119.945602133492</v>
      </c>
      <c r="AC335" s="8">
        <f>Deals_Raw!AE335</f>
        <v>0.65320327451237992</v>
      </c>
      <c r="AD335" t="str">
        <f>Deals_Raw!AF335</f>
        <v>Won</v>
      </c>
      <c r="AE335" t="str">
        <f>Deals_Raw!AG335</f>
        <v>Yes</v>
      </c>
      <c r="AF335">
        <f>Deals_Raw!AH335</f>
        <v>0</v>
      </c>
      <c r="AG335" t="str">
        <f>Deals_Raw!AI335</f>
        <v>No</v>
      </c>
      <c r="AH335" s="6">
        <f>Deals_Raw!AJ335</f>
        <v>119595.15307153121</v>
      </c>
      <c r="AI335" s="6">
        <f>Deals_Raw!AK335</f>
        <v>78119.945602133492</v>
      </c>
      <c r="AJ335" t="str">
        <f>Deals_Raw!AL335</f>
        <v>Renewal of existing active contract</v>
      </c>
      <c r="AK335" s="9">
        <f t="shared" si="35"/>
        <v>4.3777777777777782</v>
      </c>
      <c r="AL335" s="8">
        <f t="shared" si="36"/>
        <v>0.90290762356555376</v>
      </c>
      <c r="AM335" s="8">
        <f t="shared" si="37"/>
        <v>8.9999999999999941E-3</v>
      </c>
      <c r="AN335" t="str">
        <f>IF(AC335&lt;Pricing_Policy!$C$10,"Below Floor","Pass")</f>
        <v>Pass</v>
      </c>
      <c r="AO335" t="str">
        <f>IF(V335&gt;Pricing_Policy!$C$7,"Exception","Standard")</f>
        <v>Standard</v>
      </c>
      <c r="AP335" t="str">
        <f t="shared" si="38"/>
        <v>Pass</v>
      </c>
      <c r="AQ335">
        <f t="shared" si="39"/>
        <v>1</v>
      </c>
      <c r="AR335" s="8">
        <f t="shared" si="40"/>
        <v>0.65320327451237992</v>
      </c>
      <c r="AS335">
        <f t="shared" si="41"/>
        <v>3</v>
      </c>
    </row>
    <row r="336" spans="1:45">
      <c r="A336" t="str">
        <f>Deals_Raw!A336</f>
        <v>D00382</v>
      </c>
      <c r="B336">
        <f>Deals_Raw!B336</f>
        <v>45552</v>
      </c>
      <c r="C336" t="str">
        <f>Deals_Raw!C336</f>
        <v>C0094</v>
      </c>
      <c r="D336" t="str">
        <f>Deals_Raw!D336</f>
        <v>PUB-0094</v>
      </c>
      <c r="E336" t="str">
        <f>Deals_Raw!E336</f>
        <v>CT00199</v>
      </c>
      <c r="F336" t="str">
        <f>Deals_Raw!F336</f>
        <v>Sales</v>
      </c>
      <c r="G336" t="str">
        <f>Deals_Raw!G336</f>
        <v>Public Sector</v>
      </c>
      <c r="H336" t="str">
        <f>Deals_Raw!H336</f>
        <v>West</v>
      </c>
      <c r="I336" t="str">
        <f>Deals_Raw!I336</f>
        <v>West Enterprise</v>
      </c>
      <c r="J336" t="str">
        <f>Deals_Raw!J336</f>
        <v>Enterprise</v>
      </c>
      <c r="K336" t="str">
        <f>Deals_Raw!K336</f>
        <v>No</v>
      </c>
      <c r="L336">
        <f>Deals_Raw!L336</f>
        <v>43770</v>
      </c>
      <c r="M336">
        <f>Deals_Raw!M336</f>
        <v>83</v>
      </c>
      <c r="N336" t="str">
        <f>Deals_Raw!N336</f>
        <v>Nexus Insights</v>
      </c>
      <c r="O336" t="str">
        <f>Deals_Raw!O336</f>
        <v>Expansion</v>
      </c>
      <c r="P336" t="str">
        <f>Deals_Raw!P336</f>
        <v>AI Add-on</v>
      </c>
      <c r="Q336">
        <f>Deals_Raw!Q336</f>
        <v>1</v>
      </c>
      <c r="R336">
        <f>Deals_Raw!R336</f>
        <v>354</v>
      </c>
      <c r="S336" t="str">
        <f>Deals_Raw!S336</f>
        <v>A. Patel</v>
      </c>
      <c r="T336" s="6">
        <f>Deals_Raw!T336</f>
        <v>163602.3625652726</v>
      </c>
      <c r="U336" s="8">
        <f>Deals_Raw!V336</f>
        <v>0.126</v>
      </c>
      <c r="V336" s="8">
        <f>Deals_Raw!W336</f>
        <v>0.11899999999999999</v>
      </c>
      <c r="W336" s="8">
        <f>Deals_Raw!X336</f>
        <v>-6.8000000000000005E-2</v>
      </c>
      <c r="X336" t="str">
        <f>Deals_Raw!Y336</f>
        <v>Expansion opportunity</v>
      </c>
      <c r="Y336" t="str">
        <f>Deals_Raw!Z336</f>
        <v>Pricing Analyst</v>
      </c>
      <c r="Z336" s="6">
        <f>Deals_Raw!AA336</f>
        <v>144084.39005356372</v>
      </c>
      <c r="AA336" s="6">
        <f>Deals_Raw!AC336</f>
        <v>46498.84593809113</v>
      </c>
      <c r="AB336" s="6">
        <f>Deals_Raw!AD336</f>
        <v>97585.544115472585</v>
      </c>
      <c r="AC336" s="8">
        <f>Deals_Raw!AE336</f>
        <v>0.67728047486056553</v>
      </c>
      <c r="AD336" t="str">
        <f>Deals_Raw!AF336</f>
        <v>Won</v>
      </c>
      <c r="AE336">
        <f>Deals_Raw!AG336</f>
        <v>0</v>
      </c>
      <c r="AF336" t="str">
        <f>Deals_Raw!AH336</f>
        <v>Yes</v>
      </c>
      <c r="AG336" t="str">
        <f>Deals_Raw!AI336</f>
        <v>No</v>
      </c>
      <c r="AH336" s="6">
        <f>Deals_Raw!AJ336</f>
        <v>144084.39005356372</v>
      </c>
      <c r="AI336" s="6">
        <f>Deals_Raw!AK336</f>
        <v>97585.544115472585</v>
      </c>
      <c r="AJ336" t="str">
        <f>Deals_Raw!AL336</f>
        <v>Expansion allowed because contract was active</v>
      </c>
      <c r="AK336" s="9">
        <f t="shared" si="35"/>
        <v>4.8777777777777782</v>
      </c>
      <c r="AL336" s="8">
        <f t="shared" si="36"/>
        <v>0.88069871238001363</v>
      </c>
      <c r="AM336" s="8">
        <f t="shared" si="37"/>
        <v>7.0000000000000062E-3</v>
      </c>
      <c r="AN336" t="str">
        <f>IF(AC336&lt;Pricing_Policy!$C$10,"Below Floor","Pass")</f>
        <v>Pass</v>
      </c>
      <c r="AO336" t="str">
        <f>IF(V336&gt;Pricing_Policy!$C$7,"Exception","Standard")</f>
        <v>Standard</v>
      </c>
      <c r="AP336" t="str">
        <f t="shared" si="38"/>
        <v>Pass</v>
      </c>
      <c r="AQ336">
        <f t="shared" si="39"/>
        <v>1</v>
      </c>
      <c r="AR336" s="8">
        <f t="shared" si="40"/>
        <v>0.67728047486056553</v>
      </c>
      <c r="AS336">
        <f t="shared" si="41"/>
        <v>3</v>
      </c>
    </row>
    <row r="337" spans="1:45">
      <c r="A337" t="str">
        <f>Deals_Raw!A337</f>
        <v>D00383</v>
      </c>
      <c r="B337">
        <f>Deals_Raw!B337</f>
        <v>45733</v>
      </c>
      <c r="C337" t="str">
        <f>Deals_Raw!C337</f>
        <v>C0094</v>
      </c>
      <c r="D337" t="str">
        <f>Deals_Raw!D337</f>
        <v>PUB-0094</v>
      </c>
      <c r="E337" t="str">
        <f>Deals_Raw!E337</f>
        <v>CT00199</v>
      </c>
      <c r="F337" t="str">
        <f>Deals_Raw!F337</f>
        <v>Sales</v>
      </c>
      <c r="G337" t="str">
        <f>Deals_Raw!G337</f>
        <v>Public Sector</v>
      </c>
      <c r="H337" t="str">
        <f>Deals_Raw!H337</f>
        <v>West</v>
      </c>
      <c r="I337" t="str">
        <f>Deals_Raw!I337</f>
        <v>West Enterprise</v>
      </c>
      <c r="J337" t="str">
        <f>Deals_Raw!J337</f>
        <v>Enterprise</v>
      </c>
      <c r="K337" t="str">
        <f>Deals_Raw!K337</f>
        <v>No</v>
      </c>
      <c r="L337">
        <f>Deals_Raw!L337</f>
        <v>43770</v>
      </c>
      <c r="M337">
        <f>Deals_Raw!M337</f>
        <v>83</v>
      </c>
      <c r="N337" t="str">
        <f>Deals_Raw!N337</f>
        <v>Nexus Insights</v>
      </c>
      <c r="O337" t="str">
        <f>Deals_Raw!O337</f>
        <v>Renewal</v>
      </c>
      <c r="P337">
        <f>Deals_Raw!P337</f>
        <v>0</v>
      </c>
      <c r="Q337">
        <f>Deals_Raw!Q337</f>
        <v>1</v>
      </c>
      <c r="R337">
        <f>Deals_Raw!R337</f>
        <v>354</v>
      </c>
      <c r="S337" t="str">
        <f>Deals_Raw!S337</f>
        <v>S. Rivera</v>
      </c>
      <c r="T337" s="6">
        <f>Deals_Raw!T337</f>
        <v>170221.75474577385</v>
      </c>
      <c r="U337" s="8">
        <f>Deals_Raw!V337</f>
        <v>0.16800000000000001</v>
      </c>
      <c r="V337" s="8">
        <f>Deals_Raw!W337</f>
        <v>0.15</v>
      </c>
      <c r="W337" s="8">
        <f>Deals_Raw!X337</f>
        <v>1.4E-2</v>
      </c>
      <c r="X337" t="str">
        <f>Deals_Raw!Y337</f>
        <v>Verified competitor pressure</v>
      </c>
      <c r="Y337" t="str">
        <f>Deals_Raw!Z337</f>
        <v>Pricing Analyst</v>
      </c>
      <c r="Z337" s="6">
        <f>Deals_Raw!AA337</f>
        <v>144729.78791277105</v>
      </c>
      <c r="AA337" s="6">
        <f>Deals_Raw!AC337</f>
        <v>49643.463826976047</v>
      </c>
      <c r="AB337" s="6">
        <f>Deals_Raw!AD337</f>
        <v>95086.324085795</v>
      </c>
      <c r="AC337" s="8">
        <f>Deals_Raw!AE337</f>
        <v>0.65699207783751978</v>
      </c>
      <c r="AD337" t="str">
        <f>Deals_Raw!AF337</f>
        <v>Won</v>
      </c>
      <c r="AE337" t="str">
        <f>Deals_Raw!AG337</f>
        <v>Yes</v>
      </c>
      <c r="AF337">
        <f>Deals_Raw!AH337</f>
        <v>0</v>
      </c>
      <c r="AG337" t="str">
        <f>Deals_Raw!AI337</f>
        <v>No</v>
      </c>
      <c r="AH337" s="6">
        <f>Deals_Raw!AJ337</f>
        <v>144729.78791277105</v>
      </c>
      <c r="AI337" s="6">
        <f>Deals_Raw!AK337</f>
        <v>95086.324085795</v>
      </c>
      <c r="AJ337" t="str">
        <f>Deals_Raw!AL337</f>
        <v>Renewal of existing active contract</v>
      </c>
      <c r="AK337" s="9">
        <f t="shared" si="35"/>
        <v>5.3777777777777782</v>
      </c>
      <c r="AL337" s="8">
        <f t="shared" si="36"/>
        <v>0.85024260341414615</v>
      </c>
      <c r="AM337" s="8">
        <f t="shared" si="37"/>
        <v>1.8000000000000016E-2</v>
      </c>
      <c r="AN337" t="str">
        <f>IF(AC337&lt;Pricing_Policy!$C$10,"Below Floor","Pass")</f>
        <v>Pass</v>
      </c>
      <c r="AO337" t="str">
        <f>IF(V337&gt;Pricing_Policy!$C$7,"Exception","Standard")</f>
        <v>Standard</v>
      </c>
      <c r="AP337" t="str">
        <f t="shared" si="38"/>
        <v>Pass</v>
      </c>
      <c r="AQ337">
        <f t="shared" si="39"/>
        <v>1</v>
      </c>
      <c r="AR337" s="8">
        <f t="shared" si="40"/>
        <v>0.65699207783751978</v>
      </c>
      <c r="AS337">
        <f t="shared" si="41"/>
        <v>3</v>
      </c>
    </row>
    <row r="338" spans="1:45">
      <c r="A338" t="str">
        <f>Deals_Raw!A338</f>
        <v>D00384</v>
      </c>
      <c r="B338">
        <f>Deals_Raw!B338</f>
        <v>45509</v>
      </c>
      <c r="C338" t="str">
        <f>Deals_Raw!C338</f>
        <v>C0094</v>
      </c>
      <c r="D338" t="str">
        <f>Deals_Raw!D338</f>
        <v>PUB-0094</v>
      </c>
      <c r="E338" t="str">
        <f>Deals_Raw!E338</f>
        <v>CT00200</v>
      </c>
      <c r="F338" t="str">
        <f>Deals_Raw!F338</f>
        <v>Technology</v>
      </c>
      <c r="G338" t="str">
        <f>Deals_Raw!G338</f>
        <v>Public Sector</v>
      </c>
      <c r="H338" t="str">
        <f>Deals_Raw!H338</f>
        <v>West</v>
      </c>
      <c r="I338" t="str">
        <f>Deals_Raw!I338</f>
        <v>West Enterprise</v>
      </c>
      <c r="J338" t="str">
        <f>Deals_Raw!J338</f>
        <v>Enterprise</v>
      </c>
      <c r="K338" t="str">
        <f>Deals_Raw!K338</f>
        <v>No</v>
      </c>
      <c r="L338">
        <f>Deals_Raw!L338</f>
        <v>43770</v>
      </c>
      <c r="M338">
        <f>Deals_Raw!M338</f>
        <v>83</v>
      </c>
      <c r="N338" t="str">
        <f>Deals_Raw!N338</f>
        <v>Nexus Compliance</v>
      </c>
      <c r="O338" t="str">
        <f>Deals_Raw!O338</f>
        <v>Expansion</v>
      </c>
      <c r="P338" t="str">
        <f>Deals_Raw!P338</f>
        <v>Enterprise Upgrade</v>
      </c>
      <c r="Q338">
        <f>Deals_Raw!Q338</f>
        <v>3</v>
      </c>
      <c r="R338">
        <f>Deals_Raw!R338</f>
        <v>601</v>
      </c>
      <c r="S338" t="str">
        <f>Deals_Raw!S338</f>
        <v>T. Brooks</v>
      </c>
      <c r="T338" s="6">
        <f>Deals_Raw!T338</f>
        <v>311803.55432341638</v>
      </c>
      <c r="U338" s="8">
        <f>Deals_Raw!V338</f>
        <v>0.09</v>
      </c>
      <c r="V338" s="8">
        <f>Deals_Raw!W338</f>
        <v>0.06</v>
      </c>
      <c r="W338" s="8">
        <f>Deals_Raw!X338</f>
        <v>0.01</v>
      </c>
      <c r="X338" t="str">
        <f>Deals_Raw!Y338</f>
        <v>Expansion opportunity</v>
      </c>
      <c r="Y338" t="str">
        <f>Deals_Raw!Z338</f>
        <v>Sales Manager</v>
      </c>
      <c r="Z338" s="6">
        <f>Deals_Raw!AA338</f>
        <v>293043.55072094279</v>
      </c>
      <c r="AA338" s="6">
        <f>Deals_Raw!AC338</f>
        <v>103091.11023981313</v>
      </c>
      <c r="AB338" s="6">
        <f>Deals_Raw!AD338</f>
        <v>189952.44048112966</v>
      </c>
      <c r="AC338" s="8">
        <f>Deals_Raw!AE338</f>
        <v>0.64820549714815623</v>
      </c>
      <c r="AD338" t="str">
        <f>Deals_Raw!AF338</f>
        <v>Won</v>
      </c>
      <c r="AE338">
        <f>Deals_Raw!AG338</f>
        <v>0</v>
      </c>
      <c r="AF338" t="str">
        <f>Deals_Raw!AH338</f>
        <v>Yes</v>
      </c>
      <c r="AG338" t="str">
        <f>Deals_Raw!AI338</f>
        <v>No</v>
      </c>
      <c r="AH338" s="6">
        <f>Deals_Raw!AJ338</f>
        <v>293043.55072094279</v>
      </c>
      <c r="AI338" s="6">
        <f>Deals_Raw!AK338</f>
        <v>189952.44048112966</v>
      </c>
      <c r="AJ338" t="str">
        <f>Deals_Raw!AL338</f>
        <v>Expansion allowed because contract was active</v>
      </c>
      <c r="AK338" s="9">
        <f t="shared" si="35"/>
        <v>4.7611111111111111</v>
      </c>
      <c r="AL338" s="8">
        <f t="shared" si="36"/>
        <v>0.93983390072899908</v>
      </c>
      <c r="AM338" s="8">
        <f t="shared" si="37"/>
        <v>0.03</v>
      </c>
      <c r="AN338" t="str">
        <f>IF(AC338&lt;Pricing_Policy!$C$10,"Below Floor","Pass")</f>
        <v>Pass</v>
      </c>
      <c r="AO338" t="str">
        <f>IF(V338&gt;Pricing_Policy!$C$7,"Exception","Standard")</f>
        <v>Standard</v>
      </c>
      <c r="AP338" t="str">
        <f t="shared" si="38"/>
        <v>Pass</v>
      </c>
      <c r="AQ338">
        <f t="shared" si="39"/>
        <v>1</v>
      </c>
      <c r="AR338" s="8">
        <f t="shared" si="40"/>
        <v>0.64820549714815623</v>
      </c>
      <c r="AS338">
        <f t="shared" si="41"/>
        <v>2</v>
      </c>
    </row>
    <row r="339" spans="1:45">
      <c r="A339" t="str">
        <f>Deals_Raw!A339</f>
        <v>D00385</v>
      </c>
      <c r="B339">
        <f>Deals_Raw!B339</f>
        <v>45639</v>
      </c>
      <c r="C339" t="str">
        <f>Deals_Raw!C339</f>
        <v>C0094</v>
      </c>
      <c r="D339" t="str">
        <f>Deals_Raw!D339</f>
        <v>PUB-0094</v>
      </c>
      <c r="E339" t="str">
        <f>Deals_Raw!E339</f>
        <v>CT00200</v>
      </c>
      <c r="F339" t="str">
        <f>Deals_Raw!F339</f>
        <v>Technology</v>
      </c>
      <c r="G339" t="str">
        <f>Deals_Raw!G339</f>
        <v>Public Sector</v>
      </c>
      <c r="H339" t="str">
        <f>Deals_Raw!H339</f>
        <v>West</v>
      </c>
      <c r="I339" t="str">
        <f>Deals_Raw!I339</f>
        <v>West Enterprise</v>
      </c>
      <c r="J339" t="str">
        <f>Deals_Raw!J339</f>
        <v>Enterprise</v>
      </c>
      <c r="K339" t="str">
        <f>Deals_Raw!K339</f>
        <v>No</v>
      </c>
      <c r="L339">
        <f>Deals_Raw!L339</f>
        <v>43770</v>
      </c>
      <c r="M339">
        <f>Deals_Raw!M339</f>
        <v>83</v>
      </c>
      <c r="N339" t="str">
        <f>Deals_Raw!N339</f>
        <v>Nexus Compliance</v>
      </c>
      <c r="O339" t="str">
        <f>Deals_Raw!O339</f>
        <v>Renewal</v>
      </c>
      <c r="P339">
        <f>Deals_Raw!P339</f>
        <v>0</v>
      </c>
      <c r="Q339">
        <f>Deals_Raw!Q339</f>
        <v>3</v>
      </c>
      <c r="R339">
        <f>Deals_Raw!R339</f>
        <v>601</v>
      </c>
      <c r="S339" t="str">
        <f>Deals_Raw!S339</f>
        <v>A. Patel</v>
      </c>
      <c r="T339" s="6">
        <f>Deals_Raw!T339</f>
        <v>330990.55426398426</v>
      </c>
      <c r="U339" s="8">
        <f>Deals_Raw!V339</f>
        <v>0.124</v>
      </c>
      <c r="V339" s="8">
        <f>Deals_Raw!W339</f>
        <v>5.7000000000000002E-2</v>
      </c>
      <c r="W339" s="8">
        <f>Deals_Raw!X339</f>
        <v>-6.2E-2</v>
      </c>
      <c r="X339" t="str">
        <f>Deals_Raw!Y339</f>
        <v>Strategic logo opportunity</v>
      </c>
      <c r="Y339" t="str">
        <f>Deals_Raw!Z339</f>
        <v>Sales Manager</v>
      </c>
      <c r="Z339" s="6">
        <f>Deals_Raw!AA339</f>
        <v>312020.80747197871</v>
      </c>
      <c r="AA339" s="6">
        <f>Deals_Raw!AC339</f>
        <v>114709.78923548386</v>
      </c>
      <c r="AB339" s="6">
        <f>Deals_Raw!AD339</f>
        <v>197311.01823649486</v>
      </c>
      <c r="AC339" s="8">
        <f>Deals_Raw!AE339</f>
        <v>0.63236493692560725</v>
      </c>
      <c r="AD339" t="str">
        <f>Deals_Raw!AF339</f>
        <v>Won</v>
      </c>
      <c r="AE339" t="str">
        <f>Deals_Raw!AG339</f>
        <v>Yes</v>
      </c>
      <c r="AF339">
        <f>Deals_Raw!AH339</f>
        <v>0</v>
      </c>
      <c r="AG339" t="str">
        <f>Deals_Raw!AI339</f>
        <v>No</v>
      </c>
      <c r="AH339" s="6">
        <f>Deals_Raw!AJ339</f>
        <v>312020.80747197871</v>
      </c>
      <c r="AI339" s="6">
        <f>Deals_Raw!AK339</f>
        <v>197311.01823649486</v>
      </c>
      <c r="AJ339" t="str">
        <f>Deals_Raw!AL339</f>
        <v>Renewal of existing active contract</v>
      </c>
      <c r="AK339" s="9">
        <f t="shared" si="35"/>
        <v>5.1166666666666663</v>
      </c>
      <c r="AL339" s="8">
        <f t="shared" si="36"/>
        <v>0.9426879512190669</v>
      </c>
      <c r="AM339" s="8">
        <f t="shared" si="37"/>
        <v>6.7000000000000004E-2</v>
      </c>
      <c r="AN339" t="str">
        <f>IF(AC339&lt;Pricing_Policy!$C$10,"Below Floor","Pass")</f>
        <v>Pass</v>
      </c>
      <c r="AO339" t="str">
        <f>IF(V339&gt;Pricing_Policy!$C$7,"Exception","Standard")</f>
        <v>Standard</v>
      </c>
      <c r="AP339" t="str">
        <f t="shared" si="38"/>
        <v>Pass</v>
      </c>
      <c r="AQ339">
        <f t="shared" si="39"/>
        <v>1</v>
      </c>
      <c r="AR339" s="8">
        <f t="shared" si="40"/>
        <v>0.63236493692560725</v>
      </c>
      <c r="AS339">
        <f t="shared" si="41"/>
        <v>2</v>
      </c>
    </row>
    <row r="340" spans="1:45">
      <c r="A340" t="str">
        <f>Deals_Raw!A340</f>
        <v>D00386</v>
      </c>
      <c r="B340">
        <f>Deals_Raw!B340</f>
        <v>45373</v>
      </c>
      <c r="C340" t="str">
        <f>Deals_Raw!C340</f>
        <v>C0095</v>
      </c>
      <c r="D340" t="str">
        <f>Deals_Raw!D340</f>
        <v>HEA-0095</v>
      </c>
      <c r="E340" t="str">
        <f>Deals_Raw!E340</f>
        <v>CT00201</v>
      </c>
      <c r="F340" t="str">
        <f>Deals_Raw!F340</f>
        <v>Finance</v>
      </c>
      <c r="G340" t="str">
        <f>Deals_Raw!G340</f>
        <v>Healthcare</v>
      </c>
      <c r="H340" t="str">
        <f>Deals_Raw!H340</f>
        <v>South</v>
      </c>
      <c r="I340" t="str">
        <f>Deals_Raw!I340</f>
        <v>South Commercial</v>
      </c>
      <c r="J340" t="str">
        <f>Deals_Raw!J340</f>
        <v>Mid-Market</v>
      </c>
      <c r="K340" t="str">
        <f>Deals_Raw!K340</f>
        <v>No</v>
      </c>
      <c r="L340">
        <f>Deals_Raw!L340</f>
        <v>44713</v>
      </c>
      <c r="M340">
        <f>Deals_Raw!M340</f>
        <v>79</v>
      </c>
      <c r="N340" t="str">
        <f>Deals_Raw!N340</f>
        <v>Nexus Insights</v>
      </c>
      <c r="O340" t="str">
        <f>Deals_Raw!O340</f>
        <v>New Business</v>
      </c>
      <c r="P340">
        <f>Deals_Raw!P340</f>
        <v>0</v>
      </c>
      <c r="Q340">
        <f>Deals_Raw!Q340</f>
        <v>2</v>
      </c>
      <c r="R340">
        <f>Deals_Raw!R340</f>
        <v>118</v>
      </c>
      <c r="S340" t="str">
        <f>Deals_Raw!S340</f>
        <v>D. Chen</v>
      </c>
      <c r="T340" s="6">
        <f>Deals_Raw!T340</f>
        <v>45663.478997109662</v>
      </c>
      <c r="U340" s="8">
        <f>Deals_Raw!V340</f>
        <v>0.129</v>
      </c>
      <c r="V340" s="8">
        <f>Deals_Raw!W340</f>
        <v>0.104</v>
      </c>
      <c r="W340" s="8">
        <f>Deals_Raw!X340</f>
        <v>-1E-3</v>
      </c>
      <c r="X340" t="str">
        <f>Deals_Raw!Y340</f>
        <v>Renewal retention risk</v>
      </c>
      <c r="Y340" t="str">
        <f>Deals_Raw!Z340</f>
        <v>Pricing Analyst</v>
      </c>
      <c r="Z340" s="6">
        <f>Deals_Raw!AA340</f>
        <v>40925.211018535832</v>
      </c>
      <c r="AA340" s="6">
        <f>Deals_Raw!AC340</f>
        <v>14690.463299015009</v>
      </c>
      <c r="AB340" s="6">
        <f>Deals_Raw!AD340</f>
        <v>26234.747719520823</v>
      </c>
      <c r="AC340" s="8">
        <f>Deals_Raw!AE340</f>
        <v>0.64104123269244939</v>
      </c>
      <c r="AD340" t="str">
        <f>Deals_Raw!AF340</f>
        <v>Won</v>
      </c>
      <c r="AE340">
        <f>Deals_Raw!AG340</f>
        <v>0</v>
      </c>
      <c r="AF340">
        <f>Deals_Raw!AH340</f>
        <v>0</v>
      </c>
      <c r="AG340" t="str">
        <f>Deals_Raw!AI340</f>
        <v>No</v>
      </c>
      <c r="AH340" s="6">
        <f>Deals_Raw!AJ340</f>
        <v>40925.211018535832</v>
      </c>
      <c r="AI340" s="6">
        <f>Deals_Raw!AK340</f>
        <v>26234.747719520823</v>
      </c>
      <c r="AJ340" t="str">
        <f>Deals_Raw!AL340</f>
        <v>First purchase under this contract</v>
      </c>
      <c r="AK340" s="9">
        <f t="shared" si="35"/>
        <v>1.8083333333333333</v>
      </c>
      <c r="AL340" s="8">
        <f t="shared" si="36"/>
        <v>0.89623506393646124</v>
      </c>
      <c r="AM340" s="8">
        <f t="shared" si="37"/>
        <v>2.5000000000000008E-2</v>
      </c>
      <c r="AN340" t="str">
        <f>IF(AC340&lt;Pricing_Policy!$C$10,"Below Floor","Pass")</f>
        <v>Pass</v>
      </c>
      <c r="AO340" t="str">
        <f>IF(V340&gt;Pricing_Policy!$C$7,"Exception","Standard")</f>
        <v>Standard</v>
      </c>
      <c r="AP340" t="str">
        <f t="shared" si="38"/>
        <v>Pass</v>
      </c>
      <c r="AQ340">
        <f t="shared" si="39"/>
        <v>1</v>
      </c>
      <c r="AR340" s="8">
        <f t="shared" si="40"/>
        <v>0.64104123269244939</v>
      </c>
      <c r="AS340">
        <f t="shared" si="41"/>
        <v>1</v>
      </c>
    </row>
    <row r="341" spans="1:45">
      <c r="A341" t="str">
        <f>Deals_Raw!A341</f>
        <v>D00387</v>
      </c>
      <c r="B341">
        <f>Deals_Raw!B341</f>
        <v>45645</v>
      </c>
      <c r="C341" t="str">
        <f>Deals_Raw!C341</f>
        <v>C0096</v>
      </c>
      <c r="D341" t="str">
        <f>Deals_Raw!D341</f>
        <v>MAN-0096</v>
      </c>
      <c r="E341" t="str">
        <f>Deals_Raw!E341</f>
        <v>CT00202</v>
      </c>
      <c r="F341" t="str">
        <f>Deals_Raw!F341</f>
        <v>Corporate</v>
      </c>
      <c r="G341" t="str">
        <f>Deals_Raw!G341</f>
        <v>Manufacturing</v>
      </c>
      <c r="H341" t="str">
        <f>Deals_Raw!H341</f>
        <v>West</v>
      </c>
      <c r="I341" t="str">
        <f>Deals_Raw!I341</f>
        <v>West Commercial</v>
      </c>
      <c r="J341" t="str">
        <f>Deals_Raw!J341</f>
        <v>SMB</v>
      </c>
      <c r="K341" t="str">
        <f>Deals_Raw!K341</f>
        <v>No</v>
      </c>
      <c r="L341">
        <f>Deals_Raw!L341</f>
        <v>43586</v>
      </c>
      <c r="M341">
        <f>Deals_Raw!M341</f>
        <v>76</v>
      </c>
      <c r="N341" t="str">
        <f>Deals_Raw!N341</f>
        <v>Nexus Compliance</v>
      </c>
      <c r="O341" t="str">
        <f>Deals_Raw!O341</f>
        <v>New Business</v>
      </c>
      <c r="P341">
        <f>Deals_Raw!P341</f>
        <v>0</v>
      </c>
      <c r="Q341">
        <f>Deals_Raw!Q341</f>
        <v>1</v>
      </c>
      <c r="R341">
        <f>Deals_Raw!R341</f>
        <v>59</v>
      </c>
      <c r="S341" t="str">
        <f>Deals_Raw!S341</f>
        <v>D. Chen</v>
      </c>
      <c r="T341" s="6">
        <f>Deals_Raw!T341</f>
        <v>65967.270539206947</v>
      </c>
      <c r="U341" s="8">
        <f>Deals_Raw!V341</f>
        <v>0.16300000000000001</v>
      </c>
      <c r="V341" s="8">
        <f>Deals_Raw!W341</f>
        <v>0.129</v>
      </c>
      <c r="W341" s="8">
        <f>Deals_Raw!X341</f>
        <v>-1.4999999999999999E-2</v>
      </c>
      <c r="X341" t="str">
        <f>Deals_Raw!Y341</f>
        <v>Renewal retention risk</v>
      </c>
      <c r="Y341" t="str">
        <f>Deals_Raw!Z341</f>
        <v>Pricing Analyst</v>
      </c>
      <c r="Z341" s="6">
        <f>Deals_Raw!AA341</f>
        <v>57456.41759924472</v>
      </c>
      <c r="AA341" s="6">
        <f>Deals_Raw!AC341</f>
        <v>24401.482711533459</v>
      </c>
      <c r="AB341" s="6">
        <f>Deals_Raw!AD341</f>
        <v>33054.934887711264</v>
      </c>
      <c r="AC341" s="8">
        <f>Deals_Raw!AE341</f>
        <v>0.57530448762516961</v>
      </c>
      <c r="AD341" t="str">
        <f>Deals_Raw!AF341</f>
        <v>Won</v>
      </c>
      <c r="AE341">
        <f>Deals_Raw!AG341</f>
        <v>0</v>
      </c>
      <c r="AF341">
        <f>Deals_Raw!AH341</f>
        <v>0</v>
      </c>
      <c r="AG341" t="str">
        <f>Deals_Raw!AI341</f>
        <v>No</v>
      </c>
      <c r="AH341" s="6">
        <f>Deals_Raw!AJ341</f>
        <v>57456.41759924472</v>
      </c>
      <c r="AI341" s="6">
        <f>Deals_Raw!AK341</f>
        <v>33054.934887711264</v>
      </c>
      <c r="AJ341" t="str">
        <f>Deals_Raw!AL341</f>
        <v>First purchase under this contract</v>
      </c>
      <c r="AK341" s="9">
        <f t="shared" si="35"/>
        <v>5.6333333333333337</v>
      </c>
      <c r="AL341" s="8">
        <f t="shared" si="36"/>
        <v>0.87098370342753695</v>
      </c>
      <c r="AM341" s="8">
        <f t="shared" si="37"/>
        <v>3.4000000000000002E-2</v>
      </c>
      <c r="AN341" t="str">
        <f>IF(AC341&lt;Pricing_Policy!$C$10,"Below Floor","Pass")</f>
        <v>Pass</v>
      </c>
      <c r="AO341" t="str">
        <f>IF(V341&gt;Pricing_Policy!$C$7,"Exception","Standard")</f>
        <v>Standard</v>
      </c>
      <c r="AP341" t="str">
        <f t="shared" si="38"/>
        <v>Pass</v>
      </c>
      <c r="AQ341">
        <f t="shared" si="39"/>
        <v>1</v>
      </c>
      <c r="AR341" s="8">
        <f t="shared" si="40"/>
        <v>0.57530448762516961</v>
      </c>
      <c r="AS341">
        <f t="shared" si="41"/>
        <v>3</v>
      </c>
    </row>
    <row r="342" spans="1:45">
      <c r="A342" t="str">
        <f>Deals_Raw!A342</f>
        <v>D00388</v>
      </c>
      <c r="B342">
        <f>Deals_Raw!B342</f>
        <v>46010</v>
      </c>
      <c r="C342" t="str">
        <f>Deals_Raw!C342</f>
        <v>C0096</v>
      </c>
      <c r="D342" t="str">
        <f>Deals_Raw!D342</f>
        <v>MAN-0096</v>
      </c>
      <c r="E342" t="str">
        <f>Deals_Raw!E342</f>
        <v>CT00202</v>
      </c>
      <c r="F342" t="str">
        <f>Deals_Raw!F342</f>
        <v>Corporate</v>
      </c>
      <c r="G342" t="str">
        <f>Deals_Raw!G342</f>
        <v>Manufacturing</v>
      </c>
      <c r="H342" t="str">
        <f>Deals_Raw!H342</f>
        <v>West</v>
      </c>
      <c r="I342" t="str">
        <f>Deals_Raw!I342</f>
        <v>West Commercial</v>
      </c>
      <c r="J342" t="str">
        <f>Deals_Raw!J342</f>
        <v>SMB</v>
      </c>
      <c r="K342" t="str">
        <f>Deals_Raw!K342</f>
        <v>No</v>
      </c>
      <c r="L342">
        <f>Deals_Raw!L342</f>
        <v>43586</v>
      </c>
      <c r="M342">
        <f>Deals_Raw!M342</f>
        <v>76</v>
      </c>
      <c r="N342" t="str">
        <f>Deals_Raw!N342</f>
        <v>Nexus Compliance</v>
      </c>
      <c r="O342" t="str">
        <f>Deals_Raw!O342</f>
        <v>Renewal</v>
      </c>
      <c r="P342">
        <f>Deals_Raw!P342</f>
        <v>0</v>
      </c>
      <c r="Q342">
        <f>Deals_Raw!Q342</f>
        <v>1</v>
      </c>
      <c r="R342">
        <f>Deals_Raw!R342</f>
        <v>59</v>
      </c>
      <c r="S342" t="str">
        <f>Deals_Raw!S342</f>
        <v>L. Williams</v>
      </c>
      <c r="T342" s="6">
        <f>Deals_Raw!T342</f>
        <v>68770.087744488454</v>
      </c>
      <c r="U342" s="8">
        <f>Deals_Raw!V342</f>
        <v>0.115</v>
      </c>
      <c r="V342" s="8">
        <f>Deals_Raw!W342</f>
        <v>8.5999999999999993E-2</v>
      </c>
      <c r="W342" s="8">
        <f>Deals_Raw!X342</f>
        <v>-0.05</v>
      </c>
      <c r="X342" t="str">
        <f>Deals_Raw!Y342</f>
        <v>Verified competitor pressure</v>
      </c>
      <c r="Y342" t="str">
        <f>Deals_Raw!Z342</f>
        <v>Sales Manager</v>
      </c>
      <c r="Z342" s="6">
        <f>Deals_Raw!AA342</f>
        <v>62841.323087994533</v>
      </c>
      <c r="AA342" s="6">
        <f>Deals_Raw!AC342</f>
        <v>23461.336927404504</v>
      </c>
      <c r="AB342" s="6">
        <f>Deals_Raw!AD342</f>
        <v>39379.98616059003</v>
      </c>
      <c r="AC342" s="8">
        <f>Deals_Raw!AE342</f>
        <v>0.62665749582400732</v>
      </c>
      <c r="AD342" t="str">
        <f>Deals_Raw!AF342</f>
        <v>Won</v>
      </c>
      <c r="AE342" t="str">
        <f>Deals_Raw!AG342</f>
        <v>Yes</v>
      </c>
      <c r="AF342">
        <f>Deals_Raw!AH342</f>
        <v>0</v>
      </c>
      <c r="AG342" t="str">
        <f>Deals_Raw!AI342</f>
        <v>No</v>
      </c>
      <c r="AH342" s="6">
        <f>Deals_Raw!AJ342</f>
        <v>62841.323087994533</v>
      </c>
      <c r="AI342" s="6">
        <f>Deals_Raw!AK342</f>
        <v>39379.98616059003</v>
      </c>
      <c r="AJ342" t="str">
        <f>Deals_Raw!AL342</f>
        <v>Renewal of existing active contract</v>
      </c>
      <c r="AK342" s="9">
        <f t="shared" si="35"/>
        <v>6.6333333333333337</v>
      </c>
      <c r="AL342" s="8">
        <f t="shared" si="36"/>
        <v>0.91378861288469015</v>
      </c>
      <c r="AM342" s="8">
        <f t="shared" si="37"/>
        <v>2.9000000000000012E-2</v>
      </c>
      <c r="AN342" t="str">
        <f>IF(AC342&lt;Pricing_Policy!$C$10,"Below Floor","Pass")</f>
        <v>Pass</v>
      </c>
      <c r="AO342" t="str">
        <f>IF(V342&gt;Pricing_Policy!$C$7,"Exception","Standard")</f>
        <v>Standard</v>
      </c>
      <c r="AP342" t="str">
        <f t="shared" si="38"/>
        <v>Pass</v>
      </c>
      <c r="AQ342">
        <f t="shared" si="39"/>
        <v>1</v>
      </c>
      <c r="AR342" s="8">
        <f t="shared" si="40"/>
        <v>0.62665749582400732</v>
      </c>
      <c r="AS342">
        <f t="shared" si="41"/>
        <v>3</v>
      </c>
    </row>
    <row r="343" spans="1:45">
      <c r="A343" t="str">
        <f>Deals_Raw!A343</f>
        <v>D00389</v>
      </c>
      <c r="B343">
        <f>Deals_Raw!B343</f>
        <v>45378</v>
      </c>
      <c r="C343" t="str">
        <f>Deals_Raw!C343</f>
        <v>C0096</v>
      </c>
      <c r="D343" t="str">
        <f>Deals_Raw!D343</f>
        <v>MAN-0096</v>
      </c>
      <c r="E343" t="str">
        <f>Deals_Raw!E343</f>
        <v>CT00203</v>
      </c>
      <c r="F343" t="str">
        <f>Deals_Raw!F343</f>
        <v>Corporate</v>
      </c>
      <c r="G343" t="str">
        <f>Deals_Raw!G343</f>
        <v>Manufacturing</v>
      </c>
      <c r="H343" t="str">
        <f>Deals_Raw!H343</f>
        <v>West</v>
      </c>
      <c r="I343" t="str">
        <f>Deals_Raw!I343</f>
        <v>West Commercial</v>
      </c>
      <c r="J343" t="str">
        <f>Deals_Raw!J343</f>
        <v>SMB</v>
      </c>
      <c r="K343" t="str">
        <f>Deals_Raw!K343</f>
        <v>No</v>
      </c>
      <c r="L343">
        <f>Deals_Raw!L343</f>
        <v>43586</v>
      </c>
      <c r="M343">
        <f>Deals_Raw!M343</f>
        <v>76</v>
      </c>
      <c r="N343" t="str">
        <f>Deals_Raw!N343</f>
        <v>Nexus AI Assistant</v>
      </c>
      <c r="O343" t="str">
        <f>Deals_Raw!O343</f>
        <v>Expansion</v>
      </c>
      <c r="P343" t="str">
        <f>Deals_Raw!P343</f>
        <v>Enterprise Upgrade</v>
      </c>
      <c r="Q343">
        <f>Deals_Raw!Q343</f>
        <v>1</v>
      </c>
      <c r="R343">
        <f>Deals_Raw!R343</f>
        <v>29</v>
      </c>
      <c r="S343" t="str">
        <f>Deals_Raw!S343</f>
        <v>R. Singh</v>
      </c>
      <c r="T343" s="6">
        <f>Deals_Raw!T343</f>
        <v>59371.801322314597</v>
      </c>
      <c r="U343" s="8">
        <f>Deals_Raw!V343</f>
        <v>3.4000000000000002E-2</v>
      </c>
      <c r="V343" s="8">
        <f>Deals_Raw!W343</f>
        <v>1E-3</v>
      </c>
      <c r="W343" s="8">
        <f>Deals_Raw!X343</f>
        <v>-4.3999999999999997E-2</v>
      </c>
      <c r="X343" t="str">
        <f>Deals_Raw!Y343</f>
        <v>Expansion opportunity</v>
      </c>
      <c r="Y343" t="str">
        <f>Deals_Raw!Z343</f>
        <v>Sales Manager</v>
      </c>
      <c r="Z343" s="6">
        <f>Deals_Raw!AA343</f>
        <v>59303.008617851832</v>
      </c>
      <c r="AA343" s="6">
        <f>Deals_Raw!AC343</f>
        <v>20364.518038476381</v>
      </c>
      <c r="AB343" s="6">
        <f>Deals_Raw!AD343</f>
        <v>38938.490579375451</v>
      </c>
      <c r="AC343" s="8">
        <f>Deals_Raw!AE343</f>
        <v>0.65660227848294861</v>
      </c>
      <c r="AD343" t="str">
        <f>Deals_Raw!AF343</f>
        <v>Won</v>
      </c>
      <c r="AE343">
        <f>Deals_Raw!AG343</f>
        <v>0</v>
      </c>
      <c r="AF343" t="str">
        <f>Deals_Raw!AH343</f>
        <v>Yes</v>
      </c>
      <c r="AG343" t="str">
        <f>Deals_Raw!AI343</f>
        <v>No</v>
      </c>
      <c r="AH343" s="6">
        <f>Deals_Raw!AJ343</f>
        <v>59303.008617851832</v>
      </c>
      <c r="AI343" s="6">
        <f>Deals_Raw!AK343</f>
        <v>38938.490579375451</v>
      </c>
      <c r="AJ343" t="str">
        <f>Deals_Raw!AL343</f>
        <v>Expansion allowed because contract was active</v>
      </c>
      <c r="AK343" s="9">
        <f t="shared" si="35"/>
        <v>4.9055555555555559</v>
      </c>
      <c r="AL343" s="8">
        <f t="shared" si="36"/>
        <v>0.99884132360934597</v>
      </c>
      <c r="AM343" s="8">
        <f t="shared" si="37"/>
        <v>3.3000000000000002E-2</v>
      </c>
      <c r="AN343" t="str">
        <f>IF(AC343&lt;Pricing_Policy!$C$10,"Below Floor","Pass")</f>
        <v>Pass</v>
      </c>
      <c r="AO343" t="str">
        <f>IF(V343&gt;Pricing_Policy!$C$7,"Exception","Standard")</f>
        <v>Standard</v>
      </c>
      <c r="AP343" t="str">
        <f t="shared" si="38"/>
        <v>Pass</v>
      </c>
      <c r="AQ343">
        <f t="shared" si="39"/>
        <v>1</v>
      </c>
      <c r="AR343" s="8">
        <f t="shared" si="40"/>
        <v>0.65660227848294861</v>
      </c>
      <c r="AS343">
        <f t="shared" si="41"/>
        <v>3</v>
      </c>
    </row>
    <row r="344" spans="1:45">
      <c r="A344" t="str">
        <f>Deals_Raw!A344</f>
        <v>D00390</v>
      </c>
      <c r="B344">
        <f>Deals_Raw!B344</f>
        <v>45612</v>
      </c>
      <c r="C344" t="str">
        <f>Deals_Raw!C344</f>
        <v>C0096</v>
      </c>
      <c r="D344" t="str">
        <f>Deals_Raw!D344</f>
        <v>MAN-0096</v>
      </c>
      <c r="E344" t="str">
        <f>Deals_Raw!E344</f>
        <v>CT00203</v>
      </c>
      <c r="F344" t="str">
        <f>Deals_Raw!F344</f>
        <v>Corporate</v>
      </c>
      <c r="G344" t="str">
        <f>Deals_Raw!G344</f>
        <v>Manufacturing</v>
      </c>
      <c r="H344" t="str">
        <f>Deals_Raw!H344</f>
        <v>West</v>
      </c>
      <c r="I344" t="str">
        <f>Deals_Raw!I344</f>
        <v>West Commercial</v>
      </c>
      <c r="J344" t="str">
        <f>Deals_Raw!J344</f>
        <v>SMB</v>
      </c>
      <c r="K344" t="str">
        <f>Deals_Raw!K344</f>
        <v>No</v>
      </c>
      <c r="L344">
        <f>Deals_Raw!L344</f>
        <v>43586</v>
      </c>
      <c r="M344">
        <f>Deals_Raw!M344</f>
        <v>76</v>
      </c>
      <c r="N344" t="str">
        <f>Deals_Raw!N344</f>
        <v>Nexus AI Assistant</v>
      </c>
      <c r="O344" t="str">
        <f>Deals_Raw!O344</f>
        <v>Renewal</v>
      </c>
      <c r="P344">
        <f>Deals_Raw!P344</f>
        <v>0</v>
      </c>
      <c r="Q344">
        <f>Deals_Raw!Q344</f>
        <v>1</v>
      </c>
      <c r="R344">
        <f>Deals_Raw!R344</f>
        <v>29</v>
      </c>
      <c r="S344" t="str">
        <f>Deals_Raw!S344</f>
        <v>S. Rivera</v>
      </c>
      <c r="T344" s="6">
        <f>Deals_Raw!T344</f>
        <v>62949.315576403176</v>
      </c>
      <c r="U344" s="8">
        <f>Deals_Raw!V344</f>
        <v>7.0000000000000001E-3</v>
      </c>
      <c r="V344" s="8">
        <f>Deals_Raw!W344</f>
        <v>0</v>
      </c>
      <c r="W344" s="8">
        <f>Deals_Raw!X344</f>
        <v>-2.1999999999999999E-2</v>
      </c>
      <c r="X344" t="str">
        <f>Deals_Raw!Y344</f>
        <v>Renewal retention risk</v>
      </c>
      <c r="Y344" t="str">
        <f>Deals_Raw!Z344</f>
        <v>Sales Manager</v>
      </c>
      <c r="Z344" s="6">
        <f>Deals_Raw!AA344</f>
        <v>62949.315576403176</v>
      </c>
      <c r="AA344" s="6">
        <f>Deals_Raw!AC344</f>
        <v>23872.789998999622</v>
      </c>
      <c r="AB344" s="6">
        <f>Deals_Raw!AD344</f>
        <v>39076.525577403554</v>
      </c>
      <c r="AC344" s="8">
        <f>Deals_Raw!AE344</f>
        <v>0.62076172265884899</v>
      </c>
      <c r="AD344" t="str">
        <f>Deals_Raw!AF344</f>
        <v>Won</v>
      </c>
      <c r="AE344" t="str">
        <f>Deals_Raw!AG344</f>
        <v>Yes</v>
      </c>
      <c r="AF344">
        <f>Deals_Raw!AH344</f>
        <v>0</v>
      </c>
      <c r="AG344" t="str">
        <f>Deals_Raw!AI344</f>
        <v>No</v>
      </c>
      <c r="AH344" s="6">
        <f>Deals_Raw!AJ344</f>
        <v>62949.315576403176</v>
      </c>
      <c r="AI344" s="6">
        <f>Deals_Raw!AK344</f>
        <v>39076.525577403554</v>
      </c>
      <c r="AJ344" t="str">
        <f>Deals_Raw!AL344</f>
        <v>Renewal of existing active contract</v>
      </c>
      <c r="AK344" s="9">
        <f t="shared" si="35"/>
        <v>5.541666666666667</v>
      </c>
      <c r="AL344" s="8">
        <f t="shared" si="36"/>
        <v>1</v>
      </c>
      <c r="AM344" s="8">
        <f t="shared" si="37"/>
        <v>7.0000000000000001E-3</v>
      </c>
      <c r="AN344" t="str">
        <f>IF(AC344&lt;Pricing_Policy!$C$10,"Below Floor","Pass")</f>
        <v>Pass</v>
      </c>
      <c r="AO344" t="str">
        <f>IF(V344&gt;Pricing_Policy!$C$7,"Exception","Standard")</f>
        <v>Standard</v>
      </c>
      <c r="AP344" t="str">
        <f t="shared" si="38"/>
        <v>Pass</v>
      </c>
      <c r="AQ344">
        <f t="shared" si="39"/>
        <v>1</v>
      </c>
      <c r="AR344" s="8">
        <f t="shared" si="40"/>
        <v>0.62076172265884899</v>
      </c>
      <c r="AS344">
        <f t="shared" si="41"/>
        <v>3</v>
      </c>
    </row>
    <row r="345" spans="1:45">
      <c r="A345" t="str">
        <f>Deals_Raw!A345</f>
        <v>D00391</v>
      </c>
      <c r="B345">
        <f>Deals_Raw!B345</f>
        <v>45977</v>
      </c>
      <c r="C345" t="str">
        <f>Deals_Raw!C345</f>
        <v>C0096</v>
      </c>
      <c r="D345" t="str">
        <f>Deals_Raw!D345</f>
        <v>MAN-0096</v>
      </c>
      <c r="E345" t="str">
        <f>Deals_Raw!E345</f>
        <v>CT00203</v>
      </c>
      <c r="F345" t="str">
        <f>Deals_Raw!F345</f>
        <v>Corporate</v>
      </c>
      <c r="G345" t="str">
        <f>Deals_Raw!G345</f>
        <v>Manufacturing</v>
      </c>
      <c r="H345" t="str">
        <f>Deals_Raw!H345</f>
        <v>West</v>
      </c>
      <c r="I345" t="str">
        <f>Deals_Raw!I345</f>
        <v>West Commercial</v>
      </c>
      <c r="J345" t="str">
        <f>Deals_Raw!J345</f>
        <v>SMB</v>
      </c>
      <c r="K345" t="str">
        <f>Deals_Raw!K345</f>
        <v>No</v>
      </c>
      <c r="L345">
        <f>Deals_Raw!L345</f>
        <v>43586</v>
      </c>
      <c r="M345">
        <f>Deals_Raw!M345</f>
        <v>76</v>
      </c>
      <c r="N345" t="str">
        <f>Deals_Raw!N345</f>
        <v>Nexus AI Assistant</v>
      </c>
      <c r="O345" t="str">
        <f>Deals_Raw!O345</f>
        <v>Renewal</v>
      </c>
      <c r="P345">
        <f>Deals_Raw!P345</f>
        <v>0</v>
      </c>
      <c r="Q345">
        <f>Deals_Raw!Q345</f>
        <v>1</v>
      </c>
      <c r="R345">
        <f>Deals_Raw!R345</f>
        <v>29</v>
      </c>
      <c r="S345" t="str">
        <f>Deals_Raw!S345</f>
        <v>R. Singh</v>
      </c>
      <c r="T345" s="6">
        <f>Deals_Raw!T345</f>
        <v>64748.035356390363</v>
      </c>
      <c r="U345" s="8">
        <f>Deals_Raw!V345</f>
        <v>7.4999999999999997E-2</v>
      </c>
      <c r="V345" s="8">
        <f>Deals_Raw!W345</f>
        <v>2.3E-2</v>
      </c>
      <c r="W345" s="8">
        <f>Deals_Raw!X345</f>
        <v>-9.8000000000000004E-2</v>
      </c>
      <c r="X345" t="str">
        <f>Deals_Raw!Y345</f>
        <v>Multi-year commitment</v>
      </c>
      <c r="Y345" t="str">
        <f>Deals_Raw!Z345</f>
        <v>Sales Manager</v>
      </c>
      <c r="Z345" s="6">
        <f>Deals_Raw!AA345</f>
        <v>63229.505089096718</v>
      </c>
      <c r="AA345" s="6">
        <f>Deals_Raw!AC345</f>
        <v>23957.90818310477</v>
      </c>
      <c r="AB345" s="6">
        <f>Deals_Raw!AD345</f>
        <v>39271.596905991944</v>
      </c>
      <c r="AC345" s="8">
        <f>Deals_Raw!AE345</f>
        <v>0.62109606663304295</v>
      </c>
      <c r="AD345" t="str">
        <f>Deals_Raw!AF345</f>
        <v>Lost</v>
      </c>
      <c r="AE345" t="str">
        <f>Deals_Raw!AG345</f>
        <v>No</v>
      </c>
      <c r="AF345">
        <f>Deals_Raw!AH345</f>
        <v>0</v>
      </c>
      <c r="AG345" t="str">
        <f>Deals_Raw!AI345</f>
        <v>No</v>
      </c>
      <c r="AH345" s="6">
        <f>Deals_Raw!AJ345</f>
        <v>0</v>
      </c>
      <c r="AI345" s="6">
        <f>Deals_Raw!AK345</f>
        <v>0</v>
      </c>
      <c r="AJ345" t="str">
        <f>Deals_Raw!AL345</f>
        <v>Renewal of existing active contract</v>
      </c>
      <c r="AK345" s="9">
        <f t="shared" si="35"/>
        <v>6.541666666666667</v>
      </c>
      <c r="AL345" s="8">
        <f t="shared" si="36"/>
        <v>0.97654708349164188</v>
      </c>
      <c r="AM345" s="8">
        <f t="shared" si="37"/>
        <v>5.1999999999999998E-2</v>
      </c>
      <c r="AN345" t="str">
        <f>IF(AC345&lt;Pricing_Policy!$C$10,"Below Floor","Pass")</f>
        <v>Pass</v>
      </c>
      <c r="AO345" t="str">
        <f>IF(V345&gt;Pricing_Policy!$C$7,"Exception","Standard")</f>
        <v>Standard</v>
      </c>
      <c r="AP345" t="str">
        <f t="shared" si="38"/>
        <v>Pass</v>
      </c>
      <c r="AQ345">
        <f t="shared" si="39"/>
        <v>0</v>
      </c>
      <c r="AR345" s="8">
        <f t="shared" si="40"/>
        <v>0</v>
      </c>
      <c r="AS345">
        <f t="shared" si="41"/>
        <v>3</v>
      </c>
    </row>
    <row r="346" spans="1:45">
      <c r="A346" t="str">
        <f>Deals_Raw!A346</f>
        <v>D00392</v>
      </c>
      <c r="B346">
        <f>Deals_Raw!B346</f>
        <v>45766</v>
      </c>
      <c r="C346" t="str">
        <f>Deals_Raw!C346</f>
        <v>C0096</v>
      </c>
      <c r="D346" t="str">
        <f>Deals_Raw!D346</f>
        <v>MAN-0096</v>
      </c>
      <c r="E346" t="str">
        <f>Deals_Raw!E346</f>
        <v>CT00204</v>
      </c>
      <c r="F346" t="str">
        <f>Deals_Raw!F346</f>
        <v>Legal</v>
      </c>
      <c r="G346" t="str">
        <f>Deals_Raw!G346</f>
        <v>Manufacturing</v>
      </c>
      <c r="H346" t="str">
        <f>Deals_Raw!H346</f>
        <v>West</v>
      </c>
      <c r="I346" t="str">
        <f>Deals_Raw!I346</f>
        <v>West Commercial</v>
      </c>
      <c r="J346" t="str">
        <f>Deals_Raw!J346</f>
        <v>SMB</v>
      </c>
      <c r="K346" t="str">
        <f>Deals_Raw!K346</f>
        <v>No</v>
      </c>
      <c r="L346">
        <f>Deals_Raw!L346</f>
        <v>43586</v>
      </c>
      <c r="M346">
        <f>Deals_Raw!M346</f>
        <v>76</v>
      </c>
      <c r="N346" t="str">
        <f>Deals_Raw!N346</f>
        <v>Nexus Compliance</v>
      </c>
      <c r="O346" t="str">
        <f>Deals_Raw!O346</f>
        <v>New Business</v>
      </c>
      <c r="P346">
        <f>Deals_Raw!P346</f>
        <v>0</v>
      </c>
      <c r="Q346">
        <f>Deals_Raw!Q346</f>
        <v>3</v>
      </c>
      <c r="R346">
        <f>Deals_Raw!R346</f>
        <v>62</v>
      </c>
      <c r="S346" t="str">
        <f>Deals_Raw!S346</f>
        <v>A. Patel</v>
      </c>
      <c r="T346" s="6">
        <f>Deals_Raw!T346</f>
        <v>91002.983640087332</v>
      </c>
      <c r="U346" s="8">
        <f>Deals_Raw!V346</f>
        <v>0</v>
      </c>
      <c r="V346" s="8">
        <f>Deals_Raw!W346</f>
        <v>0</v>
      </c>
      <c r="W346" s="8">
        <f>Deals_Raw!X346</f>
        <v>0.03</v>
      </c>
      <c r="X346" t="str">
        <f>Deals_Raw!Y346</f>
        <v>Expansion opportunity</v>
      </c>
      <c r="Y346" t="str">
        <f>Deals_Raw!Z346</f>
        <v>Sales Manager</v>
      </c>
      <c r="Z346" s="6">
        <f>Deals_Raw!AA346</f>
        <v>91002.983640087332</v>
      </c>
      <c r="AA346" s="6">
        <f>Deals_Raw!AC346</f>
        <v>34031.022430882178</v>
      </c>
      <c r="AB346" s="6">
        <f>Deals_Raw!AD346</f>
        <v>56971.961209205154</v>
      </c>
      <c r="AC346" s="8">
        <f>Deals_Raw!AE346</f>
        <v>0.62604498149782295</v>
      </c>
      <c r="AD346" t="str">
        <f>Deals_Raw!AF346</f>
        <v>Lost</v>
      </c>
      <c r="AE346">
        <f>Deals_Raw!AG346</f>
        <v>0</v>
      </c>
      <c r="AF346">
        <f>Deals_Raw!AH346</f>
        <v>0</v>
      </c>
      <c r="AG346" t="str">
        <f>Deals_Raw!AI346</f>
        <v>No</v>
      </c>
      <c r="AH346" s="6">
        <f>Deals_Raw!AJ346</f>
        <v>0</v>
      </c>
      <c r="AI346" s="6">
        <f>Deals_Raw!AK346</f>
        <v>0</v>
      </c>
      <c r="AJ346" t="str">
        <f>Deals_Raw!AL346</f>
        <v>First purchase under this contract</v>
      </c>
      <c r="AK346" s="9">
        <f t="shared" si="35"/>
        <v>5.9666666666666668</v>
      </c>
      <c r="AL346" s="8">
        <f t="shared" si="36"/>
        <v>1</v>
      </c>
      <c r="AM346" s="8">
        <f t="shared" si="37"/>
        <v>0</v>
      </c>
      <c r="AN346" t="str">
        <f>IF(AC346&lt;Pricing_Policy!$C$10,"Below Floor","Pass")</f>
        <v>Pass</v>
      </c>
      <c r="AO346" t="str">
        <f>IF(V346&gt;Pricing_Policy!$C$7,"Exception","Standard")</f>
        <v>Standard</v>
      </c>
      <c r="AP346" t="str">
        <f t="shared" si="38"/>
        <v>Pass</v>
      </c>
      <c r="AQ346">
        <f t="shared" si="39"/>
        <v>0</v>
      </c>
      <c r="AR346" s="8">
        <f t="shared" si="40"/>
        <v>0</v>
      </c>
      <c r="AS346">
        <f t="shared" si="41"/>
        <v>3</v>
      </c>
    </row>
    <row r="347" spans="1:45">
      <c r="A347" t="str">
        <f>Deals_Raw!A347</f>
        <v>D00393</v>
      </c>
      <c r="B347">
        <f>Deals_Raw!B347</f>
        <v>45772</v>
      </c>
      <c r="C347" t="str">
        <f>Deals_Raw!C347</f>
        <v>C0096</v>
      </c>
      <c r="D347" t="str">
        <f>Deals_Raw!D347</f>
        <v>MAN-0096</v>
      </c>
      <c r="E347" t="str">
        <f>Deals_Raw!E347</f>
        <v>CT00205</v>
      </c>
      <c r="F347" t="str">
        <f>Deals_Raw!F347</f>
        <v>Finance</v>
      </c>
      <c r="G347" t="str">
        <f>Deals_Raw!G347</f>
        <v>Manufacturing</v>
      </c>
      <c r="H347" t="str">
        <f>Deals_Raw!H347</f>
        <v>West</v>
      </c>
      <c r="I347" t="str">
        <f>Deals_Raw!I347</f>
        <v>West Commercial</v>
      </c>
      <c r="J347" t="str">
        <f>Deals_Raw!J347</f>
        <v>SMB</v>
      </c>
      <c r="K347" t="str">
        <f>Deals_Raw!K347</f>
        <v>No</v>
      </c>
      <c r="L347">
        <f>Deals_Raw!L347</f>
        <v>43586</v>
      </c>
      <c r="M347">
        <f>Deals_Raw!M347</f>
        <v>76</v>
      </c>
      <c r="N347" t="str">
        <f>Deals_Raw!N347</f>
        <v>Nexus Enterprise Suite</v>
      </c>
      <c r="O347" t="str">
        <f>Deals_Raw!O347</f>
        <v>New Business</v>
      </c>
      <c r="P347">
        <f>Deals_Raw!P347</f>
        <v>0</v>
      </c>
      <c r="Q347">
        <f>Deals_Raw!Q347</f>
        <v>2</v>
      </c>
      <c r="R347">
        <f>Deals_Raw!R347</f>
        <v>40</v>
      </c>
      <c r="S347" t="str">
        <f>Deals_Raw!S347</f>
        <v>A. Patel</v>
      </c>
      <c r="T347" s="6">
        <f>Deals_Raw!T347</f>
        <v>189015.76498668265</v>
      </c>
      <c r="U347" s="8">
        <f>Deals_Raw!V347</f>
        <v>8.4000000000000005E-2</v>
      </c>
      <c r="V347" s="8">
        <f>Deals_Raw!W347</f>
        <v>8.2000000000000003E-2</v>
      </c>
      <c r="W347" s="8">
        <f>Deals_Raw!X347</f>
        <v>7.0000000000000001E-3</v>
      </c>
      <c r="X347" t="str">
        <f>Deals_Raw!Y347</f>
        <v>Volume purchase</v>
      </c>
      <c r="Y347" t="str">
        <f>Deals_Raw!Z347</f>
        <v>Sales Manager</v>
      </c>
      <c r="Z347" s="6">
        <f>Deals_Raw!AA347</f>
        <v>173574.78612751904</v>
      </c>
      <c r="AA347" s="6">
        <f>Deals_Raw!AC347</f>
        <v>72148.273687020992</v>
      </c>
      <c r="AB347" s="6">
        <f>Deals_Raw!AD347</f>
        <v>101426.51244049805</v>
      </c>
      <c r="AC347" s="8">
        <f>Deals_Raw!AE347</f>
        <v>0.58433897401425405</v>
      </c>
      <c r="AD347" t="str">
        <f>Deals_Raw!AF347</f>
        <v>Won</v>
      </c>
      <c r="AE347">
        <f>Deals_Raw!AG347</f>
        <v>0</v>
      </c>
      <c r="AF347">
        <f>Deals_Raw!AH347</f>
        <v>0</v>
      </c>
      <c r="AG347" t="str">
        <f>Deals_Raw!AI347</f>
        <v>No</v>
      </c>
      <c r="AH347" s="6">
        <f>Deals_Raw!AJ347</f>
        <v>173574.78612751904</v>
      </c>
      <c r="AI347" s="6">
        <f>Deals_Raw!AK347</f>
        <v>101426.51244049805</v>
      </c>
      <c r="AJ347" t="str">
        <f>Deals_Raw!AL347</f>
        <v>First purchase under this contract</v>
      </c>
      <c r="AK347" s="9">
        <f t="shared" si="35"/>
        <v>5.9833333333333334</v>
      </c>
      <c r="AL347" s="8">
        <f t="shared" si="36"/>
        <v>0.91830851325945473</v>
      </c>
      <c r="AM347" s="8">
        <f t="shared" si="37"/>
        <v>2.0000000000000018E-3</v>
      </c>
      <c r="AN347" t="str">
        <f>IF(AC347&lt;Pricing_Policy!$C$10,"Below Floor","Pass")</f>
        <v>Pass</v>
      </c>
      <c r="AO347" t="str">
        <f>IF(V347&gt;Pricing_Policy!$C$7,"Exception","Standard")</f>
        <v>Standard</v>
      </c>
      <c r="AP347" t="str">
        <f t="shared" si="38"/>
        <v>Pass</v>
      </c>
      <c r="AQ347">
        <f t="shared" si="39"/>
        <v>1</v>
      </c>
      <c r="AR347" s="8">
        <f t="shared" si="40"/>
        <v>0.58433897401425405</v>
      </c>
      <c r="AS347">
        <f t="shared" si="41"/>
        <v>1</v>
      </c>
    </row>
    <row r="348" spans="1:45">
      <c r="A348" t="str">
        <f>Deals_Raw!A348</f>
        <v>D00394</v>
      </c>
      <c r="B348">
        <f>Deals_Raw!B348</f>
        <v>45758</v>
      </c>
      <c r="C348" t="str">
        <f>Deals_Raw!C348</f>
        <v>C0097</v>
      </c>
      <c r="D348" t="str">
        <f>Deals_Raw!D348</f>
        <v>TEC-0097</v>
      </c>
      <c r="E348" t="str">
        <f>Deals_Raw!E348</f>
        <v>CT00206</v>
      </c>
      <c r="F348" t="str">
        <f>Deals_Raw!F348</f>
        <v>Technology</v>
      </c>
      <c r="G348" t="str">
        <f>Deals_Raw!G348</f>
        <v>Technology</v>
      </c>
      <c r="H348" t="str">
        <f>Deals_Raw!H348</f>
        <v>Midwest</v>
      </c>
      <c r="I348" t="str">
        <f>Deals_Raw!I348</f>
        <v>Midwest Commercial</v>
      </c>
      <c r="J348" t="str">
        <f>Deals_Raw!J348</f>
        <v>Mid-Market</v>
      </c>
      <c r="K348" t="str">
        <f>Deals_Raw!K348</f>
        <v>No</v>
      </c>
      <c r="L348">
        <f>Deals_Raw!L348</f>
        <v>45261</v>
      </c>
      <c r="M348">
        <f>Deals_Raw!M348</f>
        <v>77</v>
      </c>
      <c r="N348" t="str">
        <f>Deals_Raw!N348</f>
        <v>Nexus AI Assistant</v>
      </c>
      <c r="O348" t="str">
        <f>Deals_Raw!O348</f>
        <v>New Business</v>
      </c>
      <c r="P348">
        <f>Deals_Raw!P348</f>
        <v>0</v>
      </c>
      <c r="Q348">
        <f>Deals_Raw!Q348</f>
        <v>1</v>
      </c>
      <c r="R348">
        <f>Deals_Raw!R348</f>
        <v>256</v>
      </c>
      <c r="S348" t="str">
        <f>Deals_Raw!S348</f>
        <v>D. Chen</v>
      </c>
      <c r="T348" s="6">
        <f>Deals_Raw!T348</f>
        <v>94337.22766542506</v>
      </c>
      <c r="U348" s="8">
        <f>Deals_Raw!V348</f>
        <v>0.21099999999999999</v>
      </c>
      <c r="V348" s="8">
        <f>Deals_Raw!W348</f>
        <v>0.123</v>
      </c>
      <c r="W348" s="8">
        <f>Deals_Raw!X348</f>
        <v>5.1999999999999998E-2</v>
      </c>
      <c r="X348" t="str">
        <f>Deals_Raw!Y348</f>
        <v>Multi-year commitment</v>
      </c>
      <c r="Y348" t="str">
        <f>Deals_Raw!Z348</f>
        <v>Pricing Analyst</v>
      </c>
      <c r="Z348" s="6">
        <f>Deals_Raw!AA348</f>
        <v>82766.640300499537</v>
      </c>
      <c r="AA348" s="6">
        <f>Deals_Raw!AC348</f>
        <v>37786.284307866757</v>
      </c>
      <c r="AB348" s="6">
        <f>Deals_Raw!AD348</f>
        <v>44980.35599263278</v>
      </c>
      <c r="AC348" s="8">
        <f>Deals_Raw!AE348</f>
        <v>0.54345997166640214</v>
      </c>
      <c r="AD348" t="str">
        <f>Deals_Raw!AF348</f>
        <v>Won</v>
      </c>
      <c r="AE348">
        <f>Deals_Raw!AG348</f>
        <v>0</v>
      </c>
      <c r="AF348">
        <f>Deals_Raw!AH348</f>
        <v>0</v>
      </c>
      <c r="AG348" t="str">
        <f>Deals_Raw!AI348</f>
        <v>No</v>
      </c>
      <c r="AH348" s="6">
        <f>Deals_Raw!AJ348</f>
        <v>82766.640300499537</v>
      </c>
      <c r="AI348" s="6">
        <f>Deals_Raw!AK348</f>
        <v>44980.35599263278</v>
      </c>
      <c r="AJ348" t="str">
        <f>Deals_Raw!AL348</f>
        <v>First purchase under this contract</v>
      </c>
      <c r="AK348" s="9">
        <f t="shared" si="35"/>
        <v>1.3611111111111112</v>
      </c>
      <c r="AL348" s="8">
        <f t="shared" si="36"/>
        <v>0.87734866021331914</v>
      </c>
      <c r="AM348" s="8">
        <f t="shared" si="37"/>
        <v>8.7999999999999995E-2</v>
      </c>
      <c r="AN348" t="str">
        <f>IF(AC348&lt;Pricing_Policy!$C$10,"Below Floor","Pass")</f>
        <v>Pass</v>
      </c>
      <c r="AO348" t="str">
        <f>IF(V348&gt;Pricing_Policy!$C$7,"Exception","Standard")</f>
        <v>Standard</v>
      </c>
      <c r="AP348" t="str">
        <f t="shared" si="38"/>
        <v>Pass</v>
      </c>
      <c r="AQ348">
        <f t="shared" si="39"/>
        <v>1</v>
      </c>
      <c r="AR348" s="8">
        <f t="shared" si="40"/>
        <v>0.54345997166640214</v>
      </c>
      <c r="AS348">
        <f t="shared" si="41"/>
        <v>1</v>
      </c>
    </row>
    <row r="349" spans="1:45">
      <c r="A349" t="str">
        <f>Deals_Raw!A349</f>
        <v>D00395</v>
      </c>
      <c r="B349">
        <f>Deals_Raw!B349</f>
        <v>45699</v>
      </c>
      <c r="C349" t="str">
        <f>Deals_Raw!C349</f>
        <v>C0098</v>
      </c>
      <c r="D349" t="str">
        <f>Deals_Raw!D349</f>
        <v>TEC-0098</v>
      </c>
      <c r="E349" t="str">
        <f>Deals_Raw!E349</f>
        <v>CT00207</v>
      </c>
      <c r="F349" t="str">
        <f>Deals_Raw!F349</f>
        <v>Sales</v>
      </c>
      <c r="G349" t="str">
        <f>Deals_Raw!G349</f>
        <v>Technology</v>
      </c>
      <c r="H349" t="str">
        <f>Deals_Raw!H349</f>
        <v>South</v>
      </c>
      <c r="I349" t="str">
        <f>Deals_Raw!I349</f>
        <v>South Commercial</v>
      </c>
      <c r="J349" t="str">
        <f>Deals_Raw!J349</f>
        <v>Mid-Market</v>
      </c>
      <c r="K349" t="str">
        <f>Deals_Raw!K349</f>
        <v>No</v>
      </c>
      <c r="L349">
        <f>Deals_Raw!L349</f>
        <v>43556</v>
      </c>
      <c r="M349">
        <f>Deals_Raw!M349</f>
        <v>74</v>
      </c>
      <c r="N349" t="str">
        <f>Deals_Raw!N349</f>
        <v>Nexus Enterprise Suite</v>
      </c>
      <c r="O349" t="str">
        <f>Deals_Raw!O349</f>
        <v>Expansion</v>
      </c>
      <c r="P349" t="str">
        <f>Deals_Raw!P349</f>
        <v>Module Add-on</v>
      </c>
      <c r="Q349">
        <f>Deals_Raw!Q349</f>
        <v>2</v>
      </c>
      <c r="R349">
        <f>Deals_Raw!R349</f>
        <v>223</v>
      </c>
      <c r="S349" t="str">
        <f>Deals_Raw!S349</f>
        <v>K. Nguyen</v>
      </c>
      <c r="T349" s="6">
        <f>Deals_Raw!T349</f>
        <v>428799.21555204852</v>
      </c>
      <c r="U349" s="8">
        <f>Deals_Raw!V349</f>
        <v>9.7000000000000003E-2</v>
      </c>
      <c r="V349" s="8">
        <f>Deals_Raw!W349</f>
        <v>7.8E-2</v>
      </c>
      <c r="W349" s="8">
        <f>Deals_Raw!X349</f>
        <v>-6.5000000000000002E-2</v>
      </c>
      <c r="X349" t="str">
        <f>Deals_Raw!Y349</f>
        <v>Expansion opportunity</v>
      </c>
      <c r="Y349" t="str">
        <f>Deals_Raw!Z349</f>
        <v>Sales Manager</v>
      </c>
      <c r="Z349" s="6">
        <f>Deals_Raw!AA349</f>
        <v>395314.0905353686</v>
      </c>
      <c r="AA349" s="6">
        <f>Deals_Raw!AC349</f>
        <v>157270.08308382562</v>
      </c>
      <c r="AB349" s="6">
        <f>Deals_Raw!AD349</f>
        <v>238044.00745154297</v>
      </c>
      <c r="AC349" s="8">
        <f>Deals_Raw!AE349</f>
        <v>0.6021642363649703</v>
      </c>
      <c r="AD349" t="str">
        <f>Deals_Raw!AF349</f>
        <v>Won</v>
      </c>
      <c r="AE349">
        <f>Deals_Raw!AG349</f>
        <v>0</v>
      </c>
      <c r="AF349" t="str">
        <f>Deals_Raw!AH349</f>
        <v>Yes</v>
      </c>
      <c r="AG349" t="str">
        <f>Deals_Raw!AI349</f>
        <v>No</v>
      </c>
      <c r="AH349" s="6">
        <f>Deals_Raw!AJ349</f>
        <v>395314.0905353686</v>
      </c>
      <c r="AI349" s="6">
        <f>Deals_Raw!AK349</f>
        <v>238044.00745154297</v>
      </c>
      <c r="AJ349" t="str">
        <f>Deals_Raw!AL349</f>
        <v>Expansion allowed because contract was active</v>
      </c>
      <c r="AK349" s="9">
        <f t="shared" si="35"/>
        <v>5.8611111111111107</v>
      </c>
      <c r="AL349" s="8">
        <f t="shared" si="36"/>
        <v>0.92190954693429139</v>
      </c>
      <c r="AM349" s="8">
        <f t="shared" si="37"/>
        <v>1.9000000000000003E-2</v>
      </c>
      <c r="AN349" t="str">
        <f>IF(AC349&lt;Pricing_Policy!$C$10,"Below Floor","Pass")</f>
        <v>Pass</v>
      </c>
      <c r="AO349" t="str">
        <f>IF(V349&gt;Pricing_Policy!$C$7,"Exception","Standard")</f>
        <v>Standard</v>
      </c>
      <c r="AP349" t="str">
        <f t="shared" si="38"/>
        <v>Pass</v>
      </c>
      <c r="AQ349">
        <f t="shared" si="39"/>
        <v>1</v>
      </c>
      <c r="AR349" s="8">
        <f t="shared" si="40"/>
        <v>0.6021642363649703</v>
      </c>
      <c r="AS349">
        <f t="shared" si="41"/>
        <v>3</v>
      </c>
    </row>
    <row r="350" spans="1:45">
      <c r="A350" t="str">
        <f>Deals_Raw!A350</f>
        <v>D00396</v>
      </c>
      <c r="B350">
        <f>Deals_Raw!B350</f>
        <v>45844</v>
      </c>
      <c r="C350" t="str">
        <f>Deals_Raw!C350</f>
        <v>C0098</v>
      </c>
      <c r="D350" t="str">
        <f>Deals_Raw!D350</f>
        <v>TEC-0098</v>
      </c>
      <c r="E350" t="str">
        <f>Deals_Raw!E350</f>
        <v>CT00207</v>
      </c>
      <c r="F350" t="str">
        <f>Deals_Raw!F350</f>
        <v>Sales</v>
      </c>
      <c r="G350" t="str">
        <f>Deals_Raw!G350</f>
        <v>Technology</v>
      </c>
      <c r="H350" t="str">
        <f>Deals_Raw!H350</f>
        <v>South</v>
      </c>
      <c r="I350" t="str">
        <f>Deals_Raw!I350</f>
        <v>South Commercial</v>
      </c>
      <c r="J350" t="str">
        <f>Deals_Raw!J350</f>
        <v>Mid-Market</v>
      </c>
      <c r="K350" t="str">
        <f>Deals_Raw!K350</f>
        <v>No</v>
      </c>
      <c r="L350">
        <f>Deals_Raw!L350</f>
        <v>43556</v>
      </c>
      <c r="M350">
        <f>Deals_Raw!M350</f>
        <v>74</v>
      </c>
      <c r="N350" t="str">
        <f>Deals_Raw!N350</f>
        <v>Nexus Enterprise Suite</v>
      </c>
      <c r="O350" t="str">
        <f>Deals_Raw!O350</f>
        <v>Renewal</v>
      </c>
      <c r="P350">
        <f>Deals_Raw!P350</f>
        <v>0</v>
      </c>
      <c r="Q350">
        <f>Deals_Raw!Q350</f>
        <v>2</v>
      </c>
      <c r="R350">
        <f>Deals_Raw!R350</f>
        <v>223</v>
      </c>
      <c r="S350" t="str">
        <f>Deals_Raw!S350</f>
        <v>T. Brooks</v>
      </c>
      <c r="T350" s="6">
        <f>Deals_Raw!T350</f>
        <v>440430.01947216777</v>
      </c>
      <c r="U350" s="8">
        <f>Deals_Raw!V350</f>
        <v>0.111</v>
      </c>
      <c r="V350" s="8">
        <f>Deals_Raw!W350</f>
        <v>0.1</v>
      </c>
      <c r="W350" s="8">
        <f>Deals_Raw!X350</f>
        <v>-8.5999999999999993E-2</v>
      </c>
      <c r="X350" t="str">
        <f>Deals_Raw!Y350</f>
        <v>Strategic logo opportunity</v>
      </c>
      <c r="Y350" t="str">
        <f>Deals_Raw!Z350</f>
        <v>Pricing Analyst</v>
      </c>
      <c r="Z350" s="6">
        <f>Deals_Raw!AA350</f>
        <v>396354.4688548813</v>
      </c>
      <c r="AA350" s="6">
        <f>Deals_Raw!AC350</f>
        <v>161475.03105350366</v>
      </c>
      <c r="AB350" s="6">
        <f>Deals_Raw!AD350</f>
        <v>234879.43780137764</v>
      </c>
      <c r="AC350" s="8">
        <f>Deals_Raw!AE350</f>
        <v>0.592599443826064</v>
      </c>
      <c r="AD350" t="str">
        <f>Deals_Raw!AF350</f>
        <v>Lost</v>
      </c>
      <c r="AE350" t="str">
        <f>Deals_Raw!AG350</f>
        <v>No</v>
      </c>
      <c r="AF350">
        <f>Deals_Raw!AH350</f>
        <v>0</v>
      </c>
      <c r="AG350" t="str">
        <f>Deals_Raw!AI350</f>
        <v>No</v>
      </c>
      <c r="AH350" s="6">
        <f>Deals_Raw!AJ350</f>
        <v>0</v>
      </c>
      <c r="AI350" s="6">
        <f>Deals_Raw!AK350</f>
        <v>0</v>
      </c>
      <c r="AJ350" t="str">
        <f>Deals_Raw!AL350</f>
        <v>Renewal of existing active contract</v>
      </c>
      <c r="AK350" s="9">
        <f t="shared" si="35"/>
        <v>6.2638888888888893</v>
      </c>
      <c r="AL350" s="8">
        <f t="shared" si="36"/>
        <v>0.89992609797554513</v>
      </c>
      <c r="AM350" s="8">
        <f t="shared" si="37"/>
        <v>1.0999999999999996E-2</v>
      </c>
      <c r="AN350" t="str">
        <f>IF(AC350&lt;Pricing_Policy!$C$10,"Below Floor","Pass")</f>
        <v>Pass</v>
      </c>
      <c r="AO350" t="str">
        <f>IF(V350&gt;Pricing_Policy!$C$7,"Exception","Standard")</f>
        <v>Standard</v>
      </c>
      <c r="AP350" t="str">
        <f t="shared" si="38"/>
        <v>Review</v>
      </c>
      <c r="AQ350">
        <f t="shared" si="39"/>
        <v>0</v>
      </c>
      <c r="AR350" s="8">
        <f t="shared" si="40"/>
        <v>0</v>
      </c>
      <c r="AS350">
        <f t="shared" si="41"/>
        <v>3</v>
      </c>
    </row>
    <row r="351" spans="1:45">
      <c r="A351" t="str">
        <f>Deals_Raw!A351</f>
        <v>D00397</v>
      </c>
      <c r="B351">
        <f>Deals_Raw!B351</f>
        <v>45964</v>
      </c>
      <c r="C351" t="str">
        <f>Deals_Raw!C351</f>
        <v>C0098</v>
      </c>
      <c r="D351" t="str">
        <f>Deals_Raw!D351</f>
        <v>TEC-0098</v>
      </c>
      <c r="E351" t="str">
        <f>Deals_Raw!E351</f>
        <v>CT00207</v>
      </c>
      <c r="F351" t="str">
        <f>Deals_Raw!F351</f>
        <v>Sales</v>
      </c>
      <c r="G351" t="str">
        <f>Deals_Raw!G351</f>
        <v>Technology</v>
      </c>
      <c r="H351" t="str">
        <f>Deals_Raw!H351</f>
        <v>South</v>
      </c>
      <c r="I351" t="str">
        <f>Deals_Raw!I351</f>
        <v>South Commercial</v>
      </c>
      <c r="J351" t="str">
        <f>Deals_Raw!J351</f>
        <v>Mid-Market</v>
      </c>
      <c r="K351" t="str">
        <f>Deals_Raw!K351</f>
        <v>No</v>
      </c>
      <c r="L351">
        <f>Deals_Raw!L351</f>
        <v>43556</v>
      </c>
      <c r="M351">
        <f>Deals_Raw!M351</f>
        <v>74</v>
      </c>
      <c r="N351" t="str">
        <f>Deals_Raw!N351</f>
        <v>Nexus Enterprise Suite</v>
      </c>
      <c r="O351" t="str">
        <f>Deals_Raw!O351</f>
        <v>Win-back</v>
      </c>
      <c r="P351">
        <f>Deals_Raw!P351</f>
        <v>0</v>
      </c>
      <c r="Q351">
        <f>Deals_Raw!Q351</f>
        <v>2</v>
      </c>
      <c r="R351">
        <f>Deals_Raw!R351</f>
        <v>223</v>
      </c>
      <c r="S351" t="str">
        <f>Deals_Raw!S351</f>
        <v>M. Johnson</v>
      </c>
      <c r="T351" s="6">
        <f>Deals_Raw!T351</f>
        <v>440430.01947216777</v>
      </c>
      <c r="U351" s="8">
        <f>Deals_Raw!V351</f>
        <v>0.185</v>
      </c>
      <c r="V351" s="8">
        <f>Deals_Raw!W351</f>
        <v>0.16</v>
      </c>
      <c r="W351" s="8">
        <f>Deals_Raw!X351</f>
        <v>-3.1E-2</v>
      </c>
      <c r="X351" t="str">
        <f>Deals_Raw!Y351</f>
        <v>Renewal retention risk</v>
      </c>
      <c r="Y351" t="str">
        <f>Deals_Raw!Z351</f>
        <v>Pricing Analyst</v>
      </c>
      <c r="Z351" s="6">
        <f>Deals_Raw!AA351</f>
        <v>370147.78219251666</v>
      </c>
      <c r="AA351" s="6">
        <f>Deals_Raw!AC351</f>
        <v>154665.56117420914</v>
      </c>
      <c r="AB351" s="6">
        <f>Deals_Raw!AD351</f>
        <v>215482.22101830752</v>
      </c>
      <c r="AC351" s="8">
        <f>Deals_Raw!AE351</f>
        <v>0.58215186308001055</v>
      </c>
      <c r="AD351" t="str">
        <f>Deals_Raw!AF351</f>
        <v>Lost</v>
      </c>
      <c r="AE351">
        <f>Deals_Raw!AG351</f>
        <v>0</v>
      </c>
      <c r="AF351">
        <f>Deals_Raw!AH351</f>
        <v>0</v>
      </c>
      <c r="AG351" t="str">
        <f>Deals_Raw!AI351</f>
        <v>Yes</v>
      </c>
      <c r="AH351" s="6">
        <f>Deals_Raw!AJ351</f>
        <v>0</v>
      </c>
      <c r="AI351" s="6">
        <f>Deals_Raw!AK351</f>
        <v>0</v>
      </c>
      <c r="AJ351" t="str">
        <f>Deals_Raw!AL351</f>
        <v>Customer returned after lost renewal</v>
      </c>
      <c r="AK351" s="9">
        <f t="shared" si="35"/>
        <v>6.5888888888888886</v>
      </c>
      <c r="AL351" s="8">
        <f t="shared" si="36"/>
        <v>0.84042359927263666</v>
      </c>
      <c r="AM351" s="8">
        <f t="shared" si="37"/>
        <v>2.4999999999999994E-2</v>
      </c>
      <c r="AN351" t="str">
        <f>IF(AC351&lt;Pricing_Policy!$C$10,"Below Floor","Pass")</f>
        <v>Pass</v>
      </c>
      <c r="AO351" t="str">
        <f>IF(V351&gt;Pricing_Policy!$C$7,"Exception","Standard")</f>
        <v>Standard</v>
      </c>
      <c r="AP351" t="str">
        <f t="shared" si="38"/>
        <v>Pass</v>
      </c>
      <c r="AQ351">
        <f t="shared" si="39"/>
        <v>0</v>
      </c>
      <c r="AR351" s="8">
        <f t="shared" si="40"/>
        <v>0</v>
      </c>
      <c r="AS351">
        <f t="shared" si="41"/>
        <v>3</v>
      </c>
    </row>
    <row r="352" spans="1:45">
      <c r="A352" t="str">
        <f>Deals_Raw!A352</f>
        <v>D00398</v>
      </c>
      <c r="B352">
        <f>Deals_Raw!B352</f>
        <v>45405</v>
      </c>
      <c r="C352" t="str">
        <f>Deals_Raw!C352</f>
        <v>C0098</v>
      </c>
      <c r="D352" t="str">
        <f>Deals_Raw!D352</f>
        <v>TEC-0098</v>
      </c>
      <c r="E352" t="str">
        <f>Deals_Raw!E352</f>
        <v>CT00208</v>
      </c>
      <c r="F352" t="str">
        <f>Deals_Raw!F352</f>
        <v>Operations</v>
      </c>
      <c r="G352" t="str">
        <f>Deals_Raw!G352</f>
        <v>Technology</v>
      </c>
      <c r="H352" t="str">
        <f>Deals_Raw!H352</f>
        <v>South</v>
      </c>
      <c r="I352" t="str">
        <f>Deals_Raw!I352</f>
        <v>South Commercial</v>
      </c>
      <c r="J352" t="str">
        <f>Deals_Raw!J352</f>
        <v>Mid-Market</v>
      </c>
      <c r="K352" t="str">
        <f>Deals_Raw!K352</f>
        <v>No</v>
      </c>
      <c r="L352">
        <f>Deals_Raw!L352</f>
        <v>43556</v>
      </c>
      <c r="M352">
        <f>Deals_Raw!M352</f>
        <v>74</v>
      </c>
      <c r="N352" t="str">
        <f>Deals_Raw!N352</f>
        <v>Nexus Analytics</v>
      </c>
      <c r="O352" t="str">
        <f>Deals_Raw!O352</f>
        <v>New Business</v>
      </c>
      <c r="P352">
        <f>Deals_Raw!P352</f>
        <v>0</v>
      </c>
      <c r="Q352">
        <f>Deals_Raw!Q352</f>
        <v>1</v>
      </c>
      <c r="R352">
        <f>Deals_Raw!R352</f>
        <v>152</v>
      </c>
      <c r="S352" t="str">
        <f>Deals_Raw!S352</f>
        <v>L. Williams</v>
      </c>
      <c r="T352" s="6">
        <f>Deals_Raw!T352</f>
        <v>82228.814617660479</v>
      </c>
      <c r="U352" s="8">
        <f>Deals_Raw!V352</f>
        <v>5.7000000000000002E-2</v>
      </c>
      <c r="V352" s="8">
        <f>Deals_Raw!W352</f>
        <v>5.3999999999999999E-2</v>
      </c>
      <c r="W352" s="8">
        <f>Deals_Raw!X352</f>
        <v>4.1000000000000002E-2</v>
      </c>
      <c r="X352" t="str">
        <f>Deals_Raw!Y352</f>
        <v>Volume purchase</v>
      </c>
      <c r="Y352" t="str">
        <f>Deals_Raw!Z352</f>
        <v>Sales Manager</v>
      </c>
      <c r="Z352" s="6">
        <f>Deals_Raw!AA352</f>
        <v>77798.647999073262</v>
      </c>
      <c r="AA352" s="6">
        <f>Deals_Raw!AC352</f>
        <v>24851.7875988655</v>
      </c>
      <c r="AB352" s="6">
        <f>Deals_Raw!AD352</f>
        <v>52946.860400207763</v>
      </c>
      <c r="AC352" s="8">
        <f>Deals_Raw!AE352</f>
        <v>0.68056273164076664</v>
      </c>
      <c r="AD352" t="str">
        <f>Deals_Raw!AF352</f>
        <v>Lost</v>
      </c>
      <c r="AE352">
        <f>Deals_Raw!AG352</f>
        <v>0</v>
      </c>
      <c r="AF352">
        <f>Deals_Raw!AH352</f>
        <v>0</v>
      </c>
      <c r="AG352" t="str">
        <f>Deals_Raw!AI352</f>
        <v>No</v>
      </c>
      <c r="AH352" s="6">
        <f>Deals_Raw!AJ352</f>
        <v>0</v>
      </c>
      <c r="AI352" s="6">
        <f>Deals_Raw!AK352</f>
        <v>0</v>
      </c>
      <c r="AJ352" t="str">
        <f>Deals_Raw!AL352</f>
        <v>First purchase under this contract</v>
      </c>
      <c r="AK352" s="9">
        <f t="shared" si="35"/>
        <v>5.0611111111111109</v>
      </c>
      <c r="AL352" s="8">
        <f t="shared" si="36"/>
        <v>0.94612391484437453</v>
      </c>
      <c r="AM352" s="8">
        <f t="shared" si="37"/>
        <v>3.0000000000000027E-3</v>
      </c>
      <c r="AN352" t="str">
        <f>IF(AC352&lt;Pricing_Policy!$C$10,"Below Floor","Pass")</f>
        <v>Pass</v>
      </c>
      <c r="AO352" t="str">
        <f>IF(V352&gt;Pricing_Policy!$C$7,"Exception","Standard")</f>
        <v>Standard</v>
      </c>
      <c r="AP352" t="str">
        <f t="shared" si="38"/>
        <v>Pass</v>
      </c>
      <c r="AQ352">
        <f t="shared" si="39"/>
        <v>0</v>
      </c>
      <c r="AR352" s="8">
        <f t="shared" si="40"/>
        <v>0</v>
      </c>
      <c r="AS352">
        <f t="shared" si="41"/>
        <v>1</v>
      </c>
    </row>
    <row r="353" spans="1:45">
      <c r="A353" t="str">
        <f>Deals_Raw!A353</f>
        <v>D00399</v>
      </c>
      <c r="B353">
        <f>Deals_Raw!B353</f>
        <v>45549</v>
      </c>
      <c r="C353" t="str">
        <f>Deals_Raw!C353</f>
        <v>C0099</v>
      </c>
      <c r="D353" t="str">
        <f>Deals_Raw!D353</f>
        <v>TEC-0099</v>
      </c>
      <c r="E353" t="str">
        <f>Deals_Raw!E353</f>
        <v>CT00209</v>
      </c>
      <c r="F353" t="str">
        <f>Deals_Raw!F353</f>
        <v>Legal</v>
      </c>
      <c r="G353" t="str">
        <f>Deals_Raw!G353</f>
        <v>Technology</v>
      </c>
      <c r="H353" t="str">
        <f>Deals_Raw!H353</f>
        <v>Northeast</v>
      </c>
      <c r="I353" t="str">
        <f>Deals_Raw!I353</f>
        <v>Northeast Commercial</v>
      </c>
      <c r="J353" t="str">
        <f>Deals_Raw!J353</f>
        <v>Mid-Market</v>
      </c>
      <c r="K353" t="str">
        <f>Deals_Raw!K353</f>
        <v>No</v>
      </c>
      <c r="L353">
        <f>Deals_Raw!L353</f>
        <v>44652</v>
      </c>
      <c r="M353">
        <f>Deals_Raw!M353</f>
        <v>71</v>
      </c>
      <c r="N353" t="str">
        <f>Deals_Raw!N353</f>
        <v>Nexus AI Assistant</v>
      </c>
      <c r="O353" t="str">
        <f>Deals_Raw!O353</f>
        <v>New Business</v>
      </c>
      <c r="P353">
        <f>Deals_Raw!P353</f>
        <v>0</v>
      </c>
      <c r="Q353">
        <f>Deals_Raw!Q353</f>
        <v>1</v>
      </c>
      <c r="R353">
        <f>Deals_Raw!R353</f>
        <v>100</v>
      </c>
      <c r="S353" t="str">
        <f>Deals_Raw!S353</f>
        <v>M. Johnson</v>
      </c>
      <c r="T353" s="6">
        <f>Deals_Raw!T353</f>
        <v>75992.826251292194</v>
      </c>
      <c r="U353" s="8">
        <f>Deals_Raw!V353</f>
        <v>7.4999999999999997E-2</v>
      </c>
      <c r="V353" s="8">
        <f>Deals_Raw!W353</f>
        <v>5.5E-2</v>
      </c>
      <c r="W353" s="8">
        <f>Deals_Raw!X353</f>
        <v>9.2999999999999999E-2</v>
      </c>
      <c r="X353" t="str">
        <f>Deals_Raw!Y353</f>
        <v>Multi-year commitment</v>
      </c>
      <c r="Y353" t="str">
        <f>Deals_Raw!Z353</f>
        <v>Sales Manager</v>
      </c>
      <c r="Z353" s="6">
        <f>Deals_Raw!AA353</f>
        <v>71811.67170985791</v>
      </c>
      <c r="AA353" s="6">
        <f>Deals_Raw!AC353</f>
        <v>31981.058983877258</v>
      </c>
      <c r="AB353" s="6">
        <f>Deals_Raw!AD353</f>
        <v>39830.612725980653</v>
      </c>
      <c r="AC353" s="8">
        <f>Deals_Raw!AE353</f>
        <v>0.55465374607778317</v>
      </c>
      <c r="AD353" t="str">
        <f>Deals_Raw!AF353</f>
        <v>Lost</v>
      </c>
      <c r="AE353">
        <f>Deals_Raw!AG353</f>
        <v>0</v>
      </c>
      <c r="AF353">
        <f>Deals_Raw!AH353</f>
        <v>0</v>
      </c>
      <c r="AG353" t="str">
        <f>Deals_Raw!AI353</f>
        <v>No</v>
      </c>
      <c r="AH353" s="6">
        <f>Deals_Raw!AJ353</f>
        <v>0</v>
      </c>
      <c r="AI353" s="6">
        <f>Deals_Raw!AK353</f>
        <v>0</v>
      </c>
      <c r="AJ353" t="str">
        <f>Deals_Raw!AL353</f>
        <v>First purchase under this contract</v>
      </c>
      <c r="AK353" s="9">
        <f t="shared" si="35"/>
        <v>2.4527777777777779</v>
      </c>
      <c r="AL353" s="8">
        <f t="shared" si="36"/>
        <v>0.94497961521251905</v>
      </c>
      <c r="AM353" s="8">
        <f t="shared" si="37"/>
        <v>1.9999999999999997E-2</v>
      </c>
      <c r="AN353" t="str">
        <f>IF(AC353&lt;Pricing_Policy!$C$10,"Below Floor","Pass")</f>
        <v>Pass</v>
      </c>
      <c r="AO353" t="str">
        <f>IF(V353&gt;Pricing_Policy!$C$7,"Exception","Standard")</f>
        <v>Standard</v>
      </c>
      <c r="AP353" t="str">
        <f t="shared" si="38"/>
        <v>Pass</v>
      </c>
      <c r="AQ353">
        <f t="shared" si="39"/>
        <v>0</v>
      </c>
      <c r="AR353" s="8">
        <f t="shared" si="40"/>
        <v>0</v>
      </c>
      <c r="AS353">
        <f t="shared" si="41"/>
        <v>2</v>
      </c>
    </row>
    <row r="354" spans="1:45">
      <c r="A354" t="str">
        <f>Deals_Raw!A354</f>
        <v>D00400</v>
      </c>
      <c r="B354">
        <f>Deals_Raw!B354</f>
        <v>45425</v>
      </c>
      <c r="C354" t="str">
        <f>Deals_Raw!C354</f>
        <v>C0099</v>
      </c>
      <c r="D354" t="str">
        <f>Deals_Raw!D354</f>
        <v>TEC-0099</v>
      </c>
      <c r="E354" t="str">
        <f>Deals_Raw!E354</f>
        <v>CT00210</v>
      </c>
      <c r="F354" t="str">
        <f>Deals_Raw!F354</f>
        <v>Finance</v>
      </c>
      <c r="G354" t="str">
        <f>Deals_Raw!G354</f>
        <v>Technology</v>
      </c>
      <c r="H354" t="str">
        <f>Deals_Raw!H354</f>
        <v>Northeast</v>
      </c>
      <c r="I354" t="str">
        <f>Deals_Raw!I354</f>
        <v>Northeast Commercial</v>
      </c>
      <c r="J354" t="str">
        <f>Deals_Raw!J354</f>
        <v>Mid-Market</v>
      </c>
      <c r="K354" t="str">
        <f>Deals_Raw!K354</f>
        <v>No</v>
      </c>
      <c r="L354">
        <f>Deals_Raw!L354</f>
        <v>44652</v>
      </c>
      <c r="M354">
        <f>Deals_Raw!M354</f>
        <v>71</v>
      </c>
      <c r="N354" t="str">
        <f>Deals_Raw!N354</f>
        <v>Nexus AI Assistant</v>
      </c>
      <c r="O354" t="str">
        <f>Deals_Raw!O354</f>
        <v>New Business</v>
      </c>
      <c r="P354">
        <f>Deals_Raw!P354</f>
        <v>0</v>
      </c>
      <c r="Q354">
        <f>Deals_Raw!Q354</f>
        <v>1</v>
      </c>
      <c r="R354">
        <f>Deals_Raw!R354</f>
        <v>74</v>
      </c>
      <c r="S354" t="str">
        <f>Deals_Raw!S354</f>
        <v>M. Johnson</v>
      </c>
      <c r="T354" s="6">
        <f>Deals_Raw!T354</f>
        <v>71065.963479105194</v>
      </c>
      <c r="U354" s="8">
        <f>Deals_Raw!V354</f>
        <v>0.106</v>
      </c>
      <c r="V354" s="8">
        <f>Deals_Raw!W354</f>
        <v>6.8000000000000005E-2</v>
      </c>
      <c r="W354" s="8">
        <f>Deals_Raw!X354</f>
        <v>8.8999999999999996E-2</v>
      </c>
      <c r="X354" t="str">
        <f>Deals_Raw!Y354</f>
        <v>Strategic logo opportunity</v>
      </c>
      <c r="Y354" t="str">
        <f>Deals_Raw!Z354</f>
        <v>Sales Manager</v>
      </c>
      <c r="Z354" s="6">
        <f>Deals_Raw!AA354</f>
        <v>66201.107096412627</v>
      </c>
      <c r="AA354" s="6">
        <f>Deals_Raw!AC354</f>
        <v>27098.499605496345</v>
      </c>
      <c r="AB354" s="6">
        <f>Deals_Raw!AD354</f>
        <v>39102.607490916285</v>
      </c>
      <c r="AC354" s="8">
        <f>Deals_Raw!AE354</f>
        <v>0.59066395119297355</v>
      </c>
      <c r="AD354" t="str">
        <f>Deals_Raw!AF354</f>
        <v>Lost</v>
      </c>
      <c r="AE354">
        <f>Deals_Raw!AG354</f>
        <v>0</v>
      </c>
      <c r="AF354">
        <f>Deals_Raw!AH354</f>
        <v>0</v>
      </c>
      <c r="AG354" t="str">
        <f>Deals_Raw!AI354</f>
        <v>No</v>
      </c>
      <c r="AH354" s="6">
        <f>Deals_Raw!AJ354</f>
        <v>0</v>
      </c>
      <c r="AI354" s="6">
        <f>Deals_Raw!AK354</f>
        <v>0</v>
      </c>
      <c r="AJ354" t="str">
        <f>Deals_Raw!AL354</f>
        <v>First purchase under this contract</v>
      </c>
      <c r="AK354" s="9">
        <f t="shared" si="35"/>
        <v>2.1166666666666667</v>
      </c>
      <c r="AL354" s="8">
        <f t="shared" si="36"/>
        <v>0.93154449550067764</v>
      </c>
      <c r="AM354" s="8">
        <f t="shared" si="37"/>
        <v>3.7999999999999992E-2</v>
      </c>
      <c r="AN354" t="str">
        <f>IF(AC354&lt;Pricing_Policy!$C$10,"Below Floor","Pass")</f>
        <v>Pass</v>
      </c>
      <c r="AO354" t="str">
        <f>IF(V354&gt;Pricing_Policy!$C$7,"Exception","Standard")</f>
        <v>Standard</v>
      </c>
      <c r="AP354" t="str">
        <f t="shared" si="38"/>
        <v>Pass</v>
      </c>
      <c r="AQ354">
        <f t="shared" si="39"/>
        <v>0</v>
      </c>
      <c r="AR354" s="8">
        <f t="shared" si="40"/>
        <v>0</v>
      </c>
      <c r="AS354">
        <f t="shared" si="41"/>
        <v>2</v>
      </c>
    </row>
    <row r="355" spans="1:45">
      <c r="A355" t="str">
        <f>Deals_Raw!A355</f>
        <v>D00401</v>
      </c>
      <c r="B355">
        <f>Deals_Raw!B355</f>
        <v>45577</v>
      </c>
      <c r="C355" t="str">
        <f>Deals_Raw!C355</f>
        <v>C0100</v>
      </c>
      <c r="D355" t="str">
        <f>Deals_Raw!D355</f>
        <v>HEA-0100</v>
      </c>
      <c r="E355" t="str">
        <f>Deals_Raw!E355</f>
        <v>CT00211</v>
      </c>
      <c r="F355" t="str">
        <f>Deals_Raw!F355</f>
        <v>Technology</v>
      </c>
      <c r="G355" t="str">
        <f>Deals_Raw!G355</f>
        <v>Healthcare</v>
      </c>
      <c r="H355" t="str">
        <f>Deals_Raw!H355</f>
        <v>Northeast</v>
      </c>
      <c r="I355" t="str">
        <f>Deals_Raw!I355</f>
        <v>Northeast Enterprise</v>
      </c>
      <c r="J355" t="str">
        <f>Deals_Raw!J355</f>
        <v>Enterprise</v>
      </c>
      <c r="K355" t="str">
        <f>Deals_Raw!K355</f>
        <v>Yes</v>
      </c>
      <c r="L355">
        <f>Deals_Raw!L355</f>
        <v>43586</v>
      </c>
      <c r="M355">
        <f>Deals_Raw!M355</f>
        <v>98</v>
      </c>
      <c r="N355" t="str">
        <f>Deals_Raw!N355</f>
        <v>Nexus Insights</v>
      </c>
      <c r="O355" t="str">
        <f>Deals_Raw!O355</f>
        <v>New Business</v>
      </c>
      <c r="P355">
        <f>Deals_Raw!P355</f>
        <v>0</v>
      </c>
      <c r="Q355">
        <f>Deals_Raw!Q355</f>
        <v>1</v>
      </c>
      <c r="R355">
        <f>Deals_Raw!R355</f>
        <v>1143</v>
      </c>
      <c r="S355" t="str">
        <f>Deals_Raw!S355</f>
        <v>S. Rivera</v>
      </c>
      <c r="T355" s="6">
        <f>Deals_Raw!T355</f>
        <v>128174.74942213876</v>
      </c>
      <c r="U355" s="8">
        <f>Deals_Raw!V355</f>
        <v>0.26</v>
      </c>
      <c r="V355" s="8">
        <f>Deals_Raw!W355</f>
        <v>0.22800000000000001</v>
      </c>
      <c r="W355" s="8">
        <f>Deals_Raw!X355</f>
        <v>-6.7000000000000004E-2</v>
      </c>
      <c r="X355" t="str">
        <f>Deals_Raw!Y355</f>
        <v>Procurement requirement</v>
      </c>
      <c r="Y355" t="str">
        <f>Deals_Raw!Z355</f>
        <v>Business Manager</v>
      </c>
      <c r="Z355" s="6">
        <f>Deals_Raw!AA355</f>
        <v>99012.23689814558</v>
      </c>
      <c r="AA355" s="6">
        <f>Deals_Raw!AC355</f>
        <v>40523.889500491568</v>
      </c>
      <c r="AB355" s="6">
        <f>Deals_Raw!AD355</f>
        <v>58488.347397654012</v>
      </c>
      <c r="AC355" s="8">
        <f>Deals_Raw!AE355</f>
        <v>0.59071837209193934</v>
      </c>
      <c r="AD355" t="str">
        <f>Deals_Raw!AF355</f>
        <v>Won</v>
      </c>
      <c r="AE355">
        <f>Deals_Raw!AG355</f>
        <v>0</v>
      </c>
      <c r="AF355">
        <f>Deals_Raw!AH355</f>
        <v>0</v>
      </c>
      <c r="AG355" t="str">
        <f>Deals_Raw!AI355</f>
        <v>No</v>
      </c>
      <c r="AH355" s="6">
        <f>Deals_Raw!AJ355</f>
        <v>99012.23689814558</v>
      </c>
      <c r="AI355" s="6">
        <f>Deals_Raw!AK355</f>
        <v>58488.347397654012</v>
      </c>
      <c r="AJ355" t="str">
        <f>Deals_Raw!AL355</f>
        <v>First purchase under this contract</v>
      </c>
      <c r="AK355" s="9">
        <f t="shared" si="35"/>
        <v>5.447222222222222</v>
      </c>
      <c r="AL355" s="8">
        <f t="shared" si="36"/>
        <v>0.77247849006556246</v>
      </c>
      <c r="AM355" s="8">
        <f t="shared" si="37"/>
        <v>3.2000000000000001E-2</v>
      </c>
      <c r="AN355" t="str">
        <f>IF(AC355&lt;Pricing_Policy!$C$10,"Below Floor","Pass")</f>
        <v>Pass</v>
      </c>
      <c r="AO355" t="str">
        <f>IF(V355&gt;Pricing_Policy!$C$7,"Exception","Standard")</f>
        <v>Standard</v>
      </c>
      <c r="AP355" t="str">
        <f t="shared" si="38"/>
        <v>Pass</v>
      </c>
      <c r="AQ355">
        <f t="shared" si="39"/>
        <v>1</v>
      </c>
      <c r="AR355" s="8">
        <f t="shared" si="40"/>
        <v>0.59071837209193934</v>
      </c>
      <c r="AS355">
        <f t="shared" si="41"/>
        <v>4</v>
      </c>
    </row>
    <row r="356" spans="1:45">
      <c r="A356" t="str">
        <f>Deals_Raw!A356</f>
        <v>D00402</v>
      </c>
      <c r="B356">
        <f>Deals_Raw!B356</f>
        <v>45942</v>
      </c>
      <c r="C356" t="str">
        <f>Deals_Raw!C356</f>
        <v>C0100</v>
      </c>
      <c r="D356" t="str">
        <f>Deals_Raw!D356</f>
        <v>HEA-0100</v>
      </c>
      <c r="E356" t="str">
        <f>Deals_Raw!E356</f>
        <v>CT00211</v>
      </c>
      <c r="F356" t="str">
        <f>Deals_Raw!F356</f>
        <v>Technology</v>
      </c>
      <c r="G356" t="str">
        <f>Deals_Raw!G356</f>
        <v>Healthcare</v>
      </c>
      <c r="H356" t="str">
        <f>Deals_Raw!H356</f>
        <v>Northeast</v>
      </c>
      <c r="I356" t="str">
        <f>Deals_Raw!I356</f>
        <v>Northeast Enterprise</v>
      </c>
      <c r="J356" t="str">
        <f>Deals_Raw!J356</f>
        <v>Enterprise</v>
      </c>
      <c r="K356" t="str">
        <f>Deals_Raw!K356</f>
        <v>Yes</v>
      </c>
      <c r="L356">
        <f>Deals_Raw!L356</f>
        <v>43586</v>
      </c>
      <c r="M356">
        <f>Deals_Raw!M356</f>
        <v>98</v>
      </c>
      <c r="N356" t="str">
        <f>Deals_Raw!N356</f>
        <v>Nexus Insights</v>
      </c>
      <c r="O356" t="str">
        <f>Deals_Raw!O356</f>
        <v>Renewal</v>
      </c>
      <c r="P356">
        <f>Deals_Raw!P356</f>
        <v>0</v>
      </c>
      <c r="Q356">
        <f>Deals_Raw!Q356</f>
        <v>1</v>
      </c>
      <c r="R356">
        <f>Deals_Raw!R356</f>
        <v>1143</v>
      </c>
      <c r="S356" t="str">
        <f>Deals_Raw!S356</f>
        <v>L. Williams</v>
      </c>
      <c r="T356" s="6">
        <f>Deals_Raw!T356</f>
        <v>134531.46353018345</v>
      </c>
      <c r="U356" s="8">
        <f>Deals_Raw!V356</f>
        <v>0.14000000000000001</v>
      </c>
      <c r="V356" s="8">
        <f>Deals_Raw!W356</f>
        <v>0.13900000000000001</v>
      </c>
      <c r="W356" s="8">
        <f>Deals_Raw!X356</f>
        <v>-6.3E-2</v>
      </c>
      <c r="X356" t="str">
        <f>Deals_Raw!Y356</f>
        <v>Expansion opportunity</v>
      </c>
      <c r="Y356" t="str">
        <f>Deals_Raw!Z356</f>
        <v>Pricing Analyst</v>
      </c>
      <c r="Z356" s="6">
        <f>Deals_Raw!AA356</f>
        <v>115860.19492138471</v>
      </c>
      <c r="AA356" s="6">
        <f>Deals_Raw!AC356</f>
        <v>36439.082161925326</v>
      </c>
      <c r="AB356" s="6">
        <f>Deals_Raw!AD356</f>
        <v>79421.112759459385</v>
      </c>
      <c r="AC356" s="8">
        <f>Deals_Raw!AE356</f>
        <v>0.68549092993801242</v>
      </c>
      <c r="AD356" t="str">
        <f>Deals_Raw!AF356</f>
        <v>Won</v>
      </c>
      <c r="AE356" t="str">
        <f>Deals_Raw!AG356</f>
        <v>Yes</v>
      </c>
      <c r="AF356">
        <f>Deals_Raw!AH356</f>
        <v>0</v>
      </c>
      <c r="AG356" t="str">
        <f>Deals_Raw!AI356</f>
        <v>No</v>
      </c>
      <c r="AH356" s="6">
        <f>Deals_Raw!AJ356</f>
        <v>115860.19492138471</v>
      </c>
      <c r="AI356" s="6">
        <f>Deals_Raw!AK356</f>
        <v>79421.112759459385</v>
      </c>
      <c r="AJ356" t="str">
        <f>Deals_Raw!AL356</f>
        <v>Renewal of existing active contract</v>
      </c>
      <c r="AK356" s="9">
        <f t="shared" si="35"/>
        <v>6.447222222222222</v>
      </c>
      <c r="AL356" s="8">
        <f t="shared" si="36"/>
        <v>0.86121262551633759</v>
      </c>
      <c r="AM356" s="8">
        <f t="shared" si="37"/>
        <v>1.0000000000000009E-3</v>
      </c>
      <c r="AN356" t="str">
        <f>IF(AC356&lt;Pricing_Policy!$C$10,"Below Floor","Pass")</f>
        <v>Pass</v>
      </c>
      <c r="AO356" t="str">
        <f>IF(V356&gt;Pricing_Policy!$C$7,"Exception","Standard")</f>
        <v>Standard</v>
      </c>
      <c r="AP356" t="str">
        <f t="shared" si="38"/>
        <v>Pass</v>
      </c>
      <c r="AQ356">
        <f t="shared" si="39"/>
        <v>1</v>
      </c>
      <c r="AR356" s="8">
        <f t="shared" si="40"/>
        <v>0.68549092993801242</v>
      </c>
      <c r="AS356">
        <f t="shared" si="41"/>
        <v>4</v>
      </c>
    </row>
    <row r="357" spans="1:45">
      <c r="A357" t="str">
        <f>Deals_Raw!A357</f>
        <v>D00403</v>
      </c>
      <c r="B357">
        <f>Deals_Raw!B357</f>
        <v>45605</v>
      </c>
      <c r="C357" t="str">
        <f>Deals_Raw!C357</f>
        <v>C0100</v>
      </c>
      <c r="D357" t="str">
        <f>Deals_Raw!D357</f>
        <v>HEA-0100</v>
      </c>
      <c r="E357" t="str">
        <f>Deals_Raw!E357</f>
        <v>CT00212</v>
      </c>
      <c r="F357" t="str">
        <f>Deals_Raw!F357</f>
        <v>Corporate</v>
      </c>
      <c r="G357" t="str">
        <f>Deals_Raw!G357</f>
        <v>Healthcare</v>
      </c>
      <c r="H357" t="str">
        <f>Deals_Raw!H357</f>
        <v>Northeast</v>
      </c>
      <c r="I357" t="str">
        <f>Deals_Raw!I357</f>
        <v>Northeast Enterprise</v>
      </c>
      <c r="J357" t="str">
        <f>Deals_Raw!J357</f>
        <v>Enterprise</v>
      </c>
      <c r="K357" t="str">
        <f>Deals_Raw!K357</f>
        <v>Yes</v>
      </c>
      <c r="L357">
        <f>Deals_Raw!L357</f>
        <v>43586</v>
      </c>
      <c r="M357">
        <f>Deals_Raw!M357</f>
        <v>98</v>
      </c>
      <c r="N357" t="str">
        <f>Deals_Raw!N357</f>
        <v>Nexus Insights</v>
      </c>
      <c r="O357" t="str">
        <f>Deals_Raw!O357</f>
        <v>New Business</v>
      </c>
      <c r="P357">
        <f>Deals_Raw!P357</f>
        <v>0</v>
      </c>
      <c r="Q357">
        <f>Deals_Raw!Q357</f>
        <v>3</v>
      </c>
      <c r="R357">
        <f>Deals_Raw!R357</f>
        <v>1361</v>
      </c>
      <c r="S357" t="str">
        <f>Deals_Raw!S357</f>
        <v>K. Nguyen</v>
      </c>
      <c r="T357" s="6">
        <f>Deals_Raw!T357</f>
        <v>88694.248607587331</v>
      </c>
      <c r="U357" s="8">
        <f>Deals_Raw!V357</f>
        <v>0.113</v>
      </c>
      <c r="V357" s="8">
        <f>Deals_Raw!W357</f>
        <v>6.4000000000000001E-2</v>
      </c>
      <c r="W357" s="8">
        <f>Deals_Raw!X357</f>
        <v>-4.7E-2</v>
      </c>
      <c r="X357" t="str">
        <f>Deals_Raw!Y357</f>
        <v>Multi-year commitment</v>
      </c>
      <c r="Y357" t="str">
        <f>Deals_Raw!Z357</f>
        <v>Sales Manager</v>
      </c>
      <c r="Z357" s="6">
        <f>Deals_Raw!AA357</f>
        <v>83040.956986810139</v>
      </c>
      <c r="AA357" s="6">
        <f>Deals_Raw!AC357</f>
        <v>29620.102532822519</v>
      </c>
      <c r="AB357" s="6">
        <f>Deals_Raw!AD357</f>
        <v>53420.854453987617</v>
      </c>
      <c r="AC357" s="8">
        <f>Deals_Raw!AE357</f>
        <v>0.64330730753106269</v>
      </c>
      <c r="AD357" t="str">
        <f>Deals_Raw!AF357</f>
        <v>Lost</v>
      </c>
      <c r="AE357">
        <f>Deals_Raw!AG357</f>
        <v>0</v>
      </c>
      <c r="AF357">
        <f>Deals_Raw!AH357</f>
        <v>0</v>
      </c>
      <c r="AG357" t="str">
        <f>Deals_Raw!AI357</f>
        <v>No</v>
      </c>
      <c r="AH357" s="6">
        <f>Deals_Raw!AJ357</f>
        <v>0</v>
      </c>
      <c r="AI357" s="6">
        <f>Deals_Raw!AK357</f>
        <v>0</v>
      </c>
      <c r="AJ357" t="str">
        <f>Deals_Raw!AL357</f>
        <v>First purchase under this contract</v>
      </c>
      <c r="AK357" s="9">
        <f t="shared" si="35"/>
        <v>5.5222222222222221</v>
      </c>
      <c r="AL357" s="8">
        <f t="shared" si="36"/>
        <v>0.93626089955630354</v>
      </c>
      <c r="AM357" s="8">
        <f t="shared" si="37"/>
        <v>4.9000000000000002E-2</v>
      </c>
      <c r="AN357" t="str">
        <f>IF(AC357&lt;Pricing_Policy!$C$10,"Below Floor","Pass")</f>
        <v>Pass</v>
      </c>
      <c r="AO357" t="str">
        <f>IF(V357&gt;Pricing_Policy!$C$7,"Exception","Standard")</f>
        <v>Standard</v>
      </c>
      <c r="AP357" t="str">
        <f t="shared" si="38"/>
        <v>Pass</v>
      </c>
      <c r="AQ357">
        <f t="shared" si="39"/>
        <v>0</v>
      </c>
      <c r="AR357" s="8">
        <f t="shared" si="40"/>
        <v>0</v>
      </c>
      <c r="AS357">
        <f t="shared" si="41"/>
        <v>4</v>
      </c>
    </row>
    <row r="358" spans="1:45">
      <c r="A358" t="str">
        <f>Deals_Raw!A358</f>
        <v>D00404</v>
      </c>
      <c r="B358">
        <f>Deals_Raw!B358</f>
        <v>45880</v>
      </c>
      <c r="C358" t="str">
        <f>Deals_Raw!C358</f>
        <v>C0100</v>
      </c>
      <c r="D358" t="str">
        <f>Deals_Raw!D358</f>
        <v>HEA-0100</v>
      </c>
      <c r="E358" t="str">
        <f>Deals_Raw!E358</f>
        <v>CT00212</v>
      </c>
      <c r="F358" t="str">
        <f>Deals_Raw!F358</f>
        <v>Corporate</v>
      </c>
      <c r="G358" t="str">
        <f>Deals_Raw!G358</f>
        <v>Healthcare</v>
      </c>
      <c r="H358" t="str">
        <f>Deals_Raw!H358</f>
        <v>Northeast</v>
      </c>
      <c r="I358" t="str">
        <f>Deals_Raw!I358</f>
        <v>Northeast Enterprise</v>
      </c>
      <c r="J358" t="str">
        <f>Deals_Raw!J358</f>
        <v>Enterprise</v>
      </c>
      <c r="K358" t="str">
        <f>Deals_Raw!K358</f>
        <v>Yes</v>
      </c>
      <c r="L358">
        <f>Deals_Raw!L358</f>
        <v>43586</v>
      </c>
      <c r="M358">
        <f>Deals_Raw!M358</f>
        <v>98</v>
      </c>
      <c r="N358" t="str">
        <f>Deals_Raw!N358</f>
        <v>Nexus Insights</v>
      </c>
      <c r="O358" t="str">
        <f>Deals_Raw!O358</f>
        <v>Win-back</v>
      </c>
      <c r="P358">
        <f>Deals_Raw!P358</f>
        <v>0</v>
      </c>
      <c r="Q358">
        <f>Deals_Raw!Q358</f>
        <v>3</v>
      </c>
      <c r="R358">
        <f>Deals_Raw!R358</f>
        <v>1361</v>
      </c>
      <c r="S358" t="str">
        <f>Deals_Raw!S358</f>
        <v>L. Williams</v>
      </c>
      <c r="T358" s="6">
        <f>Deals_Raw!T358</f>
        <v>88694.248607587331</v>
      </c>
      <c r="U358" s="8">
        <f>Deals_Raw!V358</f>
        <v>0.20599999999999999</v>
      </c>
      <c r="V358" s="8">
        <f>Deals_Raw!W358</f>
        <v>0.16500000000000001</v>
      </c>
      <c r="W358" s="8">
        <f>Deals_Raw!X358</f>
        <v>-0.13</v>
      </c>
      <c r="X358" t="str">
        <f>Deals_Raw!Y358</f>
        <v>Renewal retention risk</v>
      </c>
      <c r="Y358" t="str">
        <f>Deals_Raw!Z358</f>
        <v>Pricing Analyst</v>
      </c>
      <c r="Z358" s="6">
        <f>Deals_Raw!AA358</f>
        <v>74088.647675302636</v>
      </c>
      <c r="AA358" s="6">
        <f>Deals_Raw!AC358</f>
        <v>26896.578690332572</v>
      </c>
      <c r="AB358" s="6">
        <f>Deals_Raw!AD358</f>
        <v>47192.068984970065</v>
      </c>
      <c r="AC358" s="8">
        <f>Deals_Raw!AE358</f>
        <v>0.63696761198546592</v>
      </c>
      <c r="AD358" t="str">
        <f>Deals_Raw!AF358</f>
        <v>Won</v>
      </c>
      <c r="AE358">
        <f>Deals_Raw!AG358</f>
        <v>0</v>
      </c>
      <c r="AF358">
        <f>Deals_Raw!AH358</f>
        <v>0</v>
      </c>
      <c r="AG358" t="str">
        <f>Deals_Raw!AI358</f>
        <v>Yes</v>
      </c>
      <c r="AH358" s="6">
        <f>Deals_Raw!AJ358</f>
        <v>74088.647675302636</v>
      </c>
      <c r="AI358" s="6">
        <f>Deals_Raw!AK358</f>
        <v>47192.068984970065</v>
      </c>
      <c r="AJ358" t="str">
        <f>Deals_Raw!AL358</f>
        <v>Customer returned after prior lost initial opportunity</v>
      </c>
      <c r="AK358" s="9">
        <f t="shared" si="35"/>
        <v>6.2777777777777777</v>
      </c>
      <c r="AL358" s="8">
        <f t="shared" si="36"/>
        <v>0.83532640321578577</v>
      </c>
      <c r="AM358" s="8">
        <f t="shared" si="37"/>
        <v>4.0999999999999981E-2</v>
      </c>
      <c r="AN358" t="str">
        <f>IF(AC358&lt;Pricing_Policy!$C$10,"Below Floor","Pass")</f>
        <v>Pass</v>
      </c>
      <c r="AO358" t="str">
        <f>IF(V358&gt;Pricing_Policy!$C$7,"Exception","Standard")</f>
        <v>Standard</v>
      </c>
      <c r="AP358" t="str">
        <f t="shared" si="38"/>
        <v>Pass</v>
      </c>
      <c r="AQ358">
        <f t="shared" si="39"/>
        <v>1</v>
      </c>
      <c r="AR358" s="8">
        <f t="shared" si="40"/>
        <v>0.63696761198546592</v>
      </c>
      <c r="AS358">
        <f t="shared" si="41"/>
        <v>4</v>
      </c>
    </row>
    <row r="359" spans="1:45">
      <c r="A359" t="str">
        <f>Deals_Raw!A359</f>
        <v>D00405</v>
      </c>
      <c r="B359">
        <f>Deals_Raw!B359</f>
        <v>45314</v>
      </c>
      <c r="C359" t="str">
        <f>Deals_Raw!C359</f>
        <v>C0101</v>
      </c>
      <c r="D359" t="str">
        <f>Deals_Raw!D359</f>
        <v>TEC-0101</v>
      </c>
      <c r="E359" t="str">
        <f>Deals_Raw!E359</f>
        <v>CT00213</v>
      </c>
      <c r="F359" t="str">
        <f>Deals_Raw!F359</f>
        <v>Sales</v>
      </c>
      <c r="G359" t="str">
        <f>Deals_Raw!G359</f>
        <v>Technology</v>
      </c>
      <c r="H359" t="str">
        <f>Deals_Raw!H359</f>
        <v>South</v>
      </c>
      <c r="I359" t="str">
        <f>Deals_Raw!I359</f>
        <v>South Commercial</v>
      </c>
      <c r="J359" t="str">
        <f>Deals_Raw!J359</f>
        <v>Mid-Market</v>
      </c>
      <c r="K359" t="str">
        <f>Deals_Raw!K359</f>
        <v>No</v>
      </c>
      <c r="L359">
        <f>Deals_Raw!L359</f>
        <v>45078</v>
      </c>
      <c r="M359">
        <f>Deals_Raw!M359</f>
        <v>70</v>
      </c>
      <c r="N359" t="str">
        <f>Deals_Raw!N359</f>
        <v>Nexus Insights</v>
      </c>
      <c r="O359" t="str">
        <f>Deals_Raw!O359</f>
        <v>New Business</v>
      </c>
      <c r="P359">
        <f>Deals_Raw!P359</f>
        <v>0</v>
      </c>
      <c r="Q359">
        <f>Deals_Raw!Q359</f>
        <v>1</v>
      </c>
      <c r="R359">
        <f>Deals_Raw!R359</f>
        <v>331</v>
      </c>
      <c r="S359" t="str">
        <f>Deals_Raw!S359</f>
        <v>K. Nguyen</v>
      </c>
      <c r="T359" s="6">
        <f>Deals_Raw!T359</f>
        <v>60427.120885556324</v>
      </c>
      <c r="U359" s="8">
        <f>Deals_Raw!V359</f>
        <v>0.17100000000000001</v>
      </c>
      <c r="V359" s="8">
        <f>Deals_Raw!W359</f>
        <v>0.14699999999999999</v>
      </c>
      <c r="W359" s="8">
        <f>Deals_Raw!X359</f>
        <v>-1.4E-2</v>
      </c>
      <c r="X359" t="str">
        <f>Deals_Raw!Y359</f>
        <v>Renewal retention risk</v>
      </c>
      <c r="Y359" t="str">
        <f>Deals_Raw!Z359</f>
        <v>Pricing Analyst</v>
      </c>
      <c r="Z359" s="6">
        <f>Deals_Raw!AA359</f>
        <v>51533.740999280017</v>
      </c>
      <c r="AA359" s="6">
        <f>Deals_Raw!AC359</f>
        <v>18888.052697341172</v>
      </c>
      <c r="AB359" s="6">
        <f>Deals_Raw!AD359</f>
        <v>32645.688301938844</v>
      </c>
      <c r="AC359" s="8">
        <f>Deals_Raw!AE359</f>
        <v>0.63348182508999185</v>
      </c>
      <c r="AD359" t="str">
        <f>Deals_Raw!AF359</f>
        <v>Lost</v>
      </c>
      <c r="AE359">
        <f>Deals_Raw!AG359</f>
        <v>0</v>
      </c>
      <c r="AF359">
        <f>Deals_Raw!AH359</f>
        <v>0</v>
      </c>
      <c r="AG359" t="str">
        <f>Deals_Raw!AI359</f>
        <v>No</v>
      </c>
      <c r="AH359" s="6">
        <f>Deals_Raw!AJ359</f>
        <v>0</v>
      </c>
      <c r="AI359" s="6">
        <f>Deals_Raw!AK359</f>
        <v>0</v>
      </c>
      <c r="AJ359" t="str">
        <f>Deals_Raw!AL359</f>
        <v>First purchase under this contract</v>
      </c>
      <c r="AK359" s="9">
        <f t="shared" si="35"/>
        <v>0.64444444444444449</v>
      </c>
      <c r="AL359" s="8">
        <f t="shared" si="36"/>
        <v>0.85282469599834831</v>
      </c>
      <c r="AM359" s="8">
        <f t="shared" si="37"/>
        <v>2.4000000000000021E-2</v>
      </c>
      <c r="AN359" t="str">
        <f>IF(AC359&lt;Pricing_Policy!$C$10,"Below Floor","Pass")</f>
        <v>Pass</v>
      </c>
      <c r="AO359" t="str">
        <f>IF(V359&gt;Pricing_Policy!$C$7,"Exception","Standard")</f>
        <v>Standard</v>
      </c>
      <c r="AP359" t="str">
        <f t="shared" si="38"/>
        <v>Pass</v>
      </c>
      <c r="AQ359">
        <f t="shared" si="39"/>
        <v>0</v>
      </c>
      <c r="AR359" s="8">
        <f t="shared" si="40"/>
        <v>0</v>
      </c>
      <c r="AS359">
        <f t="shared" si="41"/>
        <v>1</v>
      </c>
    </row>
    <row r="360" spans="1:45">
      <c r="A360" t="str">
        <f>Deals_Raw!A360</f>
        <v>D00406</v>
      </c>
      <c r="B360">
        <f>Deals_Raw!B360</f>
        <v>45335</v>
      </c>
      <c r="C360" t="str">
        <f>Deals_Raw!C360</f>
        <v>C0101</v>
      </c>
      <c r="D360" t="str">
        <f>Deals_Raw!D360</f>
        <v>TEC-0101</v>
      </c>
      <c r="E360" t="str">
        <f>Deals_Raw!E360</f>
        <v>CT00214</v>
      </c>
      <c r="F360" t="str">
        <f>Deals_Raw!F360</f>
        <v>Corporate</v>
      </c>
      <c r="G360" t="str">
        <f>Deals_Raw!G360</f>
        <v>Technology</v>
      </c>
      <c r="H360" t="str">
        <f>Deals_Raw!H360</f>
        <v>South</v>
      </c>
      <c r="I360" t="str">
        <f>Deals_Raw!I360</f>
        <v>South Commercial</v>
      </c>
      <c r="J360" t="str">
        <f>Deals_Raw!J360</f>
        <v>Mid-Market</v>
      </c>
      <c r="K360" t="str">
        <f>Deals_Raw!K360</f>
        <v>No</v>
      </c>
      <c r="L360">
        <f>Deals_Raw!L360</f>
        <v>45078</v>
      </c>
      <c r="M360">
        <f>Deals_Raw!M360</f>
        <v>70</v>
      </c>
      <c r="N360" t="str">
        <f>Deals_Raw!N360</f>
        <v>Nexus AI Assistant</v>
      </c>
      <c r="O360" t="str">
        <f>Deals_Raw!O360</f>
        <v>New Business</v>
      </c>
      <c r="P360">
        <f>Deals_Raw!P360</f>
        <v>0</v>
      </c>
      <c r="Q360">
        <f>Deals_Raw!Q360</f>
        <v>2</v>
      </c>
      <c r="R360">
        <f>Deals_Raw!R360</f>
        <v>140</v>
      </c>
      <c r="S360" t="str">
        <f>Deals_Raw!S360</f>
        <v>R. Singh</v>
      </c>
      <c r="T360" s="6">
        <f>Deals_Raw!T360</f>
        <v>101531.47482576194</v>
      </c>
      <c r="U360" s="8">
        <f>Deals_Raw!V360</f>
        <v>7.3999999999999996E-2</v>
      </c>
      <c r="V360" s="8">
        <f>Deals_Raw!W360</f>
        <v>4.8000000000000001E-2</v>
      </c>
      <c r="W360" s="8">
        <f>Deals_Raw!X360</f>
        <v>-0.108</v>
      </c>
      <c r="X360" t="str">
        <f>Deals_Raw!Y360</f>
        <v>Procurement requirement</v>
      </c>
      <c r="Y360" t="str">
        <f>Deals_Raw!Z360</f>
        <v>Sales Manager</v>
      </c>
      <c r="Z360" s="6">
        <f>Deals_Raw!AA360</f>
        <v>96657.454191458004</v>
      </c>
      <c r="AA360" s="6">
        <f>Deals_Raw!AC360</f>
        <v>40939.924942157333</v>
      </c>
      <c r="AB360" s="6">
        <f>Deals_Raw!AD360</f>
        <v>55717.529249300671</v>
      </c>
      <c r="AC360" s="8">
        <f>Deals_Raw!AE360</f>
        <v>0.57644316949353969</v>
      </c>
      <c r="AD360" t="str">
        <f>Deals_Raw!AF360</f>
        <v>Won</v>
      </c>
      <c r="AE360">
        <f>Deals_Raw!AG360</f>
        <v>0</v>
      </c>
      <c r="AF360">
        <f>Deals_Raw!AH360</f>
        <v>0</v>
      </c>
      <c r="AG360" t="str">
        <f>Deals_Raw!AI360</f>
        <v>No</v>
      </c>
      <c r="AH360" s="6">
        <f>Deals_Raw!AJ360</f>
        <v>96657.454191458004</v>
      </c>
      <c r="AI360" s="6">
        <f>Deals_Raw!AK360</f>
        <v>55717.529249300671</v>
      </c>
      <c r="AJ360" t="str">
        <f>Deals_Raw!AL360</f>
        <v>First purchase under this contract</v>
      </c>
      <c r="AK360" s="9">
        <f t="shared" si="35"/>
        <v>0.7</v>
      </c>
      <c r="AL360" s="8">
        <f t="shared" si="36"/>
        <v>0.95199497847669179</v>
      </c>
      <c r="AM360" s="8">
        <f t="shared" si="37"/>
        <v>2.5999999999999995E-2</v>
      </c>
      <c r="AN360" t="str">
        <f>IF(AC360&lt;Pricing_Policy!$C$10,"Below Floor","Pass")</f>
        <v>Pass</v>
      </c>
      <c r="AO360" t="str">
        <f>IF(V360&gt;Pricing_Policy!$C$7,"Exception","Standard")</f>
        <v>Standard</v>
      </c>
      <c r="AP360" t="str">
        <f t="shared" si="38"/>
        <v>Pass</v>
      </c>
      <c r="AQ360">
        <f t="shared" si="39"/>
        <v>1</v>
      </c>
      <c r="AR360" s="8">
        <f t="shared" si="40"/>
        <v>0.57644316949353969</v>
      </c>
      <c r="AS360">
        <f t="shared" si="41"/>
        <v>1</v>
      </c>
    </row>
    <row r="361" spans="1:45">
      <c r="A361" t="str">
        <f>Deals_Raw!A361</f>
        <v>D00407</v>
      </c>
      <c r="B361">
        <f>Deals_Raw!B361</f>
        <v>45538</v>
      </c>
      <c r="C361" t="str">
        <f>Deals_Raw!C361</f>
        <v>C0101</v>
      </c>
      <c r="D361" t="str">
        <f>Deals_Raw!D361</f>
        <v>TEC-0101</v>
      </c>
      <c r="E361" t="str">
        <f>Deals_Raw!E361</f>
        <v>CT00215</v>
      </c>
      <c r="F361" t="str">
        <f>Deals_Raw!F361</f>
        <v>Technology</v>
      </c>
      <c r="G361" t="str">
        <f>Deals_Raw!G361</f>
        <v>Technology</v>
      </c>
      <c r="H361" t="str">
        <f>Deals_Raw!H361</f>
        <v>South</v>
      </c>
      <c r="I361" t="str">
        <f>Deals_Raw!I361</f>
        <v>South Commercial</v>
      </c>
      <c r="J361" t="str">
        <f>Deals_Raw!J361</f>
        <v>Mid-Market</v>
      </c>
      <c r="K361" t="str">
        <f>Deals_Raw!K361</f>
        <v>No</v>
      </c>
      <c r="L361">
        <f>Deals_Raw!L361</f>
        <v>45078</v>
      </c>
      <c r="M361">
        <f>Deals_Raw!M361</f>
        <v>70</v>
      </c>
      <c r="N361" t="str">
        <f>Deals_Raw!N361</f>
        <v>Nexus Analytics</v>
      </c>
      <c r="O361" t="str">
        <f>Deals_Raw!O361</f>
        <v>Renewal</v>
      </c>
      <c r="P361">
        <f>Deals_Raw!P361</f>
        <v>0</v>
      </c>
      <c r="Q361">
        <f>Deals_Raw!Q361</f>
        <v>1</v>
      </c>
      <c r="R361">
        <f>Deals_Raw!R361</f>
        <v>83</v>
      </c>
      <c r="S361" t="str">
        <f>Deals_Raw!S361</f>
        <v>M. Johnson</v>
      </c>
      <c r="T361" s="6">
        <f>Deals_Raw!T361</f>
        <v>100632.64963180841</v>
      </c>
      <c r="U361" s="8">
        <f>Deals_Raw!V361</f>
        <v>0.185</v>
      </c>
      <c r="V361" s="8">
        <f>Deals_Raw!W361</f>
        <v>0.16700000000000001</v>
      </c>
      <c r="W361" s="8">
        <f>Deals_Raw!X361</f>
        <v>-1.2E-2</v>
      </c>
      <c r="X361" t="str">
        <f>Deals_Raw!Y361</f>
        <v>Expansion opportunity</v>
      </c>
      <c r="Y361" t="str">
        <f>Deals_Raw!Z361</f>
        <v>Pricing Analyst</v>
      </c>
      <c r="Z361" s="6">
        <f>Deals_Raw!AA361</f>
        <v>83840.908039310132</v>
      </c>
      <c r="AA361" s="6">
        <f>Deals_Raw!AC361</f>
        <v>25979.239206679747</v>
      </c>
      <c r="AB361" s="6">
        <f>Deals_Raw!AD361</f>
        <v>57861.668832630385</v>
      </c>
      <c r="AC361" s="8">
        <f>Deals_Raw!AE361</f>
        <v>0.69013647616389162</v>
      </c>
      <c r="AD361" t="str">
        <f>Deals_Raw!AF361</f>
        <v>Won</v>
      </c>
      <c r="AE361" t="str">
        <f>Deals_Raw!AG361</f>
        <v>Yes</v>
      </c>
      <c r="AF361">
        <f>Deals_Raw!AH361</f>
        <v>0</v>
      </c>
      <c r="AG361" t="str">
        <f>Deals_Raw!AI361</f>
        <v>No</v>
      </c>
      <c r="AH361" s="6">
        <f>Deals_Raw!AJ361</f>
        <v>83840.908039310132</v>
      </c>
      <c r="AI361" s="6">
        <f>Deals_Raw!AK361</f>
        <v>57861.668832630385</v>
      </c>
      <c r="AJ361" t="str">
        <f>Deals_Raw!AL361</f>
        <v>Renewal of existing active contract</v>
      </c>
      <c r="AK361" s="9">
        <f t="shared" si="35"/>
        <v>1.2555555555555555</v>
      </c>
      <c r="AL361" s="8">
        <f t="shared" si="36"/>
        <v>0.83313823442058443</v>
      </c>
      <c r="AM361" s="8">
        <f t="shared" si="37"/>
        <v>1.7999999999999988E-2</v>
      </c>
      <c r="AN361" t="str">
        <f>IF(AC361&lt;Pricing_Policy!$C$10,"Below Floor","Pass")</f>
        <v>Pass</v>
      </c>
      <c r="AO361" t="str">
        <f>IF(V361&gt;Pricing_Policy!$C$7,"Exception","Standard")</f>
        <v>Standard</v>
      </c>
      <c r="AP361" t="str">
        <f t="shared" si="38"/>
        <v>Pass</v>
      </c>
      <c r="AQ361">
        <f t="shared" si="39"/>
        <v>1</v>
      </c>
      <c r="AR361" s="8">
        <f t="shared" si="40"/>
        <v>0.69013647616389162</v>
      </c>
      <c r="AS361">
        <f t="shared" si="41"/>
        <v>2</v>
      </c>
    </row>
    <row r="362" spans="1:45">
      <c r="A362" t="str">
        <f>Deals_Raw!A362</f>
        <v>D00408</v>
      </c>
      <c r="B362">
        <f>Deals_Raw!B362</f>
        <v>45903</v>
      </c>
      <c r="C362" t="str">
        <f>Deals_Raw!C362</f>
        <v>C0101</v>
      </c>
      <c r="D362" t="str">
        <f>Deals_Raw!D362</f>
        <v>TEC-0101</v>
      </c>
      <c r="E362" t="str">
        <f>Deals_Raw!E362</f>
        <v>CT00215</v>
      </c>
      <c r="F362" t="str">
        <f>Deals_Raw!F362</f>
        <v>Technology</v>
      </c>
      <c r="G362" t="str">
        <f>Deals_Raw!G362</f>
        <v>Technology</v>
      </c>
      <c r="H362" t="str">
        <f>Deals_Raw!H362</f>
        <v>South</v>
      </c>
      <c r="I362" t="str">
        <f>Deals_Raw!I362</f>
        <v>South Commercial</v>
      </c>
      <c r="J362" t="str">
        <f>Deals_Raw!J362</f>
        <v>Mid-Market</v>
      </c>
      <c r="K362" t="str">
        <f>Deals_Raw!K362</f>
        <v>No</v>
      </c>
      <c r="L362">
        <f>Deals_Raw!L362</f>
        <v>45078</v>
      </c>
      <c r="M362">
        <f>Deals_Raw!M362</f>
        <v>70</v>
      </c>
      <c r="N362" t="str">
        <f>Deals_Raw!N362</f>
        <v>Nexus Analytics</v>
      </c>
      <c r="O362" t="str">
        <f>Deals_Raw!O362</f>
        <v>Renewal</v>
      </c>
      <c r="P362">
        <f>Deals_Raw!P362</f>
        <v>0</v>
      </c>
      <c r="Q362">
        <f>Deals_Raw!Q362</f>
        <v>1</v>
      </c>
      <c r="R362">
        <f>Deals_Raw!R362</f>
        <v>83</v>
      </c>
      <c r="S362" t="str">
        <f>Deals_Raw!S362</f>
        <v>M. Johnson</v>
      </c>
      <c r="T362" s="6">
        <f>Deals_Raw!T362</f>
        <v>103691.82883206823</v>
      </c>
      <c r="U362" s="8">
        <f>Deals_Raw!V362</f>
        <v>0.107</v>
      </c>
      <c r="V362" s="8">
        <f>Deals_Raw!W362</f>
        <v>9.8000000000000004E-2</v>
      </c>
      <c r="W362" s="8">
        <f>Deals_Raw!X362</f>
        <v>-0.161</v>
      </c>
      <c r="X362" t="str">
        <f>Deals_Raw!Y362</f>
        <v>Procurement requirement</v>
      </c>
      <c r="Y362" t="str">
        <f>Deals_Raw!Z362</f>
        <v>Sales Manager</v>
      </c>
      <c r="Z362" s="6">
        <f>Deals_Raw!AA362</f>
        <v>93560.583449685568</v>
      </c>
      <c r="AA362" s="6">
        <f>Deals_Raw!AC362</f>
        <v>33253.409018984144</v>
      </c>
      <c r="AB362" s="6">
        <f>Deals_Raw!AD362</f>
        <v>60307.174430701423</v>
      </c>
      <c r="AC362" s="8">
        <f>Deals_Raw!AE362</f>
        <v>0.64457886224205774</v>
      </c>
      <c r="AD362" t="str">
        <f>Deals_Raw!AF362</f>
        <v>Lost</v>
      </c>
      <c r="AE362" t="str">
        <f>Deals_Raw!AG362</f>
        <v>No</v>
      </c>
      <c r="AF362">
        <f>Deals_Raw!AH362</f>
        <v>0</v>
      </c>
      <c r="AG362" t="str">
        <f>Deals_Raw!AI362</f>
        <v>No</v>
      </c>
      <c r="AH362" s="6">
        <f>Deals_Raw!AJ362</f>
        <v>0</v>
      </c>
      <c r="AI362" s="6">
        <f>Deals_Raw!AK362</f>
        <v>0</v>
      </c>
      <c r="AJ362" t="str">
        <f>Deals_Raw!AL362</f>
        <v>Renewal of existing active contract</v>
      </c>
      <c r="AK362" s="9">
        <f t="shared" si="35"/>
        <v>2.2555555555555555</v>
      </c>
      <c r="AL362" s="8">
        <f t="shared" si="36"/>
        <v>0.90229466008560333</v>
      </c>
      <c r="AM362" s="8">
        <f t="shared" si="37"/>
        <v>8.9999999999999941E-3</v>
      </c>
      <c r="AN362" t="str">
        <f>IF(AC362&lt;Pricing_Policy!$C$10,"Below Floor","Pass")</f>
        <v>Pass</v>
      </c>
      <c r="AO362" t="str">
        <f>IF(V362&gt;Pricing_Policy!$C$7,"Exception","Standard")</f>
        <v>Standard</v>
      </c>
      <c r="AP362" t="str">
        <f t="shared" si="38"/>
        <v>Pass</v>
      </c>
      <c r="AQ362">
        <f t="shared" si="39"/>
        <v>0</v>
      </c>
      <c r="AR362" s="8">
        <f t="shared" si="40"/>
        <v>0</v>
      </c>
      <c r="AS362">
        <f t="shared" si="41"/>
        <v>2</v>
      </c>
    </row>
    <row r="363" spans="1:45">
      <c r="A363" t="str">
        <f>Deals_Raw!A363</f>
        <v>D00409</v>
      </c>
      <c r="B363">
        <f>Deals_Raw!B363</f>
        <v>45389</v>
      </c>
      <c r="C363" t="str">
        <f>Deals_Raw!C363</f>
        <v>C0102</v>
      </c>
      <c r="D363" t="str">
        <f>Deals_Raw!D363</f>
        <v>TEC-0102</v>
      </c>
      <c r="E363" t="str">
        <f>Deals_Raw!E363</f>
        <v>CT00216</v>
      </c>
      <c r="F363" t="str">
        <f>Deals_Raw!F363</f>
        <v>Corporate</v>
      </c>
      <c r="G363" t="str">
        <f>Deals_Raw!G363</f>
        <v>Technology</v>
      </c>
      <c r="H363" t="str">
        <f>Deals_Raw!H363</f>
        <v>West</v>
      </c>
      <c r="I363" t="str">
        <f>Deals_Raw!I363</f>
        <v>West Commercial</v>
      </c>
      <c r="J363" t="str">
        <f>Deals_Raw!J363</f>
        <v>SMB</v>
      </c>
      <c r="K363" t="str">
        <f>Deals_Raw!K363</f>
        <v>No</v>
      </c>
      <c r="L363">
        <f>Deals_Raw!L363</f>
        <v>45352</v>
      </c>
      <c r="M363">
        <f>Deals_Raw!M363</f>
        <v>53</v>
      </c>
      <c r="N363" t="str">
        <f>Deals_Raw!N363</f>
        <v>Nexus AI Assistant</v>
      </c>
      <c r="O363" t="str">
        <f>Deals_Raw!O363</f>
        <v>New Business</v>
      </c>
      <c r="P363">
        <f>Deals_Raw!P363</f>
        <v>0</v>
      </c>
      <c r="Q363">
        <f>Deals_Raw!Q363</f>
        <v>1</v>
      </c>
      <c r="R363">
        <f>Deals_Raw!R363</f>
        <v>26</v>
      </c>
      <c r="S363" t="str">
        <f>Deals_Raw!S363</f>
        <v>L. Williams</v>
      </c>
      <c r="T363" s="6">
        <f>Deals_Raw!T363</f>
        <v>44680.137854142777</v>
      </c>
      <c r="U363" s="8">
        <f>Deals_Raw!V363</f>
        <v>7.5999999999999998E-2</v>
      </c>
      <c r="V363" s="8">
        <f>Deals_Raw!W363</f>
        <v>4.4999999999999998E-2</v>
      </c>
      <c r="W363" s="8">
        <f>Deals_Raw!X363</f>
        <v>-8.8999999999999996E-2</v>
      </c>
      <c r="X363" t="str">
        <f>Deals_Raw!Y363</f>
        <v>Budget constraint</v>
      </c>
      <c r="Y363" t="str">
        <f>Deals_Raw!Z363</f>
        <v>Sales Manager</v>
      </c>
      <c r="Z363" s="6">
        <f>Deals_Raw!AA363</f>
        <v>42662.219552622169</v>
      </c>
      <c r="AA363" s="6">
        <f>Deals_Raw!AC363</f>
        <v>19208.016246028819</v>
      </c>
      <c r="AB363" s="6">
        <f>Deals_Raw!AD363</f>
        <v>23454.20330659335</v>
      </c>
      <c r="AC363" s="8">
        <f>Deals_Raw!AE363</f>
        <v>0.54976519160386195</v>
      </c>
      <c r="AD363" t="str">
        <f>Deals_Raw!AF363</f>
        <v>Lost</v>
      </c>
      <c r="AE363">
        <f>Deals_Raw!AG363</f>
        <v>0</v>
      </c>
      <c r="AF363">
        <f>Deals_Raw!AH363</f>
        <v>0</v>
      </c>
      <c r="AG363" t="str">
        <f>Deals_Raw!AI363</f>
        <v>No</v>
      </c>
      <c r="AH363" s="6">
        <f>Deals_Raw!AJ363</f>
        <v>0</v>
      </c>
      <c r="AI363" s="6">
        <f>Deals_Raw!AK363</f>
        <v>0</v>
      </c>
      <c r="AJ363" t="str">
        <f>Deals_Raw!AL363</f>
        <v>First purchase under this contract</v>
      </c>
      <c r="AK363" s="9">
        <f t="shared" si="35"/>
        <v>0.1</v>
      </c>
      <c r="AL363" s="8">
        <f t="shared" si="36"/>
        <v>0.95483634566867159</v>
      </c>
      <c r="AM363" s="8">
        <f t="shared" si="37"/>
        <v>3.1E-2</v>
      </c>
      <c r="AN363" t="str">
        <f>IF(AC363&lt;Pricing_Policy!$C$10,"Below Floor","Pass")</f>
        <v>Pass</v>
      </c>
      <c r="AO363" t="str">
        <f>IF(V363&gt;Pricing_Policy!$C$7,"Exception","Standard")</f>
        <v>Standard</v>
      </c>
      <c r="AP363" t="str">
        <f t="shared" si="38"/>
        <v>Pass</v>
      </c>
      <c r="AQ363">
        <f t="shared" si="39"/>
        <v>0</v>
      </c>
      <c r="AR363" s="8">
        <f t="shared" si="40"/>
        <v>0</v>
      </c>
      <c r="AS363">
        <f t="shared" si="41"/>
        <v>1</v>
      </c>
    </row>
    <row r="364" spans="1:45">
      <c r="A364" t="str">
        <f>Deals_Raw!A364</f>
        <v>D00410</v>
      </c>
      <c r="B364">
        <f>Deals_Raw!B364</f>
        <v>45569</v>
      </c>
      <c r="C364" t="str">
        <f>Deals_Raw!C364</f>
        <v>C0102</v>
      </c>
      <c r="D364" t="str">
        <f>Deals_Raw!D364</f>
        <v>TEC-0102</v>
      </c>
      <c r="E364" t="str">
        <f>Deals_Raw!E364</f>
        <v>CT00217</v>
      </c>
      <c r="F364" t="str">
        <f>Deals_Raw!F364</f>
        <v>Operations</v>
      </c>
      <c r="G364" t="str">
        <f>Deals_Raw!G364</f>
        <v>Technology</v>
      </c>
      <c r="H364" t="str">
        <f>Deals_Raw!H364</f>
        <v>West</v>
      </c>
      <c r="I364" t="str">
        <f>Deals_Raw!I364</f>
        <v>West Commercial</v>
      </c>
      <c r="J364" t="str">
        <f>Deals_Raw!J364</f>
        <v>SMB</v>
      </c>
      <c r="K364" t="str">
        <f>Deals_Raw!K364</f>
        <v>No</v>
      </c>
      <c r="L364">
        <f>Deals_Raw!L364</f>
        <v>45352</v>
      </c>
      <c r="M364">
        <f>Deals_Raw!M364</f>
        <v>53</v>
      </c>
      <c r="N364" t="str">
        <f>Deals_Raw!N364</f>
        <v>Nexus Analytics</v>
      </c>
      <c r="O364" t="str">
        <f>Deals_Raw!O364</f>
        <v>New Business</v>
      </c>
      <c r="P364">
        <f>Deals_Raw!P364</f>
        <v>0</v>
      </c>
      <c r="Q364">
        <f>Deals_Raw!Q364</f>
        <v>1</v>
      </c>
      <c r="R364">
        <f>Deals_Raw!R364</f>
        <v>52</v>
      </c>
      <c r="S364" t="str">
        <f>Deals_Raw!S364</f>
        <v>K. Nguyen</v>
      </c>
      <c r="T364" s="6">
        <f>Deals_Raw!T364</f>
        <v>47019.6555024521</v>
      </c>
      <c r="U364" s="8">
        <f>Deals_Raw!V364</f>
        <v>0.27200000000000002</v>
      </c>
      <c r="V364" s="8">
        <f>Deals_Raw!W364</f>
        <v>0.22600000000000001</v>
      </c>
      <c r="W364" s="8">
        <f>Deals_Raw!X364</f>
        <v>-0.03</v>
      </c>
      <c r="X364" t="str">
        <f>Deals_Raw!Y364</f>
        <v>Verified competitor pressure</v>
      </c>
      <c r="Y364" t="str">
        <f>Deals_Raw!Z364</f>
        <v>Business Manager</v>
      </c>
      <c r="Z364" s="6">
        <f>Deals_Raw!AA364</f>
        <v>36405.055331606556</v>
      </c>
      <c r="AA364" s="6">
        <f>Deals_Raw!AC364</f>
        <v>14269.539844443789</v>
      </c>
      <c r="AB364" s="6">
        <f>Deals_Raw!AD364</f>
        <v>22135.515487162767</v>
      </c>
      <c r="AC364" s="8">
        <f>Deals_Raw!AE364</f>
        <v>0.60803411189832479</v>
      </c>
      <c r="AD364" t="str">
        <f>Deals_Raw!AF364</f>
        <v>Lost</v>
      </c>
      <c r="AE364">
        <f>Deals_Raw!AG364</f>
        <v>0</v>
      </c>
      <c r="AF364">
        <f>Deals_Raw!AH364</f>
        <v>0</v>
      </c>
      <c r="AG364" t="str">
        <f>Deals_Raw!AI364</f>
        <v>No</v>
      </c>
      <c r="AH364" s="6">
        <f>Deals_Raw!AJ364</f>
        <v>0</v>
      </c>
      <c r="AI364" s="6">
        <f>Deals_Raw!AK364</f>
        <v>0</v>
      </c>
      <c r="AJ364" t="str">
        <f>Deals_Raw!AL364</f>
        <v>First purchase under this contract</v>
      </c>
      <c r="AK364" s="9">
        <f t="shared" si="35"/>
        <v>0.59166666666666667</v>
      </c>
      <c r="AL364" s="8">
        <f t="shared" si="36"/>
        <v>0.77425185154127751</v>
      </c>
      <c r="AM364" s="8">
        <f t="shared" si="37"/>
        <v>4.6000000000000013E-2</v>
      </c>
      <c r="AN364" t="str">
        <f>IF(AC364&lt;Pricing_Policy!$C$10,"Below Floor","Pass")</f>
        <v>Pass</v>
      </c>
      <c r="AO364" t="str">
        <f>IF(V364&gt;Pricing_Policy!$C$7,"Exception","Standard")</f>
        <v>Standard</v>
      </c>
      <c r="AP364" t="str">
        <f t="shared" si="38"/>
        <v>Pass</v>
      </c>
      <c r="AQ364">
        <f t="shared" si="39"/>
        <v>0</v>
      </c>
      <c r="AR364" s="8">
        <f t="shared" si="40"/>
        <v>0</v>
      </c>
      <c r="AS364">
        <f t="shared" si="41"/>
        <v>1</v>
      </c>
    </row>
    <row r="365" spans="1:45">
      <c r="A365" t="str">
        <f>Deals_Raw!A365</f>
        <v>D00412</v>
      </c>
      <c r="B365">
        <f>Deals_Raw!B365</f>
        <v>45297</v>
      </c>
      <c r="C365" t="str">
        <f>Deals_Raw!C365</f>
        <v>C0103</v>
      </c>
      <c r="D365" t="str">
        <f>Deals_Raw!D365</f>
        <v>HEA-0103</v>
      </c>
      <c r="E365" t="str">
        <f>Deals_Raw!E365</f>
        <v>CT00218</v>
      </c>
      <c r="F365" t="str">
        <f>Deals_Raw!F365</f>
        <v>Corporate</v>
      </c>
      <c r="G365" t="str">
        <f>Deals_Raw!G365</f>
        <v>Healthcare</v>
      </c>
      <c r="H365" t="str">
        <f>Deals_Raw!H365</f>
        <v>Northeast</v>
      </c>
      <c r="I365" t="str">
        <f>Deals_Raw!I365</f>
        <v>Northeast Commercial</v>
      </c>
      <c r="J365" t="str">
        <f>Deals_Raw!J365</f>
        <v>Mid-Market</v>
      </c>
      <c r="K365" t="str">
        <f>Deals_Raw!K365</f>
        <v>No</v>
      </c>
      <c r="L365">
        <f>Deals_Raw!L365</f>
        <v>44531</v>
      </c>
      <c r="M365">
        <f>Deals_Raw!M365</f>
        <v>80</v>
      </c>
      <c r="N365" t="str">
        <f>Deals_Raw!N365</f>
        <v>Nexus AI Assistant</v>
      </c>
      <c r="O365" t="str">
        <f>Deals_Raw!O365</f>
        <v>Renewal</v>
      </c>
      <c r="P365">
        <f>Deals_Raw!P365</f>
        <v>0</v>
      </c>
      <c r="Q365">
        <f>Deals_Raw!Q365</f>
        <v>1</v>
      </c>
      <c r="R365">
        <f>Deals_Raw!R365</f>
        <v>342</v>
      </c>
      <c r="S365" t="str">
        <f>Deals_Raw!S365</f>
        <v>L. Williams</v>
      </c>
      <c r="T365" s="6">
        <f>Deals_Raw!T365</f>
        <v>89142.939252009921</v>
      </c>
      <c r="U365" s="8">
        <f>Deals_Raw!V365</f>
        <v>9.0999999999999998E-2</v>
      </c>
      <c r="V365" s="8">
        <f>Deals_Raw!W365</f>
        <v>5.5E-2</v>
      </c>
      <c r="W365" s="8">
        <f>Deals_Raw!X365</f>
        <v>-5.8999999999999997E-2</v>
      </c>
      <c r="X365" t="str">
        <f>Deals_Raw!Y365</f>
        <v>Volume purchase</v>
      </c>
      <c r="Y365" t="str">
        <f>Deals_Raw!Z365</f>
        <v>Sales Manager</v>
      </c>
      <c r="Z365" s="6">
        <f>Deals_Raw!AA365</f>
        <v>84268.773472046159</v>
      </c>
      <c r="AA365" s="6">
        <f>Deals_Raw!AC365</f>
        <v>31137.280436179364</v>
      </c>
      <c r="AB365" s="6">
        <f>Deals_Raw!AD365</f>
        <v>53131.493035866792</v>
      </c>
      <c r="AC365" s="8">
        <f>Deals_Raw!AE365</f>
        <v>0.63050037216326282</v>
      </c>
      <c r="AD365" t="str">
        <f>Deals_Raw!AF365</f>
        <v>Lost</v>
      </c>
      <c r="AE365" t="str">
        <f>Deals_Raw!AG365</f>
        <v>No</v>
      </c>
      <c r="AF365">
        <f>Deals_Raw!AH365</f>
        <v>0</v>
      </c>
      <c r="AG365" t="str">
        <f>Deals_Raw!AI365</f>
        <v>No</v>
      </c>
      <c r="AH365" s="6">
        <f>Deals_Raw!AJ365</f>
        <v>0</v>
      </c>
      <c r="AI365" s="6">
        <f>Deals_Raw!AK365</f>
        <v>0</v>
      </c>
      <c r="AJ365" t="str">
        <f>Deals_Raw!AL365</f>
        <v>Renewal of existing active contract</v>
      </c>
      <c r="AK365" s="9">
        <f t="shared" si="35"/>
        <v>2.0972222222222223</v>
      </c>
      <c r="AL365" s="8">
        <f t="shared" si="36"/>
        <v>0.94532190860137177</v>
      </c>
      <c r="AM365" s="8">
        <f t="shared" si="37"/>
        <v>3.5999999999999997E-2</v>
      </c>
      <c r="AN365" t="str">
        <f>IF(AC365&lt;Pricing_Policy!$C$10,"Below Floor","Pass")</f>
        <v>Pass</v>
      </c>
      <c r="AO365" t="str">
        <f>IF(V365&gt;Pricing_Policy!$C$7,"Exception","Standard")</f>
        <v>Standard</v>
      </c>
      <c r="AP365" t="str">
        <f t="shared" si="38"/>
        <v>Pass</v>
      </c>
      <c r="AQ365">
        <f t="shared" si="39"/>
        <v>0</v>
      </c>
      <c r="AR365" s="8">
        <f t="shared" si="40"/>
        <v>0</v>
      </c>
      <c r="AS365">
        <f t="shared" si="41"/>
        <v>1</v>
      </c>
    </row>
    <row r="366" spans="1:45">
      <c r="A366" t="str">
        <f>Deals_Raw!A366</f>
        <v>D00414</v>
      </c>
      <c r="B366">
        <f>Deals_Raw!B366</f>
        <v>45339</v>
      </c>
      <c r="C366" t="str">
        <f>Deals_Raw!C366</f>
        <v>C0103</v>
      </c>
      <c r="D366" t="str">
        <f>Deals_Raw!D366</f>
        <v>HEA-0103</v>
      </c>
      <c r="E366" t="str">
        <f>Deals_Raw!E366</f>
        <v>CT00219</v>
      </c>
      <c r="F366" t="str">
        <f>Deals_Raw!F366</f>
        <v>Technology</v>
      </c>
      <c r="G366" t="str">
        <f>Deals_Raw!G366</f>
        <v>Healthcare</v>
      </c>
      <c r="H366" t="str">
        <f>Deals_Raw!H366</f>
        <v>Northeast</v>
      </c>
      <c r="I366" t="str">
        <f>Deals_Raw!I366</f>
        <v>Northeast Commercial</v>
      </c>
      <c r="J366" t="str">
        <f>Deals_Raw!J366</f>
        <v>Mid-Market</v>
      </c>
      <c r="K366" t="str">
        <f>Deals_Raw!K366</f>
        <v>No</v>
      </c>
      <c r="L366">
        <f>Deals_Raw!L366</f>
        <v>44531</v>
      </c>
      <c r="M366">
        <f>Deals_Raw!M366</f>
        <v>80</v>
      </c>
      <c r="N366" t="str">
        <f>Deals_Raw!N366</f>
        <v>Nexus Insights</v>
      </c>
      <c r="O366" t="str">
        <f>Deals_Raw!O366</f>
        <v>Expansion</v>
      </c>
      <c r="P366" t="str">
        <f>Deals_Raw!P366</f>
        <v>Module Add-on</v>
      </c>
      <c r="Q366">
        <f>Deals_Raw!Q366</f>
        <v>1</v>
      </c>
      <c r="R366">
        <f>Deals_Raw!R366</f>
        <v>163</v>
      </c>
      <c r="S366" t="str">
        <f>Deals_Raw!S366</f>
        <v>T. Brooks</v>
      </c>
      <c r="T366" s="6">
        <f>Deals_Raw!T366</f>
        <v>49436.557920720188</v>
      </c>
      <c r="U366" s="8">
        <f>Deals_Raw!V366</f>
        <v>7.9000000000000001E-2</v>
      </c>
      <c r="V366" s="8">
        <f>Deals_Raw!W366</f>
        <v>3.5999999999999997E-2</v>
      </c>
      <c r="W366" s="8">
        <f>Deals_Raw!X366</f>
        <v>-4.5999999999999999E-2</v>
      </c>
      <c r="X366" t="str">
        <f>Deals_Raw!Y366</f>
        <v>Expansion opportunity</v>
      </c>
      <c r="Y366" t="str">
        <f>Deals_Raw!Z366</f>
        <v>Sales Manager</v>
      </c>
      <c r="Z366" s="6">
        <f>Deals_Raw!AA366</f>
        <v>47661.024347113038</v>
      </c>
      <c r="AA366" s="6">
        <f>Deals_Raw!AC366</f>
        <v>12837.859420487202</v>
      </c>
      <c r="AB366" s="6">
        <f>Deals_Raw!AD366</f>
        <v>34823.164926625832</v>
      </c>
      <c r="AC366" s="8">
        <f>Deals_Raw!AE366</f>
        <v>0.73064239394038888</v>
      </c>
      <c r="AD366" t="str">
        <f>Deals_Raw!AF366</f>
        <v>Lost</v>
      </c>
      <c r="AE366">
        <f>Deals_Raw!AG366</f>
        <v>0</v>
      </c>
      <c r="AF366" t="str">
        <f>Deals_Raw!AH366</f>
        <v>No</v>
      </c>
      <c r="AG366" t="str">
        <f>Deals_Raw!AI366</f>
        <v>No</v>
      </c>
      <c r="AH366" s="6">
        <f>Deals_Raw!AJ366</f>
        <v>0</v>
      </c>
      <c r="AI366" s="6">
        <f>Deals_Raw!AK366</f>
        <v>0</v>
      </c>
      <c r="AJ366" t="str">
        <f>Deals_Raw!AL366</f>
        <v>Expansion allowed because contract was active</v>
      </c>
      <c r="AK366" s="9">
        <f t="shared" si="35"/>
        <v>2.2111111111111112</v>
      </c>
      <c r="AL366" s="8">
        <f t="shared" si="36"/>
        <v>0.9640846036155164</v>
      </c>
      <c r="AM366" s="8">
        <f t="shared" si="37"/>
        <v>4.3000000000000003E-2</v>
      </c>
      <c r="AN366" t="str">
        <f>IF(AC366&lt;Pricing_Policy!$C$10,"Below Floor","Pass")</f>
        <v>Pass</v>
      </c>
      <c r="AO366" t="str">
        <f>IF(V366&gt;Pricing_Policy!$C$7,"Exception","Standard")</f>
        <v>Standard</v>
      </c>
      <c r="AP366" t="str">
        <f t="shared" si="38"/>
        <v>Pass</v>
      </c>
      <c r="AQ366">
        <f t="shared" si="39"/>
        <v>0</v>
      </c>
      <c r="AR366" s="8">
        <f t="shared" si="40"/>
        <v>0</v>
      </c>
      <c r="AS366">
        <f t="shared" si="41"/>
        <v>4</v>
      </c>
    </row>
    <row r="367" spans="1:45">
      <c r="A367" t="str">
        <f>Deals_Raw!A367</f>
        <v>D00415</v>
      </c>
      <c r="B367">
        <f>Deals_Raw!B367</f>
        <v>45449</v>
      </c>
      <c r="C367" t="str">
        <f>Deals_Raw!C367</f>
        <v>C0103</v>
      </c>
      <c r="D367" t="str">
        <f>Deals_Raw!D367</f>
        <v>HEA-0103</v>
      </c>
      <c r="E367" t="str">
        <f>Deals_Raw!E367</f>
        <v>CT00219</v>
      </c>
      <c r="F367" t="str">
        <f>Deals_Raw!F367</f>
        <v>Technology</v>
      </c>
      <c r="G367" t="str">
        <f>Deals_Raw!G367</f>
        <v>Healthcare</v>
      </c>
      <c r="H367" t="str">
        <f>Deals_Raw!H367</f>
        <v>Northeast</v>
      </c>
      <c r="I367" t="str">
        <f>Deals_Raw!I367</f>
        <v>Northeast Commercial</v>
      </c>
      <c r="J367" t="str">
        <f>Deals_Raw!J367</f>
        <v>Mid-Market</v>
      </c>
      <c r="K367" t="str">
        <f>Deals_Raw!K367</f>
        <v>No</v>
      </c>
      <c r="L367">
        <f>Deals_Raw!L367</f>
        <v>44531</v>
      </c>
      <c r="M367">
        <f>Deals_Raw!M367</f>
        <v>80</v>
      </c>
      <c r="N367" t="str">
        <f>Deals_Raw!N367</f>
        <v>Nexus Insights</v>
      </c>
      <c r="O367" t="str">
        <f>Deals_Raw!O367</f>
        <v>Renewal</v>
      </c>
      <c r="P367">
        <f>Deals_Raw!P367</f>
        <v>0</v>
      </c>
      <c r="Q367">
        <f>Deals_Raw!Q367</f>
        <v>1</v>
      </c>
      <c r="R367">
        <f>Deals_Raw!R367</f>
        <v>134</v>
      </c>
      <c r="S367" t="str">
        <f>Deals_Raw!S367</f>
        <v>A. Patel</v>
      </c>
      <c r="T367" s="6">
        <f>Deals_Raw!T367</f>
        <v>40220.942243920828</v>
      </c>
      <c r="U367" s="8">
        <f>Deals_Raw!V367</f>
        <v>0.121</v>
      </c>
      <c r="V367" s="8">
        <f>Deals_Raw!W367</f>
        <v>0.11700000000000001</v>
      </c>
      <c r="W367" s="8">
        <f>Deals_Raw!X367</f>
        <v>-5.0999999999999997E-2</v>
      </c>
      <c r="X367" t="str">
        <f>Deals_Raw!Y367</f>
        <v>Multi-year commitment</v>
      </c>
      <c r="Y367" t="str">
        <f>Deals_Raw!Z367</f>
        <v>Pricing Analyst</v>
      </c>
      <c r="Z367" s="6">
        <f>Deals_Raw!AA367</f>
        <v>35531.534155215078</v>
      </c>
      <c r="AA367" s="6">
        <f>Deals_Raw!AC367</f>
        <v>11281.272154784379</v>
      </c>
      <c r="AB367" s="6">
        <f>Deals_Raw!AD367</f>
        <v>24250.262000430699</v>
      </c>
      <c r="AC367" s="8">
        <f>Deals_Raw!AE367</f>
        <v>0.68249971685704458</v>
      </c>
      <c r="AD367" t="str">
        <f>Deals_Raw!AF367</f>
        <v>Won</v>
      </c>
      <c r="AE367" t="str">
        <f>Deals_Raw!AG367</f>
        <v>Yes</v>
      </c>
      <c r="AF367">
        <f>Deals_Raw!AH367</f>
        <v>0</v>
      </c>
      <c r="AG367" t="str">
        <f>Deals_Raw!AI367</f>
        <v>No</v>
      </c>
      <c r="AH367" s="6">
        <f>Deals_Raw!AJ367</f>
        <v>35531.534155215078</v>
      </c>
      <c r="AI367" s="6">
        <f>Deals_Raw!AK367</f>
        <v>24250.262000430699</v>
      </c>
      <c r="AJ367" t="str">
        <f>Deals_Raw!AL367</f>
        <v>Renewal of existing active contract</v>
      </c>
      <c r="AK367" s="9">
        <f t="shared" si="35"/>
        <v>2.5138888888888888</v>
      </c>
      <c r="AL367" s="8">
        <f t="shared" si="36"/>
        <v>0.88340879583907495</v>
      </c>
      <c r="AM367" s="8">
        <f t="shared" si="37"/>
        <v>3.9999999999999897E-3</v>
      </c>
      <c r="AN367" t="str">
        <f>IF(AC367&lt;Pricing_Policy!$C$10,"Below Floor","Pass")</f>
        <v>Pass</v>
      </c>
      <c r="AO367" t="str">
        <f>IF(V367&gt;Pricing_Policy!$C$7,"Exception","Standard")</f>
        <v>Standard</v>
      </c>
      <c r="AP367" t="str">
        <f t="shared" si="38"/>
        <v>Pass</v>
      </c>
      <c r="AQ367">
        <f t="shared" si="39"/>
        <v>1</v>
      </c>
      <c r="AR367" s="8">
        <f t="shared" si="40"/>
        <v>0.68249971685704458</v>
      </c>
      <c r="AS367">
        <f t="shared" si="41"/>
        <v>4</v>
      </c>
    </row>
    <row r="368" spans="1:45">
      <c r="A368" t="str">
        <f>Deals_Raw!A368</f>
        <v>D00416</v>
      </c>
      <c r="B368">
        <f>Deals_Raw!B368</f>
        <v>45665</v>
      </c>
      <c r="C368" t="str">
        <f>Deals_Raw!C368</f>
        <v>C0103</v>
      </c>
      <c r="D368" t="str">
        <f>Deals_Raw!D368</f>
        <v>HEA-0103</v>
      </c>
      <c r="E368" t="str">
        <f>Deals_Raw!E368</f>
        <v>CT00219</v>
      </c>
      <c r="F368" t="str">
        <f>Deals_Raw!F368</f>
        <v>Technology</v>
      </c>
      <c r="G368" t="str">
        <f>Deals_Raw!G368</f>
        <v>Healthcare</v>
      </c>
      <c r="H368" t="str">
        <f>Deals_Raw!H368</f>
        <v>Northeast</v>
      </c>
      <c r="I368" t="str">
        <f>Deals_Raw!I368</f>
        <v>Northeast Commercial</v>
      </c>
      <c r="J368" t="str">
        <f>Deals_Raw!J368</f>
        <v>Mid-Market</v>
      </c>
      <c r="K368" t="str">
        <f>Deals_Raw!K368</f>
        <v>No</v>
      </c>
      <c r="L368">
        <f>Deals_Raw!L368</f>
        <v>44531</v>
      </c>
      <c r="M368">
        <f>Deals_Raw!M368</f>
        <v>80</v>
      </c>
      <c r="N368" t="str">
        <f>Deals_Raw!N368</f>
        <v>Nexus Insights</v>
      </c>
      <c r="O368" t="str">
        <f>Deals_Raw!O368</f>
        <v>Expansion</v>
      </c>
      <c r="P368" t="str">
        <f>Deals_Raw!P368</f>
        <v>Enterprise Upgrade</v>
      </c>
      <c r="Q368">
        <f>Deals_Raw!Q368</f>
        <v>1</v>
      </c>
      <c r="R368">
        <f>Deals_Raw!R368</f>
        <v>160</v>
      </c>
      <c r="S368" t="str">
        <f>Deals_Raw!S368</f>
        <v>M. Johnson</v>
      </c>
      <c r="T368" s="6">
        <f>Deals_Raw!T368</f>
        <v>47561.174009713774</v>
      </c>
      <c r="U368" s="8">
        <f>Deals_Raw!V368</f>
        <v>0.107</v>
      </c>
      <c r="V368" s="8">
        <f>Deals_Raw!W368</f>
        <v>9.2999999999999999E-2</v>
      </c>
      <c r="W368" s="8">
        <f>Deals_Raw!X368</f>
        <v>-2.9000000000000001E-2</v>
      </c>
      <c r="X368" t="str">
        <f>Deals_Raw!Y368</f>
        <v>Expansion opportunity</v>
      </c>
      <c r="Y368" t="str">
        <f>Deals_Raw!Z368</f>
        <v>Sales Manager</v>
      </c>
      <c r="Z368" s="6">
        <f>Deals_Raw!AA368</f>
        <v>43121.418382921453</v>
      </c>
      <c r="AA368" s="6">
        <f>Deals_Raw!AC368</f>
        <v>13953.709011500794</v>
      </c>
      <c r="AB368" s="6">
        <f>Deals_Raw!AD368</f>
        <v>29167.709371420657</v>
      </c>
      <c r="AC368" s="8">
        <f>Deals_Raw!AE368</f>
        <v>0.67640885817829999</v>
      </c>
      <c r="AD368" t="str">
        <f>Deals_Raw!AF368</f>
        <v>Won</v>
      </c>
      <c r="AE368">
        <f>Deals_Raw!AG368</f>
        <v>0</v>
      </c>
      <c r="AF368" t="str">
        <f>Deals_Raw!AH368</f>
        <v>Yes</v>
      </c>
      <c r="AG368" t="str">
        <f>Deals_Raw!AI368</f>
        <v>No</v>
      </c>
      <c r="AH368" s="6">
        <f>Deals_Raw!AJ368</f>
        <v>43121.418382921453</v>
      </c>
      <c r="AI368" s="6">
        <f>Deals_Raw!AK368</f>
        <v>29167.709371420657</v>
      </c>
      <c r="AJ368" t="str">
        <f>Deals_Raw!AL368</f>
        <v>Expansion allowed because contract was active</v>
      </c>
      <c r="AK368" s="9">
        <f t="shared" si="35"/>
        <v>3.1027777777777779</v>
      </c>
      <c r="AL368" s="8">
        <f t="shared" si="36"/>
        <v>0.90665168135072616</v>
      </c>
      <c r="AM368" s="8">
        <f t="shared" si="37"/>
        <v>1.3999999999999999E-2</v>
      </c>
      <c r="AN368" t="str">
        <f>IF(AC368&lt;Pricing_Policy!$C$10,"Below Floor","Pass")</f>
        <v>Pass</v>
      </c>
      <c r="AO368" t="str">
        <f>IF(V368&gt;Pricing_Policy!$C$7,"Exception","Standard")</f>
        <v>Standard</v>
      </c>
      <c r="AP368" t="str">
        <f t="shared" si="38"/>
        <v>Pass</v>
      </c>
      <c r="AQ368">
        <f t="shared" si="39"/>
        <v>1</v>
      </c>
      <c r="AR368" s="8">
        <f t="shared" si="40"/>
        <v>0.67640885817829999</v>
      </c>
      <c r="AS368">
        <f t="shared" si="41"/>
        <v>4</v>
      </c>
    </row>
    <row r="369" spans="1:45">
      <c r="A369" t="str">
        <f>Deals_Raw!A369</f>
        <v>D00417</v>
      </c>
      <c r="B369">
        <f>Deals_Raw!B369</f>
        <v>45814</v>
      </c>
      <c r="C369" t="str">
        <f>Deals_Raw!C369</f>
        <v>C0103</v>
      </c>
      <c r="D369" t="str">
        <f>Deals_Raw!D369</f>
        <v>HEA-0103</v>
      </c>
      <c r="E369" t="str">
        <f>Deals_Raw!E369</f>
        <v>CT00219</v>
      </c>
      <c r="F369" t="str">
        <f>Deals_Raw!F369</f>
        <v>Technology</v>
      </c>
      <c r="G369" t="str">
        <f>Deals_Raw!G369</f>
        <v>Healthcare</v>
      </c>
      <c r="H369" t="str">
        <f>Deals_Raw!H369</f>
        <v>Northeast</v>
      </c>
      <c r="I369" t="str">
        <f>Deals_Raw!I369</f>
        <v>Northeast Commercial</v>
      </c>
      <c r="J369" t="str">
        <f>Deals_Raw!J369</f>
        <v>Mid-Market</v>
      </c>
      <c r="K369" t="str">
        <f>Deals_Raw!K369</f>
        <v>No</v>
      </c>
      <c r="L369">
        <f>Deals_Raw!L369</f>
        <v>44531</v>
      </c>
      <c r="M369">
        <f>Deals_Raw!M369</f>
        <v>80</v>
      </c>
      <c r="N369" t="str">
        <f>Deals_Raw!N369</f>
        <v>Nexus Insights</v>
      </c>
      <c r="O369" t="str">
        <f>Deals_Raw!O369</f>
        <v>Renewal</v>
      </c>
      <c r="P369">
        <f>Deals_Raw!P369</f>
        <v>0</v>
      </c>
      <c r="Q369">
        <f>Deals_Raw!Q369</f>
        <v>1</v>
      </c>
      <c r="R369">
        <f>Deals_Raw!R369</f>
        <v>160</v>
      </c>
      <c r="S369" t="str">
        <f>Deals_Raw!S369</f>
        <v>L. Williams</v>
      </c>
      <c r="T369" s="6">
        <f>Deals_Raw!T369</f>
        <v>50967.904340482513</v>
      </c>
      <c r="U369" s="8">
        <f>Deals_Raw!V369</f>
        <v>0.21199999999999999</v>
      </c>
      <c r="V369" s="8">
        <f>Deals_Raw!W369</f>
        <v>0.17299999999999999</v>
      </c>
      <c r="W369" s="8">
        <f>Deals_Raw!X369</f>
        <v>-4.1000000000000002E-2</v>
      </c>
      <c r="X369" t="str">
        <f>Deals_Raw!Y369</f>
        <v>Procurement requirement</v>
      </c>
      <c r="Y369" t="str">
        <f>Deals_Raw!Z369</f>
        <v>Pricing Analyst</v>
      </c>
      <c r="Z369" s="6">
        <f>Deals_Raw!AA369</f>
        <v>42125.536890554758</v>
      </c>
      <c r="AA369" s="6">
        <f>Deals_Raw!AC369</f>
        <v>13668.172465676431</v>
      </c>
      <c r="AB369" s="6">
        <f>Deals_Raw!AD369</f>
        <v>28457.364424878328</v>
      </c>
      <c r="AC369" s="8">
        <f>Deals_Raw!AE369</f>
        <v>0.67553713318390818</v>
      </c>
      <c r="AD369" t="str">
        <f>Deals_Raw!AF369</f>
        <v>Won</v>
      </c>
      <c r="AE369" t="str">
        <f>Deals_Raw!AG369</f>
        <v>Yes</v>
      </c>
      <c r="AF369">
        <f>Deals_Raw!AH369</f>
        <v>0</v>
      </c>
      <c r="AG369" t="str">
        <f>Deals_Raw!AI369</f>
        <v>No</v>
      </c>
      <c r="AH369" s="6">
        <f>Deals_Raw!AJ369</f>
        <v>42125.536890554758</v>
      </c>
      <c r="AI369" s="6">
        <f>Deals_Raw!AK369</f>
        <v>28457.364424878328</v>
      </c>
      <c r="AJ369" t="str">
        <f>Deals_Raw!AL369</f>
        <v>Renewal of existing active contract</v>
      </c>
      <c r="AK369" s="9">
        <f t="shared" si="35"/>
        <v>3.5138888888888888</v>
      </c>
      <c r="AL369" s="8">
        <f t="shared" si="36"/>
        <v>0.82651106486823933</v>
      </c>
      <c r="AM369" s="8">
        <f t="shared" si="37"/>
        <v>3.9000000000000007E-2</v>
      </c>
      <c r="AN369" t="str">
        <f>IF(AC369&lt;Pricing_Policy!$C$10,"Below Floor","Pass")</f>
        <v>Pass</v>
      </c>
      <c r="AO369" t="str">
        <f>IF(V369&gt;Pricing_Policy!$C$7,"Exception","Standard")</f>
        <v>Standard</v>
      </c>
      <c r="AP369" t="str">
        <f t="shared" si="38"/>
        <v>Pass</v>
      </c>
      <c r="AQ369">
        <f t="shared" si="39"/>
        <v>1</v>
      </c>
      <c r="AR369" s="8">
        <f t="shared" si="40"/>
        <v>0.67553713318390818</v>
      </c>
      <c r="AS369">
        <f t="shared" si="41"/>
        <v>4</v>
      </c>
    </row>
    <row r="370" spans="1:45">
      <c r="A370" t="str">
        <f>Deals_Raw!A370</f>
        <v>D00419</v>
      </c>
      <c r="B370">
        <f>Deals_Raw!B370</f>
        <v>45558</v>
      </c>
      <c r="C370" t="str">
        <f>Deals_Raw!C370</f>
        <v>C0104</v>
      </c>
      <c r="D370" t="str">
        <f>Deals_Raw!D370</f>
        <v>MAN-0104</v>
      </c>
      <c r="E370" t="str">
        <f>Deals_Raw!E370</f>
        <v>CT00220</v>
      </c>
      <c r="F370" t="str">
        <f>Deals_Raw!F370</f>
        <v>Corporate</v>
      </c>
      <c r="G370" t="str">
        <f>Deals_Raw!G370</f>
        <v>Manufacturing</v>
      </c>
      <c r="H370" t="str">
        <f>Deals_Raw!H370</f>
        <v>Midwest</v>
      </c>
      <c r="I370" t="str">
        <f>Deals_Raw!I370</f>
        <v>Midwest Commercial</v>
      </c>
      <c r="J370" t="str">
        <f>Deals_Raw!J370</f>
        <v>Mid-Market</v>
      </c>
      <c r="K370" t="str">
        <f>Deals_Raw!K370</f>
        <v>No</v>
      </c>
      <c r="L370">
        <f>Deals_Raw!L370</f>
        <v>44044</v>
      </c>
      <c r="M370">
        <f>Deals_Raw!M370</f>
        <v>87</v>
      </c>
      <c r="N370" t="str">
        <f>Deals_Raw!N370</f>
        <v>Nexus Enterprise Suite</v>
      </c>
      <c r="O370" t="str">
        <f>Deals_Raw!O370</f>
        <v>Renewal</v>
      </c>
      <c r="P370">
        <f>Deals_Raw!P370</f>
        <v>0</v>
      </c>
      <c r="Q370">
        <f>Deals_Raw!Q370</f>
        <v>1</v>
      </c>
      <c r="R370">
        <f>Deals_Raw!R370</f>
        <v>207</v>
      </c>
      <c r="S370" t="str">
        <f>Deals_Raw!S370</f>
        <v>M. Johnson</v>
      </c>
      <c r="T370" s="6">
        <f>Deals_Raw!T370</f>
        <v>207890.51389582004</v>
      </c>
      <c r="U370" s="8">
        <f>Deals_Raw!V370</f>
        <v>0.19800000000000001</v>
      </c>
      <c r="V370" s="8">
        <f>Deals_Raw!W370</f>
        <v>0.19700000000000001</v>
      </c>
      <c r="W370" s="8">
        <f>Deals_Raw!X370</f>
        <v>9.6000000000000002E-2</v>
      </c>
      <c r="X370" t="str">
        <f>Deals_Raw!Y370</f>
        <v>Procurement requirement</v>
      </c>
      <c r="Y370" t="str">
        <f>Deals_Raw!Z370</f>
        <v>Pricing Analyst</v>
      </c>
      <c r="Z370" s="6">
        <f>Deals_Raw!AA370</f>
        <v>166902.24703369016</v>
      </c>
      <c r="AA370" s="6">
        <f>Deals_Raw!AC370</f>
        <v>76505.749182515676</v>
      </c>
      <c r="AB370" s="6">
        <f>Deals_Raw!AD370</f>
        <v>90396.497851174485</v>
      </c>
      <c r="AC370" s="8">
        <f>Deals_Raw!AE370</f>
        <v>0.54161342616871688</v>
      </c>
      <c r="AD370" t="str">
        <f>Deals_Raw!AF370</f>
        <v>Lost</v>
      </c>
      <c r="AE370" t="str">
        <f>Deals_Raw!AG370</f>
        <v>No</v>
      </c>
      <c r="AF370">
        <f>Deals_Raw!AH370</f>
        <v>0</v>
      </c>
      <c r="AG370" t="str">
        <f>Deals_Raw!AI370</f>
        <v>No</v>
      </c>
      <c r="AH370" s="6">
        <f>Deals_Raw!AJ370</f>
        <v>0</v>
      </c>
      <c r="AI370" s="6">
        <f>Deals_Raw!AK370</f>
        <v>0</v>
      </c>
      <c r="AJ370" t="str">
        <f>Deals_Raw!AL370</f>
        <v>Renewal of existing active contract</v>
      </c>
      <c r="AK370" s="9">
        <f t="shared" si="35"/>
        <v>4.1444444444444448</v>
      </c>
      <c r="AL370" s="8">
        <f t="shared" si="36"/>
        <v>0.80283724305636051</v>
      </c>
      <c r="AM370" s="8">
        <f t="shared" si="37"/>
        <v>1.0000000000000009E-3</v>
      </c>
      <c r="AN370" t="str">
        <f>IF(AC370&lt;Pricing_Policy!$C$10,"Below Floor","Pass")</f>
        <v>Pass</v>
      </c>
      <c r="AO370" t="str">
        <f>IF(V370&gt;Pricing_Policy!$C$7,"Exception","Standard")</f>
        <v>Standard</v>
      </c>
      <c r="AP370" t="str">
        <f t="shared" si="38"/>
        <v>Pass</v>
      </c>
      <c r="AQ370">
        <f t="shared" si="39"/>
        <v>0</v>
      </c>
      <c r="AR370" s="8">
        <f t="shared" si="40"/>
        <v>0</v>
      </c>
      <c r="AS370">
        <f t="shared" si="41"/>
        <v>1</v>
      </c>
    </row>
    <row r="371" spans="1:45">
      <c r="A371" t="str">
        <f>Deals_Raw!A371</f>
        <v>D00420</v>
      </c>
      <c r="B371">
        <f>Deals_Raw!B371</f>
        <v>45502</v>
      </c>
      <c r="C371" t="str">
        <f>Deals_Raw!C371</f>
        <v>C0104</v>
      </c>
      <c r="D371" t="str">
        <f>Deals_Raw!D371</f>
        <v>MAN-0104</v>
      </c>
      <c r="E371" t="str">
        <f>Deals_Raw!E371</f>
        <v>CT00221</v>
      </c>
      <c r="F371" t="str">
        <f>Deals_Raw!F371</f>
        <v>Technology</v>
      </c>
      <c r="G371" t="str">
        <f>Deals_Raw!G371</f>
        <v>Manufacturing</v>
      </c>
      <c r="H371" t="str">
        <f>Deals_Raw!H371</f>
        <v>Midwest</v>
      </c>
      <c r="I371" t="str">
        <f>Deals_Raw!I371</f>
        <v>Midwest Commercial</v>
      </c>
      <c r="J371" t="str">
        <f>Deals_Raw!J371</f>
        <v>Mid-Market</v>
      </c>
      <c r="K371" t="str">
        <f>Deals_Raw!K371</f>
        <v>No</v>
      </c>
      <c r="L371">
        <f>Deals_Raw!L371</f>
        <v>44044</v>
      </c>
      <c r="M371">
        <f>Deals_Raw!M371</f>
        <v>87</v>
      </c>
      <c r="N371" t="str">
        <f>Deals_Raw!N371</f>
        <v>Nexus Insights</v>
      </c>
      <c r="O371" t="str">
        <f>Deals_Raw!O371</f>
        <v>New Business</v>
      </c>
      <c r="P371">
        <f>Deals_Raw!P371</f>
        <v>0</v>
      </c>
      <c r="Q371">
        <f>Deals_Raw!Q371</f>
        <v>1</v>
      </c>
      <c r="R371">
        <f>Deals_Raw!R371</f>
        <v>290</v>
      </c>
      <c r="S371" t="str">
        <f>Deals_Raw!S371</f>
        <v>A. Patel</v>
      </c>
      <c r="T371" s="6">
        <f>Deals_Raw!T371</f>
        <v>35420.390201693721</v>
      </c>
      <c r="U371" s="8">
        <f>Deals_Raw!V371</f>
        <v>0.182</v>
      </c>
      <c r="V371" s="8">
        <f>Deals_Raw!W371</f>
        <v>0.17100000000000001</v>
      </c>
      <c r="W371" s="8">
        <f>Deals_Raw!X371</f>
        <v>-0.127</v>
      </c>
      <c r="X371" t="str">
        <f>Deals_Raw!Y371</f>
        <v>Renewal retention risk</v>
      </c>
      <c r="Y371" t="str">
        <f>Deals_Raw!Z371</f>
        <v>Pricing Analyst</v>
      </c>
      <c r="Z371" s="6">
        <f>Deals_Raw!AA371</f>
        <v>29377.226397600996</v>
      </c>
      <c r="AA371" s="6">
        <f>Deals_Raw!AC371</f>
        <v>10359.501226832328</v>
      </c>
      <c r="AB371" s="6">
        <f>Deals_Raw!AD371</f>
        <v>19017.725170768666</v>
      </c>
      <c r="AC371" s="8">
        <f>Deals_Raw!AE371</f>
        <v>0.6473628556139559</v>
      </c>
      <c r="AD371" t="str">
        <f>Deals_Raw!AF371</f>
        <v>Won</v>
      </c>
      <c r="AE371">
        <f>Deals_Raw!AG371</f>
        <v>0</v>
      </c>
      <c r="AF371">
        <f>Deals_Raw!AH371</f>
        <v>0</v>
      </c>
      <c r="AG371" t="str">
        <f>Deals_Raw!AI371</f>
        <v>No</v>
      </c>
      <c r="AH371" s="6">
        <f>Deals_Raw!AJ371</f>
        <v>29377.226397600996</v>
      </c>
      <c r="AI371" s="6">
        <f>Deals_Raw!AK371</f>
        <v>19017.725170768666</v>
      </c>
      <c r="AJ371" t="str">
        <f>Deals_Raw!AL371</f>
        <v>First purchase under this contract</v>
      </c>
      <c r="AK371" s="9">
        <f t="shared" si="35"/>
        <v>3.9944444444444445</v>
      </c>
      <c r="AL371" s="8">
        <f t="shared" si="36"/>
        <v>0.82938742996106929</v>
      </c>
      <c r="AM371" s="8">
        <f t="shared" si="37"/>
        <v>1.0999999999999982E-2</v>
      </c>
      <c r="AN371" t="str">
        <f>IF(AC371&lt;Pricing_Policy!$C$10,"Below Floor","Pass")</f>
        <v>Pass</v>
      </c>
      <c r="AO371" t="str">
        <f>IF(V371&gt;Pricing_Policy!$C$7,"Exception","Standard")</f>
        <v>Standard</v>
      </c>
      <c r="AP371" t="str">
        <f t="shared" si="38"/>
        <v>Pass</v>
      </c>
      <c r="AQ371">
        <f t="shared" si="39"/>
        <v>1</v>
      </c>
      <c r="AR371" s="8">
        <f t="shared" si="40"/>
        <v>0.6473628556139559</v>
      </c>
      <c r="AS371">
        <f t="shared" si="41"/>
        <v>3</v>
      </c>
    </row>
    <row r="372" spans="1:45">
      <c r="A372" t="str">
        <f>Deals_Raw!A372</f>
        <v>D00421</v>
      </c>
      <c r="B372">
        <f>Deals_Raw!B372</f>
        <v>45771</v>
      </c>
      <c r="C372" t="str">
        <f>Deals_Raw!C372</f>
        <v>C0104</v>
      </c>
      <c r="D372" t="str">
        <f>Deals_Raw!D372</f>
        <v>MAN-0104</v>
      </c>
      <c r="E372" t="str">
        <f>Deals_Raw!E372</f>
        <v>CT00221</v>
      </c>
      <c r="F372" t="str">
        <f>Deals_Raw!F372</f>
        <v>Technology</v>
      </c>
      <c r="G372" t="str">
        <f>Deals_Raw!G372</f>
        <v>Manufacturing</v>
      </c>
      <c r="H372" t="str">
        <f>Deals_Raw!H372</f>
        <v>Midwest</v>
      </c>
      <c r="I372" t="str">
        <f>Deals_Raw!I372</f>
        <v>Midwest Commercial</v>
      </c>
      <c r="J372" t="str">
        <f>Deals_Raw!J372</f>
        <v>Mid-Market</v>
      </c>
      <c r="K372" t="str">
        <f>Deals_Raw!K372</f>
        <v>No</v>
      </c>
      <c r="L372">
        <f>Deals_Raw!L372</f>
        <v>44044</v>
      </c>
      <c r="M372">
        <f>Deals_Raw!M372</f>
        <v>87</v>
      </c>
      <c r="N372" t="str">
        <f>Deals_Raw!N372</f>
        <v>Nexus Insights</v>
      </c>
      <c r="O372" t="str">
        <f>Deals_Raw!O372</f>
        <v>Expansion</v>
      </c>
      <c r="P372" t="str">
        <f>Deals_Raw!P372</f>
        <v>Seat Expansion</v>
      </c>
      <c r="Q372">
        <f>Deals_Raw!Q372</f>
        <v>1</v>
      </c>
      <c r="R372">
        <f>Deals_Raw!R372</f>
        <v>329</v>
      </c>
      <c r="S372" t="str">
        <f>Deals_Raw!S372</f>
        <v>D. Chen</v>
      </c>
      <c r="T372" s="6">
        <f>Deals_Raw!T372</f>
        <v>41890.144955629883</v>
      </c>
      <c r="U372" s="8">
        <f>Deals_Raw!V372</f>
        <v>9.4E-2</v>
      </c>
      <c r="V372" s="8">
        <f>Deals_Raw!W372</f>
        <v>7.9000000000000001E-2</v>
      </c>
      <c r="W372" s="8">
        <f>Deals_Raw!X372</f>
        <v>5.8999999999999997E-2</v>
      </c>
      <c r="X372" t="str">
        <f>Deals_Raw!Y372</f>
        <v>Expansion opportunity</v>
      </c>
      <c r="Y372" t="str">
        <f>Deals_Raw!Z372</f>
        <v>Sales Manager</v>
      </c>
      <c r="Z372" s="6">
        <f>Deals_Raw!AA372</f>
        <v>38598.269584139438</v>
      </c>
      <c r="AA372" s="6">
        <f>Deals_Raw!AC372</f>
        <v>11486.274646357333</v>
      </c>
      <c r="AB372" s="6">
        <f>Deals_Raw!AD372</f>
        <v>27111.994937782103</v>
      </c>
      <c r="AC372" s="8">
        <f>Deals_Raw!AE372</f>
        <v>0.702414777395171</v>
      </c>
      <c r="AD372" t="str">
        <f>Deals_Raw!AF372</f>
        <v>Won</v>
      </c>
      <c r="AE372">
        <f>Deals_Raw!AG372</f>
        <v>0</v>
      </c>
      <c r="AF372" t="str">
        <f>Deals_Raw!AH372</f>
        <v>Yes</v>
      </c>
      <c r="AG372" t="str">
        <f>Deals_Raw!AI372</f>
        <v>No</v>
      </c>
      <c r="AH372" s="6">
        <f>Deals_Raw!AJ372</f>
        <v>38598.269584139438</v>
      </c>
      <c r="AI372" s="6">
        <f>Deals_Raw!AK372</f>
        <v>27111.994937782103</v>
      </c>
      <c r="AJ372" t="str">
        <f>Deals_Raw!AL372</f>
        <v>Expansion allowed because contract was active</v>
      </c>
      <c r="AK372" s="9">
        <f t="shared" si="35"/>
        <v>4.7305555555555552</v>
      </c>
      <c r="AL372" s="8">
        <f t="shared" si="36"/>
        <v>0.92141647218033729</v>
      </c>
      <c r="AM372" s="8">
        <f t="shared" si="37"/>
        <v>1.4999999999999999E-2</v>
      </c>
      <c r="AN372" t="str">
        <f>IF(AC372&lt;Pricing_Policy!$C$10,"Below Floor","Pass")</f>
        <v>Pass</v>
      </c>
      <c r="AO372" t="str">
        <f>IF(V372&gt;Pricing_Policy!$C$7,"Exception","Standard")</f>
        <v>Standard</v>
      </c>
      <c r="AP372" t="str">
        <f t="shared" si="38"/>
        <v>Pass</v>
      </c>
      <c r="AQ372">
        <f t="shared" si="39"/>
        <v>1</v>
      </c>
      <c r="AR372" s="8">
        <f t="shared" si="40"/>
        <v>0.702414777395171</v>
      </c>
      <c r="AS372">
        <f t="shared" si="41"/>
        <v>3</v>
      </c>
    </row>
    <row r="373" spans="1:45">
      <c r="A373" t="str">
        <f>Deals_Raw!A373</f>
        <v>D00422</v>
      </c>
      <c r="B373">
        <f>Deals_Raw!B373</f>
        <v>45867</v>
      </c>
      <c r="C373" t="str">
        <f>Deals_Raw!C373</f>
        <v>C0104</v>
      </c>
      <c r="D373" t="str">
        <f>Deals_Raw!D373</f>
        <v>MAN-0104</v>
      </c>
      <c r="E373" t="str">
        <f>Deals_Raw!E373</f>
        <v>CT00221</v>
      </c>
      <c r="F373" t="str">
        <f>Deals_Raw!F373</f>
        <v>Technology</v>
      </c>
      <c r="G373" t="str">
        <f>Deals_Raw!G373</f>
        <v>Manufacturing</v>
      </c>
      <c r="H373" t="str">
        <f>Deals_Raw!H373</f>
        <v>Midwest</v>
      </c>
      <c r="I373" t="str">
        <f>Deals_Raw!I373</f>
        <v>Midwest Commercial</v>
      </c>
      <c r="J373" t="str">
        <f>Deals_Raw!J373</f>
        <v>Mid-Market</v>
      </c>
      <c r="K373" t="str">
        <f>Deals_Raw!K373</f>
        <v>No</v>
      </c>
      <c r="L373">
        <f>Deals_Raw!L373</f>
        <v>44044</v>
      </c>
      <c r="M373">
        <f>Deals_Raw!M373</f>
        <v>87</v>
      </c>
      <c r="N373" t="str">
        <f>Deals_Raw!N373</f>
        <v>Nexus Insights</v>
      </c>
      <c r="O373" t="str">
        <f>Deals_Raw!O373</f>
        <v>Renewal</v>
      </c>
      <c r="P373">
        <f>Deals_Raw!P373</f>
        <v>0</v>
      </c>
      <c r="Q373">
        <f>Deals_Raw!Q373</f>
        <v>1</v>
      </c>
      <c r="R373">
        <f>Deals_Raw!R373</f>
        <v>329</v>
      </c>
      <c r="S373" t="str">
        <f>Deals_Raw!S373</f>
        <v>T. Brooks</v>
      </c>
      <c r="T373" s="6">
        <f>Deals_Raw!T373</f>
        <v>43758.989652347176</v>
      </c>
      <c r="U373" s="8">
        <f>Deals_Raw!V373</f>
        <v>0.19400000000000001</v>
      </c>
      <c r="V373" s="8">
        <f>Deals_Raw!W373</f>
        <v>0.185</v>
      </c>
      <c r="W373" s="8">
        <f>Deals_Raw!X373</f>
        <v>-3.7999999999999999E-2</v>
      </c>
      <c r="X373" t="str">
        <f>Deals_Raw!Y373</f>
        <v>Multi-year commitment</v>
      </c>
      <c r="Y373" t="str">
        <f>Deals_Raw!Z373</f>
        <v>Pricing Analyst</v>
      </c>
      <c r="Z373" s="6">
        <f>Deals_Raw!AA373</f>
        <v>35644.738404286203</v>
      </c>
      <c r="AA373" s="6">
        <f>Deals_Raw!AC373</f>
        <v>12507.943755688952</v>
      </c>
      <c r="AB373" s="6">
        <f>Deals_Raw!AD373</f>
        <v>23136.79464859725</v>
      </c>
      <c r="AC373" s="8">
        <f>Deals_Raw!AE373</f>
        <v>0.64909424740833843</v>
      </c>
      <c r="AD373" t="str">
        <f>Deals_Raw!AF373</f>
        <v>Lost</v>
      </c>
      <c r="AE373" t="str">
        <f>Deals_Raw!AG373</f>
        <v>No</v>
      </c>
      <c r="AF373">
        <f>Deals_Raw!AH373</f>
        <v>0</v>
      </c>
      <c r="AG373" t="str">
        <f>Deals_Raw!AI373</f>
        <v>No</v>
      </c>
      <c r="AH373" s="6">
        <f>Deals_Raw!AJ373</f>
        <v>0</v>
      </c>
      <c r="AI373" s="6">
        <f>Deals_Raw!AK373</f>
        <v>0</v>
      </c>
      <c r="AJ373" t="str">
        <f>Deals_Raw!AL373</f>
        <v>Renewal of existing active contract</v>
      </c>
      <c r="AK373" s="9">
        <f t="shared" si="35"/>
        <v>4.9944444444444445</v>
      </c>
      <c r="AL373" s="8">
        <f t="shared" si="36"/>
        <v>0.81456950188917954</v>
      </c>
      <c r="AM373" s="8">
        <f t="shared" si="37"/>
        <v>9.000000000000008E-3</v>
      </c>
      <c r="AN373" t="str">
        <f>IF(AC373&lt;Pricing_Policy!$C$10,"Below Floor","Pass")</f>
        <v>Pass</v>
      </c>
      <c r="AO373" t="str">
        <f>IF(V373&gt;Pricing_Policy!$C$7,"Exception","Standard")</f>
        <v>Standard</v>
      </c>
      <c r="AP373" t="str">
        <f t="shared" si="38"/>
        <v>Pass</v>
      </c>
      <c r="AQ373">
        <f t="shared" si="39"/>
        <v>0</v>
      </c>
      <c r="AR373" s="8">
        <f t="shared" si="40"/>
        <v>0</v>
      </c>
      <c r="AS373">
        <f t="shared" si="41"/>
        <v>3</v>
      </c>
    </row>
    <row r="374" spans="1:45">
      <c r="A374" t="str">
        <f>Deals_Raw!A374</f>
        <v>D00424</v>
      </c>
      <c r="B374">
        <f>Deals_Raw!B374</f>
        <v>45752</v>
      </c>
      <c r="C374" t="str">
        <f>Deals_Raw!C374</f>
        <v>C0104</v>
      </c>
      <c r="D374" t="str">
        <f>Deals_Raw!D374</f>
        <v>MAN-0104</v>
      </c>
      <c r="E374" t="str">
        <f>Deals_Raw!E374</f>
        <v>CT00222</v>
      </c>
      <c r="F374" t="str">
        <f>Deals_Raw!F374</f>
        <v>Technology</v>
      </c>
      <c r="G374" t="str">
        <f>Deals_Raw!G374</f>
        <v>Manufacturing</v>
      </c>
      <c r="H374" t="str">
        <f>Deals_Raw!H374</f>
        <v>Midwest</v>
      </c>
      <c r="I374" t="str">
        <f>Deals_Raw!I374</f>
        <v>Midwest Commercial</v>
      </c>
      <c r="J374" t="str">
        <f>Deals_Raw!J374</f>
        <v>Mid-Market</v>
      </c>
      <c r="K374" t="str">
        <f>Deals_Raw!K374</f>
        <v>No</v>
      </c>
      <c r="L374">
        <f>Deals_Raw!L374</f>
        <v>44044</v>
      </c>
      <c r="M374">
        <f>Deals_Raw!M374</f>
        <v>87</v>
      </c>
      <c r="N374" t="str">
        <f>Deals_Raw!N374</f>
        <v>Nexus Analytics</v>
      </c>
      <c r="O374" t="str">
        <f>Deals_Raw!O374</f>
        <v>Renewal</v>
      </c>
      <c r="P374">
        <f>Deals_Raw!P374</f>
        <v>0</v>
      </c>
      <c r="Q374">
        <f>Deals_Raw!Q374</f>
        <v>2</v>
      </c>
      <c r="R374">
        <f>Deals_Raw!R374</f>
        <v>213</v>
      </c>
      <c r="S374" t="str">
        <f>Deals_Raw!S374</f>
        <v>S. Rivera</v>
      </c>
      <c r="T374" s="6">
        <f>Deals_Raw!T374</f>
        <v>84724.099979020015</v>
      </c>
      <c r="U374" s="8">
        <f>Deals_Raw!V374</f>
        <v>8.5999999999999993E-2</v>
      </c>
      <c r="V374" s="8">
        <f>Deals_Raw!W374</f>
        <v>2.9000000000000001E-2</v>
      </c>
      <c r="W374" s="8">
        <f>Deals_Raw!X374</f>
        <v>-4.3999999999999997E-2</v>
      </c>
      <c r="X374" t="str">
        <f>Deals_Raw!Y374</f>
        <v>Procurement requirement</v>
      </c>
      <c r="Y374" t="str">
        <f>Deals_Raw!Z374</f>
        <v>Sales Manager</v>
      </c>
      <c r="Z374" s="6">
        <f>Deals_Raw!AA374</f>
        <v>82237.484562597107</v>
      </c>
      <c r="AA374" s="6">
        <f>Deals_Raw!AC374</f>
        <v>26849.160447841117</v>
      </c>
      <c r="AB374" s="6">
        <f>Deals_Raw!AD374</f>
        <v>55388.324114755989</v>
      </c>
      <c r="AC374" s="8">
        <f>Deals_Raw!AE374</f>
        <v>0.6735167595331274</v>
      </c>
      <c r="AD374" t="str">
        <f>Deals_Raw!AF374</f>
        <v>Won</v>
      </c>
      <c r="AE374" t="str">
        <f>Deals_Raw!AG374</f>
        <v>Yes</v>
      </c>
      <c r="AF374">
        <f>Deals_Raw!AH374</f>
        <v>0</v>
      </c>
      <c r="AG374" t="str">
        <f>Deals_Raw!AI374</f>
        <v>No</v>
      </c>
      <c r="AH374" s="6">
        <f>Deals_Raw!AJ374</f>
        <v>82237.484562597107</v>
      </c>
      <c r="AI374" s="6">
        <f>Deals_Raw!AK374</f>
        <v>55388.324114755989</v>
      </c>
      <c r="AJ374" t="str">
        <f>Deals_Raw!AL374</f>
        <v>Renewal of existing active contract</v>
      </c>
      <c r="AK374" s="9">
        <f t="shared" si="35"/>
        <v>4.677777777777778</v>
      </c>
      <c r="AL374" s="8">
        <f t="shared" si="36"/>
        <v>0.97065043574332854</v>
      </c>
      <c r="AM374" s="8">
        <f t="shared" si="37"/>
        <v>5.6999999999999995E-2</v>
      </c>
      <c r="AN374" t="str">
        <f>IF(AC374&lt;Pricing_Policy!$C$10,"Below Floor","Pass")</f>
        <v>Pass</v>
      </c>
      <c r="AO374" t="str">
        <f>IF(V374&gt;Pricing_Policy!$C$7,"Exception","Standard")</f>
        <v>Standard</v>
      </c>
      <c r="AP374" t="str">
        <f t="shared" si="38"/>
        <v>Pass</v>
      </c>
      <c r="AQ374">
        <f t="shared" si="39"/>
        <v>1</v>
      </c>
      <c r="AR374" s="8">
        <f t="shared" si="40"/>
        <v>0.6735167595331274</v>
      </c>
      <c r="AS374">
        <f t="shared" si="41"/>
        <v>1</v>
      </c>
    </row>
    <row r="375" spans="1:45">
      <c r="A375" t="str">
        <f>Deals_Raw!A375</f>
        <v>D00425</v>
      </c>
      <c r="B375">
        <f>Deals_Raw!B375</f>
        <v>45572</v>
      </c>
      <c r="C375" t="str">
        <f>Deals_Raw!C375</f>
        <v>C0105</v>
      </c>
      <c r="D375" t="str">
        <f>Deals_Raw!D375</f>
        <v>PUB-0105</v>
      </c>
      <c r="E375" t="str">
        <f>Deals_Raw!E375</f>
        <v>CT00223</v>
      </c>
      <c r="F375" t="str">
        <f>Deals_Raw!F375</f>
        <v>Operations</v>
      </c>
      <c r="G375" t="str">
        <f>Deals_Raw!G375</f>
        <v>Public Sector</v>
      </c>
      <c r="H375" t="str">
        <f>Deals_Raw!H375</f>
        <v>Midwest</v>
      </c>
      <c r="I375" t="str">
        <f>Deals_Raw!I375</f>
        <v>Midwest Commercial</v>
      </c>
      <c r="J375" t="str">
        <f>Deals_Raw!J375</f>
        <v>Mid-Market</v>
      </c>
      <c r="K375" t="str">
        <f>Deals_Raw!K375</f>
        <v>No</v>
      </c>
      <c r="L375">
        <f>Deals_Raw!L375</f>
        <v>45200</v>
      </c>
      <c r="M375">
        <f>Deals_Raw!M375</f>
        <v>79</v>
      </c>
      <c r="N375" t="str">
        <f>Deals_Raw!N375</f>
        <v>Nexus Compliance</v>
      </c>
      <c r="O375" t="str">
        <f>Deals_Raw!O375</f>
        <v>New Business</v>
      </c>
      <c r="P375">
        <f>Deals_Raw!P375</f>
        <v>0</v>
      </c>
      <c r="Q375">
        <f>Deals_Raw!Q375</f>
        <v>3</v>
      </c>
      <c r="R375">
        <f>Deals_Raw!R375</f>
        <v>165</v>
      </c>
      <c r="S375" t="str">
        <f>Deals_Raw!S375</f>
        <v>L. Williams</v>
      </c>
      <c r="T375" s="6">
        <f>Deals_Raw!T375</f>
        <v>100240.90247002219</v>
      </c>
      <c r="U375" s="8">
        <f>Deals_Raw!V375</f>
        <v>0.11600000000000001</v>
      </c>
      <c r="V375" s="8">
        <f>Deals_Raw!W375</f>
        <v>7.8E-2</v>
      </c>
      <c r="W375" s="8">
        <f>Deals_Raw!X375</f>
        <v>5.8999999999999997E-2</v>
      </c>
      <c r="X375" t="str">
        <f>Deals_Raw!Y375</f>
        <v>Verified competitor pressure</v>
      </c>
      <c r="Y375" t="str">
        <f>Deals_Raw!Z375</f>
        <v>Sales Manager</v>
      </c>
      <c r="Z375" s="6">
        <f>Deals_Raw!AA375</f>
        <v>92439.681344045268</v>
      </c>
      <c r="AA375" s="6">
        <f>Deals_Raw!AC375</f>
        <v>34879.941827750241</v>
      </c>
      <c r="AB375" s="6">
        <f>Deals_Raw!AD375</f>
        <v>57559.739516295027</v>
      </c>
      <c r="AC375" s="8">
        <f>Deals_Raw!AE375</f>
        <v>0.62267349561783059</v>
      </c>
      <c r="AD375" t="str">
        <f>Deals_Raw!AF375</f>
        <v>Won</v>
      </c>
      <c r="AE375">
        <f>Deals_Raw!AG375</f>
        <v>0</v>
      </c>
      <c r="AF375">
        <f>Deals_Raw!AH375</f>
        <v>0</v>
      </c>
      <c r="AG375" t="str">
        <f>Deals_Raw!AI375</f>
        <v>No</v>
      </c>
      <c r="AH375" s="6">
        <f>Deals_Raw!AJ375</f>
        <v>92439.681344045268</v>
      </c>
      <c r="AI375" s="6">
        <f>Deals_Raw!AK375</f>
        <v>57559.739516295027</v>
      </c>
      <c r="AJ375" t="str">
        <f>Deals_Raw!AL375</f>
        <v>First purchase under this contract</v>
      </c>
      <c r="AK375" s="9">
        <f t="shared" si="35"/>
        <v>1.0166666666666666</v>
      </c>
      <c r="AL375" s="8">
        <f t="shared" si="36"/>
        <v>0.92217527043603842</v>
      </c>
      <c r="AM375" s="8">
        <f t="shared" si="37"/>
        <v>3.8000000000000006E-2</v>
      </c>
      <c r="AN375" t="str">
        <f>IF(AC375&lt;Pricing_Policy!$C$10,"Below Floor","Pass")</f>
        <v>Pass</v>
      </c>
      <c r="AO375" t="str">
        <f>IF(V375&gt;Pricing_Policy!$C$7,"Exception","Standard")</f>
        <v>Standard</v>
      </c>
      <c r="AP375" t="str">
        <f t="shared" si="38"/>
        <v>Pass</v>
      </c>
      <c r="AQ375">
        <f t="shared" si="39"/>
        <v>1</v>
      </c>
      <c r="AR375" s="8">
        <f t="shared" si="40"/>
        <v>0.62267349561783059</v>
      </c>
      <c r="AS375">
        <f t="shared" si="41"/>
        <v>1</v>
      </c>
    </row>
    <row r="376" spans="1:45">
      <c r="A376" t="str">
        <f>Deals_Raw!A376</f>
        <v>D00426</v>
      </c>
      <c r="B376">
        <f>Deals_Raw!B376</f>
        <v>45794</v>
      </c>
      <c r="C376" t="str">
        <f>Deals_Raw!C376</f>
        <v>C0105</v>
      </c>
      <c r="D376" t="str">
        <f>Deals_Raw!D376</f>
        <v>PUB-0105</v>
      </c>
      <c r="E376" t="str">
        <f>Deals_Raw!E376</f>
        <v>CT00224</v>
      </c>
      <c r="F376" t="str">
        <f>Deals_Raw!F376</f>
        <v>Corporate</v>
      </c>
      <c r="G376" t="str">
        <f>Deals_Raw!G376</f>
        <v>Public Sector</v>
      </c>
      <c r="H376" t="str">
        <f>Deals_Raw!H376</f>
        <v>Midwest</v>
      </c>
      <c r="I376" t="str">
        <f>Deals_Raw!I376</f>
        <v>Midwest Commercial</v>
      </c>
      <c r="J376" t="str">
        <f>Deals_Raw!J376</f>
        <v>Mid-Market</v>
      </c>
      <c r="K376" t="str">
        <f>Deals_Raw!K376</f>
        <v>No</v>
      </c>
      <c r="L376">
        <f>Deals_Raw!L376</f>
        <v>45200</v>
      </c>
      <c r="M376">
        <f>Deals_Raw!M376</f>
        <v>79</v>
      </c>
      <c r="N376" t="str">
        <f>Deals_Raw!N376</f>
        <v>Nexus Enterprise Suite</v>
      </c>
      <c r="O376" t="str">
        <f>Deals_Raw!O376</f>
        <v>New Business</v>
      </c>
      <c r="P376">
        <f>Deals_Raw!P376</f>
        <v>0</v>
      </c>
      <c r="Q376">
        <f>Deals_Raw!Q376</f>
        <v>1</v>
      </c>
      <c r="R376">
        <f>Deals_Raw!R376</f>
        <v>98</v>
      </c>
      <c r="S376" t="str">
        <f>Deals_Raw!S376</f>
        <v>S. Rivera</v>
      </c>
      <c r="T376" s="6">
        <f>Deals_Raw!T376</f>
        <v>345448.11211503431</v>
      </c>
      <c r="U376" s="8">
        <f>Deals_Raw!V376</f>
        <v>0.22600000000000001</v>
      </c>
      <c r="V376" s="8">
        <f>Deals_Raw!W376</f>
        <v>0.19700000000000001</v>
      </c>
      <c r="W376" s="8">
        <f>Deals_Raw!X376</f>
        <v>-7.6999999999999999E-2</v>
      </c>
      <c r="X376" t="str">
        <f>Deals_Raw!Y376</f>
        <v>Volume purchase</v>
      </c>
      <c r="Y376" t="str">
        <f>Deals_Raw!Z376</f>
        <v>Pricing Analyst</v>
      </c>
      <c r="Z376" s="6">
        <f>Deals_Raw!AA376</f>
        <v>277274.57957356208</v>
      </c>
      <c r="AA376" s="6">
        <f>Deals_Raw!AC376</f>
        <v>131767.98011485612</v>
      </c>
      <c r="AB376" s="6">
        <f>Deals_Raw!AD376</f>
        <v>145506.59945870595</v>
      </c>
      <c r="AC376" s="8">
        <f>Deals_Raw!AE376</f>
        <v>0.52477439396893022</v>
      </c>
      <c r="AD376" t="str">
        <f>Deals_Raw!AF376</f>
        <v>Lost</v>
      </c>
      <c r="AE376">
        <f>Deals_Raw!AG376</f>
        <v>0</v>
      </c>
      <c r="AF376">
        <f>Deals_Raw!AH376</f>
        <v>0</v>
      </c>
      <c r="AG376" t="str">
        <f>Deals_Raw!AI376</f>
        <v>No</v>
      </c>
      <c r="AH376" s="6">
        <f>Deals_Raw!AJ376</f>
        <v>0</v>
      </c>
      <c r="AI376" s="6">
        <f>Deals_Raw!AK376</f>
        <v>0</v>
      </c>
      <c r="AJ376" t="str">
        <f>Deals_Raw!AL376</f>
        <v>First purchase under this contract</v>
      </c>
      <c r="AK376" s="9">
        <f t="shared" si="35"/>
        <v>1.6277777777777778</v>
      </c>
      <c r="AL376" s="8">
        <f t="shared" si="36"/>
        <v>0.80265188851641367</v>
      </c>
      <c r="AM376" s="8">
        <f t="shared" si="37"/>
        <v>2.8999999999999998E-2</v>
      </c>
      <c r="AN376" t="str">
        <f>IF(AC376&lt;Pricing_Policy!$C$10,"Below Floor","Pass")</f>
        <v>Pass</v>
      </c>
      <c r="AO376" t="str">
        <f>IF(V376&gt;Pricing_Policy!$C$7,"Exception","Standard")</f>
        <v>Standard</v>
      </c>
      <c r="AP376" t="str">
        <f t="shared" si="38"/>
        <v>Pass</v>
      </c>
      <c r="AQ376">
        <f t="shared" si="39"/>
        <v>0</v>
      </c>
      <c r="AR376" s="8">
        <f t="shared" si="40"/>
        <v>0</v>
      </c>
      <c r="AS376">
        <f t="shared" si="41"/>
        <v>1</v>
      </c>
    </row>
    <row r="377" spans="1:45">
      <c r="A377" t="str">
        <f>Deals_Raw!A377</f>
        <v>D00427</v>
      </c>
      <c r="B377">
        <f>Deals_Raw!B377</f>
        <v>45314</v>
      </c>
      <c r="C377" t="str">
        <f>Deals_Raw!C377</f>
        <v>C0105</v>
      </c>
      <c r="D377" t="str">
        <f>Deals_Raw!D377</f>
        <v>PUB-0105</v>
      </c>
      <c r="E377" t="str">
        <f>Deals_Raw!E377</f>
        <v>CT00225</v>
      </c>
      <c r="F377" t="str">
        <f>Deals_Raw!F377</f>
        <v>Operations</v>
      </c>
      <c r="G377" t="str">
        <f>Deals_Raw!G377</f>
        <v>Public Sector</v>
      </c>
      <c r="H377" t="str">
        <f>Deals_Raw!H377</f>
        <v>Midwest</v>
      </c>
      <c r="I377" t="str">
        <f>Deals_Raw!I377</f>
        <v>Midwest Commercial</v>
      </c>
      <c r="J377" t="str">
        <f>Deals_Raw!J377</f>
        <v>Mid-Market</v>
      </c>
      <c r="K377" t="str">
        <f>Deals_Raw!K377</f>
        <v>No</v>
      </c>
      <c r="L377">
        <f>Deals_Raw!L377</f>
        <v>45200</v>
      </c>
      <c r="M377">
        <f>Deals_Raw!M377</f>
        <v>79</v>
      </c>
      <c r="N377" t="str">
        <f>Deals_Raw!N377</f>
        <v>Nexus Analytics</v>
      </c>
      <c r="O377" t="str">
        <f>Deals_Raw!O377</f>
        <v>New Business</v>
      </c>
      <c r="P377">
        <f>Deals_Raw!P377</f>
        <v>0</v>
      </c>
      <c r="Q377">
        <f>Deals_Raw!Q377</f>
        <v>1</v>
      </c>
      <c r="R377">
        <f>Deals_Raw!R377</f>
        <v>71</v>
      </c>
      <c r="S377" t="str">
        <f>Deals_Raw!S377</f>
        <v>A. Patel</v>
      </c>
      <c r="T377" s="6">
        <f>Deals_Raw!T377</f>
        <v>130698.65710916805</v>
      </c>
      <c r="U377" s="8">
        <f>Deals_Raw!V377</f>
        <v>0.14000000000000001</v>
      </c>
      <c r="V377" s="8">
        <f>Deals_Raw!W377</f>
        <v>0.124</v>
      </c>
      <c r="W377" s="8">
        <f>Deals_Raw!X377</f>
        <v>7.0000000000000001E-3</v>
      </c>
      <c r="X377" t="str">
        <f>Deals_Raw!Y377</f>
        <v>Expansion opportunity</v>
      </c>
      <c r="Y377" t="str">
        <f>Deals_Raw!Z377</f>
        <v>Pricing Analyst</v>
      </c>
      <c r="Z377" s="6">
        <f>Deals_Raw!AA377</f>
        <v>114534.4997453237</v>
      </c>
      <c r="AA377" s="6">
        <f>Deals_Raw!AC377</f>
        <v>43355.141490430411</v>
      </c>
      <c r="AB377" s="6">
        <f>Deals_Raw!AD377</f>
        <v>71179.35825489329</v>
      </c>
      <c r="AC377" s="8">
        <f>Deals_Raw!AE377</f>
        <v>0.62146653116018391</v>
      </c>
      <c r="AD377" t="str">
        <f>Deals_Raw!AF377</f>
        <v>Lost</v>
      </c>
      <c r="AE377">
        <f>Deals_Raw!AG377</f>
        <v>0</v>
      </c>
      <c r="AF377">
        <f>Deals_Raw!AH377</f>
        <v>0</v>
      </c>
      <c r="AG377" t="str">
        <f>Deals_Raw!AI377</f>
        <v>No</v>
      </c>
      <c r="AH377" s="6">
        <f>Deals_Raw!AJ377</f>
        <v>0</v>
      </c>
      <c r="AI377" s="6">
        <f>Deals_Raw!AK377</f>
        <v>0</v>
      </c>
      <c r="AJ377" t="str">
        <f>Deals_Raw!AL377</f>
        <v>First purchase under this contract</v>
      </c>
      <c r="AK377" s="9">
        <f t="shared" si="35"/>
        <v>0.31111111111111112</v>
      </c>
      <c r="AL377" s="8">
        <f t="shared" si="36"/>
        <v>0.87632499276298614</v>
      </c>
      <c r="AM377" s="8">
        <f t="shared" si="37"/>
        <v>1.6000000000000014E-2</v>
      </c>
      <c r="AN377" t="str">
        <f>IF(AC377&lt;Pricing_Policy!$C$10,"Below Floor","Pass")</f>
        <v>Pass</v>
      </c>
      <c r="AO377" t="str">
        <f>IF(V377&gt;Pricing_Policy!$C$7,"Exception","Standard")</f>
        <v>Standard</v>
      </c>
      <c r="AP377" t="str">
        <f t="shared" si="38"/>
        <v>Pass</v>
      </c>
      <c r="AQ377">
        <f t="shared" si="39"/>
        <v>0</v>
      </c>
      <c r="AR377" s="8">
        <f t="shared" si="40"/>
        <v>0</v>
      </c>
      <c r="AS377">
        <f t="shared" si="41"/>
        <v>1</v>
      </c>
    </row>
    <row r="378" spans="1:45">
      <c r="A378" t="str">
        <f>Deals_Raw!A378</f>
        <v>D00428</v>
      </c>
      <c r="B378">
        <f>Deals_Raw!B378</f>
        <v>45452</v>
      </c>
      <c r="C378" t="str">
        <f>Deals_Raw!C378</f>
        <v>C0106</v>
      </c>
      <c r="D378" t="str">
        <f>Deals_Raw!D378</f>
        <v>TEC-0106</v>
      </c>
      <c r="E378" t="str">
        <f>Deals_Raw!E378</f>
        <v>CT00227</v>
      </c>
      <c r="F378" t="str">
        <f>Deals_Raw!F378</f>
        <v>Corporate</v>
      </c>
      <c r="G378" t="str">
        <f>Deals_Raw!G378</f>
        <v>Technology</v>
      </c>
      <c r="H378" t="str">
        <f>Deals_Raw!H378</f>
        <v>Northeast</v>
      </c>
      <c r="I378" t="str">
        <f>Deals_Raw!I378</f>
        <v>Northeast Commercial</v>
      </c>
      <c r="J378" t="str">
        <f>Deals_Raw!J378</f>
        <v>SMB</v>
      </c>
      <c r="K378" t="str">
        <f>Deals_Raw!K378</f>
        <v>No</v>
      </c>
      <c r="L378">
        <f>Deals_Raw!L378</f>
        <v>43862</v>
      </c>
      <c r="M378">
        <f>Deals_Raw!M378</f>
        <v>65</v>
      </c>
      <c r="N378" t="str">
        <f>Deals_Raw!N378</f>
        <v>Nexus AI Assistant</v>
      </c>
      <c r="O378" t="str">
        <f>Deals_Raw!O378</f>
        <v>Renewal</v>
      </c>
      <c r="P378">
        <f>Deals_Raw!P378</f>
        <v>0</v>
      </c>
      <c r="Q378">
        <f>Deals_Raw!Q378</f>
        <v>2</v>
      </c>
      <c r="R378">
        <f>Deals_Raw!R378</f>
        <v>43</v>
      </c>
      <c r="S378" t="str">
        <f>Deals_Raw!S378</f>
        <v>D. Chen</v>
      </c>
      <c r="T378" s="6">
        <f>Deals_Raw!T378</f>
        <v>50252.061619396089</v>
      </c>
      <c r="U378" s="8">
        <f>Deals_Raw!V378</f>
        <v>7.4999999999999997E-2</v>
      </c>
      <c r="V378" s="8">
        <f>Deals_Raw!W378</f>
        <v>5.1999999999999998E-2</v>
      </c>
      <c r="W378" s="8">
        <f>Deals_Raw!X378</f>
        <v>-0.04</v>
      </c>
      <c r="X378" t="str">
        <f>Deals_Raw!Y378</f>
        <v>Renewal retention risk</v>
      </c>
      <c r="Y378" t="str">
        <f>Deals_Raw!Z378</f>
        <v>Sales Manager</v>
      </c>
      <c r="Z378" s="6">
        <f>Deals_Raw!AA378</f>
        <v>47614.992502063651</v>
      </c>
      <c r="AA378" s="6">
        <f>Deals_Raw!AC378</f>
        <v>18116.087182640982</v>
      </c>
      <c r="AB378" s="6">
        <f>Deals_Raw!AD378</f>
        <v>29498.905319422669</v>
      </c>
      <c r="AC378" s="8">
        <f>Deals_Raw!AE378</f>
        <v>0.61952976928735581</v>
      </c>
      <c r="AD378" t="str">
        <f>Deals_Raw!AF378</f>
        <v>Won</v>
      </c>
      <c r="AE378" t="str">
        <f>Deals_Raw!AG378</f>
        <v>Yes</v>
      </c>
      <c r="AF378">
        <f>Deals_Raw!AH378</f>
        <v>0</v>
      </c>
      <c r="AG378" t="str">
        <f>Deals_Raw!AI378</f>
        <v>No</v>
      </c>
      <c r="AH378" s="6">
        <f>Deals_Raw!AJ378</f>
        <v>47614.992502063651</v>
      </c>
      <c r="AI378" s="6">
        <f>Deals_Raw!AK378</f>
        <v>29498.905319422669</v>
      </c>
      <c r="AJ378" t="str">
        <f>Deals_Raw!AL378</f>
        <v>Renewal of existing active contract</v>
      </c>
      <c r="AK378" s="9">
        <f t="shared" si="35"/>
        <v>4.3555555555555552</v>
      </c>
      <c r="AL378" s="8">
        <f t="shared" si="36"/>
        <v>0.94752316557069194</v>
      </c>
      <c r="AM378" s="8">
        <f t="shared" si="37"/>
        <v>2.3E-2</v>
      </c>
      <c r="AN378" t="str">
        <f>IF(AC378&lt;Pricing_Policy!$C$10,"Below Floor","Pass")</f>
        <v>Pass</v>
      </c>
      <c r="AO378" t="str">
        <f>IF(V378&gt;Pricing_Policy!$C$7,"Exception","Standard")</f>
        <v>Standard</v>
      </c>
      <c r="AP378" t="str">
        <f t="shared" si="38"/>
        <v>Pass</v>
      </c>
      <c r="AQ378">
        <f t="shared" si="39"/>
        <v>1</v>
      </c>
      <c r="AR378" s="8">
        <f t="shared" si="40"/>
        <v>0.61952976928735581</v>
      </c>
      <c r="AS378">
        <f t="shared" si="41"/>
        <v>1</v>
      </c>
    </row>
    <row r="379" spans="1:45">
      <c r="A379" t="str">
        <f>Deals_Raw!A379</f>
        <v>D00429</v>
      </c>
      <c r="B379">
        <f>Deals_Raw!B379</f>
        <v>45474</v>
      </c>
      <c r="C379" t="str">
        <f>Deals_Raw!C379</f>
        <v>C0107</v>
      </c>
      <c r="D379" t="str">
        <f>Deals_Raw!D379</f>
        <v>HEA-0107</v>
      </c>
      <c r="E379" t="str">
        <f>Deals_Raw!E379</f>
        <v>CT00228</v>
      </c>
      <c r="F379" t="str">
        <f>Deals_Raw!F379</f>
        <v>Finance</v>
      </c>
      <c r="G379" t="str">
        <f>Deals_Raw!G379</f>
        <v>Healthcare</v>
      </c>
      <c r="H379" t="str">
        <f>Deals_Raw!H379</f>
        <v>Northeast</v>
      </c>
      <c r="I379" t="str">
        <f>Deals_Raw!I379</f>
        <v>Northeast Commercial</v>
      </c>
      <c r="J379" t="str">
        <f>Deals_Raw!J379</f>
        <v>Mid-Market</v>
      </c>
      <c r="K379" t="str">
        <f>Deals_Raw!K379</f>
        <v>No</v>
      </c>
      <c r="L379">
        <f>Deals_Raw!L379</f>
        <v>44013</v>
      </c>
      <c r="M379">
        <f>Deals_Raw!M379</f>
        <v>76</v>
      </c>
      <c r="N379" t="str">
        <f>Deals_Raw!N379</f>
        <v>Nexus AI Assistant</v>
      </c>
      <c r="O379" t="str">
        <f>Deals_Raw!O379</f>
        <v>Renewal</v>
      </c>
      <c r="P379">
        <f>Deals_Raw!P379</f>
        <v>0</v>
      </c>
      <c r="Q379">
        <f>Deals_Raw!Q379</f>
        <v>2</v>
      </c>
      <c r="R379">
        <f>Deals_Raw!R379</f>
        <v>90</v>
      </c>
      <c r="S379" t="str">
        <f>Deals_Raw!S379</f>
        <v>M. Johnson</v>
      </c>
      <c r="T379" s="6">
        <f>Deals_Raw!T379</f>
        <v>105024.72301753776</v>
      </c>
      <c r="U379" s="8">
        <f>Deals_Raw!V379</f>
        <v>0.24299999999999999</v>
      </c>
      <c r="V379" s="8">
        <f>Deals_Raw!W379</f>
        <v>0.24</v>
      </c>
      <c r="W379" s="8">
        <f>Deals_Raw!X379</f>
        <v>-1.7999999999999999E-2</v>
      </c>
      <c r="X379" t="str">
        <f>Deals_Raw!Y379</f>
        <v>Renewal retention risk</v>
      </c>
      <c r="Y379" t="str">
        <f>Deals_Raw!Z379</f>
        <v>Business Manager</v>
      </c>
      <c r="Z379" s="6">
        <f>Deals_Raw!AA379</f>
        <v>79787.444375253894</v>
      </c>
      <c r="AA379" s="6">
        <f>Deals_Raw!AC379</f>
        <v>37848.344554604533</v>
      </c>
      <c r="AB379" s="6">
        <f>Deals_Raw!AD379</f>
        <v>41939.09982064936</v>
      </c>
      <c r="AC379" s="8">
        <f>Deals_Raw!AE379</f>
        <v>0.52563533208812474</v>
      </c>
      <c r="AD379" t="str">
        <f>Deals_Raw!AF379</f>
        <v>Won</v>
      </c>
      <c r="AE379" t="str">
        <f>Deals_Raw!AG379</f>
        <v>Yes</v>
      </c>
      <c r="AF379">
        <f>Deals_Raw!AH379</f>
        <v>0</v>
      </c>
      <c r="AG379" t="str">
        <f>Deals_Raw!AI379</f>
        <v>No</v>
      </c>
      <c r="AH379" s="6">
        <f>Deals_Raw!AJ379</f>
        <v>79787.444375253894</v>
      </c>
      <c r="AI379" s="6">
        <f>Deals_Raw!AK379</f>
        <v>41939.09982064936</v>
      </c>
      <c r="AJ379" t="str">
        <f>Deals_Raw!AL379</f>
        <v>Renewal of existing active contract</v>
      </c>
      <c r="AK379" s="9">
        <f t="shared" si="35"/>
        <v>4</v>
      </c>
      <c r="AL379" s="8">
        <f t="shared" si="36"/>
        <v>0.7597015453392858</v>
      </c>
      <c r="AM379" s="8">
        <f t="shared" si="37"/>
        <v>3.0000000000000027E-3</v>
      </c>
      <c r="AN379" t="str">
        <f>IF(AC379&lt;Pricing_Policy!$C$10,"Below Floor","Pass")</f>
        <v>Pass</v>
      </c>
      <c r="AO379" t="str">
        <f>IF(V379&gt;Pricing_Policy!$C$7,"Exception","Standard")</f>
        <v>Standard</v>
      </c>
      <c r="AP379" t="str">
        <f t="shared" si="38"/>
        <v>Pass</v>
      </c>
      <c r="AQ379">
        <f t="shared" si="39"/>
        <v>1</v>
      </c>
      <c r="AR379" s="8">
        <f t="shared" si="40"/>
        <v>0.52563533208812474</v>
      </c>
      <c r="AS379">
        <f t="shared" si="41"/>
        <v>1</v>
      </c>
    </row>
    <row r="380" spans="1:45">
      <c r="A380" t="str">
        <f>Deals_Raw!A380</f>
        <v>D00431</v>
      </c>
      <c r="B380">
        <f>Deals_Raw!B380</f>
        <v>45476</v>
      </c>
      <c r="C380" t="str">
        <f>Deals_Raw!C380</f>
        <v>C0108</v>
      </c>
      <c r="D380" t="str">
        <f>Deals_Raw!D380</f>
        <v>FIN-0108</v>
      </c>
      <c r="E380" t="str">
        <f>Deals_Raw!E380</f>
        <v>CT00229</v>
      </c>
      <c r="F380" t="str">
        <f>Deals_Raw!F380</f>
        <v>Operations</v>
      </c>
      <c r="G380" t="str">
        <f>Deals_Raw!G380</f>
        <v>Financial Services</v>
      </c>
      <c r="H380" t="str">
        <f>Deals_Raw!H380</f>
        <v>West</v>
      </c>
      <c r="I380" t="str">
        <f>Deals_Raw!I380</f>
        <v>West Enterprise</v>
      </c>
      <c r="J380" t="str">
        <f>Deals_Raw!J380</f>
        <v>Enterprise</v>
      </c>
      <c r="K380" t="str">
        <f>Deals_Raw!K380</f>
        <v>No</v>
      </c>
      <c r="L380">
        <f>Deals_Raw!L380</f>
        <v>44593</v>
      </c>
      <c r="M380">
        <f>Deals_Raw!M380</f>
        <v>37</v>
      </c>
      <c r="N380" t="str">
        <f>Deals_Raw!N380</f>
        <v>Nexus Analytics</v>
      </c>
      <c r="O380" t="str">
        <f>Deals_Raw!O380</f>
        <v>Renewal</v>
      </c>
      <c r="P380">
        <f>Deals_Raw!P380</f>
        <v>0</v>
      </c>
      <c r="Q380">
        <f>Deals_Raw!Q380</f>
        <v>1</v>
      </c>
      <c r="R380">
        <f>Deals_Raw!R380</f>
        <v>349</v>
      </c>
      <c r="S380" t="str">
        <f>Deals_Raw!S380</f>
        <v>T. Brooks</v>
      </c>
      <c r="T380" s="6">
        <f>Deals_Raw!T380</f>
        <v>244875.48423202647</v>
      </c>
      <c r="U380" s="8">
        <f>Deals_Raw!V380</f>
        <v>0.106</v>
      </c>
      <c r="V380" s="8">
        <f>Deals_Raw!W380</f>
        <v>0.10100000000000001</v>
      </c>
      <c r="W380" s="8">
        <f>Deals_Raw!X380</f>
        <v>-0.06</v>
      </c>
      <c r="X380" t="str">
        <f>Deals_Raw!Y380</f>
        <v>Renewal retention risk</v>
      </c>
      <c r="Y380" t="str">
        <f>Deals_Raw!Z380</f>
        <v>Pricing Analyst</v>
      </c>
      <c r="Z380" s="6">
        <f>Deals_Raw!AA380</f>
        <v>220192.56125603881</v>
      </c>
      <c r="AA380" s="6">
        <f>Deals_Raw!AC380</f>
        <v>75387.959811609428</v>
      </c>
      <c r="AB380" s="6">
        <f>Deals_Raw!AD380</f>
        <v>144804.60144442937</v>
      </c>
      <c r="AC380" s="8">
        <f>Deals_Raw!AE380</f>
        <v>0.65762712699477299</v>
      </c>
      <c r="AD380" t="str">
        <f>Deals_Raw!AF380</f>
        <v>Won</v>
      </c>
      <c r="AE380" t="str">
        <f>Deals_Raw!AG380</f>
        <v>Yes</v>
      </c>
      <c r="AF380">
        <f>Deals_Raw!AH380</f>
        <v>0</v>
      </c>
      <c r="AG380" t="str">
        <f>Deals_Raw!AI380</f>
        <v>No</v>
      </c>
      <c r="AH380" s="6">
        <f>Deals_Raw!AJ380</f>
        <v>220192.56125603881</v>
      </c>
      <c r="AI380" s="6">
        <f>Deals_Raw!AK380</f>
        <v>144804.60144442937</v>
      </c>
      <c r="AJ380" t="str">
        <f>Deals_Raw!AL380</f>
        <v>Renewal of existing active contract</v>
      </c>
      <c r="AK380" s="9">
        <f t="shared" si="35"/>
        <v>2.4222222222222221</v>
      </c>
      <c r="AL380" s="8">
        <f t="shared" si="36"/>
        <v>0.89920214735502113</v>
      </c>
      <c r="AM380" s="8">
        <f t="shared" si="37"/>
        <v>4.9999999999999906E-3</v>
      </c>
      <c r="AN380" t="str">
        <f>IF(AC380&lt;Pricing_Policy!$C$10,"Below Floor","Pass")</f>
        <v>Pass</v>
      </c>
      <c r="AO380" t="str">
        <f>IF(V380&gt;Pricing_Policy!$C$7,"Exception","Standard")</f>
        <v>Standard</v>
      </c>
      <c r="AP380" t="str">
        <f t="shared" si="38"/>
        <v>Pass</v>
      </c>
      <c r="AQ380">
        <f t="shared" si="39"/>
        <v>1</v>
      </c>
      <c r="AR380" s="8">
        <f t="shared" si="40"/>
        <v>0.65762712699477299</v>
      </c>
      <c r="AS380">
        <f t="shared" si="41"/>
        <v>2</v>
      </c>
    </row>
    <row r="381" spans="1:45">
      <c r="A381" t="str">
        <f>Deals_Raw!A381</f>
        <v>D00432</v>
      </c>
      <c r="B381">
        <f>Deals_Raw!B381</f>
        <v>45841</v>
      </c>
      <c r="C381" t="str">
        <f>Deals_Raw!C381</f>
        <v>C0108</v>
      </c>
      <c r="D381" t="str">
        <f>Deals_Raw!D381</f>
        <v>FIN-0108</v>
      </c>
      <c r="E381" t="str">
        <f>Deals_Raw!E381</f>
        <v>CT00229</v>
      </c>
      <c r="F381" t="str">
        <f>Deals_Raw!F381</f>
        <v>Operations</v>
      </c>
      <c r="G381" t="str">
        <f>Deals_Raw!G381</f>
        <v>Financial Services</v>
      </c>
      <c r="H381" t="str">
        <f>Deals_Raw!H381</f>
        <v>West</v>
      </c>
      <c r="I381" t="str">
        <f>Deals_Raw!I381</f>
        <v>West Enterprise</v>
      </c>
      <c r="J381" t="str">
        <f>Deals_Raw!J381</f>
        <v>Enterprise</v>
      </c>
      <c r="K381" t="str">
        <f>Deals_Raw!K381</f>
        <v>No</v>
      </c>
      <c r="L381">
        <f>Deals_Raw!L381</f>
        <v>44593</v>
      </c>
      <c r="M381">
        <f>Deals_Raw!M381</f>
        <v>37</v>
      </c>
      <c r="N381" t="str">
        <f>Deals_Raw!N381</f>
        <v>Nexus Analytics</v>
      </c>
      <c r="O381" t="str">
        <f>Deals_Raw!O381</f>
        <v>Renewal</v>
      </c>
      <c r="P381">
        <f>Deals_Raw!P381</f>
        <v>0</v>
      </c>
      <c r="Q381">
        <f>Deals_Raw!Q381</f>
        <v>1</v>
      </c>
      <c r="R381">
        <f>Deals_Raw!R381</f>
        <v>349</v>
      </c>
      <c r="S381" t="str">
        <f>Deals_Raw!S381</f>
        <v>D. Chen</v>
      </c>
      <c r="T381" s="6">
        <f>Deals_Raw!T381</f>
        <v>256729.14748422545</v>
      </c>
      <c r="U381" s="8">
        <f>Deals_Raw!V381</f>
        <v>0.11799999999999999</v>
      </c>
      <c r="V381" s="8">
        <f>Deals_Raw!W381</f>
        <v>9.5000000000000001E-2</v>
      </c>
      <c r="W381" s="8">
        <f>Deals_Raw!X381</f>
        <v>-0.124</v>
      </c>
      <c r="X381" t="str">
        <f>Deals_Raw!Y381</f>
        <v>Renewal retention risk</v>
      </c>
      <c r="Y381" t="str">
        <f>Deals_Raw!Z381</f>
        <v>Sales Manager</v>
      </c>
      <c r="Z381" s="6">
        <f>Deals_Raw!AA381</f>
        <v>232284.15238575632</v>
      </c>
      <c r="AA381" s="6">
        <f>Deals_Raw!AC381</f>
        <v>85048.720292931437</v>
      </c>
      <c r="AB381" s="6">
        <f>Deals_Raw!AD381</f>
        <v>147235.43209282489</v>
      </c>
      <c r="AC381" s="8">
        <f>Deals_Raw!AE381</f>
        <v>0.63385913580668962</v>
      </c>
      <c r="AD381" t="str">
        <f>Deals_Raw!AF381</f>
        <v>Won</v>
      </c>
      <c r="AE381" t="str">
        <f>Deals_Raw!AG381</f>
        <v>Yes</v>
      </c>
      <c r="AF381">
        <f>Deals_Raw!AH381</f>
        <v>0</v>
      </c>
      <c r="AG381" t="str">
        <f>Deals_Raw!AI381</f>
        <v>No</v>
      </c>
      <c r="AH381" s="6">
        <f>Deals_Raw!AJ381</f>
        <v>232284.15238575632</v>
      </c>
      <c r="AI381" s="6">
        <f>Deals_Raw!AK381</f>
        <v>147235.43209282489</v>
      </c>
      <c r="AJ381" t="str">
        <f>Deals_Raw!AL381</f>
        <v>Renewal of existing active contract</v>
      </c>
      <c r="AK381" s="9">
        <f t="shared" si="35"/>
        <v>3.4222222222222221</v>
      </c>
      <c r="AL381" s="8">
        <f t="shared" si="36"/>
        <v>0.90478293821323441</v>
      </c>
      <c r="AM381" s="8">
        <f t="shared" si="37"/>
        <v>2.2999999999999993E-2</v>
      </c>
      <c r="AN381" t="str">
        <f>IF(AC381&lt;Pricing_Policy!$C$10,"Below Floor","Pass")</f>
        <v>Pass</v>
      </c>
      <c r="AO381" t="str">
        <f>IF(V381&gt;Pricing_Policy!$C$7,"Exception","Standard")</f>
        <v>Standard</v>
      </c>
      <c r="AP381" t="str">
        <f t="shared" si="38"/>
        <v>Pass</v>
      </c>
      <c r="AQ381">
        <f t="shared" si="39"/>
        <v>1</v>
      </c>
      <c r="AR381" s="8">
        <f t="shared" si="40"/>
        <v>0.63385913580668962</v>
      </c>
      <c r="AS381">
        <f t="shared" si="41"/>
        <v>2</v>
      </c>
    </row>
    <row r="382" spans="1:45">
      <c r="A382" t="str">
        <f>Deals_Raw!A382</f>
        <v>D00433</v>
      </c>
      <c r="B382">
        <f>Deals_Raw!B382</f>
        <v>45658</v>
      </c>
      <c r="C382" t="str">
        <f>Deals_Raw!C382</f>
        <v>C0108</v>
      </c>
      <c r="D382" t="str">
        <f>Deals_Raw!D382</f>
        <v>FIN-0108</v>
      </c>
      <c r="E382" t="str">
        <f>Deals_Raw!E382</f>
        <v>CT00230</v>
      </c>
      <c r="F382" t="str">
        <f>Deals_Raw!F382</f>
        <v>Operations</v>
      </c>
      <c r="G382" t="str">
        <f>Deals_Raw!G382</f>
        <v>Financial Services</v>
      </c>
      <c r="H382" t="str">
        <f>Deals_Raw!H382</f>
        <v>West</v>
      </c>
      <c r="I382" t="str">
        <f>Deals_Raw!I382</f>
        <v>West Enterprise</v>
      </c>
      <c r="J382" t="str">
        <f>Deals_Raw!J382</f>
        <v>Enterprise</v>
      </c>
      <c r="K382" t="str">
        <f>Deals_Raw!K382</f>
        <v>No</v>
      </c>
      <c r="L382">
        <f>Deals_Raw!L382</f>
        <v>44593</v>
      </c>
      <c r="M382">
        <f>Deals_Raw!M382</f>
        <v>37</v>
      </c>
      <c r="N382" t="str">
        <f>Deals_Raw!N382</f>
        <v>Nexus Enterprise Suite</v>
      </c>
      <c r="O382" t="str">
        <f>Deals_Raw!O382</f>
        <v>Renewal</v>
      </c>
      <c r="P382">
        <f>Deals_Raw!P382</f>
        <v>0</v>
      </c>
      <c r="Q382">
        <f>Deals_Raw!Q382</f>
        <v>2</v>
      </c>
      <c r="R382">
        <f>Deals_Raw!R382</f>
        <v>1000</v>
      </c>
      <c r="S382" t="str">
        <f>Deals_Raw!S382</f>
        <v>K. Nguyen</v>
      </c>
      <c r="T382" s="6">
        <f>Deals_Raw!T382</f>
        <v>1203311.3511712702</v>
      </c>
      <c r="U382" s="8">
        <f>Deals_Raw!V382</f>
        <v>0.14000000000000001</v>
      </c>
      <c r="V382" s="8">
        <f>Deals_Raw!W382</f>
        <v>0.105</v>
      </c>
      <c r="W382" s="8">
        <f>Deals_Raw!X382</f>
        <v>3.4000000000000002E-2</v>
      </c>
      <c r="X382" t="str">
        <f>Deals_Raw!Y382</f>
        <v>Renewal retention risk</v>
      </c>
      <c r="Y382" t="str">
        <f>Deals_Raw!Z382</f>
        <v>Pricing Analyst</v>
      </c>
      <c r="Z382" s="6">
        <f>Deals_Raw!AA382</f>
        <v>1077183.697232598</v>
      </c>
      <c r="AA382" s="6">
        <f>Deals_Raw!AC382</f>
        <v>424535.44344049267</v>
      </c>
      <c r="AB382" s="6">
        <f>Deals_Raw!AD382</f>
        <v>652648.25379210524</v>
      </c>
      <c r="AC382" s="8">
        <f>Deals_Raw!AE382</f>
        <v>0.60588389470508097</v>
      </c>
      <c r="AD382" t="str">
        <f>Deals_Raw!AF382</f>
        <v>Lost</v>
      </c>
      <c r="AE382" t="str">
        <f>Deals_Raw!AG382</f>
        <v>No</v>
      </c>
      <c r="AF382">
        <f>Deals_Raw!AH382</f>
        <v>0</v>
      </c>
      <c r="AG382" t="str">
        <f>Deals_Raw!AI382</f>
        <v>No</v>
      </c>
      <c r="AH382" s="6">
        <f>Deals_Raw!AJ382</f>
        <v>0</v>
      </c>
      <c r="AI382" s="6">
        <f>Deals_Raw!AK382</f>
        <v>0</v>
      </c>
      <c r="AJ382" t="str">
        <f>Deals_Raw!AL382</f>
        <v>Renewal of existing active contract</v>
      </c>
      <c r="AK382" s="9">
        <f t="shared" si="35"/>
        <v>2.9166666666666665</v>
      </c>
      <c r="AL382" s="8">
        <f t="shared" si="36"/>
        <v>0.89518286034956529</v>
      </c>
      <c r="AM382" s="8">
        <f t="shared" si="37"/>
        <v>3.5000000000000017E-2</v>
      </c>
      <c r="AN382" t="str">
        <f>IF(AC382&lt;Pricing_Policy!$C$10,"Below Floor","Pass")</f>
        <v>Pass</v>
      </c>
      <c r="AO382" t="str">
        <f>IF(V382&gt;Pricing_Policy!$C$7,"Exception","Standard")</f>
        <v>Standard</v>
      </c>
      <c r="AP382" t="str">
        <f t="shared" si="38"/>
        <v>Pass</v>
      </c>
      <c r="AQ382">
        <f t="shared" si="39"/>
        <v>0</v>
      </c>
      <c r="AR382" s="8">
        <f t="shared" si="40"/>
        <v>0</v>
      </c>
      <c r="AS382">
        <f t="shared" si="41"/>
        <v>2</v>
      </c>
    </row>
    <row r="383" spans="1:45">
      <c r="A383" t="str">
        <f>Deals_Raw!A383</f>
        <v>D00434</v>
      </c>
      <c r="B383">
        <f>Deals_Raw!B383</f>
        <v>45371</v>
      </c>
      <c r="C383" t="str">
        <f>Deals_Raw!C383</f>
        <v>C0108</v>
      </c>
      <c r="D383" t="str">
        <f>Deals_Raw!D383</f>
        <v>FIN-0108</v>
      </c>
      <c r="E383" t="str">
        <f>Deals_Raw!E383</f>
        <v>CT00231</v>
      </c>
      <c r="F383" t="str">
        <f>Deals_Raw!F383</f>
        <v>Sales</v>
      </c>
      <c r="G383" t="str">
        <f>Deals_Raw!G383</f>
        <v>Financial Services</v>
      </c>
      <c r="H383" t="str">
        <f>Deals_Raw!H383</f>
        <v>West</v>
      </c>
      <c r="I383" t="str">
        <f>Deals_Raw!I383</f>
        <v>West Enterprise</v>
      </c>
      <c r="J383" t="str">
        <f>Deals_Raw!J383</f>
        <v>Enterprise</v>
      </c>
      <c r="K383" t="str">
        <f>Deals_Raw!K383</f>
        <v>No</v>
      </c>
      <c r="L383">
        <f>Deals_Raw!L383</f>
        <v>44593</v>
      </c>
      <c r="M383">
        <f>Deals_Raw!M383</f>
        <v>37</v>
      </c>
      <c r="N383" t="str">
        <f>Deals_Raw!N383</f>
        <v>Nexus Enterprise Suite</v>
      </c>
      <c r="O383" t="str">
        <f>Deals_Raw!O383</f>
        <v>New Business</v>
      </c>
      <c r="P383">
        <f>Deals_Raw!P383</f>
        <v>0</v>
      </c>
      <c r="Q383">
        <f>Deals_Raw!Q383</f>
        <v>2</v>
      </c>
      <c r="R383">
        <f>Deals_Raw!R383</f>
        <v>722</v>
      </c>
      <c r="S383" t="str">
        <f>Deals_Raw!S383</f>
        <v>L. Williams</v>
      </c>
      <c r="T383" s="6">
        <f>Deals_Raw!T383</f>
        <v>415318.99520504411</v>
      </c>
      <c r="U383" s="8">
        <f>Deals_Raw!V383</f>
        <v>0.151</v>
      </c>
      <c r="V383" s="8">
        <f>Deals_Raw!W383</f>
        <v>0.13200000000000001</v>
      </c>
      <c r="W383" s="8">
        <f>Deals_Raw!X383</f>
        <v>-1.9E-2</v>
      </c>
      <c r="X383" t="str">
        <f>Deals_Raw!Y383</f>
        <v>Budget constraint</v>
      </c>
      <c r="Y383" t="str">
        <f>Deals_Raw!Z383</f>
        <v>Pricing Analyst</v>
      </c>
      <c r="Z383" s="6">
        <f>Deals_Raw!AA383</f>
        <v>360696.30385009566</v>
      </c>
      <c r="AA383" s="6">
        <f>Deals_Raw!AC383</f>
        <v>175146.90843540477</v>
      </c>
      <c r="AB383" s="6">
        <f>Deals_Raw!AD383</f>
        <v>185549.39541469089</v>
      </c>
      <c r="AC383" s="8">
        <f>Deals_Raw!AE383</f>
        <v>0.51442000772983987</v>
      </c>
      <c r="AD383" t="str">
        <f>Deals_Raw!AF383</f>
        <v>Won</v>
      </c>
      <c r="AE383">
        <f>Deals_Raw!AG383</f>
        <v>0</v>
      </c>
      <c r="AF383">
        <f>Deals_Raw!AH383</f>
        <v>0</v>
      </c>
      <c r="AG383" t="str">
        <f>Deals_Raw!AI383</f>
        <v>No</v>
      </c>
      <c r="AH383" s="6">
        <f>Deals_Raw!AJ383</f>
        <v>360696.30385009566</v>
      </c>
      <c r="AI383" s="6">
        <f>Deals_Raw!AK383</f>
        <v>185549.39541469089</v>
      </c>
      <c r="AJ383" t="str">
        <f>Deals_Raw!AL383</f>
        <v>First purchase under this contract</v>
      </c>
      <c r="AK383" s="9">
        <f t="shared" si="35"/>
        <v>2.1361111111111111</v>
      </c>
      <c r="AL383" s="8">
        <f t="shared" si="36"/>
        <v>0.86848015143641322</v>
      </c>
      <c r="AM383" s="8">
        <f t="shared" si="37"/>
        <v>1.8999999999999989E-2</v>
      </c>
      <c r="AN383" t="str">
        <f>IF(AC383&lt;Pricing_Policy!$C$10,"Below Floor","Pass")</f>
        <v>Pass</v>
      </c>
      <c r="AO383" t="str">
        <f>IF(V383&gt;Pricing_Policy!$C$7,"Exception","Standard")</f>
        <v>Standard</v>
      </c>
      <c r="AP383" t="str">
        <f t="shared" si="38"/>
        <v>Pass</v>
      </c>
      <c r="AQ383">
        <f t="shared" si="39"/>
        <v>1</v>
      </c>
      <c r="AR383" s="8">
        <f t="shared" si="40"/>
        <v>0.51442000772983987</v>
      </c>
      <c r="AS383">
        <f t="shared" si="41"/>
        <v>2</v>
      </c>
    </row>
    <row r="384" spans="1:45">
      <c r="A384" t="str">
        <f>Deals_Raw!A384</f>
        <v>D00435</v>
      </c>
      <c r="B384">
        <f>Deals_Raw!B384</f>
        <v>45636</v>
      </c>
      <c r="C384" t="str">
        <f>Deals_Raw!C384</f>
        <v>C0109</v>
      </c>
      <c r="D384" t="str">
        <f>Deals_Raw!D384</f>
        <v>PUB-0109</v>
      </c>
      <c r="E384" t="str">
        <f>Deals_Raw!E384</f>
        <v>CT00232</v>
      </c>
      <c r="F384" t="str">
        <f>Deals_Raw!F384</f>
        <v>Technology</v>
      </c>
      <c r="G384" t="str">
        <f>Deals_Raw!G384</f>
        <v>Public Sector</v>
      </c>
      <c r="H384" t="str">
        <f>Deals_Raw!H384</f>
        <v>Northeast</v>
      </c>
      <c r="I384" t="str">
        <f>Deals_Raw!I384</f>
        <v>Northeast Commercial</v>
      </c>
      <c r="J384" t="str">
        <f>Deals_Raw!J384</f>
        <v>SMB</v>
      </c>
      <c r="K384" t="str">
        <f>Deals_Raw!K384</f>
        <v>No</v>
      </c>
      <c r="L384">
        <f>Deals_Raw!L384</f>
        <v>44774</v>
      </c>
      <c r="M384">
        <f>Deals_Raw!M384</f>
        <v>60</v>
      </c>
      <c r="N384" t="str">
        <f>Deals_Raw!N384</f>
        <v>Nexus Compliance</v>
      </c>
      <c r="O384" t="str">
        <f>Deals_Raw!O384</f>
        <v>Expansion</v>
      </c>
      <c r="P384" t="str">
        <f>Deals_Raw!P384</f>
        <v>AI Add-on</v>
      </c>
      <c r="Q384">
        <f>Deals_Raw!Q384</f>
        <v>2</v>
      </c>
      <c r="R384">
        <f>Deals_Raw!R384</f>
        <v>23</v>
      </c>
      <c r="S384" t="str">
        <f>Deals_Raw!S384</f>
        <v>R. Singh</v>
      </c>
      <c r="T384" s="6">
        <f>Deals_Raw!T384</f>
        <v>107697.10375908256</v>
      </c>
      <c r="U384" s="8">
        <f>Deals_Raw!V384</f>
        <v>0.216</v>
      </c>
      <c r="V384" s="8">
        <f>Deals_Raw!W384</f>
        <v>0.17100000000000001</v>
      </c>
      <c r="W384" s="8">
        <f>Deals_Raw!X384</f>
        <v>-2.5999999999999999E-2</v>
      </c>
      <c r="X384" t="str">
        <f>Deals_Raw!Y384</f>
        <v>Expansion opportunity</v>
      </c>
      <c r="Y384" t="str">
        <f>Deals_Raw!Z384</f>
        <v>Pricing Analyst</v>
      </c>
      <c r="Z384" s="6">
        <f>Deals_Raw!AA384</f>
        <v>89279.834510126995</v>
      </c>
      <c r="AA384" s="6">
        <f>Deals_Raw!AC384</f>
        <v>35628.157853950754</v>
      </c>
      <c r="AB384" s="6">
        <f>Deals_Raw!AD384</f>
        <v>53651.676656176242</v>
      </c>
      <c r="AC384" s="8">
        <f>Deals_Raw!AE384</f>
        <v>0.60093835243490001</v>
      </c>
      <c r="AD384" t="str">
        <f>Deals_Raw!AF384</f>
        <v>Won</v>
      </c>
      <c r="AE384">
        <f>Deals_Raw!AG384</f>
        <v>0</v>
      </c>
      <c r="AF384" t="str">
        <f>Deals_Raw!AH384</f>
        <v>Yes</v>
      </c>
      <c r="AG384" t="str">
        <f>Deals_Raw!AI384</f>
        <v>No</v>
      </c>
      <c r="AH384" s="6">
        <f>Deals_Raw!AJ384</f>
        <v>89279.834510126995</v>
      </c>
      <c r="AI384" s="6">
        <f>Deals_Raw!AK384</f>
        <v>53651.676656176242</v>
      </c>
      <c r="AJ384" t="str">
        <f>Deals_Raw!AL384</f>
        <v>Expansion allowed because contract was active</v>
      </c>
      <c r="AK384" s="9">
        <f t="shared" si="35"/>
        <v>2.3583333333333334</v>
      </c>
      <c r="AL384" s="8">
        <f t="shared" si="36"/>
        <v>0.82899011574020753</v>
      </c>
      <c r="AM384" s="8">
        <f t="shared" si="37"/>
        <v>4.4999999999999984E-2</v>
      </c>
      <c r="AN384" t="str">
        <f>IF(AC384&lt;Pricing_Policy!$C$10,"Below Floor","Pass")</f>
        <v>Pass</v>
      </c>
      <c r="AO384" t="str">
        <f>IF(V384&gt;Pricing_Policy!$C$7,"Exception","Standard")</f>
        <v>Standard</v>
      </c>
      <c r="AP384" t="str">
        <f t="shared" si="38"/>
        <v>Pass</v>
      </c>
      <c r="AQ384">
        <f t="shared" si="39"/>
        <v>1</v>
      </c>
      <c r="AR384" s="8">
        <f t="shared" si="40"/>
        <v>0.60093835243490001</v>
      </c>
      <c r="AS384">
        <f t="shared" si="41"/>
        <v>4</v>
      </c>
    </row>
    <row r="385" spans="1:45">
      <c r="A385" t="str">
        <f>Deals_Raw!A385</f>
        <v>D00436</v>
      </c>
      <c r="B385">
        <f>Deals_Raw!B385</f>
        <v>45786</v>
      </c>
      <c r="C385" t="str">
        <f>Deals_Raw!C385</f>
        <v>C0109</v>
      </c>
      <c r="D385" t="str">
        <f>Deals_Raw!D385</f>
        <v>PUB-0109</v>
      </c>
      <c r="E385" t="str">
        <f>Deals_Raw!E385</f>
        <v>CT00232</v>
      </c>
      <c r="F385" t="str">
        <f>Deals_Raw!F385</f>
        <v>Technology</v>
      </c>
      <c r="G385" t="str">
        <f>Deals_Raw!G385</f>
        <v>Public Sector</v>
      </c>
      <c r="H385" t="str">
        <f>Deals_Raw!H385</f>
        <v>Northeast</v>
      </c>
      <c r="I385" t="str">
        <f>Deals_Raw!I385</f>
        <v>Northeast Commercial</v>
      </c>
      <c r="J385" t="str">
        <f>Deals_Raw!J385</f>
        <v>SMB</v>
      </c>
      <c r="K385" t="str">
        <f>Deals_Raw!K385</f>
        <v>No</v>
      </c>
      <c r="L385">
        <f>Deals_Raw!L385</f>
        <v>44774</v>
      </c>
      <c r="M385">
        <f>Deals_Raw!M385</f>
        <v>60</v>
      </c>
      <c r="N385" t="str">
        <f>Deals_Raw!N385</f>
        <v>Nexus Compliance</v>
      </c>
      <c r="O385" t="str">
        <f>Deals_Raw!O385</f>
        <v>Renewal</v>
      </c>
      <c r="P385">
        <f>Deals_Raw!P385</f>
        <v>0</v>
      </c>
      <c r="Q385">
        <f>Deals_Raw!Q385</f>
        <v>2</v>
      </c>
      <c r="R385">
        <f>Deals_Raw!R385</f>
        <v>23</v>
      </c>
      <c r="S385" t="str">
        <f>Deals_Raw!S385</f>
        <v>R. Singh</v>
      </c>
      <c r="T385" s="6">
        <f>Deals_Raw!T385</f>
        <v>110732.10160891898</v>
      </c>
      <c r="U385" s="8">
        <f>Deals_Raw!V385</f>
        <v>0.13500000000000001</v>
      </c>
      <c r="V385" s="8">
        <f>Deals_Raw!W385</f>
        <v>0.13</v>
      </c>
      <c r="W385" s="8">
        <f>Deals_Raw!X385</f>
        <v>-0.14099999999999999</v>
      </c>
      <c r="X385" t="str">
        <f>Deals_Raw!Y385</f>
        <v>Renewal retention risk</v>
      </c>
      <c r="Y385" t="str">
        <f>Deals_Raw!Z385</f>
        <v>Pricing Analyst</v>
      </c>
      <c r="Z385" s="6">
        <f>Deals_Raw!AA385</f>
        <v>96390.802948182536</v>
      </c>
      <c r="AA385" s="6">
        <f>Deals_Raw!AC385</f>
        <v>39699.354875423553</v>
      </c>
      <c r="AB385" s="6">
        <f>Deals_Raw!AD385</f>
        <v>56691.448072758983</v>
      </c>
      <c r="AC385" s="8">
        <f>Deals_Raw!AE385</f>
        <v>0.58814167263691119</v>
      </c>
      <c r="AD385" t="str">
        <f>Deals_Raw!AF385</f>
        <v>Lost</v>
      </c>
      <c r="AE385" t="str">
        <f>Deals_Raw!AG385</f>
        <v>No</v>
      </c>
      <c r="AF385">
        <f>Deals_Raw!AH385</f>
        <v>0</v>
      </c>
      <c r="AG385" t="str">
        <f>Deals_Raw!AI385</f>
        <v>No</v>
      </c>
      <c r="AH385" s="6">
        <f>Deals_Raw!AJ385</f>
        <v>0</v>
      </c>
      <c r="AI385" s="6">
        <f>Deals_Raw!AK385</f>
        <v>0</v>
      </c>
      <c r="AJ385" t="str">
        <f>Deals_Raw!AL385</f>
        <v>Renewal of existing active contract</v>
      </c>
      <c r="AK385" s="9">
        <f t="shared" si="35"/>
        <v>2.7722222222222221</v>
      </c>
      <c r="AL385" s="8">
        <f t="shared" si="36"/>
        <v>0.87048653053306346</v>
      </c>
      <c r="AM385" s="8">
        <f t="shared" si="37"/>
        <v>5.0000000000000044E-3</v>
      </c>
      <c r="AN385" t="str">
        <f>IF(AC385&lt;Pricing_Policy!$C$10,"Below Floor","Pass")</f>
        <v>Pass</v>
      </c>
      <c r="AO385" t="str">
        <f>IF(V385&gt;Pricing_Policy!$C$7,"Exception","Standard")</f>
        <v>Standard</v>
      </c>
      <c r="AP385" t="str">
        <f t="shared" si="38"/>
        <v>Pass</v>
      </c>
      <c r="AQ385">
        <f t="shared" si="39"/>
        <v>0</v>
      </c>
      <c r="AR385" s="8">
        <f t="shared" si="40"/>
        <v>0</v>
      </c>
      <c r="AS385">
        <f t="shared" si="41"/>
        <v>4</v>
      </c>
    </row>
    <row r="386" spans="1:45">
      <c r="A386" t="str">
        <f>Deals_Raw!A386</f>
        <v>D00437</v>
      </c>
      <c r="B386">
        <f>Deals_Raw!B386</f>
        <v>45646</v>
      </c>
      <c r="C386" t="str">
        <f>Deals_Raw!C386</f>
        <v>C0109</v>
      </c>
      <c r="D386" t="str">
        <f>Deals_Raw!D386</f>
        <v>PUB-0109</v>
      </c>
      <c r="E386" t="str">
        <f>Deals_Raw!E386</f>
        <v>CT00233</v>
      </c>
      <c r="F386" t="str">
        <f>Deals_Raw!F386</f>
        <v>Finance</v>
      </c>
      <c r="G386" t="str">
        <f>Deals_Raw!G386</f>
        <v>Public Sector</v>
      </c>
      <c r="H386" t="str">
        <f>Deals_Raw!H386</f>
        <v>Northeast</v>
      </c>
      <c r="I386" t="str">
        <f>Deals_Raw!I386</f>
        <v>Northeast Commercial</v>
      </c>
      <c r="J386" t="str">
        <f>Deals_Raw!J386</f>
        <v>SMB</v>
      </c>
      <c r="K386" t="str">
        <f>Deals_Raw!K386</f>
        <v>No</v>
      </c>
      <c r="L386">
        <f>Deals_Raw!L386</f>
        <v>44774</v>
      </c>
      <c r="M386">
        <f>Deals_Raw!M386</f>
        <v>60</v>
      </c>
      <c r="N386" t="str">
        <f>Deals_Raw!N386</f>
        <v>Nexus Compliance</v>
      </c>
      <c r="O386" t="str">
        <f>Deals_Raw!O386</f>
        <v>New Business</v>
      </c>
      <c r="P386">
        <f>Deals_Raw!P386</f>
        <v>0</v>
      </c>
      <c r="Q386">
        <f>Deals_Raw!Q386</f>
        <v>1</v>
      </c>
      <c r="R386">
        <f>Deals_Raw!R386</f>
        <v>23</v>
      </c>
      <c r="S386" t="str">
        <f>Deals_Raw!S386</f>
        <v>R. Singh</v>
      </c>
      <c r="T386" s="6">
        <f>Deals_Raw!T386</f>
        <v>74952.512903635987</v>
      </c>
      <c r="U386" s="8">
        <f>Deals_Raw!V386</f>
        <v>0</v>
      </c>
      <c r="V386" s="8">
        <f>Deals_Raw!W386</f>
        <v>0</v>
      </c>
      <c r="W386" s="8">
        <f>Deals_Raw!X386</f>
        <v>-2.3E-2</v>
      </c>
      <c r="X386" t="str">
        <f>Deals_Raw!Y386</f>
        <v>Strategic logo opportunity</v>
      </c>
      <c r="Y386" t="str">
        <f>Deals_Raw!Z386</f>
        <v>Sales Manager</v>
      </c>
      <c r="Z386" s="6">
        <f>Deals_Raw!AA386</f>
        <v>74952.512903635987</v>
      </c>
      <c r="AA386" s="6">
        <f>Deals_Raw!AC386</f>
        <v>28272.633101747226</v>
      </c>
      <c r="AB386" s="6">
        <f>Deals_Raw!AD386</f>
        <v>46679.879801888761</v>
      </c>
      <c r="AC386" s="8">
        <f>Deals_Raw!AE386</f>
        <v>0.62279272560085563</v>
      </c>
      <c r="AD386" t="str">
        <f>Deals_Raw!AF386</f>
        <v>Won</v>
      </c>
      <c r="AE386">
        <f>Deals_Raw!AG386</f>
        <v>0</v>
      </c>
      <c r="AF386">
        <f>Deals_Raw!AH386</f>
        <v>0</v>
      </c>
      <c r="AG386" t="str">
        <f>Deals_Raw!AI386</f>
        <v>No</v>
      </c>
      <c r="AH386" s="6">
        <f>Deals_Raw!AJ386</f>
        <v>74952.512903635987</v>
      </c>
      <c r="AI386" s="6">
        <f>Deals_Raw!AK386</f>
        <v>46679.879801888761</v>
      </c>
      <c r="AJ386" t="str">
        <f>Deals_Raw!AL386</f>
        <v>First purchase under this contract</v>
      </c>
      <c r="AK386" s="9">
        <f t="shared" si="35"/>
        <v>2.3861111111111111</v>
      </c>
      <c r="AL386" s="8">
        <f t="shared" si="36"/>
        <v>1</v>
      </c>
      <c r="AM386" s="8">
        <f t="shared" si="37"/>
        <v>0</v>
      </c>
      <c r="AN386" t="str">
        <f>IF(AC386&lt;Pricing_Policy!$C$10,"Below Floor","Pass")</f>
        <v>Pass</v>
      </c>
      <c r="AO386" t="str">
        <f>IF(V386&gt;Pricing_Policy!$C$7,"Exception","Standard")</f>
        <v>Standard</v>
      </c>
      <c r="AP386" t="str">
        <f t="shared" si="38"/>
        <v>Pass</v>
      </c>
      <c r="AQ386">
        <f t="shared" si="39"/>
        <v>1</v>
      </c>
      <c r="AR386" s="8">
        <f t="shared" si="40"/>
        <v>0.62279272560085563</v>
      </c>
      <c r="AS386">
        <f t="shared" si="41"/>
        <v>4</v>
      </c>
    </row>
    <row r="387" spans="1:45">
      <c r="A387" t="str">
        <f>Deals_Raw!A387</f>
        <v>D00438</v>
      </c>
      <c r="B387">
        <f>Deals_Raw!B387</f>
        <v>46011</v>
      </c>
      <c r="C387" t="str">
        <f>Deals_Raw!C387</f>
        <v>C0109</v>
      </c>
      <c r="D387" t="str">
        <f>Deals_Raw!D387</f>
        <v>PUB-0109</v>
      </c>
      <c r="E387" t="str">
        <f>Deals_Raw!E387</f>
        <v>CT00233</v>
      </c>
      <c r="F387" t="str">
        <f>Deals_Raw!F387</f>
        <v>Finance</v>
      </c>
      <c r="G387" t="str">
        <f>Deals_Raw!G387</f>
        <v>Public Sector</v>
      </c>
      <c r="H387" t="str">
        <f>Deals_Raw!H387</f>
        <v>Northeast</v>
      </c>
      <c r="I387" t="str">
        <f>Deals_Raw!I387</f>
        <v>Northeast Commercial</v>
      </c>
      <c r="J387" t="str">
        <f>Deals_Raw!J387</f>
        <v>SMB</v>
      </c>
      <c r="K387" t="str">
        <f>Deals_Raw!K387</f>
        <v>No</v>
      </c>
      <c r="L387">
        <f>Deals_Raw!L387</f>
        <v>44774</v>
      </c>
      <c r="M387">
        <f>Deals_Raw!M387</f>
        <v>60</v>
      </c>
      <c r="N387" t="str">
        <f>Deals_Raw!N387</f>
        <v>Nexus Compliance</v>
      </c>
      <c r="O387" t="str">
        <f>Deals_Raw!O387</f>
        <v>Renewal</v>
      </c>
      <c r="P387">
        <f>Deals_Raw!P387</f>
        <v>0</v>
      </c>
      <c r="Q387">
        <f>Deals_Raw!Q387</f>
        <v>1</v>
      </c>
      <c r="R387">
        <f>Deals_Raw!R387</f>
        <v>23</v>
      </c>
      <c r="S387" t="str">
        <f>Deals_Raw!S387</f>
        <v>A. Patel</v>
      </c>
      <c r="T387" s="6">
        <f>Deals_Raw!T387</f>
        <v>77230.309455693146</v>
      </c>
      <c r="U387" s="8">
        <f>Deals_Raw!V387</f>
        <v>0.192</v>
      </c>
      <c r="V387" s="8">
        <f>Deals_Raw!W387</f>
        <v>0.13700000000000001</v>
      </c>
      <c r="W387" s="8">
        <f>Deals_Raw!X387</f>
        <v>4.0000000000000001E-3</v>
      </c>
      <c r="X387" t="str">
        <f>Deals_Raw!Y387</f>
        <v>Renewal retention risk</v>
      </c>
      <c r="Y387" t="str">
        <f>Deals_Raw!Z387</f>
        <v>Pricing Analyst</v>
      </c>
      <c r="Z387" s="6">
        <f>Deals_Raw!AA387</f>
        <v>66633.499675955725</v>
      </c>
      <c r="AA387" s="6">
        <f>Deals_Raw!AC387</f>
        <v>26450.977831204924</v>
      </c>
      <c r="AB387" s="6">
        <f>Deals_Raw!AD387</f>
        <v>40182.521844750801</v>
      </c>
      <c r="AC387" s="8">
        <f>Deals_Raw!AE387</f>
        <v>0.60303784192878596</v>
      </c>
      <c r="AD387" t="str">
        <f>Deals_Raw!AF387</f>
        <v>Won</v>
      </c>
      <c r="AE387" t="str">
        <f>Deals_Raw!AG387</f>
        <v>Yes</v>
      </c>
      <c r="AF387">
        <f>Deals_Raw!AH387</f>
        <v>0</v>
      </c>
      <c r="AG387" t="str">
        <f>Deals_Raw!AI387</f>
        <v>No</v>
      </c>
      <c r="AH387" s="6">
        <f>Deals_Raw!AJ387</f>
        <v>66633.499675955725</v>
      </c>
      <c r="AI387" s="6">
        <f>Deals_Raw!AK387</f>
        <v>40182.521844750801</v>
      </c>
      <c r="AJ387" t="str">
        <f>Deals_Raw!AL387</f>
        <v>Renewal of existing active contract</v>
      </c>
      <c r="AK387" s="9">
        <f t="shared" si="35"/>
        <v>3.3861111111111111</v>
      </c>
      <c r="AL387" s="8">
        <f t="shared" si="36"/>
        <v>0.86278949476673028</v>
      </c>
      <c r="AM387" s="8">
        <f t="shared" si="37"/>
        <v>5.4999999999999993E-2</v>
      </c>
      <c r="AN387" t="str">
        <f>IF(AC387&lt;Pricing_Policy!$C$10,"Below Floor","Pass")</f>
        <v>Pass</v>
      </c>
      <c r="AO387" t="str">
        <f>IF(V387&gt;Pricing_Policy!$C$7,"Exception","Standard")</f>
        <v>Standard</v>
      </c>
      <c r="AP387" t="str">
        <f t="shared" si="38"/>
        <v>Pass</v>
      </c>
      <c r="AQ387">
        <f t="shared" si="39"/>
        <v>1</v>
      </c>
      <c r="AR387" s="8">
        <f t="shared" si="40"/>
        <v>0.60303784192878596</v>
      </c>
      <c r="AS387">
        <f t="shared" si="41"/>
        <v>4</v>
      </c>
    </row>
    <row r="388" spans="1:45">
      <c r="A388" t="str">
        <f>Deals_Raw!A388</f>
        <v>D00439</v>
      </c>
      <c r="B388">
        <f>Deals_Raw!B388</f>
        <v>45616</v>
      </c>
      <c r="C388" t="str">
        <f>Deals_Raw!C388</f>
        <v>C0109</v>
      </c>
      <c r="D388" t="str">
        <f>Deals_Raw!D388</f>
        <v>PUB-0109</v>
      </c>
      <c r="E388" t="str">
        <f>Deals_Raw!E388</f>
        <v>CT00234</v>
      </c>
      <c r="F388" t="str">
        <f>Deals_Raw!F388</f>
        <v>Operations</v>
      </c>
      <c r="G388" t="str">
        <f>Deals_Raw!G388</f>
        <v>Public Sector</v>
      </c>
      <c r="H388" t="str">
        <f>Deals_Raw!H388</f>
        <v>Northeast</v>
      </c>
      <c r="I388" t="str">
        <f>Deals_Raw!I388</f>
        <v>Northeast Commercial</v>
      </c>
      <c r="J388" t="str">
        <f>Deals_Raw!J388</f>
        <v>SMB</v>
      </c>
      <c r="K388" t="str">
        <f>Deals_Raw!K388</f>
        <v>No</v>
      </c>
      <c r="L388">
        <f>Deals_Raw!L388</f>
        <v>44774</v>
      </c>
      <c r="M388">
        <f>Deals_Raw!M388</f>
        <v>60</v>
      </c>
      <c r="N388" t="str">
        <f>Deals_Raw!N388</f>
        <v>Nexus Insights</v>
      </c>
      <c r="O388" t="str">
        <f>Deals_Raw!O388</f>
        <v>New Business</v>
      </c>
      <c r="P388">
        <f>Deals_Raw!P388</f>
        <v>0</v>
      </c>
      <c r="Q388">
        <f>Deals_Raw!Q388</f>
        <v>1</v>
      </c>
      <c r="R388">
        <f>Deals_Raw!R388</f>
        <v>10</v>
      </c>
      <c r="S388" t="str">
        <f>Deals_Raw!S388</f>
        <v>R. Singh</v>
      </c>
      <c r="T388" s="6">
        <f>Deals_Raw!T388</f>
        <v>30023.356852976252</v>
      </c>
      <c r="U388" s="8">
        <f>Deals_Raw!V388</f>
        <v>0.223</v>
      </c>
      <c r="V388" s="8">
        <f>Deals_Raw!W388</f>
        <v>0.221</v>
      </c>
      <c r="W388" s="8">
        <f>Deals_Raw!X388</f>
        <v>-6.2E-2</v>
      </c>
      <c r="X388" t="str">
        <f>Deals_Raw!Y388</f>
        <v>Volume purchase</v>
      </c>
      <c r="Y388" t="str">
        <f>Deals_Raw!Z388</f>
        <v>Business Manager</v>
      </c>
      <c r="Z388" s="6">
        <f>Deals_Raw!AA388</f>
        <v>23379.820731937361</v>
      </c>
      <c r="AA388" s="6">
        <f>Deals_Raw!AC388</f>
        <v>10055.102345442001</v>
      </c>
      <c r="AB388" s="6">
        <f>Deals_Raw!AD388</f>
        <v>13324.71838649536</v>
      </c>
      <c r="AC388" s="8">
        <f>Deals_Raw!AE388</f>
        <v>0.56992389031852131</v>
      </c>
      <c r="AD388" t="str">
        <f>Deals_Raw!AF388</f>
        <v>Won</v>
      </c>
      <c r="AE388">
        <f>Deals_Raw!AG388</f>
        <v>0</v>
      </c>
      <c r="AF388">
        <f>Deals_Raw!AH388</f>
        <v>0</v>
      </c>
      <c r="AG388" t="str">
        <f>Deals_Raw!AI388</f>
        <v>No</v>
      </c>
      <c r="AH388" s="6">
        <f>Deals_Raw!AJ388</f>
        <v>23379.820731937361</v>
      </c>
      <c r="AI388" s="6">
        <f>Deals_Raw!AK388</f>
        <v>13324.71838649536</v>
      </c>
      <c r="AJ388" t="str">
        <f>Deals_Raw!AL388</f>
        <v>First purchase under this contract</v>
      </c>
      <c r="AK388" s="9">
        <f t="shared" si="35"/>
        <v>2.3027777777777776</v>
      </c>
      <c r="AL388" s="8">
        <f t="shared" si="36"/>
        <v>0.77872107527575452</v>
      </c>
      <c r="AM388" s="8">
        <f t="shared" si="37"/>
        <v>2.0000000000000018E-3</v>
      </c>
      <c r="AN388" t="str">
        <f>IF(AC388&lt;Pricing_Policy!$C$10,"Below Floor","Pass")</f>
        <v>Pass</v>
      </c>
      <c r="AO388" t="str">
        <f>IF(V388&gt;Pricing_Policy!$C$7,"Exception","Standard")</f>
        <v>Standard</v>
      </c>
      <c r="AP388" t="str">
        <f t="shared" si="38"/>
        <v>Pass</v>
      </c>
      <c r="AQ388">
        <f t="shared" si="39"/>
        <v>1</v>
      </c>
      <c r="AR388" s="8">
        <f t="shared" si="40"/>
        <v>0.56992389031852131</v>
      </c>
      <c r="AS388">
        <f t="shared" si="41"/>
        <v>2</v>
      </c>
    </row>
    <row r="389" spans="1:45">
      <c r="A389" t="str">
        <f>Deals_Raw!A389</f>
        <v>D00440</v>
      </c>
      <c r="B389">
        <f>Deals_Raw!B389</f>
        <v>45981</v>
      </c>
      <c r="C389" t="str">
        <f>Deals_Raw!C389</f>
        <v>C0109</v>
      </c>
      <c r="D389" t="str">
        <f>Deals_Raw!D389</f>
        <v>PUB-0109</v>
      </c>
      <c r="E389" t="str">
        <f>Deals_Raw!E389</f>
        <v>CT00234</v>
      </c>
      <c r="F389" t="str">
        <f>Deals_Raw!F389</f>
        <v>Operations</v>
      </c>
      <c r="G389" t="str">
        <f>Deals_Raw!G389</f>
        <v>Public Sector</v>
      </c>
      <c r="H389" t="str">
        <f>Deals_Raw!H389</f>
        <v>Northeast</v>
      </c>
      <c r="I389" t="str">
        <f>Deals_Raw!I389</f>
        <v>Northeast Commercial</v>
      </c>
      <c r="J389" t="str">
        <f>Deals_Raw!J389</f>
        <v>SMB</v>
      </c>
      <c r="K389" t="str">
        <f>Deals_Raw!K389</f>
        <v>No</v>
      </c>
      <c r="L389">
        <f>Deals_Raw!L389</f>
        <v>44774</v>
      </c>
      <c r="M389">
        <f>Deals_Raw!M389</f>
        <v>60</v>
      </c>
      <c r="N389" t="str">
        <f>Deals_Raw!N389</f>
        <v>Nexus Insights</v>
      </c>
      <c r="O389" t="str">
        <f>Deals_Raw!O389</f>
        <v>Renewal</v>
      </c>
      <c r="P389">
        <f>Deals_Raw!P389</f>
        <v>0</v>
      </c>
      <c r="Q389">
        <f>Deals_Raw!Q389</f>
        <v>1</v>
      </c>
      <c r="R389">
        <f>Deals_Raw!R389</f>
        <v>10</v>
      </c>
      <c r="S389" t="str">
        <f>Deals_Raw!S389</f>
        <v>M. Johnson</v>
      </c>
      <c r="T389" s="6">
        <f>Deals_Raw!T389</f>
        <v>32244.280062466205</v>
      </c>
      <c r="U389" s="8">
        <f>Deals_Raw!V389</f>
        <v>0.219</v>
      </c>
      <c r="V389" s="8">
        <f>Deals_Raw!W389</f>
        <v>0.188</v>
      </c>
      <c r="W389" s="8">
        <f>Deals_Raw!X389</f>
        <v>-0.115</v>
      </c>
      <c r="X389" t="str">
        <f>Deals_Raw!Y389</f>
        <v>Renewal retention risk</v>
      </c>
      <c r="Y389" t="str">
        <f>Deals_Raw!Z389</f>
        <v>Pricing Analyst</v>
      </c>
      <c r="Z389" s="6">
        <f>Deals_Raw!AA389</f>
        <v>26166.656809871612</v>
      </c>
      <c r="AA389" s="6">
        <f>Deals_Raw!AC389</f>
        <v>9303.3970094502547</v>
      </c>
      <c r="AB389" s="6">
        <f>Deals_Raw!AD389</f>
        <v>16863.259800421358</v>
      </c>
      <c r="AC389" s="8">
        <f>Deals_Raw!AE389</f>
        <v>0.6444560313130846</v>
      </c>
      <c r="AD389" t="str">
        <f>Deals_Raw!AF389</f>
        <v>Won</v>
      </c>
      <c r="AE389" t="str">
        <f>Deals_Raw!AG389</f>
        <v>Yes</v>
      </c>
      <c r="AF389">
        <f>Deals_Raw!AH389</f>
        <v>0</v>
      </c>
      <c r="AG389" t="str">
        <f>Deals_Raw!AI389</f>
        <v>No</v>
      </c>
      <c r="AH389" s="6">
        <f>Deals_Raw!AJ389</f>
        <v>26166.656809871612</v>
      </c>
      <c r="AI389" s="6">
        <f>Deals_Raw!AK389</f>
        <v>16863.259800421358</v>
      </c>
      <c r="AJ389" t="str">
        <f>Deals_Raw!AL389</f>
        <v>Renewal of existing active contract</v>
      </c>
      <c r="AK389" s="9">
        <f t="shared" ref="AK389:AK452" si="42">YEARFRAC(L389,B389)</f>
        <v>3.3027777777777776</v>
      </c>
      <c r="AL389" s="8">
        <f t="shared" ref="AL389:AL452" si="43">IFERROR(Z389/T389,0)</f>
        <v>0.81151313532755165</v>
      </c>
      <c r="AM389" s="8">
        <f t="shared" ref="AM389:AM452" si="44">U389-V389</f>
        <v>3.1E-2</v>
      </c>
      <c r="AN389" t="str">
        <f>IF(AC389&lt;Pricing_Policy!$C$10,"Below Floor","Pass")</f>
        <v>Pass</v>
      </c>
      <c r="AO389" t="str">
        <f>IF(V389&gt;Pricing_Policy!$C$7,"Exception","Standard")</f>
        <v>Standard</v>
      </c>
      <c r="AP389" t="str">
        <f t="shared" ref="AP389:AP452" si="45">IF(OR(AND(V389&lt;=0.1,Y389&lt;&gt;"Sales Manager"),AND(V389&gt;0.1,V389&lt;=0.2,Y389&lt;&gt;"Pricing Analyst"),AND(V389&gt;0.2,V389&lt;=0.28,Y389&lt;&gt;"Business Manager"),AND(V389&gt;0.28,Y389&lt;&gt;"VP Pricing")),"Review","Pass")</f>
        <v>Pass</v>
      </c>
      <c r="AQ389">
        <f t="shared" ref="AQ389:AQ452" si="46">IF(AD389="Won",1,0)</f>
        <v>1</v>
      </c>
      <c r="AR389" s="8">
        <f t="shared" ref="AR389:AR452" si="47">IFERROR(AI389/AH389,0)</f>
        <v>0.6444560313130846</v>
      </c>
      <c r="AS389">
        <f t="shared" ref="AS389:AS452" si="48">COUNTIFS($C:$C,C389,$N:$N,N389)</f>
        <v>2</v>
      </c>
    </row>
    <row r="390" spans="1:45">
      <c r="A390" t="str">
        <f>Deals_Raw!A390</f>
        <v>D00441</v>
      </c>
      <c r="B390">
        <f>Deals_Raw!B390</f>
        <v>45426</v>
      </c>
      <c r="C390" t="str">
        <f>Deals_Raw!C390</f>
        <v>C0110</v>
      </c>
      <c r="D390" t="str">
        <f>Deals_Raw!D390</f>
        <v>HEA-0110</v>
      </c>
      <c r="E390" t="str">
        <f>Deals_Raw!E390</f>
        <v>CT00235</v>
      </c>
      <c r="F390" t="str">
        <f>Deals_Raw!F390</f>
        <v>Corporate</v>
      </c>
      <c r="G390" t="str">
        <f>Deals_Raw!G390</f>
        <v>Healthcare</v>
      </c>
      <c r="H390" t="str">
        <f>Deals_Raw!H390</f>
        <v>South</v>
      </c>
      <c r="I390" t="str">
        <f>Deals_Raw!I390</f>
        <v>South Enterprise</v>
      </c>
      <c r="J390" t="str">
        <f>Deals_Raw!J390</f>
        <v>Enterprise</v>
      </c>
      <c r="K390" t="str">
        <f>Deals_Raw!K390</f>
        <v>Yes</v>
      </c>
      <c r="L390">
        <f>Deals_Raw!L390</f>
        <v>43160</v>
      </c>
      <c r="M390">
        <f>Deals_Raw!M390</f>
        <v>62</v>
      </c>
      <c r="N390" t="str">
        <f>Deals_Raw!N390</f>
        <v>Nexus AI Assistant</v>
      </c>
      <c r="O390" t="str">
        <f>Deals_Raw!O390</f>
        <v>Renewal</v>
      </c>
      <c r="P390">
        <f>Deals_Raw!P390</f>
        <v>0</v>
      </c>
      <c r="Q390">
        <f>Deals_Raw!Q390</f>
        <v>3</v>
      </c>
      <c r="R390">
        <f>Deals_Raw!R390</f>
        <v>821</v>
      </c>
      <c r="S390" t="str">
        <f>Deals_Raw!S390</f>
        <v>S. Rivera</v>
      </c>
      <c r="T390" s="6">
        <f>Deals_Raw!T390</f>
        <v>295696.0830188198</v>
      </c>
      <c r="U390" s="8">
        <f>Deals_Raw!V390</f>
        <v>0.11</v>
      </c>
      <c r="V390" s="8">
        <f>Deals_Raw!W390</f>
        <v>6.2E-2</v>
      </c>
      <c r="W390" s="8">
        <f>Deals_Raw!X390</f>
        <v>-1.7999999999999999E-2</v>
      </c>
      <c r="X390" t="str">
        <f>Deals_Raw!Y390</f>
        <v>Renewal retention risk</v>
      </c>
      <c r="Y390" t="str">
        <f>Deals_Raw!Z390</f>
        <v>Sales Manager</v>
      </c>
      <c r="Z390" s="6">
        <f>Deals_Raw!AA390</f>
        <v>277472.42689774238</v>
      </c>
      <c r="AA390" s="6">
        <f>Deals_Raw!AC390</f>
        <v>115061.84068073331</v>
      </c>
      <c r="AB390" s="6">
        <f>Deals_Raw!AD390</f>
        <v>162410.58621700905</v>
      </c>
      <c r="AC390" s="8">
        <f>Deals_Raw!AE390</f>
        <v>0.58532153278373367</v>
      </c>
      <c r="AD390" t="str">
        <f>Deals_Raw!AF390</f>
        <v>Lost</v>
      </c>
      <c r="AE390" t="str">
        <f>Deals_Raw!AG390</f>
        <v>No</v>
      </c>
      <c r="AF390">
        <f>Deals_Raw!AH390</f>
        <v>0</v>
      </c>
      <c r="AG390" t="str">
        <f>Deals_Raw!AI390</f>
        <v>No</v>
      </c>
      <c r="AH390" s="6">
        <f>Deals_Raw!AJ390</f>
        <v>0</v>
      </c>
      <c r="AI390" s="6">
        <f>Deals_Raw!AK390</f>
        <v>0</v>
      </c>
      <c r="AJ390" t="str">
        <f>Deals_Raw!AL390</f>
        <v>Renewal of existing active contract</v>
      </c>
      <c r="AK390" s="9">
        <f t="shared" si="42"/>
        <v>6.2027777777777775</v>
      </c>
      <c r="AL390" s="8">
        <f t="shared" si="43"/>
        <v>0.93837031611975208</v>
      </c>
      <c r="AM390" s="8">
        <f t="shared" si="44"/>
        <v>4.8000000000000001E-2</v>
      </c>
      <c r="AN390" t="str">
        <f>IF(AC390&lt;Pricing_Policy!$C$10,"Below Floor","Pass")</f>
        <v>Pass</v>
      </c>
      <c r="AO390" t="str">
        <f>IF(V390&gt;Pricing_Policy!$C$7,"Exception","Standard")</f>
        <v>Standard</v>
      </c>
      <c r="AP390" t="str">
        <f t="shared" si="45"/>
        <v>Pass</v>
      </c>
      <c r="AQ390">
        <f t="shared" si="46"/>
        <v>0</v>
      </c>
      <c r="AR390" s="8">
        <f t="shared" si="47"/>
        <v>0</v>
      </c>
      <c r="AS390">
        <f t="shared" si="48"/>
        <v>2</v>
      </c>
    </row>
    <row r="391" spans="1:45">
      <c r="A391" t="str">
        <f>Deals_Raw!A391</f>
        <v>D00442</v>
      </c>
      <c r="B391">
        <f>Deals_Raw!B391</f>
        <v>45589</v>
      </c>
      <c r="C391" t="str">
        <f>Deals_Raw!C391</f>
        <v>C0110</v>
      </c>
      <c r="D391" t="str">
        <f>Deals_Raw!D391</f>
        <v>HEA-0110</v>
      </c>
      <c r="E391" t="str">
        <f>Deals_Raw!E391</f>
        <v>CT00235</v>
      </c>
      <c r="F391" t="str">
        <f>Deals_Raw!F391</f>
        <v>Corporate</v>
      </c>
      <c r="G391" t="str">
        <f>Deals_Raw!G391</f>
        <v>Healthcare</v>
      </c>
      <c r="H391" t="str">
        <f>Deals_Raw!H391</f>
        <v>South</v>
      </c>
      <c r="I391" t="str">
        <f>Deals_Raw!I391</f>
        <v>South Enterprise</v>
      </c>
      <c r="J391" t="str">
        <f>Deals_Raw!J391</f>
        <v>Enterprise</v>
      </c>
      <c r="K391" t="str">
        <f>Deals_Raw!K391</f>
        <v>Yes</v>
      </c>
      <c r="L391">
        <f>Deals_Raw!L391</f>
        <v>43160</v>
      </c>
      <c r="M391">
        <f>Deals_Raw!M391</f>
        <v>62</v>
      </c>
      <c r="N391" t="str">
        <f>Deals_Raw!N391</f>
        <v>Nexus AI Assistant</v>
      </c>
      <c r="O391" t="str">
        <f>Deals_Raw!O391</f>
        <v>Win-back</v>
      </c>
      <c r="P391">
        <f>Deals_Raw!P391</f>
        <v>0</v>
      </c>
      <c r="Q391">
        <f>Deals_Raw!Q391</f>
        <v>3</v>
      </c>
      <c r="R391">
        <f>Deals_Raw!R391</f>
        <v>821</v>
      </c>
      <c r="S391" t="str">
        <f>Deals_Raw!S391</f>
        <v>T. Brooks</v>
      </c>
      <c r="T391" s="6">
        <f>Deals_Raw!T391</f>
        <v>295696.0830188198</v>
      </c>
      <c r="U391" s="8">
        <f>Deals_Raw!V391</f>
        <v>0.248</v>
      </c>
      <c r="V391" s="8">
        <f>Deals_Raw!W391</f>
        <v>0.187</v>
      </c>
      <c r="W391" s="8">
        <f>Deals_Raw!X391</f>
        <v>-9.2999999999999999E-2</v>
      </c>
      <c r="X391" t="str">
        <f>Deals_Raw!Y391</f>
        <v>Renewal retention risk</v>
      </c>
      <c r="Y391" t="str">
        <f>Deals_Raw!Z391</f>
        <v>Pricing Analyst</v>
      </c>
      <c r="Z391" s="6">
        <f>Deals_Raw!AA391</f>
        <v>240429.20870650423</v>
      </c>
      <c r="AA391" s="6">
        <f>Deals_Raw!AC391</f>
        <v>110905.77396588652</v>
      </c>
      <c r="AB391" s="6">
        <f>Deals_Raw!AD391</f>
        <v>129523.43474061771</v>
      </c>
      <c r="AC391" s="8">
        <f>Deals_Raw!AE391</f>
        <v>0.5387175519873254</v>
      </c>
      <c r="AD391" t="str">
        <f>Deals_Raw!AF391</f>
        <v>Lost</v>
      </c>
      <c r="AE391">
        <f>Deals_Raw!AG391</f>
        <v>0</v>
      </c>
      <c r="AF391">
        <f>Deals_Raw!AH391</f>
        <v>0</v>
      </c>
      <c r="AG391" t="str">
        <f>Deals_Raw!AI391</f>
        <v>Yes</v>
      </c>
      <c r="AH391" s="6">
        <f>Deals_Raw!AJ391</f>
        <v>0</v>
      </c>
      <c r="AI391" s="6">
        <f>Deals_Raw!AK391</f>
        <v>0</v>
      </c>
      <c r="AJ391" t="str">
        <f>Deals_Raw!AL391</f>
        <v>Customer returned after lost renewal</v>
      </c>
      <c r="AK391" s="9">
        <f t="shared" si="42"/>
        <v>6.6472222222222221</v>
      </c>
      <c r="AL391" s="8">
        <f t="shared" si="43"/>
        <v>0.81309568341898508</v>
      </c>
      <c r="AM391" s="8">
        <f t="shared" si="44"/>
        <v>6.0999999999999999E-2</v>
      </c>
      <c r="AN391" t="str">
        <f>IF(AC391&lt;Pricing_Policy!$C$10,"Below Floor","Pass")</f>
        <v>Pass</v>
      </c>
      <c r="AO391" t="str">
        <f>IF(V391&gt;Pricing_Policy!$C$7,"Exception","Standard")</f>
        <v>Standard</v>
      </c>
      <c r="AP391" t="str">
        <f t="shared" si="45"/>
        <v>Pass</v>
      </c>
      <c r="AQ391">
        <f t="shared" si="46"/>
        <v>0</v>
      </c>
      <c r="AR391" s="8">
        <f t="shared" si="47"/>
        <v>0</v>
      </c>
      <c r="AS391">
        <f t="shared" si="48"/>
        <v>2</v>
      </c>
    </row>
    <row r="392" spans="1:45">
      <c r="A392" t="str">
        <f>Deals_Raw!A392</f>
        <v>D00444</v>
      </c>
      <c r="B392">
        <f>Deals_Raw!B392</f>
        <v>45450</v>
      </c>
      <c r="C392" t="str">
        <f>Deals_Raw!C392</f>
        <v>C0110</v>
      </c>
      <c r="D392" t="str">
        <f>Deals_Raw!D392</f>
        <v>HEA-0110</v>
      </c>
      <c r="E392" t="str">
        <f>Deals_Raw!E392</f>
        <v>CT00236</v>
      </c>
      <c r="F392" t="str">
        <f>Deals_Raw!F392</f>
        <v>Legal</v>
      </c>
      <c r="G392" t="str">
        <f>Deals_Raw!G392</f>
        <v>Healthcare</v>
      </c>
      <c r="H392" t="str">
        <f>Deals_Raw!H392</f>
        <v>South</v>
      </c>
      <c r="I392" t="str">
        <f>Deals_Raw!I392</f>
        <v>South Enterprise</v>
      </c>
      <c r="J392" t="str">
        <f>Deals_Raw!J392</f>
        <v>Enterprise</v>
      </c>
      <c r="K392" t="str">
        <f>Deals_Raw!K392</f>
        <v>Yes</v>
      </c>
      <c r="L392">
        <f>Deals_Raw!L392</f>
        <v>43160</v>
      </c>
      <c r="M392">
        <f>Deals_Raw!M392</f>
        <v>62</v>
      </c>
      <c r="N392" t="str">
        <f>Deals_Raw!N392</f>
        <v>Nexus Analytics</v>
      </c>
      <c r="O392" t="str">
        <f>Deals_Raw!O392</f>
        <v>Expansion</v>
      </c>
      <c r="P392" t="str">
        <f>Deals_Raw!P392</f>
        <v>Enterprise Upgrade</v>
      </c>
      <c r="Q392">
        <f>Deals_Raw!Q392</f>
        <v>1</v>
      </c>
      <c r="R392">
        <f>Deals_Raw!R392</f>
        <v>1780</v>
      </c>
      <c r="S392" t="str">
        <f>Deals_Raw!S392</f>
        <v>R. Singh</v>
      </c>
      <c r="T392" s="6">
        <f>Deals_Raw!T392</f>
        <v>269103.7786352103</v>
      </c>
      <c r="U392" s="8">
        <f>Deals_Raw!V392</f>
        <v>9.1999999999999998E-2</v>
      </c>
      <c r="V392" s="8">
        <f>Deals_Raw!W392</f>
        <v>6.7000000000000004E-2</v>
      </c>
      <c r="W392" s="8">
        <f>Deals_Raw!X392</f>
        <v>-3.1E-2</v>
      </c>
      <c r="X392" t="str">
        <f>Deals_Raw!Y392</f>
        <v>Expansion opportunity</v>
      </c>
      <c r="Y392" t="str">
        <f>Deals_Raw!Z392</f>
        <v>Sales Manager</v>
      </c>
      <c r="Z392" s="6">
        <f>Deals_Raw!AA392</f>
        <v>250986.11049734137</v>
      </c>
      <c r="AA392" s="6">
        <f>Deals_Raw!AC392</f>
        <v>93110.534852301338</v>
      </c>
      <c r="AB392" s="6">
        <f>Deals_Raw!AD392</f>
        <v>157875.57564504002</v>
      </c>
      <c r="AC392" s="8">
        <f>Deals_Raw!AE392</f>
        <v>0.62902116508440153</v>
      </c>
      <c r="AD392" t="str">
        <f>Deals_Raw!AF392</f>
        <v>Won</v>
      </c>
      <c r="AE392">
        <f>Deals_Raw!AG392</f>
        <v>0</v>
      </c>
      <c r="AF392" t="str">
        <f>Deals_Raw!AH392</f>
        <v>Yes</v>
      </c>
      <c r="AG392" t="str">
        <f>Deals_Raw!AI392</f>
        <v>No</v>
      </c>
      <c r="AH392" s="6">
        <f>Deals_Raw!AJ392</f>
        <v>250986.11049734137</v>
      </c>
      <c r="AI392" s="6">
        <f>Deals_Raw!AK392</f>
        <v>157875.57564504002</v>
      </c>
      <c r="AJ392" t="str">
        <f>Deals_Raw!AL392</f>
        <v>Expansion allowed because contract was active</v>
      </c>
      <c r="AK392" s="9">
        <f t="shared" si="42"/>
        <v>6.2666666666666666</v>
      </c>
      <c r="AL392" s="8">
        <f t="shared" si="43"/>
        <v>0.93267404779763896</v>
      </c>
      <c r="AM392" s="8">
        <f t="shared" si="44"/>
        <v>2.4999999999999994E-2</v>
      </c>
      <c r="AN392" t="str">
        <f>IF(AC392&lt;Pricing_Policy!$C$10,"Below Floor","Pass")</f>
        <v>Pass</v>
      </c>
      <c r="AO392" t="str">
        <f>IF(V392&gt;Pricing_Policy!$C$7,"Exception","Standard")</f>
        <v>Standard</v>
      </c>
      <c r="AP392" t="str">
        <f t="shared" si="45"/>
        <v>Pass</v>
      </c>
      <c r="AQ392">
        <f t="shared" si="46"/>
        <v>1</v>
      </c>
      <c r="AR392" s="8">
        <f t="shared" si="47"/>
        <v>0.62902116508440153</v>
      </c>
      <c r="AS392">
        <f t="shared" si="48"/>
        <v>3</v>
      </c>
    </row>
    <row r="393" spans="1:45">
      <c r="A393" t="str">
        <f>Deals_Raw!A393</f>
        <v>D00445</v>
      </c>
      <c r="B393">
        <f>Deals_Raw!B393</f>
        <v>45600</v>
      </c>
      <c r="C393" t="str">
        <f>Deals_Raw!C393</f>
        <v>C0110</v>
      </c>
      <c r="D393" t="str">
        <f>Deals_Raw!D393</f>
        <v>HEA-0110</v>
      </c>
      <c r="E393" t="str">
        <f>Deals_Raw!E393</f>
        <v>CT00236</v>
      </c>
      <c r="F393" t="str">
        <f>Deals_Raw!F393</f>
        <v>Legal</v>
      </c>
      <c r="G393" t="str">
        <f>Deals_Raw!G393</f>
        <v>Healthcare</v>
      </c>
      <c r="H393" t="str">
        <f>Deals_Raw!H393</f>
        <v>South</v>
      </c>
      <c r="I393" t="str">
        <f>Deals_Raw!I393</f>
        <v>South Enterprise</v>
      </c>
      <c r="J393" t="str">
        <f>Deals_Raw!J393</f>
        <v>Enterprise</v>
      </c>
      <c r="K393" t="str">
        <f>Deals_Raw!K393</f>
        <v>Yes</v>
      </c>
      <c r="L393">
        <f>Deals_Raw!L393</f>
        <v>43160</v>
      </c>
      <c r="M393">
        <f>Deals_Raw!M393</f>
        <v>62</v>
      </c>
      <c r="N393" t="str">
        <f>Deals_Raw!N393</f>
        <v>Nexus Analytics</v>
      </c>
      <c r="O393" t="str">
        <f>Deals_Raw!O393</f>
        <v>Renewal</v>
      </c>
      <c r="P393">
        <f>Deals_Raw!P393</f>
        <v>0</v>
      </c>
      <c r="Q393">
        <f>Deals_Raw!Q393</f>
        <v>1</v>
      </c>
      <c r="R393">
        <f>Deals_Raw!R393</f>
        <v>1780</v>
      </c>
      <c r="S393" t="str">
        <f>Deals_Raw!S393</f>
        <v>S. Rivera</v>
      </c>
      <c r="T393" s="6">
        <f>Deals_Raw!T393</f>
        <v>279789.98479644634</v>
      </c>
      <c r="U393" s="8">
        <f>Deals_Raw!V393</f>
        <v>8.4000000000000005E-2</v>
      </c>
      <c r="V393" s="8">
        <f>Deals_Raw!W393</f>
        <v>7.1999999999999995E-2</v>
      </c>
      <c r="W393" s="8">
        <f>Deals_Raw!X393</f>
        <v>5.3999999999999999E-2</v>
      </c>
      <c r="X393" t="str">
        <f>Deals_Raw!Y393</f>
        <v>Renewal retention risk</v>
      </c>
      <c r="Y393" t="str">
        <f>Deals_Raw!Z393</f>
        <v>Sales Manager</v>
      </c>
      <c r="Z393" s="6">
        <f>Deals_Raw!AA393</f>
        <v>259780.61245475066</v>
      </c>
      <c r="AA393" s="6">
        <f>Deals_Raw!AC393</f>
        <v>89070.539409886638</v>
      </c>
      <c r="AB393" s="6">
        <f>Deals_Raw!AD393</f>
        <v>170710.07304486402</v>
      </c>
      <c r="AC393" s="8">
        <f>Deals_Raw!AE393</f>
        <v>0.65713169058987719</v>
      </c>
      <c r="AD393" t="str">
        <f>Deals_Raw!AF393</f>
        <v>Lost</v>
      </c>
      <c r="AE393" t="str">
        <f>Deals_Raw!AG393</f>
        <v>No</v>
      </c>
      <c r="AF393">
        <f>Deals_Raw!AH393</f>
        <v>0</v>
      </c>
      <c r="AG393" t="str">
        <f>Deals_Raw!AI393</f>
        <v>No</v>
      </c>
      <c r="AH393" s="6">
        <f>Deals_Raw!AJ393</f>
        <v>0</v>
      </c>
      <c r="AI393" s="6">
        <f>Deals_Raw!AK393</f>
        <v>0</v>
      </c>
      <c r="AJ393" t="str">
        <f>Deals_Raw!AL393</f>
        <v>Renewal of existing active contract</v>
      </c>
      <c r="AK393" s="9">
        <f t="shared" si="42"/>
        <v>6.6749999999999998</v>
      </c>
      <c r="AL393" s="8">
        <f t="shared" si="43"/>
        <v>0.92848431527578457</v>
      </c>
      <c r="AM393" s="8">
        <f t="shared" si="44"/>
        <v>1.2000000000000011E-2</v>
      </c>
      <c r="AN393" t="str">
        <f>IF(AC393&lt;Pricing_Policy!$C$10,"Below Floor","Pass")</f>
        <v>Pass</v>
      </c>
      <c r="AO393" t="str">
        <f>IF(V393&gt;Pricing_Policy!$C$7,"Exception","Standard")</f>
        <v>Standard</v>
      </c>
      <c r="AP393" t="str">
        <f t="shared" si="45"/>
        <v>Pass</v>
      </c>
      <c r="AQ393">
        <f t="shared" si="46"/>
        <v>0</v>
      </c>
      <c r="AR393" s="8">
        <f t="shared" si="47"/>
        <v>0</v>
      </c>
      <c r="AS393">
        <f t="shared" si="48"/>
        <v>3</v>
      </c>
    </row>
    <row r="394" spans="1:45">
      <c r="A394" t="str">
        <f>Deals_Raw!A394</f>
        <v>D00446</v>
      </c>
      <c r="B394">
        <f>Deals_Raw!B394</f>
        <v>45723</v>
      </c>
      <c r="C394" t="str">
        <f>Deals_Raw!C394</f>
        <v>C0110</v>
      </c>
      <c r="D394" t="str">
        <f>Deals_Raw!D394</f>
        <v>HEA-0110</v>
      </c>
      <c r="E394" t="str">
        <f>Deals_Raw!E394</f>
        <v>CT00236</v>
      </c>
      <c r="F394" t="str">
        <f>Deals_Raw!F394</f>
        <v>Legal</v>
      </c>
      <c r="G394" t="str">
        <f>Deals_Raw!G394</f>
        <v>Healthcare</v>
      </c>
      <c r="H394" t="str">
        <f>Deals_Raw!H394</f>
        <v>South</v>
      </c>
      <c r="I394" t="str">
        <f>Deals_Raw!I394</f>
        <v>South Enterprise</v>
      </c>
      <c r="J394" t="str">
        <f>Deals_Raw!J394</f>
        <v>Enterprise</v>
      </c>
      <c r="K394" t="str">
        <f>Deals_Raw!K394</f>
        <v>Yes</v>
      </c>
      <c r="L394">
        <f>Deals_Raw!L394</f>
        <v>43160</v>
      </c>
      <c r="M394">
        <f>Deals_Raw!M394</f>
        <v>62</v>
      </c>
      <c r="N394" t="str">
        <f>Deals_Raw!N394</f>
        <v>Nexus Analytics</v>
      </c>
      <c r="O394" t="str">
        <f>Deals_Raw!O394</f>
        <v>Win-back</v>
      </c>
      <c r="P394">
        <f>Deals_Raw!P394</f>
        <v>0</v>
      </c>
      <c r="Q394">
        <f>Deals_Raw!Q394</f>
        <v>1</v>
      </c>
      <c r="R394">
        <f>Deals_Raw!R394</f>
        <v>1780</v>
      </c>
      <c r="S394" t="str">
        <f>Deals_Raw!S394</f>
        <v>S. Rivera</v>
      </c>
      <c r="T394" s="6">
        <f>Deals_Raw!T394</f>
        <v>279789.98479644634</v>
      </c>
      <c r="U394" s="8">
        <f>Deals_Raw!V394</f>
        <v>0.26300000000000001</v>
      </c>
      <c r="V394" s="8">
        <f>Deals_Raw!W394</f>
        <v>0.254</v>
      </c>
      <c r="W394" s="8">
        <f>Deals_Raw!X394</f>
        <v>-4.7E-2</v>
      </c>
      <c r="X394" t="str">
        <f>Deals_Raw!Y394</f>
        <v>Renewal retention risk</v>
      </c>
      <c r="Y394" t="str">
        <f>Deals_Raw!Z394</f>
        <v>Business Manager</v>
      </c>
      <c r="Z394" s="6">
        <f>Deals_Raw!AA394</f>
        <v>208718.2982985026</v>
      </c>
      <c r="AA394" s="6">
        <f>Deals_Raw!AC394</f>
        <v>88147.958159858696</v>
      </c>
      <c r="AB394" s="6">
        <f>Deals_Raw!AD394</f>
        <v>120570.34013864391</v>
      </c>
      <c r="AC394" s="8">
        <f>Deals_Raw!AE394</f>
        <v>0.57767019528976726</v>
      </c>
      <c r="AD394" t="str">
        <f>Deals_Raw!AF394</f>
        <v>Won</v>
      </c>
      <c r="AE394">
        <f>Deals_Raw!AG394</f>
        <v>0</v>
      </c>
      <c r="AF394">
        <f>Deals_Raw!AH394</f>
        <v>0</v>
      </c>
      <c r="AG394" t="str">
        <f>Deals_Raw!AI394</f>
        <v>Yes</v>
      </c>
      <c r="AH394" s="6">
        <f>Deals_Raw!AJ394</f>
        <v>208718.2982985026</v>
      </c>
      <c r="AI394" s="6">
        <f>Deals_Raw!AK394</f>
        <v>120570.34013864391</v>
      </c>
      <c r="AJ394" t="str">
        <f>Deals_Raw!AL394</f>
        <v>Customer returned after lost renewal</v>
      </c>
      <c r="AK394" s="9">
        <f t="shared" si="42"/>
        <v>7.0166666666666666</v>
      </c>
      <c r="AL394" s="8">
        <f t="shared" si="43"/>
        <v>0.74598202094456656</v>
      </c>
      <c r="AM394" s="8">
        <f t="shared" si="44"/>
        <v>9.000000000000008E-3</v>
      </c>
      <c r="AN394" t="str">
        <f>IF(AC394&lt;Pricing_Policy!$C$10,"Below Floor","Pass")</f>
        <v>Pass</v>
      </c>
      <c r="AO394" t="str">
        <f>IF(V394&gt;Pricing_Policy!$C$7,"Exception","Standard")</f>
        <v>Standard</v>
      </c>
      <c r="AP394" t="str">
        <f t="shared" si="45"/>
        <v>Pass</v>
      </c>
      <c r="AQ394">
        <f t="shared" si="46"/>
        <v>1</v>
      </c>
      <c r="AR394" s="8">
        <f t="shared" si="47"/>
        <v>0.57767019528976726</v>
      </c>
      <c r="AS394">
        <f t="shared" si="48"/>
        <v>3</v>
      </c>
    </row>
    <row r="395" spans="1:45">
      <c r="A395" t="str">
        <f>Deals_Raw!A395</f>
        <v>D00447</v>
      </c>
      <c r="B395">
        <f>Deals_Raw!B395</f>
        <v>45418</v>
      </c>
      <c r="C395" t="str">
        <f>Deals_Raw!C395</f>
        <v>C0111</v>
      </c>
      <c r="D395" t="str">
        <f>Deals_Raw!D395</f>
        <v>PUB-0111</v>
      </c>
      <c r="E395" t="str">
        <f>Deals_Raw!E395</f>
        <v>CT00237</v>
      </c>
      <c r="F395" t="str">
        <f>Deals_Raw!F395</f>
        <v>Operations</v>
      </c>
      <c r="G395" t="str">
        <f>Deals_Raw!G395</f>
        <v>Public Sector</v>
      </c>
      <c r="H395" t="str">
        <f>Deals_Raw!H395</f>
        <v>Northeast</v>
      </c>
      <c r="I395" t="str">
        <f>Deals_Raw!I395</f>
        <v>Northeast Commercial</v>
      </c>
      <c r="J395" t="str">
        <f>Deals_Raw!J395</f>
        <v>Mid-Market</v>
      </c>
      <c r="K395" t="str">
        <f>Deals_Raw!K395</f>
        <v>No</v>
      </c>
      <c r="L395">
        <f>Deals_Raw!L395</f>
        <v>45352</v>
      </c>
      <c r="M395">
        <f>Deals_Raw!M395</f>
        <v>70</v>
      </c>
      <c r="N395" t="str">
        <f>Deals_Raw!N395</f>
        <v>Nexus Analytics</v>
      </c>
      <c r="O395" t="str">
        <f>Deals_Raw!O395</f>
        <v>New Business</v>
      </c>
      <c r="P395">
        <f>Deals_Raw!P395</f>
        <v>0</v>
      </c>
      <c r="Q395">
        <f>Deals_Raw!Q395</f>
        <v>1</v>
      </c>
      <c r="R395">
        <f>Deals_Raw!R395</f>
        <v>331</v>
      </c>
      <c r="S395" t="str">
        <f>Deals_Raw!S395</f>
        <v>S. Rivera</v>
      </c>
      <c r="T395" s="6">
        <f>Deals_Raw!T395</f>
        <v>64246.361560743208</v>
      </c>
      <c r="U395" s="8">
        <f>Deals_Raw!V395</f>
        <v>0.17899999999999999</v>
      </c>
      <c r="V395" s="8">
        <f>Deals_Raw!W395</f>
        <v>0.17799999999999999</v>
      </c>
      <c r="W395" s="8">
        <f>Deals_Raw!X395</f>
        <v>-0.115</v>
      </c>
      <c r="X395" t="str">
        <f>Deals_Raw!Y395</f>
        <v>Budget constraint</v>
      </c>
      <c r="Y395" t="str">
        <f>Deals_Raw!Z395</f>
        <v>Pricing Analyst</v>
      </c>
      <c r="Z395" s="6">
        <f>Deals_Raw!AA395</f>
        <v>52838.460342554397</v>
      </c>
      <c r="AA395" s="6">
        <f>Deals_Raw!AC395</f>
        <v>20346.074392471808</v>
      </c>
      <c r="AB395" s="6">
        <f>Deals_Raw!AD395</f>
        <v>32492.385950082589</v>
      </c>
      <c r="AC395" s="8">
        <f>Deals_Raw!AE395</f>
        <v>0.6149381669986751</v>
      </c>
      <c r="AD395" t="str">
        <f>Deals_Raw!AF395</f>
        <v>Won</v>
      </c>
      <c r="AE395">
        <f>Deals_Raw!AG395</f>
        <v>0</v>
      </c>
      <c r="AF395">
        <f>Deals_Raw!AH395</f>
        <v>0</v>
      </c>
      <c r="AG395" t="str">
        <f>Deals_Raw!AI395</f>
        <v>No</v>
      </c>
      <c r="AH395" s="6">
        <f>Deals_Raw!AJ395</f>
        <v>52838.460342554397</v>
      </c>
      <c r="AI395" s="6">
        <f>Deals_Raw!AK395</f>
        <v>32492.385950082589</v>
      </c>
      <c r="AJ395" t="str">
        <f>Deals_Raw!AL395</f>
        <v>First purchase under this contract</v>
      </c>
      <c r="AK395" s="9">
        <f t="shared" si="42"/>
        <v>0.18055555555555555</v>
      </c>
      <c r="AL395" s="8">
        <f t="shared" si="43"/>
        <v>0.8224350618298758</v>
      </c>
      <c r="AM395" s="8">
        <f t="shared" si="44"/>
        <v>1.0000000000000009E-3</v>
      </c>
      <c r="AN395" t="str">
        <f>IF(AC395&lt;Pricing_Policy!$C$10,"Below Floor","Pass")</f>
        <v>Pass</v>
      </c>
      <c r="AO395" t="str">
        <f>IF(V395&gt;Pricing_Policy!$C$7,"Exception","Standard")</f>
        <v>Standard</v>
      </c>
      <c r="AP395" t="str">
        <f t="shared" si="45"/>
        <v>Pass</v>
      </c>
      <c r="AQ395">
        <f t="shared" si="46"/>
        <v>1</v>
      </c>
      <c r="AR395" s="8">
        <f t="shared" si="47"/>
        <v>0.6149381669986751</v>
      </c>
      <c r="AS395">
        <f t="shared" si="48"/>
        <v>2</v>
      </c>
    </row>
    <row r="396" spans="1:45">
      <c r="A396" t="str">
        <f>Deals_Raw!A396</f>
        <v>D00448</v>
      </c>
      <c r="B396">
        <f>Deals_Raw!B396</f>
        <v>45783</v>
      </c>
      <c r="C396" t="str">
        <f>Deals_Raw!C396</f>
        <v>C0111</v>
      </c>
      <c r="D396" t="str">
        <f>Deals_Raw!D396</f>
        <v>PUB-0111</v>
      </c>
      <c r="E396" t="str">
        <f>Deals_Raw!E396</f>
        <v>CT00237</v>
      </c>
      <c r="F396" t="str">
        <f>Deals_Raw!F396</f>
        <v>Operations</v>
      </c>
      <c r="G396" t="str">
        <f>Deals_Raw!G396</f>
        <v>Public Sector</v>
      </c>
      <c r="H396" t="str">
        <f>Deals_Raw!H396</f>
        <v>Northeast</v>
      </c>
      <c r="I396" t="str">
        <f>Deals_Raw!I396</f>
        <v>Northeast Commercial</v>
      </c>
      <c r="J396" t="str">
        <f>Deals_Raw!J396</f>
        <v>Mid-Market</v>
      </c>
      <c r="K396" t="str">
        <f>Deals_Raw!K396</f>
        <v>No</v>
      </c>
      <c r="L396">
        <f>Deals_Raw!L396</f>
        <v>45352</v>
      </c>
      <c r="M396">
        <f>Deals_Raw!M396</f>
        <v>70</v>
      </c>
      <c r="N396" t="str">
        <f>Deals_Raw!N396</f>
        <v>Nexus Analytics</v>
      </c>
      <c r="O396" t="str">
        <f>Deals_Raw!O396</f>
        <v>Renewal</v>
      </c>
      <c r="P396">
        <f>Deals_Raw!P396</f>
        <v>0</v>
      </c>
      <c r="Q396">
        <f>Deals_Raw!Q396</f>
        <v>1</v>
      </c>
      <c r="R396">
        <f>Deals_Raw!R396</f>
        <v>331</v>
      </c>
      <c r="S396" t="str">
        <f>Deals_Raw!S396</f>
        <v>A. Patel</v>
      </c>
      <c r="T396" s="6">
        <f>Deals_Raw!T396</f>
        <v>66688.708603137682</v>
      </c>
      <c r="U396" s="8">
        <f>Deals_Raw!V396</f>
        <v>0.16800000000000001</v>
      </c>
      <c r="V396" s="8">
        <f>Deals_Raw!W396</f>
        <v>0.13500000000000001</v>
      </c>
      <c r="W396" s="8">
        <f>Deals_Raw!X396</f>
        <v>4.0000000000000001E-3</v>
      </c>
      <c r="X396" t="str">
        <f>Deals_Raw!Y396</f>
        <v>Budget constraint</v>
      </c>
      <c r="Y396" t="str">
        <f>Deals_Raw!Z396</f>
        <v>Pricing Analyst</v>
      </c>
      <c r="Z396" s="6">
        <f>Deals_Raw!AA396</f>
        <v>57688.618446629167</v>
      </c>
      <c r="AA396" s="6">
        <f>Deals_Raw!AC396</f>
        <v>20021.070728233641</v>
      </c>
      <c r="AB396" s="6">
        <f>Deals_Raw!AD396</f>
        <v>37667.547718395523</v>
      </c>
      <c r="AC396" s="8">
        <f>Deals_Raw!AE396</f>
        <v>0.65294591433566385</v>
      </c>
      <c r="AD396" t="str">
        <f>Deals_Raw!AF396</f>
        <v>Won</v>
      </c>
      <c r="AE396" t="str">
        <f>Deals_Raw!AG396</f>
        <v>Yes</v>
      </c>
      <c r="AF396">
        <f>Deals_Raw!AH396</f>
        <v>0</v>
      </c>
      <c r="AG396" t="str">
        <f>Deals_Raw!AI396</f>
        <v>No</v>
      </c>
      <c r="AH396" s="6">
        <f>Deals_Raw!AJ396</f>
        <v>57688.618446629167</v>
      </c>
      <c r="AI396" s="6">
        <f>Deals_Raw!AK396</f>
        <v>37667.547718395523</v>
      </c>
      <c r="AJ396" t="str">
        <f>Deals_Raw!AL396</f>
        <v>Renewal of existing active contract</v>
      </c>
      <c r="AK396" s="9">
        <f t="shared" si="42"/>
        <v>1.1805555555555556</v>
      </c>
      <c r="AL396" s="8">
        <f t="shared" si="43"/>
        <v>0.86504326826797984</v>
      </c>
      <c r="AM396" s="8">
        <f t="shared" si="44"/>
        <v>3.3000000000000002E-2</v>
      </c>
      <c r="AN396" t="str">
        <f>IF(AC396&lt;Pricing_Policy!$C$10,"Below Floor","Pass")</f>
        <v>Pass</v>
      </c>
      <c r="AO396" t="str">
        <f>IF(V396&gt;Pricing_Policy!$C$7,"Exception","Standard")</f>
        <v>Standard</v>
      </c>
      <c r="AP396" t="str">
        <f t="shared" si="45"/>
        <v>Pass</v>
      </c>
      <c r="AQ396">
        <f t="shared" si="46"/>
        <v>1</v>
      </c>
      <c r="AR396" s="8">
        <f t="shared" si="47"/>
        <v>0.65294591433566385</v>
      </c>
      <c r="AS396">
        <f t="shared" si="48"/>
        <v>2</v>
      </c>
    </row>
    <row r="397" spans="1:45">
      <c r="A397" t="str">
        <f>Deals_Raw!A397</f>
        <v>D00449</v>
      </c>
      <c r="B397">
        <f>Deals_Raw!B397</f>
        <v>45440</v>
      </c>
      <c r="C397" t="str">
        <f>Deals_Raw!C397</f>
        <v>C0111</v>
      </c>
      <c r="D397" t="str">
        <f>Deals_Raw!D397</f>
        <v>PUB-0111</v>
      </c>
      <c r="E397" t="str">
        <f>Deals_Raw!E397</f>
        <v>CT00238</v>
      </c>
      <c r="F397" t="str">
        <f>Deals_Raw!F397</f>
        <v>Sales</v>
      </c>
      <c r="G397" t="str">
        <f>Deals_Raw!G397</f>
        <v>Public Sector</v>
      </c>
      <c r="H397" t="str">
        <f>Deals_Raw!H397</f>
        <v>Northeast</v>
      </c>
      <c r="I397" t="str">
        <f>Deals_Raw!I397</f>
        <v>Northeast Commercial</v>
      </c>
      <c r="J397" t="str">
        <f>Deals_Raw!J397</f>
        <v>Mid-Market</v>
      </c>
      <c r="K397" t="str">
        <f>Deals_Raw!K397</f>
        <v>No</v>
      </c>
      <c r="L397">
        <f>Deals_Raw!L397</f>
        <v>45352</v>
      </c>
      <c r="M397">
        <f>Deals_Raw!M397</f>
        <v>70</v>
      </c>
      <c r="N397" t="str">
        <f>Deals_Raw!N397</f>
        <v>Nexus Insights</v>
      </c>
      <c r="O397" t="str">
        <f>Deals_Raw!O397</f>
        <v>New Business</v>
      </c>
      <c r="P397">
        <f>Deals_Raw!P397</f>
        <v>0</v>
      </c>
      <c r="Q397">
        <f>Deals_Raw!Q397</f>
        <v>1</v>
      </c>
      <c r="R397">
        <f>Deals_Raw!R397</f>
        <v>82</v>
      </c>
      <c r="S397" t="str">
        <f>Deals_Raw!S397</f>
        <v>K. Nguyen</v>
      </c>
      <c r="T397" s="6">
        <f>Deals_Raw!T397</f>
        <v>43599.877048612543</v>
      </c>
      <c r="U397" s="8">
        <f>Deals_Raw!V397</f>
        <v>2.3E-2</v>
      </c>
      <c r="V397" s="8">
        <f>Deals_Raw!W397</f>
        <v>0.02</v>
      </c>
      <c r="W397" s="8">
        <f>Deals_Raw!X397</f>
        <v>-0.08</v>
      </c>
      <c r="X397" t="str">
        <f>Deals_Raw!Y397</f>
        <v>Procurement requirement</v>
      </c>
      <c r="Y397" t="str">
        <f>Deals_Raw!Z397</f>
        <v>Sales Manager</v>
      </c>
      <c r="Z397" s="6">
        <f>Deals_Raw!AA397</f>
        <v>42731.581721114781</v>
      </c>
      <c r="AA397" s="6">
        <f>Deals_Raw!AC397</f>
        <v>12988.82647829951</v>
      </c>
      <c r="AB397" s="6">
        <f>Deals_Raw!AD397</f>
        <v>29742.75524281527</v>
      </c>
      <c r="AC397" s="8">
        <f>Deals_Raw!AE397</f>
        <v>0.69603684312295433</v>
      </c>
      <c r="AD397" t="str">
        <f>Deals_Raw!AF397</f>
        <v>Lost</v>
      </c>
      <c r="AE397">
        <f>Deals_Raw!AG397</f>
        <v>0</v>
      </c>
      <c r="AF397">
        <f>Deals_Raw!AH397</f>
        <v>0</v>
      </c>
      <c r="AG397" t="str">
        <f>Deals_Raw!AI397</f>
        <v>No</v>
      </c>
      <c r="AH397" s="6">
        <f>Deals_Raw!AJ397</f>
        <v>0</v>
      </c>
      <c r="AI397" s="6">
        <f>Deals_Raw!AK397</f>
        <v>0</v>
      </c>
      <c r="AJ397" t="str">
        <f>Deals_Raw!AL397</f>
        <v>First purchase under this contract</v>
      </c>
      <c r="AK397" s="9">
        <f t="shared" si="42"/>
        <v>0.24166666666666667</v>
      </c>
      <c r="AL397" s="8">
        <f t="shared" si="43"/>
        <v>0.98008491339253911</v>
      </c>
      <c r="AM397" s="8">
        <f t="shared" si="44"/>
        <v>2.9999999999999992E-3</v>
      </c>
      <c r="AN397" t="str">
        <f>IF(AC397&lt;Pricing_Policy!$C$10,"Below Floor","Pass")</f>
        <v>Pass</v>
      </c>
      <c r="AO397" t="str">
        <f>IF(V397&gt;Pricing_Policy!$C$7,"Exception","Standard")</f>
        <v>Standard</v>
      </c>
      <c r="AP397" t="str">
        <f t="shared" si="45"/>
        <v>Pass</v>
      </c>
      <c r="AQ397">
        <f t="shared" si="46"/>
        <v>0</v>
      </c>
      <c r="AR397" s="8">
        <f t="shared" si="47"/>
        <v>0</v>
      </c>
      <c r="AS397">
        <f t="shared" si="48"/>
        <v>2</v>
      </c>
    </row>
    <row r="398" spans="1:45">
      <c r="A398" t="str">
        <f>Deals_Raw!A398</f>
        <v>D00450</v>
      </c>
      <c r="B398">
        <f>Deals_Raw!B398</f>
        <v>45671</v>
      </c>
      <c r="C398" t="str">
        <f>Deals_Raw!C398</f>
        <v>C0111</v>
      </c>
      <c r="D398" t="str">
        <f>Deals_Raw!D398</f>
        <v>PUB-0111</v>
      </c>
      <c r="E398" t="str">
        <f>Deals_Raw!E398</f>
        <v>CT00238</v>
      </c>
      <c r="F398" t="str">
        <f>Deals_Raw!F398</f>
        <v>Sales</v>
      </c>
      <c r="G398" t="str">
        <f>Deals_Raw!G398</f>
        <v>Public Sector</v>
      </c>
      <c r="H398" t="str">
        <f>Deals_Raw!H398</f>
        <v>Northeast</v>
      </c>
      <c r="I398" t="str">
        <f>Deals_Raw!I398</f>
        <v>Northeast Commercial</v>
      </c>
      <c r="J398" t="str">
        <f>Deals_Raw!J398</f>
        <v>Mid-Market</v>
      </c>
      <c r="K398" t="str">
        <f>Deals_Raw!K398</f>
        <v>No</v>
      </c>
      <c r="L398">
        <f>Deals_Raw!L398</f>
        <v>45352</v>
      </c>
      <c r="M398">
        <f>Deals_Raw!M398</f>
        <v>70</v>
      </c>
      <c r="N398" t="str">
        <f>Deals_Raw!N398</f>
        <v>Nexus Insights</v>
      </c>
      <c r="O398" t="str">
        <f>Deals_Raw!O398</f>
        <v>Win-back</v>
      </c>
      <c r="P398">
        <f>Deals_Raw!P398</f>
        <v>0</v>
      </c>
      <c r="Q398">
        <f>Deals_Raw!Q398</f>
        <v>1</v>
      </c>
      <c r="R398">
        <f>Deals_Raw!R398</f>
        <v>82</v>
      </c>
      <c r="S398" t="str">
        <f>Deals_Raw!S398</f>
        <v>T. Brooks</v>
      </c>
      <c r="T398" s="6">
        <f>Deals_Raw!T398</f>
        <v>43599.877048612543</v>
      </c>
      <c r="U398" s="8">
        <f>Deals_Raw!V398</f>
        <v>0.255</v>
      </c>
      <c r="V398" s="8">
        <f>Deals_Raw!W398</f>
        <v>0.25</v>
      </c>
      <c r="W398" s="8">
        <f>Deals_Raw!X398</f>
        <v>-4.0000000000000001E-3</v>
      </c>
      <c r="X398" t="str">
        <f>Deals_Raw!Y398</f>
        <v>Renewal retention risk</v>
      </c>
      <c r="Y398" t="str">
        <f>Deals_Raw!Z398</f>
        <v>Business Manager</v>
      </c>
      <c r="Z398" s="6">
        <f>Deals_Raw!AA398</f>
        <v>32694.895915911664</v>
      </c>
      <c r="AA398" s="6">
        <f>Deals_Raw!AC398</f>
        <v>13102.07750696935</v>
      </c>
      <c r="AB398" s="6">
        <f>Deals_Raw!AD398</f>
        <v>19592.818408942316</v>
      </c>
      <c r="AC398" s="8">
        <f>Deals_Raw!AE398</f>
        <v>0.59926229645548601</v>
      </c>
      <c r="AD398" t="str">
        <f>Deals_Raw!AF398</f>
        <v>Won</v>
      </c>
      <c r="AE398">
        <f>Deals_Raw!AG398</f>
        <v>0</v>
      </c>
      <c r="AF398">
        <f>Deals_Raw!AH398</f>
        <v>0</v>
      </c>
      <c r="AG398" t="str">
        <f>Deals_Raw!AI398</f>
        <v>Yes</v>
      </c>
      <c r="AH398" s="6">
        <f>Deals_Raw!AJ398</f>
        <v>32694.895915911664</v>
      </c>
      <c r="AI398" s="6">
        <f>Deals_Raw!AK398</f>
        <v>19592.818408942316</v>
      </c>
      <c r="AJ398" t="str">
        <f>Deals_Raw!AL398</f>
        <v>Customer returned after prior lost initial opportunity</v>
      </c>
      <c r="AK398" s="9">
        <f t="shared" si="42"/>
        <v>0.86944444444444446</v>
      </c>
      <c r="AL398" s="8">
        <f t="shared" si="43"/>
        <v>0.74988504851648652</v>
      </c>
      <c r="AM398" s="8">
        <f t="shared" si="44"/>
        <v>5.0000000000000044E-3</v>
      </c>
      <c r="AN398" t="str">
        <f>IF(AC398&lt;Pricing_Policy!$C$10,"Below Floor","Pass")</f>
        <v>Pass</v>
      </c>
      <c r="AO398" t="str">
        <f>IF(V398&gt;Pricing_Policy!$C$7,"Exception","Standard")</f>
        <v>Standard</v>
      </c>
      <c r="AP398" t="str">
        <f t="shared" si="45"/>
        <v>Pass</v>
      </c>
      <c r="AQ398">
        <f t="shared" si="46"/>
        <v>1</v>
      </c>
      <c r="AR398" s="8">
        <f t="shared" si="47"/>
        <v>0.59926229645548601</v>
      </c>
      <c r="AS398">
        <f t="shared" si="48"/>
        <v>2</v>
      </c>
    </row>
    <row r="399" spans="1:45">
      <c r="A399" t="str">
        <f>Deals_Raw!A399</f>
        <v>D00451</v>
      </c>
      <c r="B399">
        <f>Deals_Raw!B399</f>
        <v>45588</v>
      </c>
      <c r="C399" t="str">
        <f>Deals_Raw!C399</f>
        <v>C0111</v>
      </c>
      <c r="D399" t="str">
        <f>Deals_Raw!D399</f>
        <v>PUB-0111</v>
      </c>
      <c r="E399" t="str">
        <f>Deals_Raw!E399</f>
        <v>CT00239</v>
      </c>
      <c r="F399" t="str">
        <f>Deals_Raw!F399</f>
        <v>Sales</v>
      </c>
      <c r="G399" t="str">
        <f>Deals_Raw!G399</f>
        <v>Public Sector</v>
      </c>
      <c r="H399" t="str">
        <f>Deals_Raw!H399</f>
        <v>Northeast</v>
      </c>
      <c r="I399" t="str">
        <f>Deals_Raw!I399</f>
        <v>Northeast Commercial</v>
      </c>
      <c r="J399" t="str">
        <f>Deals_Raw!J399</f>
        <v>Mid-Market</v>
      </c>
      <c r="K399" t="str">
        <f>Deals_Raw!K399</f>
        <v>No</v>
      </c>
      <c r="L399">
        <f>Deals_Raw!L399</f>
        <v>45352</v>
      </c>
      <c r="M399">
        <f>Deals_Raw!M399</f>
        <v>70</v>
      </c>
      <c r="N399" t="str">
        <f>Deals_Raw!N399</f>
        <v>Nexus AI Assistant</v>
      </c>
      <c r="O399" t="str">
        <f>Deals_Raw!O399</f>
        <v>New Business</v>
      </c>
      <c r="P399">
        <f>Deals_Raw!P399</f>
        <v>0</v>
      </c>
      <c r="Q399">
        <f>Deals_Raw!Q399</f>
        <v>1</v>
      </c>
      <c r="R399">
        <f>Deals_Raw!R399</f>
        <v>266</v>
      </c>
      <c r="S399" t="str">
        <f>Deals_Raw!S399</f>
        <v>M. Johnson</v>
      </c>
      <c r="T399" s="6">
        <f>Deals_Raw!T399</f>
        <v>67728.103770597198</v>
      </c>
      <c r="U399" s="8">
        <f>Deals_Raw!V399</f>
        <v>0.13900000000000001</v>
      </c>
      <c r="V399" s="8">
        <f>Deals_Raw!W399</f>
        <v>0.10199999999999999</v>
      </c>
      <c r="W399" s="8">
        <f>Deals_Raw!X399</f>
        <v>5.6000000000000001E-2</v>
      </c>
      <c r="X399" t="str">
        <f>Deals_Raw!Y399</f>
        <v>Volume purchase</v>
      </c>
      <c r="Y399" t="str">
        <f>Deals_Raw!Z399</f>
        <v>Pricing Analyst</v>
      </c>
      <c r="Z399" s="6">
        <f>Deals_Raw!AA399</f>
        <v>60796.523313887701</v>
      </c>
      <c r="AA399" s="6">
        <f>Deals_Raw!AC399</f>
        <v>29249.271803336953</v>
      </c>
      <c r="AB399" s="6">
        <f>Deals_Raw!AD399</f>
        <v>31547.251510550748</v>
      </c>
      <c r="AC399" s="8">
        <f>Deals_Raw!AE399</f>
        <v>0.5188989401198939</v>
      </c>
      <c r="AD399" t="str">
        <f>Deals_Raw!AF399</f>
        <v>Won</v>
      </c>
      <c r="AE399">
        <f>Deals_Raw!AG399</f>
        <v>0</v>
      </c>
      <c r="AF399">
        <f>Deals_Raw!AH399</f>
        <v>0</v>
      </c>
      <c r="AG399" t="str">
        <f>Deals_Raw!AI399</f>
        <v>No</v>
      </c>
      <c r="AH399" s="6">
        <f>Deals_Raw!AJ399</f>
        <v>60796.523313887701</v>
      </c>
      <c r="AI399" s="6">
        <f>Deals_Raw!AK399</f>
        <v>31547.251510550748</v>
      </c>
      <c r="AJ399" t="str">
        <f>Deals_Raw!AL399</f>
        <v>First purchase under this contract</v>
      </c>
      <c r="AK399" s="9">
        <f t="shared" si="42"/>
        <v>0.64444444444444449</v>
      </c>
      <c r="AL399" s="8">
        <f t="shared" si="43"/>
        <v>0.89765577255510431</v>
      </c>
      <c r="AM399" s="8">
        <f t="shared" si="44"/>
        <v>3.7000000000000019E-2</v>
      </c>
      <c r="AN399" t="str">
        <f>IF(AC399&lt;Pricing_Policy!$C$10,"Below Floor","Pass")</f>
        <v>Pass</v>
      </c>
      <c r="AO399" t="str">
        <f>IF(V399&gt;Pricing_Policy!$C$7,"Exception","Standard")</f>
        <v>Standard</v>
      </c>
      <c r="AP399" t="str">
        <f t="shared" si="45"/>
        <v>Pass</v>
      </c>
      <c r="AQ399">
        <f t="shared" si="46"/>
        <v>1</v>
      </c>
      <c r="AR399" s="8">
        <f t="shared" si="47"/>
        <v>0.5188989401198939</v>
      </c>
      <c r="AS399">
        <f t="shared" si="48"/>
        <v>2</v>
      </c>
    </row>
    <row r="400" spans="1:45">
      <c r="A400" t="str">
        <f>Deals_Raw!A400</f>
        <v>D00452</v>
      </c>
      <c r="B400">
        <f>Deals_Raw!B400</f>
        <v>45953</v>
      </c>
      <c r="C400" t="str">
        <f>Deals_Raw!C400</f>
        <v>C0111</v>
      </c>
      <c r="D400" t="str">
        <f>Deals_Raw!D400</f>
        <v>PUB-0111</v>
      </c>
      <c r="E400" t="str">
        <f>Deals_Raw!E400</f>
        <v>CT00239</v>
      </c>
      <c r="F400" t="str">
        <f>Deals_Raw!F400</f>
        <v>Sales</v>
      </c>
      <c r="G400" t="str">
        <f>Deals_Raw!G400</f>
        <v>Public Sector</v>
      </c>
      <c r="H400" t="str">
        <f>Deals_Raw!H400</f>
        <v>Northeast</v>
      </c>
      <c r="I400" t="str">
        <f>Deals_Raw!I400</f>
        <v>Northeast Commercial</v>
      </c>
      <c r="J400" t="str">
        <f>Deals_Raw!J400</f>
        <v>Mid-Market</v>
      </c>
      <c r="K400" t="str">
        <f>Deals_Raw!K400</f>
        <v>No</v>
      </c>
      <c r="L400">
        <f>Deals_Raw!L400</f>
        <v>45352</v>
      </c>
      <c r="M400">
        <f>Deals_Raw!M400</f>
        <v>70</v>
      </c>
      <c r="N400" t="str">
        <f>Deals_Raw!N400</f>
        <v>Nexus AI Assistant</v>
      </c>
      <c r="O400" t="str">
        <f>Deals_Raw!O400</f>
        <v>Renewal</v>
      </c>
      <c r="P400">
        <f>Deals_Raw!P400</f>
        <v>0</v>
      </c>
      <c r="Q400">
        <f>Deals_Raw!Q400</f>
        <v>1</v>
      </c>
      <c r="R400">
        <f>Deals_Raw!R400</f>
        <v>266</v>
      </c>
      <c r="S400" t="str">
        <f>Deals_Raw!S400</f>
        <v>M. Johnson</v>
      </c>
      <c r="T400" s="6">
        <f>Deals_Raw!T400</f>
        <v>71910.325531872513</v>
      </c>
      <c r="U400" s="8">
        <f>Deals_Raw!V400</f>
        <v>0.115</v>
      </c>
      <c r="V400" s="8">
        <f>Deals_Raw!W400</f>
        <v>0.115</v>
      </c>
      <c r="W400" s="8">
        <f>Deals_Raw!X400</f>
        <v>-6.8000000000000005E-2</v>
      </c>
      <c r="X400" t="str">
        <f>Deals_Raw!Y400</f>
        <v>Strategic logo opportunity</v>
      </c>
      <c r="Y400" t="str">
        <f>Deals_Raw!Z400</f>
        <v>Pricing Analyst</v>
      </c>
      <c r="Z400" s="6">
        <f>Deals_Raw!AA400</f>
        <v>63643.009449214303</v>
      </c>
      <c r="AA400" s="6">
        <f>Deals_Raw!AC400</f>
        <v>23738.256173613874</v>
      </c>
      <c r="AB400" s="6">
        <f>Deals_Raw!AD400</f>
        <v>39904.753275600429</v>
      </c>
      <c r="AC400" s="8">
        <f>Deals_Raw!AE400</f>
        <v>0.62700921312408286</v>
      </c>
      <c r="AD400" t="str">
        <f>Deals_Raw!AF400</f>
        <v>Won</v>
      </c>
      <c r="AE400" t="str">
        <f>Deals_Raw!AG400</f>
        <v>Yes</v>
      </c>
      <c r="AF400">
        <f>Deals_Raw!AH400</f>
        <v>0</v>
      </c>
      <c r="AG400" t="str">
        <f>Deals_Raw!AI400</f>
        <v>No</v>
      </c>
      <c r="AH400" s="6">
        <f>Deals_Raw!AJ400</f>
        <v>63643.009449214303</v>
      </c>
      <c r="AI400" s="6">
        <f>Deals_Raw!AK400</f>
        <v>39904.753275600429</v>
      </c>
      <c r="AJ400" t="str">
        <f>Deals_Raw!AL400</f>
        <v>Renewal of existing active contract</v>
      </c>
      <c r="AK400" s="9">
        <f t="shared" si="42"/>
        <v>1.6444444444444444</v>
      </c>
      <c r="AL400" s="8">
        <f t="shared" si="43"/>
        <v>0.88503297653695201</v>
      </c>
      <c r="AM400" s="8">
        <f t="shared" si="44"/>
        <v>0</v>
      </c>
      <c r="AN400" t="str">
        <f>IF(AC400&lt;Pricing_Policy!$C$10,"Below Floor","Pass")</f>
        <v>Pass</v>
      </c>
      <c r="AO400" t="str">
        <f>IF(V400&gt;Pricing_Policy!$C$7,"Exception","Standard")</f>
        <v>Standard</v>
      </c>
      <c r="AP400" t="str">
        <f t="shared" si="45"/>
        <v>Pass</v>
      </c>
      <c r="AQ400">
        <f t="shared" si="46"/>
        <v>1</v>
      </c>
      <c r="AR400" s="8">
        <f t="shared" si="47"/>
        <v>0.62700921312408286</v>
      </c>
      <c r="AS400">
        <f t="shared" si="48"/>
        <v>2</v>
      </c>
    </row>
    <row r="401" spans="1:45">
      <c r="A401" t="str">
        <f>Deals_Raw!A401</f>
        <v>D00454</v>
      </c>
      <c r="B401">
        <f>Deals_Raw!B401</f>
        <v>45795</v>
      </c>
      <c r="C401" t="str">
        <f>Deals_Raw!C401</f>
        <v>C0112</v>
      </c>
      <c r="D401" t="str">
        <f>Deals_Raw!D401</f>
        <v>MAN-0112</v>
      </c>
      <c r="E401" t="str">
        <f>Deals_Raw!E401</f>
        <v>CT00240</v>
      </c>
      <c r="F401" t="str">
        <f>Deals_Raw!F401</f>
        <v>Technology</v>
      </c>
      <c r="G401" t="str">
        <f>Deals_Raw!G401</f>
        <v>Manufacturing</v>
      </c>
      <c r="H401" t="str">
        <f>Deals_Raw!H401</f>
        <v>West</v>
      </c>
      <c r="I401" t="str">
        <f>Deals_Raw!I401</f>
        <v>West Enterprise</v>
      </c>
      <c r="J401" t="str">
        <f>Deals_Raw!J401</f>
        <v>Enterprise</v>
      </c>
      <c r="K401" t="str">
        <f>Deals_Raw!K401</f>
        <v>Yes</v>
      </c>
      <c r="L401">
        <f>Deals_Raw!L401</f>
        <v>43132</v>
      </c>
      <c r="M401">
        <f>Deals_Raw!M401</f>
        <v>56</v>
      </c>
      <c r="N401" t="str">
        <f>Deals_Raw!N401</f>
        <v>Nexus AI Assistant</v>
      </c>
      <c r="O401" t="str">
        <f>Deals_Raw!O401</f>
        <v>Renewal</v>
      </c>
      <c r="P401">
        <f>Deals_Raw!P401</f>
        <v>0</v>
      </c>
      <c r="Q401">
        <f>Deals_Raw!Q401</f>
        <v>2</v>
      </c>
      <c r="R401">
        <f>Deals_Raw!R401</f>
        <v>1803</v>
      </c>
      <c r="S401" t="str">
        <f>Deals_Raw!S401</f>
        <v>R. Singh</v>
      </c>
      <c r="T401" s="6">
        <f>Deals_Raw!T401</f>
        <v>184742.09742789759</v>
      </c>
      <c r="U401" s="8">
        <f>Deals_Raw!V401</f>
        <v>0.20100000000000001</v>
      </c>
      <c r="V401" s="8">
        <f>Deals_Raw!W401</f>
        <v>0.16800000000000001</v>
      </c>
      <c r="W401" s="8">
        <f>Deals_Raw!X401</f>
        <v>-6.0000000000000001E-3</v>
      </c>
      <c r="X401" t="str">
        <f>Deals_Raw!Y401</f>
        <v>Renewal retention risk</v>
      </c>
      <c r="Y401" t="str">
        <f>Deals_Raw!Z401</f>
        <v>Pricing Analyst</v>
      </c>
      <c r="Z401" s="6">
        <f>Deals_Raw!AA401</f>
        <v>153740.0174539609</v>
      </c>
      <c r="AA401" s="6">
        <f>Deals_Raw!AC401</f>
        <v>74742.122571648622</v>
      </c>
      <c r="AB401" s="6">
        <f>Deals_Raw!AD401</f>
        <v>78997.894882312277</v>
      </c>
      <c r="AC401" s="8">
        <f>Deals_Raw!AE401</f>
        <v>0.51384080859733894</v>
      </c>
      <c r="AD401" t="str">
        <f>Deals_Raw!AF401</f>
        <v>Won</v>
      </c>
      <c r="AE401" t="str">
        <f>Deals_Raw!AG401</f>
        <v>Yes</v>
      </c>
      <c r="AF401">
        <f>Deals_Raw!AH401</f>
        <v>0</v>
      </c>
      <c r="AG401" t="str">
        <f>Deals_Raw!AI401</f>
        <v>No</v>
      </c>
      <c r="AH401" s="6">
        <f>Deals_Raw!AJ401</f>
        <v>153740.0174539609</v>
      </c>
      <c r="AI401" s="6">
        <f>Deals_Raw!AK401</f>
        <v>78997.894882312277</v>
      </c>
      <c r="AJ401" t="str">
        <f>Deals_Raw!AL401</f>
        <v>Renewal of existing active contract</v>
      </c>
      <c r="AK401" s="9">
        <f t="shared" si="42"/>
        <v>7.2972222222222225</v>
      </c>
      <c r="AL401" s="8">
        <f t="shared" si="43"/>
        <v>0.83218724694821444</v>
      </c>
      <c r="AM401" s="8">
        <f t="shared" si="44"/>
        <v>3.3000000000000002E-2</v>
      </c>
      <c r="AN401" t="str">
        <f>IF(AC401&lt;Pricing_Policy!$C$10,"Below Floor","Pass")</f>
        <v>Pass</v>
      </c>
      <c r="AO401" t="str">
        <f>IF(V401&gt;Pricing_Policy!$C$7,"Exception","Standard")</f>
        <v>Standard</v>
      </c>
      <c r="AP401" t="str">
        <f t="shared" si="45"/>
        <v>Pass</v>
      </c>
      <c r="AQ401">
        <f t="shared" si="46"/>
        <v>1</v>
      </c>
      <c r="AR401" s="8">
        <f t="shared" si="47"/>
        <v>0.51384080859733894</v>
      </c>
      <c r="AS401">
        <f t="shared" si="48"/>
        <v>1</v>
      </c>
    </row>
    <row r="402" spans="1:45">
      <c r="A402" t="str">
        <f>Deals_Raw!A402</f>
        <v>D00455</v>
      </c>
      <c r="B402">
        <f>Deals_Raw!B402</f>
        <v>45809</v>
      </c>
      <c r="C402" t="str">
        <f>Deals_Raw!C402</f>
        <v>C0113</v>
      </c>
      <c r="D402" t="str">
        <f>Deals_Raw!D402</f>
        <v>HEA-0113</v>
      </c>
      <c r="E402" t="str">
        <f>Deals_Raw!E402</f>
        <v>CT00241</v>
      </c>
      <c r="F402" t="str">
        <f>Deals_Raw!F402</f>
        <v>Operations</v>
      </c>
      <c r="G402" t="str">
        <f>Deals_Raw!G402</f>
        <v>Healthcare</v>
      </c>
      <c r="H402" t="str">
        <f>Deals_Raw!H402</f>
        <v>Northeast</v>
      </c>
      <c r="I402" t="str">
        <f>Deals_Raw!I402</f>
        <v>Northeast Commercial</v>
      </c>
      <c r="J402" t="str">
        <f>Deals_Raw!J402</f>
        <v>Mid-Market</v>
      </c>
      <c r="K402" t="str">
        <f>Deals_Raw!K402</f>
        <v>No</v>
      </c>
      <c r="L402">
        <f>Deals_Raw!L402</f>
        <v>45597</v>
      </c>
      <c r="M402">
        <f>Deals_Raw!M402</f>
        <v>50</v>
      </c>
      <c r="N402" t="str">
        <f>Deals_Raw!N402</f>
        <v>Nexus AI Assistant</v>
      </c>
      <c r="O402" t="str">
        <f>Deals_Raw!O402</f>
        <v>New Business</v>
      </c>
      <c r="P402">
        <f>Deals_Raw!P402</f>
        <v>0</v>
      </c>
      <c r="Q402">
        <f>Deals_Raw!Q402</f>
        <v>2</v>
      </c>
      <c r="R402">
        <f>Deals_Raw!R402</f>
        <v>313</v>
      </c>
      <c r="S402" t="str">
        <f>Deals_Raw!S402</f>
        <v>L. Williams</v>
      </c>
      <c r="T402" s="6">
        <f>Deals_Raw!T402</f>
        <v>98567.547459638401</v>
      </c>
      <c r="U402" s="8">
        <f>Deals_Raw!V402</f>
        <v>0.2</v>
      </c>
      <c r="V402" s="8">
        <f>Deals_Raw!W402</f>
        <v>0.14099999999999999</v>
      </c>
      <c r="W402" s="8">
        <f>Deals_Raw!X402</f>
        <v>-4.4999999999999998E-2</v>
      </c>
      <c r="X402" t="str">
        <f>Deals_Raw!Y402</f>
        <v>Strategic logo opportunity</v>
      </c>
      <c r="Y402" t="str">
        <f>Deals_Raw!Z402</f>
        <v>Pricing Analyst</v>
      </c>
      <c r="Z402" s="6">
        <f>Deals_Raw!AA402</f>
        <v>84713.765878251143</v>
      </c>
      <c r="AA402" s="6">
        <f>Deals_Raw!AC402</f>
        <v>41504.832015612148</v>
      </c>
      <c r="AB402" s="6">
        <f>Deals_Raw!AD402</f>
        <v>43208.933862638994</v>
      </c>
      <c r="AC402" s="8">
        <f>Deals_Raw!AE402</f>
        <v>0.51005799842186184</v>
      </c>
      <c r="AD402" t="str">
        <f>Deals_Raw!AF402</f>
        <v>Won</v>
      </c>
      <c r="AE402">
        <f>Deals_Raw!AG402</f>
        <v>0</v>
      </c>
      <c r="AF402">
        <f>Deals_Raw!AH402</f>
        <v>0</v>
      </c>
      <c r="AG402" t="str">
        <f>Deals_Raw!AI402</f>
        <v>No</v>
      </c>
      <c r="AH402" s="6">
        <f>Deals_Raw!AJ402</f>
        <v>84713.765878251143</v>
      </c>
      <c r="AI402" s="6">
        <f>Deals_Raw!AK402</f>
        <v>43208.933862638994</v>
      </c>
      <c r="AJ402" t="str">
        <f>Deals_Raw!AL402</f>
        <v>First purchase under this contract</v>
      </c>
      <c r="AK402" s="9">
        <f t="shared" si="42"/>
        <v>0.58333333333333337</v>
      </c>
      <c r="AL402" s="8">
        <f t="shared" si="43"/>
        <v>0.85944885574980823</v>
      </c>
      <c r="AM402" s="8">
        <f t="shared" si="44"/>
        <v>5.9000000000000025E-2</v>
      </c>
      <c r="AN402" t="str">
        <f>IF(AC402&lt;Pricing_Policy!$C$10,"Below Floor","Pass")</f>
        <v>Pass</v>
      </c>
      <c r="AO402" t="str">
        <f>IF(V402&gt;Pricing_Policy!$C$7,"Exception","Standard")</f>
        <v>Standard</v>
      </c>
      <c r="AP402" t="str">
        <f t="shared" si="45"/>
        <v>Pass</v>
      </c>
      <c r="AQ402">
        <f t="shared" si="46"/>
        <v>1</v>
      </c>
      <c r="AR402" s="8">
        <f t="shared" si="47"/>
        <v>0.51005799842186184</v>
      </c>
      <c r="AS402">
        <f t="shared" si="48"/>
        <v>1</v>
      </c>
    </row>
    <row r="403" spans="1:45">
      <c r="A403" t="str">
        <f>Deals_Raw!A403</f>
        <v>D00456</v>
      </c>
      <c r="B403">
        <f>Deals_Raw!B403</f>
        <v>45521</v>
      </c>
      <c r="C403" t="str">
        <f>Deals_Raw!C403</f>
        <v>C0113</v>
      </c>
      <c r="D403" t="str">
        <f>Deals_Raw!D403</f>
        <v>HEA-0113</v>
      </c>
      <c r="E403" t="str">
        <f>Deals_Raw!E403</f>
        <v>CT00242</v>
      </c>
      <c r="F403" t="str">
        <f>Deals_Raw!F403</f>
        <v>Technology</v>
      </c>
      <c r="G403" t="str">
        <f>Deals_Raw!G403</f>
        <v>Healthcare</v>
      </c>
      <c r="H403" t="str">
        <f>Deals_Raw!H403</f>
        <v>Northeast</v>
      </c>
      <c r="I403" t="str">
        <f>Deals_Raw!I403</f>
        <v>Northeast Commercial</v>
      </c>
      <c r="J403" t="str">
        <f>Deals_Raw!J403</f>
        <v>Mid-Market</v>
      </c>
      <c r="K403" t="str">
        <f>Deals_Raw!K403</f>
        <v>No</v>
      </c>
      <c r="L403">
        <f>Deals_Raw!L403</f>
        <v>45597</v>
      </c>
      <c r="M403">
        <f>Deals_Raw!M403</f>
        <v>50</v>
      </c>
      <c r="N403" t="str">
        <f>Deals_Raw!N403</f>
        <v>Nexus Analytics</v>
      </c>
      <c r="O403" t="str">
        <f>Deals_Raw!O403</f>
        <v>New Business</v>
      </c>
      <c r="P403">
        <f>Deals_Raw!P403</f>
        <v>0</v>
      </c>
      <c r="Q403">
        <f>Deals_Raw!Q403</f>
        <v>2</v>
      </c>
      <c r="R403">
        <f>Deals_Raw!R403</f>
        <v>183</v>
      </c>
      <c r="S403" t="str">
        <f>Deals_Raw!S403</f>
        <v>A. Patel</v>
      </c>
      <c r="T403" s="6">
        <f>Deals_Raw!T403</f>
        <v>73433.301661622652</v>
      </c>
      <c r="U403" s="8">
        <f>Deals_Raw!V403</f>
        <v>0.14799999999999999</v>
      </c>
      <c r="V403" s="8">
        <f>Deals_Raw!W403</f>
        <v>0.13900000000000001</v>
      </c>
      <c r="W403" s="8">
        <f>Deals_Raw!X403</f>
        <v>-9.0999999999999998E-2</v>
      </c>
      <c r="X403" t="str">
        <f>Deals_Raw!Y403</f>
        <v>Volume purchase</v>
      </c>
      <c r="Y403" t="str">
        <f>Deals_Raw!Z403</f>
        <v>Pricing Analyst</v>
      </c>
      <c r="Z403" s="6">
        <f>Deals_Raw!AA403</f>
        <v>63252.990610500165</v>
      </c>
      <c r="AA403" s="6">
        <f>Deals_Raw!AC403</f>
        <v>23582.435246890502</v>
      </c>
      <c r="AB403" s="6">
        <f>Deals_Raw!AD403</f>
        <v>39670.555363609659</v>
      </c>
      <c r="AC403" s="8">
        <f>Deals_Raw!AE403</f>
        <v>0.62717280211924464</v>
      </c>
      <c r="AD403" t="str">
        <f>Deals_Raw!AF403</f>
        <v>Won</v>
      </c>
      <c r="AE403">
        <f>Deals_Raw!AG403</f>
        <v>0</v>
      </c>
      <c r="AF403">
        <f>Deals_Raw!AH403</f>
        <v>0</v>
      </c>
      <c r="AG403" t="str">
        <f>Deals_Raw!AI403</f>
        <v>No</v>
      </c>
      <c r="AH403" s="6">
        <f>Deals_Raw!AJ403</f>
        <v>63252.990610500165</v>
      </c>
      <c r="AI403" s="6">
        <f>Deals_Raw!AK403</f>
        <v>39670.555363609659</v>
      </c>
      <c r="AJ403" t="str">
        <f>Deals_Raw!AL403</f>
        <v>First purchase under this contract</v>
      </c>
      <c r="AK403" s="9">
        <f t="shared" si="42"/>
        <v>0.20555555555555555</v>
      </c>
      <c r="AL403" s="8">
        <f t="shared" si="43"/>
        <v>0.86136656229849362</v>
      </c>
      <c r="AM403" s="8">
        <f t="shared" si="44"/>
        <v>8.9999999999999802E-3</v>
      </c>
      <c r="AN403" t="str">
        <f>IF(AC403&lt;Pricing_Policy!$C$10,"Below Floor","Pass")</f>
        <v>Pass</v>
      </c>
      <c r="AO403" t="str">
        <f>IF(V403&gt;Pricing_Policy!$C$7,"Exception","Standard")</f>
        <v>Standard</v>
      </c>
      <c r="AP403" t="str">
        <f t="shared" si="45"/>
        <v>Pass</v>
      </c>
      <c r="AQ403">
        <f t="shared" si="46"/>
        <v>1</v>
      </c>
      <c r="AR403" s="8">
        <f t="shared" si="47"/>
        <v>0.62717280211924464</v>
      </c>
      <c r="AS403">
        <f t="shared" si="48"/>
        <v>2</v>
      </c>
    </row>
    <row r="404" spans="1:45">
      <c r="A404" t="str">
        <f>Deals_Raw!A404</f>
        <v>D00457</v>
      </c>
      <c r="B404">
        <f>Deals_Raw!B404</f>
        <v>45762</v>
      </c>
      <c r="C404" t="str">
        <f>Deals_Raw!C404</f>
        <v>C0113</v>
      </c>
      <c r="D404" t="str">
        <f>Deals_Raw!D404</f>
        <v>HEA-0113</v>
      </c>
      <c r="E404" t="str">
        <f>Deals_Raw!E404</f>
        <v>CT00243</v>
      </c>
      <c r="F404" t="str">
        <f>Deals_Raw!F404</f>
        <v>Operations</v>
      </c>
      <c r="G404" t="str">
        <f>Deals_Raw!G404</f>
        <v>Healthcare</v>
      </c>
      <c r="H404" t="str">
        <f>Deals_Raw!H404</f>
        <v>Northeast</v>
      </c>
      <c r="I404" t="str">
        <f>Deals_Raw!I404</f>
        <v>Northeast Commercial</v>
      </c>
      <c r="J404" t="str">
        <f>Deals_Raw!J404</f>
        <v>Mid-Market</v>
      </c>
      <c r="K404" t="str">
        <f>Deals_Raw!K404</f>
        <v>No</v>
      </c>
      <c r="L404">
        <f>Deals_Raw!L404</f>
        <v>45597</v>
      </c>
      <c r="M404">
        <f>Deals_Raw!M404</f>
        <v>50</v>
      </c>
      <c r="N404" t="str">
        <f>Deals_Raw!N404</f>
        <v>Nexus Analytics</v>
      </c>
      <c r="O404" t="str">
        <f>Deals_Raw!O404</f>
        <v>New Business</v>
      </c>
      <c r="P404">
        <f>Deals_Raw!P404</f>
        <v>0</v>
      </c>
      <c r="Q404">
        <f>Deals_Raw!Q404</f>
        <v>1</v>
      </c>
      <c r="R404">
        <f>Deals_Raw!R404</f>
        <v>228</v>
      </c>
      <c r="S404" t="str">
        <f>Deals_Raw!S404</f>
        <v>A. Patel</v>
      </c>
      <c r="T404" s="6">
        <f>Deals_Raw!T404</f>
        <v>78299.517106819825</v>
      </c>
      <c r="U404" s="8">
        <f>Deals_Raw!V404</f>
        <v>0.13400000000000001</v>
      </c>
      <c r="V404" s="8">
        <f>Deals_Raw!W404</f>
        <v>8.5999999999999993E-2</v>
      </c>
      <c r="W404" s="8">
        <f>Deals_Raw!X404</f>
        <v>3.5999999999999997E-2</v>
      </c>
      <c r="X404" t="str">
        <f>Deals_Raw!Y404</f>
        <v>Verified competitor pressure</v>
      </c>
      <c r="Y404" t="str">
        <f>Deals_Raw!Z404</f>
        <v>Sales Manager</v>
      </c>
      <c r="Z404" s="6">
        <f>Deals_Raw!AA404</f>
        <v>71547.212779922949</v>
      </c>
      <c r="AA404" s="6">
        <f>Deals_Raw!AC404</f>
        <v>26963.226484156436</v>
      </c>
      <c r="AB404" s="6">
        <f>Deals_Raw!AD404</f>
        <v>44583.986295766517</v>
      </c>
      <c r="AC404" s="8">
        <f>Deals_Raw!AE404</f>
        <v>0.6231407844342659</v>
      </c>
      <c r="AD404" t="str">
        <f>Deals_Raw!AF404</f>
        <v>Won</v>
      </c>
      <c r="AE404">
        <f>Deals_Raw!AG404</f>
        <v>0</v>
      </c>
      <c r="AF404">
        <f>Deals_Raw!AH404</f>
        <v>0</v>
      </c>
      <c r="AG404" t="str">
        <f>Deals_Raw!AI404</f>
        <v>No</v>
      </c>
      <c r="AH404" s="6">
        <f>Deals_Raw!AJ404</f>
        <v>71547.212779922949</v>
      </c>
      <c r="AI404" s="6">
        <f>Deals_Raw!AK404</f>
        <v>44583.986295766517</v>
      </c>
      <c r="AJ404" t="str">
        <f>Deals_Raw!AL404</f>
        <v>First purchase under this contract</v>
      </c>
      <c r="AK404" s="9">
        <f t="shared" si="42"/>
        <v>0.45555555555555555</v>
      </c>
      <c r="AL404" s="8">
        <f t="shared" si="43"/>
        <v>0.91376314214447751</v>
      </c>
      <c r="AM404" s="8">
        <f t="shared" si="44"/>
        <v>4.8000000000000015E-2</v>
      </c>
      <c r="AN404" t="str">
        <f>IF(AC404&lt;Pricing_Policy!$C$10,"Below Floor","Pass")</f>
        <v>Pass</v>
      </c>
      <c r="AO404" t="str">
        <f>IF(V404&gt;Pricing_Policy!$C$7,"Exception","Standard")</f>
        <v>Standard</v>
      </c>
      <c r="AP404" t="str">
        <f t="shared" si="45"/>
        <v>Pass</v>
      </c>
      <c r="AQ404">
        <f t="shared" si="46"/>
        <v>1</v>
      </c>
      <c r="AR404" s="8">
        <f t="shared" si="47"/>
        <v>0.6231407844342659</v>
      </c>
      <c r="AS404">
        <f t="shared" si="48"/>
        <v>2</v>
      </c>
    </row>
    <row r="405" spans="1:45">
      <c r="A405" t="str">
        <f>Deals_Raw!A405</f>
        <v>D00458</v>
      </c>
      <c r="B405">
        <f>Deals_Raw!B405</f>
        <v>45658</v>
      </c>
      <c r="C405" t="str">
        <f>Deals_Raw!C405</f>
        <v>C0114</v>
      </c>
      <c r="D405" t="str">
        <f>Deals_Raw!D405</f>
        <v>TEC-0114</v>
      </c>
      <c r="E405" t="str">
        <f>Deals_Raw!E405</f>
        <v>CT00244</v>
      </c>
      <c r="F405" t="str">
        <f>Deals_Raw!F405</f>
        <v>Sales</v>
      </c>
      <c r="G405" t="str">
        <f>Deals_Raw!G405</f>
        <v>Technology</v>
      </c>
      <c r="H405" t="str">
        <f>Deals_Raw!H405</f>
        <v>West</v>
      </c>
      <c r="I405" t="str">
        <f>Deals_Raw!I405</f>
        <v>West Commercial</v>
      </c>
      <c r="J405" t="str">
        <f>Deals_Raw!J405</f>
        <v>Mid-Market</v>
      </c>
      <c r="K405" t="str">
        <f>Deals_Raw!K405</f>
        <v>No</v>
      </c>
      <c r="L405">
        <f>Deals_Raw!L405</f>
        <v>43891</v>
      </c>
      <c r="M405">
        <f>Deals_Raw!M405</f>
        <v>75</v>
      </c>
      <c r="N405" t="str">
        <f>Deals_Raw!N405</f>
        <v>Nexus Insights</v>
      </c>
      <c r="O405" t="str">
        <f>Deals_Raw!O405</f>
        <v>Renewal</v>
      </c>
      <c r="P405">
        <f>Deals_Raw!P405</f>
        <v>0</v>
      </c>
      <c r="Q405">
        <f>Deals_Raw!Q405</f>
        <v>3</v>
      </c>
      <c r="R405">
        <f>Deals_Raw!R405</f>
        <v>203</v>
      </c>
      <c r="S405" t="str">
        <f>Deals_Raw!S405</f>
        <v>D. Chen</v>
      </c>
      <c r="T405" s="6">
        <f>Deals_Raw!T405</f>
        <v>62347.656380579429</v>
      </c>
      <c r="U405" s="8">
        <f>Deals_Raw!V405</f>
        <v>9.4E-2</v>
      </c>
      <c r="V405" s="8">
        <f>Deals_Raw!W405</f>
        <v>7.0999999999999994E-2</v>
      </c>
      <c r="W405" s="8">
        <f>Deals_Raw!X405</f>
        <v>-5.0999999999999997E-2</v>
      </c>
      <c r="X405" t="str">
        <f>Deals_Raw!Y405</f>
        <v>Strategic logo opportunity</v>
      </c>
      <c r="Y405" t="str">
        <f>Deals_Raw!Z405</f>
        <v>Sales Manager</v>
      </c>
      <c r="Z405" s="6">
        <f>Deals_Raw!AA405</f>
        <v>57941.922356095325</v>
      </c>
      <c r="AA405" s="6">
        <f>Deals_Raw!AC405</f>
        <v>15151.995207902366</v>
      </c>
      <c r="AB405" s="6">
        <f>Deals_Raw!AD405</f>
        <v>42789.927148192961</v>
      </c>
      <c r="AC405" s="8">
        <f>Deals_Raw!AE405</f>
        <v>0.73849685009098742</v>
      </c>
      <c r="AD405" t="str">
        <f>Deals_Raw!AF405</f>
        <v>Won</v>
      </c>
      <c r="AE405" t="str">
        <f>Deals_Raw!AG405</f>
        <v>Yes</v>
      </c>
      <c r="AF405">
        <f>Deals_Raw!AH405</f>
        <v>0</v>
      </c>
      <c r="AG405" t="str">
        <f>Deals_Raw!AI405</f>
        <v>No</v>
      </c>
      <c r="AH405" s="6">
        <f>Deals_Raw!AJ405</f>
        <v>57941.922356095325</v>
      </c>
      <c r="AI405" s="6">
        <f>Deals_Raw!AK405</f>
        <v>42789.927148192961</v>
      </c>
      <c r="AJ405" t="str">
        <f>Deals_Raw!AL405</f>
        <v>Renewal of existing active contract</v>
      </c>
      <c r="AK405" s="9">
        <f t="shared" si="42"/>
        <v>4.833333333333333</v>
      </c>
      <c r="AL405" s="8">
        <f t="shared" si="43"/>
        <v>0.92933601228583729</v>
      </c>
      <c r="AM405" s="8">
        <f t="shared" si="44"/>
        <v>2.3000000000000007E-2</v>
      </c>
      <c r="AN405" t="str">
        <f>IF(AC405&lt;Pricing_Policy!$C$10,"Below Floor","Pass")</f>
        <v>Pass</v>
      </c>
      <c r="AO405" t="str">
        <f>IF(V405&gt;Pricing_Policy!$C$7,"Exception","Standard")</f>
        <v>Standard</v>
      </c>
      <c r="AP405" t="str">
        <f t="shared" si="45"/>
        <v>Pass</v>
      </c>
      <c r="AQ405">
        <f t="shared" si="46"/>
        <v>1</v>
      </c>
      <c r="AR405" s="8">
        <f t="shared" si="47"/>
        <v>0.73849685009098742</v>
      </c>
      <c r="AS405">
        <f t="shared" si="48"/>
        <v>3</v>
      </c>
    </row>
    <row r="406" spans="1:45">
      <c r="A406" t="str">
        <f>Deals_Raw!A406</f>
        <v>D00459</v>
      </c>
      <c r="B406">
        <f>Deals_Raw!B406</f>
        <v>45642</v>
      </c>
      <c r="C406" t="str">
        <f>Deals_Raw!C406</f>
        <v>C0114</v>
      </c>
      <c r="D406" t="str">
        <f>Deals_Raw!D406</f>
        <v>TEC-0114</v>
      </c>
      <c r="E406" t="str">
        <f>Deals_Raw!E406</f>
        <v>CT00245</v>
      </c>
      <c r="F406" t="str">
        <f>Deals_Raw!F406</f>
        <v>Operations</v>
      </c>
      <c r="G406" t="str">
        <f>Deals_Raw!G406</f>
        <v>Technology</v>
      </c>
      <c r="H406" t="str">
        <f>Deals_Raw!H406</f>
        <v>West</v>
      </c>
      <c r="I406" t="str">
        <f>Deals_Raw!I406</f>
        <v>West Commercial</v>
      </c>
      <c r="J406" t="str">
        <f>Deals_Raw!J406</f>
        <v>Mid-Market</v>
      </c>
      <c r="K406" t="str">
        <f>Deals_Raw!K406</f>
        <v>No</v>
      </c>
      <c r="L406">
        <f>Deals_Raw!L406</f>
        <v>43891</v>
      </c>
      <c r="M406">
        <f>Deals_Raw!M406</f>
        <v>75</v>
      </c>
      <c r="N406" t="str">
        <f>Deals_Raw!N406</f>
        <v>Nexus Insights</v>
      </c>
      <c r="O406" t="str">
        <f>Deals_Raw!O406</f>
        <v>Renewal</v>
      </c>
      <c r="P406">
        <f>Deals_Raw!P406</f>
        <v>0</v>
      </c>
      <c r="Q406">
        <f>Deals_Raw!Q406</f>
        <v>1</v>
      </c>
      <c r="R406">
        <f>Deals_Raw!R406</f>
        <v>122</v>
      </c>
      <c r="S406" t="str">
        <f>Deals_Raw!S406</f>
        <v>D. Chen</v>
      </c>
      <c r="T406" s="6">
        <f>Deals_Raw!T406</f>
        <v>42839.38035287353</v>
      </c>
      <c r="U406" s="8">
        <f>Deals_Raw!V406</f>
        <v>0.11799999999999999</v>
      </c>
      <c r="V406" s="8">
        <f>Deals_Raw!W406</f>
        <v>0.108</v>
      </c>
      <c r="W406" s="8">
        <f>Deals_Raw!X406</f>
        <v>-9.1999999999999998E-2</v>
      </c>
      <c r="X406" t="str">
        <f>Deals_Raw!Y406</f>
        <v>Budget constraint</v>
      </c>
      <c r="Y406" t="str">
        <f>Deals_Raw!Z406</f>
        <v>Pricing Analyst</v>
      </c>
      <c r="Z406" s="6">
        <f>Deals_Raw!AA406</f>
        <v>38202.203405482593</v>
      </c>
      <c r="AA406" s="6">
        <f>Deals_Raw!AC406</f>
        <v>11467.306082070731</v>
      </c>
      <c r="AB406" s="6">
        <f>Deals_Raw!AD406</f>
        <v>26734.89732341186</v>
      </c>
      <c r="AC406" s="8">
        <f>Deals_Raw!AE406</f>
        <v>0.69982605557183641</v>
      </c>
      <c r="AD406" t="str">
        <f>Deals_Raw!AF406</f>
        <v>Won</v>
      </c>
      <c r="AE406" t="str">
        <f>Deals_Raw!AG406</f>
        <v>Yes</v>
      </c>
      <c r="AF406">
        <f>Deals_Raw!AH406</f>
        <v>0</v>
      </c>
      <c r="AG406" t="str">
        <f>Deals_Raw!AI406</f>
        <v>No</v>
      </c>
      <c r="AH406" s="6">
        <f>Deals_Raw!AJ406</f>
        <v>38202.203405482593</v>
      </c>
      <c r="AI406" s="6">
        <f>Deals_Raw!AK406</f>
        <v>26734.89732341186</v>
      </c>
      <c r="AJ406" t="str">
        <f>Deals_Raw!AL406</f>
        <v>Renewal of existing active contract</v>
      </c>
      <c r="AK406" s="9">
        <f t="shared" si="42"/>
        <v>4.791666666666667</v>
      </c>
      <c r="AL406" s="8">
        <f t="shared" si="43"/>
        <v>0.8917543412347726</v>
      </c>
      <c r="AM406" s="8">
        <f t="shared" si="44"/>
        <v>9.999999999999995E-3</v>
      </c>
      <c r="AN406" t="str">
        <f>IF(AC406&lt;Pricing_Policy!$C$10,"Below Floor","Pass")</f>
        <v>Pass</v>
      </c>
      <c r="AO406" t="str">
        <f>IF(V406&gt;Pricing_Policy!$C$7,"Exception","Standard")</f>
        <v>Standard</v>
      </c>
      <c r="AP406" t="str">
        <f t="shared" si="45"/>
        <v>Pass</v>
      </c>
      <c r="AQ406">
        <f t="shared" si="46"/>
        <v>1</v>
      </c>
      <c r="AR406" s="8">
        <f t="shared" si="47"/>
        <v>0.69982605557183641</v>
      </c>
      <c r="AS406">
        <f t="shared" si="48"/>
        <v>3</v>
      </c>
    </row>
    <row r="407" spans="1:45">
      <c r="A407" t="str">
        <f>Deals_Raw!A407</f>
        <v>D00460</v>
      </c>
      <c r="B407">
        <f>Deals_Raw!B407</f>
        <v>46007</v>
      </c>
      <c r="C407" t="str">
        <f>Deals_Raw!C407</f>
        <v>C0114</v>
      </c>
      <c r="D407" t="str">
        <f>Deals_Raw!D407</f>
        <v>TEC-0114</v>
      </c>
      <c r="E407" t="str">
        <f>Deals_Raw!E407</f>
        <v>CT00245</v>
      </c>
      <c r="F407" t="str">
        <f>Deals_Raw!F407</f>
        <v>Operations</v>
      </c>
      <c r="G407" t="str">
        <f>Deals_Raw!G407</f>
        <v>Technology</v>
      </c>
      <c r="H407" t="str">
        <f>Deals_Raw!H407</f>
        <v>West</v>
      </c>
      <c r="I407" t="str">
        <f>Deals_Raw!I407</f>
        <v>West Commercial</v>
      </c>
      <c r="J407" t="str">
        <f>Deals_Raw!J407</f>
        <v>Mid-Market</v>
      </c>
      <c r="K407" t="str">
        <f>Deals_Raw!K407</f>
        <v>No</v>
      </c>
      <c r="L407">
        <f>Deals_Raw!L407</f>
        <v>43891</v>
      </c>
      <c r="M407">
        <f>Deals_Raw!M407</f>
        <v>75</v>
      </c>
      <c r="N407" t="str">
        <f>Deals_Raw!N407</f>
        <v>Nexus Insights</v>
      </c>
      <c r="O407" t="str">
        <f>Deals_Raw!O407</f>
        <v>Renewal</v>
      </c>
      <c r="P407">
        <f>Deals_Raw!P407</f>
        <v>0</v>
      </c>
      <c r="Q407">
        <f>Deals_Raw!Q407</f>
        <v>1</v>
      </c>
      <c r="R407">
        <f>Deals_Raw!R407</f>
        <v>122</v>
      </c>
      <c r="S407" t="str">
        <f>Deals_Raw!S407</f>
        <v>S. Rivera</v>
      </c>
      <c r="T407" s="6">
        <f>Deals_Raw!T407</f>
        <v>45785.665500021627</v>
      </c>
      <c r="U407" s="8">
        <f>Deals_Raw!V407</f>
        <v>0.124</v>
      </c>
      <c r="V407" s="8">
        <f>Deals_Raw!W407</f>
        <v>0.113</v>
      </c>
      <c r="W407" s="8">
        <f>Deals_Raw!X407</f>
        <v>0.09</v>
      </c>
      <c r="X407" t="str">
        <f>Deals_Raw!Y407</f>
        <v>Procurement requirement</v>
      </c>
      <c r="Y407" t="str">
        <f>Deals_Raw!Z407</f>
        <v>Pricing Analyst</v>
      </c>
      <c r="Z407" s="6">
        <f>Deals_Raw!AA407</f>
        <v>40610.665471120526</v>
      </c>
      <c r="AA407" s="6">
        <f>Deals_Raw!AC407</f>
        <v>14676.51048115718</v>
      </c>
      <c r="AB407" s="6">
        <f>Deals_Raw!AD407</f>
        <v>25934.154989963346</v>
      </c>
      <c r="AC407" s="8">
        <f>Deals_Raw!AE407</f>
        <v>0.6386045313245583</v>
      </c>
      <c r="AD407" t="str">
        <f>Deals_Raw!AF407</f>
        <v>Won</v>
      </c>
      <c r="AE407" t="str">
        <f>Deals_Raw!AG407</f>
        <v>Yes</v>
      </c>
      <c r="AF407">
        <f>Deals_Raw!AH407</f>
        <v>0</v>
      </c>
      <c r="AG407" t="str">
        <f>Deals_Raw!AI407</f>
        <v>No</v>
      </c>
      <c r="AH407" s="6">
        <f>Deals_Raw!AJ407</f>
        <v>40610.665471120526</v>
      </c>
      <c r="AI407" s="6">
        <f>Deals_Raw!AK407</f>
        <v>25934.154989963346</v>
      </c>
      <c r="AJ407" t="str">
        <f>Deals_Raw!AL407</f>
        <v>Renewal of existing active contract</v>
      </c>
      <c r="AK407" s="9">
        <f t="shared" si="42"/>
        <v>5.791666666666667</v>
      </c>
      <c r="AL407" s="8">
        <f t="shared" si="43"/>
        <v>0.88697335787554177</v>
      </c>
      <c r="AM407" s="8">
        <f t="shared" si="44"/>
        <v>1.0999999999999996E-2</v>
      </c>
      <c r="AN407" t="str">
        <f>IF(AC407&lt;Pricing_Policy!$C$10,"Below Floor","Pass")</f>
        <v>Pass</v>
      </c>
      <c r="AO407" t="str">
        <f>IF(V407&gt;Pricing_Policy!$C$7,"Exception","Standard")</f>
        <v>Standard</v>
      </c>
      <c r="AP407" t="str">
        <f t="shared" si="45"/>
        <v>Pass</v>
      </c>
      <c r="AQ407">
        <f t="shared" si="46"/>
        <v>1</v>
      </c>
      <c r="AR407" s="8">
        <f t="shared" si="47"/>
        <v>0.6386045313245583</v>
      </c>
      <c r="AS407">
        <f t="shared" si="48"/>
        <v>3</v>
      </c>
    </row>
    <row r="408" spans="1:45">
      <c r="A408" t="str">
        <f>Deals_Raw!A408</f>
        <v>D00461</v>
      </c>
      <c r="B408">
        <f>Deals_Raw!B408</f>
        <v>45579</v>
      </c>
      <c r="C408" t="str">
        <f>Deals_Raw!C408</f>
        <v>C0115</v>
      </c>
      <c r="D408" t="str">
        <f>Deals_Raw!D408</f>
        <v>LEG-0115</v>
      </c>
      <c r="E408" t="str">
        <f>Deals_Raw!E408</f>
        <v>CT00246</v>
      </c>
      <c r="F408" t="str">
        <f>Deals_Raw!F408</f>
        <v>Sales</v>
      </c>
      <c r="G408" t="str">
        <f>Deals_Raw!G408</f>
        <v>Legal</v>
      </c>
      <c r="H408" t="str">
        <f>Deals_Raw!H408</f>
        <v>West</v>
      </c>
      <c r="I408" t="str">
        <f>Deals_Raw!I408</f>
        <v>West Commercial</v>
      </c>
      <c r="J408" t="str">
        <f>Deals_Raw!J408</f>
        <v>Mid-Market</v>
      </c>
      <c r="K408" t="str">
        <f>Deals_Raw!K408</f>
        <v>No</v>
      </c>
      <c r="L408">
        <f>Deals_Raw!L408</f>
        <v>44927</v>
      </c>
      <c r="M408">
        <f>Deals_Raw!M408</f>
        <v>62</v>
      </c>
      <c r="N408" t="str">
        <f>Deals_Raw!N408</f>
        <v>Nexus AI Assistant</v>
      </c>
      <c r="O408" t="str">
        <f>Deals_Raw!O408</f>
        <v>Renewal</v>
      </c>
      <c r="P408">
        <f>Deals_Raw!P408</f>
        <v>0</v>
      </c>
      <c r="Q408">
        <f>Deals_Raw!Q408</f>
        <v>1</v>
      </c>
      <c r="R408">
        <f>Deals_Raw!R408</f>
        <v>278</v>
      </c>
      <c r="S408" t="str">
        <f>Deals_Raw!S408</f>
        <v>R. Singh</v>
      </c>
      <c r="T408" s="6">
        <f>Deals_Raw!T408</f>
        <v>90221.807704716935</v>
      </c>
      <c r="U408" s="8">
        <f>Deals_Raw!V408</f>
        <v>7.3999999999999996E-2</v>
      </c>
      <c r="V408" s="8">
        <f>Deals_Raw!W408</f>
        <v>0.04</v>
      </c>
      <c r="W408" s="8">
        <f>Deals_Raw!X408</f>
        <v>-2.8000000000000001E-2</v>
      </c>
      <c r="X408" t="str">
        <f>Deals_Raw!Y408</f>
        <v>Renewal retention risk</v>
      </c>
      <c r="Y408" t="str">
        <f>Deals_Raw!Z408</f>
        <v>Sales Manager</v>
      </c>
      <c r="Z408" s="6">
        <f>Deals_Raw!AA408</f>
        <v>86636.454080786367</v>
      </c>
      <c r="AA408" s="6">
        <f>Deals_Raw!AC408</f>
        <v>31752.721987908393</v>
      </c>
      <c r="AB408" s="6">
        <f>Deals_Raw!AD408</f>
        <v>54883.732092877974</v>
      </c>
      <c r="AC408" s="8">
        <f>Deals_Raw!AE408</f>
        <v>0.63349467236621015</v>
      </c>
      <c r="AD408" t="str">
        <f>Deals_Raw!AF408</f>
        <v>Lost</v>
      </c>
      <c r="AE408" t="str">
        <f>Deals_Raw!AG408</f>
        <v>No</v>
      </c>
      <c r="AF408">
        <f>Deals_Raw!AH408</f>
        <v>0</v>
      </c>
      <c r="AG408" t="str">
        <f>Deals_Raw!AI408</f>
        <v>No</v>
      </c>
      <c r="AH408" s="6">
        <f>Deals_Raw!AJ408</f>
        <v>0</v>
      </c>
      <c r="AI408" s="6">
        <f>Deals_Raw!AK408</f>
        <v>0</v>
      </c>
      <c r="AJ408" t="str">
        <f>Deals_Raw!AL408</f>
        <v>Renewal of existing active contract</v>
      </c>
      <c r="AK408" s="9">
        <f t="shared" si="42"/>
        <v>1.7861111111111112</v>
      </c>
      <c r="AL408" s="8">
        <f t="shared" si="43"/>
        <v>0.96026067626947886</v>
      </c>
      <c r="AM408" s="8">
        <f t="shared" si="44"/>
        <v>3.3999999999999996E-2</v>
      </c>
      <c r="AN408" t="str">
        <f>IF(AC408&lt;Pricing_Policy!$C$10,"Below Floor","Pass")</f>
        <v>Pass</v>
      </c>
      <c r="AO408" t="str">
        <f>IF(V408&gt;Pricing_Policy!$C$7,"Exception","Standard")</f>
        <v>Standard</v>
      </c>
      <c r="AP408" t="str">
        <f t="shared" si="45"/>
        <v>Pass</v>
      </c>
      <c r="AQ408">
        <f t="shared" si="46"/>
        <v>0</v>
      </c>
      <c r="AR408" s="8">
        <f t="shared" si="47"/>
        <v>0</v>
      </c>
      <c r="AS408">
        <f t="shared" si="48"/>
        <v>3</v>
      </c>
    </row>
    <row r="409" spans="1:45">
      <c r="A409" t="str">
        <f>Deals_Raw!A409</f>
        <v>D00462</v>
      </c>
      <c r="B409">
        <f>Deals_Raw!B409</f>
        <v>45996</v>
      </c>
      <c r="C409" t="str">
        <f>Deals_Raw!C409</f>
        <v>C0115</v>
      </c>
      <c r="D409" t="str">
        <f>Deals_Raw!D409</f>
        <v>LEG-0115</v>
      </c>
      <c r="E409" t="str">
        <f>Deals_Raw!E409</f>
        <v>CT00246</v>
      </c>
      <c r="F409" t="str">
        <f>Deals_Raw!F409</f>
        <v>Sales</v>
      </c>
      <c r="G409" t="str">
        <f>Deals_Raw!G409</f>
        <v>Legal</v>
      </c>
      <c r="H409" t="str">
        <f>Deals_Raw!H409</f>
        <v>West</v>
      </c>
      <c r="I409" t="str">
        <f>Deals_Raw!I409</f>
        <v>West Commercial</v>
      </c>
      <c r="J409" t="str">
        <f>Deals_Raw!J409</f>
        <v>Mid-Market</v>
      </c>
      <c r="K409" t="str">
        <f>Deals_Raw!K409</f>
        <v>No</v>
      </c>
      <c r="L409">
        <f>Deals_Raw!L409</f>
        <v>44927</v>
      </c>
      <c r="M409">
        <f>Deals_Raw!M409</f>
        <v>62</v>
      </c>
      <c r="N409" t="str">
        <f>Deals_Raw!N409</f>
        <v>Nexus AI Assistant</v>
      </c>
      <c r="O409" t="str">
        <f>Deals_Raw!O409</f>
        <v>Win-back</v>
      </c>
      <c r="P409">
        <f>Deals_Raw!P409</f>
        <v>0</v>
      </c>
      <c r="Q409">
        <f>Deals_Raw!Q409</f>
        <v>1</v>
      </c>
      <c r="R409">
        <f>Deals_Raw!R409</f>
        <v>278</v>
      </c>
      <c r="S409" t="str">
        <f>Deals_Raw!S409</f>
        <v>M. Johnson</v>
      </c>
      <c r="T409" s="6">
        <f>Deals_Raw!T409</f>
        <v>90221.807704716935</v>
      </c>
      <c r="U409" s="8">
        <f>Deals_Raw!V409</f>
        <v>0.23400000000000001</v>
      </c>
      <c r="V409" s="8">
        <f>Deals_Raw!W409</f>
        <v>0.192</v>
      </c>
      <c r="W409" s="8">
        <f>Deals_Raw!X409</f>
        <v>-5.5E-2</v>
      </c>
      <c r="X409" t="str">
        <f>Deals_Raw!Y409</f>
        <v>Renewal retention risk</v>
      </c>
      <c r="Y409" t="str">
        <f>Deals_Raw!Z409</f>
        <v>Pricing Analyst</v>
      </c>
      <c r="Z409" s="6">
        <f>Deals_Raw!AA409</f>
        <v>72889.183931593143</v>
      </c>
      <c r="AA409" s="6">
        <f>Deals_Raw!AC409</f>
        <v>34150.039239386992</v>
      </c>
      <c r="AB409" s="6">
        <f>Deals_Raw!AD409</f>
        <v>38739.144692206151</v>
      </c>
      <c r="AC409" s="8">
        <f>Deals_Raw!AE409</f>
        <v>0.53148001668619349</v>
      </c>
      <c r="AD409" t="str">
        <f>Deals_Raw!AF409</f>
        <v>Won</v>
      </c>
      <c r="AE409">
        <f>Deals_Raw!AG409</f>
        <v>0</v>
      </c>
      <c r="AF409">
        <f>Deals_Raw!AH409</f>
        <v>0</v>
      </c>
      <c r="AG409" t="str">
        <f>Deals_Raw!AI409</f>
        <v>Yes</v>
      </c>
      <c r="AH409" s="6">
        <f>Deals_Raw!AJ409</f>
        <v>72889.183931593143</v>
      </c>
      <c r="AI409" s="6">
        <f>Deals_Raw!AK409</f>
        <v>38739.144692206151</v>
      </c>
      <c r="AJ409" t="str">
        <f>Deals_Raw!AL409</f>
        <v>Customer returned after lost renewal</v>
      </c>
      <c r="AK409" s="9">
        <f t="shared" si="42"/>
        <v>2.9277777777777776</v>
      </c>
      <c r="AL409" s="8">
        <f t="shared" si="43"/>
        <v>0.80788875534559235</v>
      </c>
      <c r="AM409" s="8">
        <f t="shared" si="44"/>
        <v>4.200000000000001E-2</v>
      </c>
      <c r="AN409" t="str">
        <f>IF(AC409&lt;Pricing_Policy!$C$10,"Below Floor","Pass")</f>
        <v>Pass</v>
      </c>
      <c r="AO409" t="str">
        <f>IF(V409&gt;Pricing_Policy!$C$7,"Exception","Standard")</f>
        <v>Standard</v>
      </c>
      <c r="AP409" t="str">
        <f t="shared" si="45"/>
        <v>Pass</v>
      </c>
      <c r="AQ409">
        <f t="shared" si="46"/>
        <v>1</v>
      </c>
      <c r="AR409" s="8">
        <f t="shared" si="47"/>
        <v>0.53148001668619349</v>
      </c>
      <c r="AS409">
        <f t="shared" si="48"/>
        <v>3</v>
      </c>
    </row>
    <row r="410" spans="1:45">
      <c r="A410" t="str">
        <f>Deals_Raw!A410</f>
        <v>D00463</v>
      </c>
      <c r="B410">
        <f>Deals_Raw!B410</f>
        <v>45758</v>
      </c>
      <c r="C410" t="str">
        <f>Deals_Raw!C410</f>
        <v>C0115</v>
      </c>
      <c r="D410" t="str">
        <f>Deals_Raw!D410</f>
        <v>LEG-0115</v>
      </c>
      <c r="E410" t="str">
        <f>Deals_Raw!E410</f>
        <v>CT00247</v>
      </c>
      <c r="F410" t="str">
        <f>Deals_Raw!F410</f>
        <v>Corporate</v>
      </c>
      <c r="G410" t="str">
        <f>Deals_Raw!G410</f>
        <v>Legal</v>
      </c>
      <c r="H410" t="str">
        <f>Deals_Raw!H410</f>
        <v>West</v>
      </c>
      <c r="I410" t="str">
        <f>Deals_Raw!I410</f>
        <v>West Commercial</v>
      </c>
      <c r="J410" t="str">
        <f>Deals_Raw!J410</f>
        <v>Mid-Market</v>
      </c>
      <c r="K410" t="str">
        <f>Deals_Raw!K410</f>
        <v>No</v>
      </c>
      <c r="L410">
        <f>Deals_Raw!L410</f>
        <v>44927</v>
      </c>
      <c r="M410">
        <f>Deals_Raw!M410</f>
        <v>62</v>
      </c>
      <c r="N410" t="str">
        <f>Deals_Raw!N410</f>
        <v>Nexus AI Assistant</v>
      </c>
      <c r="O410" t="str">
        <f>Deals_Raw!O410</f>
        <v>Renewal</v>
      </c>
      <c r="P410">
        <f>Deals_Raw!P410</f>
        <v>0</v>
      </c>
      <c r="Q410">
        <f>Deals_Raw!Q410</f>
        <v>2</v>
      </c>
      <c r="R410">
        <f>Deals_Raw!R410</f>
        <v>218</v>
      </c>
      <c r="S410" t="str">
        <f>Deals_Raw!S410</f>
        <v>D. Chen</v>
      </c>
      <c r="T410" s="6">
        <f>Deals_Raw!T410</f>
        <v>68969.936389096227</v>
      </c>
      <c r="U410" s="8">
        <f>Deals_Raw!V410</f>
        <v>0.14599999999999999</v>
      </c>
      <c r="V410" s="8">
        <f>Deals_Raw!W410</f>
        <v>0.14299999999999999</v>
      </c>
      <c r="W410" s="8">
        <f>Deals_Raw!X410</f>
        <v>-0.17899999999999999</v>
      </c>
      <c r="X410" t="str">
        <f>Deals_Raw!Y410</f>
        <v>Renewal retention risk</v>
      </c>
      <c r="Y410" t="str">
        <f>Deals_Raw!Z410</f>
        <v>Pricing Analyst</v>
      </c>
      <c r="Z410" s="6">
        <f>Deals_Raw!AA410</f>
        <v>59090.8642123873</v>
      </c>
      <c r="AA410" s="6">
        <f>Deals_Raw!AC410</f>
        <v>26548.163933663571</v>
      </c>
      <c r="AB410" s="6">
        <f>Deals_Raw!AD410</f>
        <v>32542.700278723729</v>
      </c>
      <c r="AC410" s="8">
        <f>Deals_Raw!AE410</f>
        <v>0.5507230383660856</v>
      </c>
      <c r="AD410" t="str">
        <f>Deals_Raw!AF410</f>
        <v>Won</v>
      </c>
      <c r="AE410" t="str">
        <f>Deals_Raw!AG410</f>
        <v>Yes</v>
      </c>
      <c r="AF410">
        <f>Deals_Raw!AH410</f>
        <v>0</v>
      </c>
      <c r="AG410" t="str">
        <f>Deals_Raw!AI410</f>
        <v>No</v>
      </c>
      <c r="AH410" s="6">
        <f>Deals_Raw!AJ410</f>
        <v>59090.8642123873</v>
      </c>
      <c r="AI410" s="6">
        <f>Deals_Raw!AK410</f>
        <v>32542.700278723729</v>
      </c>
      <c r="AJ410" t="str">
        <f>Deals_Raw!AL410</f>
        <v>Renewal of existing active contract</v>
      </c>
      <c r="AK410" s="9">
        <f t="shared" si="42"/>
        <v>2.2777777777777777</v>
      </c>
      <c r="AL410" s="8">
        <f t="shared" si="43"/>
        <v>0.85676263175050926</v>
      </c>
      <c r="AM410" s="8">
        <f t="shared" si="44"/>
        <v>3.0000000000000027E-3</v>
      </c>
      <c r="AN410" t="str">
        <f>IF(AC410&lt;Pricing_Policy!$C$10,"Below Floor","Pass")</f>
        <v>Pass</v>
      </c>
      <c r="AO410" t="str">
        <f>IF(V410&gt;Pricing_Policy!$C$7,"Exception","Standard")</f>
        <v>Standard</v>
      </c>
      <c r="AP410" t="str">
        <f t="shared" si="45"/>
        <v>Pass</v>
      </c>
      <c r="AQ410">
        <f t="shared" si="46"/>
        <v>1</v>
      </c>
      <c r="AR410" s="8">
        <f t="shared" si="47"/>
        <v>0.5507230383660856</v>
      </c>
      <c r="AS410">
        <f t="shared" si="48"/>
        <v>3</v>
      </c>
    </row>
    <row r="411" spans="1:45">
      <c r="A411" t="str">
        <f>Deals_Raw!A411</f>
        <v>D00464</v>
      </c>
      <c r="B411">
        <f>Deals_Raw!B411</f>
        <v>45422</v>
      </c>
      <c r="C411" t="str">
        <f>Deals_Raw!C411</f>
        <v>C0115</v>
      </c>
      <c r="D411" t="str">
        <f>Deals_Raw!D411</f>
        <v>LEG-0115</v>
      </c>
      <c r="E411" t="str">
        <f>Deals_Raw!E411</f>
        <v>CT00248</v>
      </c>
      <c r="F411" t="str">
        <f>Deals_Raw!F411</f>
        <v>Technology</v>
      </c>
      <c r="G411" t="str">
        <f>Deals_Raw!G411</f>
        <v>Legal</v>
      </c>
      <c r="H411" t="str">
        <f>Deals_Raw!H411</f>
        <v>West</v>
      </c>
      <c r="I411" t="str">
        <f>Deals_Raw!I411</f>
        <v>West Commercial</v>
      </c>
      <c r="J411" t="str">
        <f>Deals_Raw!J411</f>
        <v>Mid-Market</v>
      </c>
      <c r="K411" t="str">
        <f>Deals_Raw!K411</f>
        <v>No</v>
      </c>
      <c r="L411">
        <f>Deals_Raw!L411</f>
        <v>44927</v>
      </c>
      <c r="M411">
        <f>Deals_Raw!M411</f>
        <v>62</v>
      </c>
      <c r="N411" t="str">
        <f>Deals_Raw!N411</f>
        <v>Nexus Analytics</v>
      </c>
      <c r="O411" t="str">
        <f>Deals_Raw!O411</f>
        <v>New Business</v>
      </c>
      <c r="P411">
        <f>Deals_Raw!P411</f>
        <v>0</v>
      </c>
      <c r="Q411">
        <f>Deals_Raw!Q411</f>
        <v>2</v>
      </c>
      <c r="R411">
        <f>Deals_Raw!R411</f>
        <v>178</v>
      </c>
      <c r="S411" t="str">
        <f>Deals_Raw!S411</f>
        <v>M. Johnson</v>
      </c>
      <c r="T411" s="6">
        <f>Deals_Raw!T411</f>
        <v>72014.352573380384</v>
      </c>
      <c r="U411" s="8">
        <f>Deals_Raw!V411</f>
        <v>0.23400000000000001</v>
      </c>
      <c r="V411" s="8">
        <f>Deals_Raw!W411</f>
        <v>0.189</v>
      </c>
      <c r="W411" s="8">
        <f>Deals_Raw!X411</f>
        <v>0.122</v>
      </c>
      <c r="X411" t="str">
        <f>Deals_Raw!Y411</f>
        <v>Volume purchase</v>
      </c>
      <c r="Y411" t="str">
        <f>Deals_Raw!Z411</f>
        <v>Pricing Analyst</v>
      </c>
      <c r="Z411" s="6">
        <f>Deals_Raw!AA411</f>
        <v>58382.500948764588</v>
      </c>
      <c r="AA411" s="6">
        <f>Deals_Raw!AC411</f>
        <v>23433.968913601107</v>
      </c>
      <c r="AB411" s="6">
        <f>Deals_Raw!AD411</f>
        <v>34948.53203516348</v>
      </c>
      <c r="AC411" s="8">
        <f>Deals_Raw!AE411</f>
        <v>0.59861313693693374</v>
      </c>
      <c r="AD411" t="str">
        <f>Deals_Raw!AF411</f>
        <v>Won</v>
      </c>
      <c r="AE411">
        <f>Deals_Raw!AG411</f>
        <v>0</v>
      </c>
      <c r="AF411">
        <f>Deals_Raw!AH411</f>
        <v>0</v>
      </c>
      <c r="AG411" t="str">
        <f>Deals_Raw!AI411</f>
        <v>No</v>
      </c>
      <c r="AH411" s="6">
        <f>Deals_Raw!AJ411</f>
        <v>58382.500948764588</v>
      </c>
      <c r="AI411" s="6">
        <f>Deals_Raw!AK411</f>
        <v>34948.53203516348</v>
      </c>
      <c r="AJ411" t="str">
        <f>Deals_Raw!AL411</f>
        <v>First purchase under this contract</v>
      </c>
      <c r="AK411" s="9">
        <f t="shared" si="42"/>
        <v>1.3583333333333334</v>
      </c>
      <c r="AL411" s="8">
        <f t="shared" si="43"/>
        <v>0.8107064614553694</v>
      </c>
      <c r="AM411" s="8">
        <f t="shared" si="44"/>
        <v>4.5000000000000012E-2</v>
      </c>
      <c r="AN411" t="str">
        <f>IF(AC411&lt;Pricing_Policy!$C$10,"Below Floor","Pass")</f>
        <v>Pass</v>
      </c>
      <c r="AO411" t="str">
        <f>IF(V411&gt;Pricing_Policy!$C$7,"Exception","Standard")</f>
        <v>Standard</v>
      </c>
      <c r="AP411" t="str">
        <f t="shared" si="45"/>
        <v>Pass</v>
      </c>
      <c r="AQ411">
        <f t="shared" si="46"/>
        <v>1</v>
      </c>
      <c r="AR411" s="8">
        <f t="shared" si="47"/>
        <v>0.59861313693693374</v>
      </c>
      <c r="AS411">
        <f t="shared" si="48"/>
        <v>1</v>
      </c>
    </row>
    <row r="412" spans="1:45">
      <c r="A412" t="str">
        <f>Deals_Raw!A412</f>
        <v>D00465</v>
      </c>
      <c r="B412">
        <f>Deals_Raw!B412</f>
        <v>45616</v>
      </c>
      <c r="C412" t="str">
        <f>Deals_Raw!C412</f>
        <v>C0116</v>
      </c>
      <c r="D412" t="str">
        <f>Deals_Raw!D412</f>
        <v>LEG-0116</v>
      </c>
      <c r="E412" t="str">
        <f>Deals_Raw!E412</f>
        <v>CT00249</v>
      </c>
      <c r="F412" t="str">
        <f>Deals_Raw!F412</f>
        <v>Legal</v>
      </c>
      <c r="G412" t="str">
        <f>Deals_Raw!G412</f>
        <v>Legal</v>
      </c>
      <c r="H412" t="str">
        <f>Deals_Raw!H412</f>
        <v>Midwest</v>
      </c>
      <c r="I412" t="str">
        <f>Deals_Raw!I412</f>
        <v>Midwest Enterprise</v>
      </c>
      <c r="J412" t="str">
        <f>Deals_Raw!J412</f>
        <v>Enterprise</v>
      </c>
      <c r="K412" t="str">
        <f>Deals_Raw!K412</f>
        <v>Yes</v>
      </c>
      <c r="L412">
        <f>Deals_Raw!L412</f>
        <v>44075</v>
      </c>
      <c r="M412">
        <f>Deals_Raw!M412</f>
        <v>68</v>
      </c>
      <c r="N412" t="str">
        <f>Deals_Raw!N412</f>
        <v>Nexus Insights</v>
      </c>
      <c r="O412" t="str">
        <f>Deals_Raw!O412</f>
        <v>Expansion</v>
      </c>
      <c r="P412" t="str">
        <f>Deals_Raw!P412</f>
        <v>Seat Expansion</v>
      </c>
      <c r="Q412">
        <f>Deals_Raw!Q412</f>
        <v>2</v>
      </c>
      <c r="R412">
        <f>Deals_Raw!R412</f>
        <v>1927</v>
      </c>
      <c r="S412" t="str">
        <f>Deals_Raw!S412</f>
        <v>A. Patel</v>
      </c>
      <c r="T412" s="6">
        <f>Deals_Raw!T412</f>
        <v>148528.91308358641</v>
      </c>
      <c r="U412" s="8">
        <f>Deals_Raw!V412</f>
        <v>0.106</v>
      </c>
      <c r="V412" s="8">
        <f>Deals_Raw!W412</f>
        <v>9.5000000000000001E-2</v>
      </c>
      <c r="W412" s="8">
        <f>Deals_Raw!X412</f>
        <v>-3.5000000000000003E-2</v>
      </c>
      <c r="X412" t="str">
        <f>Deals_Raw!Y412</f>
        <v>Expansion opportunity</v>
      </c>
      <c r="Y412" t="str">
        <f>Deals_Raw!Z412</f>
        <v>Sales Manager</v>
      </c>
      <c r="Z412" s="6">
        <f>Deals_Raw!AA412</f>
        <v>134415.85381639283</v>
      </c>
      <c r="AA412" s="6">
        <f>Deals_Raw!AC412</f>
        <v>48579.711455735262</v>
      </c>
      <c r="AB412" s="6">
        <f>Deals_Raw!AD412</f>
        <v>85836.14236065757</v>
      </c>
      <c r="AC412" s="8">
        <f>Deals_Raw!AE412</f>
        <v>0.63858644589578417</v>
      </c>
      <c r="AD412" t="str">
        <f>Deals_Raw!AF412</f>
        <v>Lost</v>
      </c>
      <c r="AE412">
        <f>Deals_Raw!AG412</f>
        <v>0</v>
      </c>
      <c r="AF412" t="str">
        <f>Deals_Raw!AH412</f>
        <v>No</v>
      </c>
      <c r="AG412" t="str">
        <f>Deals_Raw!AI412</f>
        <v>No</v>
      </c>
      <c r="AH412" s="6">
        <f>Deals_Raw!AJ412</f>
        <v>0</v>
      </c>
      <c r="AI412" s="6">
        <f>Deals_Raw!AK412</f>
        <v>0</v>
      </c>
      <c r="AJ412" t="str">
        <f>Deals_Raw!AL412</f>
        <v>Expansion allowed because contract was active</v>
      </c>
      <c r="AK412" s="9">
        <f t="shared" si="42"/>
        <v>4.2194444444444441</v>
      </c>
      <c r="AL412" s="8">
        <f t="shared" si="43"/>
        <v>0.90498106412957269</v>
      </c>
      <c r="AM412" s="8">
        <f t="shared" si="44"/>
        <v>1.0999999999999996E-2</v>
      </c>
      <c r="AN412" t="str">
        <f>IF(AC412&lt;Pricing_Policy!$C$10,"Below Floor","Pass")</f>
        <v>Pass</v>
      </c>
      <c r="AO412" t="str">
        <f>IF(V412&gt;Pricing_Policy!$C$7,"Exception","Standard")</f>
        <v>Standard</v>
      </c>
      <c r="AP412" t="str">
        <f t="shared" si="45"/>
        <v>Pass</v>
      </c>
      <c r="AQ412">
        <f t="shared" si="46"/>
        <v>0</v>
      </c>
      <c r="AR412" s="8">
        <f t="shared" si="47"/>
        <v>0</v>
      </c>
      <c r="AS412">
        <f t="shared" si="48"/>
        <v>2</v>
      </c>
    </row>
    <row r="413" spans="1:45">
      <c r="A413" t="str">
        <f>Deals_Raw!A413</f>
        <v>D00466</v>
      </c>
      <c r="B413">
        <f>Deals_Raw!B413</f>
        <v>45707</v>
      </c>
      <c r="C413" t="str">
        <f>Deals_Raw!C413</f>
        <v>C0116</v>
      </c>
      <c r="D413" t="str">
        <f>Deals_Raw!D413</f>
        <v>LEG-0116</v>
      </c>
      <c r="E413" t="str">
        <f>Deals_Raw!E413</f>
        <v>CT00249</v>
      </c>
      <c r="F413" t="str">
        <f>Deals_Raw!F413</f>
        <v>Legal</v>
      </c>
      <c r="G413" t="str">
        <f>Deals_Raw!G413</f>
        <v>Legal</v>
      </c>
      <c r="H413" t="str">
        <f>Deals_Raw!H413</f>
        <v>Midwest</v>
      </c>
      <c r="I413" t="str">
        <f>Deals_Raw!I413</f>
        <v>Midwest Enterprise</v>
      </c>
      <c r="J413" t="str">
        <f>Deals_Raw!J413</f>
        <v>Enterprise</v>
      </c>
      <c r="K413" t="str">
        <f>Deals_Raw!K413</f>
        <v>Yes</v>
      </c>
      <c r="L413">
        <f>Deals_Raw!L413</f>
        <v>44075</v>
      </c>
      <c r="M413">
        <f>Deals_Raw!M413</f>
        <v>68</v>
      </c>
      <c r="N413" t="str">
        <f>Deals_Raw!N413</f>
        <v>Nexus Insights</v>
      </c>
      <c r="O413" t="str">
        <f>Deals_Raw!O413</f>
        <v>Renewal</v>
      </c>
      <c r="P413">
        <f>Deals_Raw!P413</f>
        <v>0</v>
      </c>
      <c r="Q413">
        <f>Deals_Raw!Q413</f>
        <v>2</v>
      </c>
      <c r="R413">
        <f>Deals_Raw!R413</f>
        <v>1630</v>
      </c>
      <c r="S413" t="str">
        <f>Deals_Raw!S413</f>
        <v>T. Brooks</v>
      </c>
      <c r="T413" s="6">
        <f>Deals_Raw!T413</f>
        <v>124007.66537149505</v>
      </c>
      <c r="U413" s="8">
        <f>Deals_Raw!V413</f>
        <v>4.7E-2</v>
      </c>
      <c r="V413" s="8">
        <f>Deals_Raw!W413</f>
        <v>0.02</v>
      </c>
      <c r="W413" s="8">
        <f>Deals_Raw!X413</f>
        <v>-5.3999999999999999E-2</v>
      </c>
      <c r="X413" t="str">
        <f>Deals_Raw!Y413</f>
        <v>Renewal retention risk</v>
      </c>
      <c r="Y413" t="str">
        <f>Deals_Raw!Z413</f>
        <v>Sales Manager</v>
      </c>
      <c r="Z413" s="6">
        <f>Deals_Raw!AA413</f>
        <v>121514.60377640698</v>
      </c>
      <c r="AA413" s="6">
        <f>Deals_Raw!AC413</f>
        <v>25072.191641210182</v>
      </c>
      <c r="AB413" s="6">
        <f>Deals_Raw!AD413</f>
        <v>96442.412135196791</v>
      </c>
      <c r="AC413" s="8">
        <f>Deals_Raw!AE413</f>
        <v>0.79366931330044665</v>
      </c>
      <c r="AD413" t="str">
        <f>Deals_Raw!AF413</f>
        <v>Won</v>
      </c>
      <c r="AE413" t="str">
        <f>Deals_Raw!AG413</f>
        <v>Yes</v>
      </c>
      <c r="AF413">
        <f>Deals_Raw!AH413</f>
        <v>0</v>
      </c>
      <c r="AG413" t="str">
        <f>Deals_Raw!AI413</f>
        <v>No</v>
      </c>
      <c r="AH413" s="6">
        <f>Deals_Raw!AJ413</f>
        <v>121514.60377640698</v>
      </c>
      <c r="AI413" s="6">
        <f>Deals_Raw!AK413</f>
        <v>96442.412135196791</v>
      </c>
      <c r="AJ413" t="str">
        <f>Deals_Raw!AL413</f>
        <v>Renewal of existing active contract</v>
      </c>
      <c r="AK413" s="9">
        <f t="shared" si="42"/>
        <v>4.4666666666666668</v>
      </c>
      <c r="AL413" s="8">
        <f t="shared" si="43"/>
        <v>0.97989590734073173</v>
      </c>
      <c r="AM413" s="8">
        <f t="shared" si="44"/>
        <v>2.7E-2</v>
      </c>
      <c r="AN413" t="str">
        <f>IF(AC413&lt;Pricing_Policy!$C$10,"Below Floor","Pass")</f>
        <v>Pass</v>
      </c>
      <c r="AO413" t="str">
        <f>IF(V413&gt;Pricing_Policy!$C$7,"Exception","Standard")</f>
        <v>Standard</v>
      </c>
      <c r="AP413" t="str">
        <f t="shared" si="45"/>
        <v>Pass</v>
      </c>
      <c r="AQ413">
        <f t="shared" si="46"/>
        <v>1</v>
      </c>
      <c r="AR413" s="8">
        <f t="shared" si="47"/>
        <v>0.79366931330044665</v>
      </c>
      <c r="AS413">
        <f t="shared" si="48"/>
        <v>2</v>
      </c>
    </row>
    <row r="414" spans="1:45">
      <c r="A414" t="str">
        <f>Deals_Raw!A414</f>
        <v>D00467</v>
      </c>
      <c r="B414">
        <f>Deals_Raw!B414</f>
        <v>45542</v>
      </c>
      <c r="C414" t="str">
        <f>Deals_Raw!C414</f>
        <v>C0116</v>
      </c>
      <c r="D414" t="str">
        <f>Deals_Raw!D414</f>
        <v>LEG-0116</v>
      </c>
      <c r="E414" t="str">
        <f>Deals_Raw!E414</f>
        <v>CT00250</v>
      </c>
      <c r="F414" t="str">
        <f>Deals_Raw!F414</f>
        <v>Corporate</v>
      </c>
      <c r="G414" t="str">
        <f>Deals_Raw!G414</f>
        <v>Legal</v>
      </c>
      <c r="H414" t="str">
        <f>Deals_Raw!H414</f>
        <v>Midwest</v>
      </c>
      <c r="I414" t="str">
        <f>Deals_Raw!I414</f>
        <v>Midwest Enterprise</v>
      </c>
      <c r="J414" t="str">
        <f>Deals_Raw!J414</f>
        <v>Enterprise</v>
      </c>
      <c r="K414" t="str">
        <f>Deals_Raw!K414</f>
        <v>Yes</v>
      </c>
      <c r="L414">
        <f>Deals_Raw!L414</f>
        <v>44075</v>
      </c>
      <c r="M414">
        <f>Deals_Raw!M414</f>
        <v>68</v>
      </c>
      <c r="N414" t="str">
        <f>Deals_Raw!N414</f>
        <v>Nexus Analytics</v>
      </c>
      <c r="O414" t="str">
        <f>Deals_Raw!O414</f>
        <v>Renewal</v>
      </c>
      <c r="P414">
        <f>Deals_Raw!P414</f>
        <v>0</v>
      </c>
      <c r="Q414">
        <f>Deals_Raw!Q414</f>
        <v>1</v>
      </c>
      <c r="R414">
        <f>Deals_Raw!R414</f>
        <v>648</v>
      </c>
      <c r="S414" t="str">
        <f>Deals_Raw!S414</f>
        <v>T. Brooks</v>
      </c>
      <c r="T414" s="6">
        <f>Deals_Raw!T414</f>
        <v>402513.51369901071</v>
      </c>
      <c r="U414" s="8">
        <f>Deals_Raw!V414</f>
        <v>5.6000000000000001E-2</v>
      </c>
      <c r="V414" s="8">
        <f>Deals_Raw!W414</f>
        <v>2.5000000000000001E-2</v>
      </c>
      <c r="W414" s="8">
        <f>Deals_Raw!X414</f>
        <v>-3.7999999999999999E-2</v>
      </c>
      <c r="X414" t="str">
        <f>Deals_Raw!Y414</f>
        <v>Expansion opportunity</v>
      </c>
      <c r="Y414" t="str">
        <f>Deals_Raw!Z414</f>
        <v>Sales Manager</v>
      </c>
      <c r="Z414" s="6">
        <f>Deals_Raw!AA414</f>
        <v>392448.9433422233</v>
      </c>
      <c r="AA414" s="6">
        <f>Deals_Raw!AC414</f>
        <v>125836.91233929394</v>
      </c>
      <c r="AB414" s="6">
        <f>Deals_Raw!AD414</f>
        <v>266612.03100292938</v>
      </c>
      <c r="AC414" s="8">
        <f>Deals_Raw!AE414</f>
        <v>0.67935469193106823</v>
      </c>
      <c r="AD414" t="str">
        <f>Deals_Raw!AF414</f>
        <v>Won</v>
      </c>
      <c r="AE414" t="str">
        <f>Deals_Raw!AG414</f>
        <v>Yes</v>
      </c>
      <c r="AF414">
        <f>Deals_Raw!AH414</f>
        <v>0</v>
      </c>
      <c r="AG414" t="str">
        <f>Deals_Raw!AI414</f>
        <v>No</v>
      </c>
      <c r="AH414" s="6">
        <f>Deals_Raw!AJ414</f>
        <v>392448.9433422233</v>
      </c>
      <c r="AI414" s="6">
        <f>Deals_Raw!AK414</f>
        <v>266612.03100292938</v>
      </c>
      <c r="AJ414" t="str">
        <f>Deals_Raw!AL414</f>
        <v>Renewal of existing active contract</v>
      </c>
      <c r="AK414" s="9">
        <f t="shared" si="42"/>
        <v>4.0166666666666666</v>
      </c>
      <c r="AL414" s="8">
        <f t="shared" si="43"/>
        <v>0.9749956957611281</v>
      </c>
      <c r="AM414" s="8">
        <f t="shared" si="44"/>
        <v>3.1E-2</v>
      </c>
      <c r="AN414" t="str">
        <f>IF(AC414&lt;Pricing_Policy!$C$10,"Below Floor","Pass")</f>
        <v>Pass</v>
      </c>
      <c r="AO414" t="str">
        <f>IF(V414&gt;Pricing_Policy!$C$7,"Exception","Standard")</f>
        <v>Standard</v>
      </c>
      <c r="AP414" t="str">
        <f t="shared" si="45"/>
        <v>Pass</v>
      </c>
      <c r="AQ414">
        <f t="shared" si="46"/>
        <v>1</v>
      </c>
      <c r="AR414" s="8">
        <f t="shared" si="47"/>
        <v>0.67935469193106823</v>
      </c>
      <c r="AS414">
        <f t="shared" si="48"/>
        <v>2</v>
      </c>
    </row>
    <row r="415" spans="1:45">
      <c r="A415" t="str">
        <f>Deals_Raw!A415</f>
        <v>D00468</v>
      </c>
      <c r="B415">
        <f>Deals_Raw!B415</f>
        <v>45907</v>
      </c>
      <c r="C415" t="str">
        <f>Deals_Raw!C415</f>
        <v>C0116</v>
      </c>
      <c r="D415" t="str">
        <f>Deals_Raw!D415</f>
        <v>LEG-0116</v>
      </c>
      <c r="E415" t="str">
        <f>Deals_Raw!E415</f>
        <v>CT00250</v>
      </c>
      <c r="F415" t="str">
        <f>Deals_Raw!F415</f>
        <v>Corporate</v>
      </c>
      <c r="G415" t="str">
        <f>Deals_Raw!G415</f>
        <v>Legal</v>
      </c>
      <c r="H415" t="str">
        <f>Deals_Raw!H415</f>
        <v>Midwest</v>
      </c>
      <c r="I415" t="str">
        <f>Deals_Raw!I415</f>
        <v>Midwest Enterprise</v>
      </c>
      <c r="J415" t="str">
        <f>Deals_Raw!J415</f>
        <v>Enterprise</v>
      </c>
      <c r="K415" t="str">
        <f>Deals_Raw!K415</f>
        <v>Yes</v>
      </c>
      <c r="L415">
        <f>Deals_Raw!L415</f>
        <v>44075</v>
      </c>
      <c r="M415">
        <f>Deals_Raw!M415</f>
        <v>68</v>
      </c>
      <c r="N415" t="str">
        <f>Deals_Raw!N415</f>
        <v>Nexus Analytics</v>
      </c>
      <c r="O415" t="str">
        <f>Deals_Raw!O415</f>
        <v>Renewal</v>
      </c>
      <c r="P415">
        <f>Deals_Raw!P415</f>
        <v>0</v>
      </c>
      <c r="Q415">
        <f>Deals_Raw!Q415</f>
        <v>1</v>
      </c>
      <c r="R415">
        <f>Deals_Raw!R415</f>
        <v>648</v>
      </c>
      <c r="S415" t="str">
        <f>Deals_Raw!S415</f>
        <v>K. Nguyen</v>
      </c>
      <c r="T415" s="6">
        <f>Deals_Raw!T415</f>
        <v>425790.35012384161</v>
      </c>
      <c r="U415" s="8">
        <f>Deals_Raw!V415</f>
        <v>6.0999999999999999E-2</v>
      </c>
      <c r="V415" s="8">
        <f>Deals_Raw!W415</f>
        <v>5.6000000000000001E-2</v>
      </c>
      <c r="W415" s="8">
        <f>Deals_Raw!X415</f>
        <v>-3.5000000000000003E-2</v>
      </c>
      <c r="X415" t="str">
        <f>Deals_Raw!Y415</f>
        <v>Expansion opportunity</v>
      </c>
      <c r="Y415" t="str">
        <f>Deals_Raw!Z415</f>
        <v>Sales Manager</v>
      </c>
      <c r="Z415" s="6">
        <f>Deals_Raw!AA415</f>
        <v>401899.16041796241</v>
      </c>
      <c r="AA415" s="6">
        <f>Deals_Raw!AC415</f>
        <v>131313.36781094669</v>
      </c>
      <c r="AB415" s="6">
        <f>Deals_Raw!AD415</f>
        <v>270585.7926070157</v>
      </c>
      <c r="AC415" s="8">
        <f>Deals_Raw!AE415</f>
        <v>0.67326787228322404</v>
      </c>
      <c r="AD415" t="str">
        <f>Deals_Raw!AF415</f>
        <v>Won</v>
      </c>
      <c r="AE415" t="str">
        <f>Deals_Raw!AG415</f>
        <v>Yes</v>
      </c>
      <c r="AF415">
        <f>Deals_Raw!AH415</f>
        <v>0</v>
      </c>
      <c r="AG415" t="str">
        <f>Deals_Raw!AI415</f>
        <v>No</v>
      </c>
      <c r="AH415" s="6">
        <f>Deals_Raw!AJ415</f>
        <v>401899.16041796241</v>
      </c>
      <c r="AI415" s="6">
        <f>Deals_Raw!AK415</f>
        <v>270585.7926070157</v>
      </c>
      <c r="AJ415" t="str">
        <f>Deals_Raw!AL415</f>
        <v>Renewal of existing active contract</v>
      </c>
      <c r="AK415" s="9">
        <f t="shared" si="42"/>
        <v>5.0166666666666666</v>
      </c>
      <c r="AL415" s="8">
        <f t="shared" si="43"/>
        <v>0.94388978120586708</v>
      </c>
      <c r="AM415" s="8">
        <f t="shared" si="44"/>
        <v>4.9999999999999975E-3</v>
      </c>
      <c r="AN415" t="str">
        <f>IF(AC415&lt;Pricing_Policy!$C$10,"Below Floor","Pass")</f>
        <v>Pass</v>
      </c>
      <c r="AO415" t="str">
        <f>IF(V415&gt;Pricing_Policy!$C$7,"Exception","Standard")</f>
        <v>Standard</v>
      </c>
      <c r="AP415" t="str">
        <f t="shared" si="45"/>
        <v>Pass</v>
      </c>
      <c r="AQ415">
        <f t="shared" si="46"/>
        <v>1</v>
      </c>
      <c r="AR415" s="8">
        <f t="shared" si="47"/>
        <v>0.67326787228322404</v>
      </c>
      <c r="AS415">
        <f t="shared" si="48"/>
        <v>2</v>
      </c>
    </row>
    <row r="416" spans="1:45">
      <c r="A416" t="str">
        <f>Deals_Raw!A416</f>
        <v>D00469</v>
      </c>
      <c r="B416">
        <f>Deals_Raw!B416</f>
        <v>45707</v>
      </c>
      <c r="C416" t="str">
        <f>Deals_Raw!C416</f>
        <v>C0117</v>
      </c>
      <c r="D416" t="str">
        <f>Deals_Raw!D416</f>
        <v>LEG-0117</v>
      </c>
      <c r="E416" t="str">
        <f>Deals_Raw!E416</f>
        <v>CT00251</v>
      </c>
      <c r="F416" t="str">
        <f>Deals_Raw!F416</f>
        <v>Sales</v>
      </c>
      <c r="G416" t="str">
        <f>Deals_Raw!G416</f>
        <v>Legal</v>
      </c>
      <c r="H416" t="str">
        <f>Deals_Raw!H416</f>
        <v>West</v>
      </c>
      <c r="I416" t="str">
        <f>Deals_Raw!I416</f>
        <v>West Enterprise</v>
      </c>
      <c r="J416" t="str">
        <f>Deals_Raw!J416</f>
        <v>Enterprise</v>
      </c>
      <c r="K416" t="str">
        <f>Deals_Raw!K416</f>
        <v>Yes</v>
      </c>
      <c r="L416">
        <f>Deals_Raw!L416</f>
        <v>43525</v>
      </c>
      <c r="M416">
        <f>Deals_Raw!M416</f>
        <v>73</v>
      </c>
      <c r="N416" t="str">
        <f>Deals_Raw!N416</f>
        <v>Nexus AI Assistant</v>
      </c>
      <c r="O416" t="str">
        <f>Deals_Raw!O416</f>
        <v>New Business</v>
      </c>
      <c r="P416">
        <f>Deals_Raw!P416</f>
        <v>0</v>
      </c>
      <c r="Q416">
        <f>Deals_Raw!Q416</f>
        <v>1</v>
      </c>
      <c r="R416">
        <f>Deals_Raw!R416</f>
        <v>1662</v>
      </c>
      <c r="S416" t="str">
        <f>Deals_Raw!S416</f>
        <v>S. Rivera</v>
      </c>
      <c r="T416" s="6">
        <f>Deals_Raw!T416</f>
        <v>122349.64832348214</v>
      </c>
      <c r="U416" s="8">
        <f>Deals_Raw!V416</f>
        <v>0.21299999999999999</v>
      </c>
      <c r="V416" s="8">
        <f>Deals_Raw!W416</f>
        <v>0.16900000000000001</v>
      </c>
      <c r="W416" s="8">
        <f>Deals_Raw!X416</f>
        <v>-0.10199999999999999</v>
      </c>
      <c r="X416" t="str">
        <f>Deals_Raw!Y416</f>
        <v>Multi-year commitment</v>
      </c>
      <c r="Y416" t="str">
        <f>Deals_Raw!Z416</f>
        <v>Pricing Analyst</v>
      </c>
      <c r="Z416" s="6">
        <f>Deals_Raw!AA416</f>
        <v>101680.21093929109</v>
      </c>
      <c r="AA416" s="6">
        <f>Deals_Raw!AC416</f>
        <v>50908.763739986425</v>
      </c>
      <c r="AB416" s="6">
        <f>Deals_Raw!AD416</f>
        <v>50771.447199304668</v>
      </c>
      <c r="AC416" s="8">
        <f>Deals_Raw!AE416</f>
        <v>0.49932476270744686</v>
      </c>
      <c r="AD416" t="str">
        <f>Deals_Raw!AF416</f>
        <v>Lost</v>
      </c>
      <c r="AE416">
        <f>Deals_Raw!AG416</f>
        <v>0</v>
      </c>
      <c r="AF416">
        <f>Deals_Raw!AH416</f>
        <v>0</v>
      </c>
      <c r="AG416" t="str">
        <f>Deals_Raw!AI416</f>
        <v>No</v>
      </c>
      <c r="AH416" s="6">
        <f>Deals_Raw!AJ416</f>
        <v>0</v>
      </c>
      <c r="AI416" s="6">
        <f>Deals_Raw!AK416</f>
        <v>0</v>
      </c>
      <c r="AJ416" t="str">
        <f>Deals_Raw!AL416</f>
        <v>First purchase under this contract</v>
      </c>
      <c r="AK416" s="9">
        <f t="shared" si="42"/>
        <v>5.9666666666666668</v>
      </c>
      <c r="AL416" s="8">
        <f t="shared" si="43"/>
        <v>0.83106255173253296</v>
      </c>
      <c r="AM416" s="8">
        <f t="shared" si="44"/>
        <v>4.3999999999999984E-2</v>
      </c>
      <c r="AN416" t="str">
        <f>IF(AC416&lt;Pricing_Policy!$C$10,"Below Floor","Pass")</f>
        <v>Pass</v>
      </c>
      <c r="AO416" t="str">
        <f>IF(V416&gt;Pricing_Policy!$C$7,"Exception","Standard")</f>
        <v>Standard</v>
      </c>
      <c r="AP416" t="str">
        <f t="shared" si="45"/>
        <v>Pass</v>
      </c>
      <c r="AQ416">
        <f t="shared" si="46"/>
        <v>0</v>
      </c>
      <c r="AR416" s="8">
        <f t="shared" si="47"/>
        <v>0</v>
      </c>
      <c r="AS416">
        <f t="shared" si="48"/>
        <v>1</v>
      </c>
    </row>
    <row r="417" spans="1:45">
      <c r="A417" t="str">
        <f>Deals_Raw!A417</f>
        <v>D00470</v>
      </c>
      <c r="B417">
        <f>Deals_Raw!B417</f>
        <v>45577</v>
      </c>
      <c r="C417" t="str">
        <f>Deals_Raw!C417</f>
        <v>C0118</v>
      </c>
      <c r="D417" t="str">
        <f>Deals_Raw!D417</f>
        <v>PUB-0118</v>
      </c>
      <c r="E417" t="str">
        <f>Deals_Raw!E417</f>
        <v>CT00252</v>
      </c>
      <c r="F417" t="str">
        <f>Deals_Raw!F417</f>
        <v>Operations</v>
      </c>
      <c r="G417" t="str">
        <f>Deals_Raw!G417</f>
        <v>Public Sector</v>
      </c>
      <c r="H417" t="str">
        <f>Deals_Raw!H417</f>
        <v>West</v>
      </c>
      <c r="I417" t="str">
        <f>Deals_Raw!I417</f>
        <v>West Enterprise</v>
      </c>
      <c r="J417" t="str">
        <f>Deals_Raw!J417</f>
        <v>Enterprise</v>
      </c>
      <c r="K417" t="str">
        <f>Deals_Raw!K417</f>
        <v>Yes</v>
      </c>
      <c r="L417">
        <f>Deals_Raw!L417</f>
        <v>45566</v>
      </c>
      <c r="M417">
        <f>Deals_Raw!M417</f>
        <v>86</v>
      </c>
      <c r="N417" t="str">
        <f>Deals_Raw!N417</f>
        <v>Nexus AI Assistant</v>
      </c>
      <c r="O417" t="str">
        <f>Deals_Raw!O417</f>
        <v>New Business</v>
      </c>
      <c r="P417">
        <f>Deals_Raw!P417</f>
        <v>0</v>
      </c>
      <c r="Q417">
        <f>Deals_Raw!Q417</f>
        <v>1</v>
      </c>
      <c r="R417">
        <f>Deals_Raw!R417</f>
        <v>735</v>
      </c>
      <c r="S417" t="str">
        <f>Deals_Raw!S417</f>
        <v>M. Johnson</v>
      </c>
      <c r="T417" s="6">
        <f>Deals_Raw!T417</f>
        <v>150242.60587381554</v>
      </c>
      <c r="U417" s="8">
        <f>Deals_Raw!V417</f>
        <v>0.13500000000000001</v>
      </c>
      <c r="V417" s="8">
        <f>Deals_Raw!W417</f>
        <v>7.9000000000000001E-2</v>
      </c>
      <c r="W417" s="8">
        <f>Deals_Raw!X417</f>
        <v>-0.14000000000000001</v>
      </c>
      <c r="X417" t="str">
        <f>Deals_Raw!Y417</f>
        <v>Volume purchase</v>
      </c>
      <c r="Y417" t="str">
        <f>Deals_Raw!Z417</f>
        <v>Sales Manager</v>
      </c>
      <c r="Z417" s="6">
        <f>Deals_Raw!AA417</f>
        <v>138396.19696249021</v>
      </c>
      <c r="AA417" s="6">
        <f>Deals_Raw!AC417</f>
        <v>67345.596565458807</v>
      </c>
      <c r="AB417" s="6">
        <f>Deals_Raw!AD417</f>
        <v>71050.600397031405</v>
      </c>
      <c r="AC417" s="8">
        <f>Deals_Raw!AE417</f>
        <v>0.51338549726397742</v>
      </c>
      <c r="AD417" t="str">
        <f>Deals_Raw!AF417</f>
        <v>Won</v>
      </c>
      <c r="AE417">
        <f>Deals_Raw!AG417</f>
        <v>0</v>
      </c>
      <c r="AF417">
        <f>Deals_Raw!AH417</f>
        <v>0</v>
      </c>
      <c r="AG417" t="str">
        <f>Deals_Raw!AI417</f>
        <v>No</v>
      </c>
      <c r="AH417" s="6">
        <f>Deals_Raw!AJ417</f>
        <v>138396.19696249021</v>
      </c>
      <c r="AI417" s="6">
        <f>Deals_Raw!AK417</f>
        <v>71050.600397031405</v>
      </c>
      <c r="AJ417" t="str">
        <f>Deals_Raw!AL417</f>
        <v>First purchase under this contract</v>
      </c>
      <c r="AK417" s="9">
        <f t="shared" si="42"/>
        <v>3.0555555555555555E-2</v>
      </c>
      <c r="AL417" s="8">
        <f t="shared" si="43"/>
        <v>0.9211514680378029</v>
      </c>
      <c r="AM417" s="8">
        <f t="shared" si="44"/>
        <v>5.6000000000000008E-2</v>
      </c>
      <c r="AN417" t="str">
        <f>IF(AC417&lt;Pricing_Policy!$C$10,"Below Floor","Pass")</f>
        <v>Pass</v>
      </c>
      <c r="AO417" t="str">
        <f>IF(V417&gt;Pricing_Policy!$C$7,"Exception","Standard")</f>
        <v>Standard</v>
      </c>
      <c r="AP417" t="str">
        <f t="shared" si="45"/>
        <v>Pass</v>
      </c>
      <c r="AQ417">
        <f t="shared" si="46"/>
        <v>1</v>
      </c>
      <c r="AR417" s="8">
        <f t="shared" si="47"/>
        <v>0.51338549726397742</v>
      </c>
      <c r="AS417">
        <f t="shared" si="48"/>
        <v>2</v>
      </c>
    </row>
    <row r="418" spans="1:45">
      <c r="A418" t="str">
        <f>Deals_Raw!A418</f>
        <v>D00471</v>
      </c>
      <c r="B418">
        <f>Deals_Raw!B418</f>
        <v>45942</v>
      </c>
      <c r="C418" t="str">
        <f>Deals_Raw!C418</f>
        <v>C0118</v>
      </c>
      <c r="D418" t="str">
        <f>Deals_Raw!D418</f>
        <v>PUB-0118</v>
      </c>
      <c r="E418" t="str">
        <f>Deals_Raw!E418</f>
        <v>CT00252</v>
      </c>
      <c r="F418" t="str">
        <f>Deals_Raw!F418</f>
        <v>Operations</v>
      </c>
      <c r="G418" t="str">
        <f>Deals_Raw!G418</f>
        <v>Public Sector</v>
      </c>
      <c r="H418" t="str">
        <f>Deals_Raw!H418</f>
        <v>West</v>
      </c>
      <c r="I418" t="str">
        <f>Deals_Raw!I418</f>
        <v>West Enterprise</v>
      </c>
      <c r="J418" t="str">
        <f>Deals_Raw!J418</f>
        <v>Enterprise</v>
      </c>
      <c r="K418" t="str">
        <f>Deals_Raw!K418</f>
        <v>Yes</v>
      </c>
      <c r="L418">
        <f>Deals_Raw!L418</f>
        <v>45566</v>
      </c>
      <c r="M418">
        <f>Deals_Raw!M418</f>
        <v>86</v>
      </c>
      <c r="N418" t="str">
        <f>Deals_Raw!N418</f>
        <v>Nexus AI Assistant</v>
      </c>
      <c r="O418" t="str">
        <f>Deals_Raw!O418</f>
        <v>Renewal</v>
      </c>
      <c r="P418">
        <f>Deals_Raw!P418</f>
        <v>0</v>
      </c>
      <c r="Q418">
        <f>Deals_Raw!Q418</f>
        <v>1</v>
      </c>
      <c r="R418">
        <f>Deals_Raw!R418</f>
        <v>735</v>
      </c>
      <c r="S418" t="str">
        <f>Deals_Raw!S418</f>
        <v>K. Nguyen</v>
      </c>
      <c r="T418" s="6">
        <f>Deals_Raw!T418</f>
        <v>154771.94124349751</v>
      </c>
      <c r="U418" s="8">
        <f>Deals_Raw!V418</f>
        <v>0.152</v>
      </c>
      <c r="V418" s="8">
        <f>Deals_Raw!W418</f>
        <v>0.14799999999999999</v>
      </c>
      <c r="W418" s="8">
        <f>Deals_Raw!X418</f>
        <v>5.2999999999999999E-2</v>
      </c>
      <c r="X418" t="str">
        <f>Deals_Raw!Y418</f>
        <v>Volume purchase</v>
      </c>
      <c r="Y418" t="str">
        <f>Deals_Raw!Z418</f>
        <v>Pricing Analyst</v>
      </c>
      <c r="Z418" s="6">
        <f>Deals_Raw!AA418</f>
        <v>131895.3320155043</v>
      </c>
      <c r="AA418" s="6">
        <f>Deals_Raw!AC418</f>
        <v>61328.734981867361</v>
      </c>
      <c r="AB418" s="6">
        <f>Deals_Raw!AD418</f>
        <v>70566.597033636936</v>
      </c>
      <c r="AC418" s="8">
        <f>Deals_Raw!AE418</f>
        <v>0.53501967018318608</v>
      </c>
      <c r="AD418" t="str">
        <f>Deals_Raw!AF418</f>
        <v>Lost</v>
      </c>
      <c r="AE418" t="str">
        <f>Deals_Raw!AG418</f>
        <v>No</v>
      </c>
      <c r="AF418">
        <f>Deals_Raw!AH418</f>
        <v>0</v>
      </c>
      <c r="AG418" t="str">
        <f>Deals_Raw!AI418</f>
        <v>No</v>
      </c>
      <c r="AH418" s="6">
        <f>Deals_Raw!AJ418</f>
        <v>0</v>
      </c>
      <c r="AI418" s="6">
        <f>Deals_Raw!AK418</f>
        <v>0</v>
      </c>
      <c r="AJ418" t="str">
        <f>Deals_Raw!AL418</f>
        <v>Renewal of existing active contract</v>
      </c>
      <c r="AK418" s="9">
        <f t="shared" si="42"/>
        <v>1.0305555555555554</v>
      </c>
      <c r="AL418" s="8">
        <f t="shared" si="43"/>
        <v>0.85219149514961368</v>
      </c>
      <c r="AM418" s="8">
        <f t="shared" si="44"/>
        <v>4.0000000000000036E-3</v>
      </c>
      <c r="AN418" t="str">
        <f>IF(AC418&lt;Pricing_Policy!$C$10,"Below Floor","Pass")</f>
        <v>Pass</v>
      </c>
      <c r="AO418" t="str">
        <f>IF(V418&gt;Pricing_Policy!$C$7,"Exception","Standard")</f>
        <v>Standard</v>
      </c>
      <c r="AP418" t="str">
        <f t="shared" si="45"/>
        <v>Pass</v>
      </c>
      <c r="AQ418">
        <f t="shared" si="46"/>
        <v>0</v>
      </c>
      <c r="AR418" s="8">
        <f t="shared" si="47"/>
        <v>0</v>
      </c>
      <c r="AS418">
        <f t="shared" si="48"/>
        <v>2</v>
      </c>
    </row>
    <row r="419" spans="1:45">
      <c r="A419" t="str">
        <f>Deals_Raw!A419</f>
        <v>D00472</v>
      </c>
      <c r="B419">
        <f>Deals_Raw!B419</f>
        <v>45389</v>
      </c>
      <c r="C419" t="str">
        <f>Deals_Raw!C419</f>
        <v>C0119</v>
      </c>
      <c r="D419" t="str">
        <f>Deals_Raw!D419</f>
        <v>TEC-0119</v>
      </c>
      <c r="E419" t="str">
        <f>Deals_Raw!E419</f>
        <v>CT00253</v>
      </c>
      <c r="F419" t="str">
        <f>Deals_Raw!F419</f>
        <v>Technology</v>
      </c>
      <c r="G419" t="str">
        <f>Deals_Raw!G419</f>
        <v>Technology</v>
      </c>
      <c r="H419" t="str">
        <f>Deals_Raw!H419</f>
        <v>Midwest</v>
      </c>
      <c r="I419" t="str">
        <f>Deals_Raw!I419</f>
        <v>Midwest Commercial</v>
      </c>
      <c r="J419" t="str">
        <f>Deals_Raw!J419</f>
        <v>Mid-Market</v>
      </c>
      <c r="K419" t="str">
        <f>Deals_Raw!K419</f>
        <v>No</v>
      </c>
      <c r="L419">
        <f>Deals_Raw!L419</f>
        <v>44501</v>
      </c>
      <c r="M419">
        <f>Deals_Raw!M419</f>
        <v>62</v>
      </c>
      <c r="N419" t="str">
        <f>Deals_Raw!N419</f>
        <v>Nexus AI Assistant</v>
      </c>
      <c r="O419" t="str">
        <f>Deals_Raw!O419</f>
        <v>Expansion</v>
      </c>
      <c r="P419" t="str">
        <f>Deals_Raw!P419</f>
        <v>Storage / Usage Expansion</v>
      </c>
      <c r="Q419">
        <f>Deals_Raw!Q419</f>
        <v>2</v>
      </c>
      <c r="R419">
        <f>Deals_Raw!R419</f>
        <v>138</v>
      </c>
      <c r="S419" t="str">
        <f>Deals_Raw!S419</f>
        <v>A. Patel</v>
      </c>
      <c r="T419" s="6">
        <f>Deals_Raw!T419</f>
        <v>72388.706844585977</v>
      </c>
      <c r="U419" s="8">
        <f>Deals_Raw!V419</f>
        <v>1.4999999999999999E-2</v>
      </c>
      <c r="V419" s="8">
        <f>Deals_Raw!W419</f>
        <v>0</v>
      </c>
      <c r="W419" s="8">
        <f>Deals_Raw!X419</f>
        <v>-8.0000000000000002E-3</v>
      </c>
      <c r="X419" t="str">
        <f>Deals_Raw!Y419</f>
        <v>Expansion opportunity</v>
      </c>
      <c r="Y419" t="str">
        <f>Deals_Raw!Z419</f>
        <v>Sales Manager</v>
      </c>
      <c r="Z419" s="6">
        <f>Deals_Raw!AA419</f>
        <v>72388.706844585977</v>
      </c>
      <c r="AA419" s="6">
        <f>Deals_Raw!AC419</f>
        <v>27344.539673911779</v>
      </c>
      <c r="AB419" s="6">
        <f>Deals_Raw!AD419</f>
        <v>45044.167170674198</v>
      </c>
      <c r="AC419" s="8">
        <f>Deals_Raw!AE419</f>
        <v>0.62225406605730926</v>
      </c>
      <c r="AD419" t="str">
        <f>Deals_Raw!AF419</f>
        <v>Lost</v>
      </c>
      <c r="AE419">
        <f>Deals_Raw!AG419</f>
        <v>0</v>
      </c>
      <c r="AF419" t="str">
        <f>Deals_Raw!AH419</f>
        <v>No</v>
      </c>
      <c r="AG419" t="str">
        <f>Deals_Raw!AI419</f>
        <v>No</v>
      </c>
      <c r="AH419" s="6">
        <f>Deals_Raw!AJ419</f>
        <v>0</v>
      </c>
      <c r="AI419" s="6">
        <f>Deals_Raw!AK419</f>
        <v>0</v>
      </c>
      <c r="AJ419" t="str">
        <f>Deals_Raw!AL419</f>
        <v>Expansion allowed because contract was active</v>
      </c>
      <c r="AK419" s="9">
        <f t="shared" si="42"/>
        <v>2.4333333333333331</v>
      </c>
      <c r="AL419" s="8">
        <f t="shared" si="43"/>
        <v>1</v>
      </c>
      <c r="AM419" s="8">
        <f t="shared" si="44"/>
        <v>1.4999999999999999E-2</v>
      </c>
      <c r="AN419" t="str">
        <f>IF(AC419&lt;Pricing_Policy!$C$10,"Below Floor","Pass")</f>
        <v>Pass</v>
      </c>
      <c r="AO419" t="str">
        <f>IF(V419&gt;Pricing_Policy!$C$7,"Exception","Standard")</f>
        <v>Standard</v>
      </c>
      <c r="AP419" t="str">
        <f t="shared" si="45"/>
        <v>Pass</v>
      </c>
      <c r="AQ419">
        <f t="shared" si="46"/>
        <v>0</v>
      </c>
      <c r="AR419" s="8">
        <f t="shared" si="47"/>
        <v>0</v>
      </c>
      <c r="AS419">
        <f t="shared" si="48"/>
        <v>2</v>
      </c>
    </row>
    <row r="420" spans="1:45">
      <c r="A420" t="str">
        <f>Deals_Raw!A420</f>
        <v>D00473</v>
      </c>
      <c r="B420">
        <f>Deals_Raw!B420</f>
        <v>45504</v>
      </c>
      <c r="C420" t="str">
        <f>Deals_Raw!C420</f>
        <v>C0119</v>
      </c>
      <c r="D420" t="str">
        <f>Deals_Raw!D420</f>
        <v>TEC-0119</v>
      </c>
      <c r="E420" t="str">
        <f>Deals_Raw!E420</f>
        <v>CT00253</v>
      </c>
      <c r="F420" t="str">
        <f>Deals_Raw!F420</f>
        <v>Technology</v>
      </c>
      <c r="G420" t="str">
        <f>Deals_Raw!G420</f>
        <v>Technology</v>
      </c>
      <c r="H420" t="str">
        <f>Deals_Raw!H420</f>
        <v>Midwest</v>
      </c>
      <c r="I420" t="str">
        <f>Deals_Raw!I420</f>
        <v>Midwest Commercial</v>
      </c>
      <c r="J420" t="str">
        <f>Deals_Raw!J420</f>
        <v>Mid-Market</v>
      </c>
      <c r="K420" t="str">
        <f>Deals_Raw!K420</f>
        <v>No</v>
      </c>
      <c r="L420">
        <f>Deals_Raw!L420</f>
        <v>44501</v>
      </c>
      <c r="M420">
        <f>Deals_Raw!M420</f>
        <v>62</v>
      </c>
      <c r="N420" t="str">
        <f>Deals_Raw!N420</f>
        <v>Nexus AI Assistant</v>
      </c>
      <c r="O420" t="str">
        <f>Deals_Raw!O420</f>
        <v>Renewal</v>
      </c>
      <c r="P420">
        <f>Deals_Raw!P420</f>
        <v>0</v>
      </c>
      <c r="Q420">
        <f>Deals_Raw!Q420</f>
        <v>2</v>
      </c>
      <c r="R420">
        <f>Deals_Raw!R420</f>
        <v>120</v>
      </c>
      <c r="S420" t="str">
        <f>Deals_Raw!S420</f>
        <v>R. Singh</v>
      </c>
      <c r="T420" s="6">
        <f>Deals_Raw!T420</f>
        <v>65092.019573495665</v>
      </c>
      <c r="U420" s="8">
        <f>Deals_Raw!V420</f>
        <v>0.191</v>
      </c>
      <c r="V420" s="8">
        <f>Deals_Raw!W420</f>
        <v>0.17499999999999999</v>
      </c>
      <c r="W420" s="8">
        <f>Deals_Raw!X420</f>
        <v>-5.8999999999999997E-2</v>
      </c>
      <c r="X420" t="str">
        <f>Deals_Raw!Y420</f>
        <v>Renewal retention risk</v>
      </c>
      <c r="Y420" t="str">
        <f>Deals_Raw!Z420</f>
        <v>Pricing Analyst</v>
      </c>
      <c r="Z420" s="6">
        <f>Deals_Raw!AA420</f>
        <v>53701.739093555901</v>
      </c>
      <c r="AA420" s="6">
        <f>Deals_Raw!AC420</f>
        <v>25740.104994044312</v>
      </c>
      <c r="AB420" s="6">
        <f>Deals_Raw!AD420</f>
        <v>27961.63409951159</v>
      </c>
      <c r="AC420" s="8">
        <f>Deals_Raw!AE420</f>
        <v>0.52068395868518402</v>
      </c>
      <c r="AD420" t="str">
        <f>Deals_Raw!AF420</f>
        <v>Won</v>
      </c>
      <c r="AE420" t="str">
        <f>Deals_Raw!AG420</f>
        <v>Yes</v>
      </c>
      <c r="AF420">
        <f>Deals_Raw!AH420</f>
        <v>0</v>
      </c>
      <c r="AG420" t="str">
        <f>Deals_Raw!AI420</f>
        <v>No</v>
      </c>
      <c r="AH420" s="6">
        <f>Deals_Raw!AJ420</f>
        <v>53701.739093555901</v>
      </c>
      <c r="AI420" s="6">
        <f>Deals_Raw!AK420</f>
        <v>27961.63409951159</v>
      </c>
      <c r="AJ420" t="str">
        <f>Deals_Raw!AL420</f>
        <v>Renewal of existing active contract</v>
      </c>
      <c r="AK420" s="9">
        <f t="shared" si="42"/>
        <v>2.75</v>
      </c>
      <c r="AL420" s="8">
        <f t="shared" si="43"/>
        <v>0.82501264280056708</v>
      </c>
      <c r="AM420" s="8">
        <f t="shared" si="44"/>
        <v>1.6000000000000014E-2</v>
      </c>
      <c r="AN420" t="str">
        <f>IF(AC420&lt;Pricing_Policy!$C$10,"Below Floor","Pass")</f>
        <v>Pass</v>
      </c>
      <c r="AO420" t="str">
        <f>IF(V420&gt;Pricing_Policy!$C$7,"Exception","Standard")</f>
        <v>Standard</v>
      </c>
      <c r="AP420" t="str">
        <f t="shared" si="45"/>
        <v>Pass</v>
      </c>
      <c r="AQ420">
        <f t="shared" si="46"/>
        <v>1</v>
      </c>
      <c r="AR420" s="8">
        <f t="shared" si="47"/>
        <v>0.52068395868518402</v>
      </c>
      <c r="AS420">
        <f t="shared" si="48"/>
        <v>2</v>
      </c>
    </row>
    <row r="421" spans="1:45">
      <c r="A421" t="str">
        <f>Deals_Raw!A421</f>
        <v>D00474</v>
      </c>
      <c r="B421">
        <f>Deals_Raw!B421</f>
        <v>45323</v>
      </c>
      <c r="C421" t="str">
        <f>Deals_Raw!C421</f>
        <v>C0119</v>
      </c>
      <c r="D421" t="str">
        <f>Deals_Raw!D421</f>
        <v>TEC-0119</v>
      </c>
      <c r="E421" t="str">
        <f>Deals_Raw!E421</f>
        <v>CT00254</v>
      </c>
      <c r="F421" t="str">
        <f>Deals_Raw!F421</f>
        <v>Technology</v>
      </c>
      <c r="G421" t="str">
        <f>Deals_Raw!G421</f>
        <v>Technology</v>
      </c>
      <c r="H421" t="str">
        <f>Deals_Raw!H421</f>
        <v>Midwest</v>
      </c>
      <c r="I421" t="str">
        <f>Deals_Raw!I421</f>
        <v>Midwest Commercial</v>
      </c>
      <c r="J421" t="str">
        <f>Deals_Raw!J421</f>
        <v>Mid-Market</v>
      </c>
      <c r="K421" t="str">
        <f>Deals_Raw!K421</f>
        <v>No</v>
      </c>
      <c r="L421">
        <f>Deals_Raw!L421</f>
        <v>44501</v>
      </c>
      <c r="M421">
        <f>Deals_Raw!M421</f>
        <v>62</v>
      </c>
      <c r="N421" t="str">
        <f>Deals_Raw!N421</f>
        <v>Nexus Compliance</v>
      </c>
      <c r="O421" t="str">
        <f>Deals_Raw!O421</f>
        <v>New Business</v>
      </c>
      <c r="P421">
        <f>Deals_Raw!P421</f>
        <v>0</v>
      </c>
      <c r="Q421">
        <f>Deals_Raw!Q421</f>
        <v>1</v>
      </c>
      <c r="R421">
        <f>Deals_Raw!R421</f>
        <v>111</v>
      </c>
      <c r="S421" t="str">
        <f>Deals_Raw!S421</f>
        <v>T. Brooks</v>
      </c>
      <c r="T421" s="6">
        <f>Deals_Raw!T421</f>
        <v>128343.07696766748</v>
      </c>
      <c r="U421" s="8">
        <f>Deals_Raw!V421</f>
        <v>0.159</v>
      </c>
      <c r="V421" s="8">
        <f>Deals_Raw!W421</f>
        <v>9.8000000000000004E-2</v>
      </c>
      <c r="W421" s="8">
        <f>Deals_Raw!X421</f>
        <v>6.0999999999999999E-2</v>
      </c>
      <c r="X421" t="str">
        <f>Deals_Raw!Y421</f>
        <v>Budget constraint</v>
      </c>
      <c r="Y421" t="str">
        <f>Deals_Raw!Z421</f>
        <v>Sales Manager</v>
      </c>
      <c r="Z421" s="6">
        <f>Deals_Raw!AA421</f>
        <v>115711.64868766069</v>
      </c>
      <c r="AA421" s="6">
        <f>Deals_Raw!AC421</f>
        <v>45032.752455305344</v>
      </c>
      <c r="AB421" s="6">
        <f>Deals_Raw!AD421</f>
        <v>70678.896232355357</v>
      </c>
      <c r="AC421" s="8">
        <f>Deals_Raw!AE421</f>
        <v>0.61081919611341984</v>
      </c>
      <c r="AD421" t="str">
        <f>Deals_Raw!AF421</f>
        <v>Won</v>
      </c>
      <c r="AE421">
        <f>Deals_Raw!AG421</f>
        <v>0</v>
      </c>
      <c r="AF421">
        <f>Deals_Raw!AH421</f>
        <v>0</v>
      </c>
      <c r="AG421" t="str">
        <f>Deals_Raw!AI421</f>
        <v>No</v>
      </c>
      <c r="AH421" s="6">
        <f>Deals_Raw!AJ421</f>
        <v>115711.64868766069</v>
      </c>
      <c r="AI421" s="6">
        <f>Deals_Raw!AK421</f>
        <v>70678.896232355357</v>
      </c>
      <c r="AJ421" t="str">
        <f>Deals_Raw!AL421</f>
        <v>First purchase under this contract</v>
      </c>
      <c r="AK421" s="9">
        <f t="shared" si="42"/>
        <v>2.25</v>
      </c>
      <c r="AL421" s="8">
        <f t="shared" si="43"/>
        <v>0.90158075855397379</v>
      </c>
      <c r="AM421" s="8">
        <f t="shared" si="44"/>
        <v>6.0999999999999999E-2</v>
      </c>
      <c r="AN421" t="str">
        <f>IF(AC421&lt;Pricing_Policy!$C$10,"Below Floor","Pass")</f>
        <v>Pass</v>
      </c>
      <c r="AO421" t="str">
        <f>IF(V421&gt;Pricing_Policy!$C$7,"Exception","Standard")</f>
        <v>Standard</v>
      </c>
      <c r="AP421" t="str">
        <f t="shared" si="45"/>
        <v>Pass</v>
      </c>
      <c r="AQ421">
        <f t="shared" si="46"/>
        <v>1</v>
      </c>
      <c r="AR421" s="8">
        <f t="shared" si="47"/>
        <v>0.61081919611341984</v>
      </c>
      <c r="AS421">
        <f t="shared" si="48"/>
        <v>2</v>
      </c>
    </row>
    <row r="422" spans="1:45">
      <c r="A422" t="str">
        <f>Deals_Raw!A422</f>
        <v>D00475</v>
      </c>
      <c r="B422">
        <f>Deals_Raw!B422</f>
        <v>45688</v>
      </c>
      <c r="C422" t="str">
        <f>Deals_Raw!C422</f>
        <v>C0119</v>
      </c>
      <c r="D422" t="str">
        <f>Deals_Raw!D422</f>
        <v>TEC-0119</v>
      </c>
      <c r="E422" t="str">
        <f>Deals_Raw!E422</f>
        <v>CT00254</v>
      </c>
      <c r="F422" t="str">
        <f>Deals_Raw!F422</f>
        <v>Technology</v>
      </c>
      <c r="G422" t="str">
        <f>Deals_Raw!G422</f>
        <v>Technology</v>
      </c>
      <c r="H422" t="str">
        <f>Deals_Raw!H422</f>
        <v>Midwest</v>
      </c>
      <c r="I422" t="str">
        <f>Deals_Raw!I422</f>
        <v>Midwest Commercial</v>
      </c>
      <c r="J422" t="str">
        <f>Deals_Raw!J422</f>
        <v>Mid-Market</v>
      </c>
      <c r="K422" t="str">
        <f>Deals_Raw!K422</f>
        <v>No</v>
      </c>
      <c r="L422">
        <f>Deals_Raw!L422</f>
        <v>44501</v>
      </c>
      <c r="M422">
        <f>Deals_Raw!M422</f>
        <v>62</v>
      </c>
      <c r="N422" t="str">
        <f>Deals_Raw!N422</f>
        <v>Nexus Compliance</v>
      </c>
      <c r="O422" t="str">
        <f>Deals_Raw!O422</f>
        <v>Renewal</v>
      </c>
      <c r="P422">
        <f>Deals_Raw!P422</f>
        <v>0</v>
      </c>
      <c r="Q422">
        <f>Deals_Raw!Q422</f>
        <v>1</v>
      </c>
      <c r="R422">
        <f>Deals_Raw!R422</f>
        <v>111</v>
      </c>
      <c r="S422" t="str">
        <f>Deals_Raw!S422</f>
        <v>R. Singh</v>
      </c>
      <c r="T422" s="6">
        <f>Deals_Raw!T422</f>
        <v>136011.97640580739</v>
      </c>
      <c r="U422" s="8">
        <f>Deals_Raw!V422</f>
        <v>0.13100000000000001</v>
      </c>
      <c r="V422" s="8">
        <f>Deals_Raw!W422</f>
        <v>0.123</v>
      </c>
      <c r="W422" s="8">
        <f>Deals_Raw!X422</f>
        <v>-4.5999999999999999E-2</v>
      </c>
      <c r="X422" t="str">
        <f>Deals_Raw!Y422</f>
        <v>Renewal retention risk</v>
      </c>
      <c r="Y422" t="str">
        <f>Deals_Raw!Z422</f>
        <v>Pricing Analyst</v>
      </c>
      <c r="Z422" s="6">
        <f>Deals_Raw!AA422</f>
        <v>119339.62635466814</v>
      </c>
      <c r="AA422" s="6">
        <f>Deals_Raw!AC422</f>
        <v>45461.57838214354</v>
      </c>
      <c r="AB422" s="6">
        <f>Deals_Raw!AD422</f>
        <v>73878.047972524597</v>
      </c>
      <c r="AC422" s="8">
        <f>Deals_Raw!AE422</f>
        <v>0.61905714161501357</v>
      </c>
      <c r="AD422" t="str">
        <f>Deals_Raw!AF422</f>
        <v>Lost</v>
      </c>
      <c r="AE422" t="str">
        <f>Deals_Raw!AG422</f>
        <v>No</v>
      </c>
      <c r="AF422">
        <f>Deals_Raw!AH422</f>
        <v>0</v>
      </c>
      <c r="AG422" t="str">
        <f>Deals_Raw!AI422</f>
        <v>No</v>
      </c>
      <c r="AH422" s="6">
        <f>Deals_Raw!AJ422</f>
        <v>0</v>
      </c>
      <c r="AI422" s="6">
        <f>Deals_Raw!AK422</f>
        <v>0</v>
      </c>
      <c r="AJ422" t="str">
        <f>Deals_Raw!AL422</f>
        <v>Renewal of existing active contract</v>
      </c>
      <c r="AK422" s="9">
        <f t="shared" si="42"/>
        <v>3.25</v>
      </c>
      <c r="AL422" s="8">
        <f t="shared" si="43"/>
        <v>0.87741998541808275</v>
      </c>
      <c r="AM422" s="8">
        <f t="shared" si="44"/>
        <v>8.0000000000000071E-3</v>
      </c>
      <c r="AN422" t="str">
        <f>IF(AC422&lt;Pricing_Policy!$C$10,"Below Floor","Pass")</f>
        <v>Pass</v>
      </c>
      <c r="AO422" t="str">
        <f>IF(V422&gt;Pricing_Policy!$C$7,"Exception","Standard")</f>
        <v>Standard</v>
      </c>
      <c r="AP422" t="str">
        <f t="shared" si="45"/>
        <v>Pass</v>
      </c>
      <c r="AQ422">
        <f t="shared" si="46"/>
        <v>0</v>
      </c>
      <c r="AR422" s="8">
        <f t="shared" si="47"/>
        <v>0</v>
      </c>
      <c r="AS422">
        <f t="shared" si="48"/>
        <v>2</v>
      </c>
    </row>
    <row r="423" spans="1:45">
      <c r="A423" t="str">
        <f>Deals_Raw!A423</f>
        <v>D00476</v>
      </c>
      <c r="B423">
        <f>Deals_Raw!B423</f>
        <v>45831</v>
      </c>
      <c r="C423" t="str">
        <f>Deals_Raw!C423</f>
        <v>C0120</v>
      </c>
      <c r="D423" t="str">
        <f>Deals_Raw!D423</f>
        <v>TEC-0120</v>
      </c>
      <c r="E423" t="str">
        <f>Deals_Raw!E423</f>
        <v>CT00255</v>
      </c>
      <c r="F423" t="str">
        <f>Deals_Raw!F423</f>
        <v>Sales</v>
      </c>
      <c r="G423" t="str">
        <f>Deals_Raw!G423</f>
        <v>Technology</v>
      </c>
      <c r="H423" t="str">
        <f>Deals_Raw!H423</f>
        <v>Northeast</v>
      </c>
      <c r="I423" t="str">
        <f>Deals_Raw!I423</f>
        <v>Northeast Commercial</v>
      </c>
      <c r="J423" t="str">
        <f>Deals_Raw!J423</f>
        <v>SMB</v>
      </c>
      <c r="K423" t="str">
        <f>Deals_Raw!K423</f>
        <v>No</v>
      </c>
      <c r="L423">
        <f>Deals_Raw!L423</f>
        <v>45323</v>
      </c>
      <c r="M423">
        <f>Deals_Raw!M423</f>
        <v>52</v>
      </c>
      <c r="N423" t="str">
        <f>Deals_Raw!N423</f>
        <v>Nexus Compliance</v>
      </c>
      <c r="O423" t="str">
        <f>Deals_Raw!O423</f>
        <v>New Business</v>
      </c>
      <c r="P423">
        <f>Deals_Raw!P423</f>
        <v>0</v>
      </c>
      <c r="Q423">
        <f>Deals_Raw!Q423</f>
        <v>3</v>
      </c>
      <c r="R423">
        <f>Deals_Raw!R423</f>
        <v>24</v>
      </c>
      <c r="S423" t="str">
        <f>Deals_Raw!S423</f>
        <v>A. Patel</v>
      </c>
      <c r="T423" s="6">
        <f>Deals_Raw!T423</f>
        <v>61778.895710927878</v>
      </c>
      <c r="U423" s="8">
        <f>Deals_Raw!V423</f>
        <v>0.17599999999999999</v>
      </c>
      <c r="V423" s="8">
        <f>Deals_Raw!W423</f>
        <v>0.159</v>
      </c>
      <c r="W423" s="8">
        <f>Deals_Raw!X423</f>
        <v>0.10299999999999999</v>
      </c>
      <c r="X423" t="str">
        <f>Deals_Raw!Y423</f>
        <v>Expansion opportunity</v>
      </c>
      <c r="Y423" t="str">
        <f>Deals_Raw!Z423</f>
        <v>Pricing Analyst</v>
      </c>
      <c r="Z423" s="6">
        <f>Deals_Raw!AA423</f>
        <v>51929.481043606742</v>
      </c>
      <c r="AA423" s="6">
        <f>Deals_Raw!AC423</f>
        <v>23250.472711025202</v>
      </c>
      <c r="AB423" s="6">
        <f>Deals_Raw!AD423</f>
        <v>28679.008332581539</v>
      </c>
      <c r="AC423" s="8">
        <f>Deals_Raw!AE423</f>
        <v>0.55226834076194442</v>
      </c>
      <c r="AD423" t="str">
        <f>Deals_Raw!AF423</f>
        <v>Lost</v>
      </c>
      <c r="AE423">
        <f>Deals_Raw!AG423</f>
        <v>0</v>
      </c>
      <c r="AF423">
        <f>Deals_Raw!AH423</f>
        <v>0</v>
      </c>
      <c r="AG423" t="str">
        <f>Deals_Raw!AI423</f>
        <v>No</v>
      </c>
      <c r="AH423" s="6">
        <f>Deals_Raw!AJ423</f>
        <v>0</v>
      </c>
      <c r="AI423" s="6">
        <f>Deals_Raw!AK423</f>
        <v>0</v>
      </c>
      <c r="AJ423" t="str">
        <f>Deals_Raw!AL423</f>
        <v>First purchase under this contract</v>
      </c>
      <c r="AK423" s="9">
        <f t="shared" si="42"/>
        <v>1.3944444444444444</v>
      </c>
      <c r="AL423" s="8">
        <f t="shared" si="43"/>
        <v>0.84056991381963297</v>
      </c>
      <c r="AM423" s="8">
        <f t="shared" si="44"/>
        <v>1.6999999999999987E-2</v>
      </c>
      <c r="AN423" t="str">
        <f>IF(AC423&lt;Pricing_Policy!$C$10,"Below Floor","Pass")</f>
        <v>Pass</v>
      </c>
      <c r="AO423" t="str">
        <f>IF(V423&gt;Pricing_Policy!$C$7,"Exception","Standard")</f>
        <v>Standard</v>
      </c>
      <c r="AP423" t="str">
        <f t="shared" si="45"/>
        <v>Pass</v>
      </c>
      <c r="AQ423">
        <f t="shared" si="46"/>
        <v>0</v>
      </c>
      <c r="AR423" s="8">
        <f t="shared" si="47"/>
        <v>0</v>
      </c>
      <c r="AS423">
        <f t="shared" si="48"/>
        <v>3</v>
      </c>
    </row>
    <row r="424" spans="1:45">
      <c r="A424" t="str">
        <f>Deals_Raw!A424</f>
        <v>D00477</v>
      </c>
      <c r="B424">
        <f>Deals_Raw!B424</f>
        <v>45991</v>
      </c>
      <c r="C424" t="str">
        <f>Deals_Raw!C424</f>
        <v>C0120</v>
      </c>
      <c r="D424" t="str">
        <f>Deals_Raw!D424</f>
        <v>TEC-0120</v>
      </c>
      <c r="E424" t="str">
        <f>Deals_Raw!E424</f>
        <v>CT00255</v>
      </c>
      <c r="F424" t="str">
        <f>Deals_Raw!F424</f>
        <v>Sales</v>
      </c>
      <c r="G424" t="str">
        <f>Deals_Raw!G424</f>
        <v>Technology</v>
      </c>
      <c r="H424" t="str">
        <f>Deals_Raw!H424</f>
        <v>Northeast</v>
      </c>
      <c r="I424" t="str">
        <f>Deals_Raw!I424</f>
        <v>Northeast Commercial</v>
      </c>
      <c r="J424" t="str">
        <f>Deals_Raw!J424</f>
        <v>SMB</v>
      </c>
      <c r="K424" t="str">
        <f>Deals_Raw!K424</f>
        <v>No</v>
      </c>
      <c r="L424">
        <f>Deals_Raw!L424</f>
        <v>45323</v>
      </c>
      <c r="M424">
        <f>Deals_Raw!M424</f>
        <v>52</v>
      </c>
      <c r="N424" t="str">
        <f>Deals_Raw!N424</f>
        <v>Nexus Compliance</v>
      </c>
      <c r="O424" t="str">
        <f>Deals_Raw!O424</f>
        <v>Win-back</v>
      </c>
      <c r="P424">
        <f>Deals_Raw!P424</f>
        <v>0</v>
      </c>
      <c r="Q424">
        <f>Deals_Raw!Q424</f>
        <v>3</v>
      </c>
      <c r="R424">
        <f>Deals_Raw!R424</f>
        <v>24</v>
      </c>
      <c r="S424" t="str">
        <f>Deals_Raw!S424</f>
        <v>R. Singh</v>
      </c>
      <c r="T424" s="6">
        <f>Deals_Raw!T424</f>
        <v>61778.895710927878</v>
      </c>
      <c r="U424" s="8">
        <f>Deals_Raw!V424</f>
        <v>0.111</v>
      </c>
      <c r="V424" s="8">
        <f>Deals_Raw!W424</f>
        <v>7.4999999999999997E-2</v>
      </c>
      <c r="W424" s="8">
        <f>Deals_Raw!X424</f>
        <v>-1.2999999999999999E-2</v>
      </c>
      <c r="X424" t="str">
        <f>Deals_Raw!Y424</f>
        <v>Renewal retention risk</v>
      </c>
      <c r="Y424" t="str">
        <f>Deals_Raw!Z424</f>
        <v>Sales Manager</v>
      </c>
      <c r="Z424" s="6">
        <f>Deals_Raw!AA424</f>
        <v>57165.260774206479</v>
      </c>
      <c r="AA424" s="6">
        <f>Deals_Raw!AC424</f>
        <v>22552.961514578477</v>
      </c>
      <c r="AB424" s="6">
        <f>Deals_Raw!AD424</f>
        <v>34612.299259628002</v>
      </c>
      <c r="AC424" s="8">
        <f>Deals_Raw!AE424</f>
        <v>0.60547785124852271</v>
      </c>
      <c r="AD424" t="str">
        <f>Deals_Raw!AF424</f>
        <v>Won</v>
      </c>
      <c r="AE424">
        <f>Deals_Raw!AG424</f>
        <v>0</v>
      </c>
      <c r="AF424">
        <f>Deals_Raw!AH424</f>
        <v>0</v>
      </c>
      <c r="AG424" t="str">
        <f>Deals_Raw!AI424</f>
        <v>Yes</v>
      </c>
      <c r="AH424" s="6">
        <f>Deals_Raw!AJ424</f>
        <v>57165.260774206479</v>
      </c>
      <c r="AI424" s="6">
        <f>Deals_Raw!AK424</f>
        <v>34612.299259628002</v>
      </c>
      <c r="AJ424" t="str">
        <f>Deals_Raw!AL424</f>
        <v>Customer returned after prior lost initial opportunity</v>
      </c>
      <c r="AK424" s="9">
        <f t="shared" si="42"/>
        <v>1.8305555555555555</v>
      </c>
      <c r="AL424" s="8">
        <f t="shared" si="43"/>
        <v>0.92532021034643863</v>
      </c>
      <c r="AM424" s="8">
        <f t="shared" si="44"/>
        <v>3.6000000000000004E-2</v>
      </c>
      <c r="AN424" t="str">
        <f>IF(AC424&lt;Pricing_Policy!$C$10,"Below Floor","Pass")</f>
        <v>Pass</v>
      </c>
      <c r="AO424" t="str">
        <f>IF(V424&gt;Pricing_Policy!$C$7,"Exception","Standard")</f>
        <v>Standard</v>
      </c>
      <c r="AP424" t="str">
        <f t="shared" si="45"/>
        <v>Pass</v>
      </c>
      <c r="AQ424">
        <f t="shared" si="46"/>
        <v>1</v>
      </c>
      <c r="AR424" s="8">
        <f t="shared" si="47"/>
        <v>0.60547785124852271</v>
      </c>
      <c r="AS424">
        <f t="shared" si="48"/>
        <v>3</v>
      </c>
    </row>
    <row r="425" spans="1:45">
      <c r="A425" t="str">
        <f>Deals_Raw!A425</f>
        <v>D00478</v>
      </c>
      <c r="B425">
        <f>Deals_Raw!B425</f>
        <v>45761</v>
      </c>
      <c r="C425" t="str">
        <f>Deals_Raw!C425</f>
        <v>C0120</v>
      </c>
      <c r="D425" t="str">
        <f>Deals_Raw!D425</f>
        <v>TEC-0120</v>
      </c>
      <c r="E425" t="str">
        <f>Deals_Raw!E425</f>
        <v>CT00256</v>
      </c>
      <c r="F425" t="str">
        <f>Deals_Raw!F425</f>
        <v>Corporate</v>
      </c>
      <c r="G425" t="str">
        <f>Deals_Raw!G425</f>
        <v>Technology</v>
      </c>
      <c r="H425" t="str">
        <f>Deals_Raw!H425</f>
        <v>Northeast</v>
      </c>
      <c r="I425" t="str">
        <f>Deals_Raw!I425</f>
        <v>Northeast Commercial</v>
      </c>
      <c r="J425" t="str">
        <f>Deals_Raw!J425</f>
        <v>SMB</v>
      </c>
      <c r="K425" t="str">
        <f>Deals_Raw!K425</f>
        <v>No</v>
      </c>
      <c r="L425">
        <f>Deals_Raw!L425</f>
        <v>45323</v>
      </c>
      <c r="M425">
        <f>Deals_Raw!M425</f>
        <v>52</v>
      </c>
      <c r="N425" t="str">
        <f>Deals_Raw!N425</f>
        <v>Nexus Enterprise Suite</v>
      </c>
      <c r="O425" t="str">
        <f>Deals_Raw!O425</f>
        <v>New Business</v>
      </c>
      <c r="P425">
        <f>Deals_Raw!P425</f>
        <v>0</v>
      </c>
      <c r="Q425">
        <f>Deals_Raw!Q425</f>
        <v>1</v>
      </c>
      <c r="R425">
        <f>Deals_Raw!R425</f>
        <v>53</v>
      </c>
      <c r="S425" t="str">
        <f>Deals_Raw!S425</f>
        <v>D. Chen</v>
      </c>
      <c r="T425" s="6">
        <f>Deals_Raw!T425</f>
        <v>124319.21836194971</v>
      </c>
      <c r="U425" s="8">
        <f>Deals_Raw!V425</f>
        <v>6.4000000000000001E-2</v>
      </c>
      <c r="V425" s="8">
        <f>Deals_Raw!W425</f>
        <v>5.6000000000000001E-2</v>
      </c>
      <c r="W425" s="8">
        <f>Deals_Raw!X425</f>
        <v>6.7000000000000004E-2</v>
      </c>
      <c r="X425" t="str">
        <f>Deals_Raw!Y425</f>
        <v>Renewal retention risk</v>
      </c>
      <c r="Y425" t="str">
        <f>Deals_Raw!Z425</f>
        <v>Sales Manager</v>
      </c>
      <c r="Z425" s="6">
        <f>Deals_Raw!AA425</f>
        <v>117310.62302615996</v>
      </c>
      <c r="AA425" s="6">
        <f>Deals_Raw!AC425</f>
        <v>49674.658966232491</v>
      </c>
      <c r="AB425" s="6">
        <f>Deals_Raw!AD425</f>
        <v>67635.964059927472</v>
      </c>
      <c r="AC425" s="8">
        <f>Deals_Raw!AE425</f>
        <v>0.57655446979294311</v>
      </c>
      <c r="AD425" t="str">
        <f>Deals_Raw!AF425</f>
        <v>Won</v>
      </c>
      <c r="AE425">
        <f>Deals_Raw!AG425</f>
        <v>0</v>
      </c>
      <c r="AF425">
        <f>Deals_Raw!AH425</f>
        <v>0</v>
      </c>
      <c r="AG425" t="str">
        <f>Deals_Raw!AI425</f>
        <v>No</v>
      </c>
      <c r="AH425" s="6">
        <f>Deals_Raw!AJ425</f>
        <v>117310.62302615996</v>
      </c>
      <c r="AI425" s="6">
        <f>Deals_Raw!AK425</f>
        <v>67635.964059927472</v>
      </c>
      <c r="AJ425" t="str">
        <f>Deals_Raw!AL425</f>
        <v>First purchase under this contract</v>
      </c>
      <c r="AK425" s="9">
        <f t="shared" si="42"/>
        <v>1.2027777777777777</v>
      </c>
      <c r="AL425" s="8">
        <f t="shared" si="43"/>
        <v>0.94362420044031692</v>
      </c>
      <c r="AM425" s="8">
        <f t="shared" si="44"/>
        <v>8.0000000000000002E-3</v>
      </c>
      <c r="AN425" t="str">
        <f>IF(AC425&lt;Pricing_Policy!$C$10,"Below Floor","Pass")</f>
        <v>Pass</v>
      </c>
      <c r="AO425" t="str">
        <f>IF(V425&gt;Pricing_Policy!$C$7,"Exception","Standard")</f>
        <v>Standard</v>
      </c>
      <c r="AP425" t="str">
        <f t="shared" si="45"/>
        <v>Pass</v>
      </c>
      <c r="AQ425">
        <f t="shared" si="46"/>
        <v>1</v>
      </c>
      <c r="AR425" s="8">
        <f t="shared" si="47"/>
        <v>0.57655446979294311</v>
      </c>
      <c r="AS425">
        <f t="shared" si="48"/>
        <v>1</v>
      </c>
    </row>
    <row r="426" spans="1:45">
      <c r="A426" t="str">
        <f>Deals_Raw!A426</f>
        <v>D00479</v>
      </c>
      <c r="B426">
        <f>Deals_Raw!B426</f>
        <v>45764</v>
      </c>
      <c r="C426" t="str">
        <f>Deals_Raw!C426</f>
        <v>C0120</v>
      </c>
      <c r="D426" t="str">
        <f>Deals_Raw!D426</f>
        <v>TEC-0120</v>
      </c>
      <c r="E426" t="str">
        <f>Deals_Raw!E426</f>
        <v>CT00257</v>
      </c>
      <c r="F426" t="str">
        <f>Deals_Raw!F426</f>
        <v>Legal</v>
      </c>
      <c r="G426" t="str">
        <f>Deals_Raw!G426</f>
        <v>Technology</v>
      </c>
      <c r="H426" t="str">
        <f>Deals_Raw!H426</f>
        <v>Northeast</v>
      </c>
      <c r="I426" t="str">
        <f>Deals_Raw!I426</f>
        <v>Northeast Commercial</v>
      </c>
      <c r="J426" t="str">
        <f>Deals_Raw!J426</f>
        <v>SMB</v>
      </c>
      <c r="K426" t="str">
        <f>Deals_Raw!K426</f>
        <v>No</v>
      </c>
      <c r="L426">
        <f>Deals_Raw!L426</f>
        <v>45323</v>
      </c>
      <c r="M426">
        <f>Deals_Raw!M426</f>
        <v>52</v>
      </c>
      <c r="N426" t="str">
        <f>Deals_Raw!N426</f>
        <v>Nexus Compliance</v>
      </c>
      <c r="O426" t="str">
        <f>Deals_Raw!O426</f>
        <v>New Business</v>
      </c>
      <c r="P426">
        <f>Deals_Raw!P426</f>
        <v>0</v>
      </c>
      <c r="Q426">
        <f>Deals_Raw!Q426</f>
        <v>1</v>
      </c>
      <c r="R426">
        <f>Deals_Raw!R426</f>
        <v>58</v>
      </c>
      <c r="S426" t="str">
        <f>Deals_Raw!S426</f>
        <v>M. Johnson</v>
      </c>
      <c r="T426" s="6">
        <f>Deals_Raw!T426</f>
        <v>75601.333006112167</v>
      </c>
      <c r="U426" s="8">
        <f>Deals_Raw!V426</f>
        <v>0.14399999999999999</v>
      </c>
      <c r="V426" s="8">
        <f>Deals_Raw!W426</f>
        <v>0.10199999999999999</v>
      </c>
      <c r="W426" s="8">
        <f>Deals_Raw!X426</f>
        <v>-6.6000000000000003E-2</v>
      </c>
      <c r="X426" t="str">
        <f>Deals_Raw!Y426</f>
        <v>Multi-year commitment</v>
      </c>
      <c r="Y426" t="str">
        <f>Deals_Raw!Z426</f>
        <v>Pricing Analyst</v>
      </c>
      <c r="Z426" s="6">
        <f>Deals_Raw!AA426</f>
        <v>67923.948264067702</v>
      </c>
      <c r="AA426" s="6">
        <f>Deals_Raw!AC426</f>
        <v>28420.591660303988</v>
      </c>
      <c r="AB426" s="6">
        <f>Deals_Raw!AD426</f>
        <v>39503.356603763714</v>
      </c>
      <c r="AC426" s="8">
        <f>Deals_Raw!AE426</f>
        <v>0.58158216083356418</v>
      </c>
      <c r="AD426" t="str">
        <f>Deals_Raw!AF426</f>
        <v>Won</v>
      </c>
      <c r="AE426">
        <f>Deals_Raw!AG426</f>
        <v>0</v>
      </c>
      <c r="AF426">
        <f>Deals_Raw!AH426</f>
        <v>0</v>
      </c>
      <c r="AG426" t="str">
        <f>Deals_Raw!AI426</f>
        <v>No</v>
      </c>
      <c r="AH426" s="6">
        <f>Deals_Raw!AJ426</f>
        <v>67923.948264067702</v>
      </c>
      <c r="AI426" s="6">
        <f>Deals_Raw!AK426</f>
        <v>39503.356603763714</v>
      </c>
      <c r="AJ426" t="str">
        <f>Deals_Raw!AL426</f>
        <v>First purchase under this contract</v>
      </c>
      <c r="AK426" s="9">
        <f t="shared" si="42"/>
        <v>1.211111111111111</v>
      </c>
      <c r="AL426" s="8">
        <f t="shared" si="43"/>
        <v>0.8984490823538287</v>
      </c>
      <c r="AM426" s="8">
        <f t="shared" si="44"/>
        <v>4.1999999999999996E-2</v>
      </c>
      <c r="AN426" t="str">
        <f>IF(AC426&lt;Pricing_Policy!$C$10,"Below Floor","Pass")</f>
        <v>Pass</v>
      </c>
      <c r="AO426" t="str">
        <f>IF(V426&gt;Pricing_Policy!$C$7,"Exception","Standard")</f>
        <v>Standard</v>
      </c>
      <c r="AP426" t="str">
        <f t="shared" si="45"/>
        <v>Pass</v>
      </c>
      <c r="AQ426">
        <f t="shared" si="46"/>
        <v>1</v>
      </c>
      <c r="AR426" s="8">
        <f t="shared" si="47"/>
        <v>0.58158216083356418</v>
      </c>
      <c r="AS426">
        <f t="shared" si="48"/>
        <v>3</v>
      </c>
    </row>
    <row r="427" spans="1:45">
      <c r="A427" t="str">
        <f>Deals_Raw!A427</f>
        <v>D00480</v>
      </c>
      <c r="B427">
        <f>Deals_Raw!B427</f>
        <v>45347</v>
      </c>
      <c r="C427" t="str">
        <f>Deals_Raw!C427</f>
        <v>C0121</v>
      </c>
      <c r="D427" t="str">
        <f>Deals_Raw!D427</f>
        <v>TEC-0121</v>
      </c>
      <c r="E427" t="str">
        <f>Deals_Raw!E427</f>
        <v>CT00258</v>
      </c>
      <c r="F427" t="str">
        <f>Deals_Raw!F427</f>
        <v>Finance</v>
      </c>
      <c r="G427" t="str">
        <f>Deals_Raw!G427</f>
        <v>Technology</v>
      </c>
      <c r="H427" t="str">
        <f>Deals_Raw!H427</f>
        <v>Midwest</v>
      </c>
      <c r="I427" t="str">
        <f>Deals_Raw!I427</f>
        <v>Midwest Enterprise</v>
      </c>
      <c r="J427" t="str">
        <f>Deals_Raw!J427</f>
        <v>Enterprise</v>
      </c>
      <c r="K427" t="str">
        <f>Deals_Raw!K427</f>
        <v>Yes</v>
      </c>
      <c r="L427">
        <f>Deals_Raw!L427</f>
        <v>44896</v>
      </c>
      <c r="M427">
        <f>Deals_Raw!M427</f>
        <v>59</v>
      </c>
      <c r="N427" t="str">
        <f>Deals_Raw!N427</f>
        <v>Nexus Enterprise Suite</v>
      </c>
      <c r="O427" t="str">
        <f>Deals_Raw!O427</f>
        <v>Renewal</v>
      </c>
      <c r="P427">
        <f>Deals_Raw!P427</f>
        <v>0</v>
      </c>
      <c r="Q427">
        <f>Deals_Raw!Q427</f>
        <v>1</v>
      </c>
      <c r="R427">
        <f>Deals_Raw!R427</f>
        <v>1728</v>
      </c>
      <c r="S427" t="str">
        <f>Deals_Raw!S427</f>
        <v>D. Chen</v>
      </c>
      <c r="T427" s="6">
        <f>Deals_Raw!T427</f>
        <v>745014.1031997262</v>
      </c>
      <c r="U427" s="8">
        <f>Deals_Raw!V427</f>
        <v>0.14299999999999999</v>
      </c>
      <c r="V427" s="8">
        <f>Deals_Raw!W427</f>
        <v>0.109</v>
      </c>
      <c r="W427" s="8">
        <f>Deals_Raw!X427</f>
        <v>-8.5000000000000006E-2</v>
      </c>
      <c r="X427" t="str">
        <f>Deals_Raw!Y427</f>
        <v>Renewal retention risk</v>
      </c>
      <c r="Y427" t="str">
        <f>Deals_Raw!Z427</f>
        <v>Pricing Analyst</v>
      </c>
      <c r="Z427" s="6">
        <f>Deals_Raw!AA427</f>
        <v>663992.07488345192</v>
      </c>
      <c r="AA427" s="6">
        <f>Deals_Raw!AC427</f>
        <v>260031.44809585271</v>
      </c>
      <c r="AB427" s="6">
        <f>Deals_Raw!AD427</f>
        <v>403960.62678759918</v>
      </c>
      <c r="AC427" s="8">
        <f>Deals_Raw!AE427</f>
        <v>0.60838169922209517</v>
      </c>
      <c r="AD427" t="str">
        <f>Deals_Raw!AF427</f>
        <v>Won</v>
      </c>
      <c r="AE427" t="str">
        <f>Deals_Raw!AG427</f>
        <v>Yes</v>
      </c>
      <c r="AF427">
        <f>Deals_Raw!AH427</f>
        <v>0</v>
      </c>
      <c r="AG427" t="str">
        <f>Deals_Raw!AI427</f>
        <v>No</v>
      </c>
      <c r="AH427" s="6">
        <f>Deals_Raw!AJ427</f>
        <v>663992.07488345192</v>
      </c>
      <c r="AI427" s="6">
        <f>Deals_Raw!AK427</f>
        <v>403960.62678759918</v>
      </c>
      <c r="AJ427" t="str">
        <f>Deals_Raw!AL427</f>
        <v>Renewal of existing active contract</v>
      </c>
      <c r="AK427" s="9">
        <f t="shared" si="42"/>
        <v>1.2333333333333334</v>
      </c>
      <c r="AL427" s="8">
        <f t="shared" si="43"/>
        <v>0.89124765830835073</v>
      </c>
      <c r="AM427" s="8">
        <f t="shared" si="44"/>
        <v>3.3999999999999989E-2</v>
      </c>
      <c r="AN427" t="str">
        <f>IF(AC427&lt;Pricing_Policy!$C$10,"Below Floor","Pass")</f>
        <v>Pass</v>
      </c>
      <c r="AO427" t="str">
        <f>IF(V427&gt;Pricing_Policy!$C$7,"Exception","Standard")</f>
        <v>Standard</v>
      </c>
      <c r="AP427" t="str">
        <f t="shared" si="45"/>
        <v>Pass</v>
      </c>
      <c r="AQ427">
        <f t="shared" si="46"/>
        <v>1</v>
      </c>
      <c r="AR427" s="8">
        <f t="shared" si="47"/>
        <v>0.60838169922209517</v>
      </c>
      <c r="AS427">
        <f t="shared" si="48"/>
        <v>2</v>
      </c>
    </row>
    <row r="428" spans="1:45">
      <c r="A428" t="str">
        <f>Deals_Raw!A428</f>
        <v>D00481</v>
      </c>
      <c r="B428">
        <f>Deals_Raw!B428</f>
        <v>45712</v>
      </c>
      <c r="C428" t="str">
        <f>Deals_Raw!C428</f>
        <v>C0121</v>
      </c>
      <c r="D428" t="str">
        <f>Deals_Raw!D428</f>
        <v>TEC-0121</v>
      </c>
      <c r="E428" t="str">
        <f>Deals_Raw!E428</f>
        <v>CT00258</v>
      </c>
      <c r="F428" t="str">
        <f>Deals_Raw!F428</f>
        <v>Finance</v>
      </c>
      <c r="G428" t="str">
        <f>Deals_Raw!G428</f>
        <v>Technology</v>
      </c>
      <c r="H428" t="str">
        <f>Deals_Raw!H428</f>
        <v>Midwest</v>
      </c>
      <c r="I428" t="str">
        <f>Deals_Raw!I428</f>
        <v>Midwest Enterprise</v>
      </c>
      <c r="J428" t="str">
        <f>Deals_Raw!J428</f>
        <v>Enterprise</v>
      </c>
      <c r="K428" t="str">
        <f>Deals_Raw!K428</f>
        <v>Yes</v>
      </c>
      <c r="L428">
        <f>Deals_Raw!L428</f>
        <v>44896</v>
      </c>
      <c r="M428">
        <f>Deals_Raw!M428</f>
        <v>59</v>
      </c>
      <c r="N428" t="str">
        <f>Deals_Raw!N428</f>
        <v>Nexus Enterprise Suite</v>
      </c>
      <c r="O428" t="str">
        <f>Deals_Raw!O428</f>
        <v>Renewal</v>
      </c>
      <c r="P428">
        <f>Deals_Raw!P428</f>
        <v>0</v>
      </c>
      <c r="Q428">
        <f>Deals_Raw!Q428</f>
        <v>1</v>
      </c>
      <c r="R428">
        <f>Deals_Raw!R428</f>
        <v>1728</v>
      </c>
      <c r="S428" t="str">
        <f>Deals_Raw!S428</f>
        <v>T. Brooks</v>
      </c>
      <c r="T428" s="6">
        <f>Deals_Raw!T428</f>
        <v>783325.6104330722</v>
      </c>
      <c r="U428" s="8">
        <f>Deals_Raw!V428</f>
        <v>0.13100000000000001</v>
      </c>
      <c r="V428" s="8">
        <f>Deals_Raw!W428</f>
        <v>0.114</v>
      </c>
      <c r="W428" s="8">
        <f>Deals_Raw!X428</f>
        <v>-1.7000000000000001E-2</v>
      </c>
      <c r="X428" t="str">
        <f>Deals_Raw!Y428</f>
        <v>Renewal retention risk</v>
      </c>
      <c r="Y428" t="str">
        <f>Deals_Raw!Z428</f>
        <v>Pricing Analyst</v>
      </c>
      <c r="Z428" s="6">
        <f>Deals_Raw!AA428</f>
        <v>693985.14831588953</v>
      </c>
      <c r="AA428" s="6">
        <f>Deals_Raw!AC428</f>
        <v>276605.10237656499</v>
      </c>
      <c r="AB428" s="6">
        <f>Deals_Raw!AD428</f>
        <v>417380.04593932454</v>
      </c>
      <c r="AC428" s="8">
        <f>Deals_Raw!AE428</f>
        <v>0.60142504051014745</v>
      </c>
      <c r="AD428" t="str">
        <f>Deals_Raw!AF428</f>
        <v>Won</v>
      </c>
      <c r="AE428" t="str">
        <f>Deals_Raw!AG428</f>
        <v>Yes</v>
      </c>
      <c r="AF428">
        <f>Deals_Raw!AH428</f>
        <v>0</v>
      </c>
      <c r="AG428" t="str">
        <f>Deals_Raw!AI428</f>
        <v>No</v>
      </c>
      <c r="AH428" s="6">
        <f>Deals_Raw!AJ428</f>
        <v>693985.14831588953</v>
      </c>
      <c r="AI428" s="6">
        <f>Deals_Raw!AK428</f>
        <v>417380.04593932454</v>
      </c>
      <c r="AJ428" t="str">
        <f>Deals_Raw!AL428</f>
        <v>Renewal of existing active contract</v>
      </c>
      <c r="AK428" s="9">
        <f t="shared" si="42"/>
        <v>2.2305555555555556</v>
      </c>
      <c r="AL428" s="8">
        <f t="shared" si="43"/>
        <v>0.88594722178457874</v>
      </c>
      <c r="AM428" s="8">
        <f t="shared" si="44"/>
        <v>1.7000000000000001E-2</v>
      </c>
      <c r="AN428" t="str">
        <f>IF(AC428&lt;Pricing_Policy!$C$10,"Below Floor","Pass")</f>
        <v>Pass</v>
      </c>
      <c r="AO428" t="str">
        <f>IF(V428&gt;Pricing_Policy!$C$7,"Exception","Standard")</f>
        <v>Standard</v>
      </c>
      <c r="AP428" t="str">
        <f t="shared" si="45"/>
        <v>Pass</v>
      </c>
      <c r="AQ428">
        <f t="shared" si="46"/>
        <v>1</v>
      </c>
      <c r="AR428" s="8">
        <f t="shared" si="47"/>
        <v>0.60142504051014745</v>
      </c>
      <c r="AS428">
        <f t="shared" si="48"/>
        <v>2</v>
      </c>
    </row>
    <row r="429" spans="1:45">
      <c r="A429" t="str">
        <f>Deals_Raw!A429</f>
        <v>D00482</v>
      </c>
      <c r="B429">
        <f>Deals_Raw!B429</f>
        <v>45725</v>
      </c>
      <c r="C429" t="str">
        <f>Deals_Raw!C429</f>
        <v>C0121</v>
      </c>
      <c r="D429" t="str">
        <f>Deals_Raw!D429</f>
        <v>TEC-0121</v>
      </c>
      <c r="E429" t="str">
        <f>Deals_Raw!E429</f>
        <v>CT00259</v>
      </c>
      <c r="F429" t="str">
        <f>Deals_Raw!F429</f>
        <v>Corporate</v>
      </c>
      <c r="G429" t="str">
        <f>Deals_Raw!G429</f>
        <v>Technology</v>
      </c>
      <c r="H429" t="str">
        <f>Deals_Raw!H429</f>
        <v>Midwest</v>
      </c>
      <c r="I429" t="str">
        <f>Deals_Raw!I429</f>
        <v>Midwest Enterprise</v>
      </c>
      <c r="J429" t="str">
        <f>Deals_Raw!J429</f>
        <v>Enterprise</v>
      </c>
      <c r="K429" t="str">
        <f>Deals_Raw!K429</f>
        <v>Yes</v>
      </c>
      <c r="L429">
        <f>Deals_Raw!L429</f>
        <v>44896</v>
      </c>
      <c r="M429">
        <f>Deals_Raw!M429</f>
        <v>59</v>
      </c>
      <c r="N429" t="str">
        <f>Deals_Raw!N429</f>
        <v>Nexus Compliance</v>
      </c>
      <c r="O429" t="str">
        <f>Deals_Raw!O429</f>
        <v>Expansion</v>
      </c>
      <c r="P429" t="str">
        <f>Deals_Raw!P429</f>
        <v>Module Add-on</v>
      </c>
      <c r="Q429">
        <f>Deals_Raw!Q429</f>
        <v>2</v>
      </c>
      <c r="R429">
        <f>Deals_Raw!R429</f>
        <v>1914</v>
      </c>
      <c r="S429" t="str">
        <f>Deals_Raw!S429</f>
        <v>L. Williams</v>
      </c>
      <c r="T429" s="6">
        <f>Deals_Raw!T429</f>
        <v>373240.31331352127</v>
      </c>
      <c r="U429" s="8">
        <f>Deals_Raw!V429</f>
        <v>0.18099999999999999</v>
      </c>
      <c r="V429" s="8">
        <f>Deals_Raw!W429</f>
        <v>0.16200000000000001</v>
      </c>
      <c r="W429" s="8">
        <f>Deals_Raw!X429</f>
        <v>-5.0000000000000001E-3</v>
      </c>
      <c r="X429" t="str">
        <f>Deals_Raw!Y429</f>
        <v>Expansion opportunity</v>
      </c>
      <c r="Y429" t="str">
        <f>Deals_Raw!Z429</f>
        <v>Pricing Analyst</v>
      </c>
      <c r="Z429" s="6">
        <f>Deals_Raw!AA429</f>
        <v>312653.19971637573</v>
      </c>
      <c r="AA429" s="6">
        <f>Deals_Raw!AC429</f>
        <v>119660.83633514901</v>
      </c>
      <c r="AB429" s="6">
        <f>Deals_Raw!AD429</f>
        <v>192992.36338122672</v>
      </c>
      <c r="AC429" s="8">
        <f>Deals_Raw!AE429</f>
        <v>0.61727295148842332</v>
      </c>
      <c r="AD429" t="str">
        <f>Deals_Raw!AF429</f>
        <v>Won</v>
      </c>
      <c r="AE429">
        <f>Deals_Raw!AG429</f>
        <v>0</v>
      </c>
      <c r="AF429" t="str">
        <f>Deals_Raw!AH429</f>
        <v>Yes</v>
      </c>
      <c r="AG429" t="str">
        <f>Deals_Raw!AI429</f>
        <v>No</v>
      </c>
      <c r="AH429" s="6">
        <f>Deals_Raw!AJ429</f>
        <v>312653.19971637573</v>
      </c>
      <c r="AI429" s="6">
        <f>Deals_Raw!AK429</f>
        <v>192992.36338122672</v>
      </c>
      <c r="AJ429" t="str">
        <f>Deals_Raw!AL429</f>
        <v>Expansion allowed because contract was active</v>
      </c>
      <c r="AK429" s="9">
        <f t="shared" si="42"/>
        <v>2.2722222222222221</v>
      </c>
      <c r="AL429" s="8">
        <f t="shared" si="43"/>
        <v>0.83767264297023436</v>
      </c>
      <c r="AM429" s="8">
        <f t="shared" si="44"/>
        <v>1.8999999999999989E-2</v>
      </c>
      <c r="AN429" t="str">
        <f>IF(AC429&lt;Pricing_Policy!$C$10,"Below Floor","Pass")</f>
        <v>Pass</v>
      </c>
      <c r="AO429" t="str">
        <f>IF(V429&gt;Pricing_Policy!$C$7,"Exception","Standard")</f>
        <v>Standard</v>
      </c>
      <c r="AP429" t="str">
        <f t="shared" si="45"/>
        <v>Pass</v>
      </c>
      <c r="AQ429">
        <f t="shared" si="46"/>
        <v>1</v>
      </c>
      <c r="AR429" s="8">
        <f t="shared" si="47"/>
        <v>0.61727295148842332</v>
      </c>
      <c r="AS429">
        <f t="shared" si="48"/>
        <v>2</v>
      </c>
    </row>
    <row r="430" spans="1:45">
      <c r="A430" t="str">
        <f>Deals_Raw!A430</f>
        <v>D00483</v>
      </c>
      <c r="B430">
        <f>Deals_Raw!B430</f>
        <v>45843</v>
      </c>
      <c r="C430" t="str">
        <f>Deals_Raw!C430</f>
        <v>C0121</v>
      </c>
      <c r="D430" t="str">
        <f>Deals_Raw!D430</f>
        <v>TEC-0121</v>
      </c>
      <c r="E430" t="str">
        <f>Deals_Raw!E430</f>
        <v>CT00259</v>
      </c>
      <c r="F430" t="str">
        <f>Deals_Raw!F430</f>
        <v>Corporate</v>
      </c>
      <c r="G430" t="str">
        <f>Deals_Raw!G430</f>
        <v>Technology</v>
      </c>
      <c r="H430" t="str">
        <f>Deals_Raw!H430</f>
        <v>Midwest</v>
      </c>
      <c r="I430" t="str">
        <f>Deals_Raw!I430</f>
        <v>Midwest Enterprise</v>
      </c>
      <c r="J430" t="str">
        <f>Deals_Raw!J430</f>
        <v>Enterprise</v>
      </c>
      <c r="K430" t="str">
        <f>Deals_Raw!K430</f>
        <v>Yes</v>
      </c>
      <c r="L430">
        <f>Deals_Raw!L430</f>
        <v>44896</v>
      </c>
      <c r="M430">
        <f>Deals_Raw!M430</f>
        <v>59</v>
      </c>
      <c r="N430" t="str">
        <f>Deals_Raw!N430</f>
        <v>Nexus Compliance</v>
      </c>
      <c r="O430" t="str">
        <f>Deals_Raw!O430</f>
        <v>Renewal</v>
      </c>
      <c r="P430">
        <f>Deals_Raw!P430</f>
        <v>0</v>
      </c>
      <c r="Q430">
        <f>Deals_Raw!Q430</f>
        <v>2</v>
      </c>
      <c r="R430">
        <f>Deals_Raw!R430</f>
        <v>1914</v>
      </c>
      <c r="S430" t="str">
        <f>Deals_Raw!S430</f>
        <v>D. Chen</v>
      </c>
      <c r="T430" s="6">
        <f>Deals_Raw!T430</f>
        <v>385274.56942752807</v>
      </c>
      <c r="U430" s="8">
        <f>Deals_Raw!V430</f>
        <v>0.25700000000000001</v>
      </c>
      <c r="V430" s="8">
        <f>Deals_Raw!W430</f>
        <v>0.22800000000000001</v>
      </c>
      <c r="W430" s="8">
        <f>Deals_Raw!X430</f>
        <v>-0.107</v>
      </c>
      <c r="X430" t="str">
        <f>Deals_Raw!Y430</f>
        <v>Renewal retention risk</v>
      </c>
      <c r="Y430" t="str">
        <f>Deals_Raw!Z430</f>
        <v>Business Manager</v>
      </c>
      <c r="Z430" s="6">
        <f>Deals_Raw!AA430</f>
        <v>297428.15989599394</v>
      </c>
      <c r="AA430" s="6">
        <f>Deals_Raw!AC430</f>
        <v>130898.28407658622</v>
      </c>
      <c r="AB430" s="6">
        <f>Deals_Raw!AD430</f>
        <v>166529.87581940772</v>
      </c>
      <c r="AC430" s="8">
        <f>Deals_Raw!AE430</f>
        <v>0.5598994926292139</v>
      </c>
      <c r="AD430" t="str">
        <f>Deals_Raw!AF430</f>
        <v>Won</v>
      </c>
      <c r="AE430" t="str">
        <f>Deals_Raw!AG430</f>
        <v>Yes</v>
      </c>
      <c r="AF430">
        <f>Deals_Raw!AH430</f>
        <v>0</v>
      </c>
      <c r="AG430" t="str">
        <f>Deals_Raw!AI430</f>
        <v>No</v>
      </c>
      <c r="AH430" s="6">
        <f>Deals_Raw!AJ430</f>
        <v>297428.15989599394</v>
      </c>
      <c r="AI430" s="6">
        <f>Deals_Raw!AK430</f>
        <v>166529.87581940772</v>
      </c>
      <c r="AJ430" t="str">
        <f>Deals_Raw!AL430</f>
        <v>Renewal of existing active contract</v>
      </c>
      <c r="AK430" s="9">
        <f t="shared" si="42"/>
        <v>2.5944444444444446</v>
      </c>
      <c r="AL430" s="8">
        <f t="shared" si="43"/>
        <v>0.77199011691307995</v>
      </c>
      <c r="AM430" s="8">
        <f t="shared" si="44"/>
        <v>2.8999999999999998E-2</v>
      </c>
      <c r="AN430" t="str">
        <f>IF(AC430&lt;Pricing_Policy!$C$10,"Below Floor","Pass")</f>
        <v>Pass</v>
      </c>
      <c r="AO430" t="str">
        <f>IF(V430&gt;Pricing_Policy!$C$7,"Exception","Standard")</f>
        <v>Standard</v>
      </c>
      <c r="AP430" t="str">
        <f t="shared" si="45"/>
        <v>Pass</v>
      </c>
      <c r="AQ430">
        <f t="shared" si="46"/>
        <v>1</v>
      </c>
      <c r="AR430" s="8">
        <f t="shared" si="47"/>
        <v>0.5598994926292139</v>
      </c>
      <c r="AS430">
        <f t="shared" si="48"/>
        <v>2</v>
      </c>
    </row>
    <row r="431" spans="1:45">
      <c r="A431" t="str">
        <f>Deals_Raw!A431</f>
        <v>D00484</v>
      </c>
      <c r="B431">
        <f>Deals_Raw!B431</f>
        <v>45972</v>
      </c>
      <c r="C431" t="str">
        <f>Deals_Raw!C431</f>
        <v>C0121</v>
      </c>
      <c r="D431" t="str">
        <f>Deals_Raw!D431</f>
        <v>TEC-0121</v>
      </c>
      <c r="E431" t="str">
        <f>Deals_Raw!E431</f>
        <v>CT00260</v>
      </c>
      <c r="F431" t="str">
        <f>Deals_Raw!F431</f>
        <v>Technology</v>
      </c>
      <c r="G431" t="str">
        <f>Deals_Raw!G431</f>
        <v>Technology</v>
      </c>
      <c r="H431" t="str">
        <f>Deals_Raw!H431</f>
        <v>Midwest</v>
      </c>
      <c r="I431" t="str">
        <f>Deals_Raw!I431</f>
        <v>Midwest Enterprise</v>
      </c>
      <c r="J431" t="str">
        <f>Deals_Raw!J431</f>
        <v>Enterprise</v>
      </c>
      <c r="K431" t="str">
        <f>Deals_Raw!K431</f>
        <v>Yes</v>
      </c>
      <c r="L431">
        <f>Deals_Raw!L431</f>
        <v>44896</v>
      </c>
      <c r="M431">
        <f>Deals_Raw!M431</f>
        <v>59</v>
      </c>
      <c r="N431" t="str">
        <f>Deals_Raw!N431</f>
        <v>Nexus Analytics</v>
      </c>
      <c r="O431" t="str">
        <f>Deals_Raw!O431</f>
        <v>Renewal</v>
      </c>
      <c r="P431">
        <f>Deals_Raw!P431</f>
        <v>0</v>
      </c>
      <c r="Q431">
        <f>Deals_Raw!Q431</f>
        <v>2</v>
      </c>
      <c r="R431">
        <f>Deals_Raw!R431</f>
        <v>1919</v>
      </c>
      <c r="S431" t="str">
        <f>Deals_Raw!S431</f>
        <v>D. Chen</v>
      </c>
      <c r="T431" s="6">
        <f>Deals_Raw!T431</f>
        <v>192300.88793416304</v>
      </c>
      <c r="U431" s="8">
        <f>Deals_Raw!V431</f>
        <v>0.152</v>
      </c>
      <c r="V431" s="8">
        <f>Deals_Raw!W431</f>
        <v>0.11799999999999999</v>
      </c>
      <c r="W431" s="8">
        <f>Deals_Raw!X431</f>
        <v>0.08</v>
      </c>
      <c r="X431" t="str">
        <f>Deals_Raw!Y431</f>
        <v>Renewal retention risk</v>
      </c>
      <c r="Y431" t="str">
        <f>Deals_Raw!Z431</f>
        <v>Pricing Analyst</v>
      </c>
      <c r="Z431" s="6">
        <f>Deals_Raw!AA431</f>
        <v>169529.13138373147</v>
      </c>
      <c r="AA431" s="6">
        <f>Deals_Raw!AC431</f>
        <v>58483.492445276897</v>
      </c>
      <c r="AB431" s="6">
        <f>Deals_Raw!AD431</f>
        <v>111045.63893845456</v>
      </c>
      <c r="AC431" s="8">
        <f>Deals_Raw!AE431</f>
        <v>0.65502393619360477</v>
      </c>
      <c r="AD431" t="str">
        <f>Deals_Raw!AF431</f>
        <v>Lost</v>
      </c>
      <c r="AE431" t="str">
        <f>Deals_Raw!AG431</f>
        <v>No</v>
      </c>
      <c r="AF431">
        <f>Deals_Raw!AH431</f>
        <v>0</v>
      </c>
      <c r="AG431" t="str">
        <f>Deals_Raw!AI431</f>
        <v>No</v>
      </c>
      <c r="AH431" s="6">
        <f>Deals_Raw!AJ431</f>
        <v>0</v>
      </c>
      <c r="AI431" s="6">
        <f>Deals_Raw!AK431</f>
        <v>0</v>
      </c>
      <c r="AJ431" t="str">
        <f>Deals_Raw!AL431</f>
        <v>Renewal of existing active contract</v>
      </c>
      <c r="AK431" s="9">
        <f t="shared" si="42"/>
        <v>2.9444444444444446</v>
      </c>
      <c r="AL431" s="8">
        <f t="shared" si="43"/>
        <v>0.88158267600809104</v>
      </c>
      <c r="AM431" s="8">
        <f t="shared" si="44"/>
        <v>3.4000000000000002E-2</v>
      </c>
      <c r="AN431" t="str">
        <f>IF(AC431&lt;Pricing_Policy!$C$10,"Below Floor","Pass")</f>
        <v>Pass</v>
      </c>
      <c r="AO431" t="str">
        <f>IF(V431&gt;Pricing_Policy!$C$7,"Exception","Standard")</f>
        <v>Standard</v>
      </c>
      <c r="AP431" t="str">
        <f t="shared" si="45"/>
        <v>Pass</v>
      </c>
      <c r="AQ431">
        <f t="shared" si="46"/>
        <v>0</v>
      </c>
      <c r="AR431" s="8">
        <f t="shared" si="47"/>
        <v>0</v>
      </c>
      <c r="AS431">
        <f t="shared" si="48"/>
        <v>3</v>
      </c>
    </row>
    <row r="432" spans="1:45">
      <c r="A432" t="str">
        <f>Deals_Raw!A432</f>
        <v>D00485</v>
      </c>
      <c r="B432">
        <f>Deals_Raw!B432</f>
        <v>45451</v>
      </c>
      <c r="C432" t="str">
        <f>Deals_Raw!C432</f>
        <v>C0121</v>
      </c>
      <c r="D432" t="str">
        <f>Deals_Raw!D432</f>
        <v>TEC-0121</v>
      </c>
      <c r="E432" t="str">
        <f>Deals_Raw!E432</f>
        <v>CT00261</v>
      </c>
      <c r="F432" t="str">
        <f>Deals_Raw!F432</f>
        <v>Sales</v>
      </c>
      <c r="G432" t="str">
        <f>Deals_Raw!G432</f>
        <v>Technology</v>
      </c>
      <c r="H432" t="str">
        <f>Deals_Raw!H432</f>
        <v>Midwest</v>
      </c>
      <c r="I432" t="str">
        <f>Deals_Raw!I432</f>
        <v>Midwest Enterprise</v>
      </c>
      <c r="J432" t="str">
        <f>Deals_Raw!J432</f>
        <v>Enterprise</v>
      </c>
      <c r="K432" t="str">
        <f>Deals_Raw!K432</f>
        <v>Yes</v>
      </c>
      <c r="L432">
        <f>Deals_Raw!L432</f>
        <v>44896</v>
      </c>
      <c r="M432">
        <f>Deals_Raw!M432</f>
        <v>59</v>
      </c>
      <c r="N432" t="str">
        <f>Deals_Raw!N432</f>
        <v>Nexus Analytics</v>
      </c>
      <c r="O432" t="str">
        <f>Deals_Raw!O432</f>
        <v>New Business</v>
      </c>
      <c r="P432">
        <f>Deals_Raw!P432</f>
        <v>0</v>
      </c>
      <c r="Q432">
        <f>Deals_Raw!Q432</f>
        <v>1</v>
      </c>
      <c r="R432">
        <f>Deals_Raw!R432</f>
        <v>1300</v>
      </c>
      <c r="S432" t="str">
        <f>Deals_Raw!S432</f>
        <v>A. Patel</v>
      </c>
      <c r="T432" s="6">
        <f>Deals_Raw!T432</f>
        <v>222839.53654145295</v>
      </c>
      <c r="U432" s="8">
        <f>Deals_Raw!V432</f>
        <v>0.23599999999999999</v>
      </c>
      <c r="V432" s="8">
        <f>Deals_Raw!W432</f>
        <v>0.224</v>
      </c>
      <c r="W432" s="8">
        <f>Deals_Raw!X432</f>
        <v>3.2000000000000001E-2</v>
      </c>
      <c r="X432" t="str">
        <f>Deals_Raw!Y432</f>
        <v>Renewal retention risk</v>
      </c>
      <c r="Y432" t="str">
        <f>Deals_Raw!Z432</f>
        <v>Business Manager</v>
      </c>
      <c r="Z432" s="6">
        <f>Deals_Raw!AA432</f>
        <v>173011.48081882024</v>
      </c>
      <c r="AA432" s="6">
        <f>Deals_Raw!AC432</f>
        <v>77968.883071231045</v>
      </c>
      <c r="AB432" s="6">
        <f>Deals_Raw!AD432</f>
        <v>95042.5977475892</v>
      </c>
      <c r="AC432" s="8">
        <f>Deals_Raw!AE432</f>
        <v>0.54934272163775644</v>
      </c>
      <c r="AD432" t="str">
        <f>Deals_Raw!AF432</f>
        <v>Lost</v>
      </c>
      <c r="AE432">
        <f>Deals_Raw!AG432</f>
        <v>0</v>
      </c>
      <c r="AF432">
        <f>Deals_Raw!AH432</f>
        <v>0</v>
      </c>
      <c r="AG432" t="str">
        <f>Deals_Raw!AI432</f>
        <v>No</v>
      </c>
      <c r="AH432" s="6">
        <f>Deals_Raw!AJ432</f>
        <v>0</v>
      </c>
      <c r="AI432" s="6">
        <f>Deals_Raw!AK432</f>
        <v>0</v>
      </c>
      <c r="AJ432" t="str">
        <f>Deals_Raw!AL432</f>
        <v>First purchase under this contract</v>
      </c>
      <c r="AK432" s="9">
        <f t="shared" si="42"/>
        <v>1.5194444444444444</v>
      </c>
      <c r="AL432" s="8">
        <f t="shared" si="43"/>
        <v>0.77639490506944397</v>
      </c>
      <c r="AM432" s="8">
        <f t="shared" si="44"/>
        <v>1.1999999999999983E-2</v>
      </c>
      <c r="AN432" t="str">
        <f>IF(AC432&lt;Pricing_Policy!$C$10,"Below Floor","Pass")</f>
        <v>Pass</v>
      </c>
      <c r="AO432" t="str">
        <f>IF(V432&gt;Pricing_Policy!$C$7,"Exception","Standard")</f>
        <v>Standard</v>
      </c>
      <c r="AP432" t="str">
        <f t="shared" si="45"/>
        <v>Pass</v>
      </c>
      <c r="AQ432">
        <f t="shared" si="46"/>
        <v>0</v>
      </c>
      <c r="AR432" s="8">
        <f t="shared" si="47"/>
        <v>0</v>
      </c>
      <c r="AS432">
        <f t="shared" si="48"/>
        <v>3</v>
      </c>
    </row>
    <row r="433" spans="1:45">
      <c r="A433" t="str">
        <f>Deals_Raw!A433</f>
        <v>D00486</v>
      </c>
      <c r="B433">
        <f>Deals_Raw!B433</f>
        <v>45759</v>
      </c>
      <c r="C433" t="str">
        <f>Deals_Raw!C433</f>
        <v>C0121</v>
      </c>
      <c r="D433" t="str">
        <f>Deals_Raw!D433</f>
        <v>TEC-0121</v>
      </c>
      <c r="E433" t="str">
        <f>Deals_Raw!E433</f>
        <v>CT00261</v>
      </c>
      <c r="F433" t="str">
        <f>Deals_Raw!F433</f>
        <v>Sales</v>
      </c>
      <c r="G433" t="str">
        <f>Deals_Raw!G433</f>
        <v>Technology</v>
      </c>
      <c r="H433" t="str">
        <f>Deals_Raw!H433</f>
        <v>Midwest</v>
      </c>
      <c r="I433" t="str">
        <f>Deals_Raw!I433</f>
        <v>Midwest Enterprise</v>
      </c>
      <c r="J433" t="str">
        <f>Deals_Raw!J433</f>
        <v>Enterprise</v>
      </c>
      <c r="K433" t="str">
        <f>Deals_Raw!K433</f>
        <v>Yes</v>
      </c>
      <c r="L433">
        <f>Deals_Raw!L433</f>
        <v>44896</v>
      </c>
      <c r="M433">
        <f>Deals_Raw!M433</f>
        <v>59</v>
      </c>
      <c r="N433" t="str">
        <f>Deals_Raw!N433</f>
        <v>Nexus Analytics</v>
      </c>
      <c r="O433" t="str">
        <f>Deals_Raw!O433</f>
        <v>Win-back</v>
      </c>
      <c r="P433">
        <f>Deals_Raw!P433</f>
        <v>0</v>
      </c>
      <c r="Q433">
        <f>Deals_Raw!Q433</f>
        <v>1</v>
      </c>
      <c r="R433">
        <f>Deals_Raw!R433</f>
        <v>1300</v>
      </c>
      <c r="S433" t="str">
        <f>Deals_Raw!S433</f>
        <v>D. Chen</v>
      </c>
      <c r="T433" s="6">
        <f>Deals_Raw!T433</f>
        <v>222839.53654145295</v>
      </c>
      <c r="U433" s="8">
        <f>Deals_Raw!V433</f>
        <v>0.20499999999999999</v>
      </c>
      <c r="V433" s="8">
        <f>Deals_Raw!W433</f>
        <v>0.19600000000000001</v>
      </c>
      <c r="W433" s="8">
        <f>Deals_Raw!X433</f>
        <v>-7.0999999999999994E-2</v>
      </c>
      <c r="X433" t="str">
        <f>Deals_Raw!Y433</f>
        <v>Renewal retention risk</v>
      </c>
      <c r="Y433" t="str">
        <f>Deals_Raw!Z433</f>
        <v>Pricing Analyst</v>
      </c>
      <c r="Z433" s="6">
        <f>Deals_Raw!AA433</f>
        <v>179113.77714547026</v>
      </c>
      <c r="AA433" s="6">
        <f>Deals_Raw!AC433</f>
        <v>71630.410804450265</v>
      </c>
      <c r="AB433" s="6">
        <f>Deals_Raw!AD433</f>
        <v>107483.36634102</v>
      </c>
      <c r="AC433" s="8">
        <f>Deals_Raw!AE433</f>
        <v>0.60008430425609072</v>
      </c>
      <c r="AD433" t="str">
        <f>Deals_Raw!AF433</f>
        <v>Lost</v>
      </c>
      <c r="AE433">
        <f>Deals_Raw!AG433</f>
        <v>0</v>
      </c>
      <c r="AF433">
        <f>Deals_Raw!AH433</f>
        <v>0</v>
      </c>
      <c r="AG433" t="str">
        <f>Deals_Raw!AI433</f>
        <v>Yes</v>
      </c>
      <c r="AH433" s="6">
        <f>Deals_Raw!AJ433</f>
        <v>0</v>
      </c>
      <c r="AI433" s="6">
        <f>Deals_Raw!AK433</f>
        <v>0</v>
      </c>
      <c r="AJ433" t="str">
        <f>Deals_Raw!AL433</f>
        <v>Customer returned after prior lost initial opportunity</v>
      </c>
      <c r="AK433" s="9">
        <f t="shared" si="42"/>
        <v>2.3638888888888889</v>
      </c>
      <c r="AL433" s="8">
        <f t="shared" si="43"/>
        <v>0.8037791674017023</v>
      </c>
      <c r="AM433" s="8">
        <f t="shared" si="44"/>
        <v>8.9999999999999802E-3</v>
      </c>
      <c r="AN433" t="str">
        <f>IF(AC433&lt;Pricing_Policy!$C$10,"Below Floor","Pass")</f>
        <v>Pass</v>
      </c>
      <c r="AO433" t="str">
        <f>IF(V433&gt;Pricing_Policy!$C$7,"Exception","Standard")</f>
        <v>Standard</v>
      </c>
      <c r="AP433" t="str">
        <f t="shared" si="45"/>
        <v>Pass</v>
      </c>
      <c r="AQ433">
        <f t="shared" si="46"/>
        <v>0</v>
      </c>
      <c r="AR433" s="8">
        <f t="shared" si="47"/>
        <v>0</v>
      </c>
      <c r="AS433">
        <f t="shared" si="48"/>
        <v>3</v>
      </c>
    </row>
    <row r="434" spans="1:45">
      <c r="A434" t="str">
        <f>Deals_Raw!A434</f>
        <v>D00487</v>
      </c>
      <c r="B434">
        <f>Deals_Raw!B434</f>
        <v>45794</v>
      </c>
      <c r="C434" t="str">
        <f>Deals_Raw!C434</f>
        <v>C0122</v>
      </c>
      <c r="D434" t="str">
        <f>Deals_Raw!D434</f>
        <v>FIN-0122</v>
      </c>
      <c r="E434" t="str">
        <f>Deals_Raw!E434</f>
        <v>CT00262</v>
      </c>
      <c r="F434" t="str">
        <f>Deals_Raw!F434</f>
        <v>Legal</v>
      </c>
      <c r="G434" t="str">
        <f>Deals_Raw!G434</f>
        <v>Financial Services</v>
      </c>
      <c r="H434" t="str">
        <f>Deals_Raw!H434</f>
        <v>South</v>
      </c>
      <c r="I434" t="str">
        <f>Deals_Raw!I434</f>
        <v>South Commercial</v>
      </c>
      <c r="J434" t="str">
        <f>Deals_Raw!J434</f>
        <v>Mid-Market</v>
      </c>
      <c r="K434" t="str">
        <f>Deals_Raw!K434</f>
        <v>No</v>
      </c>
      <c r="L434">
        <f>Deals_Raw!L434</f>
        <v>44348</v>
      </c>
      <c r="M434">
        <f>Deals_Raw!M434</f>
        <v>60</v>
      </c>
      <c r="N434" t="str">
        <f>Deals_Raw!N434</f>
        <v>Nexus Compliance</v>
      </c>
      <c r="O434" t="str">
        <f>Deals_Raw!O434</f>
        <v>Renewal</v>
      </c>
      <c r="P434">
        <f>Deals_Raw!P434</f>
        <v>0</v>
      </c>
      <c r="Q434">
        <f>Deals_Raw!Q434</f>
        <v>2</v>
      </c>
      <c r="R434">
        <f>Deals_Raw!R434</f>
        <v>185</v>
      </c>
      <c r="S434" t="str">
        <f>Deals_Raw!S434</f>
        <v>R. Singh</v>
      </c>
      <c r="T434" s="6">
        <f>Deals_Raw!T434</f>
        <v>150591.13414795129</v>
      </c>
      <c r="U434" s="8">
        <f>Deals_Raw!V434</f>
        <v>0.11799999999999999</v>
      </c>
      <c r="V434" s="8">
        <f>Deals_Raw!W434</f>
        <v>0.107</v>
      </c>
      <c r="W434" s="8">
        <f>Deals_Raw!X434</f>
        <v>4.2000000000000003E-2</v>
      </c>
      <c r="X434" t="str">
        <f>Deals_Raw!Y434</f>
        <v>Renewal retention risk</v>
      </c>
      <c r="Y434" t="str">
        <f>Deals_Raw!Z434</f>
        <v>Pricing Analyst</v>
      </c>
      <c r="Z434" s="6">
        <f>Deals_Raw!AA434</f>
        <v>134511.22295414383</v>
      </c>
      <c r="AA434" s="6">
        <f>Deals_Raw!AC434</f>
        <v>55584.798010951316</v>
      </c>
      <c r="AB434" s="6">
        <f>Deals_Raw!AD434</f>
        <v>78926.424943192513</v>
      </c>
      <c r="AC434" s="8">
        <f>Deals_Raw!AE434</f>
        <v>0.58676460751605308</v>
      </c>
      <c r="AD434" t="str">
        <f>Deals_Raw!AF434</f>
        <v>Won</v>
      </c>
      <c r="AE434" t="str">
        <f>Deals_Raw!AG434</f>
        <v>Yes</v>
      </c>
      <c r="AF434">
        <f>Deals_Raw!AH434</f>
        <v>0</v>
      </c>
      <c r="AG434" t="str">
        <f>Deals_Raw!AI434</f>
        <v>No</v>
      </c>
      <c r="AH434" s="6">
        <f>Deals_Raw!AJ434</f>
        <v>134511.22295414383</v>
      </c>
      <c r="AI434" s="6">
        <f>Deals_Raw!AK434</f>
        <v>78926.424943192513</v>
      </c>
      <c r="AJ434" t="str">
        <f>Deals_Raw!AL434</f>
        <v>Renewal of existing active contract</v>
      </c>
      <c r="AK434" s="9">
        <f t="shared" si="42"/>
        <v>3.9611111111111112</v>
      </c>
      <c r="AL434" s="8">
        <f t="shared" si="43"/>
        <v>0.89322139523825195</v>
      </c>
      <c r="AM434" s="8">
        <f t="shared" si="44"/>
        <v>1.0999999999999996E-2</v>
      </c>
      <c r="AN434" t="str">
        <f>IF(AC434&lt;Pricing_Policy!$C$10,"Below Floor","Pass")</f>
        <v>Pass</v>
      </c>
      <c r="AO434" t="str">
        <f>IF(V434&gt;Pricing_Policy!$C$7,"Exception","Standard")</f>
        <v>Standard</v>
      </c>
      <c r="AP434" t="str">
        <f t="shared" si="45"/>
        <v>Pass</v>
      </c>
      <c r="AQ434">
        <f t="shared" si="46"/>
        <v>1</v>
      </c>
      <c r="AR434" s="8">
        <f t="shared" si="47"/>
        <v>0.58676460751605308</v>
      </c>
      <c r="AS434">
        <f t="shared" si="48"/>
        <v>1</v>
      </c>
    </row>
    <row r="435" spans="1:45">
      <c r="A435" t="str">
        <f>Deals_Raw!A435</f>
        <v>D00488</v>
      </c>
      <c r="B435">
        <f>Deals_Raw!B435</f>
        <v>45607</v>
      </c>
      <c r="C435" t="str">
        <f>Deals_Raw!C435</f>
        <v>C0122</v>
      </c>
      <c r="D435" t="str">
        <f>Deals_Raw!D435</f>
        <v>FIN-0122</v>
      </c>
      <c r="E435" t="str">
        <f>Deals_Raw!E435</f>
        <v>CT00263</v>
      </c>
      <c r="F435" t="str">
        <f>Deals_Raw!F435</f>
        <v>Finance</v>
      </c>
      <c r="G435" t="str">
        <f>Deals_Raw!G435</f>
        <v>Financial Services</v>
      </c>
      <c r="H435" t="str">
        <f>Deals_Raw!H435</f>
        <v>South</v>
      </c>
      <c r="I435" t="str">
        <f>Deals_Raw!I435</f>
        <v>South Commercial</v>
      </c>
      <c r="J435" t="str">
        <f>Deals_Raw!J435</f>
        <v>Mid-Market</v>
      </c>
      <c r="K435" t="str">
        <f>Deals_Raw!K435</f>
        <v>No</v>
      </c>
      <c r="L435">
        <f>Deals_Raw!L435</f>
        <v>44348</v>
      </c>
      <c r="M435">
        <f>Deals_Raw!M435</f>
        <v>60</v>
      </c>
      <c r="N435" t="str">
        <f>Deals_Raw!N435</f>
        <v>Nexus Enterprise Suite</v>
      </c>
      <c r="O435" t="str">
        <f>Deals_Raw!O435</f>
        <v>New Business</v>
      </c>
      <c r="P435">
        <f>Deals_Raw!P435</f>
        <v>0</v>
      </c>
      <c r="Q435">
        <f>Deals_Raw!Q435</f>
        <v>3</v>
      </c>
      <c r="R435">
        <f>Deals_Raw!R435</f>
        <v>73</v>
      </c>
      <c r="S435" t="str">
        <f>Deals_Raw!S435</f>
        <v>D. Chen</v>
      </c>
      <c r="T435" s="6">
        <f>Deals_Raw!T435</f>
        <v>355924.63333629689</v>
      </c>
      <c r="U435" s="8">
        <f>Deals_Raw!V435</f>
        <v>0.12</v>
      </c>
      <c r="V435" s="8">
        <f>Deals_Raw!W435</f>
        <v>0.104</v>
      </c>
      <c r="W435" s="8">
        <f>Deals_Raw!X435</f>
        <v>0.14499999999999999</v>
      </c>
      <c r="X435" t="str">
        <f>Deals_Raw!Y435</f>
        <v>Strategic logo opportunity</v>
      </c>
      <c r="Y435" t="str">
        <f>Deals_Raw!Z435</f>
        <v>Pricing Analyst</v>
      </c>
      <c r="Z435" s="6">
        <f>Deals_Raw!AA435</f>
        <v>318795.65477735159</v>
      </c>
      <c r="AA435" s="6">
        <f>Deals_Raw!AC435</f>
        <v>137110.49356101142</v>
      </c>
      <c r="AB435" s="6">
        <f>Deals_Raw!AD435</f>
        <v>181685.16121634017</v>
      </c>
      <c r="AC435" s="8">
        <f>Deals_Raw!AE435</f>
        <v>0.56991103389796816</v>
      </c>
      <c r="AD435" t="str">
        <f>Deals_Raw!AF435</f>
        <v>Lost</v>
      </c>
      <c r="AE435">
        <f>Deals_Raw!AG435</f>
        <v>0</v>
      </c>
      <c r="AF435">
        <f>Deals_Raw!AH435</f>
        <v>0</v>
      </c>
      <c r="AG435" t="str">
        <f>Deals_Raw!AI435</f>
        <v>No</v>
      </c>
      <c r="AH435" s="6">
        <f>Deals_Raw!AJ435</f>
        <v>0</v>
      </c>
      <c r="AI435" s="6">
        <f>Deals_Raw!AK435</f>
        <v>0</v>
      </c>
      <c r="AJ435" t="str">
        <f>Deals_Raw!AL435</f>
        <v>First purchase under this contract</v>
      </c>
      <c r="AK435" s="9">
        <f t="shared" si="42"/>
        <v>3.4444444444444446</v>
      </c>
      <c r="AL435" s="8">
        <f t="shared" si="43"/>
        <v>0.89568303207644573</v>
      </c>
      <c r="AM435" s="8">
        <f t="shared" si="44"/>
        <v>1.6E-2</v>
      </c>
      <c r="AN435" t="str">
        <f>IF(AC435&lt;Pricing_Policy!$C$10,"Below Floor","Pass")</f>
        <v>Pass</v>
      </c>
      <c r="AO435" t="str">
        <f>IF(V435&gt;Pricing_Policy!$C$7,"Exception","Standard")</f>
        <v>Standard</v>
      </c>
      <c r="AP435" t="str">
        <f t="shared" si="45"/>
        <v>Pass</v>
      </c>
      <c r="AQ435">
        <f t="shared" si="46"/>
        <v>0</v>
      </c>
      <c r="AR435" s="8">
        <f t="shared" si="47"/>
        <v>0</v>
      </c>
      <c r="AS435">
        <f t="shared" si="48"/>
        <v>1</v>
      </c>
    </row>
    <row r="436" spans="1:45">
      <c r="A436" t="str">
        <f>Deals_Raw!A436</f>
        <v>D00489</v>
      </c>
      <c r="B436">
        <f>Deals_Raw!B436</f>
        <v>45877</v>
      </c>
      <c r="C436" t="str">
        <f>Deals_Raw!C436</f>
        <v>C0122</v>
      </c>
      <c r="D436" t="str">
        <f>Deals_Raw!D436</f>
        <v>FIN-0122</v>
      </c>
      <c r="E436" t="str">
        <f>Deals_Raw!E436</f>
        <v>CT00264</v>
      </c>
      <c r="F436" t="str">
        <f>Deals_Raw!F436</f>
        <v>Sales</v>
      </c>
      <c r="G436" t="str">
        <f>Deals_Raw!G436</f>
        <v>Financial Services</v>
      </c>
      <c r="H436" t="str">
        <f>Deals_Raw!H436</f>
        <v>South</v>
      </c>
      <c r="I436" t="str">
        <f>Deals_Raw!I436</f>
        <v>South Commercial</v>
      </c>
      <c r="J436" t="str">
        <f>Deals_Raw!J436</f>
        <v>Mid-Market</v>
      </c>
      <c r="K436" t="str">
        <f>Deals_Raw!K436</f>
        <v>No</v>
      </c>
      <c r="L436">
        <f>Deals_Raw!L436</f>
        <v>44348</v>
      </c>
      <c r="M436">
        <f>Deals_Raw!M436</f>
        <v>60</v>
      </c>
      <c r="N436" t="str">
        <f>Deals_Raw!N436</f>
        <v>Nexus Analytics</v>
      </c>
      <c r="O436" t="str">
        <f>Deals_Raw!O436</f>
        <v>Renewal</v>
      </c>
      <c r="P436">
        <f>Deals_Raw!P436</f>
        <v>0</v>
      </c>
      <c r="Q436">
        <f>Deals_Raw!Q436</f>
        <v>2</v>
      </c>
      <c r="R436">
        <f>Deals_Raw!R436</f>
        <v>280</v>
      </c>
      <c r="S436" t="str">
        <f>Deals_Raw!S436</f>
        <v>S. Rivera</v>
      </c>
      <c r="T436" s="6">
        <f>Deals_Raw!T436</f>
        <v>95258.066952476758</v>
      </c>
      <c r="U436" s="8">
        <f>Deals_Raw!V436</f>
        <v>0.151</v>
      </c>
      <c r="V436" s="8">
        <f>Deals_Raw!W436</f>
        <v>0.107</v>
      </c>
      <c r="W436" s="8">
        <f>Deals_Raw!X436</f>
        <v>-7.9000000000000001E-2</v>
      </c>
      <c r="X436" t="str">
        <f>Deals_Raw!Y436</f>
        <v>Renewal retention risk</v>
      </c>
      <c r="Y436" t="str">
        <f>Deals_Raw!Z436</f>
        <v>Pricing Analyst</v>
      </c>
      <c r="Z436" s="6">
        <f>Deals_Raw!AA436</f>
        <v>85019.96209181525</v>
      </c>
      <c r="AA436" s="6">
        <f>Deals_Raw!AC436</f>
        <v>30189.732546043</v>
      </c>
      <c r="AB436" s="6">
        <f>Deals_Raw!AD436</f>
        <v>54830.22954577225</v>
      </c>
      <c r="AC436" s="8">
        <f>Deals_Raw!AE436</f>
        <v>0.6449100681385822</v>
      </c>
      <c r="AD436" t="str">
        <f>Deals_Raw!AF436</f>
        <v>Won</v>
      </c>
      <c r="AE436" t="str">
        <f>Deals_Raw!AG436</f>
        <v>Yes</v>
      </c>
      <c r="AF436">
        <f>Deals_Raw!AH436</f>
        <v>0</v>
      </c>
      <c r="AG436" t="str">
        <f>Deals_Raw!AI436</f>
        <v>No</v>
      </c>
      <c r="AH436" s="6">
        <f>Deals_Raw!AJ436</f>
        <v>85019.96209181525</v>
      </c>
      <c r="AI436" s="6">
        <f>Deals_Raw!AK436</f>
        <v>54830.22954577225</v>
      </c>
      <c r="AJ436" t="str">
        <f>Deals_Raw!AL436</f>
        <v>Renewal of existing active contract</v>
      </c>
      <c r="AK436" s="9">
        <f t="shared" si="42"/>
        <v>4.1861111111111109</v>
      </c>
      <c r="AL436" s="8">
        <f t="shared" si="43"/>
        <v>0.89252243733048675</v>
      </c>
      <c r="AM436" s="8">
        <f t="shared" si="44"/>
        <v>4.3999999999999997E-2</v>
      </c>
      <c r="AN436" t="str">
        <f>IF(AC436&lt;Pricing_Policy!$C$10,"Below Floor","Pass")</f>
        <v>Pass</v>
      </c>
      <c r="AO436" t="str">
        <f>IF(V436&gt;Pricing_Policy!$C$7,"Exception","Standard")</f>
        <v>Standard</v>
      </c>
      <c r="AP436" t="str">
        <f t="shared" si="45"/>
        <v>Pass</v>
      </c>
      <c r="AQ436">
        <f t="shared" si="46"/>
        <v>1</v>
      </c>
      <c r="AR436" s="8">
        <f t="shared" si="47"/>
        <v>0.6449100681385822</v>
      </c>
      <c r="AS436">
        <f t="shared" si="48"/>
        <v>1</v>
      </c>
    </row>
    <row r="437" spans="1:45">
      <c r="A437" t="str">
        <f>Deals_Raw!A437</f>
        <v>D00490</v>
      </c>
      <c r="B437">
        <f>Deals_Raw!B437</f>
        <v>45774</v>
      </c>
      <c r="C437" t="str">
        <f>Deals_Raw!C437</f>
        <v>C0123</v>
      </c>
      <c r="D437" t="str">
        <f>Deals_Raw!D437</f>
        <v>TEC-0123</v>
      </c>
      <c r="E437" t="str">
        <f>Deals_Raw!E437</f>
        <v>CT00265</v>
      </c>
      <c r="F437" t="str">
        <f>Deals_Raw!F437</f>
        <v>Sales</v>
      </c>
      <c r="G437" t="str">
        <f>Deals_Raw!G437</f>
        <v>Technology</v>
      </c>
      <c r="H437" t="str">
        <f>Deals_Raw!H437</f>
        <v>Midwest</v>
      </c>
      <c r="I437" t="str">
        <f>Deals_Raw!I437</f>
        <v>Midwest Commercial</v>
      </c>
      <c r="J437" t="str">
        <f>Deals_Raw!J437</f>
        <v>SMB</v>
      </c>
      <c r="K437" t="str">
        <f>Deals_Raw!K437</f>
        <v>No</v>
      </c>
      <c r="L437">
        <f>Deals_Raw!L437</f>
        <v>43374</v>
      </c>
      <c r="M437">
        <f>Deals_Raw!M437</f>
        <v>72</v>
      </c>
      <c r="N437" t="str">
        <f>Deals_Raw!N437</f>
        <v>Nexus Enterprise Suite</v>
      </c>
      <c r="O437" t="str">
        <f>Deals_Raw!O437</f>
        <v>New Business</v>
      </c>
      <c r="P437">
        <f>Deals_Raw!P437</f>
        <v>0</v>
      </c>
      <c r="Q437">
        <f>Deals_Raw!Q437</f>
        <v>3</v>
      </c>
      <c r="R437">
        <f>Deals_Raw!R437</f>
        <v>10</v>
      </c>
      <c r="S437" t="str">
        <f>Deals_Raw!S437</f>
        <v>R. Singh</v>
      </c>
      <c r="T437" s="6">
        <f>Deals_Raw!T437</f>
        <v>137543.18990249239</v>
      </c>
      <c r="U437" s="8">
        <f>Deals_Raw!V437</f>
        <v>6.5000000000000002E-2</v>
      </c>
      <c r="V437" s="8">
        <f>Deals_Raw!W437</f>
        <v>5.8000000000000003E-2</v>
      </c>
      <c r="W437" s="8">
        <f>Deals_Raw!X437</f>
        <v>6.4000000000000001E-2</v>
      </c>
      <c r="X437" t="str">
        <f>Deals_Raw!Y437</f>
        <v>Volume purchase</v>
      </c>
      <c r="Y437" t="str">
        <f>Deals_Raw!Z437</f>
        <v>Sales Manager</v>
      </c>
      <c r="Z437" s="6">
        <f>Deals_Raw!AA437</f>
        <v>129629.37237174976</v>
      </c>
      <c r="AA437" s="6">
        <f>Deals_Raw!AC437</f>
        <v>55840.508856780631</v>
      </c>
      <c r="AB437" s="6">
        <f>Deals_Raw!AD437</f>
        <v>73788.863514969125</v>
      </c>
      <c r="AC437" s="8">
        <f>Deals_Raw!AE437</f>
        <v>0.56922950535746009</v>
      </c>
      <c r="AD437" t="str">
        <f>Deals_Raw!AF437</f>
        <v>Won</v>
      </c>
      <c r="AE437">
        <f>Deals_Raw!AG437</f>
        <v>0</v>
      </c>
      <c r="AF437">
        <f>Deals_Raw!AH437</f>
        <v>0</v>
      </c>
      <c r="AG437" t="str">
        <f>Deals_Raw!AI437</f>
        <v>No</v>
      </c>
      <c r="AH437" s="6">
        <f>Deals_Raw!AJ437</f>
        <v>129629.37237174976</v>
      </c>
      <c r="AI437" s="6">
        <f>Deals_Raw!AK437</f>
        <v>73788.863514969125</v>
      </c>
      <c r="AJ437" t="str">
        <f>Deals_Raw!AL437</f>
        <v>First purchase under this contract</v>
      </c>
      <c r="AK437" s="9">
        <f t="shared" si="42"/>
        <v>6.572222222222222</v>
      </c>
      <c r="AL437" s="8">
        <f t="shared" si="43"/>
        <v>0.94246303625535421</v>
      </c>
      <c r="AM437" s="8">
        <f t="shared" si="44"/>
        <v>6.9999999999999993E-3</v>
      </c>
      <c r="AN437" t="str">
        <f>IF(AC437&lt;Pricing_Policy!$C$10,"Below Floor","Pass")</f>
        <v>Pass</v>
      </c>
      <c r="AO437" t="str">
        <f>IF(V437&gt;Pricing_Policy!$C$7,"Exception","Standard")</f>
        <v>Standard</v>
      </c>
      <c r="AP437" t="str">
        <f t="shared" si="45"/>
        <v>Pass</v>
      </c>
      <c r="AQ437">
        <f t="shared" si="46"/>
        <v>1</v>
      </c>
      <c r="AR437" s="8">
        <f t="shared" si="47"/>
        <v>0.56922950535746009</v>
      </c>
      <c r="AS437">
        <f t="shared" si="48"/>
        <v>1</v>
      </c>
    </row>
    <row r="438" spans="1:45">
      <c r="A438" t="str">
        <f>Deals_Raw!A438</f>
        <v>D00491</v>
      </c>
      <c r="B438">
        <f>Deals_Raw!B438</f>
        <v>45413</v>
      </c>
      <c r="C438" t="str">
        <f>Deals_Raw!C438</f>
        <v>C0123</v>
      </c>
      <c r="D438" t="str">
        <f>Deals_Raw!D438</f>
        <v>TEC-0123</v>
      </c>
      <c r="E438" t="str">
        <f>Deals_Raw!E438</f>
        <v>CT00266</v>
      </c>
      <c r="F438" t="str">
        <f>Deals_Raw!F438</f>
        <v>Finance</v>
      </c>
      <c r="G438" t="str">
        <f>Deals_Raw!G438</f>
        <v>Technology</v>
      </c>
      <c r="H438" t="str">
        <f>Deals_Raw!H438</f>
        <v>Midwest</v>
      </c>
      <c r="I438" t="str">
        <f>Deals_Raw!I438</f>
        <v>Midwest Commercial</v>
      </c>
      <c r="J438" t="str">
        <f>Deals_Raw!J438</f>
        <v>SMB</v>
      </c>
      <c r="K438" t="str">
        <f>Deals_Raw!K438</f>
        <v>No</v>
      </c>
      <c r="L438">
        <f>Deals_Raw!L438</f>
        <v>43374</v>
      </c>
      <c r="M438">
        <f>Deals_Raw!M438</f>
        <v>72</v>
      </c>
      <c r="N438" t="str">
        <f>Deals_Raw!N438</f>
        <v>Nexus AI Assistant</v>
      </c>
      <c r="O438" t="str">
        <f>Deals_Raw!O438</f>
        <v>New Business</v>
      </c>
      <c r="P438">
        <f>Deals_Raw!P438</f>
        <v>0</v>
      </c>
      <c r="Q438">
        <f>Deals_Raw!Q438</f>
        <v>3</v>
      </c>
      <c r="R438">
        <f>Deals_Raw!R438</f>
        <v>19</v>
      </c>
      <c r="S438" t="str">
        <f>Deals_Raw!S438</f>
        <v>M. Johnson</v>
      </c>
      <c r="T438" s="6">
        <f>Deals_Raw!T438</f>
        <v>44464.399653550987</v>
      </c>
      <c r="U438" s="8">
        <f>Deals_Raw!V438</f>
        <v>8.7999999999999995E-2</v>
      </c>
      <c r="V438" s="8">
        <f>Deals_Raw!W438</f>
        <v>5.8000000000000003E-2</v>
      </c>
      <c r="W438" s="8">
        <f>Deals_Raw!X438</f>
        <v>1E-3</v>
      </c>
      <c r="X438" t="str">
        <f>Deals_Raw!Y438</f>
        <v>Renewal retention risk</v>
      </c>
      <c r="Y438" t="str">
        <f>Deals_Raw!Z438</f>
        <v>Sales Manager</v>
      </c>
      <c r="Z438" s="6">
        <f>Deals_Raw!AA438</f>
        <v>41894.493045305768</v>
      </c>
      <c r="AA438" s="6">
        <f>Deals_Raw!AC438</f>
        <v>17065.75121681278</v>
      </c>
      <c r="AB438" s="6">
        <f>Deals_Raw!AD438</f>
        <v>24828.741828492988</v>
      </c>
      <c r="AC438" s="8">
        <f>Deals_Raw!AE438</f>
        <v>0.59264929645150632</v>
      </c>
      <c r="AD438" t="str">
        <f>Deals_Raw!AF438</f>
        <v>Won</v>
      </c>
      <c r="AE438">
        <f>Deals_Raw!AG438</f>
        <v>0</v>
      </c>
      <c r="AF438">
        <f>Deals_Raw!AH438</f>
        <v>0</v>
      </c>
      <c r="AG438" t="str">
        <f>Deals_Raw!AI438</f>
        <v>No</v>
      </c>
      <c r="AH438" s="6">
        <f>Deals_Raw!AJ438</f>
        <v>41894.493045305768</v>
      </c>
      <c r="AI438" s="6">
        <f>Deals_Raw!AK438</f>
        <v>24828.741828492988</v>
      </c>
      <c r="AJ438" t="str">
        <f>Deals_Raw!AL438</f>
        <v>First purchase under this contract</v>
      </c>
      <c r="AK438" s="9">
        <f t="shared" si="42"/>
        <v>5.583333333333333</v>
      </c>
      <c r="AL438" s="8">
        <f t="shared" si="43"/>
        <v>0.94220305169373897</v>
      </c>
      <c r="AM438" s="8">
        <f t="shared" si="44"/>
        <v>2.9999999999999992E-2</v>
      </c>
      <c r="AN438" t="str">
        <f>IF(AC438&lt;Pricing_Policy!$C$10,"Below Floor","Pass")</f>
        <v>Pass</v>
      </c>
      <c r="AO438" t="str">
        <f>IF(V438&gt;Pricing_Policy!$C$7,"Exception","Standard")</f>
        <v>Standard</v>
      </c>
      <c r="AP438" t="str">
        <f t="shared" si="45"/>
        <v>Pass</v>
      </c>
      <c r="AQ438">
        <f t="shared" si="46"/>
        <v>1</v>
      </c>
      <c r="AR438" s="8">
        <f t="shared" si="47"/>
        <v>0.59264929645150632</v>
      </c>
      <c r="AS438">
        <f t="shared" si="48"/>
        <v>3</v>
      </c>
    </row>
    <row r="439" spans="1:45">
      <c r="A439" t="str">
        <f>Deals_Raw!A439</f>
        <v>D00494</v>
      </c>
      <c r="B439">
        <f>Deals_Raw!B439</f>
        <v>45513</v>
      </c>
      <c r="C439" t="str">
        <f>Deals_Raw!C439</f>
        <v>C0123</v>
      </c>
      <c r="D439" t="str">
        <f>Deals_Raw!D439</f>
        <v>TEC-0123</v>
      </c>
      <c r="E439" t="str">
        <f>Deals_Raw!E439</f>
        <v>CT00268</v>
      </c>
      <c r="F439" t="str">
        <f>Deals_Raw!F439</f>
        <v>Legal</v>
      </c>
      <c r="G439" t="str">
        <f>Deals_Raw!G439</f>
        <v>Technology</v>
      </c>
      <c r="H439" t="str">
        <f>Deals_Raw!H439</f>
        <v>Midwest</v>
      </c>
      <c r="I439" t="str">
        <f>Deals_Raw!I439</f>
        <v>Midwest Commercial</v>
      </c>
      <c r="J439" t="str">
        <f>Deals_Raw!J439</f>
        <v>SMB</v>
      </c>
      <c r="K439" t="str">
        <f>Deals_Raw!K439</f>
        <v>No</v>
      </c>
      <c r="L439">
        <f>Deals_Raw!L439</f>
        <v>43374</v>
      </c>
      <c r="M439">
        <f>Deals_Raw!M439</f>
        <v>72</v>
      </c>
      <c r="N439" t="str">
        <f>Deals_Raw!N439</f>
        <v>Nexus AI Assistant</v>
      </c>
      <c r="O439" t="str">
        <f>Deals_Raw!O439</f>
        <v>New Business</v>
      </c>
      <c r="P439">
        <f>Deals_Raw!P439</f>
        <v>0</v>
      </c>
      <c r="Q439">
        <f>Deals_Raw!Q439</f>
        <v>1</v>
      </c>
      <c r="R439">
        <f>Deals_Raw!R439</f>
        <v>78</v>
      </c>
      <c r="S439" t="str">
        <f>Deals_Raw!S439</f>
        <v>T. Brooks</v>
      </c>
      <c r="T439" s="6">
        <f>Deals_Raw!T439</f>
        <v>44270.464167816215</v>
      </c>
      <c r="U439" s="8">
        <f>Deals_Raw!V439</f>
        <v>0.122</v>
      </c>
      <c r="V439" s="8">
        <f>Deals_Raw!W439</f>
        <v>0.11</v>
      </c>
      <c r="W439" s="8">
        <f>Deals_Raw!X439</f>
        <v>-7.6999999999999999E-2</v>
      </c>
      <c r="X439" t="str">
        <f>Deals_Raw!Y439</f>
        <v>Strategic logo opportunity</v>
      </c>
      <c r="Y439" t="str">
        <f>Deals_Raw!Z439</f>
        <v>Pricing Analyst</v>
      </c>
      <c r="Z439" s="6">
        <f>Deals_Raw!AA439</f>
        <v>39411.180189350722</v>
      </c>
      <c r="AA439" s="6">
        <f>Deals_Raw!AC439</f>
        <v>19353.170345917359</v>
      </c>
      <c r="AB439" s="6">
        <f>Deals_Raw!AD439</f>
        <v>20058.009843433363</v>
      </c>
      <c r="AC439" s="8">
        <f>Deals_Raw!AE439</f>
        <v>0.50894212624602475</v>
      </c>
      <c r="AD439" t="str">
        <f>Deals_Raw!AF439</f>
        <v>Lost</v>
      </c>
      <c r="AE439">
        <f>Deals_Raw!AG439</f>
        <v>0</v>
      </c>
      <c r="AF439">
        <f>Deals_Raw!AH439</f>
        <v>0</v>
      </c>
      <c r="AG439" t="str">
        <f>Deals_Raw!AI439</f>
        <v>No</v>
      </c>
      <c r="AH439" s="6">
        <f>Deals_Raw!AJ439</f>
        <v>0</v>
      </c>
      <c r="AI439" s="6">
        <f>Deals_Raw!AK439</f>
        <v>0</v>
      </c>
      <c r="AJ439" t="str">
        <f>Deals_Raw!AL439</f>
        <v>First purchase under this contract</v>
      </c>
      <c r="AK439" s="9">
        <f t="shared" si="42"/>
        <v>5.8555555555555552</v>
      </c>
      <c r="AL439" s="8">
        <f t="shared" si="43"/>
        <v>0.89023643483733561</v>
      </c>
      <c r="AM439" s="8">
        <f t="shared" si="44"/>
        <v>1.1999999999999997E-2</v>
      </c>
      <c r="AN439" t="str">
        <f>IF(AC439&lt;Pricing_Policy!$C$10,"Below Floor","Pass")</f>
        <v>Pass</v>
      </c>
      <c r="AO439" t="str">
        <f>IF(V439&gt;Pricing_Policy!$C$7,"Exception","Standard")</f>
        <v>Standard</v>
      </c>
      <c r="AP439" t="str">
        <f t="shared" si="45"/>
        <v>Pass</v>
      </c>
      <c r="AQ439">
        <f t="shared" si="46"/>
        <v>0</v>
      </c>
      <c r="AR439" s="8">
        <f t="shared" si="47"/>
        <v>0</v>
      </c>
      <c r="AS439">
        <f t="shared" si="48"/>
        <v>3</v>
      </c>
    </row>
    <row r="440" spans="1:45">
      <c r="A440" t="str">
        <f>Deals_Raw!A440</f>
        <v>D00495</v>
      </c>
      <c r="B440">
        <f>Deals_Raw!B440</f>
        <v>45874</v>
      </c>
      <c r="C440" t="str">
        <f>Deals_Raw!C440</f>
        <v>C0123</v>
      </c>
      <c r="D440" t="str">
        <f>Deals_Raw!D440</f>
        <v>TEC-0123</v>
      </c>
      <c r="E440" t="str">
        <f>Deals_Raw!E440</f>
        <v>CT00268</v>
      </c>
      <c r="F440" t="str">
        <f>Deals_Raw!F440</f>
        <v>Legal</v>
      </c>
      <c r="G440" t="str">
        <f>Deals_Raw!G440</f>
        <v>Technology</v>
      </c>
      <c r="H440" t="str">
        <f>Deals_Raw!H440</f>
        <v>Midwest</v>
      </c>
      <c r="I440" t="str">
        <f>Deals_Raw!I440</f>
        <v>Midwest Commercial</v>
      </c>
      <c r="J440" t="str">
        <f>Deals_Raw!J440</f>
        <v>SMB</v>
      </c>
      <c r="K440" t="str">
        <f>Deals_Raw!K440</f>
        <v>No</v>
      </c>
      <c r="L440">
        <f>Deals_Raw!L440</f>
        <v>43374</v>
      </c>
      <c r="M440">
        <f>Deals_Raw!M440</f>
        <v>72</v>
      </c>
      <c r="N440" t="str">
        <f>Deals_Raw!N440</f>
        <v>Nexus AI Assistant</v>
      </c>
      <c r="O440" t="str">
        <f>Deals_Raw!O440</f>
        <v>Win-back</v>
      </c>
      <c r="P440">
        <f>Deals_Raw!P440</f>
        <v>0</v>
      </c>
      <c r="Q440">
        <f>Deals_Raw!Q440</f>
        <v>1</v>
      </c>
      <c r="R440">
        <f>Deals_Raw!R440</f>
        <v>78</v>
      </c>
      <c r="S440" t="str">
        <f>Deals_Raw!S440</f>
        <v>M. Johnson</v>
      </c>
      <c r="T440" s="6">
        <f>Deals_Raw!T440</f>
        <v>44270.464167816215</v>
      </c>
      <c r="U440" s="8">
        <f>Deals_Raw!V440</f>
        <v>0.248</v>
      </c>
      <c r="V440" s="8">
        <f>Deals_Raw!W440</f>
        <v>0.214</v>
      </c>
      <c r="W440" s="8">
        <f>Deals_Raw!X440</f>
        <v>-0.184</v>
      </c>
      <c r="X440" t="str">
        <f>Deals_Raw!Y440</f>
        <v>Renewal retention risk</v>
      </c>
      <c r="Y440" t="str">
        <f>Deals_Raw!Z440</f>
        <v>Business Manager</v>
      </c>
      <c r="Z440" s="6">
        <f>Deals_Raw!AA440</f>
        <v>34812.421658266634</v>
      </c>
      <c r="AA440" s="6">
        <f>Deals_Raw!AC440</f>
        <v>18014.224602680883</v>
      </c>
      <c r="AB440" s="6">
        <f>Deals_Raw!AD440</f>
        <v>16798.197055585752</v>
      </c>
      <c r="AC440" s="8">
        <f>Deals_Raw!AE440</f>
        <v>0.4825345740231437</v>
      </c>
      <c r="AD440" t="str">
        <f>Deals_Raw!AF440</f>
        <v>Won</v>
      </c>
      <c r="AE440">
        <f>Deals_Raw!AG440</f>
        <v>0</v>
      </c>
      <c r="AF440">
        <f>Deals_Raw!AH440</f>
        <v>0</v>
      </c>
      <c r="AG440" t="str">
        <f>Deals_Raw!AI440</f>
        <v>Yes</v>
      </c>
      <c r="AH440" s="6">
        <f>Deals_Raw!AJ440</f>
        <v>34812.421658266634</v>
      </c>
      <c r="AI440" s="6">
        <f>Deals_Raw!AK440</f>
        <v>16798.197055585752</v>
      </c>
      <c r="AJ440" t="str">
        <f>Deals_Raw!AL440</f>
        <v>Customer returned after prior lost initial opportunity</v>
      </c>
      <c r="AK440" s="9">
        <f t="shared" si="42"/>
        <v>6.8444444444444441</v>
      </c>
      <c r="AL440" s="8">
        <f t="shared" si="43"/>
        <v>0.78635772885287714</v>
      </c>
      <c r="AM440" s="8">
        <f t="shared" si="44"/>
        <v>3.4000000000000002E-2</v>
      </c>
      <c r="AN440" t="str">
        <f>IF(AC440&lt;Pricing_Policy!$C$10,"Below Floor","Pass")</f>
        <v>Pass</v>
      </c>
      <c r="AO440" t="str">
        <f>IF(V440&gt;Pricing_Policy!$C$7,"Exception","Standard")</f>
        <v>Standard</v>
      </c>
      <c r="AP440" t="str">
        <f t="shared" si="45"/>
        <v>Pass</v>
      </c>
      <c r="AQ440">
        <f t="shared" si="46"/>
        <v>1</v>
      </c>
      <c r="AR440" s="8">
        <f t="shared" si="47"/>
        <v>0.4825345740231437</v>
      </c>
      <c r="AS440">
        <f t="shared" si="48"/>
        <v>3</v>
      </c>
    </row>
    <row r="441" spans="1:45">
      <c r="A441" t="str">
        <f>Deals_Raw!A441</f>
        <v>D00496</v>
      </c>
      <c r="B441">
        <f>Deals_Raw!B441</f>
        <v>45447</v>
      </c>
      <c r="C441" t="str">
        <f>Deals_Raw!C441</f>
        <v>C0124</v>
      </c>
      <c r="D441" t="str">
        <f>Deals_Raw!D441</f>
        <v>FIN-0124</v>
      </c>
      <c r="E441" t="str">
        <f>Deals_Raw!E441</f>
        <v>CT00269</v>
      </c>
      <c r="F441" t="str">
        <f>Deals_Raw!F441</f>
        <v>Finance</v>
      </c>
      <c r="G441" t="str">
        <f>Deals_Raw!G441</f>
        <v>Financial Services</v>
      </c>
      <c r="H441" t="str">
        <f>Deals_Raw!H441</f>
        <v>West</v>
      </c>
      <c r="I441" t="str">
        <f>Deals_Raw!I441</f>
        <v>West Commercial</v>
      </c>
      <c r="J441" t="str">
        <f>Deals_Raw!J441</f>
        <v>Mid-Market</v>
      </c>
      <c r="K441" t="str">
        <f>Deals_Raw!K441</f>
        <v>No</v>
      </c>
      <c r="L441">
        <f>Deals_Raw!L441</f>
        <v>45292</v>
      </c>
      <c r="M441">
        <f>Deals_Raw!M441</f>
        <v>76</v>
      </c>
      <c r="N441" t="str">
        <f>Deals_Raw!N441</f>
        <v>Nexus Analytics</v>
      </c>
      <c r="O441" t="str">
        <f>Deals_Raw!O441</f>
        <v>New Business</v>
      </c>
      <c r="P441">
        <f>Deals_Raw!P441</f>
        <v>0</v>
      </c>
      <c r="Q441">
        <f>Deals_Raw!Q441</f>
        <v>1</v>
      </c>
      <c r="R441">
        <f>Deals_Raw!R441</f>
        <v>259</v>
      </c>
      <c r="S441" t="str">
        <f>Deals_Raw!S441</f>
        <v>M. Johnson</v>
      </c>
      <c r="T441" s="6">
        <f>Deals_Raw!T441</f>
        <v>97372.962133681998</v>
      </c>
      <c r="U441" s="8">
        <f>Deals_Raw!V441</f>
        <v>0.19500000000000001</v>
      </c>
      <c r="V441" s="8">
        <f>Deals_Raw!W441</f>
        <v>0.17100000000000001</v>
      </c>
      <c r="W441" s="8">
        <f>Deals_Raw!X441</f>
        <v>-5.0999999999999997E-2</v>
      </c>
      <c r="X441" t="str">
        <f>Deals_Raw!Y441</f>
        <v>Volume purchase</v>
      </c>
      <c r="Y441" t="str">
        <f>Deals_Raw!Z441</f>
        <v>Pricing Analyst</v>
      </c>
      <c r="Z441" s="6">
        <f>Deals_Raw!AA441</f>
        <v>80691.057483343524</v>
      </c>
      <c r="AA441" s="6">
        <f>Deals_Raw!AC441</f>
        <v>30819.066658687032</v>
      </c>
      <c r="AB441" s="6">
        <f>Deals_Raw!AD441</f>
        <v>49871.990824656488</v>
      </c>
      <c r="AC441" s="8">
        <f>Deals_Raw!AE441</f>
        <v>0.61806093983774102</v>
      </c>
      <c r="AD441" t="str">
        <f>Deals_Raw!AF441</f>
        <v>Won</v>
      </c>
      <c r="AE441">
        <f>Deals_Raw!AG441</f>
        <v>0</v>
      </c>
      <c r="AF441">
        <f>Deals_Raw!AH441</f>
        <v>0</v>
      </c>
      <c r="AG441" t="str">
        <f>Deals_Raw!AI441</f>
        <v>No</v>
      </c>
      <c r="AH441" s="6">
        <f>Deals_Raw!AJ441</f>
        <v>80691.057483343524</v>
      </c>
      <c r="AI441" s="6">
        <f>Deals_Raw!AK441</f>
        <v>49871.990824656488</v>
      </c>
      <c r="AJ441" t="str">
        <f>Deals_Raw!AL441</f>
        <v>First purchase under this contract</v>
      </c>
      <c r="AK441" s="9">
        <f t="shared" si="42"/>
        <v>0.42499999999999999</v>
      </c>
      <c r="AL441" s="8">
        <f t="shared" si="43"/>
        <v>0.82868032064757235</v>
      </c>
      <c r="AM441" s="8">
        <f t="shared" si="44"/>
        <v>2.3999999999999994E-2</v>
      </c>
      <c r="AN441" t="str">
        <f>IF(AC441&lt;Pricing_Policy!$C$10,"Below Floor","Pass")</f>
        <v>Pass</v>
      </c>
      <c r="AO441" t="str">
        <f>IF(V441&gt;Pricing_Policy!$C$7,"Exception","Standard")</f>
        <v>Standard</v>
      </c>
      <c r="AP441" t="str">
        <f t="shared" si="45"/>
        <v>Pass</v>
      </c>
      <c r="AQ441">
        <f t="shared" si="46"/>
        <v>1</v>
      </c>
      <c r="AR441" s="8">
        <f t="shared" si="47"/>
        <v>0.61806093983774102</v>
      </c>
      <c r="AS441">
        <f t="shared" si="48"/>
        <v>3</v>
      </c>
    </row>
    <row r="442" spans="1:45">
      <c r="A442" t="str">
        <f>Deals_Raw!A442</f>
        <v>D00497</v>
      </c>
      <c r="B442">
        <f>Deals_Raw!B442</f>
        <v>45659</v>
      </c>
      <c r="C442" t="str">
        <f>Deals_Raw!C442</f>
        <v>C0124</v>
      </c>
      <c r="D442" t="str">
        <f>Deals_Raw!D442</f>
        <v>FIN-0124</v>
      </c>
      <c r="E442" t="str">
        <f>Deals_Raw!E442</f>
        <v>CT00269</v>
      </c>
      <c r="F442" t="str">
        <f>Deals_Raw!F442</f>
        <v>Finance</v>
      </c>
      <c r="G442" t="str">
        <f>Deals_Raw!G442</f>
        <v>Financial Services</v>
      </c>
      <c r="H442" t="str">
        <f>Deals_Raw!H442</f>
        <v>West</v>
      </c>
      <c r="I442" t="str">
        <f>Deals_Raw!I442</f>
        <v>West Commercial</v>
      </c>
      <c r="J442" t="str">
        <f>Deals_Raw!J442</f>
        <v>Mid-Market</v>
      </c>
      <c r="K442" t="str">
        <f>Deals_Raw!K442</f>
        <v>No</v>
      </c>
      <c r="L442">
        <f>Deals_Raw!L442</f>
        <v>45292</v>
      </c>
      <c r="M442">
        <f>Deals_Raw!M442</f>
        <v>76</v>
      </c>
      <c r="N442" t="str">
        <f>Deals_Raw!N442</f>
        <v>Nexus Analytics</v>
      </c>
      <c r="O442" t="str">
        <f>Deals_Raw!O442</f>
        <v>Expansion</v>
      </c>
      <c r="P442" t="str">
        <f>Deals_Raw!P442</f>
        <v>Enterprise Upgrade</v>
      </c>
      <c r="Q442">
        <f>Deals_Raw!Q442</f>
        <v>1</v>
      </c>
      <c r="R442">
        <f>Deals_Raw!R442</f>
        <v>341</v>
      </c>
      <c r="S442" t="str">
        <f>Deals_Raw!S442</f>
        <v>R. Singh</v>
      </c>
      <c r="T442" s="6">
        <f>Deals_Raw!T442</f>
        <v>114006.89656162501</v>
      </c>
      <c r="U442" s="8">
        <f>Deals_Raw!V442</f>
        <v>0.11600000000000001</v>
      </c>
      <c r="V442" s="8">
        <f>Deals_Raw!W442</f>
        <v>0.112</v>
      </c>
      <c r="W442" s="8">
        <f>Deals_Raw!X442</f>
        <v>-9.4E-2</v>
      </c>
      <c r="X442" t="str">
        <f>Deals_Raw!Y442</f>
        <v>Expansion opportunity</v>
      </c>
      <c r="Y442" t="str">
        <f>Deals_Raw!Z442</f>
        <v>Pricing Analyst</v>
      </c>
      <c r="Z442" s="6">
        <f>Deals_Raw!AA442</f>
        <v>101191.83347270275</v>
      </c>
      <c r="AA442" s="6">
        <f>Deals_Raw!AC442</f>
        <v>35315.597203049503</v>
      </c>
      <c r="AB442" s="6">
        <f>Deals_Raw!AD442</f>
        <v>65876.236269653251</v>
      </c>
      <c r="AC442" s="8">
        <f>Deals_Raw!AE442</f>
        <v>0.65100348525085128</v>
      </c>
      <c r="AD442" t="str">
        <f>Deals_Raw!AF442</f>
        <v>Lost</v>
      </c>
      <c r="AE442">
        <f>Deals_Raw!AG442</f>
        <v>0</v>
      </c>
      <c r="AF442" t="str">
        <f>Deals_Raw!AH442</f>
        <v>No</v>
      </c>
      <c r="AG442" t="str">
        <f>Deals_Raw!AI442</f>
        <v>No</v>
      </c>
      <c r="AH442" s="6">
        <f>Deals_Raw!AJ442</f>
        <v>0</v>
      </c>
      <c r="AI442" s="6">
        <f>Deals_Raw!AK442</f>
        <v>0</v>
      </c>
      <c r="AJ442" t="str">
        <f>Deals_Raw!AL442</f>
        <v>Expansion allowed because contract was active</v>
      </c>
      <c r="AK442" s="9">
        <f t="shared" si="42"/>
        <v>1.0027777777777778</v>
      </c>
      <c r="AL442" s="8">
        <f t="shared" si="43"/>
        <v>0.88759396601945717</v>
      </c>
      <c r="AM442" s="8">
        <f t="shared" si="44"/>
        <v>4.0000000000000036E-3</v>
      </c>
      <c r="AN442" t="str">
        <f>IF(AC442&lt;Pricing_Policy!$C$10,"Below Floor","Pass")</f>
        <v>Pass</v>
      </c>
      <c r="AO442" t="str">
        <f>IF(V442&gt;Pricing_Policy!$C$7,"Exception","Standard")</f>
        <v>Standard</v>
      </c>
      <c r="AP442" t="str">
        <f t="shared" si="45"/>
        <v>Pass</v>
      </c>
      <c r="AQ442">
        <f t="shared" si="46"/>
        <v>0</v>
      </c>
      <c r="AR442" s="8">
        <f t="shared" si="47"/>
        <v>0</v>
      </c>
      <c r="AS442">
        <f t="shared" si="48"/>
        <v>3</v>
      </c>
    </row>
    <row r="443" spans="1:45">
      <c r="A443" t="str">
        <f>Deals_Raw!A443</f>
        <v>D00498</v>
      </c>
      <c r="B443">
        <f>Deals_Raw!B443</f>
        <v>45812</v>
      </c>
      <c r="C443" t="str">
        <f>Deals_Raw!C443</f>
        <v>C0124</v>
      </c>
      <c r="D443" t="str">
        <f>Deals_Raw!D443</f>
        <v>FIN-0124</v>
      </c>
      <c r="E443" t="str">
        <f>Deals_Raw!E443</f>
        <v>CT00269</v>
      </c>
      <c r="F443" t="str">
        <f>Deals_Raw!F443</f>
        <v>Finance</v>
      </c>
      <c r="G443" t="str">
        <f>Deals_Raw!G443</f>
        <v>Financial Services</v>
      </c>
      <c r="H443" t="str">
        <f>Deals_Raw!H443</f>
        <v>West</v>
      </c>
      <c r="I443" t="str">
        <f>Deals_Raw!I443</f>
        <v>West Commercial</v>
      </c>
      <c r="J443" t="str">
        <f>Deals_Raw!J443</f>
        <v>Mid-Market</v>
      </c>
      <c r="K443" t="str">
        <f>Deals_Raw!K443</f>
        <v>No</v>
      </c>
      <c r="L443">
        <f>Deals_Raw!L443</f>
        <v>45292</v>
      </c>
      <c r="M443">
        <f>Deals_Raw!M443</f>
        <v>76</v>
      </c>
      <c r="N443" t="str">
        <f>Deals_Raw!N443</f>
        <v>Nexus Analytics</v>
      </c>
      <c r="O443" t="str">
        <f>Deals_Raw!O443</f>
        <v>Renewal</v>
      </c>
      <c r="P443">
        <f>Deals_Raw!P443</f>
        <v>0</v>
      </c>
      <c r="Q443">
        <f>Deals_Raw!Q443</f>
        <v>1</v>
      </c>
      <c r="R443">
        <f>Deals_Raw!R443</f>
        <v>259</v>
      </c>
      <c r="S443" t="str">
        <f>Deals_Raw!S443</f>
        <v>D. Chen</v>
      </c>
      <c r="T443" s="6">
        <f>Deals_Raw!T443</f>
        <v>99590.661127497166</v>
      </c>
      <c r="U443" s="8">
        <f>Deals_Raw!V443</f>
        <v>0.17899999999999999</v>
      </c>
      <c r="V443" s="8">
        <f>Deals_Raw!W443</f>
        <v>0.13600000000000001</v>
      </c>
      <c r="W443" s="8">
        <f>Deals_Raw!X443</f>
        <v>-2.3E-2</v>
      </c>
      <c r="X443" t="str">
        <f>Deals_Raw!Y443</f>
        <v>Volume purchase</v>
      </c>
      <c r="Y443" t="str">
        <f>Deals_Raw!Z443</f>
        <v>Pricing Analyst</v>
      </c>
      <c r="Z443" s="6">
        <f>Deals_Raw!AA443</f>
        <v>86034.758362062319</v>
      </c>
      <c r="AA443" s="6">
        <f>Deals_Raw!AC443</f>
        <v>29660.496342526956</v>
      </c>
      <c r="AB443" s="6">
        <f>Deals_Raw!AD443</f>
        <v>56374.262019535367</v>
      </c>
      <c r="AC443" s="8">
        <f>Deals_Raw!AE443</f>
        <v>0.65524984428147159</v>
      </c>
      <c r="AD443" t="str">
        <f>Deals_Raw!AF443</f>
        <v>Won</v>
      </c>
      <c r="AE443" t="str">
        <f>Deals_Raw!AG443</f>
        <v>Yes</v>
      </c>
      <c r="AF443">
        <f>Deals_Raw!AH443</f>
        <v>0</v>
      </c>
      <c r="AG443" t="str">
        <f>Deals_Raw!AI443</f>
        <v>No</v>
      </c>
      <c r="AH443" s="6">
        <f>Deals_Raw!AJ443</f>
        <v>86034.758362062319</v>
      </c>
      <c r="AI443" s="6">
        <f>Deals_Raw!AK443</f>
        <v>56374.262019535367</v>
      </c>
      <c r="AJ443" t="str">
        <f>Deals_Raw!AL443</f>
        <v>Renewal of existing active contract</v>
      </c>
      <c r="AK443" s="9">
        <f t="shared" si="42"/>
        <v>1.425</v>
      </c>
      <c r="AL443" s="8">
        <f t="shared" si="43"/>
        <v>0.86388379581012709</v>
      </c>
      <c r="AM443" s="8">
        <f t="shared" si="44"/>
        <v>4.2999999999999983E-2</v>
      </c>
      <c r="AN443" t="str">
        <f>IF(AC443&lt;Pricing_Policy!$C$10,"Below Floor","Pass")</f>
        <v>Pass</v>
      </c>
      <c r="AO443" t="str">
        <f>IF(V443&gt;Pricing_Policy!$C$7,"Exception","Standard")</f>
        <v>Standard</v>
      </c>
      <c r="AP443" t="str">
        <f t="shared" si="45"/>
        <v>Pass</v>
      </c>
      <c r="AQ443">
        <f t="shared" si="46"/>
        <v>1</v>
      </c>
      <c r="AR443" s="8">
        <f t="shared" si="47"/>
        <v>0.65524984428147159</v>
      </c>
      <c r="AS443">
        <f t="shared" si="48"/>
        <v>3</v>
      </c>
    </row>
    <row r="444" spans="1:45">
      <c r="A444" t="str">
        <f>Deals_Raw!A444</f>
        <v>D00499</v>
      </c>
      <c r="B444">
        <f>Deals_Raw!B444</f>
        <v>45666</v>
      </c>
      <c r="C444" t="str">
        <f>Deals_Raw!C444</f>
        <v>C0124</v>
      </c>
      <c r="D444" t="str">
        <f>Deals_Raw!D444</f>
        <v>FIN-0124</v>
      </c>
      <c r="E444" t="str">
        <f>Deals_Raw!E444</f>
        <v>CT00270</v>
      </c>
      <c r="F444" t="str">
        <f>Deals_Raw!F444</f>
        <v>Operations</v>
      </c>
      <c r="G444" t="str">
        <f>Deals_Raw!G444</f>
        <v>Financial Services</v>
      </c>
      <c r="H444" t="str">
        <f>Deals_Raw!H444</f>
        <v>West</v>
      </c>
      <c r="I444" t="str">
        <f>Deals_Raw!I444</f>
        <v>West Commercial</v>
      </c>
      <c r="J444" t="str">
        <f>Deals_Raw!J444</f>
        <v>Mid-Market</v>
      </c>
      <c r="K444" t="str">
        <f>Deals_Raw!K444</f>
        <v>No</v>
      </c>
      <c r="L444">
        <f>Deals_Raw!L444</f>
        <v>45292</v>
      </c>
      <c r="M444">
        <f>Deals_Raw!M444</f>
        <v>76</v>
      </c>
      <c r="N444" t="str">
        <f>Deals_Raw!N444</f>
        <v>Nexus AI Assistant</v>
      </c>
      <c r="O444" t="str">
        <f>Deals_Raw!O444</f>
        <v>New Business</v>
      </c>
      <c r="P444">
        <f>Deals_Raw!P444</f>
        <v>0</v>
      </c>
      <c r="Q444">
        <f>Deals_Raw!Q444</f>
        <v>3</v>
      </c>
      <c r="R444">
        <f>Deals_Raw!R444</f>
        <v>314</v>
      </c>
      <c r="S444" t="str">
        <f>Deals_Raw!S444</f>
        <v>D. Chen</v>
      </c>
      <c r="T444" s="6">
        <f>Deals_Raw!T444</f>
        <v>72323.58568091545</v>
      </c>
      <c r="U444" s="8">
        <f>Deals_Raw!V444</f>
        <v>0.154</v>
      </c>
      <c r="V444" s="8">
        <f>Deals_Raw!W444</f>
        <v>0.108</v>
      </c>
      <c r="W444" s="8">
        <f>Deals_Raw!X444</f>
        <v>8.0000000000000002E-3</v>
      </c>
      <c r="X444" t="str">
        <f>Deals_Raw!Y444</f>
        <v>Procurement requirement</v>
      </c>
      <c r="Y444" t="str">
        <f>Deals_Raw!Z444</f>
        <v>Pricing Analyst</v>
      </c>
      <c r="Z444" s="6">
        <f>Deals_Raw!AA444</f>
        <v>64486.752803515548</v>
      </c>
      <c r="AA444" s="6">
        <f>Deals_Raw!AC444</f>
        <v>30096.568702393546</v>
      </c>
      <c r="AB444" s="6">
        <f>Deals_Raw!AD444</f>
        <v>34390.184101122002</v>
      </c>
      <c r="AC444" s="8">
        <f>Deals_Raw!AE444</f>
        <v>0.53329067763584448</v>
      </c>
      <c r="AD444" t="str">
        <f>Deals_Raw!AF444</f>
        <v>Won</v>
      </c>
      <c r="AE444">
        <f>Deals_Raw!AG444</f>
        <v>0</v>
      </c>
      <c r="AF444">
        <f>Deals_Raw!AH444</f>
        <v>0</v>
      </c>
      <c r="AG444" t="str">
        <f>Deals_Raw!AI444</f>
        <v>No</v>
      </c>
      <c r="AH444" s="6">
        <f>Deals_Raw!AJ444</f>
        <v>64486.752803515548</v>
      </c>
      <c r="AI444" s="6">
        <f>Deals_Raw!AK444</f>
        <v>34390.184101122002</v>
      </c>
      <c r="AJ444" t="str">
        <f>Deals_Raw!AL444</f>
        <v>First purchase under this contract</v>
      </c>
      <c r="AK444" s="9">
        <f t="shared" si="42"/>
        <v>1.0222222222222221</v>
      </c>
      <c r="AL444" s="8">
        <f t="shared" si="43"/>
        <v>0.89164208599978378</v>
      </c>
      <c r="AM444" s="8">
        <f t="shared" si="44"/>
        <v>4.5999999999999999E-2</v>
      </c>
      <c r="AN444" t="str">
        <f>IF(AC444&lt;Pricing_Policy!$C$10,"Below Floor","Pass")</f>
        <v>Pass</v>
      </c>
      <c r="AO444" t="str">
        <f>IF(V444&gt;Pricing_Policy!$C$7,"Exception","Standard")</f>
        <v>Standard</v>
      </c>
      <c r="AP444" t="str">
        <f t="shared" si="45"/>
        <v>Pass</v>
      </c>
      <c r="AQ444">
        <f t="shared" si="46"/>
        <v>1</v>
      </c>
      <c r="AR444" s="8">
        <f t="shared" si="47"/>
        <v>0.53329067763584448</v>
      </c>
      <c r="AS444">
        <f t="shared" si="48"/>
        <v>1</v>
      </c>
    </row>
    <row r="445" spans="1:45">
      <c r="A445" t="str">
        <f>Deals_Raw!A445</f>
        <v>D00500</v>
      </c>
      <c r="B445">
        <f>Deals_Raw!B445</f>
        <v>45538</v>
      </c>
      <c r="C445" t="str">
        <f>Deals_Raw!C445</f>
        <v>C0124</v>
      </c>
      <c r="D445" t="str">
        <f>Deals_Raw!D445</f>
        <v>FIN-0124</v>
      </c>
      <c r="E445" t="str">
        <f>Deals_Raw!E445</f>
        <v>CT00271</v>
      </c>
      <c r="F445" t="str">
        <f>Deals_Raw!F445</f>
        <v>Corporate</v>
      </c>
      <c r="G445" t="str">
        <f>Deals_Raw!G445</f>
        <v>Financial Services</v>
      </c>
      <c r="H445" t="str">
        <f>Deals_Raw!H445</f>
        <v>West</v>
      </c>
      <c r="I445" t="str">
        <f>Deals_Raw!I445</f>
        <v>West Commercial</v>
      </c>
      <c r="J445" t="str">
        <f>Deals_Raw!J445</f>
        <v>Mid-Market</v>
      </c>
      <c r="K445" t="str">
        <f>Deals_Raw!K445</f>
        <v>No</v>
      </c>
      <c r="L445">
        <f>Deals_Raw!L445</f>
        <v>45292</v>
      </c>
      <c r="M445">
        <f>Deals_Raw!M445</f>
        <v>76</v>
      </c>
      <c r="N445" t="str">
        <f>Deals_Raw!N445</f>
        <v>Nexus Enterprise Suite</v>
      </c>
      <c r="O445" t="str">
        <f>Deals_Raw!O445</f>
        <v>New Business</v>
      </c>
      <c r="P445">
        <f>Deals_Raw!P445</f>
        <v>0</v>
      </c>
      <c r="Q445">
        <f>Deals_Raw!Q445</f>
        <v>3</v>
      </c>
      <c r="R445">
        <f>Deals_Raw!R445</f>
        <v>315</v>
      </c>
      <c r="S445" t="str">
        <f>Deals_Raw!S445</f>
        <v>R. Singh</v>
      </c>
      <c r="T445" s="6">
        <f>Deals_Raw!T445</f>
        <v>230920.43453233514</v>
      </c>
      <c r="U445" s="8">
        <f>Deals_Raw!V445</f>
        <v>5.6000000000000001E-2</v>
      </c>
      <c r="V445" s="8">
        <f>Deals_Raw!W445</f>
        <v>3.7999999999999999E-2</v>
      </c>
      <c r="W445" s="8">
        <f>Deals_Raw!X445</f>
        <v>8.0000000000000002E-3</v>
      </c>
      <c r="X445" t="str">
        <f>Deals_Raw!Y445</f>
        <v>Verified competitor pressure</v>
      </c>
      <c r="Y445" t="str">
        <f>Deals_Raw!Z445</f>
        <v>Sales Manager</v>
      </c>
      <c r="Z445" s="6">
        <f>Deals_Raw!AA445</f>
        <v>222071.12056007198</v>
      </c>
      <c r="AA445" s="6">
        <f>Deals_Raw!AC445</f>
        <v>79787.207509923159</v>
      </c>
      <c r="AB445" s="6">
        <f>Deals_Raw!AD445</f>
        <v>142283.91305014881</v>
      </c>
      <c r="AC445" s="8">
        <f>Deals_Raw!AE445</f>
        <v>0.64071326650355642</v>
      </c>
      <c r="AD445" t="str">
        <f>Deals_Raw!AF445</f>
        <v>Lost</v>
      </c>
      <c r="AE445">
        <f>Deals_Raw!AG445</f>
        <v>0</v>
      </c>
      <c r="AF445">
        <f>Deals_Raw!AH445</f>
        <v>0</v>
      </c>
      <c r="AG445" t="str">
        <f>Deals_Raw!AI445</f>
        <v>No</v>
      </c>
      <c r="AH445" s="6">
        <f>Deals_Raw!AJ445</f>
        <v>0</v>
      </c>
      <c r="AI445" s="6">
        <f>Deals_Raw!AK445</f>
        <v>0</v>
      </c>
      <c r="AJ445" t="str">
        <f>Deals_Raw!AL445</f>
        <v>First purchase under this contract</v>
      </c>
      <c r="AK445" s="9">
        <f t="shared" si="42"/>
        <v>0.67222222222222228</v>
      </c>
      <c r="AL445" s="8">
        <f t="shared" si="43"/>
        <v>0.96167808193248483</v>
      </c>
      <c r="AM445" s="8">
        <f t="shared" si="44"/>
        <v>1.8000000000000002E-2</v>
      </c>
      <c r="AN445" t="str">
        <f>IF(AC445&lt;Pricing_Policy!$C$10,"Below Floor","Pass")</f>
        <v>Pass</v>
      </c>
      <c r="AO445" t="str">
        <f>IF(V445&gt;Pricing_Policy!$C$7,"Exception","Standard")</f>
        <v>Standard</v>
      </c>
      <c r="AP445" t="str">
        <f t="shared" si="45"/>
        <v>Pass</v>
      </c>
      <c r="AQ445">
        <f t="shared" si="46"/>
        <v>0</v>
      </c>
      <c r="AR445" s="8">
        <f t="shared" si="47"/>
        <v>0</v>
      </c>
      <c r="AS445">
        <f t="shared" si="48"/>
        <v>1</v>
      </c>
    </row>
    <row r="446" spans="1:45">
      <c r="A446" t="str">
        <f>Deals_Raw!A446</f>
        <v>D00501</v>
      </c>
      <c r="B446">
        <f>Deals_Raw!B446</f>
        <v>45604</v>
      </c>
      <c r="C446" t="str">
        <f>Deals_Raw!C446</f>
        <v>C0125</v>
      </c>
      <c r="D446" t="str">
        <f>Deals_Raw!D446</f>
        <v>LEG-0125</v>
      </c>
      <c r="E446" t="str">
        <f>Deals_Raw!E446</f>
        <v>CT00272</v>
      </c>
      <c r="F446" t="str">
        <f>Deals_Raw!F446</f>
        <v>Sales</v>
      </c>
      <c r="G446" t="str">
        <f>Deals_Raw!G446</f>
        <v>Legal</v>
      </c>
      <c r="H446" t="str">
        <f>Deals_Raw!H446</f>
        <v>Northeast</v>
      </c>
      <c r="I446" t="str">
        <f>Deals_Raw!I446</f>
        <v>Northeast Commercial</v>
      </c>
      <c r="J446" t="str">
        <f>Deals_Raw!J446</f>
        <v>SMB</v>
      </c>
      <c r="K446" t="str">
        <f>Deals_Raw!K446</f>
        <v>No</v>
      </c>
      <c r="L446">
        <f>Deals_Raw!L446</f>
        <v>44256</v>
      </c>
      <c r="M446">
        <f>Deals_Raw!M446</f>
        <v>84</v>
      </c>
      <c r="N446" t="str">
        <f>Deals_Raw!N446</f>
        <v>Nexus Insights</v>
      </c>
      <c r="O446" t="str">
        <f>Deals_Raw!O446</f>
        <v>Renewal</v>
      </c>
      <c r="P446">
        <f>Deals_Raw!P446</f>
        <v>0</v>
      </c>
      <c r="Q446">
        <f>Deals_Raw!Q446</f>
        <v>1</v>
      </c>
      <c r="R446">
        <f>Deals_Raw!R446</f>
        <v>22</v>
      </c>
      <c r="S446" t="str">
        <f>Deals_Raw!S446</f>
        <v>A. Patel</v>
      </c>
      <c r="T446" s="6">
        <f>Deals_Raw!T446</f>
        <v>28677.827915883361</v>
      </c>
      <c r="U446" s="8">
        <f>Deals_Raw!V446</f>
        <v>0.157</v>
      </c>
      <c r="V446" s="8">
        <f>Deals_Raw!W446</f>
        <v>0.14399999999999999</v>
      </c>
      <c r="W446" s="8">
        <f>Deals_Raw!X446</f>
        <v>-3.3000000000000002E-2</v>
      </c>
      <c r="X446" t="str">
        <f>Deals_Raw!Y446</f>
        <v>Renewal retention risk</v>
      </c>
      <c r="Y446" t="str">
        <f>Deals_Raw!Z446</f>
        <v>Pricing Analyst</v>
      </c>
      <c r="Z446" s="6">
        <f>Deals_Raw!AA446</f>
        <v>24540.432879680091</v>
      </c>
      <c r="AA446" s="6">
        <f>Deals_Raw!AC446</f>
        <v>7663.4443008176504</v>
      </c>
      <c r="AB446" s="6">
        <f>Deals_Raw!AD446</f>
        <v>16876.988578862441</v>
      </c>
      <c r="AC446" s="8">
        <f>Deals_Raw!AE446</f>
        <v>0.68772171467427068</v>
      </c>
      <c r="AD446" t="str">
        <f>Deals_Raw!AF446</f>
        <v>Won</v>
      </c>
      <c r="AE446" t="str">
        <f>Deals_Raw!AG446</f>
        <v>Yes</v>
      </c>
      <c r="AF446">
        <f>Deals_Raw!AH446</f>
        <v>0</v>
      </c>
      <c r="AG446" t="str">
        <f>Deals_Raw!AI446</f>
        <v>No</v>
      </c>
      <c r="AH446" s="6">
        <f>Deals_Raw!AJ446</f>
        <v>24540.432879680091</v>
      </c>
      <c r="AI446" s="6">
        <f>Deals_Raw!AK446</f>
        <v>16876.988578862441</v>
      </c>
      <c r="AJ446" t="str">
        <f>Deals_Raw!AL446</f>
        <v>Renewal of existing active contract</v>
      </c>
      <c r="AK446" s="9">
        <f t="shared" si="42"/>
        <v>3.6861111111111109</v>
      </c>
      <c r="AL446" s="8">
        <f t="shared" si="43"/>
        <v>0.85572843772063534</v>
      </c>
      <c r="AM446" s="8">
        <f t="shared" si="44"/>
        <v>1.3000000000000012E-2</v>
      </c>
      <c r="AN446" t="str">
        <f>IF(AC446&lt;Pricing_Policy!$C$10,"Below Floor","Pass")</f>
        <v>Pass</v>
      </c>
      <c r="AO446" t="str">
        <f>IF(V446&gt;Pricing_Policy!$C$7,"Exception","Standard")</f>
        <v>Standard</v>
      </c>
      <c r="AP446" t="str">
        <f t="shared" si="45"/>
        <v>Pass</v>
      </c>
      <c r="AQ446">
        <f t="shared" si="46"/>
        <v>1</v>
      </c>
      <c r="AR446" s="8">
        <f t="shared" si="47"/>
        <v>0.68772171467427068</v>
      </c>
      <c r="AS446">
        <f t="shared" si="48"/>
        <v>2</v>
      </c>
    </row>
    <row r="447" spans="1:45">
      <c r="A447" t="str">
        <f>Deals_Raw!A447</f>
        <v>D00502</v>
      </c>
      <c r="B447">
        <f>Deals_Raw!B447</f>
        <v>45969</v>
      </c>
      <c r="C447" t="str">
        <f>Deals_Raw!C447</f>
        <v>C0125</v>
      </c>
      <c r="D447" t="str">
        <f>Deals_Raw!D447</f>
        <v>LEG-0125</v>
      </c>
      <c r="E447" t="str">
        <f>Deals_Raw!E447</f>
        <v>CT00272</v>
      </c>
      <c r="F447" t="str">
        <f>Deals_Raw!F447</f>
        <v>Sales</v>
      </c>
      <c r="G447" t="str">
        <f>Deals_Raw!G447</f>
        <v>Legal</v>
      </c>
      <c r="H447" t="str">
        <f>Deals_Raw!H447</f>
        <v>Northeast</v>
      </c>
      <c r="I447" t="str">
        <f>Deals_Raw!I447</f>
        <v>Northeast Commercial</v>
      </c>
      <c r="J447" t="str">
        <f>Deals_Raw!J447</f>
        <v>SMB</v>
      </c>
      <c r="K447" t="str">
        <f>Deals_Raw!K447</f>
        <v>No</v>
      </c>
      <c r="L447">
        <f>Deals_Raw!L447</f>
        <v>44256</v>
      </c>
      <c r="M447">
        <f>Deals_Raw!M447</f>
        <v>84</v>
      </c>
      <c r="N447" t="str">
        <f>Deals_Raw!N447</f>
        <v>Nexus Insights</v>
      </c>
      <c r="O447" t="str">
        <f>Deals_Raw!O447</f>
        <v>Renewal</v>
      </c>
      <c r="P447">
        <f>Deals_Raw!P447</f>
        <v>0</v>
      </c>
      <c r="Q447">
        <f>Deals_Raw!Q447</f>
        <v>1</v>
      </c>
      <c r="R447">
        <f>Deals_Raw!R447</f>
        <v>22</v>
      </c>
      <c r="S447" t="str">
        <f>Deals_Raw!S447</f>
        <v>D. Chen</v>
      </c>
      <c r="T447" s="6">
        <f>Deals_Raw!T447</f>
        <v>30655.514632574657</v>
      </c>
      <c r="U447" s="8">
        <f>Deals_Raw!V447</f>
        <v>0.126</v>
      </c>
      <c r="V447" s="8">
        <f>Deals_Raw!W447</f>
        <v>0.1</v>
      </c>
      <c r="W447" s="8">
        <f>Deals_Raw!X447</f>
        <v>1.4999999999999999E-2</v>
      </c>
      <c r="X447" t="str">
        <f>Deals_Raw!Y447</f>
        <v>Multi-year commitment</v>
      </c>
      <c r="Y447" t="str">
        <f>Deals_Raw!Z447</f>
        <v>Sales Manager</v>
      </c>
      <c r="Z447" s="6">
        <f>Deals_Raw!AA447</f>
        <v>27603.463540960383</v>
      </c>
      <c r="AA447" s="6">
        <f>Deals_Raw!AC447</f>
        <v>7819.5223042655207</v>
      </c>
      <c r="AB447" s="6">
        <f>Deals_Raw!AD447</f>
        <v>19783.941236694864</v>
      </c>
      <c r="AC447" s="8">
        <f>Deals_Raw!AE447</f>
        <v>0.71671952352420398</v>
      </c>
      <c r="AD447" t="str">
        <f>Deals_Raw!AF447</f>
        <v>Won</v>
      </c>
      <c r="AE447" t="str">
        <f>Deals_Raw!AG447</f>
        <v>Yes</v>
      </c>
      <c r="AF447">
        <f>Deals_Raw!AH447</f>
        <v>0</v>
      </c>
      <c r="AG447" t="str">
        <f>Deals_Raw!AI447</f>
        <v>No</v>
      </c>
      <c r="AH447" s="6">
        <f>Deals_Raw!AJ447</f>
        <v>27603.463540960383</v>
      </c>
      <c r="AI447" s="6">
        <f>Deals_Raw!AK447</f>
        <v>19783.941236694864</v>
      </c>
      <c r="AJ447" t="str">
        <f>Deals_Raw!AL447</f>
        <v>Renewal of existing active contract</v>
      </c>
      <c r="AK447" s="9">
        <f t="shared" si="42"/>
        <v>4.6861111111111109</v>
      </c>
      <c r="AL447" s="8">
        <f t="shared" si="43"/>
        <v>0.90044038965925066</v>
      </c>
      <c r="AM447" s="8">
        <f t="shared" si="44"/>
        <v>2.5999999999999995E-2</v>
      </c>
      <c r="AN447" t="str">
        <f>IF(AC447&lt;Pricing_Policy!$C$10,"Below Floor","Pass")</f>
        <v>Pass</v>
      </c>
      <c r="AO447" t="str">
        <f>IF(V447&gt;Pricing_Policy!$C$7,"Exception","Standard")</f>
        <v>Standard</v>
      </c>
      <c r="AP447" t="str">
        <f t="shared" si="45"/>
        <v>Pass</v>
      </c>
      <c r="AQ447">
        <f t="shared" si="46"/>
        <v>1</v>
      </c>
      <c r="AR447" s="8">
        <f t="shared" si="47"/>
        <v>0.71671952352420398</v>
      </c>
      <c r="AS447">
        <f t="shared" si="48"/>
        <v>2</v>
      </c>
    </row>
    <row r="448" spans="1:45">
      <c r="A448" t="str">
        <f>Deals_Raw!A448</f>
        <v>D00504</v>
      </c>
      <c r="B448">
        <f>Deals_Raw!B448</f>
        <v>45306</v>
      </c>
      <c r="C448" t="str">
        <f>Deals_Raw!C448</f>
        <v>C0126</v>
      </c>
      <c r="D448" t="str">
        <f>Deals_Raw!D448</f>
        <v>LEG-0126</v>
      </c>
      <c r="E448" t="str">
        <f>Deals_Raw!E448</f>
        <v>CT00273</v>
      </c>
      <c r="F448" t="str">
        <f>Deals_Raw!F448</f>
        <v>Legal</v>
      </c>
      <c r="G448" t="str">
        <f>Deals_Raw!G448</f>
        <v>Legal</v>
      </c>
      <c r="H448" t="str">
        <f>Deals_Raw!H448</f>
        <v>Northeast</v>
      </c>
      <c r="I448" t="str">
        <f>Deals_Raw!I448</f>
        <v>Northeast Enterprise</v>
      </c>
      <c r="J448" t="str">
        <f>Deals_Raw!J448</f>
        <v>Enterprise</v>
      </c>
      <c r="K448" t="str">
        <f>Deals_Raw!K448</f>
        <v>Yes</v>
      </c>
      <c r="L448">
        <f>Deals_Raw!L448</f>
        <v>44531</v>
      </c>
      <c r="M448">
        <f>Deals_Raw!M448</f>
        <v>61</v>
      </c>
      <c r="N448" t="str">
        <f>Deals_Raw!N448</f>
        <v>Nexus Analytics</v>
      </c>
      <c r="O448" t="str">
        <f>Deals_Raw!O448</f>
        <v>Renewal</v>
      </c>
      <c r="P448">
        <f>Deals_Raw!P448</f>
        <v>0</v>
      </c>
      <c r="Q448">
        <f>Deals_Raw!Q448</f>
        <v>1</v>
      </c>
      <c r="R448">
        <f>Deals_Raw!R448</f>
        <v>946</v>
      </c>
      <c r="S448" t="str">
        <f>Deals_Raw!S448</f>
        <v>A. Patel</v>
      </c>
      <c r="T448" s="6">
        <f>Deals_Raw!T448</f>
        <v>172691.83535308522</v>
      </c>
      <c r="U448" s="8">
        <f>Deals_Raw!V448</f>
        <v>9.7000000000000003E-2</v>
      </c>
      <c r="V448" s="8">
        <f>Deals_Raw!W448</f>
        <v>6.4000000000000001E-2</v>
      </c>
      <c r="W448" s="8">
        <f>Deals_Raw!X448</f>
        <v>3.6999999999999998E-2</v>
      </c>
      <c r="X448" t="str">
        <f>Deals_Raw!Y448</f>
        <v>Renewal retention risk</v>
      </c>
      <c r="Y448" t="str">
        <f>Deals_Raw!Z448</f>
        <v>Sales Manager</v>
      </c>
      <c r="Z448" s="6">
        <f>Deals_Raw!AA448</f>
        <v>161696.69752293066</v>
      </c>
      <c r="AA448" s="6">
        <f>Deals_Raw!AC448</f>
        <v>55112.677427391442</v>
      </c>
      <c r="AB448" s="6">
        <f>Deals_Raw!AD448</f>
        <v>106584.02009553922</v>
      </c>
      <c r="AC448" s="8">
        <f>Deals_Raw!AE448</f>
        <v>0.65916015434034603</v>
      </c>
      <c r="AD448" t="str">
        <f>Deals_Raw!AF448</f>
        <v>Lost</v>
      </c>
      <c r="AE448" t="str">
        <f>Deals_Raw!AG448</f>
        <v>No</v>
      </c>
      <c r="AF448">
        <f>Deals_Raw!AH448</f>
        <v>0</v>
      </c>
      <c r="AG448" t="str">
        <f>Deals_Raw!AI448</f>
        <v>No</v>
      </c>
      <c r="AH448" s="6">
        <f>Deals_Raw!AJ448</f>
        <v>0</v>
      </c>
      <c r="AI448" s="6">
        <f>Deals_Raw!AK448</f>
        <v>0</v>
      </c>
      <c r="AJ448" t="str">
        <f>Deals_Raw!AL448</f>
        <v>Renewal of existing active contract</v>
      </c>
      <c r="AK448" s="9">
        <f t="shared" si="42"/>
        <v>2.1222222222222222</v>
      </c>
      <c r="AL448" s="8">
        <f t="shared" si="43"/>
        <v>0.93633087628217082</v>
      </c>
      <c r="AM448" s="8">
        <f t="shared" si="44"/>
        <v>3.3000000000000002E-2</v>
      </c>
      <c r="AN448" t="str">
        <f>IF(AC448&lt;Pricing_Policy!$C$10,"Below Floor","Pass")</f>
        <v>Pass</v>
      </c>
      <c r="AO448" t="str">
        <f>IF(V448&gt;Pricing_Policy!$C$7,"Exception","Standard")</f>
        <v>Standard</v>
      </c>
      <c r="AP448" t="str">
        <f t="shared" si="45"/>
        <v>Pass</v>
      </c>
      <c r="AQ448">
        <f t="shared" si="46"/>
        <v>0</v>
      </c>
      <c r="AR448" s="8">
        <f t="shared" si="47"/>
        <v>0</v>
      </c>
      <c r="AS448">
        <f t="shared" si="48"/>
        <v>2</v>
      </c>
    </row>
    <row r="449" spans="1:45">
      <c r="A449" t="str">
        <f>Deals_Raw!A449</f>
        <v>D00505</v>
      </c>
      <c r="B449">
        <f>Deals_Raw!B449</f>
        <v>45598</v>
      </c>
      <c r="C449" t="str">
        <f>Deals_Raw!C449</f>
        <v>C0126</v>
      </c>
      <c r="D449" t="str">
        <f>Deals_Raw!D449</f>
        <v>LEG-0126</v>
      </c>
      <c r="E449" t="str">
        <f>Deals_Raw!E449</f>
        <v>CT00274</v>
      </c>
      <c r="F449" t="str">
        <f>Deals_Raw!F449</f>
        <v>Operations</v>
      </c>
      <c r="G449" t="str">
        <f>Deals_Raw!G449</f>
        <v>Legal</v>
      </c>
      <c r="H449" t="str">
        <f>Deals_Raw!H449</f>
        <v>Northeast</v>
      </c>
      <c r="I449" t="str">
        <f>Deals_Raw!I449</f>
        <v>Northeast Enterprise</v>
      </c>
      <c r="J449" t="str">
        <f>Deals_Raw!J449</f>
        <v>Enterprise</v>
      </c>
      <c r="K449" t="str">
        <f>Deals_Raw!K449</f>
        <v>Yes</v>
      </c>
      <c r="L449">
        <f>Deals_Raw!L449</f>
        <v>44531</v>
      </c>
      <c r="M449">
        <f>Deals_Raw!M449</f>
        <v>61</v>
      </c>
      <c r="N449" t="str">
        <f>Deals_Raw!N449</f>
        <v>Nexus Analytics</v>
      </c>
      <c r="O449" t="str">
        <f>Deals_Raw!O449</f>
        <v>Renewal</v>
      </c>
      <c r="P449">
        <f>Deals_Raw!P449</f>
        <v>0</v>
      </c>
      <c r="Q449">
        <f>Deals_Raw!Q449</f>
        <v>1</v>
      </c>
      <c r="R449">
        <f>Deals_Raw!R449</f>
        <v>677</v>
      </c>
      <c r="S449" t="str">
        <f>Deals_Raw!S449</f>
        <v>R. Singh</v>
      </c>
      <c r="T449" s="6">
        <f>Deals_Raw!T449</f>
        <v>344841.15788147546</v>
      </c>
      <c r="U449" s="8">
        <f>Deals_Raw!V449</f>
        <v>0.13500000000000001</v>
      </c>
      <c r="V449" s="8">
        <f>Deals_Raw!W449</f>
        <v>0.13400000000000001</v>
      </c>
      <c r="W449" s="8">
        <f>Deals_Raw!X449</f>
        <v>-9.6000000000000002E-2</v>
      </c>
      <c r="X449" t="str">
        <f>Deals_Raw!Y449</f>
        <v>Renewal retention risk</v>
      </c>
      <c r="Y449" t="str">
        <f>Deals_Raw!Z449</f>
        <v>Pricing Analyst</v>
      </c>
      <c r="Z449" s="6">
        <f>Deals_Raw!AA449</f>
        <v>298714.08613941667</v>
      </c>
      <c r="AA449" s="6">
        <f>Deals_Raw!AC449</f>
        <v>120340.57578240926</v>
      </c>
      <c r="AB449" s="6">
        <f>Deals_Raw!AD449</f>
        <v>178373.51035700741</v>
      </c>
      <c r="AC449" s="8">
        <f>Deals_Raw!AE449</f>
        <v>0.59713792764950635</v>
      </c>
      <c r="AD449" t="str">
        <f>Deals_Raw!AF449</f>
        <v>Lost</v>
      </c>
      <c r="AE449" t="str">
        <f>Deals_Raw!AG449</f>
        <v>No</v>
      </c>
      <c r="AF449">
        <f>Deals_Raw!AH449</f>
        <v>0</v>
      </c>
      <c r="AG449" t="str">
        <f>Deals_Raw!AI449</f>
        <v>No</v>
      </c>
      <c r="AH449" s="6">
        <f>Deals_Raw!AJ449</f>
        <v>0</v>
      </c>
      <c r="AI449" s="6">
        <f>Deals_Raw!AK449</f>
        <v>0</v>
      </c>
      <c r="AJ449" t="str">
        <f>Deals_Raw!AL449</f>
        <v>Renewal of existing active contract</v>
      </c>
      <c r="AK449" s="9">
        <f t="shared" si="42"/>
        <v>2.9194444444444443</v>
      </c>
      <c r="AL449" s="8">
        <f t="shared" si="43"/>
        <v>0.86623675658253929</v>
      </c>
      <c r="AM449" s="8">
        <f t="shared" si="44"/>
        <v>1.0000000000000009E-3</v>
      </c>
      <c r="AN449" t="str">
        <f>IF(AC449&lt;Pricing_Policy!$C$10,"Below Floor","Pass")</f>
        <v>Pass</v>
      </c>
      <c r="AO449" t="str">
        <f>IF(V449&gt;Pricing_Policy!$C$7,"Exception","Standard")</f>
        <v>Standard</v>
      </c>
      <c r="AP449" t="str">
        <f t="shared" si="45"/>
        <v>Pass</v>
      </c>
      <c r="AQ449">
        <f t="shared" si="46"/>
        <v>0</v>
      </c>
      <c r="AR449" s="8">
        <f t="shared" si="47"/>
        <v>0</v>
      </c>
      <c r="AS449">
        <f t="shared" si="48"/>
        <v>2</v>
      </c>
    </row>
    <row r="450" spans="1:45">
      <c r="A450" t="str">
        <f>Deals_Raw!A450</f>
        <v>D00506</v>
      </c>
      <c r="B450">
        <f>Deals_Raw!B450</f>
        <v>45357</v>
      </c>
      <c r="C450" t="str">
        <f>Deals_Raw!C450</f>
        <v>C0127</v>
      </c>
      <c r="D450" t="str">
        <f>Deals_Raw!D450</f>
        <v>MAN-0127</v>
      </c>
      <c r="E450" t="str">
        <f>Deals_Raw!E450</f>
        <v>CT00275</v>
      </c>
      <c r="F450" t="str">
        <f>Deals_Raw!F450</f>
        <v>Sales</v>
      </c>
      <c r="G450" t="str">
        <f>Deals_Raw!G450</f>
        <v>Manufacturing</v>
      </c>
      <c r="H450" t="str">
        <f>Deals_Raw!H450</f>
        <v>West</v>
      </c>
      <c r="I450" t="str">
        <f>Deals_Raw!I450</f>
        <v>West Commercial</v>
      </c>
      <c r="J450" t="str">
        <f>Deals_Raw!J450</f>
        <v>SMB</v>
      </c>
      <c r="K450" t="str">
        <f>Deals_Raw!K450</f>
        <v>No</v>
      </c>
      <c r="L450">
        <f>Deals_Raw!L450</f>
        <v>44866</v>
      </c>
      <c r="M450">
        <f>Deals_Raw!M450</f>
        <v>62</v>
      </c>
      <c r="N450" t="str">
        <f>Deals_Raw!N450</f>
        <v>Nexus Compliance</v>
      </c>
      <c r="O450" t="str">
        <f>Deals_Raw!O450</f>
        <v>New Business</v>
      </c>
      <c r="P450">
        <f>Deals_Raw!P450</f>
        <v>0</v>
      </c>
      <c r="Q450">
        <f>Deals_Raw!Q450</f>
        <v>1</v>
      </c>
      <c r="R450">
        <f>Deals_Raw!R450</f>
        <v>32</v>
      </c>
      <c r="S450" t="str">
        <f>Deals_Raw!S450</f>
        <v>K. Nguyen</v>
      </c>
      <c r="T450" s="6">
        <f>Deals_Raw!T450</f>
        <v>81566.509153221676</v>
      </c>
      <c r="U450" s="8">
        <f>Deals_Raw!V450</f>
        <v>0.11600000000000001</v>
      </c>
      <c r="V450" s="8">
        <f>Deals_Raw!W450</f>
        <v>7.1999999999999995E-2</v>
      </c>
      <c r="W450" s="8">
        <f>Deals_Raw!X450</f>
        <v>0.15</v>
      </c>
      <c r="X450" t="str">
        <f>Deals_Raw!Y450</f>
        <v>Volume purchase</v>
      </c>
      <c r="Y450" t="str">
        <f>Deals_Raw!Z450</f>
        <v>Sales Manager</v>
      </c>
      <c r="Z450" s="6">
        <f>Deals_Raw!AA450</f>
        <v>75661.635440125741</v>
      </c>
      <c r="AA450" s="6">
        <f>Deals_Raw!AC450</f>
        <v>27502.829257893532</v>
      </c>
      <c r="AB450" s="6">
        <f>Deals_Raw!AD450</f>
        <v>48158.806182232205</v>
      </c>
      <c r="AC450" s="8">
        <f>Deals_Raw!AE450</f>
        <v>0.63650231589749751</v>
      </c>
      <c r="AD450" t="str">
        <f>Deals_Raw!AF450</f>
        <v>Won</v>
      </c>
      <c r="AE450">
        <f>Deals_Raw!AG450</f>
        <v>0</v>
      </c>
      <c r="AF450">
        <f>Deals_Raw!AH450</f>
        <v>0</v>
      </c>
      <c r="AG450" t="str">
        <f>Deals_Raw!AI450</f>
        <v>No</v>
      </c>
      <c r="AH450" s="6">
        <f>Deals_Raw!AJ450</f>
        <v>75661.635440125741</v>
      </c>
      <c r="AI450" s="6">
        <f>Deals_Raw!AK450</f>
        <v>48158.806182232205</v>
      </c>
      <c r="AJ450" t="str">
        <f>Deals_Raw!AL450</f>
        <v>First purchase under this contract</v>
      </c>
      <c r="AK450" s="9">
        <f t="shared" si="42"/>
        <v>1.3472222222222223</v>
      </c>
      <c r="AL450" s="8">
        <f t="shared" si="43"/>
        <v>0.92760663936219578</v>
      </c>
      <c r="AM450" s="8">
        <f t="shared" si="44"/>
        <v>4.4000000000000011E-2</v>
      </c>
      <c r="AN450" t="str">
        <f>IF(AC450&lt;Pricing_Policy!$C$10,"Below Floor","Pass")</f>
        <v>Pass</v>
      </c>
      <c r="AO450" t="str">
        <f>IF(V450&gt;Pricing_Policy!$C$7,"Exception","Standard")</f>
        <v>Standard</v>
      </c>
      <c r="AP450" t="str">
        <f t="shared" si="45"/>
        <v>Pass</v>
      </c>
      <c r="AQ450">
        <f t="shared" si="46"/>
        <v>1</v>
      </c>
      <c r="AR450" s="8">
        <f t="shared" si="47"/>
        <v>0.63650231589749751</v>
      </c>
      <c r="AS450">
        <f t="shared" si="48"/>
        <v>2</v>
      </c>
    </row>
    <row r="451" spans="1:45">
      <c r="A451" t="str">
        <f>Deals_Raw!A451</f>
        <v>D00507</v>
      </c>
      <c r="B451">
        <f>Deals_Raw!B451</f>
        <v>45722</v>
      </c>
      <c r="C451" t="str">
        <f>Deals_Raw!C451</f>
        <v>C0127</v>
      </c>
      <c r="D451" t="str">
        <f>Deals_Raw!D451</f>
        <v>MAN-0127</v>
      </c>
      <c r="E451" t="str">
        <f>Deals_Raw!E451</f>
        <v>CT00275</v>
      </c>
      <c r="F451" t="str">
        <f>Deals_Raw!F451</f>
        <v>Sales</v>
      </c>
      <c r="G451" t="str">
        <f>Deals_Raw!G451</f>
        <v>Manufacturing</v>
      </c>
      <c r="H451" t="str">
        <f>Deals_Raw!H451</f>
        <v>West</v>
      </c>
      <c r="I451" t="str">
        <f>Deals_Raw!I451</f>
        <v>West Commercial</v>
      </c>
      <c r="J451" t="str">
        <f>Deals_Raw!J451</f>
        <v>SMB</v>
      </c>
      <c r="K451" t="str">
        <f>Deals_Raw!K451</f>
        <v>No</v>
      </c>
      <c r="L451">
        <f>Deals_Raw!L451</f>
        <v>44866</v>
      </c>
      <c r="M451">
        <f>Deals_Raw!M451</f>
        <v>62</v>
      </c>
      <c r="N451" t="str">
        <f>Deals_Raw!N451</f>
        <v>Nexus Compliance</v>
      </c>
      <c r="O451" t="str">
        <f>Deals_Raw!O451</f>
        <v>Renewal</v>
      </c>
      <c r="P451">
        <f>Deals_Raw!P451</f>
        <v>0</v>
      </c>
      <c r="Q451">
        <f>Deals_Raw!Q451</f>
        <v>1</v>
      </c>
      <c r="R451">
        <f>Deals_Raw!R451</f>
        <v>32</v>
      </c>
      <c r="S451" t="str">
        <f>Deals_Raw!S451</f>
        <v>S. Rivera</v>
      </c>
      <c r="T451" s="6">
        <f>Deals_Raw!T451</f>
        <v>84454.787496577643</v>
      </c>
      <c r="U451" s="8">
        <f>Deals_Raw!V451</f>
        <v>0.22500000000000001</v>
      </c>
      <c r="V451" s="8">
        <f>Deals_Raw!W451</f>
        <v>0.20799999999999999</v>
      </c>
      <c r="W451" s="8">
        <f>Deals_Raw!X451</f>
        <v>-0.108</v>
      </c>
      <c r="X451" t="str">
        <f>Deals_Raw!Y451</f>
        <v>Renewal retention risk</v>
      </c>
      <c r="Y451" t="str">
        <f>Deals_Raw!Z451</f>
        <v>Business Manager</v>
      </c>
      <c r="Z451" s="6">
        <f>Deals_Raw!AA451</f>
        <v>66900.304566551888</v>
      </c>
      <c r="AA451" s="6">
        <f>Deals_Raw!AC451</f>
        <v>27307.683085927551</v>
      </c>
      <c r="AB451" s="6">
        <f>Deals_Raw!AD451</f>
        <v>39592.621480624337</v>
      </c>
      <c r="AC451" s="8">
        <f>Deals_Raw!AE451</f>
        <v>0.59181526507458448</v>
      </c>
      <c r="AD451" t="str">
        <f>Deals_Raw!AF451</f>
        <v>Lost</v>
      </c>
      <c r="AE451" t="str">
        <f>Deals_Raw!AG451</f>
        <v>No</v>
      </c>
      <c r="AF451">
        <f>Deals_Raw!AH451</f>
        <v>0</v>
      </c>
      <c r="AG451" t="str">
        <f>Deals_Raw!AI451</f>
        <v>No</v>
      </c>
      <c r="AH451" s="6">
        <f>Deals_Raw!AJ451</f>
        <v>0</v>
      </c>
      <c r="AI451" s="6">
        <f>Deals_Raw!AK451</f>
        <v>0</v>
      </c>
      <c r="AJ451" t="str">
        <f>Deals_Raw!AL451</f>
        <v>Renewal of existing active contract</v>
      </c>
      <c r="AK451" s="9">
        <f t="shared" si="42"/>
        <v>2.3472222222222223</v>
      </c>
      <c r="AL451" s="8">
        <f t="shared" si="43"/>
        <v>0.79214342430573148</v>
      </c>
      <c r="AM451" s="8">
        <f t="shared" si="44"/>
        <v>1.7000000000000015E-2</v>
      </c>
      <c r="AN451" t="str">
        <f>IF(AC451&lt;Pricing_Policy!$C$10,"Below Floor","Pass")</f>
        <v>Pass</v>
      </c>
      <c r="AO451" t="str">
        <f>IF(V451&gt;Pricing_Policy!$C$7,"Exception","Standard")</f>
        <v>Standard</v>
      </c>
      <c r="AP451" t="str">
        <f t="shared" si="45"/>
        <v>Pass</v>
      </c>
      <c r="AQ451">
        <f t="shared" si="46"/>
        <v>0</v>
      </c>
      <c r="AR451" s="8">
        <f t="shared" si="47"/>
        <v>0</v>
      </c>
      <c r="AS451">
        <f t="shared" si="48"/>
        <v>2</v>
      </c>
    </row>
    <row r="452" spans="1:45">
      <c r="A452" t="str">
        <f>Deals_Raw!A452</f>
        <v>D00508</v>
      </c>
      <c r="B452">
        <f>Deals_Raw!B452</f>
        <v>45745</v>
      </c>
      <c r="C452" t="str">
        <f>Deals_Raw!C452</f>
        <v>C0128</v>
      </c>
      <c r="D452" t="str">
        <f>Deals_Raw!D452</f>
        <v>TEC-0128</v>
      </c>
      <c r="E452" t="str">
        <f>Deals_Raw!E452</f>
        <v>CT00276</v>
      </c>
      <c r="F452" t="str">
        <f>Deals_Raw!F452</f>
        <v>Legal</v>
      </c>
      <c r="G452" t="str">
        <f>Deals_Raw!G452</f>
        <v>Technology</v>
      </c>
      <c r="H452" t="str">
        <f>Deals_Raw!H452</f>
        <v>West</v>
      </c>
      <c r="I452" t="str">
        <f>Deals_Raw!I452</f>
        <v>West Commercial</v>
      </c>
      <c r="J452" t="str">
        <f>Deals_Raw!J452</f>
        <v>Mid-Market</v>
      </c>
      <c r="K452" t="str">
        <f>Deals_Raw!K452</f>
        <v>No</v>
      </c>
      <c r="L452">
        <f>Deals_Raw!L452</f>
        <v>43497</v>
      </c>
      <c r="M452">
        <f>Deals_Raw!M452</f>
        <v>85</v>
      </c>
      <c r="N452" t="str">
        <f>Deals_Raw!N452</f>
        <v>Nexus AI Assistant</v>
      </c>
      <c r="O452" t="str">
        <f>Deals_Raw!O452</f>
        <v>New Business</v>
      </c>
      <c r="P452">
        <f>Deals_Raw!P452</f>
        <v>0</v>
      </c>
      <c r="Q452">
        <f>Deals_Raw!Q452</f>
        <v>2</v>
      </c>
      <c r="R452">
        <f>Deals_Raw!R452</f>
        <v>238</v>
      </c>
      <c r="S452" t="str">
        <f>Deals_Raw!S452</f>
        <v>R. Singh</v>
      </c>
      <c r="T452" s="6">
        <f>Deals_Raw!T452</f>
        <v>87683.540503670985</v>
      </c>
      <c r="U452" s="8">
        <f>Deals_Raw!V452</f>
        <v>0.10100000000000001</v>
      </c>
      <c r="V452" s="8">
        <f>Deals_Raw!W452</f>
        <v>9.6000000000000002E-2</v>
      </c>
      <c r="W452" s="8">
        <f>Deals_Raw!X452</f>
        <v>-6.5000000000000002E-2</v>
      </c>
      <c r="X452" t="str">
        <f>Deals_Raw!Y452</f>
        <v>Volume purchase</v>
      </c>
      <c r="Y452" t="str">
        <f>Deals_Raw!Z452</f>
        <v>Sales Manager</v>
      </c>
      <c r="Z452" s="6">
        <f>Deals_Raw!AA452</f>
        <v>79253.527372668701</v>
      </c>
      <c r="AA452" s="6">
        <f>Deals_Raw!AC452</f>
        <v>34759.730804817176</v>
      </c>
      <c r="AB452" s="6">
        <f>Deals_Raw!AD452</f>
        <v>44493.796567851525</v>
      </c>
      <c r="AC452" s="8">
        <f>Deals_Raw!AE452</f>
        <v>0.56141093075430248</v>
      </c>
      <c r="AD452" t="str">
        <f>Deals_Raw!AF452</f>
        <v>Won</v>
      </c>
      <c r="AE452">
        <f>Deals_Raw!AG452</f>
        <v>0</v>
      </c>
      <c r="AF452">
        <f>Deals_Raw!AH452</f>
        <v>0</v>
      </c>
      <c r="AG452" t="str">
        <f>Deals_Raw!AI452</f>
        <v>No</v>
      </c>
      <c r="AH452" s="6">
        <f>Deals_Raw!AJ452</f>
        <v>79253.527372668701</v>
      </c>
      <c r="AI452" s="6">
        <f>Deals_Raw!AK452</f>
        <v>44493.796567851525</v>
      </c>
      <c r="AJ452" t="str">
        <f>Deals_Raw!AL452</f>
        <v>First purchase under this contract</v>
      </c>
      <c r="AK452" s="9">
        <f t="shared" si="42"/>
        <v>6.1611111111111114</v>
      </c>
      <c r="AL452" s="8">
        <f t="shared" si="43"/>
        <v>0.90385865941796284</v>
      </c>
      <c r="AM452" s="8">
        <f t="shared" si="44"/>
        <v>5.0000000000000044E-3</v>
      </c>
      <c r="AN452" t="str">
        <f>IF(AC452&lt;Pricing_Policy!$C$10,"Below Floor","Pass")</f>
        <v>Pass</v>
      </c>
      <c r="AO452" t="str">
        <f>IF(V452&gt;Pricing_Policy!$C$7,"Exception","Standard")</f>
        <v>Standard</v>
      </c>
      <c r="AP452" t="str">
        <f t="shared" si="45"/>
        <v>Pass</v>
      </c>
      <c r="AQ452">
        <f t="shared" si="46"/>
        <v>1</v>
      </c>
      <c r="AR452" s="8">
        <f t="shared" si="47"/>
        <v>0.56141093075430248</v>
      </c>
      <c r="AS452">
        <f t="shared" si="48"/>
        <v>1</v>
      </c>
    </row>
    <row r="453" spans="1:45">
      <c r="A453" t="str">
        <f>Deals_Raw!A453</f>
        <v>D00510</v>
      </c>
      <c r="B453">
        <f>Deals_Raw!B453</f>
        <v>45325</v>
      </c>
      <c r="C453" t="str">
        <f>Deals_Raw!C453</f>
        <v>C0128</v>
      </c>
      <c r="D453" t="str">
        <f>Deals_Raw!D453</f>
        <v>TEC-0128</v>
      </c>
      <c r="E453" t="str">
        <f>Deals_Raw!E453</f>
        <v>CT00277</v>
      </c>
      <c r="F453" t="str">
        <f>Deals_Raw!F453</f>
        <v>Corporate</v>
      </c>
      <c r="G453" t="str">
        <f>Deals_Raw!G453</f>
        <v>Technology</v>
      </c>
      <c r="H453" t="str">
        <f>Deals_Raw!H453</f>
        <v>West</v>
      </c>
      <c r="I453" t="str">
        <f>Deals_Raw!I453</f>
        <v>West Commercial</v>
      </c>
      <c r="J453" t="str">
        <f>Deals_Raw!J453</f>
        <v>Mid-Market</v>
      </c>
      <c r="K453" t="str">
        <f>Deals_Raw!K453</f>
        <v>No</v>
      </c>
      <c r="L453">
        <f>Deals_Raw!L453</f>
        <v>43497</v>
      </c>
      <c r="M453">
        <f>Deals_Raw!M453</f>
        <v>85</v>
      </c>
      <c r="N453" t="str">
        <f>Deals_Raw!N453</f>
        <v>Nexus Compliance</v>
      </c>
      <c r="O453" t="str">
        <f>Deals_Raw!O453</f>
        <v>Renewal</v>
      </c>
      <c r="P453">
        <f>Deals_Raw!P453</f>
        <v>0</v>
      </c>
      <c r="Q453">
        <f>Deals_Raw!Q453</f>
        <v>1</v>
      </c>
      <c r="R453">
        <f>Deals_Raw!R453</f>
        <v>277</v>
      </c>
      <c r="S453" t="str">
        <f>Deals_Raw!S453</f>
        <v>A. Patel</v>
      </c>
      <c r="T453" s="6">
        <f>Deals_Raw!T453</f>
        <v>205939.32738003251</v>
      </c>
      <c r="U453" s="8">
        <f>Deals_Raw!V453</f>
        <v>4.3999999999999997E-2</v>
      </c>
      <c r="V453" s="8">
        <f>Deals_Raw!W453</f>
        <v>8.0000000000000002E-3</v>
      </c>
      <c r="W453" s="8">
        <f>Deals_Raw!X453</f>
        <v>-2.5000000000000001E-2</v>
      </c>
      <c r="X453" t="str">
        <f>Deals_Raw!Y453</f>
        <v>Expansion opportunity</v>
      </c>
      <c r="Y453" t="str">
        <f>Deals_Raw!Z453</f>
        <v>Sales Manager</v>
      </c>
      <c r="Z453" s="6">
        <f>Deals_Raw!AA453</f>
        <v>204208.38478463239</v>
      </c>
      <c r="AA453" s="6">
        <f>Deals_Raw!AC453</f>
        <v>65084.766004252619</v>
      </c>
      <c r="AB453" s="6">
        <f>Deals_Raw!AD453</f>
        <v>139123.61878037977</v>
      </c>
      <c r="AC453" s="8">
        <f>Deals_Raw!AE453</f>
        <v>0.68128259731893948</v>
      </c>
      <c r="AD453" t="str">
        <f>Deals_Raw!AF453</f>
        <v>Won</v>
      </c>
      <c r="AE453" t="str">
        <f>Deals_Raw!AG453</f>
        <v>Yes</v>
      </c>
      <c r="AF453">
        <f>Deals_Raw!AH453</f>
        <v>0</v>
      </c>
      <c r="AG453" t="str">
        <f>Deals_Raw!AI453</f>
        <v>No</v>
      </c>
      <c r="AH453" s="6">
        <f>Deals_Raw!AJ453</f>
        <v>204208.38478463239</v>
      </c>
      <c r="AI453" s="6">
        <f>Deals_Raw!AK453</f>
        <v>139123.61878037977</v>
      </c>
      <c r="AJ453" t="str">
        <f>Deals_Raw!AL453</f>
        <v>Renewal of existing active contract</v>
      </c>
      <c r="AK453" s="9">
        <f t="shared" ref="AK453:AK516" si="49">YEARFRAC(L453,B453)</f>
        <v>5.0055555555555555</v>
      </c>
      <c r="AL453" s="8">
        <f t="shared" ref="AL453:AL516" si="50">IFERROR(Z453/T453,0)</f>
        <v>0.99159489050769845</v>
      </c>
      <c r="AM453" s="8">
        <f t="shared" ref="AM453:AM516" si="51">U453-V453</f>
        <v>3.5999999999999997E-2</v>
      </c>
      <c r="AN453" t="str">
        <f>IF(AC453&lt;Pricing_Policy!$C$10,"Below Floor","Pass")</f>
        <v>Pass</v>
      </c>
      <c r="AO453" t="str">
        <f>IF(V453&gt;Pricing_Policy!$C$7,"Exception","Standard")</f>
        <v>Standard</v>
      </c>
      <c r="AP453" t="str">
        <f t="shared" ref="AP453:AP516" si="52">IF(OR(AND(V453&lt;=0.1,Y453&lt;&gt;"Sales Manager"),AND(V453&gt;0.1,V453&lt;=0.2,Y453&lt;&gt;"Pricing Analyst"),AND(V453&gt;0.2,V453&lt;=0.28,Y453&lt;&gt;"Business Manager"),AND(V453&gt;0.28,Y453&lt;&gt;"VP Pricing")),"Review","Pass")</f>
        <v>Pass</v>
      </c>
      <c r="AQ453">
        <f t="shared" ref="AQ453:AQ516" si="53">IF(AD453="Won",1,0)</f>
        <v>1</v>
      </c>
      <c r="AR453" s="8">
        <f t="shared" ref="AR453:AR516" si="54">IFERROR(AI453/AH453,0)</f>
        <v>0.68128259731893948</v>
      </c>
      <c r="AS453">
        <f t="shared" ref="AS453:AS516" si="55">COUNTIFS($C:$C,C453,$N:$N,N453)</f>
        <v>2</v>
      </c>
    </row>
    <row r="454" spans="1:45">
      <c r="A454" t="str">
        <f>Deals_Raw!A454</f>
        <v>D00511</v>
      </c>
      <c r="B454">
        <f>Deals_Raw!B454</f>
        <v>45690</v>
      </c>
      <c r="C454" t="str">
        <f>Deals_Raw!C454</f>
        <v>C0128</v>
      </c>
      <c r="D454" t="str">
        <f>Deals_Raw!D454</f>
        <v>TEC-0128</v>
      </c>
      <c r="E454" t="str">
        <f>Deals_Raw!E454</f>
        <v>CT00277</v>
      </c>
      <c r="F454" t="str">
        <f>Deals_Raw!F454</f>
        <v>Corporate</v>
      </c>
      <c r="G454" t="str">
        <f>Deals_Raw!G454</f>
        <v>Technology</v>
      </c>
      <c r="H454" t="str">
        <f>Deals_Raw!H454</f>
        <v>West</v>
      </c>
      <c r="I454" t="str">
        <f>Deals_Raw!I454</f>
        <v>West Commercial</v>
      </c>
      <c r="J454" t="str">
        <f>Deals_Raw!J454</f>
        <v>Mid-Market</v>
      </c>
      <c r="K454" t="str">
        <f>Deals_Raw!K454</f>
        <v>No</v>
      </c>
      <c r="L454">
        <f>Deals_Raw!L454</f>
        <v>43497</v>
      </c>
      <c r="M454">
        <f>Deals_Raw!M454</f>
        <v>85</v>
      </c>
      <c r="N454" t="str">
        <f>Deals_Raw!N454</f>
        <v>Nexus Compliance</v>
      </c>
      <c r="O454" t="str">
        <f>Deals_Raw!O454</f>
        <v>Renewal</v>
      </c>
      <c r="P454">
        <f>Deals_Raw!P454</f>
        <v>0</v>
      </c>
      <c r="Q454">
        <f>Deals_Raw!Q454</f>
        <v>1</v>
      </c>
      <c r="R454">
        <f>Deals_Raw!R454</f>
        <v>277</v>
      </c>
      <c r="S454" t="str">
        <f>Deals_Raw!S454</f>
        <v>A. Patel</v>
      </c>
      <c r="T454" s="6">
        <f>Deals_Raw!T454</f>
        <v>213040.72015849987</v>
      </c>
      <c r="U454" s="8">
        <f>Deals_Raw!V454</f>
        <v>0.19600000000000001</v>
      </c>
      <c r="V454" s="8">
        <f>Deals_Raw!W454</f>
        <v>0.14399999999999999</v>
      </c>
      <c r="W454" s="8">
        <f>Deals_Raw!X454</f>
        <v>-4.2999999999999997E-2</v>
      </c>
      <c r="X454" t="str">
        <f>Deals_Raw!Y454</f>
        <v>Volume purchase</v>
      </c>
      <c r="Y454" t="str">
        <f>Deals_Raw!Z454</f>
        <v>Pricing Analyst</v>
      </c>
      <c r="Z454" s="6">
        <f>Deals_Raw!AA454</f>
        <v>182321.52304269449</v>
      </c>
      <c r="AA454" s="6">
        <f>Deals_Raw!AC454</f>
        <v>71713.162453411933</v>
      </c>
      <c r="AB454" s="6">
        <f>Deals_Raw!AD454</f>
        <v>110608.36058928256</v>
      </c>
      <c r="AC454" s="8">
        <f>Deals_Raw!AE454</f>
        <v>0.60666650181164428</v>
      </c>
      <c r="AD454" t="str">
        <f>Deals_Raw!AF454</f>
        <v>Won</v>
      </c>
      <c r="AE454" t="str">
        <f>Deals_Raw!AG454</f>
        <v>Yes</v>
      </c>
      <c r="AF454">
        <f>Deals_Raw!AH454</f>
        <v>0</v>
      </c>
      <c r="AG454" t="str">
        <f>Deals_Raw!AI454</f>
        <v>No</v>
      </c>
      <c r="AH454" s="6">
        <f>Deals_Raw!AJ454</f>
        <v>182321.52304269449</v>
      </c>
      <c r="AI454" s="6">
        <f>Deals_Raw!AK454</f>
        <v>110608.36058928256</v>
      </c>
      <c r="AJ454" t="str">
        <f>Deals_Raw!AL454</f>
        <v>Renewal of existing active contract</v>
      </c>
      <c r="AK454" s="9">
        <f t="shared" si="49"/>
        <v>6.0027777777777782</v>
      </c>
      <c r="AL454" s="8">
        <f t="shared" si="50"/>
        <v>0.85580598350892423</v>
      </c>
      <c r="AM454" s="8">
        <f t="shared" si="51"/>
        <v>5.2000000000000018E-2</v>
      </c>
      <c r="AN454" t="str">
        <f>IF(AC454&lt;Pricing_Policy!$C$10,"Below Floor","Pass")</f>
        <v>Pass</v>
      </c>
      <c r="AO454" t="str">
        <f>IF(V454&gt;Pricing_Policy!$C$7,"Exception","Standard")</f>
        <v>Standard</v>
      </c>
      <c r="AP454" t="str">
        <f t="shared" si="52"/>
        <v>Pass</v>
      </c>
      <c r="AQ454">
        <f t="shared" si="53"/>
        <v>1</v>
      </c>
      <c r="AR454" s="8">
        <f t="shared" si="54"/>
        <v>0.60666650181164428</v>
      </c>
      <c r="AS454">
        <f t="shared" si="55"/>
        <v>2</v>
      </c>
    </row>
    <row r="455" spans="1:45">
      <c r="A455" t="str">
        <f>Deals_Raw!A455</f>
        <v>D00512</v>
      </c>
      <c r="B455">
        <f>Deals_Raw!B455</f>
        <v>45484</v>
      </c>
      <c r="C455" t="str">
        <f>Deals_Raw!C455</f>
        <v>C0128</v>
      </c>
      <c r="D455" t="str">
        <f>Deals_Raw!D455</f>
        <v>TEC-0128</v>
      </c>
      <c r="E455" t="str">
        <f>Deals_Raw!E455</f>
        <v>CT00278</v>
      </c>
      <c r="F455" t="str">
        <f>Deals_Raw!F455</f>
        <v>Legal</v>
      </c>
      <c r="G455" t="str">
        <f>Deals_Raw!G455</f>
        <v>Technology</v>
      </c>
      <c r="H455" t="str">
        <f>Deals_Raw!H455</f>
        <v>West</v>
      </c>
      <c r="I455" t="str">
        <f>Deals_Raw!I455</f>
        <v>West Commercial</v>
      </c>
      <c r="J455" t="str">
        <f>Deals_Raw!J455</f>
        <v>Mid-Market</v>
      </c>
      <c r="K455" t="str">
        <f>Deals_Raw!K455</f>
        <v>No</v>
      </c>
      <c r="L455">
        <f>Deals_Raw!L455</f>
        <v>43497</v>
      </c>
      <c r="M455">
        <f>Deals_Raw!M455</f>
        <v>85</v>
      </c>
      <c r="N455" t="str">
        <f>Deals_Raw!N455</f>
        <v>Nexus Insights</v>
      </c>
      <c r="O455" t="str">
        <f>Deals_Raw!O455</f>
        <v>Expansion</v>
      </c>
      <c r="P455" t="str">
        <f>Deals_Raw!P455</f>
        <v>Multi-year Extension</v>
      </c>
      <c r="Q455">
        <f>Deals_Raw!Q455</f>
        <v>1</v>
      </c>
      <c r="R455">
        <f>Deals_Raw!R455</f>
        <v>173</v>
      </c>
      <c r="S455" t="str">
        <f>Deals_Raw!S455</f>
        <v>S. Rivera</v>
      </c>
      <c r="T455" s="6">
        <f>Deals_Raw!T455</f>
        <v>45642.421678545412</v>
      </c>
      <c r="U455" s="8">
        <f>Deals_Raw!V455</f>
        <v>0.19600000000000001</v>
      </c>
      <c r="V455" s="8">
        <f>Deals_Raw!W455</f>
        <v>0.182</v>
      </c>
      <c r="W455" s="8">
        <f>Deals_Raw!X455</f>
        <v>-8.8999999999999996E-2</v>
      </c>
      <c r="X455" t="str">
        <f>Deals_Raw!Y455</f>
        <v>Expansion opportunity</v>
      </c>
      <c r="Y455" t="str">
        <f>Deals_Raw!Z455</f>
        <v>Pricing Analyst</v>
      </c>
      <c r="Z455" s="6">
        <f>Deals_Raw!AA455</f>
        <v>37324.305521241418</v>
      </c>
      <c r="AA455" s="6">
        <f>Deals_Raw!AC455</f>
        <v>13516.47968766809</v>
      </c>
      <c r="AB455" s="6">
        <f>Deals_Raw!AD455</f>
        <v>23807.825833573326</v>
      </c>
      <c r="AC455" s="8">
        <f>Deals_Raw!AE455</f>
        <v>0.63786386648303994</v>
      </c>
      <c r="AD455" t="str">
        <f>Deals_Raw!AF455</f>
        <v>Won</v>
      </c>
      <c r="AE455">
        <f>Deals_Raw!AG455</f>
        <v>0</v>
      </c>
      <c r="AF455" t="str">
        <f>Deals_Raw!AH455</f>
        <v>Yes</v>
      </c>
      <c r="AG455" t="str">
        <f>Deals_Raw!AI455</f>
        <v>No</v>
      </c>
      <c r="AH455" s="6">
        <f>Deals_Raw!AJ455</f>
        <v>37324.305521241418</v>
      </c>
      <c r="AI455" s="6">
        <f>Deals_Raw!AK455</f>
        <v>23807.825833573326</v>
      </c>
      <c r="AJ455" t="str">
        <f>Deals_Raw!AL455</f>
        <v>Expansion allowed because contract was active</v>
      </c>
      <c r="AK455" s="9">
        <f t="shared" si="49"/>
        <v>5.4444444444444446</v>
      </c>
      <c r="AL455" s="8">
        <f t="shared" si="50"/>
        <v>0.81775471477198169</v>
      </c>
      <c r="AM455" s="8">
        <f t="shared" si="51"/>
        <v>1.4000000000000012E-2</v>
      </c>
      <c r="AN455" t="str">
        <f>IF(AC455&lt;Pricing_Policy!$C$10,"Below Floor","Pass")</f>
        <v>Pass</v>
      </c>
      <c r="AO455" t="str">
        <f>IF(V455&gt;Pricing_Policy!$C$7,"Exception","Standard")</f>
        <v>Standard</v>
      </c>
      <c r="AP455" t="str">
        <f t="shared" si="52"/>
        <v>Pass</v>
      </c>
      <c r="AQ455">
        <f t="shared" si="53"/>
        <v>1</v>
      </c>
      <c r="AR455" s="8">
        <f t="shared" si="54"/>
        <v>0.63786386648303994</v>
      </c>
      <c r="AS455">
        <f t="shared" si="55"/>
        <v>3</v>
      </c>
    </row>
    <row r="456" spans="1:45">
      <c r="A456" t="str">
        <f>Deals_Raw!A456</f>
        <v>D00513</v>
      </c>
      <c r="B456">
        <f>Deals_Raw!B456</f>
        <v>45646</v>
      </c>
      <c r="C456" t="str">
        <f>Deals_Raw!C456</f>
        <v>C0128</v>
      </c>
      <c r="D456" t="str">
        <f>Deals_Raw!D456</f>
        <v>TEC-0128</v>
      </c>
      <c r="E456" t="str">
        <f>Deals_Raw!E456</f>
        <v>CT00278</v>
      </c>
      <c r="F456" t="str">
        <f>Deals_Raw!F456</f>
        <v>Legal</v>
      </c>
      <c r="G456" t="str">
        <f>Deals_Raw!G456</f>
        <v>Technology</v>
      </c>
      <c r="H456" t="str">
        <f>Deals_Raw!H456</f>
        <v>West</v>
      </c>
      <c r="I456" t="str">
        <f>Deals_Raw!I456</f>
        <v>West Commercial</v>
      </c>
      <c r="J456" t="str">
        <f>Deals_Raw!J456</f>
        <v>Mid-Market</v>
      </c>
      <c r="K456" t="str">
        <f>Deals_Raw!K456</f>
        <v>No</v>
      </c>
      <c r="L456">
        <f>Deals_Raw!L456</f>
        <v>43497</v>
      </c>
      <c r="M456">
        <f>Deals_Raw!M456</f>
        <v>85</v>
      </c>
      <c r="N456" t="str">
        <f>Deals_Raw!N456</f>
        <v>Nexus Insights</v>
      </c>
      <c r="O456" t="str">
        <f>Deals_Raw!O456</f>
        <v>Renewal</v>
      </c>
      <c r="P456">
        <f>Deals_Raw!P456</f>
        <v>0</v>
      </c>
      <c r="Q456">
        <f>Deals_Raw!Q456</f>
        <v>1</v>
      </c>
      <c r="R456">
        <f>Deals_Raw!R456</f>
        <v>173</v>
      </c>
      <c r="S456" t="str">
        <f>Deals_Raw!S456</f>
        <v>K. Nguyen</v>
      </c>
      <c r="T456" s="6">
        <f>Deals_Raw!T456</f>
        <v>47551.751606169943</v>
      </c>
      <c r="U456" s="8">
        <f>Deals_Raw!V456</f>
        <v>0.124</v>
      </c>
      <c r="V456" s="8">
        <f>Deals_Raw!W456</f>
        <v>8.7999999999999995E-2</v>
      </c>
      <c r="W456" s="8">
        <f>Deals_Raw!X456</f>
        <v>-3.9E-2</v>
      </c>
      <c r="X456" t="str">
        <f>Deals_Raw!Y456</f>
        <v>Multi-year commitment</v>
      </c>
      <c r="Y456" t="str">
        <f>Deals_Raw!Z456</f>
        <v>Sales Manager</v>
      </c>
      <c r="Z456" s="6">
        <f>Deals_Raw!AA456</f>
        <v>43345.972894657294</v>
      </c>
      <c r="AA456" s="6">
        <f>Deals_Raw!AC456</f>
        <v>14980.362213915643</v>
      </c>
      <c r="AB456" s="6">
        <f>Deals_Raw!AD456</f>
        <v>28365.610680741651</v>
      </c>
      <c r="AC456" s="8">
        <f>Deals_Raw!AE456</f>
        <v>0.65440013884745263</v>
      </c>
      <c r="AD456" t="str">
        <f>Deals_Raw!AF456</f>
        <v>Won</v>
      </c>
      <c r="AE456" t="str">
        <f>Deals_Raw!AG456</f>
        <v>Yes</v>
      </c>
      <c r="AF456">
        <f>Deals_Raw!AH456</f>
        <v>0</v>
      </c>
      <c r="AG456" t="str">
        <f>Deals_Raw!AI456</f>
        <v>No</v>
      </c>
      <c r="AH456" s="6">
        <f>Deals_Raw!AJ456</f>
        <v>43345.972894657294</v>
      </c>
      <c r="AI456" s="6">
        <f>Deals_Raw!AK456</f>
        <v>28365.610680741651</v>
      </c>
      <c r="AJ456" t="str">
        <f>Deals_Raw!AL456</f>
        <v>Renewal of existing active contract</v>
      </c>
      <c r="AK456" s="9">
        <f t="shared" si="49"/>
        <v>5.8861111111111111</v>
      </c>
      <c r="AL456" s="8">
        <f t="shared" si="50"/>
        <v>0.91155365324193571</v>
      </c>
      <c r="AM456" s="8">
        <f t="shared" si="51"/>
        <v>3.6000000000000004E-2</v>
      </c>
      <c r="AN456" t="str">
        <f>IF(AC456&lt;Pricing_Policy!$C$10,"Below Floor","Pass")</f>
        <v>Pass</v>
      </c>
      <c r="AO456" t="str">
        <f>IF(V456&gt;Pricing_Policy!$C$7,"Exception","Standard")</f>
        <v>Standard</v>
      </c>
      <c r="AP456" t="str">
        <f t="shared" si="52"/>
        <v>Pass</v>
      </c>
      <c r="AQ456">
        <f t="shared" si="53"/>
        <v>1</v>
      </c>
      <c r="AR456" s="8">
        <f t="shared" si="54"/>
        <v>0.65440013884745263</v>
      </c>
      <c r="AS456">
        <f t="shared" si="55"/>
        <v>3</v>
      </c>
    </row>
    <row r="457" spans="1:45">
      <c r="A457" t="str">
        <f>Deals_Raw!A457</f>
        <v>D00514</v>
      </c>
      <c r="B457">
        <f>Deals_Raw!B457</f>
        <v>46011</v>
      </c>
      <c r="C457" t="str">
        <f>Deals_Raw!C457</f>
        <v>C0128</v>
      </c>
      <c r="D457" t="str">
        <f>Deals_Raw!D457</f>
        <v>TEC-0128</v>
      </c>
      <c r="E457" t="str">
        <f>Deals_Raw!E457</f>
        <v>CT00278</v>
      </c>
      <c r="F457" t="str">
        <f>Deals_Raw!F457</f>
        <v>Legal</v>
      </c>
      <c r="G457" t="str">
        <f>Deals_Raw!G457</f>
        <v>Technology</v>
      </c>
      <c r="H457" t="str">
        <f>Deals_Raw!H457</f>
        <v>West</v>
      </c>
      <c r="I457" t="str">
        <f>Deals_Raw!I457</f>
        <v>West Commercial</v>
      </c>
      <c r="J457" t="str">
        <f>Deals_Raw!J457</f>
        <v>Mid-Market</v>
      </c>
      <c r="K457" t="str">
        <f>Deals_Raw!K457</f>
        <v>No</v>
      </c>
      <c r="L457">
        <f>Deals_Raw!L457</f>
        <v>43497</v>
      </c>
      <c r="M457">
        <f>Deals_Raw!M457</f>
        <v>85</v>
      </c>
      <c r="N457" t="str">
        <f>Deals_Raw!N457</f>
        <v>Nexus Insights</v>
      </c>
      <c r="O457" t="str">
        <f>Deals_Raw!O457</f>
        <v>Renewal</v>
      </c>
      <c r="P457">
        <f>Deals_Raw!P457</f>
        <v>0</v>
      </c>
      <c r="Q457">
        <f>Deals_Raw!Q457</f>
        <v>1</v>
      </c>
      <c r="R457">
        <f>Deals_Raw!R457</f>
        <v>173</v>
      </c>
      <c r="S457" t="str">
        <f>Deals_Raw!S457</f>
        <v>M. Johnson</v>
      </c>
      <c r="T457" s="6">
        <f>Deals_Raw!T457</f>
        <v>50183.452002051934</v>
      </c>
      <c r="U457" s="8">
        <f>Deals_Raw!V457</f>
        <v>0.18</v>
      </c>
      <c r="V457" s="8">
        <f>Deals_Raw!W457</f>
        <v>0.16</v>
      </c>
      <c r="W457" s="8">
        <f>Deals_Raw!X457</f>
        <v>-1.0999999999999999E-2</v>
      </c>
      <c r="X457" t="str">
        <f>Deals_Raw!Y457</f>
        <v>Procurement requirement</v>
      </c>
      <c r="Y457" t="str">
        <f>Deals_Raw!Z457</f>
        <v>Pricing Analyst</v>
      </c>
      <c r="Z457" s="6">
        <f>Deals_Raw!AA457</f>
        <v>42176.320776402375</v>
      </c>
      <c r="AA457" s="6">
        <f>Deals_Raw!AC457</f>
        <v>14976.497127345358</v>
      </c>
      <c r="AB457" s="6">
        <f>Deals_Raw!AD457</f>
        <v>27199.82364905702</v>
      </c>
      <c r="AC457" s="8">
        <f>Deals_Raw!AE457</f>
        <v>0.64490745395400406</v>
      </c>
      <c r="AD457" t="str">
        <f>Deals_Raw!AF457</f>
        <v>Won</v>
      </c>
      <c r="AE457" t="str">
        <f>Deals_Raw!AG457</f>
        <v>Yes</v>
      </c>
      <c r="AF457">
        <f>Deals_Raw!AH457</f>
        <v>0</v>
      </c>
      <c r="AG457" t="str">
        <f>Deals_Raw!AI457</f>
        <v>No</v>
      </c>
      <c r="AH457" s="6">
        <f>Deals_Raw!AJ457</f>
        <v>42176.320776402375</v>
      </c>
      <c r="AI457" s="6">
        <f>Deals_Raw!AK457</f>
        <v>27199.82364905702</v>
      </c>
      <c r="AJ457" t="str">
        <f>Deals_Raw!AL457</f>
        <v>Renewal of existing active contract</v>
      </c>
      <c r="AK457" s="9">
        <f t="shared" si="49"/>
        <v>6.8861111111111111</v>
      </c>
      <c r="AL457" s="8">
        <f t="shared" si="50"/>
        <v>0.84044279725272475</v>
      </c>
      <c r="AM457" s="8">
        <f t="shared" si="51"/>
        <v>1.999999999999999E-2</v>
      </c>
      <c r="AN457" t="str">
        <f>IF(AC457&lt;Pricing_Policy!$C$10,"Below Floor","Pass")</f>
        <v>Pass</v>
      </c>
      <c r="AO457" t="str">
        <f>IF(V457&gt;Pricing_Policy!$C$7,"Exception","Standard")</f>
        <v>Standard</v>
      </c>
      <c r="AP457" t="str">
        <f t="shared" si="52"/>
        <v>Pass</v>
      </c>
      <c r="AQ457">
        <f t="shared" si="53"/>
        <v>1</v>
      </c>
      <c r="AR457" s="8">
        <f t="shared" si="54"/>
        <v>0.64490745395400406</v>
      </c>
      <c r="AS457">
        <f t="shared" si="55"/>
        <v>3</v>
      </c>
    </row>
    <row r="458" spans="1:45">
      <c r="A458" t="str">
        <f>Deals_Raw!A458</f>
        <v>D00517</v>
      </c>
      <c r="B458">
        <f>Deals_Raw!B458</f>
        <v>45429</v>
      </c>
      <c r="C458" t="str">
        <f>Deals_Raw!C458</f>
        <v>C0128</v>
      </c>
      <c r="D458" t="str">
        <f>Deals_Raw!D458</f>
        <v>TEC-0128</v>
      </c>
      <c r="E458" t="str">
        <f>Deals_Raw!E458</f>
        <v>CT00279</v>
      </c>
      <c r="F458" t="str">
        <f>Deals_Raw!F458</f>
        <v>Sales</v>
      </c>
      <c r="G458" t="str">
        <f>Deals_Raw!G458</f>
        <v>Technology</v>
      </c>
      <c r="H458" t="str">
        <f>Deals_Raw!H458</f>
        <v>West</v>
      </c>
      <c r="I458" t="str">
        <f>Deals_Raw!I458</f>
        <v>West Commercial</v>
      </c>
      <c r="J458" t="str">
        <f>Deals_Raw!J458</f>
        <v>Mid-Market</v>
      </c>
      <c r="K458" t="str">
        <f>Deals_Raw!K458</f>
        <v>No</v>
      </c>
      <c r="L458">
        <f>Deals_Raw!L458</f>
        <v>43497</v>
      </c>
      <c r="M458">
        <f>Deals_Raw!M458</f>
        <v>85</v>
      </c>
      <c r="N458" t="str">
        <f>Deals_Raw!N458</f>
        <v>Nexus Analytics</v>
      </c>
      <c r="O458" t="str">
        <f>Deals_Raw!O458</f>
        <v>Win-back</v>
      </c>
      <c r="P458">
        <f>Deals_Raw!P458</f>
        <v>0</v>
      </c>
      <c r="Q458">
        <f>Deals_Raw!Q458</f>
        <v>1</v>
      </c>
      <c r="R458">
        <f>Deals_Raw!R458</f>
        <v>124</v>
      </c>
      <c r="S458" t="str">
        <f>Deals_Raw!S458</f>
        <v>D. Chen</v>
      </c>
      <c r="T458" s="6">
        <f>Deals_Raw!T458</f>
        <v>86332.156842448501</v>
      </c>
      <c r="U458" s="8">
        <f>Deals_Raw!V458</f>
        <v>0.16800000000000001</v>
      </c>
      <c r="V458" s="8">
        <f>Deals_Raw!W458</f>
        <v>0.13500000000000001</v>
      </c>
      <c r="W458" s="8">
        <f>Deals_Raw!X458</f>
        <v>-6.4000000000000001E-2</v>
      </c>
      <c r="X458" t="str">
        <f>Deals_Raw!Y458</f>
        <v>Renewal retention risk</v>
      </c>
      <c r="Y458" t="str">
        <f>Deals_Raw!Z458</f>
        <v>Pricing Analyst</v>
      </c>
      <c r="Z458" s="6">
        <f>Deals_Raw!AA458</f>
        <v>74687.217387918121</v>
      </c>
      <c r="AA458" s="6">
        <f>Deals_Raw!AC458</f>
        <v>29227.829618166728</v>
      </c>
      <c r="AB458" s="6">
        <f>Deals_Raw!AD458</f>
        <v>45459.387769751396</v>
      </c>
      <c r="AC458" s="8">
        <f>Deals_Raw!AE458</f>
        <v>0.60866356198062344</v>
      </c>
      <c r="AD458" t="str">
        <f>Deals_Raw!AF458</f>
        <v>Won</v>
      </c>
      <c r="AE458">
        <f>Deals_Raw!AG458</f>
        <v>0</v>
      </c>
      <c r="AF458">
        <f>Deals_Raw!AH458</f>
        <v>0</v>
      </c>
      <c r="AG458" t="str">
        <f>Deals_Raw!AI458</f>
        <v>Yes</v>
      </c>
      <c r="AH458" s="6">
        <f>Deals_Raw!AJ458</f>
        <v>74687.217387918121</v>
      </c>
      <c r="AI458" s="6">
        <f>Deals_Raw!AK458</f>
        <v>45459.387769751396</v>
      </c>
      <c r="AJ458" t="str">
        <f>Deals_Raw!AL458</f>
        <v>Customer returned after lost renewal</v>
      </c>
      <c r="AK458" s="9">
        <f t="shared" si="49"/>
        <v>5.2944444444444443</v>
      </c>
      <c r="AL458" s="8">
        <f t="shared" si="50"/>
        <v>0.86511469329114798</v>
      </c>
      <c r="AM458" s="8">
        <f t="shared" si="51"/>
        <v>3.3000000000000002E-2</v>
      </c>
      <c r="AN458" t="str">
        <f>IF(AC458&lt;Pricing_Policy!$C$10,"Below Floor","Pass")</f>
        <v>Pass</v>
      </c>
      <c r="AO458" t="str">
        <f>IF(V458&gt;Pricing_Policy!$C$7,"Exception","Standard")</f>
        <v>Standard</v>
      </c>
      <c r="AP458" t="str">
        <f t="shared" si="52"/>
        <v>Pass</v>
      </c>
      <c r="AQ458">
        <f t="shared" si="53"/>
        <v>1</v>
      </c>
      <c r="AR458" s="8">
        <f t="shared" si="54"/>
        <v>0.60866356198062344</v>
      </c>
      <c r="AS458">
        <f t="shared" si="55"/>
        <v>2</v>
      </c>
    </row>
    <row r="459" spans="1:45">
      <c r="A459" t="str">
        <f>Deals_Raw!A459</f>
        <v>D00518</v>
      </c>
      <c r="B459">
        <f>Deals_Raw!B459</f>
        <v>45794</v>
      </c>
      <c r="C459" t="str">
        <f>Deals_Raw!C459</f>
        <v>C0128</v>
      </c>
      <c r="D459" t="str">
        <f>Deals_Raw!D459</f>
        <v>TEC-0128</v>
      </c>
      <c r="E459" t="str">
        <f>Deals_Raw!E459</f>
        <v>CT00279</v>
      </c>
      <c r="F459" t="str">
        <f>Deals_Raw!F459</f>
        <v>Sales</v>
      </c>
      <c r="G459" t="str">
        <f>Deals_Raw!G459</f>
        <v>Technology</v>
      </c>
      <c r="H459" t="str">
        <f>Deals_Raw!H459</f>
        <v>West</v>
      </c>
      <c r="I459" t="str">
        <f>Deals_Raw!I459</f>
        <v>West Commercial</v>
      </c>
      <c r="J459" t="str">
        <f>Deals_Raw!J459</f>
        <v>Mid-Market</v>
      </c>
      <c r="K459" t="str">
        <f>Deals_Raw!K459</f>
        <v>No</v>
      </c>
      <c r="L459">
        <f>Deals_Raw!L459</f>
        <v>43497</v>
      </c>
      <c r="M459">
        <f>Deals_Raw!M459</f>
        <v>85</v>
      </c>
      <c r="N459" t="str">
        <f>Deals_Raw!N459</f>
        <v>Nexus Analytics</v>
      </c>
      <c r="O459" t="str">
        <f>Deals_Raw!O459</f>
        <v>Renewal</v>
      </c>
      <c r="P459">
        <f>Deals_Raw!P459</f>
        <v>0</v>
      </c>
      <c r="Q459">
        <f>Deals_Raw!Q459</f>
        <v>1</v>
      </c>
      <c r="R459">
        <f>Deals_Raw!R459</f>
        <v>124</v>
      </c>
      <c r="S459" t="str">
        <f>Deals_Raw!S459</f>
        <v>R. Singh</v>
      </c>
      <c r="T459" s="6">
        <f>Deals_Raw!T459</f>
        <v>88121.640779161869</v>
      </c>
      <c r="U459" s="8">
        <f>Deals_Raw!V459</f>
        <v>0.24</v>
      </c>
      <c r="V459" s="8">
        <f>Deals_Raw!W459</f>
        <v>0.23300000000000001</v>
      </c>
      <c r="W459" s="8">
        <f>Deals_Raw!X459</f>
        <v>0.04</v>
      </c>
      <c r="X459" t="str">
        <f>Deals_Raw!Y459</f>
        <v>Verified competitor pressure</v>
      </c>
      <c r="Y459" t="str">
        <f>Deals_Raw!Z459</f>
        <v>Business Manager</v>
      </c>
      <c r="Z459" s="6">
        <f>Deals_Raw!AA459</f>
        <v>67618.93290946474</v>
      </c>
      <c r="AA459" s="6">
        <f>Deals_Raw!AC459</f>
        <v>27001.444254727659</v>
      </c>
      <c r="AB459" s="6">
        <f>Deals_Raw!AD459</f>
        <v>40617.488654737084</v>
      </c>
      <c r="AC459" s="8">
        <f>Deals_Raw!AE459</f>
        <v>0.60068218924897854</v>
      </c>
      <c r="AD459" t="str">
        <f>Deals_Raw!AF459</f>
        <v>Won</v>
      </c>
      <c r="AE459" t="str">
        <f>Deals_Raw!AG459</f>
        <v>Yes</v>
      </c>
      <c r="AF459">
        <f>Deals_Raw!AH459</f>
        <v>0</v>
      </c>
      <c r="AG459" t="str">
        <f>Deals_Raw!AI459</f>
        <v>No</v>
      </c>
      <c r="AH459" s="6">
        <f>Deals_Raw!AJ459</f>
        <v>67618.93290946474</v>
      </c>
      <c r="AI459" s="6">
        <f>Deals_Raw!AK459</f>
        <v>40617.488654737084</v>
      </c>
      <c r="AJ459" t="str">
        <f>Deals_Raw!AL459</f>
        <v>Renewal of existing active contract</v>
      </c>
      <c r="AK459" s="9">
        <f t="shared" si="49"/>
        <v>6.2944444444444443</v>
      </c>
      <c r="AL459" s="8">
        <f t="shared" si="50"/>
        <v>0.76733629005980331</v>
      </c>
      <c r="AM459" s="8">
        <f t="shared" si="51"/>
        <v>6.9999999999999785E-3</v>
      </c>
      <c r="AN459" t="str">
        <f>IF(AC459&lt;Pricing_Policy!$C$10,"Below Floor","Pass")</f>
        <v>Pass</v>
      </c>
      <c r="AO459" t="str">
        <f>IF(V459&gt;Pricing_Policy!$C$7,"Exception","Standard")</f>
        <v>Standard</v>
      </c>
      <c r="AP459" t="str">
        <f t="shared" si="52"/>
        <v>Pass</v>
      </c>
      <c r="AQ459">
        <f t="shared" si="53"/>
        <v>1</v>
      </c>
      <c r="AR459" s="8">
        <f t="shared" si="54"/>
        <v>0.60068218924897854</v>
      </c>
      <c r="AS459">
        <f t="shared" si="55"/>
        <v>2</v>
      </c>
    </row>
    <row r="460" spans="1:45">
      <c r="A460" t="str">
        <f>Deals_Raw!A460</f>
        <v>D00519</v>
      </c>
      <c r="B460">
        <f>Deals_Raw!B460</f>
        <v>45413</v>
      </c>
      <c r="C460" t="str">
        <f>Deals_Raw!C460</f>
        <v>C0129</v>
      </c>
      <c r="D460" t="str">
        <f>Deals_Raw!D460</f>
        <v>PUB-0129</v>
      </c>
      <c r="E460" t="str">
        <f>Deals_Raw!E460</f>
        <v>CT00280</v>
      </c>
      <c r="F460" t="str">
        <f>Deals_Raw!F460</f>
        <v>Operations</v>
      </c>
      <c r="G460" t="str">
        <f>Deals_Raw!G460</f>
        <v>Public Sector</v>
      </c>
      <c r="H460" t="str">
        <f>Deals_Raw!H460</f>
        <v>West</v>
      </c>
      <c r="I460" t="str">
        <f>Deals_Raw!I460</f>
        <v>West Commercial</v>
      </c>
      <c r="J460" t="str">
        <f>Deals_Raw!J460</f>
        <v>SMB</v>
      </c>
      <c r="K460" t="str">
        <f>Deals_Raw!K460</f>
        <v>No</v>
      </c>
      <c r="L460">
        <f>Deals_Raw!L460</f>
        <v>44835</v>
      </c>
      <c r="M460">
        <f>Deals_Raw!M460</f>
        <v>69</v>
      </c>
      <c r="N460" t="str">
        <f>Deals_Raw!N460</f>
        <v>Nexus AI Assistant</v>
      </c>
      <c r="O460" t="str">
        <f>Deals_Raw!O460</f>
        <v>Renewal</v>
      </c>
      <c r="P460">
        <f>Deals_Raw!P460</f>
        <v>0</v>
      </c>
      <c r="Q460">
        <f>Deals_Raw!Q460</f>
        <v>1</v>
      </c>
      <c r="R460">
        <f>Deals_Raw!R460</f>
        <v>27</v>
      </c>
      <c r="S460" t="str">
        <f>Deals_Raw!S460</f>
        <v>D. Chen</v>
      </c>
      <c r="T460" s="6">
        <f>Deals_Raw!T460</f>
        <v>44443.221427512632</v>
      </c>
      <c r="U460" s="8">
        <f>Deals_Raw!V460</f>
        <v>0.11</v>
      </c>
      <c r="V460" s="8">
        <f>Deals_Raw!W460</f>
        <v>0.1</v>
      </c>
      <c r="W460" s="8">
        <f>Deals_Raw!X460</f>
        <v>1.0999999999999999E-2</v>
      </c>
      <c r="X460" t="str">
        <f>Deals_Raw!Y460</f>
        <v>Expansion opportunity</v>
      </c>
      <c r="Y460" t="str">
        <f>Deals_Raw!Z460</f>
        <v>Pricing Analyst</v>
      </c>
      <c r="Z460" s="6">
        <f>Deals_Raw!AA460</f>
        <v>39991.517504224299</v>
      </c>
      <c r="AA460" s="6">
        <f>Deals_Raw!AC460</f>
        <v>16895.769835114344</v>
      </c>
      <c r="AB460" s="6">
        <f>Deals_Raw!AD460</f>
        <v>23095.747669109955</v>
      </c>
      <c r="AC460" s="8">
        <f>Deals_Raw!AE460</f>
        <v>0.57751616118769067</v>
      </c>
      <c r="AD460" t="str">
        <f>Deals_Raw!AF460</f>
        <v>Won</v>
      </c>
      <c r="AE460" t="str">
        <f>Deals_Raw!AG460</f>
        <v>Yes</v>
      </c>
      <c r="AF460">
        <f>Deals_Raw!AH460</f>
        <v>0</v>
      </c>
      <c r="AG460" t="str">
        <f>Deals_Raw!AI460</f>
        <v>No</v>
      </c>
      <c r="AH460" s="6">
        <f>Deals_Raw!AJ460</f>
        <v>39991.517504224299</v>
      </c>
      <c r="AI460" s="6">
        <f>Deals_Raw!AK460</f>
        <v>23095.747669109955</v>
      </c>
      <c r="AJ460" t="str">
        <f>Deals_Raw!AL460</f>
        <v>Renewal of existing active contract</v>
      </c>
      <c r="AK460" s="9">
        <f t="shared" si="49"/>
        <v>1.5833333333333333</v>
      </c>
      <c r="AL460" s="8">
        <f t="shared" si="50"/>
        <v>0.89983390536734364</v>
      </c>
      <c r="AM460" s="8">
        <f t="shared" si="51"/>
        <v>9.999999999999995E-3</v>
      </c>
      <c r="AN460" t="str">
        <f>IF(AC460&lt;Pricing_Policy!$C$10,"Below Floor","Pass")</f>
        <v>Pass</v>
      </c>
      <c r="AO460" t="str">
        <f>IF(V460&gt;Pricing_Policy!$C$7,"Exception","Standard")</f>
        <v>Standard</v>
      </c>
      <c r="AP460" t="str">
        <f t="shared" si="52"/>
        <v>Review</v>
      </c>
      <c r="AQ460">
        <f t="shared" si="53"/>
        <v>1</v>
      </c>
      <c r="AR460" s="8">
        <f t="shared" si="54"/>
        <v>0.57751616118769067</v>
      </c>
      <c r="AS460">
        <f t="shared" si="55"/>
        <v>3</v>
      </c>
    </row>
    <row r="461" spans="1:45">
      <c r="A461" t="str">
        <f>Deals_Raw!A461</f>
        <v>D00520</v>
      </c>
      <c r="B461">
        <f>Deals_Raw!B461</f>
        <v>45614</v>
      </c>
      <c r="C461" t="str">
        <f>Deals_Raw!C461</f>
        <v>C0129</v>
      </c>
      <c r="D461" t="str">
        <f>Deals_Raw!D461</f>
        <v>PUB-0129</v>
      </c>
      <c r="E461" t="str">
        <f>Deals_Raw!E461</f>
        <v>CT00280</v>
      </c>
      <c r="F461" t="str">
        <f>Deals_Raw!F461</f>
        <v>Operations</v>
      </c>
      <c r="G461" t="str">
        <f>Deals_Raw!G461</f>
        <v>Public Sector</v>
      </c>
      <c r="H461" t="str">
        <f>Deals_Raw!H461</f>
        <v>West</v>
      </c>
      <c r="I461" t="str">
        <f>Deals_Raw!I461</f>
        <v>West Commercial</v>
      </c>
      <c r="J461" t="str">
        <f>Deals_Raw!J461</f>
        <v>SMB</v>
      </c>
      <c r="K461" t="str">
        <f>Deals_Raw!K461</f>
        <v>No</v>
      </c>
      <c r="L461">
        <f>Deals_Raw!L461</f>
        <v>44835</v>
      </c>
      <c r="M461">
        <f>Deals_Raw!M461</f>
        <v>69</v>
      </c>
      <c r="N461" t="str">
        <f>Deals_Raw!N461</f>
        <v>Nexus AI Assistant</v>
      </c>
      <c r="O461" t="str">
        <f>Deals_Raw!O461</f>
        <v>Expansion</v>
      </c>
      <c r="P461" t="str">
        <f>Deals_Raw!P461</f>
        <v>Enterprise Upgrade</v>
      </c>
      <c r="Q461">
        <f>Deals_Raw!Q461</f>
        <v>1</v>
      </c>
      <c r="R461">
        <f>Deals_Raw!R461</f>
        <v>35</v>
      </c>
      <c r="S461" t="str">
        <f>Deals_Raw!S461</f>
        <v>S. Rivera</v>
      </c>
      <c r="T461" s="6">
        <f>Deals_Raw!T461</f>
        <v>54545.758640867331</v>
      </c>
      <c r="U461" s="8">
        <f>Deals_Raw!V461</f>
        <v>2.3E-2</v>
      </c>
      <c r="V461" s="8">
        <f>Deals_Raw!W461</f>
        <v>1.4E-2</v>
      </c>
      <c r="W461" s="8">
        <f>Deals_Raw!X461</f>
        <v>8.9999999999999993E-3</v>
      </c>
      <c r="X461" t="str">
        <f>Deals_Raw!Y461</f>
        <v>Expansion opportunity</v>
      </c>
      <c r="Y461" t="str">
        <f>Deals_Raw!Z461</f>
        <v>Sales Manager</v>
      </c>
      <c r="Z461" s="6">
        <f>Deals_Raw!AA461</f>
        <v>53776.280029146401</v>
      </c>
      <c r="AA461" s="6">
        <f>Deals_Raw!AC461</f>
        <v>21208.44674024179</v>
      </c>
      <c r="AB461" s="6">
        <f>Deals_Raw!AD461</f>
        <v>32567.833288904611</v>
      </c>
      <c r="AC461" s="8">
        <f>Deals_Raw!AE461</f>
        <v>0.6056170726434229</v>
      </c>
      <c r="AD461" t="str">
        <f>Deals_Raw!AF461</f>
        <v>Lost</v>
      </c>
      <c r="AE461">
        <f>Deals_Raw!AG461</f>
        <v>0</v>
      </c>
      <c r="AF461" t="str">
        <f>Deals_Raw!AH461</f>
        <v>No</v>
      </c>
      <c r="AG461" t="str">
        <f>Deals_Raw!AI461</f>
        <v>No</v>
      </c>
      <c r="AH461" s="6">
        <f>Deals_Raw!AJ461</f>
        <v>0</v>
      </c>
      <c r="AI461" s="6">
        <f>Deals_Raw!AK461</f>
        <v>0</v>
      </c>
      <c r="AJ461" t="str">
        <f>Deals_Raw!AL461</f>
        <v>Expansion allowed because contract was active</v>
      </c>
      <c r="AK461" s="9">
        <f t="shared" si="49"/>
        <v>2.1305555555555555</v>
      </c>
      <c r="AL461" s="8">
        <f t="shared" si="50"/>
        <v>0.98589297076630233</v>
      </c>
      <c r="AM461" s="8">
        <f t="shared" si="51"/>
        <v>8.9999999999999993E-3</v>
      </c>
      <c r="AN461" t="str">
        <f>IF(AC461&lt;Pricing_Policy!$C$10,"Below Floor","Pass")</f>
        <v>Pass</v>
      </c>
      <c r="AO461" t="str">
        <f>IF(V461&gt;Pricing_Policy!$C$7,"Exception","Standard")</f>
        <v>Standard</v>
      </c>
      <c r="AP461" t="str">
        <f t="shared" si="52"/>
        <v>Pass</v>
      </c>
      <c r="AQ461">
        <f t="shared" si="53"/>
        <v>0</v>
      </c>
      <c r="AR461" s="8">
        <f t="shared" si="54"/>
        <v>0</v>
      </c>
      <c r="AS461">
        <f t="shared" si="55"/>
        <v>3</v>
      </c>
    </row>
    <row r="462" spans="1:45">
      <c r="A462" t="str">
        <f>Deals_Raw!A462</f>
        <v>D00521</v>
      </c>
      <c r="B462">
        <f>Deals_Raw!B462</f>
        <v>45778</v>
      </c>
      <c r="C462" t="str">
        <f>Deals_Raw!C462</f>
        <v>C0129</v>
      </c>
      <c r="D462" t="str">
        <f>Deals_Raw!D462</f>
        <v>PUB-0129</v>
      </c>
      <c r="E462" t="str">
        <f>Deals_Raw!E462</f>
        <v>CT00280</v>
      </c>
      <c r="F462" t="str">
        <f>Deals_Raw!F462</f>
        <v>Operations</v>
      </c>
      <c r="G462" t="str">
        <f>Deals_Raw!G462</f>
        <v>Public Sector</v>
      </c>
      <c r="H462" t="str">
        <f>Deals_Raw!H462</f>
        <v>West</v>
      </c>
      <c r="I462" t="str">
        <f>Deals_Raw!I462</f>
        <v>West Commercial</v>
      </c>
      <c r="J462" t="str">
        <f>Deals_Raw!J462</f>
        <v>SMB</v>
      </c>
      <c r="K462" t="str">
        <f>Deals_Raw!K462</f>
        <v>No</v>
      </c>
      <c r="L462">
        <f>Deals_Raw!L462</f>
        <v>44835</v>
      </c>
      <c r="M462">
        <f>Deals_Raw!M462</f>
        <v>69</v>
      </c>
      <c r="N462" t="str">
        <f>Deals_Raw!N462</f>
        <v>Nexus AI Assistant</v>
      </c>
      <c r="O462" t="str">
        <f>Deals_Raw!O462</f>
        <v>Renewal</v>
      </c>
      <c r="P462">
        <f>Deals_Raw!P462</f>
        <v>0</v>
      </c>
      <c r="Q462">
        <f>Deals_Raw!Q462</f>
        <v>1</v>
      </c>
      <c r="R462">
        <f>Deals_Raw!R462</f>
        <v>27</v>
      </c>
      <c r="S462" t="str">
        <f>Deals_Raw!S462</f>
        <v>D. Chen</v>
      </c>
      <c r="T462" s="6">
        <f>Deals_Raw!T462</f>
        <v>46235.055650839568</v>
      </c>
      <c r="U462" s="8">
        <f>Deals_Raw!V462</f>
        <v>0.152</v>
      </c>
      <c r="V462" s="8">
        <f>Deals_Raw!W462</f>
        <v>0.115</v>
      </c>
      <c r="W462" s="8">
        <f>Deals_Raw!X462</f>
        <v>-2.5999999999999999E-2</v>
      </c>
      <c r="X462" t="str">
        <f>Deals_Raw!Y462</f>
        <v>Verified competitor pressure</v>
      </c>
      <c r="Y462" t="str">
        <f>Deals_Raw!Z462</f>
        <v>Pricing Analyst</v>
      </c>
      <c r="Z462" s="6">
        <f>Deals_Raw!AA462</f>
        <v>40896.547325381158</v>
      </c>
      <c r="AA462" s="6">
        <f>Deals_Raw!AC462</f>
        <v>18752.616747049753</v>
      </c>
      <c r="AB462" s="6">
        <f>Deals_Raw!AD462</f>
        <v>22143.930578331405</v>
      </c>
      <c r="AC462" s="8">
        <f>Deals_Raw!AE462</f>
        <v>0.54146210442044995</v>
      </c>
      <c r="AD462" t="str">
        <f>Deals_Raw!AF462</f>
        <v>Lost</v>
      </c>
      <c r="AE462" t="str">
        <f>Deals_Raw!AG462</f>
        <v>No</v>
      </c>
      <c r="AF462">
        <f>Deals_Raw!AH462</f>
        <v>0</v>
      </c>
      <c r="AG462" t="str">
        <f>Deals_Raw!AI462</f>
        <v>No</v>
      </c>
      <c r="AH462" s="6">
        <f>Deals_Raw!AJ462</f>
        <v>0</v>
      </c>
      <c r="AI462" s="6">
        <f>Deals_Raw!AK462</f>
        <v>0</v>
      </c>
      <c r="AJ462" t="str">
        <f>Deals_Raw!AL462</f>
        <v>Renewal of existing active contract</v>
      </c>
      <c r="AK462" s="9">
        <f t="shared" si="49"/>
        <v>2.5833333333333335</v>
      </c>
      <c r="AL462" s="8">
        <f t="shared" si="50"/>
        <v>0.88453548394590353</v>
      </c>
      <c r="AM462" s="8">
        <f t="shared" si="51"/>
        <v>3.6999999999999991E-2</v>
      </c>
      <c r="AN462" t="str">
        <f>IF(AC462&lt;Pricing_Policy!$C$10,"Below Floor","Pass")</f>
        <v>Pass</v>
      </c>
      <c r="AO462" t="str">
        <f>IF(V462&gt;Pricing_Policy!$C$7,"Exception","Standard")</f>
        <v>Standard</v>
      </c>
      <c r="AP462" t="str">
        <f t="shared" si="52"/>
        <v>Pass</v>
      </c>
      <c r="AQ462">
        <f t="shared" si="53"/>
        <v>0</v>
      </c>
      <c r="AR462" s="8">
        <f t="shared" si="54"/>
        <v>0</v>
      </c>
      <c r="AS462">
        <f t="shared" si="55"/>
        <v>3</v>
      </c>
    </row>
    <row r="463" spans="1:45">
      <c r="A463" t="str">
        <f>Deals_Raw!A463</f>
        <v>D00522</v>
      </c>
      <c r="B463">
        <f>Deals_Raw!B463</f>
        <v>45474</v>
      </c>
      <c r="C463" t="str">
        <f>Deals_Raw!C463</f>
        <v>C0129</v>
      </c>
      <c r="D463" t="str">
        <f>Deals_Raw!D463</f>
        <v>PUB-0129</v>
      </c>
      <c r="E463" t="str">
        <f>Deals_Raw!E463</f>
        <v>CT00281</v>
      </c>
      <c r="F463" t="str">
        <f>Deals_Raw!F463</f>
        <v>Corporate</v>
      </c>
      <c r="G463" t="str">
        <f>Deals_Raw!G463</f>
        <v>Public Sector</v>
      </c>
      <c r="H463" t="str">
        <f>Deals_Raw!H463</f>
        <v>West</v>
      </c>
      <c r="I463" t="str">
        <f>Deals_Raw!I463</f>
        <v>West Commercial</v>
      </c>
      <c r="J463" t="str">
        <f>Deals_Raw!J463</f>
        <v>SMB</v>
      </c>
      <c r="K463" t="str">
        <f>Deals_Raw!K463</f>
        <v>No</v>
      </c>
      <c r="L463">
        <f>Deals_Raw!L463</f>
        <v>44835</v>
      </c>
      <c r="M463">
        <f>Deals_Raw!M463</f>
        <v>69</v>
      </c>
      <c r="N463" t="str">
        <f>Deals_Raw!N463</f>
        <v>Nexus Analytics</v>
      </c>
      <c r="O463" t="str">
        <f>Deals_Raw!O463</f>
        <v>Renewal</v>
      </c>
      <c r="P463">
        <f>Deals_Raw!P463</f>
        <v>0</v>
      </c>
      <c r="Q463">
        <f>Deals_Raw!Q463</f>
        <v>1</v>
      </c>
      <c r="R463">
        <f>Deals_Raw!R463</f>
        <v>25</v>
      </c>
      <c r="S463" t="str">
        <f>Deals_Raw!S463</f>
        <v>K. Nguyen</v>
      </c>
      <c r="T463" s="6">
        <f>Deals_Raw!T463</f>
        <v>46645.68894851298</v>
      </c>
      <c r="U463" s="8">
        <f>Deals_Raw!V463</f>
        <v>0.251</v>
      </c>
      <c r="V463" s="8">
        <f>Deals_Raw!W463</f>
        <v>0.20100000000000001</v>
      </c>
      <c r="W463" s="8">
        <f>Deals_Raw!X463</f>
        <v>-0.125</v>
      </c>
      <c r="X463" t="str">
        <f>Deals_Raw!Y463</f>
        <v>Verified competitor pressure</v>
      </c>
      <c r="Y463" t="str">
        <f>Deals_Raw!Z463</f>
        <v>Business Manager</v>
      </c>
      <c r="Z463" s="6">
        <f>Deals_Raw!AA463</f>
        <v>37292.564698347378</v>
      </c>
      <c r="AA463" s="6">
        <f>Deals_Raw!AC463</f>
        <v>13585.859565722471</v>
      </c>
      <c r="AB463" s="6">
        <f>Deals_Raw!AD463</f>
        <v>23706.705132624906</v>
      </c>
      <c r="AC463" s="8">
        <f>Deals_Raw!AE463</f>
        <v>0.63569522033102399</v>
      </c>
      <c r="AD463" t="str">
        <f>Deals_Raw!AF463</f>
        <v>Won</v>
      </c>
      <c r="AE463" t="str">
        <f>Deals_Raw!AG463</f>
        <v>Yes</v>
      </c>
      <c r="AF463">
        <f>Deals_Raw!AH463</f>
        <v>0</v>
      </c>
      <c r="AG463" t="str">
        <f>Deals_Raw!AI463</f>
        <v>No</v>
      </c>
      <c r="AH463" s="6">
        <f>Deals_Raw!AJ463</f>
        <v>37292.564698347378</v>
      </c>
      <c r="AI463" s="6">
        <f>Deals_Raw!AK463</f>
        <v>23706.705132624906</v>
      </c>
      <c r="AJ463" t="str">
        <f>Deals_Raw!AL463</f>
        <v>Renewal of existing active contract</v>
      </c>
      <c r="AK463" s="9">
        <f t="shared" si="49"/>
        <v>1.75</v>
      </c>
      <c r="AL463" s="8">
        <f t="shared" si="50"/>
        <v>0.79948577326214476</v>
      </c>
      <c r="AM463" s="8">
        <f t="shared" si="51"/>
        <v>4.9999999999999989E-2</v>
      </c>
      <c r="AN463" t="str">
        <f>IF(AC463&lt;Pricing_Policy!$C$10,"Below Floor","Pass")</f>
        <v>Pass</v>
      </c>
      <c r="AO463" t="str">
        <f>IF(V463&gt;Pricing_Policy!$C$7,"Exception","Standard")</f>
        <v>Standard</v>
      </c>
      <c r="AP463" t="str">
        <f t="shared" si="52"/>
        <v>Pass</v>
      </c>
      <c r="AQ463">
        <f t="shared" si="53"/>
        <v>1</v>
      </c>
      <c r="AR463" s="8">
        <f t="shared" si="54"/>
        <v>0.63569522033102399</v>
      </c>
      <c r="AS463">
        <f t="shared" si="55"/>
        <v>2</v>
      </c>
    </row>
    <row r="464" spans="1:45">
      <c r="A464" t="str">
        <f>Deals_Raw!A464</f>
        <v>D00523</v>
      </c>
      <c r="B464">
        <f>Deals_Raw!B464</f>
        <v>45839</v>
      </c>
      <c r="C464" t="str">
        <f>Deals_Raw!C464</f>
        <v>C0129</v>
      </c>
      <c r="D464" t="str">
        <f>Deals_Raw!D464</f>
        <v>PUB-0129</v>
      </c>
      <c r="E464" t="str">
        <f>Deals_Raw!E464</f>
        <v>CT00281</v>
      </c>
      <c r="F464" t="str">
        <f>Deals_Raw!F464</f>
        <v>Corporate</v>
      </c>
      <c r="G464" t="str">
        <f>Deals_Raw!G464</f>
        <v>Public Sector</v>
      </c>
      <c r="H464" t="str">
        <f>Deals_Raw!H464</f>
        <v>West</v>
      </c>
      <c r="I464" t="str">
        <f>Deals_Raw!I464</f>
        <v>West Commercial</v>
      </c>
      <c r="J464" t="str">
        <f>Deals_Raw!J464</f>
        <v>SMB</v>
      </c>
      <c r="K464" t="str">
        <f>Deals_Raw!K464</f>
        <v>No</v>
      </c>
      <c r="L464">
        <f>Deals_Raw!L464</f>
        <v>44835</v>
      </c>
      <c r="M464">
        <f>Deals_Raw!M464</f>
        <v>69</v>
      </c>
      <c r="N464" t="str">
        <f>Deals_Raw!N464</f>
        <v>Nexus Analytics</v>
      </c>
      <c r="O464" t="str">
        <f>Deals_Raw!O464</f>
        <v>Renewal</v>
      </c>
      <c r="P464">
        <f>Deals_Raw!P464</f>
        <v>0</v>
      </c>
      <c r="Q464">
        <f>Deals_Raw!Q464</f>
        <v>1</v>
      </c>
      <c r="R464">
        <f>Deals_Raw!R464</f>
        <v>25</v>
      </c>
      <c r="S464" t="str">
        <f>Deals_Raw!S464</f>
        <v>D. Chen</v>
      </c>
      <c r="T464" s="6">
        <f>Deals_Raw!T464</f>
        <v>49587.220166020088</v>
      </c>
      <c r="U464" s="8">
        <f>Deals_Raw!V464</f>
        <v>0.17499999999999999</v>
      </c>
      <c r="V464" s="8">
        <f>Deals_Raw!W464</f>
        <v>0.128</v>
      </c>
      <c r="W464" s="8">
        <f>Deals_Raw!X464</f>
        <v>-7.1999999999999995E-2</v>
      </c>
      <c r="X464" t="str">
        <f>Deals_Raw!Y464</f>
        <v>Procurement requirement</v>
      </c>
      <c r="Y464" t="str">
        <f>Deals_Raw!Z464</f>
        <v>Pricing Analyst</v>
      </c>
      <c r="Z464" s="6">
        <f>Deals_Raw!AA464</f>
        <v>43248.650828841877</v>
      </c>
      <c r="AA464" s="6">
        <f>Deals_Raw!AC464</f>
        <v>14661.451723127271</v>
      </c>
      <c r="AB464" s="6">
        <f>Deals_Raw!AD464</f>
        <v>28587.199105714608</v>
      </c>
      <c r="AC464" s="8">
        <f>Deals_Raw!AE464</f>
        <v>0.66099632145403786</v>
      </c>
      <c r="AD464" t="str">
        <f>Deals_Raw!AF464</f>
        <v>Won</v>
      </c>
      <c r="AE464" t="str">
        <f>Deals_Raw!AG464</f>
        <v>Yes</v>
      </c>
      <c r="AF464">
        <f>Deals_Raw!AH464</f>
        <v>0</v>
      </c>
      <c r="AG464" t="str">
        <f>Deals_Raw!AI464</f>
        <v>No</v>
      </c>
      <c r="AH464" s="6">
        <f>Deals_Raw!AJ464</f>
        <v>43248.650828841877</v>
      </c>
      <c r="AI464" s="6">
        <f>Deals_Raw!AK464</f>
        <v>28587.199105714608</v>
      </c>
      <c r="AJ464" t="str">
        <f>Deals_Raw!AL464</f>
        <v>Renewal of existing active contract</v>
      </c>
      <c r="AK464" s="9">
        <f t="shared" si="49"/>
        <v>2.75</v>
      </c>
      <c r="AL464" s="8">
        <f t="shared" si="50"/>
        <v>0.87217332780590617</v>
      </c>
      <c r="AM464" s="8">
        <f t="shared" si="51"/>
        <v>4.6999999999999986E-2</v>
      </c>
      <c r="AN464" t="str">
        <f>IF(AC464&lt;Pricing_Policy!$C$10,"Below Floor","Pass")</f>
        <v>Pass</v>
      </c>
      <c r="AO464" t="str">
        <f>IF(V464&gt;Pricing_Policy!$C$7,"Exception","Standard")</f>
        <v>Standard</v>
      </c>
      <c r="AP464" t="str">
        <f t="shared" si="52"/>
        <v>Pass</v>
      </c>
      <c r="AQ464">
        <f t="shared" si="53"/>
        <v>1</v>
      </c>
      <c r="AR464" s="8">
        <f t="shared" si="54"/>
        <v>0.66099632145403786</v>
      </c>
      <c r="AS464">
        <f t="shared" si="55"/>
        <v>2</v>
      </c>
    </row>
    <row r="465" spans="1:45">
      <c r="A465" t="str">
        <f>Deals_Raw!A465</f>
        <v>D00524</v>
      </c>
      <c r="B465">
        <f>Deals_Raw!B465</f>
        <v>45607</v>
      </c>
      <c r="C465" t="str">
        <f>Deals_Raw!C465</f>
        <v>C0130</v>
      </c>
      <c r="D465" t="str">
        <f>Deals_Raw!D465</f>
        <v>HEA-0130</v>
      </c>
      <c r="E465" t="str">
        <f>Deals_Raw!E465</f>
        <v>CT00282</v>
      </c>
      <c r="F465" t="str">
        <f>Deals_Raw!F465</f>
        <v>Technology</v>
      </c>
      <c r="G465" t="str">
        <f>Deals_Raw!G465</f>
        <v>Healthcare</v>
      </c>
      <c r="H465" t="str">
        <f>Deals_Raw!H465</f>
        <v>South</v>
      </c>
      <c r="I465" t="str">
        <f>Deals_Raw!I465</f>
        <v>South Commercial</v>
      </c>
      <c r="J465" t="str">
        <f>Deals_Raw!J465</f>
        <v>Mid-Market</v>
      </c>
      <c r="K465" t="str">
        <f>Deals_Raw!K465</f>
        <v>No</v>
      </c>
      <c r="L465">
        <f>Deals_Raw!L465</f>
        <v>44652</v>
      </c>
      <c r="M465">
        <f>Deals_Raw!M465</f>
        <v>64</v>
      </c>
      <c r="N465" t="str">
        <f>Deals_Raw!N465</f>
        <v>Nexus Insights</v>
      </c>
      <c r="O465" t="str">
        <f>Deals_Raw!O465</f>
        <v>Renewal</v>
      </c>
      <c r="P465">
        <f>Deals_Raw!P465</f>
        <v>0</v>
      </c>
      <c r="Q465">
        <f>Deals_Raw!Q465</f>
        <v>1</v>
      </c>
      <c r="R465">
        <f>Deals_Raw!R465</f>
        <v>96</v>
      </c>
      <c r="S465" t="str">
        <f>Deals_Raw!S465</f>
        <v>R. Singh</v>
      </c>
      <c r="T465" s="6">
        <f>Deals_Raw!T465</f>
        <v>43338.614135184609</v>
      </c>
      <c r="U465" s="8">
        <f>Deals_Raw!V465</f>
        <v>9.9000000000000005E-2</v>
      </c>
      <c r="V465" s="8">
        <f>Deals_Raw!W465</f>
        <v>5.8999999999999997E-2</v>
      </c>
      <c r="W465" s="8">
        <f>Deals_Raw!X465</f>
        <v>-5.0000000000000001E-3</v>
      </c>
      <c r="X465" t="str">
        <f>Deals_Raw!Y465</f>
        <v>Renewal retention risk</v>
      </c>
      <c r="Y465" t="str">
        <f>Deals_Raw!Z465</f>
        <v>Sales Manager</v>
      </c>
      <c r="Z465" s="6">
        <f>Deals_Raw!AA465</f>
        <v>40801.068210343801</v>
      </c>
      <c r="AA465" s="6">
        <f>Deals_Raw!AC465</f>
        <v>11550.766705407461</v>
      </c>
      <c r="AB465" s="6">
        <f>Deals_Raw!AD465</f>
        <v>29250.301504936338</v>
      </c>
      <c r="AC465" s="8">
        <f>Deals_Raw!AE465</f>
        <v>0.71690038491494357</v>
      </c>
      <c r="AD465" t="str">
        <f>Deals_Raw!AF465</f>
        <v>Lost</v>
      </c>
      <c r="AE465" t="str">
        <f>Deals_Raw!AG465</f>
        <v>No</v>
      </c>
      <c r="AF465">
        <f>Deals_Raw!AH465</f>
        <v>0</v>
      </c>
      <c r="AG465" t="str">
        <f>Deals_Raw!AI465</f>
        <v>No</v>
      </c>
      <c r="AH465" s="6">
        <f>Deals_Raw!AJ465</f>
        <v>0</v>
      </c>
      <c r="AI465" s="6">
        <f>Deals_Raw!AK465</f>
        <v>0</v>
      </c>
      <c r="AJ465" t="str">
        <f>Deals_Raw!AL465</f>
        <v>Renewal of existing active contract</v>
      </c>
      <c r="AK465" s="9">
        <f t="shared" si="49"/>
        <v>2.6111111111111112</v>
      </c>
      <c r="AL465" s="8">
        <f t="shared" si="50"/>
        <v>0.94144838326104452</v>
      </c>
      <c r="AM465" s="8">
        <f t="shared" si="51"/>
        <v>4.0000000000000008E-2</v>
      </c>
      <c r="AN465" t="str">
        <f>IF(AC465&lt;Pricing_Policy!$C$10,"Below Floor","Pass")</f>
        <v>Pass</v>
      </c>
      <c r="AO465" t="str">
        <f>IF(V465&gt;Pricing_Policy!$C$7,"Exception","Standard")</f>
        <v>Standard</v>
      </c>
      <c r="AP465" t="str">
        <f t="shared" si="52"/>
        <v>Pass</v>
      </c>
      <c r="AQ465">
        <f t="shared" si="53"/>
        <v>0</v>
      </c>
      <c r="AR465" s="8">
        <f t="shared" si="54"/>
        <v>0</v>
      </c>
      <c r="AS465">
        <f t="shared" si="55"/>
        <v>2</v>
      </c>
    </row>
    <row r="466" spans="1:45">
      <c r="A466" t="str">
        <f>Deals_Raw!A466</f>
        <v>D00525</v>
      </c>
      <c r="B466">
        <f>Deals_Raw!B466</f>
        <v>45740</v>
      </c>
      <c r="C466" t="str">
        <f>Deals_Raw!C466</f>
        <v>C0130</v>
      </c>
      <c r="D466" t="str">
        <f>Deals_Raw!D466</f>
        <v>HEA-0130</v>
      </c>
      <c r="E466" t="str">
        <f>Deals_Raw!E466</f>
        <v>CT00282</v>
      </c>
      <c r="F466" t="str">
        <f>Deals_Raw!F466</f>
        <v>Technology</v>
      </c>
      <c r="G466" t="str">
        <f>Deals_Raw!G466</f>
        <v>Healthcare</v>
      </c>
      <c r="H466" t="str">
        <f>Deals_Raw!H466</f>
        <v>South</v>
      </c>
      <c r="I466" t="str">
        <f>Deals_Raw!I466</f>
        <v>South Commercial</v>
      </c>
      <c r="J466" t="str">
        <f>Deals_Raw!J466</f>
        <v>Mid-Market</v>
      </c>
      <c r="K466" t="str">
        <f>Deals_Raw!K466</f>
        <v>No</v>
      </c>
      <c r="L466">
        <f>Deals_Raw!L466</f>
        <v>44652</v>
      </c>
      <c r="M466">
        <f>Deals_Raw!M466</f>
        <v>64</v>
      </c>
      <c r="N466" t="str">
        <f>Deals_Raw!N466</f>
        <v>Nexus Insights</v>
      </c>
      <c r="O466" t="str">
        <f>Deals_Raw!O466</f>
        <v>Win-back</v>
      </c>
      <c r="P466">
        <f>Deals_Raw!P466</f>
        <v>0</v>
      </c>
      <c r="Q466">
        <f>Deals_Raw!Q466</f>
        <v>1</v>
      </c>
      <c r="R466">
        <f>Deals_Raw!R466</f>
        <v>96</v>
      </c>
      <c r="S466" t="str">
        <f>Deals_Raw!S466</f>
        <v>A. Patel</v>
      </c>
      <c r="T466" s="6">
        <f>Deals_Raw!T466</f>
        <v>43338.614135184609</v>
      </c>
      <c r="U466" s="8">
        <f>Deals_Raw!V466</f>
        <v>0.23400000000000001</v>
      </c>
      <c r="V466" s="8">
        <f>Deals_Raw!W466</f>
        <v>0.222</v>
      </c>
      <c r="W466" s="8">
        <f>Deals_Raw!X466</f>
        <v>-3.3000000000000002E-2</v>
      </c>
      <c r="X466" t="str">
        <f>Deals_Raw!Y466</f>
        <v>Renewal retention risk</v>
      </c>
      <c r="Y466" t="str">
        <f>Deals_Raw!Z466</f>
        <v>Business Manager</v>
      </c>
      <c r="Z466" s="6">
        <f>Deals_Raw!AA466</f>
        <v>33719.65395796048</v>
      </c>
      <c r="AA466" s="6">
        <f>Deals_Raw!AC466</f>
        <v>13059.076617992059</v>
      </c>
      <c r="AB466" s="6">
        <f>Deals_Raw!AD466</f>
        <v>20660.577339968419</v>
      </c>
      <c r="AC466" s="8">
        <f>Deals_Raw!AE466</f>
        <v>0.61271617335476547</v>
      </c>
      <c r="AD466" t="str">
        <f>Deals_Raw!AF466</f>
        <v>Won</v>
      </c>
      <c r="AE466">
        <f>Deals_Raw!AG466</f>
        <v>0</v>
      </c>
      <c r="AF466">
        <f>Deals_Raw!AH466</f>
        <v>0</v>
      </c>
      <c r="AG466" t="str">
        <f>Deals_Raw!AI466</f>
        <v>Yes</v>
      </c>
      <c r="AH466" s="6">
        <f>Deals_Raw!AJ466</f>
        <v>33719.65395796048</v>
      </c>
      <c r="AI466" s="6">
        <f>Deals_Raw!AK466</f>
        <v>20660.577339968419</v>
      </c>
      <c r="AJ466" t="str">
        <f>Deals_Raw!AL466</f>
        <v>Customer returned after lost renewal</v>
      </c>
      <c r="AK466" s="9">
        <f t="shared" si="49"/>
        <v>2.9805555555555556</v>
      </c>
      <c r="AL466" s="8">
        <f t="shared" si="50"/>
        <v>0.77805104364389577</v>
      </c>
      <c r="AM466" s="8">
        <f t="shared" si="51"/>
        <v>1.2000000000000011E-2</v>
      </c>
      <c r="AN466" t="str">
        <f>IF(AC466&lt;Pricing_Policy!$C$10,"Below Floor","Pass")</f>
        <v>Pass</v>
      </c>
      <c r="AO466" t="str">
        <f>IF(V466&gt;Pricing_Policy!$C$7,"Exception","Standard")</f>
        <v>Standard</v>
      </c>
      <c r="AP466" t="str">
        <f t="shared" si="52"/>
        <v>Pass</v>
      </c>
      <c r="AQ466">
        <f t="shared" si="53"/>
        <v>1</v>
      </c>
      <c r="AR466" s="8">
        <f t="shared" si="54"/>
        <v>0.61271617335476547</v>
      </c>
      <c r="AS466">
        <f t="shared" si="55"/>
        <v>2</v>
      </c>
    </row>
    <row r="467" spans="1:45">
      <c r="A467" t="str">
        <f>Deals_Raw!A467</f>
        <v>D00526</v>
      </c>
      <c r="B467">
        <f>Deals_Raw!B467</f>
        <v>45430</v>
      </c>
      <c r="C467" t="str">
        <f>Deals_Raw!C467</f>
        <v>C0130</v>
      </c>
      <c r="D467" t="str">
        <f>Deals_Raw!D467</f>
        <v>HEA-0130</v>
      </c>
      <c r="E467" t="str">
        <f>Deals_Raw!E467</f>
        <v>CT00283</v>
      </c>
      <c r="F467" t="str">
        <f>Deals_Raw!F467</f>
        <v>Legal</v>
      </c>
      <c r="G467" t="str">
        <f>Deals_Raw!G467</f>
        <v>Healthcare</v>
      </c>
      <c r="H467" t="str">
        <f>Deals_Raw!H467</f>
        <v>South</v>
      </c>
      <c r="I467" t="str">
        <f>Deals_Raw!I467</f>
        <v>South Commercial</v>
      </c>
      <c r="J467" t="str">
        <f>Deals_Raw!J467</f>
        <v>Mid-Market</v>
      </c>
      <c r="K467" t="str">
        <f>Deals_Raw!K467</f>
        <v>No</v>
      </c>
      <c r="L467">
        <f>Deals_Raw!L467</f>
        <v>44652</v>
      </c>
      <c r="M467">
        <f>Deals_Raw!M467</f>
        <v>64</v>
      </c>
      <c r="N467" t="str">
        <f>Deals_Raw!N467</f>
        <v>Nexus AI Assistant</v>
      </c>
      <c r="O467" t="str">
        <f>Deals_Raw!O467</f>
        <v>Renewal</v>
      </c>
      <c r="P467">
        <f>Deals_Raw!P467</f>
        <v>0</v>
      </c>
      <c r="Q467">
        <f>Deals_Raw!Q467</f>
        <v>2</v>
      </c>
      <c r="R467">
        <f>Deals_Raw!R467</f>
        <v>139</v>
      </c>
      <c r="S467" t="str">
        <f>Deals_Raw!S467</f>
        <v>M. Johnson</v>
      </c>
      <c r="T467" s="6">
        <f>Deals_Raw!T467</f>
        <v>58833.776718427369</v>
      </c>
      <c r="U467" s="8">
        <f>Deals_Raw!V467</f>
        <v>0.23699999999999999</v>
      </c>
      <c r="V467" s="8">
        <f>Deals_Raw!W467</f>
        <v>0.221</v>
      </c>
      <c r="W467" s="8">
        <f>Deals_Raw!X467</f>
        <v>-3.2000000000000001E-2</v>
      </c>
      <c r="X467" t="str">
        <f>Deals_Raw!Y467</f>
        <v>Renewal retention risk</v>
      </c>
      <c r="Y467" t="str">
        <f>Deals_Raw!Z467</f>
        <v>Business Manager</v>
      </c>
      <c r="Z467" s="6">
        <f>Deals_Raw!AA467</f>
        <v>45837.226034433457</v>
      </c>
      <c r="AA467" s="6">
        <f>Deals_Raw!AC467</f>
        <v>22712.00310586128</v>
      </c>
      <c r="AB467" s="6">
        <f>Deals_Raw!AD467</f>
        <v>23125.222928572177</v>
      </c>
      <c r="AC467" s="8">
        <f>Deals_Raw!AE467</f>
        <v>0.50450746978449879</v>
      </c>
      <c r="AD467" t="str">
        <f>Deals_Raw!AF467</f>
        <v>Won</v>
      </c>
      <c r="AE467" t="str">
        <f>Deals_Raw!AG467</f>
        <v>Yes</v>
      </c>
      <c r="AF467">
        <f>Deals_Raw!AH467</f>
        <v>0</v>
      </c>
      <c r="AG467" t="str">
        <f>Deals_Raw!AI467</f>
        <v>No</v>
      </c>
      <c r="AH467" s="6">
        <f>Deals_Raw!AJ467</f>
        <v>45837.226034433457</v>
      </c>
      <c r="AI467" s="6">
        <f>Deals_Raw!AK467</f>
        <v>23125.222928572177</v>
      </c>
      <c r="AJ467" t="str">
        <f>Deals_Raw!AL467</f>
        <v>Renewal of existing active contract</v>
      </c>
      <c r="AK467" s="9">
        <f t="shared" si="49"/>
        <v>2.1305555555555555</v>
      </c>
      <c r="AL467" s="8">
        <f t="shared" si="50"/>
        <v>0.77909712058442016</v>
      </c>
      <c r="AM467" s="8">
        <f t="shared" si="51"/>
        <v>1.5999999999999986E-2</v>
      </c>
      <c r="AN467" t="str">
        <f>IF(AC467&lt;Pricing_Policy!$C$10,"Below Floor","Pass")</f>
        <v>Pass</v>
      </c>
      <c r="AO467" t="str">
        <f>IF(V467&gt;Pricing_Policy!$C$7,"Exception","Standard")</f>
        <v>Standard</v>
      </c>
      <c r="AP467" t="str">
        <f t="shared" si="52"/>
        <v>Pass</v>
      </c>
      <c r="AQ467">
        <f t="shared" si="53"/>
        <v>1</v>
      </c>
      <c r="AR467" s="8">
        <f t="shared" si="54"/>
        <v>0.50450746978449879</v>
      </c>
      <c r="AS467">
        <f t="shared" si="55"/>
        <v>1</v>
      </c>
    </row>
    <row r="468" spans="1:45">
      <c r="A468" t="str">
        <f>Deals_Raw!A468</f>
        <v>D00529</v>
      </c>
      <c r="B468">
        <f>Deals_Raw!B468</f>
        <v>45506</v>
      </c>
      <c r="C468" t="str">
        <f>Deals_Raw!C468</f>
        <v>C0131</v>
      </c>
      <c r="D468" t="str">
        <f>Deals_Raw!D468</f>
        <v>PUB-0131</v>
      </c>
      <c r="E468" t="str">
        <f>Deals_Raw!E468</f>
        <v>CT00284</v>
      </c>
      <c r="F468" t="str">
        <f>Deals_Raw!F468</f>
        <v>Finance</v>
      </c>
      <c r="G468" t="str">
        <f>Deals_Raw!G468</f>
        <v>Public Sector</v>
      </c>
      <c r="H468" t="str">
        <f>Deals_Raw!H468</f>
        <v>South</v>
      </c>
      <c r="I468" t="str">
        <f>Deals_Raw!I468</f>
        <v>South Commercial</v>
      </c>
      <c r="J468" t="str">
        <f>Deals_Raw!J468</f>
        <v>Mid-Market</v>
      </c>
      <c r="K468" t="str">
        <f>Deals_Raw!K468</f>
        <v>Yes</v>
      </c>
      <c r="L468">
        <f>Deals_Raw!L468</f>
        <v>43678</v>
      </c>
      <c r="M468">
        <f>Deals_Raw!M468</f>
        <v>96</v>
      </c>
      <c r="N468" t="str">
        <f>Deals_Raw!N468</f>
        <v>Nexus Enterprise Suite</v>
      </c>
      <c r="O468" t="str">
        <f>Deals_Raw!O468</f>
        <v>Renewal</v>
      </c>
      <c r="P468">
        <f>Deals_Raw!P468</f>
        <v>0</v>
      </c>
      <c r="Q468">
        <f>Deals_Raw!Q468</f>
        <v>1</v>
      </c>
      <c r="R468">
        <f>Deals_Raw!R468</f>
        <v>229</v>
      </c>
      <c r="S468" t="str">
        <f>Deals_Raw!S468</f>
        <v>D. Chen</v>
      </c>
      <c r="T468" s="6">
        <f>Deals_Raw!T468</f>
        <v>306233.03802248789</v>
      </c>
      <c r="U468" s="8">
        <f>Deals_Raw!V468</f>
        <v>9.7000000000000003E-2</v>
      </c>
      <c r="V468" s="8">
        <f>Deals_Raw!W468</f>
        <v>5.7000000000000002E-2</v>
      </c>
      <c r="W468" s="8">
        <f>Deals_Raw!X468</f>
        <v>-7.9000000000000001E-2</v>
      </c>
      <c r="X468" t="str">
        <f>Deals_Raw!Y468</f>
        <v>Multi-year commitment</v>
      </c>
      <c r="Y468" t="str">
        <f>Deals_Raw!Z468</f>
        <v>Sales Manager</v>
      </c>
      <c r="Z468" s="6">
        <f>Deals_Raw!AA468</f>
        <v>288787.97701353754</v>
      </c>
      <c r="AA468" s="6">
        <f>Deals_Raw!AC468</f>
        <v>112950.54003842539</v>
      </c>
      <c r="AB468" s="6">
        <f>Deals_Raw!AD468</f>
        <v>175837.43697511216</v>
      </c>
      <c r="AC468" s="8">
        <f>Deals_Raw!AE468</f>
        <v>0.60888073940442955</v>
      </c>
      <c r="AD468" t="str">
        <f>Deals_Raw!AF468</f>
        <v>Won</v>
      </c>
      <c r="AE468" t="str">
        <f>Deals_Raw!AG468</f>
        <v>Yes</v>
      </c>
      <c r="AF468">
        <f>Deals_Raw!AH468</f>
        <v>0</v>
      </c>
      <c r="AG468" t="str">
        <f>Deals_Raw!AI468</f>
        <v>No</v>
      </c>
      <c r="AH468" s="6">
        <f>Deals_Raw!AJ468</f>
        <v>288787.97701353754</v>
      </c>
      <c r="AI468" s="6">
        <f>Deals_Raw!AK468</f>
        <v>175837.43697511216</v>
      </c>
      <c r="AJ468" t="str">
        <f>Deals_Raw!AL468</f>
        <v>Renewal of existing active contract</v>
      </c>
      <c r="AK468" s="9">
        <f t="shared" si="49"/>
        <v>5.0027777777777782</v>
      </c>
      <c r="AL468" s="8">
        <f t="shared" si="50"/>
        <v>0.94303338032498873</v>
      </c>
      <c r="AM468" s="8">
        <f t="shared" si="51"/>
        <v>0.04</v>
      </c>
      <c r="AN468" t="str">
        <f>IF(AC468&lt;Pricing_Policy!$C$10,"Below Floor","Pass")</f>
        <v>Pass</v>
      </c>
      <c r="AO468" t="str">
        <f>IF(V468&gt;Pricing_Policy!$C$7,"Exception","Standard")</f>
        <v>Standard</v>
      </c>
      <c r="AP468" t="str">
        <f t="shared" si="52"/>
        <v>Pass</v>
      </c>
      <c r="AQ468">
        <f t="shared" si="53"/>
        <v>1</v>
      </c>
      <c r="AR468" s="8">
        <f t="shared" si="54"/>
        <v>0.60888073940442955</v>
      </c>
      <c r="AS468">
        <f t="shared" si="55"/>
        <v>2</v>
      </c>
    </row>
    <row r="469" spans="1:45">
      <c r="A469" t="str">
        <f>Deals_Raw!A469</f>
        <v>D00530</v>
      </c>
      <c r="B469">
        <f>Deals_Raw!B469</f>
        <v>45871</v>
      </c>
      <c r="C469" t="str">
        <f>Deals_Raw!C469</f>
        <v>C0131</v>
      </c>
      <c r="D469" t="str">
        <f>Deals_Raw!D469</f>
        <v>PUB-0131</v>
      </c>
      <c r="E469" t="str">
        <f>Deals_Raw!E469</f>
        <v>CT00284</v>
      </c>
      <c r="F469" t="str">
        <f>Deals_Raw!F469</f>
        <v>Finance</v>
      </c>
      <c r="G469" t="str">
        <f>Deals_Raw!G469</f>
        <v>Public Sector</v>
      </c>
      <c r="H469" t="str">
        <f>Deals_Raw!H469</f>
        <v>South</v>
      </c>
      <c r="I469" t="str">
        <f>Deals_Raw!I469</f>
        <v>South Commercial</v>
      </c>
      <c r="J469" t="str">
        <f>Deals_Raw!J469</f>
        <v>Mid-Market</v>
      </c>
      <c r="K469" t="str">
        <f>Deals_Raw!K469</f>
        <v>Yes</v>
      </c>
      <c r="L469">
        <f>Deals_Raw!L469</f>
        <v>43678</v>
      </c>
      <c r="M469">
        <f>Deals_Raw!M469</f>
        <v>96</v>
      </c>
      <c r="N469" t="str">
        <f>Deals_Raw!N469</f>
        <v>Nexus Enterprise Suite</v>
      </c>
      <c r="O469" t="str">
        <f>Deals_Raw!O469</f>
        <v>Renewal</v>
      </c>
      <c r="P469">
        <f>Deals_Raw!P469</f>
        <v>0</v>
      </c>
      <c r="Q469">
        <f>Deals_Raw!Q469</f>
        <v>1</v>
      </c>
      <c r="R469">
        <f>Deals_Raw!R469</f>
        <v>229</v>
      </c>
      <c r="S469" t="str">
        <f>Deals_Raw!S469</f>
        <v>D. Chen</v>
      </c>
      <c r="T469" s="6">
        <f>Deals_Raw!T469</f>
        <v>322084.8124925078</v>
      </c>
      <c r="U469" s="8">
        <f>Deals_Raw!V469</f>
        <v>0.13900000000000001</v>
      </c>
      <c r="V469" s="8">
        <f>Deals_Raw!W469</f>
        <v>0.13500000000000001</v>
      </c>
      <c r="W469" s="8">
        <f>Deals_Raw!X469</f>
        <v>8.2000000000000003E-2</v>
      </c>
      <c r="X469" t="str">
        <f>Deals_Raw!Y469</f>
        <v>Renewal retention risk</v>
      </c>
      <c r="Y469" t="str">
        <f>Deals_Raw!Z469</f>
        <v>Pricing Analyst</v>
      </c>
      <c r="Z469" s="6">
        <f>Deals_Raw!AA469</f>
        <v>278532.16585381067</v>
      </c>
      <c r="AA469" s="6">
        <f>Deals_Raw!AC469</f>
        <v>112977.58146259413</v>
      </c>
      <c r="AB469" s="6">
        <f>Deals_Raw!AD469</f>
        <v>165554.58439121654</v>
      </c>
      <c r="AC469" s="8">
        <f>Deals_Raw!AE469</f>
        <v>0.59438228214585775</v>
      </c>
      <c r="AD469" t="str">
        <f>Deals_Raw!AF469</f>
        <v>Won</v>
      </c>
      <c r="AE469" t="str">
        <f>Deals_Raw!AG469</f>
        <v>Yes</v>
      </c>
      <c r="AF469">
        <f>Deals_Raw!AH469</f>
        <v>0</v>
      </c>
      <c r="AG469" t="str">
        <f>Deals_Raw!AI469</f>
        <v>No</v>
      </c>
      <c r="AH469" s="6">
        <f>Deals_Raw!AJ469</f>
        <v>278532.16585381067</v>
      </c>
      <c r="AI469" s="6">
        <f>Deals_Raw!AK469</f>
        <v>165554.58439121654</v>
      </c>
      <c r="AJ469" t="str">
        <f>Deals_Raw!AL469</f>
        <v>Renewal of existing active contract</v>
      </c>
      <c r="AK469" s="9">
        <f t="shared" si="49"/>
        <v>6.0027777777777782</v>
      </c>
      <c r="AL469" s="8">
        <f t="shared" si="50"/>
        <v>0.86477894967583968</v>
      </c>
      <c r="AM469" s="8">
        <f t="shared" si="51"/>
        <v>4.0000000000000036E-3</v>
      </c>
      <c r="AN469" t="str">
        <f>IF(AC469&lt;Pricing_Policy!$C$10,"Below Floor","Pass")</f>
        <v>Pass</v>
      </c>
      <c r="AO469" t="str">
        <f>IF(V469&gt;Pricing_Policy!$C$7,"Exception","Standard")</f>
        <v>Standard</v>
      </c>
      <c r="AP469" t="str">
        <f t="shared" si="52"/>
        <v>Pass</v>
      </c>
      <c r="AQ469">
        <f t="shared" si="53"/>
        <v>1</v>
      </c>
      <c r="AR469" s="8">
        <f t="shared" si="54"/>
        <v>0.59438228214585775</v>
      </c>
      <c r="AS469">
        <f t="shared" si="55"/>
        <v>2</v>
      </c>
    </row>
    <row r="470" spans="1:45">
      <c r="A470" t="str">
        <f>Deals_Raw!A470</f>
        <v>D00531</v>
      </c>
      <c r="B470">
        <f>Deals_Raw!B470</f>
        <v>45414</v>
      </c>
      <c r="C470" t="str">
        <f>Deals_Raw!C470</f>
        <v>C0131</v>
      </c>
      <c r="D470" t="str">
        <f>Deals_Raw!D470</f>
        <v>PUB-0131</v>
      </c>
      <c r="E470" t="str">
        <f>Deals_Raw!E470</f>
        <v>CT00285</v>
      </c>
      <c r="F470" t="str">
        <f>Deals_Raw!F470</f>
        <v>Technology</v>
      </c>
      <c r="G470" t="str">
        <f>Deals_Raw!G470</f>
        <v>Public Sector</v>
      </c>
      <c r="H470" t="str">
        <f>Deals_Raw!H470</f>
        <v>South</v>
      </c>
      <c r="I470" t="str">
        <f>Deals_Raw!I470</f>
        <v>South Commercial</v>
      </c>
      <c r="J470" t="str">
        <f>Deals_Raw!J470</f>
        <v>Mid-Market</v>
      </c>
      <c r="K470" t="str">
        <f>Deals_Raw!K470</f>
        <v>Yes</v>
      </c>
      <c r="L470">
        <f>Deals_Raw!L470</f>
        <v>43678</v>
      </c>
      <c r="M470">
        <f>Deals_Raw!M470</f>
        <v>96</v>
      </c>
      <c r="N470" t="str">
        <f>Deals_Raw!N470</f>
        <v>Nexus Compliance</v>
      </c>
      <c r="O470" t="str">
        <f>Deals_Raw!O470</f>
        <v>New Business</v>
      </c>
      <c r="P470">
        <f>Deals_Raw!P470</f>
        <v>0</v>
      </c>
      <c r="Q470">
        <f>Deals_Raw!Q470</f>
        <v>1</v>
      </c>
      <c r="R470">
        <f>Deals_Raw!R470</f>
        <v>191</v>
      </c>
      <c r="S470" t="str">
        <f>Deals_Raw!S470</f>
        <v>T. Brooks</v>
      </c>
      <c r="T470" s="6">
        <f>Deals_Raw!T470</f>
        <v>131797.44452409615</v>
      </c>
      <c r="U470" s="8">
        <f>Deals_Raw!V470</f>
        <v>0.222</v>
      </c>
      <c r="V470" s="8">
        <f>Deals_Raw!W470</f>
        <v>0.19600000000000001</v>
      </c>
      <c r="W470" s="8">
        <f>Deals_Raw!X470</f>
        <v>-7.4999999999999997E-2</v>
      </c>
      <c r="X470" t="str">
        <f>Deals_Raw!Y470</f>
        <v>Strategic logo opportunity</v>
      </c>
      <c r="Y470" t="str">
        <f>Deals_Raw!Z470</f>
        <v>Pricing Analyst</v>
      </c>
      <c r="Z470" s="6">
        <f>Deals_Raw!AA470</f>
        <v>105922.32732301914</v>
      </c>
      <c r="AA470" s="6">
        <f>Deals_Raw!AC470</f>
        <v>49035.321666608121</v>
      </c>
      <c r="AB470" s="6">
        <f>Deals_Raw!AD470</f>
        <v>56887.00565641102</v>
      </c>
      <c r="AC470" s="8">
        <f>Deals_Raw!AE470</f>
        <v>0.53706340385563145</v>
      </c>
      <c r="AD470" t="str">
        <f>Deals_Raw!AF470</f>
        <v>Lost</v>
      </c>
      <c r="AE470">
        <f>Deals_Raw!AG470</f>
        <v>0</v>
      </c>
      <c r="AF470">
        <f>Deals_Raw!AH470</f>
        <v>0</v>
      </c>
      <c r="AG470" t="str">
        <f>Deals_Raw!AI470</f>
        <v>No</v>
      </c>
      <c r="AH470" s="6">
        <f>Deals_Raw!AJ470</f>
        <v>0</v>
      </c>
      <c r="AI470" s="6">
        <f>Deals_Raw!AK470</f>
        <v>0</v>
      </c>
      <c r="AJ470" t="str">
        <f>Deals_Raw!AL470</f>
        <v>First purchase under this contract</v>
      </c>
      <c r="AK470" s="9">
        <f t="shared" si="49"/>
        <v>4.7527777777777782</v>
      </c>
      <c r="AL470" s="8">
        <f t="shared" si="50"/>
        <v>0.80367512212009284</v>
      </c>
      <c r="AM470" s="8">
        <f t="shared" si="51"/>
        <v>2.5999999999999995E-2</v>
      </c>
      <c r="AN470" t="str">
        <f>IF(AC470&lt;Pricing_Policy!$C$10,"Below Floor","Pass")</f>
        <v>Pass</v>
      </c>
      <c r="AO470" t="str">
        <f>IF(V470&gt;Pricing_Policy!$C$7,"Exception","Standard")</f>
        <v>Standard</v>
      </c>
      <c r="AP470" t="str">
        <f t="shared" si="52"/>
        <v>Pass</v>
      </c>
      <c r="AQ470">
        <f t="shared" si="53"/>
        <v>0</v>
      </c>
      <c r="AR470" s="8">
        <f t="shared" si="54"/>
        <v>0</v>
      </c>
      <c r="AS470">
        <f t="shared" si="55"/>
        <v>1</v>
      </c>
    </row>
    <row r="471" spans="1:45">
      <c r="A471" t="str">
        <f>Deals_Raw!A471</f>
        <v>D00532</v>
      </c>
      <c r="B471">
        <f>Deals_Raw!B471</f>
        <v>45541</v>
      </c>
      <c r="C471" t="str">
        <f>Deals_Raw!C471</f>
        <v>C0132</v>
      </c>
      <c r="D471" t="str">
        <f>Deals_Raw!D471</f>
        <v>LEG-0132</v>
      </c>
      <c r="E471" t="str">
        <f>Deals_Raw!E471</f>
        <v>CT00287</v>
      </c>
      <c r="F471" t="str">
        <f>Deals_Raw!F471</f>
        <v>Operations</v>
      </c>
      <c r="G471" t="str">
        <f>Deals_Raw!G471</f>
        <v>Legal</v>
      </c>
      <c r="H471" t="str">
        <f>Deals_Raw!H471</f>
        <v>Midwest</v>
      </c>
      <c r="I471" t="str">
        <f>Deals_Raw!I471</f>
        <v>Midwest Commercial</v>
      </c>
      <c r="J471" t="str">
        <f>Deals_Raw!J471</f>
        <v>SMB</v>
      </c>
      <c r="K471" t="str">
        <f>Deals_Raw!K471</f>
        <v>No</v>
      </c>
      <c r="L471">
        <f>Deals_Raw!L471</f>
        <v>45047</v>
      </c>
      <c r="M471">
        <f>Deals_Raw!M471</f>
        <v>56</v>
      </c>
      <c r="N471" t="str">
        <f>Deals_Raw!N471</f>
        <v>Nexus Enterprise Suite</v>
      </c>
      <c r="O471" t="str">
        <f>Deals_Raw!O471</f>
        <v>Renewal</v>
      </c>
      <c r="P471">
        <f>Deals_Raw!P471</f>
        <v>0</v>
      </c>
      <c r="Q471">
        <f>Deals_Raw!Q471</f>
        <v>1</v>
      </c>
      <c r="R471">
        <f>Deals_Raw!R471</f>
        <v>17</v>
      </c>
      <c r="S471" t="str">
        <f>Deals_Raw!S471</f>
        <v>A. Patel</v>
      </c>
      <c r="T471" s="6">
        <f>Deals_Raw!T471</f>
        <v>185946.33763305628</v>
      </c>
      <c r="U471" s="8">
        <f>Deals_Raw!V471</f>
        <v>7.5999999999999998E-2</v>
      </c>
      <c r="V471" s="8">
        <f>Deals_Raw!W471</f>
        <v>5.0999999999999997E-2</v>
      </c>
      <c r="W471" s="8">
        <f>Deals_Raw!X471</f>
        <v>2E-3</v>
      </c>
      <c r="X471" t="str">
        <f>Deals_Raw!Y471</f>
        <v>Renewal retention risk</v>
      </c>
      <c r="Y471" t="str">
        <f>Deals_Raw!Z471</f>
        <v>Sales Manager</v>
      </c>
      <c r="Z471" s="6">
        <f>Deals_Raw!AA471</f>
        <v>176506.98605520435</v>
      </c>
      <c r="AA471" s="6">
        <f>Deals_Raw!AC471</f>
        <v>72888.735577581203</v>
      </c>
      <c r="AB471" s="6">
        <f>Deals_Raw!AD471</f>
        <v>103618.25047762315</v>
      </c>
      <c r="AC471" s="8">
        <f>Deals_Raw!AE471</f>
        <v>0.58704900465081589</v>
      </c>
      <c r="AD471" t="str">
        <f>Deals_Raw!AF471</f>
        <v>Won</v>
      </c>
      <c r="AE471" t="str">
        <f>Deals_Raw!AG471</f>
        <v>Yes</v>
      </c>
      <c r="AF471">
        <f>Deals_Raw!AH471</f>
        <v>0</v>
      </c>
      <c r="AG471" t="str">
        <f>Deals_Raw!AI471</f>
        <v>No</v>
      </c>
      <c r="AH471" s="6">
        <f>Deals_Raw!AJ471</f>
        <v>176506.98605520435</v>
      </c>
      <c r="AI471" s="6">
        <f>Deals_Raw!AK471</f>
        <v>103618.25047762315</v>
      </c>
      <c r="AJ471" t="str">
        <f>Deals_Raw!AL471</f>
        <v>Renewal of existing active contract</v>
      </c>
      <c r="AK471" s="9">
        <f t="shared" si="49"/>
        <v>1.3472222222222223</v>
      </c>
      <c r="AL471" s="8">
        <f t="shared" si="50"/>
        <v>0.94923615222538349</v>
      </c>
      <c r="AM471" s="8">
        <f t="shared" si="51"/>
        <v>2.5000000000000001E-2</v>
      </c>
      <c r="AN471" t="str">
        <f>IF(AC471&lt;Pricing_Policy!$C$10,"Below Floor","Pass")</f>
        <v>Pass</v>
      </c>
      <c r="AO471" t="str">
        <f>IF(V471&gt;Pricing_Policy!$C$7,"Exception","Standard")</f>
        <v>Standard</v>
      </c>
      <c r="AP471" t="str">
        <f t="shared" si="52"/>
        <v>Pass</v>
      </c>
      <c r="AQ471">
        <f t="shared" si="53"/>
        <v>1</v>
      </c>
      <c r="AR471" s="8">
        <f t="shared" si="54"/>
        <v>0.58704900465081589</v>
      </c>
      <c r="AS471">
        <f t="shared" si="55"/>
        <v>4</v>
      </c>
    </row>
    <row r="472" spans="1:45">
      <c r="A472" t="str">
        <f>Deals_Raw!A472</f>
        <v>D00533</v>
      </c>
      <c r="B472">
        <f>Deals_Raw!B472</f>
        <v>45906</v>
      </c>
      <c r="C472" t="str">
        <f>Deals_Raw!C472</f>
        <v>C0132</v>
      </c>
      <c r="D472" t="str">
        <f>Deals_Raw!D472</f>
        <v>LEG-0132</v>
      </c>
      <c r="E472" t="str">
        <f>Deals_Raw!E472</f>
        <v>CT00287</v>
      </c>
      <c r="F472" t="str">
        <f>Deals_Raw!F472</f>
        <v>Operations</v>
      </c>
      <c r="G472" t="str">
        <f>Deals_Raw!G472</f>
        <v>Legal</v>
      </c>
      <c r="H472" t="str">
        <f>Deals_Raw!H472</f>
        <v>Midwest</v>
      </c>
      <c r="I472" t="str">
        <f>Deals_Raw!I472</f>
        <v>Midwest Commercial</v>
      </c>
      <c r="J472" t="str">
        <f>Deals_Raw!J472</f>
        <v>SMB</v>
      </c>
      <c r="K472" t="str">
        <f>Deals_Raw!K472</f>
        <v>No</v>
      </c>
      <c r="L472">
        <f>Deals_Raw!L472</f>
        <v>45047</v>
      </c>
      <c r="M472">
        <f>Deals_Raw!M472</f>
        <v>56</v>
      </c>
      <c r="N472" t="str">
        <f>Deals_Raw!N472</f>
        <v>Nexus Enterprise Suite</v>
      </c>
      <c r="O472" t="str">
        <f>Deals_Raw!O472</f>
        <v>Renewal</v>
      </c>
      <c r="P472">
        <f>Deals_Raw!P472</f>
        <v>0</v>
      </c>
      <c r="Q472">
        <f>Deals_Raw!Q472</f>
        <v>1</v>
      </c>
      <c r="R472">
        <f>Deals_Raw!R472</f>
        <v>17</v>
      </c>
      <c r="S472" t="str">
        <f>Deals_Raw!S472</f>
        <v>T. Brooks</v>
      </c>
      <c r="T472" s="6">
        <f>Deals_Raw!T472</f>
        <v>194704.25423488356</v>
      </c>
      <c r="U472" s="8">
        <f>Deals_Raw!V472</f>
        <v>0.215</v>
      </c>
      <c r="V472" s="8">
        <f>Deals_Raw!W472</f>
        <v>0.182</v>
      </c>
      <c r="W472" s="8">
        <f>Deals_Raw!X472</f>
        <v>1.7999999999999999E-2</v>
      </c>
      <c r="X472" t="str">
        <f>Deals_Raw!Y472</f>
        <v>Renewal retention risk</v>
      </c>
      <c r="Y472" t="str">
        <f>Deals_Raw!Z472</f>
        <v>Pricing Analyst</v>
      </c>
      <c r="Z472" s="6">
        <f>Deals_Raw!AA472</f>
        <v>159194.21229545388</v>
      </c>
      <c r="AA472" s="6">
        <f>Deals_Raw!AC472</f>
        <v>71731.221698558249</v>
      </c>
      <c r="AB472" s="6">
        <f>Deals_Raw!AD472</f>
        <v>87462.99059689563</v>
      </c>
      <c r="AC472" s="8">
        <f>Deals_Raw!AE472</f>
        <v>0.54941061823635984</v>
      </c>
      <c r="AD472" t="str">
        <f>Deals_Raw!AF472</f>
        <v>Won</v>
      </c>
      <c r="AE472" t="str">
        <f>Deals_Raw!AG472</f>
        <v>Yes</v>
      </c>
      <c r="AF472">
        <f>Deals_Raw!AH472</f>
        <v>0</v>
      </c>
      <c r="AG472" t="str">
        <f>Deals_Raw!AI472</f>
        <v>No</v>
      </c>
      <c r="AH472" s="6">
        <f>Deals_Raw!AJ472</f>
        <v>159194.21229545388</v>
      </c>
      <c r="AI472" s="6">
        <f>Deals_Raw!AK472</f>
        <v>87462.99059689563</v>
      </c>
      <c r="AJ472" t="str">
        <f>Deals_Raw!AL472</f>
        <v>Renewal of existing active contract</v>
      </c>
      <c r="AK472" s="9">
        <f t="shared" si="49"/>
        <v>2.3472222222222223</v>
      </c>
      <c r="AL472" s="8">
        <f t="shared" si="50"/>
        <v>0.8176206160519135</v>
      </c>
      <c r="AM472" s="8">
        <f t="shared" si="51"/>
        <v>3.3000000000000002E-2</v>
      </c>
      <c r="AN472" t="str">
        <f>IF(AC472&lt;Pricing_Policy!$C$10,"Below Floor","Pass")</f>
        <v>Pass</v>
      </c>
      <c r="AO472" t="str">
        <f>IF(V472&gt;Pricing_Policy!$C$7,"Exception","Standard")</f>
        <v>Standard</v>
      </c>
      <c r="AP472" t="str">
        <f t="shared" si="52"/>
        <v>Pass</v>
      </c>
      <c r="AQ472">
        <f t="shared" si="53"/>
        <v>1</v>
      </c>
      <c r="AR472" s="8">
        <f t="shared" si="54"/>
        <v>0.54941061823635984</v>
      </c>
      <c r="AS472">
        <f t="shared" si="55"/>
        <v>4</v>
      </c>
    </row>
    <row r="473" spans="1:45">
      <c r="A473" t="str">
        <f>Deals_Raw!A473</f>
        <v>D00534</v>
      </c>
      <c r="B473">
        <f>Deals_Raw!B473</f>
        <v>45362</v>
      </c>
      <c r="C473" t="str">
        <f>Deals_Raw!C473</f>
        <v>C0132</v>
      </c>
      <c r="D473" t="str">
        <f>Deals_Raw!D473</f>
        <v>LEG-0132</v>
      </c>
      <c r="E473" t="str">
        <f>Deals_Raw!E473</f>
        <v>CT00288</v>
      </c>
      <c r="F473" t="str">
        <f>Deals_Raw!F473</f>
        <v>Sales</v>
      </c>
      <c r="G473" t="str">
        <f>Deals_Raw!G473</f>
        <v>Legal</v>
      </c>
      <c r="H473" t="str">
        <f>Deals_Raw!H473</f>
        <v>Midwest</v>
      </c>
      <c r="I473" t="str">
        <f>Deals_Raw!I473</f>
        <v>Midwest Commercial</v>
      </c>
      <c r="J473" t="str">
        <f>Deals_Raw!J473</f>
        <v>SMB</v>
      </c>
      <c r="K473" t="str">
        <f>Deals_Raw!K473</f>
        <v>No</v>
      </c>
      <c r="L473">
        <f>Deals_Raw!L473</f>
        <v>45047</v>
      </c>
      <c r="M473">
        <f>Deals_Raw!M473</f>
        <v>56</v>
      </c>
      <c r="N473" t="str">
        <f>Deals_Raw!N473</f>
        <v>Nexus Insights</v>
      </c>
      <c r="O473" t="str">
        <f>Deals_Raw!O473</f>
        <v>New Business</v>
      </c>
      <c r="P473">
        <f>Deals_Raw!P473</f>
        <v>0</v>
      </c>
      <c r="Q473">
        <f>Deals_Raw!Q473</f>
        <v>3</v>
      </c>
      <c r="R473">
        <f>Deals_Raw!R473</f>
        <v>62</v>
      </c>
      <c r="S473" t="str">
        <f>Deals_Raw!S473</f>
        <v>T. Brooks</v>
      </c>
      <c r="T473" s="6">
        <f>Deals_Raw!T473</f>
        <v>25531.867551150262</v>
      </c>
      <c r="U473" s="8">
        <f>Deals_Raw!V473</f>
        <v>0.111</v>
      </c>
      <c r="V473" s="8">
        <f>Deals_Raw!W473</f>
        <v>5.1999999999999998E-2</v>
      </c>
      <c r="W473" s="8">
        <f>Deals_Raw!X473</f>
        <v>-8.7999999999999995E-2</v>
      </c>
      <c r="X473" t="str">
        <f>Deals_Raw!Y473</f>
        <v>Renewal retention risk</v>
      </c>
      <c r="Y473" t="str">
        <f>Deals_Raw!Z473</f>
        <v>Sales Manager</v>
      </c>
      <c r="Z473" s="6">
        <f>Deals_Raw!AA473</f>
        <v>24206.471277754808</v>
      </c>
      <c r="AA473" s="6">
        <f>Deals_Raw!AC473</f>
        <v>7815.5841631929288</v>
      </c>
      <c r="AB473" s="6">
        <f>Deals_Raw!AD473</f>
        <v>16390.88711456188</v>
      </c>
      <c r="AC473" s="8">
        <f>Deals_Raw!AE473</f>
        <v>0.67712831525447204</v>
      </c>
      <c r="AD473" t="str">
        <f>Deals_Raw!AF473</f>
        <v>Lost</v>
      </c>
      <c r="AE473">
        <f>Deals_Raw!AG473</f>
        <v>0</v>
      </c>
      <c r="AF473">
        <f>Deals_Raw!AH473</f>
        <v>0</v>
      </c>
      <c r="AG473" t="str">
        <f>Deals_Raw!AI473</f>
        <v>No</v>
      </c>
      <c r="AH473" s="6">
        <f>Deals_Raw!AJ473</f>
        <v>0</v>
      </c>
      <c r="AI473" s="6">
        <f>Deals_Raw!AK473</f>
        <v>0</v>
      </c>
      <c r="AJ473" t="str">
        <f>Deals_Raw!AL473</f>
        <v>First purchase under this contract</v>
      </c>
      <c r="AK473" s="9">
        <f t="shared" si="49"/>
        <v>0.86111111111111116</v>
      </c>
      <c r="AL473" s="8">
        <f t="shared" si="50"/>
        <v>0.94808854970204703</v>
      </c>
      <c r="AM473" s="8">
        <f t="shared" si="51"/>
        <v>5.9000000000000004E-2</v>
      </c>
      <c r="AN473" t="str">
        <f>IF(AC473&lt;Pricing_Policy!$C$10,"Below Floor","Pass")</f>
        <v>Pass</v>
      </c>
      <c r="AO473" t="str">
        <f>IF(V473&gt;Pricing_Policy!$C$7,"Exception","Standard")</f>
        <v>Standard</v>
      </c>
      <c r="AP473" t="str">
        <f t="shared" si="52"/>
        <v>Pass</v>
      </c>
      <c r="AQ473">
        <f t="shared" si="53"/>
        <v>0</v>
      </c>
      <c r="AR473" s="8">
        <f t="shared" si="54"/>
        <v>0</v>
      </c>
      <c r="AS473">
        <f t="shared" si="55"/>
        <v>1</v>
      </c>
    </row>
    <row r="474" spans="1:45">
      <c r="A474" t="str">
        <f>Deals_Raw!A474</f>
        <v>D00535</v>
      </c>
      <c r="B474">
        <f>Deals_Raw!B474</f>
        <v>45651</v>
      </c>
      <c r="C474" t="str">
        <f>Deals_Raw!C474</f>
        <v>C0132</v>
      </c>
      <c r="D474" t="str">
        <f>Deals_Raw!D474</f>
        <v>LEG-0132</v>
      </c>
      <c r="E474" t="str">
        <f>Deals_Raw!E474</f>
        <v>CT00289</v>
      </c>
      <c r="F474" t="str">
        <f>Deals_Raw!F474</f>
        <v>Legal</v>
      </c>
      <c r="G474" t="str">
        <f>Deals_Raw!G474</f>
        <v>Legal</v>
      </c>
      <c r="H474" t="str">
        <f>Deals_Raw!H474</f>
        <v>Midwest</v>
      </c>
      <c r="I474" t="str">
        <f>Deals_Raw!I474</f>
        <v>Midwest Commercial</v>
      </c>
      <c r="J474" t="str">
        <f>Deals_Raw!J474</f>
        <v>SMB</v>
      </c>
      <c r="K474" t="str">
        <f>Deals_Raw!K474</f>
        <v>No</v>
      </c>
      <c r="L474">
        <f>Deals_Raw!L474</f>
        <v>45047</v>
      </c>
      <c r="M474">
        <f>Deals_Raw!M474</f>
        <v>56</v>
      </c>
      <c r="N474" t="str">
        <f>Deals_Raw!N474</f>
        <v>Nexus Enterprise Suite</v>
      </c>
      <c r="O474" t="str">
        <f>Deals_Raw!O474</f>
        <v>New Business</v>
      </c>
      <c r="P474">
        <f>Deals_Raw!P474</f>
        <v>0</v>
      </c>
      <c r="Q474">
        <f>Deals_Raw!Q474</f>
        <v>1</v>
      </c>
      <c r="R474">
        <f>Deals_Raw!R474</f>
        <v>52</v>
      </c>
      <c r="S474" t="str">
        <f>Deals_Raw!S474</f>
        <v>R. Singh</v>
      </c>
      <c r="T474" s="6">
        <f>Deals_Raw!T474</f>
        <v>184039.35392976421</v>
      </c>
      <c r="U474" s="8">
        <f>Deals_Raw!V474</f>
        <v>0.06</v>
      </c>
      <c r="V474" s="8">
        <f>Deals_Raw!W474</f>
        <v>2.3E-2</v>
      </c>
      <c r="W474" s="8">
        <f>Deals_Raw!X474</f>
        <v>0.10199999999999999</v>
      </c>
      <c r="X474" t="str">
        <f>Deals_Raw!Y474</f>
        <v>Procurement requirement</v>
      </c>
      <c r="Y474" t="str">
        <f>Deals_Raw!Z474</f>
        <v>Sales Manager</v>
      </c>
      <c r="Z474" s="6">
        <f>Deals_Raw!AA474</f>
        <v>179758.14876072164</v>
      </c>
      <c r="AA474" s="6">
        <f>Deals_Raw!AC474</f>
        <v>65924.300017342684</v>
      </c>
      <c r="AB474" s="6">
        <f>Deals_Raw!AD474</f>
        <v>113833.84874337896</v>
      </c>
      <c r="AC474" s="8">
        <f>Deals_Raw!AE474</f>
        <v>0.6332611318494642</v>
      </c>
      <c r="AD474" t="str">
        <f>Deals_Raw!AF474</f>
        <v>Won</v>
      </c>
      <c r="AE474">
        <f>Deals_Raw!AG474</f>
        <v>0</v>
      </c>
      <c r="AF474">
        <f>Deals_Raw!AH474</f>
        <v>0</v>
      </c>
      <c r="AG474" t="str">
        <f>Deals_Raw!AI474</f>
        <v>No</v>
      </c>
      <c r="AH474" s="6">
        <f>Deals_Raw!AJ474</f>
        <v>179758.14876072164</v>
      </c>
      <c r="AI474" s="6">
        <f>Deals_Raw!AK474</f>
        <v>113833.84874337896</v>
      </c>
      <c r="AJ474" t="str">
        <f>Deals_Raw!AL474</f>
        <v>First purchase under this contract</v>
      </c>
      <c r="AK474" s="9">
        <f t="shared" si="49"/>
        <v>1.65</v>
      </c>
      <c r="AL474" s="8">
        <f t="shared" si="50"/>
        <v>0.97673755597579182</v>
      </c>
      <c r="AM474" s="8">
        <f t="shared" si="51"/>
        <v>3.6999999999999998E-2</v>
      </c>
      <c r="AN474" t="str">
        <f>IF(AC474&lt;Pricing_Policy!$C$10,"Below Floor","Pass")</f>
        <v>Pass</v>
      </c>
      <c r="AO474" t="str">
        <f>IF(V474&gt;Pricing_Policy!$C$7,"Exception","Standard")</f>
        <v>Standard</v>
      </c>
      <c r="AP474" t="str">
        <f t="shared" si="52"/>
        <v>Pass</v>
      </c>
      <c r="AQ474">
        <f t="shared" si="53"/>
        <v>1</v>
      </c>
      <c r="AR474" s="8">
        <f t="shared" si="54"/>
        <v>0.6332611318494642</v>
      </c>
      <c r="AS474">
        <f t="shared" si="55"/>
        <v>4</v>
      </c>
    </row>
    <row r="475" spans="1:45">
      <c r="A475" t="str">
        <f>Deals_Raw!A475</f>
        <v>D00536</v>
      </c>
      <c r="B475">
        <f>Deals_Raw!B475</f>
        <v>46016</v>
      </c>
      <c r="C475" t="str">
        <f>Deals_Raw!C475</f>
        <v>C0132</v>
      </c>
      <c r="D475" t="str">
        <f>Deals_Raw!D475</f>
        <v>LEG-0132</v>
      </c>
      <c r="E475" t="str">
        <f>Deals_Raw!E475</f>
        <v>CT00289</v>
      </c>
      <c r="F475" t="str">
        <f>Deals_Raw!F475</f>
        <v>Legal</v>
      </c>
      <c r="G475" t="str">
        <f>Deals_Raw!G475</f>
        <v>Legal</v>
      </c>
      <c r="H475" t="str">
        <f>Deals_Raw!H475</f>
        <v>Midwest</v>
      </c>
      <c r="I475" t="str">
        <f>Deals_Raw!I475</f>
        <v>Midwest Commercial</v>
      </c>
      <c r="J475" t="str">
        <f>Deals_Raw!J475</f>
        <v>SMB</v>
      </c>
      <c r="K475" t="str">
        <f>Deals_Raw!K475</f>
        <v>No</v>
      </c>
      <c r="L475">
        <f>Deals_Raw!L475</f>
        <v>45047</v>
      </c>
      <c r="M475">
        <f>Deals_Raw!M475</f>
        <v>56</v>
      </c>
      <c r="N475" t="str">
        <f>Deals_Raw!N475</f>
        <v>Nexus Enterprise Suite</v>
      </c>
      <c r="O475" t="str">
        <f>Deals_Raw!O475</f>
        <v>Renewal</v>
      </c>
      <c r="P475">
        <f>Deals_Raw!P475</f>
        <v>0</v>
      </c>
      <c r="Q475">
        <f>Deals_Raw!Q475</f>
        <v>1</v>
      </c>
      <c r="R475">
        <f>Deals_Raw!R475</f>
        <v>52</v>
      </c>
      <c r="S475" t="str">
        <f>Deals_Raw!S475</f>
        <v>R. Singh</v>
      </c>
      <c r="T475" s="6">
        <f>Deals_Raw!T475</f>
        <v>195415.46647068919</v>
      </c>
      <c r="U475" s="8">
        <f>Deals_Raw!V475</f>
        <v>0.223</v>
      </c>
      <c r="V475" s="8">
        <f>Deals_Raw!W475</f>
        <v>0.184</v>
      </c>
      <c r="W475" s="8">
        <f>Deals_Raw!X475</f>
        <v>-4.3999999999999997E-2</v>
      </c>
      <c r="X475" t="str">
        <f>Deals_Raw!Y475</f>
        <v>Renewal retention risk</v>
      </c>
      <c r="Y475" t="str">
        <f>Deals_Raw!Z475</f>
        <v>Pricing Analyst</v>
      </c>
      <c r="Z475" s="6">
        <f>Deals_Raw!AA475</f>
        <v>159450.71241618073</v>
      </c>
      <c r="AA475" s="6">
        <f>Deals_Raw!AC475</f>
        <v>69668.967147257223</v>
      </c>
      <c r="AB475" s="6">
        <f>Deals_Raw!AD475</f>
        <v>89781.745268923507</v>
      </c>
      <c r="AC475" s="8">
        <f>Deals_Raw!AE475</f>
        <v>0.56306895032607351</v>
      </c>
      <c r="AD475" t="str">
        <f>Deals_Raw!AF475</f>
        <v>Won</v>
      </c>
      <c r="AE475" t="str">
        <f>Deals_Raw!AG475</f>
        <v>Yes</v>
      </c>
      <c r="AF475">
        <f>Deals_Raw!AH475</f>
        <v>0</v>
      </c>
      <c r="AG475" t="str">
        <f>Deals_Raw!AI475</f>
        <v>No</v>
      </c>
      <c r="AH475" s="6">
        <f>Deals_Raw!AJ475</f>
        <v>159450.71241618073</v>
      </c>
      <c r="AI475" s="6">
        <f>Deals_Raw!AK475</f>
        <v>89781.745268923507</v>
      </c>
      <c r="AJ475" t="str">
        <f>Deals_Raw!AL475</f>
        <v>Renewal of existing active contract</v>
      </c>
      <c r="AK475" s="9">
        <f t="shared" si="49"/>
        <v>2.65</v>
      </c>
      <c r="AL475" s="8">
        <f t="shared" si="50"/>
        <v>0.81595748430740056</v>
      </c>
      <c r="AM475" s="8">
        <f t="shared" si="51"/>
        <v>3.9000000000000007E-2</v>
      </c>
      <c r="AN475" t="str">
        <f>IF(AC475&lt;Pricing_Policy!$C$10,"Below Floor","Pass")</f>
        <v>Pass</v>
      </c>
      <c r="AO475" t="str">
        <f>IF(V475&gt;Pricing_Policy!$C$7,"Exception","Standard")</f>
        <v>Standard</v>
      </c>
      <c r="AP475" t="str">
        <f t="shared" si="52"/>
        <v>Pass</v>
      </c>
      <c r="AQ475">
        <f t="shared" si="53"/>
        <v>1</v>
      </c>
      <c r="AR475" s="8">
        <f t="shared" si="54"/>
        <v>0.56306895032607351</v>
      </c>
      <c r="AS475">
        <f t="shared" si="55"/>
        <v>4</v>
      </c>
    </row>
    <row r="476" spans="1:45">
      <c r="A476" t="str">
        <f>Deals_Raw!A476</f>
        <v>D00537</v>
      </c>
      <c r="B476">
        <f>Deals_Raw!B476</f>
        <v>45566</v>
      </c>
      <c r="C476" t="str">
        <f>Deals_Raw!C476</f>
        <v>C0133</v>
      </c>
      <c r="D476" t="str">
        <f>Deals_Raw!D476</f>
        <v>MAN-0133</v>
      </c>
      <c r="E476" t="str">
        <f>Deals_Raw!E476</f>
        <v>CT00290</v>
      </c>
      <c r="F476" t="str">
        <f>Deals_Raw!F476</f>
        <v>Finance</v>
      </c>
      <c r="G476" t="str">
        <f>Deals_Raw!G476</f>
        <v>Manufacturing</v>
      </c>
      <c r="H476" t="str">
        <f>Deals_Raw!H476</f>
        <v>Northeast</v>
      </c>
      <c r="I476" t="str">
        <f>Deals_Raw!I476</f>
        <v>Northeast Enterprise</v>
      </c>
      <c r="J476" t="str">
        <f>Deals_Raw!J476</f>
        <v>Enterprise</v>
      </c>
      <c r="K476" t="str">
        <f>Deals_Raw!K476</f>
        <v>No</v>
      </c>
      <c r="L476">
        <f>Deals_Raw!L476</f>
        <v>44409</v>
      </c>
      <c r="M476">
        <f>Deals_Raw!M476</f>
        <v>65</v>
      </c>
      <c r="N476" t="str">
        <f>Deals_Raw!N476</f>
        <v>Nexus Enterprise Suite</v>
      </c>
      <c r="O476" t="str">
        <f>Deals_Raw!O476</f>
        <v>Renewal</v>
      </c>
      <c r="P476">
        <f>Deals_Raw!P476</f>
        <v>0</v>
      </c>
      <c r="Q476">
        <f>Deals_Raw!Q476</f>
        <v>2</v>
      </c>
      <c r="R476">
        <f>Deals_Raw!R476</f>
        <v>285</v>
      </c>
      <c r="S476" t="str">
        <f>Deals_Raw!S476</f>
        <v>L. Williams</v>
      </c>
      <c r="T476" s="6">
        <f>Deals_Raw!T476</f>
        <v>1254507.7530253176</v>
      </c>
      <c r="U476" s="8">
        <f>Deals_Raw!V476</f>
        <v>9.6000000000000002E-2</v>
      </c>
      <c r="V476" s="8">
        <f>Deals_Raw!W476</f>
        <v>8.7999999999999995E-2</v>
      </c>
      <c r="W476" s="8">
        <f>Deals_Raw!X476</f>
        <v>-1.2E-2</v>
      </c>
      <c r="X476" t="str">
        <f>Deals_Raw!Y476</f>
        <v>Multi-year commitment</v>
      </c>
      <c r="Y476" t="str">
        <f>Deals_Raw!Z476</f>
        <v>Sales Manager</v>
      </c>
      <c r="Z476" s="6">
        <f>Deals_Raw!AA476</f>
        <v>1144646.9291558086</v>
      </c>
      <c r="AA476" s="6">
        <f>Deals_Raw!AC476</f>
        <v>485946.48087877798</v>
      </c>
      <c r="AB476" s="6">
        <f>Deals_Raw!AD476</f>
        <v>658700.44827703061</v>
      </c>
      <c r="AC476" s="8">
        <f>Deals_Raw!AE476</f>
        <v>0.5754616829862379</v>
      </c>
      <c r="AD476" t="str">
        <f>Deals_Raw!AF476</f>
        <v>Won</v>
      </c>
      <c r="AE476" t="str">
        <f>Deals_Raw!AG476</f>
        <v>Yes</v>
      </c>
      <c r="AF476">
        <f>Deals_Raw!AH476</f>
        <v>0</v>
      </c>
      <c r="AG476" t="str">
        <f>Deals_Raw!AI476</f>
        <v>No</v>
      </c>
      <c r="AH476" s="6">
        <f>Deals_Raw!AJ476</f>
        <v>1144646.9291558086</v>
      </c>
      <c r="AI476" s="6">
        <f>Deals_Raw!AK476</f>
        <v>658700.44827703061</v>
      </c>
      <c r="AJ476" t="str">
        <f>Deals_Raw!AL476</f>
        <v>Renewal of existing active contract</v>
      </c>
      <c r="AK476" s="9">
        <f t="shared" si="49"/>
        <v>3.1666666666666665</v>
      </c>
      <c r="AL476" s="8">
        <f t="shared" si="50"/>
        <v>0.91242714634120581</v>
      </c>
      <c r="AM476" s="8">
        <f t="shared" si="51"/>
        <v>8.0000000000000071E-3</v>
      </c>
      <c r="AN476" t="str">
        <f>IF(AC476&lt;Pricing_Policy!$C$10,"Below Floor","Pass")</f>
        <v>Pass</v>
      </c>
      <c r="AO476" t="str">
        <f>IF(V476&gt;Pricing_Policy!$C$7,"Exception","Standard")</f>
        <v>Standard</v>
      </c>
      <c r="AP476" t="str">
        <f t="shared" si="52"/>
        <v>Pass</v>
      </c>
      <c r="AQ476">
        <f t="shared" si="53"/>
        <v>1</v>
      </c>
      <c r="AR476" s="8">
        <f t="shared" si="54"/>
        <v>0.5754616829862379</v>
      </c>
      <c r="AS476">
        <f t="shared" si="55"/>
        <v>4</v>
      </c>
    </row>
    <row r="477" spans="1:45">
      <c r="A477" t="str">
        <f>Deals_Raw!A477</f>
        <v>D00539</v>
      </c>
      <c r="B477">
        <f>Deals_Raw!B477</f>
        <v>45382</v>
      </c>
      <c r="C477" t="str">
        <f>Deals_Raw!C477</f>
        <v>C0133</v>
      </c>
      <c r="D477" t="str">
        <f>Deals_Raw!D477</f>
        <v>MAN-0133</v>
      </c>
      <c r="E477" t="str">
        <f>Deals_Raw!E477</f>
        <v>CT00291</v>
      </c>
      <c r="F477" t="str">
        <f>Deals_Raw!F477</f>
        <v>Operations</v>
      </c>
      <c r="G477" t="str">
        <f>Deals_Raw!G477</f>
        <v>Manufacturing</v>
      </c>
      <c r="H477" t="str">
        <f>Deals_Raw!H477</f>
        <v>Northeast</v>
      </c>
      <c r="I477" t="str">
        <f>Deals_Raw!I477</f>
        <v>Northeast Enterprise</v>
      </c>
      <c r="J477" t="str">
        <f>Deals_Raw!J477</f>
        <v>Enterprise</v>
      </c>
      <c r="K477" t="str">
        <f>Deals_Raw!K477</f>
        <v>No</v>
      </c>
      <c r="L477">
        <f>Deals_Raw!L477</f>
        <v>44409</v>
      </c>
      <c r="M477">
        <f>Deals_Raw!M477</f>
        <v>65</v>
      </c>
      <c r="N477" t="str">
        <f>Deals_Raw!N477</f>
        <v>Nexus Enterprise Suite</v>
      </c>
      <c r="O477" t="str">
        <f>Deals_Raw!O477</f>
        <v>Expansion</v>
      </c>
      <c r="P477" t="str">
        <f>Deals_Raw!P477</f>
        <v>Storage / Usage Expansion</v>
      </c>
      <c r="Q477">
        <f>Deals_Raw!Q477</f>
        <v>1</v>
      </c>
      <c r="R477">
        <f>Deals_Raw!R477</f>
        <v>704</v>
      </c>
      <c r="S477" t="str">
        <f>Deals_Raw!S477</f>
        <v>T. Brooks</v>
      </c>
      <c r="T477" s="6">
        <f>Deals_Raw!T477</f>
        <v>1096329.3627414519</v>
      </c>
      <c r="U477" s="8">
        <f>Deals_Raw!V477</f>
        <v>8.2000000000000003E-2</v>
      </c>
      <c r="V477" s="8">
        <f>Deals_Raw!W477</f>
        <v>8.1000000000000003E-2</v>
      </c>
      <c r="W477" s="8">
        <f>Deals_Raw!X477</f>
        <v>1.4999999999999999E-2</v>
      </c>
      <c r="X477" t="str">
        <f>Deals_Raw!Y477</f>
        <v>Expansion opportunity</v>
      </c>
      <c r="Y477" t="str">
        <f>Deals_Raw!Z477</f>
        <v>Sales Manager</v>
      </c>
      <c r="Z477" s="6">
        <f>Deals_Raw!AA477</f>
        <v>1007661.4757568967</v>
      </c>
      <c r="AA477" s="6">
        <f>Deals_Raw!AC477</f>
        <v>409270.36692232679</v>
      </c>
      <c r="AB477" s="6">
        <f>Deals_Raw!AD477</f>
        <v>598391.10883456981</v>
      </c>
      <c r="AC477" s="8">
        <f>Deals_Raw!AE477</f>
        <v>0.59384140728918233</v>
      </c>
      <c r="AD477" t="str">
        <f>Deals_Raw!AF477</f>
        <v>Won</v>
      </c>
      <c r="AE477">
        <f>Deals_Raw!AG477</f>
        <v>0</v>
      </c>
      <c r="AF477" t="str">
        <f>Deals_Raw!AH477</f>
        <v>Yes</v>
      </c>
      <c r="AG477" t="str">
        <f>Deals_Raw!AI477</f>
        <v>No</v>
      </c>
      <c r="AH477" s="6">
        <f>Deals_Raw!AJ477</f>
        <v>1007661.4757568967</v>
      </c>
      <c r="AI477" s="6">
        <f>Deals_Raw!AK477</f>
        <v>598391.10883456981</v>
      </c>
      <c r="AJ477" t="str">
        <f>Deals_Raw!AL477</f>
        <v>Expansion allowed because contract was active</v>
      </c>
      <c r="AK477" s="9">
        <f t="shared" si="49"/>
        <v>2.6666666666666665</v>
      </c>
      <c r="AL477" s="8">
        <f t="shared" si="50"/>
        <v>0.91912294790423676</v>
      </c>
      <c r="AM477" s="8">
        <f t="shared" si="51"/>
        <v>1.0000000000000009E-3</v>
      </c>
      <c r="AN477" t="str">
        <f>IF(AC477&lt;Pricing_Policy!$C$10,"Below Floor","Pass")</f>
        <v>Pass</v>
      </c>
      <c r="AO477" t="str">
        <f>IF(V477&gt;Pricing_Policy!$C$7,"Exception","Standard")</f>
        <v>Standard</v>
      </c>
      <c r="AP477" t="str">
        <f t="shared" si="52"/>
        <v>Pass</v>
      </c>
      <c r="AQ477">
        <f t="shared" si="53"/>
        <v>1</v>
      </c>
      <c r="AR477" s="8">
        <f t="shared" si="54"/>
        <v>0.59384140728918233</v>
      </c>
      <c r="AS477">
        <f t="shared" si="55"/>
        <v>4</v>
      </c>
    </row>
    <row r="478" spans="1:45">
      <c r="A478" t="str">
        <f>Deals_Raw!A478</f>
        <v>D00540</v>
      </c>
      <c r="B478">
        <f>Deals_Raw!B478</f>
        <v>45566</v>
      </c>
      <c r="C478" t="str">
        <f>Deals_Raw!C478</f>
        <v>C0133</v>
      </c>
      <c r="D478" t="str">
        <f>Deals_Raw!D478</f>
        <v>MAN-0133</v>
      </c>
      <c r="E478" t="str">
        <f>Deals_Raw!E478</f>
        <v>CT00291</v>
      </c>
      <c r="F478" t="str">
        <f>Deals_Raw!F478</f>
        <v>Operations</v>
      </c>
      <c r="G478" t="str">
        <f>Deals_Raw!G478</f>
        <v>Manufacturing</v>
      </c>
      <c r="H478" t="str">
        <f>Deals_Raw!H478</f>
        <v>Northeast</v>
      </c>
      <c r="I478" t="str">
        <f>Deals_Raw!I478</f>
        <v>Northeast Enterprise</v>
      </c>
      <c r="J478" t="str">
        <f>Deals_Raw!J478</f>
        <v>Enterprise</v>
      </c>
      <c r="K478" t="str">
        <f>Deals_Raw!K478</f>
        <v>No</v>
      </c>
      <c r="L478">
        <f>Deals_Raw!L478</f>
        <v>44409</v>
      </c>
      <c r="M478">
        <f>Deals_Raw!M478</f>
        <v>65</v>
      </c>
      <c r="N478" t="str">
        <f>Deals_Raw!N478</f>
        <v>Nexus Enterprise Suite</v>
      </c>
      <c r="O478" t="str">
        <f>Deals_Raw!O478</f>
        <v>Renewal</v>
      </c>
      <c r="P478">
        <f>Deals_Raw!P478</f>
        <v>0</v>
      </c>
      <c r="Q478">
        <f>Deals_Raw!Q478</f>
        <v>1</v>
      </c>
      <c r="R478">
        <f>Deals_Raw!R478</f>
        <v>704</v>
      </c>
      <c r="S478" t="str">
        <f>Deals_Raw!S478</f>
        <v>D. Chen</v>
      </c>
      <c r="T478" s="6">
        <f>Deals_Raw!T478</f>
        <v>1176390.51444631</v>
      </c>
      <c r="U478" s="8">
        <f>Deals_Raw!V478</f>
        <v>0.16900000000000001</v>
      </c>
      <c r="V478" s="8">
        <f>Deals_Raw!W478</f>
        <v>0.151</v>
      </c>
      <c r="W478" s="8">
        <f>Deals_Raw!X478</f>
        <v>4.3999999999999997E-2</v>
      </c>
      <c r="X478" t="str">
        <f>Deals_Raw!Y478</f>
        <v>Volume purchase</v>
      </c>
      <c r="Y478" t="str">
        <f>Deals_Raw!Z478</f>
        <v>Pricing Analyst</v>
      </c>
      <c r="Z478" s="6">
        <f>Deals_Raw!AA478</f>
        <v>998406.04381305864</v>
      </c>
      <c r="AA478" s="6">
        <f>Deals_Raw!AC478</f>
        <v>387720.66744935571</v>
      </c>
      <c r="AB478" s="6">
        <f>Deals_Raw!AD478</f>
        <v>610685.37636370293</v>
      </c>
      <c r="AC478" s="8">
        <f>Deals_Raw!AE478</f>
        <v>0.61166033614080118</v>
      </c>
      <c r="AD478" t="str">
        <f>Deals_Raw!AF478</f>
        <v>Won</v>
      </c>
      <c r="AE478" t="str">
        <f>Deals_Raw!AG478</f>
        <v>Yes</v>
      </c>
      <c r="AF478">
        <f>Deals_Raw!AH478</f>
        <v>0</v>
      </c>
      <c r="AG478" t="str">
        <f>Deals_Raw!AI478</f>
        <v>No</v>
      </c>
      <c r="AH478" s="6">
        <f>Deals_Raw!AJ478</f>
        <v>998406.04381305864</v>
      </c>
      <c r="AI478" s="6">
        <f>Deals_Raw!AK478</f>
        <v>610685.37636370293</v>
      </c>
      <c r="AJ478" t="str">
        <f>Deals_Raw!AL478</f>
        <v>Renewal of existing active contract</v>
      </c>
      <c r="AK478" s="9">
        <f t="shared" si="49"/>
        <v>3.1666666666666665</v>
      </c>
      <c r="AL478" s="8">
        <f t="shared" si="50"/>
        <v>0.8487029022696404</v>
      </c>
      <c r="AM478" s="8">
        <f t="shared" si="51"/>
        <v>1.8000000000000016E-2</v>
      </c>
      <c r="AN478" t="str">
        <f>IF(AC478&lt;Pricing_Policy!$C$10,"Below Floor","Pass")</f>
        <v>Pass</v>
      </c>
      <c r="AO478" t="str">
        <f>IF(V478&gt;Pricing_Policy!$C$7,"Exception","Standard")</f>
        <v>Standard</v>
      </c>
      <c r="AP478" t="str">
        <f t="shared" si="52"/>
        <v>Pass</v>
      </c>
      <c r="AQ478">
        <f t="shared" si="53"/>
        <v>1</v>
      </c>
      <c r="AR478" s="8">
        <f t="shared" si="54"/>
        <v>0.61166033614080118</v>
      </c>
      <c r="AS478">
        <f t="shared" si="55"/>
        <v>4</v>
      </c>
    </row>
    <row r="479" spans="1:45">
      <c r="A479" t="str">
        <f>Deals_Raw!A479</f>
        <v>D00541</v>
      </c>
      <c r="B479">
        <f>Deals_Raw!B479</f>
        <v>45931</v>
      </c>
      <c r="C479" t="str">
        <f>Deals_Raw!C479</f>
        <v>C0133</v>
      </c>
      <c r="D479" t="str">
        <f>Deals_Raw!D479</f>
        <v>MAN-0133</v>
      </c>
      <c r="E479" t="str">
        <f>Deals_Raw!E479</f>
        <v>CT00291</v>
      </c>
      <c r="F479" t="str">
        <f>Deals_Raw!F479</f>
        <v>Operations</v>
      </c>
      <c r="G479" t="str">
        <f>Deals_Raw!G479</f>
        <v>Manufacturing</v>
      </c>
      <c r="H479" t="str">
        <f>Deals_Raw!H479</f>
        <v>Northeast</v>
      </c>
      <c r="I479" t="str">
        <f>Deals_Raw!I479</f>
        <v>Northeast Enterprise</v>
      </c>
      <c r="J479" t="str">
        <f>Deals_Raw!J479</f>
        <v>Enterprise</v>
      </c>
      <c r="K479" t="str">
        <f>Deals_Raw!K479</f>
        <v>No</v>
      </c>
      <c r="L479">
        <f>Deals_Raw!L479</f>
        <v>44409</v>
      </c>
      <c r="M479">
        <f>Deals_Raw!M479</f>
        <v>65</v>
      </c>
      <c r="N479" t="str">
        <f>Deals_Raw!N479</f>
        <v>Nexus Enterprise Suite</v>
      </c>
      <c r="O479" t="str">
        <f>Deals_Raw!O479</f>
        <v>Renewal</v>
      </c>
      <c r="P479">
        <f>Deals_Raw!P479</f>
        <v>0</v>
      </c>
      <c r="Q479">
        <f>Deals_Raw!Q479</f>
        <v>1</v>
      </c>
      <c r="R479">
        <f>Deals_Raw!R479</f>
        <v>704</v>
      </c>
      <c r="S479" t="str">
        <f>Deals_Raw!S479</f>
        <v>K. Nguyen</v>
      </c>
      <c r="T479" s="6">
        <f>Deals_Raw!T479</f>
        <v>1214672.7601942124</v>
      </c>
      <c r="U479" s="8">
        <f>Deals_Raw!V479</f>
        <v>0.14000000000000001</v>
      </c>
      <c r="V479" s="8">
        <f>Deals_Raw!W479</f>
        <v>0.121</v>
      </c>
      <c r="W479" s="8">
        <f>Deals_Raw!X479</f>
        <v>-1.4E-2</v>
      </c>
      <c r="X479" t="str">
        <f>Deals_Raw!Y479</f>
        <v>Expansion opportunity</v>
      </c>
      <c r="Y479" t="str">
        <f>Deals_Raw!Z479</f>
        <v>Pricing Analyst</v>
      </c>
      <c r="Z479" s="6">
        <f>Deals_Raw!AA479</f>
        <v>1067633.6770695476</v>
      </c>
      <c r="AA479" s="6">
        <f>Deals_Raw!AC479</f>
        <v>443354.83267431782</v>
      </c>
      <c r="AB479" s="6">
        <f>Deals_Raw!AD479</f>
        <v>624278.84439522983</v>
      </c>
      <c r="AC479" s="8">
        <f>Deals_Raw!AE479</f>
        <v>0.58473131543466961</v>
      </c>
      <c r="AD479" t="str">
        <f>Deals_Raw!AF479</f>
        <v>Won</v>
      </c>
      <c r="AE479" t="str">
        <f>Deals_Raw!AG479</f>
        <v>Yes</v>
      </c>
      <c r="AF479">
        <f>Deals_Raw!AH479</f>
        <v>0</v>
      </c>
      <c r="AG479" t="str">
        <f>Deals_Raw!AI479</f>
        <v>No</v>
      </c>
      <c r="AH479" s="6">
        <f>Deals_Raw!AJ479</f>
        <v>1067633.6770695476</v>
      </c>
      <c r="AI479" s="6">
        <f>Deals_Raw!AK479</f>
        <v>624278.84439522983</v>
      </c>
      <c r="AJ479" t="str">
        <f>Deals_Raw!AL479</f>
        <v>Renewal of existing active contract</v>
      </c>
      <c r="AK479" s="9">
        <f t="shared" si="49"/>
        <v>4.166666666666667</v>
      </c>
      <c r="AL479" s="8">
        <f t="shared" si="50"/>
        <v>0.87894757506445198</v>
      </c>
      <c r="AM479" s="8">
        <f t="shared" si="51"/>
        <v>1.9000000000000017E-2</v>
      </c>
      <c r="AN479" t="str">
        <f>IF(AC479&lt;Pricing_Policy!$C$10,"Below Floor","Pass")</f>
        <v>Pass</v>
      </c>
      <c r="AO479" t="str">
        <f>IF(V479&gt;Pricing_Policy!$C$7,"Exception","Standard")</f>
        <v>Standard</v>
      </c>
      <c r="AP479" t="str">
        <f t="shared" si="52"/>
        <v>Pass</v>
      </c>
      <c r="AQ479">
        <f t="shared" si="53"/>
        <v>1</v>
      </c>
      <c r="AR479" s="8">
        <f t="shared" si="54"/>
        <v>0.58473131543466961</v>
      </c>
      <c r="AS479">
        <f t="shared" si="55"/>
        <v>4</v>
      </c>
    </row>
    <row r="480" spans="1:45">
      <c r="A480" t="str">
        <f>Deals_Raw!A480</f>
        <v>D00542</v>
      </c>
      <c r="B480">
        <f>Deals_Raw!B480</f>
        <v>45681</v>
      </c>
      <c r="C480" t="str">
        <f>Deals_Raw!C480</f>
        <v>C0134</v>
      </c>
      <c r="D480" t="str">
        <f>Deals_Raw!D480</f>
        <v>HEA-0134</v>
      </c>
      <c r="E480" t="str">
        <f>Deals_Raw!E480</f>
        <v>CT00292</v>
      </c>
      <c r="F480" t="str">
        <f>Deals_Raw!F480</f>
        <v>Corporate</v>
      </c>
      <c r="G480" t="str">
        <f>Deals_Raw!G480</f>
        <v>Healthcare</v>
      </c>
      <c r="H480" t="str">
        <f>Deals_Raw!H480</f>
        <v>Midwest</v>
      </c>
      <c r="I480" t="str">
        <f>Deals_Raw!I480</f>
        <v>Midwest Enterprise</v>
      </c>
      <c r="J480" t="str">
        <f>Deals_Raw!J480</f>
        <v>Enterprise</v>
      </c>
      <c r="K480" t="str">
        <f>Deals_Raw!K480</f>
        <v>No</v>
      </c>
      <c r="L480">
        <f>Deals_Raw!L480</f>
        <v>45536</v>
      </c>
      <c r="M480">
        <f>Deals_Raw!M480</f>
        <v>64</v>
      </c>
      <c r="N480" t="str">
        <f>Deals_Raw!N480</f>
        <v>Nexus Analytics</v>
      </c>
      <c r="O480" t="str">
        <f>Deals_Raw!O480</f>
        <v>New Business</v>
      </c>
      <c r="P480">
        <f>Deals_Raw!P480</f>
        <v>0</v>
      </c>
      <c r="Q480">
        <f>Deals_Raw!Q480</f>
        <v>1</v>
      </c>
      <c r="R480">
        <f>Deals_Raw!R480</f>
        <v>1100</v>
      </c>
      <c r="S480" t="str">
        <f>Deals_Raw!S480</f>
        <v>L. Williams</v>
      </c>
      <c r="T480" s="6">
        <f>Deals_Raw!T480</f>
        <v>281968.4795919357</v>
      </c>
      <c r="U480" s="8">
        <f>Deals_Raw!V480</f>
        <v>0.127</v>
      </c>
      <c r="V480" s="8">
        <f>Deals_Raw!W480</f>
        <v>0.105</v>
      </c>
      <c r="W480" s="8">
        <f>Deals_Raw!X480</f>
        <v>2E-3</v>
      </c>
      <c r="X480" t="str">
        <f>Deals_Raw!Y480</f>
        <v>Strategic logo opportunity</v>
      </c>
      <c r="Y480" t="str">
        <f>Deals_Raw!Z480</f>
        <v>Pricing Analyst</v>
      </c>
      <c r="Z480" s="6">
        <f>Deals_Raw!AA480</f>
        <v>252444.36538638038</v>
      </c>
      <c r="AA480" s="6">
        <f>Deals_Raw!AC480</f>
        <v>94019.402380266038</v>
      </c>
      <c r="AB480" s="6">
        <f>Deals_Raw!AD480</f>
        <v>158424.96300611435</v>
      </c>
      <c r="AC480" s="8">
        <f>Deals_Raw!AE480</f>
        <v>0.62756387041412465</v>
      </c>
      <c r="AD480" t="str">
        <f>Deals_Raw!AF480</f>
        <v>Lost</v>
      </c>
      <c r="AE480">
        <f>Deals_Raw!AG480</f>
        <v>0</v>
      </c>
      <c r="AF480">
        <f>Deals_Raw!AH480</f>
        <v>0</v>
      </c>
      <c r="AG480" t="str">
        <f>Deals_Raw!AI480</f>
        <v>No</v>
      </c>
      <c r="AH480" s="6">
        <f>Deals_Raw!AJ480</f>
        <v>0</v>
      </c>
      <c r="AI480" s="6">
        <f>Deals_Raw!AK480</f>
        <v>0</v>
      </c>
      <c r="AJ480" t="str">
        <f>Deals_Raw!AL480</f>
        <v>First purchase under this contract</v>
      </c>
      <c r="AK480" s="9">
        <f t="shared" si="49"/>
        <v>0.3972222222222222</v>
      </c>
      <c r="AL480" s="8">
        <f t="shared" si="50"/>
        <v>0.89529285596644503</v>
      </c>
      <c r="AM480" s="8">
        <f t="shared" si="51"/>
        <v>2.2000000000000006E-2</v>
      </c>
      <c r="AN480" t="str">
        <f>IF(AC480&lt;Pricing_Policy!$C$10,"Below Floor","Pass")</f>
        <v>Pass</v>
      </c>
      <c r="AO480" t="str">
        <f>IF(V480&gt;Pricing_Policy!$C$7,"Exception","Standard")</f>
        <v>Standard</v>
      </c>
      <c r="AP480" t="str">
        <f t="shared" si="52"/>
        <v>Pass</v>
      </c>
      <c r="AQ480">
        <f t="shared" si="53"/>
        <v>0</v>
      </c>
      <c r="AR480" s="8">
        <f t="shared" si="54"/>
        <v>0</v>
      </c>
      <c r="AS480">
        <f t="shared" si="55"/>
        <v>1</v>
      </c>
    </row>
    <row r="481" spans="1:45">
      <c r="A481" t="str">
        <f>Deals_Raw!A481</f>
        <v>D00543</v>
      </c>
      <c r="B481">
        <f>Deals_Raw!B481</f>
        <v>45329</v>
      </c>
      <c r="C481" t="str">
        <f>Deals_Raw!C481</f>
        <v>C0134</v>
      </c>
      <c r="D481" t="str">
        <f>Deals_Raw!D481</f>
        <v>HEA-0134</v>
      </c>
      <c r="E481" t="str">
        <f>Deals_Raw!E481</f>
        <v>CT00293</v>
      </c>
      <c r="F481" t="str">
        <f>Deals_Raw!F481</f>
        <v>Operations</v>
      </c>
      <c r="G481" t="str">
        <f>Deals_Raw!G481</f>
        <v>Healthcare</v>
      </c>
      <c r="H481" t="str">
        <f>Deals_Raw!H481</f>
        <v>Midwest</v>
      </c>
      <c r="I481" t="str">
        <f>Deals_Raw!I481</f>
        <v>Midwest Enterprise</v>
      </c>
      <c r="J481" t="str">
        <f>Deals_Raw!J481</f>
        <v>Enterprise</v>
      </c>
      <c r="K481" t="str">
        <f>Deals_Raw!K481</f>
        <v>No</v>
      </c>
      <c r="L481">
        <f>Deals_Raw!L481</f>
        <v>45536</v>
      </c>
      <c r="M481">
        <f>Deals_Raw!M481</f>
        <v>64</v>
      </c>
      <c r="N481" t="str">
        <f>Deals_Raw!N481</f>
        <v>Nexus Enterprise Suite</v>
      </c>
      <c r="O481" t="str">
        <f>Deals_Raw!O481</f>
        <v>New Business</v>
      </c>
      <c r="P481">
        <f>Deals_Raw!P481</f>
        <v>0</v>
      </c>
      <c r="Q481">
        <f>Deals_Raw!Q481</f>
        <v>2</v>
      </c>
      <c r="R481">
        <f>Deals_Raw!R481</f>
        <v>795</v>
      </c>
      <c r="S481" t="str">
        <f>Deals_Raw!S481</f>
        <v>D. Chen</v>
      </c>
      <c r="T481" s="6">
        <f>Deals_Raw!T481</f>
        <v>636126.04431605816</v>
      </c>
      <c r="U481" s="8">
        <f>Deals_Raw!V481</f>
        <v>0.14599999999999999</v>
      </c>
      <c r="V481" s="8">
        <f>Deals_Raw!W481</f>
        <v>9.7000000000000003E-2</v>
      </c>
      <c r="W481" s="8">
        <f>Deals_Raw!X481</f>
        <v>-5.7000000000000002E-2</v>
      </c>
      <c r="X481" t="str">
        <f>Deals_Raw!Y481</f>
        <v>Procurement requirement</v>
      </c>
      <c r="Y481" t="str">
        <f>Deals_Raw!Z481</f>
        <v>Sales Manager</v>
      </c>
      <c r="Z481" s="6">
        <f>Deals_Raw!AA481</f>
        <v>574380.69036755792</v>
      </c>
      <c r="AA481" s="6">
        <f>Deals_Raw!AC481</f>
        <v>244584.49518907239</v>
      </c>
      <c r="AB481" s="6">
        <f>Deals_Raw!AD481</f>
        <v>329796.19517848553</v>
      </c>
      <c r="AC481" s="8">
        <f>Deals_Raw!AE481</f>
        <v>0.57417702354764433</v>
      </c>
      <c r="AD481" t="str">
        <f>Deals_Raw!AF481</f>
        <v>Won</v>
      </c>
      <c r="AE481">
        <f>Deals_Raw!AG481</f>
        <v>0</v>
      </c>
      <c r="AF481">
        <f>Deals_Raw!AH481</f>
        <v>0</v>
      </c>
      <c r="AG481" t="str">
        <f>Deals_Raw!AI481</f>
        <v>No</v>
      </c>
      <c r="AH481" s="6">
        <f>Deals_Raw!AJ481</f>
        <v>574380.69036755792</v>
      </c>
      <c r="AI481" s="6">
        <f>Deals_Raw!AK481</f>
        <v>329796.19517848553</v>
      </c>
      <c r="AJ481" t="str">
        <f>Deals_Raw!AL481</f>
        <v>First purchase under this contract</v>
      </c>
      <c r="AK481" s="9">
        <f t="shared" si="49"/>
        <v>0.56666666666666665</v>
      </c>
      <c r="AL481" s="8">
        <f t="shared" si="50"/>
        <v>0.90293534669707354</v>
      </c>
      <c r="AM481" s="8">
        <f t="shared" si="51"/>
        <v>4.8999999999999988E-2</v>
      </c>
      <c r="AN481" t="str">
        <f>IF(AC481&lt;Pricing_Policy!$C$10,"Below Floor","Pass")</f>
        <v>Pass</v>
      </c>
      <c r="AO481" t="str">
        <f>IF(V481&gt;Pricing_Policy!$C$7,"Exception","Standard")</f>
        <v>Standard</v>
      </c>
      <c r="AP481" t="str">
        <f t="shared" si="52"/>
        <v>Pass</v>
      </c>
      <c r="AQ481">
        <f t="shared" si="53"/>
        <v>1</v>
      </c>
      <c r="AR481" s="8">
        <f t="shared" si="54"/>
        <v>0.57417702354764433</v>
      </c>
      <c r="AS481">
        <f t="shared" si="55"/>
        <v>1</v>
      </c>
    </row>
    <row r="482" spans="1:45">
      <c r="A482" t="str">
        <f>Deals_Raw!A482</f>
        <v>D00544</v>
      </c>
      <c r="B482">
        <f>Deals_Raw!B482</f>
        <v>45617</v>
      </c>
      <c r="C482" t="str">
        <f>Deals_Raw!C482</f>
        <v>C0135</v>
      </c>
      <c r="D482" t="str">
        <f>Deals_Raw!D482</f>
        <v>HEA-0135</v>
      </c>
      <c r="E482" t="str">
        <f>Deals_Raw!E482</f>
        <v>CT00294</v>
      </c>
      <c r="F482" t="str">
        <f>Deals_Raw!F482</f>
        <v>Sales</v>
      </c>
      <c r="G482" t="str">
        <f>Deals_Raw!G482</f>
        <v>Healthcare</v>
      </c>
      <c r="H482" t="str">
        <f>Deals_Raw!H482</f>
        <v>South</v>
      </c>
      <c r="I482" t="str">
        <f>Deals_Raw!I482</f>
        <v>South Enterprise</v>
      </c>
      <c r="J482" t="str">
        <f>Deals_Raw!J482</f>
        <v>Enterprise</v>
      </c>
      <c r="K482" t="str">
        <f>Deals_Raw!K482</f>
        <v>No</v>
      </c>
      <c r="L482">
        <f>Deals_Raw!L482</f>
        <v>45413</v>
      </c>
      <c r="M482">
        <f>Deals_Raw!M482</f>
        <v>76</v>
      </c>
      <c r="N482" t="str">
        <f>Deals_Raw!N482</f>
        <v>Nexus AI Assistant</v>
      </c>
      <c r="O482" t="str">
        <f>Deals_Raw!O482</f>
        <v>New Business</v>
      </c>
      <c r="P482">
        <f>Deals_Raw!P482</f>
        <v>0</v>
      </c>
      <c r="Q482">
        <f>Deals_Raw!Q482</f>
        <v>3</v>
      </c>
      <c r="R482">
        <f>Deals_Raw!R482</f>
        <v>1174</v>
      </c>
      <c r="S482" t="str">
        <f>Deals_Raw!S482</f>
        <v>S. Rivera</v>
      </c>
      <c r="T482" s="6">
        <f>Deals_Raw!T482</f>
        <v>140674.63284162933</v>
      </c>
      <c r="U482" s="8">
        <f>Deals_Raw!V482</f>
        <v>0.17499999999999999</v>
      </c>
      <c r="V482" s="8">
        <f>Deals_Raw!W482</f>
        <v>0.17299999999999999</v>
      </c>
      <c r="W482" s="8">
        <f>Deals_Raw!X482</f>
        <v>-3.2000000000000001E-2</v>
      </c>
      <c r="X482" t="str">
        <f>Deals_Raw!Y482</f>
        <v>Volume purchase</v>
      </c>
      <c r="Y482" t="str">
        <f>Deals_Raw!Z482</f>
        <v>Pricing Analyst</v>
      </c>
      <c r="Z482" s="6">
        <f>Deals_Raw!AA482</f>
        <v>116353.61769364172</v>
      </c>
      <c r="AA482" s="6">
        <f>Deals_Raw!AC482</f>
        <v>64326.931031493215</v>
      </c>
      <c r="AB482" s="6">
        <f>Deals_Raw!AD482</f>
        <v>52026.686662148502</v>
      </c>
      <c r="AC482" s="8">
        <f>Deals_Raw!AE482</f>
        <v>0.44714283658230908</v>
      </c>
      <c r="AD482" t="str">
        <f>Deals_Raw!AF482</f>
        <v>Lost</v>
      </c>
      <c r="AE482">
        <f>Deals_Raw!AG482</f>
        <v>0</v>
      </c>
      <c r="AF482">
        <f>Deals_Raw!AH482</f>
        <v>0</v>
      </c>
      <c r="AG482" t="str">
        <f>Deals_Raw!AI482</f>
        <v>No</v>
      </c>
      <c r="AH482" s="6">
        <f>Deals_Raw!AJ482</f>
        <v>0</v>
      </c>
      <c r="AI482" s="6">
        <f>Deals_Raw!AK482</f>
        <v>0</v>
      </c>
      <c r="AJ482" t="str">
        <f>Deals_Raw!AL482</f>
        <v>First purchase under this contract</v>
      </c>
      <c r="AK482" s="9">
        <f t="shared" si="49"/>
        <v>0.55555555555555558</v>
      </c>
      <c r="AL482" s="8">
        <f t="shared" si="50"/>
        <v>0.82711157899115995</v>
      </c>
      <c r="AM482" s="8">
        <f t="shared" si="51"/>
        <v>2.0000000000000018E-3</v>
      </c>
      <c r="AN482" t="str">
        <f>IF(AC482&lt;Pricing_Policy!$C$10,"Below Floor","Pass")</f>
        <v>Below Floor</v>
      </c>
      <c r="AO482" t="str">
        <f>IF(V482&gt;Pricing_Policy!$C$7,"Exception","Standard")</f>
        <v>Standard</v>
      </c>
      <c r="AP482" t="str">
        <f t="shared" si="52"/>
        <v>Pass</v>
      </c>
      <c r="AQ482">
        <f t="shared" si="53"/>
        <v>0</v>
      </c>
      <c r="AR482" s="8">
        <f t="shared" si="54"/>
        <v>0</v>
      </c>
      <c r="AS482">
        <f t="shared" si="55"/>
        <v>1</v>
      </c>
    </row>
    <row r="483" spans="1:45">
      <c r="A483" t="str">
        <f>Deals_Raw!A483</f>
        <v>D00545</v>
      </c>
      <c r="B483">
        <f>Deals_Raw!B483</f>
        <v>45331</v>
      </c>
      <c r="C483" t="str">
        <f>Deals_Raw!C483</f>
        <v>C0135</v>
      </c>
      <c r="D483" t="str">
        <f>Deals_Raw!D483</f>
        <v>HEA-0135</v>
      </c>
      <c r="E483" t="str">
        <f>Deals_Raw!E483</f>
        <v>CT00295</v>
      </c>
      <c r="F483" t="str">
        <f>Deals_Raw!F483</f>
        <v>Legal</v>
      </c>
      <c r="G483" t="str">
        <f>Deals_Raw!G483</f>
        <v>Healthcare</v>
      </c>
      <c r="H483" t="str">
        <f>Deals_Raw!H483</f>
        <v>South</v>
      </c>
      <c r="I483" t="str">
        <f>Deals_Raw!I483</f>
        <v>South Enterprise</v>
      </c>
      <c r="J483" t="str">
        <f>Deals_Raw!J483</f>
        <v>Enterprise</v>
      </c>
      <c r="K483" t="str">
        <f>Deals_Raw!K483</f>
        <v>No</v>
      </c>
      <c r="L483">
        <f>Deals_Raw!L483</f>
        <v>45413</v>
      </c>
      <c r="M483">
        <f>Deals_Raw!M483</f>
        <v>76</v>
      </c>
      <c r="N483" t="str">
        <f>Deals_Raw!N483</f>
        <v>Nexus Enterprise Suite</v>
      </c>
      <c r="O483" t="str">
        <f>Deals_Raw!O483</f>
        <v>New Business</v>
      </c>
      <c r="P483">
        <f>Deals_Raw!P483</f>
        <v>0</v>
      </c>
      <c r="Q483">
        <f>Deals_Raw!Q483</f>
        <v>1</v>
      </c>
      <c r="R483">
        <f>Deals_Raw!R483</f>
        <v>1934</v>
      </c>
      <c r="S483" t="str">
        <f>Deals_Raw!S483</f>
        <v>M. Johnson</v>
      </c>
      <c r="T483" s="6">
        <f>Deals_Raw!T483</f>
        <v>822018.87237836118</v>
      </c>
      <c r="U483" s="8">
        <f>Deals_Raw!V483</f>
        <v>2.9000000000000001E-2</v>
      </c>
      <c r="V483" s="8">
        <f>Deals_Raw!W483</f>
        <v>1.7000000000000001E-2</v>
      </c>
      <c r="W483" s="8">
        <f>Deals_Raw!X483</f>
        <v>5.2999999999999999E-2</v>
      </c>
      <c r="X483" t="str">
        <f>Deals_Raw!Y483</f>
        <v>Expansion opportunity</v>
      </c>
      <c r="Y483" t="str">
        <f>Deals_Raw!Z483</f>
        <v>Sales Manager</v>
      </c>
      <c r="Z483" s="6">
        <f>Deals_Raw!AA483</f>
        <v>808020.32550504396</v>
      </c>
      <c r="AA483" s="6">
        <f>Deals_Raw!AC483</f>
        <v>343808.37340969691</v>
      </c>
      <c r="AB483" s="6">
        <f>Deals_Raw!AD483</f>
        <v>464211.95209534705</v>
      </c>
      <c r="AC483" s="8">
        <f>Deals_Raw!AE483</f>
        <v>0.57450529082321866</v>
      </c>
      <c r="AD483" t="str">
        <f>Deals_Raw!AF483</f>
        <v>Won</v>
      </c>
      <c r="AE483">
        <f>Deals_Raw!AG483</f>
        <v>0</v>
      </c>
      <c r="AF483">
        <f>Deals_Raw!AH483</f>
        <v>0</v>
      </c>
      <c r="AG483" t="str">
        <f>Deals_Raw!AI483</f>
        <v>No</v>
      </c>
      <c r="AH483" s="6">
        <f>Deals_Raw!AJ483</f>
        <v>808020.32550504396</v>
      </c>
      <c r="AI483" s="6">
        <f>Deals_Raw!AK483</f>
        <v>464211.95209534705</v>
      </c>
      <c r="AJ483" t="str">
        <f>Deals_Raw!AL483</f>
        <v>First purchase under this contract</v>
      </c>
      <c r="AK483" s="9">
        <f t="shared" si="49"/>
        <v>0.22777777777777777</v>
      </c>
      <c r="AL483" s="8">
        <f t="shared" si="50"/>
        <v>0.98297052860500034</v>
      </c>
      <c r="AM483" s="8">
        <f t="shared" si="51"/>
        <v>1.2E-2</v>
      </c>
      <c r="AN483" t="str">
        <f>IF(AC483&lt;Pricing_Policy!$C$10,"Below Floor","Pass")</f>
        <v>Pass</v>
      </c>
      <c r="AO483" t="str">
        <f>IF(V483&gt;Pricing_Policy!$C$7,"Exception","Standard")</f>
        <v>Standard</v>
      </c>
      <c r="AP483" t="str">
        <f t="shared" si="52"/>
        <v>Pass</v>
      </c>
      <c r="AQ483">
        <f t="shared" si="53"/>
        <v>1</v>
      </c>
      <c r="AR483" s="8">
        <f t="shared" si="54"/>
        <v>0.57450529082321866</v>
      </c>
      <c r="AS483">
        <f t="shared" si="55"/>
        <v>2</v>
      </c>
    </row>
    <row r="484" spans="1:45">
      <c r="A484" t="str">
        <f>Deals_Raw!A484</f>
        <v>D00546</v>
      </c>
      <c r="B484">
        <f>Deals_Raw!B484</f>
        <v>45696</v>
      </c>
      <c r="C484" t="str">
        <f>Deals_Raw!C484</f>
        <v>C0135</v>
      </c>
      <c r="D484" t="str">
        <f>Deals_Raw!D484</f>
        <v>HEA-0135</v>
      </c>
      <c r="E484" t="str">
        <f>Deals_Raw!E484</f>
        <v>CT00295</v>
      </c>
      <c r="F484" t="str">
        <f>Deals_Raw!F484</f>
        <v>Legal</v>
      </c>
      <c r="G484" t="str">
        <f>Deals_Raw!G484</f>
        <v>Healthcare</v>
      </c>
      <c r="H484" t="str">
        <f>Deals_Raw!H484</f>
        <v>South</v>
      </c>
      <c r="I484" t="str">
        <f>Deals_Raw!I484</f>
        <v>South Enterprise</v>
      </c>
      <c r="J484" t="str">
        <f>Deals_Raw!J484</f>
        <v>Enterprise</v>
      </c>
      <c r="K484" t="str">
        <f>Deals_Raw!K484</f>
        <v>No</v>
      </c>
      <c r="L484">
        <f>Deals_Raw!L484</f>
        <v>45413</v>
      </c>
      <c r="M484">
        <f>Deals_Raw!M484</f>
        <v>76</v>
      </c>
      <c r="N484" t="str">
        <f>Deals_Raw!N484</f>
        <v>Nexus Enterprise Suite</v>
      </c>
      <c r="O484" t="str">
        <f>Deals_Raw!O484</f>
        <v>Renewal</v>
      </c>
      <c r="P484">
        <f>Deals_Raw!P484</f>
        <v>0</v>
      </c>
      <c r="Q484">
        <f>Deals_Raw!Q484</f>
        <v>1</v>
      </c>
      <c r="R484">
        <f>Deals_Raw!R484</f>
        <v>1934</v>
      </c>
      <c r="S484" t="str">
        <f>Deals_Raw!S484</f>
        <v>K. Nguyen</v>
      </c>
      <c r="T484" s="6">
        <f>Deals_Raw!T484</f>
        <v>842116.5538643488</v>
      </c>
      <c r="U484" s="8">
        <f>Deals_Raw!V484</f>
        <v>0.159</v>
      </c>
      <c r="V484" s="8">
        <f>Deals_Raw!W484</f>
        <v>0.113</v>
      </c>
      <c r="W484" s="8">
        <f>Deals_Raw!X484</f>
        <v>1.7999999999999999E-2</v>
      </c>
      <c r="X484" t="str">
        <f>Deals_Raw!Y484</f>
        <v>Budget constraint</v>
      </c>
      <c r="Y484" t="str">
        <f>Deals_Raw!Z484</f>
        <v>Pricing Analyst</v>
      </c>
      <c r="Z484" s="6">
        <f>Deals_Raw!AA484</f>
        <v>747235.14783608611</v>
      </c>
      <c r="AA484" s="6">
        <f>Deals_Raw!AC484</f>
        <v>310645.83548650582</v>
      </c>
      <c r="AB484" s="6">
        <f>Deals_Raw!AD484</f>
        <v>436589.31234958029</v>
      </c>
      <c r="AC484" s="8">
        <f>Deals_Raw!AE484</f>
        <v>0.5842729877119629</v>
      </c>
      <c r="AD484" t="str">
        <f>Deals_Raw!AF484</f>
        <v>Won</v>
      </c>
      <c r="AE484" t="str">
        <f>Deals_Raw!AG484</f>
        <v>Yes</v>
      </c>
      <c r="AF484">
        <f>Deals_Raw!AH484</f>
        <v>0</v>
      </c>
      <c r="AG484" t="str">
        <f>Deals_Raw!AI484</f>
        <v>No</v>
      </c>
      <c r="AH484" s="6">
        <f>Deals_Raw!AJ484</f>
        <v>747235.14783608611</v>
      </c>
      <c r="AI484" s="6">
        <f>Deals_Raw!AK484</f>
        <v>436589.31234958029</v>
      </c>
      <c r="AJ484" t="str">
        <f>Deals_Raw!AL484</f>
        <v>Renewal of existing active contract</v>
      </c>
      <c r="AK484" s="9">
        <f t="shared" si="49"/>
        <v>0.76944444444444449</v>
      </c>
      <c r="AL484" s="8">
        <f t="shared" si="50"/>
        <v>0.88732984099069667</v>
      </c>
      <c r="AM484" s="8">
        <f t="shared" si="51"/>
        <v>4.5999999999999999E-2</v>
      </c>
      <c r="AN484" t="str">
        <f>IF(AC484&lt;Pricing_Policy!$C$10,"Below Floor","Pass")</f>
        <v>Pass</v>
      </c>
      <c r="AO484" t="str">
        <f>IF(V484&gt;Pricing_Policy!$C$7,"Exception","Standard")</f>
        <v>Standard</v>
      </c>
      <c r="AP484" t="str">
        <f t="shared" si="52"/>
        <v>Pass</v>
      </c>
      <c r="AQ484">
        <f t="shared" si="53"/>
        <v>1</v>
      </c>
      <c r="AR484" s="8">
        <f t="shared" si="54"/>
        <v>0.5842729877119629</v>
      </c>
      <c r="AS484">
        <f t="shared" si="55"/>
        <v>2</v>
      </c>
    </row>
    <row r="485" spans="1:45">
      <c r="A485" t="str">
        <f>Deals_Raw!A485</f>
        <v>D00547</v>
      </c>
      <c r="B485">
        <f>Deals_Raw!B485</f>
        <v>45756</v>
      </c>
      <c r="C485" t="str">
        <f>Deals_Raw!C485</f>
        <v>C0135</v>
      </c>
      <c r="D485" t="str">
        <f>Deals_Raw!D485</f>
        <v>HEA-0135</v>
      </c>
      <c r="E485" t="str">
        <f>Deals_Raw!E485</f>
        <v>CT00296</v>
      </c>
      <c r="F485" t="str">
        <f>Deals_Raw!F485</f>
        <v>Finance</v>
      </c>
      <c r="G485" t="str">
        <f>Deals_Raw!G485</f>
        <v>Healthcare</v>
      </c>
      <c r="H485" t="str">
        <f>Deals_Raw!H485</f>
        <v>South</v>
      </c>
      <c r="I485" t="str">
        <f>Deals_Raw!I485</f>
        <v>South Enterprise</v>
      </c>
      <c r="J485" t="str">
        <f>Deals_Raw!J485</f>
        <v>Enterprise</v>
      </c>
      <c r="K485" t="str">
        <f>Deals_Raw!K485</f>
        <v>No</v>
      </c>
      <c r="L485">
        <f>Deals_Raw!L485</f>
        <v>45413</v>
      </c>
      <c r="M485">
        <f>Deals_Raw!M485</f>
        <v>76</v>
      </c>
      <c r="N485" t="str">
        <f>Deals_Raw!N485</f>
        <v>Nexus Analytics</v>
      </c>
      <c r="O485" t="str">
        <f>Deals_Raw!O485</f>
        <v>New Business</v>
      </c>
      <c r="P485">
        <f>Deals_Raw!P485</f>
        <v>0</v>
      </c>
      <c r="Q485">
        <f>Deals_Raw!Q485</f>
        <v>3</v>
      </c>
      <c r="R485">
        <f>Deals_Raw!R485</f>
        <v>1128</v>
      </c>
      <c r="S485" t="str">
        <f>Deals_Raw!S485</f>
        <v>T. Brooks</v>
      </c>
      <c r="T485" s="6">
        <f>Deals_Raw!T485</f>
        <v>399077.05851227837</v>
      </c>
      <c r="U485" s="8">
        <f>Deals_Raw!V485</f>
        <v>0.14699999999999999</v>
      </c>
      <c r="V485" s="8">
        <f>Deals_Raw!W485</f>
        <v>0.114</v>
      </c>
      <c r="W485" s="8">
        <f>Deals_Raw!X485</f>
        <v>7.6999999999999999E-2</v>
      </c>
      <c r="X485" t="str">
        <f>Deals_Raw!Y485</f>
        <v>Verified competitor pressure</v>
      </c>
      <c r="Y485" t="str">
        <f>Deals_Raw!Z485</f>
        <v>Pricing Analyst</v>
      </c>
      <c r="Z485" s="6">
        <f>Deals_Raw!AA485</f>
        <v>353522.49922713323</v>
      </c>
      <c r="AA485" s="6">
        <f>Deals_Raw!AC485</f>
        <v>131049.53720726317</v>
      </c>
      <c r="AB485" s="6">
        <f>Deals_Raw!AD485</f>
        <v>222472.96201987006</v>
      </c>
      <c r="AC485" s="8">
        <f>Deals_Raw!AE485</f>
        <v>0.62930354505367514</v>
      </c>
      <c r="AD485" t="str">
        <f>Deals_Raw!AF485</f>
        <v>Lost</v>
      </c>
      <c r="AE485">
        <f>Deals_Raw!AG485</f>
        <v>0</v>
      </c>
      <c r="AF485">
        <f>Deals_Raw!AH485</f>
        <v>0</v>
      </c>
      <c r="AG485" t="str">
        <f>Deals_Raw!AI485</f>
        <v>No</v>
      </c>
      <c r="AH485" s="6">
        <f>Deals_Raw!AJ485</f>
        <v>0</v>
      </c>
      <c r="AI485" s="6">
        <f>Deals_Raw!AK485</f>
        <v>0</v>
      </c>
      <c r="AJ485" t="str">
        <f>Deals_Raw!AL485</f>
        <v>First purchase under this contract</v>
      </c>
      <c r="AK485" s="9">
        <f t="shared" si="49"/>
        <v>0.93888888888888888</v>
      </c>
      <c r="AL485" s="8">
        <f t="shared" si="50"/>
        <v>0.88585021786276508</v>
      </c>
      <c r="AM485" s="8">
        <f t="shared" si="51"/>
        <v>3.2999999999999988E-2</v>
      </c>
      <c r="AN485" t="str">
        <f>IF(AC485&lt;Pricing_Policy!$C$10,"Below Floor","Pass")</f>
        <v>Pass</v>
      </c>
      <c r="AO485" t="str">
        <f>IF(V485&gt;Pricing_Policy!$C$7,"Exception","Standard")</f>
        <v>Standard</v>
      </c>
      <c r="AP485" t="str">
        <f t="shared" si="52"/>
        <v>Pass</v>
      </c>
      <c r="AQ485">
        <f t="shared" si="53"/>
        <v>0</v>
      </c>
      <c r="AR485" s="8">
        <f t="shared" si="54"/>
        <v>0</v>
      </c>
      <c r="AS485">
        <f t="shared" si="55"/>
        <v>1</v>
      </c>
    </row>
    <row r="486" spans="1:45">
      <c r="A486" t="str">
        <f>Deals_Raw!A486</f>
        <v>D00548</v>
      </c>
      <c r="B486">
        <f>Deals_Raw!B486</f>
        <v>45321</v>
      </c>
      <c r="C486" t="str">
        <f>Deals_Raw!C486</f>
        <v>C0136</v>
      </c>
      <c r="D486" t="str">
        <f>Deals_Raw!D486</f>
        <v>HEA-0136</v>
      </c>
      <c r="E486" t="str">
        <f>Deals_Raw!E486</f>
        <v>CT00297</v>
      </c>
      <c r="F486" t="str">
        <f>Deals_Raw!F486</f>
        <v>Sales</v>
      </c>
      <c r="G486" t="str">
        <f>Deals_Raw!G486</f>
        <v>Healthcare</v>
      </c>
      <c r="H486" t="str">
        <f>Deals_Raw!H486</f>
        <v>West</v>
      </c>
      <c r="I486" t="str">
        <f>Deals_Raw!I486</f>
        <v>West Commercial</v>
      </c>
      <c r="J486" t="str">
        <f>Deals_Raw!J486</f>
        <v>SMB</v>
      </c>
      <c r="K486" t="str">
        <f>Deals_Raw!K486</f>
        <v>No</v>
      </c>
      <c r="L486">
        <f>Deals_Raw!L486</f>
        <v>44440</v>
      </c>
      <c r="M486">
        <f>Deals_Raw!M486</f>
        <v>70</v>
      </c>
      <c r="N486" t="str">
        <f>Deals_Raw!N486</f>
        <v>Nexus AI Assistant</v>
      </c>
      <c r="O486" t="str">
        <f>Deals_Raw!O486</f>
        <v>New Business</v>
      </c>
      <c r="P486">
        <f>Deals_Raw!P486</f>
        <v>0</v>
      </c>
      <c r="Q486">
        <f>Deals_Raw!Q486</f>
        <v>1</v>
      </c>
      <c r="R486">
        <f>Deals_Raw!R486</f>
        <v>21</v>
      </c>
      <c r="S486" t="str">
        <f>Deals_Raw!S486</f>
        <v>M. Johnson</v>
      </c>
      <c r="T486" s="6">
        <f>Deals_Raw!T486</f>
        <v>42004.130981618146</v>
      </c>
      <c r="U486" s="8">
        <f>Deals_Raw!V486</f>
        <v>0.19700000000000001</v>
      </c>
      <c r="V486" s="8">
        <f>Deals_Raw!W486</f>
        <v>0.17299999999999999</v>
      </c>
      <c r="W486" s="8">
        <f>Deals_Raw!X486</f>
        <v>-8.0000000000000002E-3</v>
      </c>
      <c r="X486" t="str">
        <f>Deals_Raw!Y486</f>
        <v>Procurement requirement</v>
      </c>
      <c r="Y486" t="str">
        <f>Deals_Raw!Z486</f>
        <v>Pricing Analyst</v>
      </c>
      <c r="Z486" s="6">
        <f>Deals_Raw!AA486</f>
        <v>34732.621637482305</v>
      </c>
      <c r="AA486" s="6">
        <f>Deals_Raw!AC486</f>
        <v>16408.587620290895</v>
      </c>
      <c r="AB486" s="6">
        <f>Deals_Raw!AD486</f>
        <v>18324.03401719141</v>
      </c>
      <c r="AC486" s="8">
        <f>Deals_Raw!AE486</f>
        <v>0.52757416956446257</v>
      </c>
      <c r="AD486" t="str">
        <f>Deals_Raw!AF486</f>
        <v>Won</v>
      </c>
      <c r="AE486">
        <f>Deals_Raw!AG486</f>
        <v>0</v>
      </c>
      <c r="AF486">
        <f>Deals_Raw!AH486</f>
        <v>0</v>
      </c>
      <c r="AG486" t="str">
        <f>Deals_Raw!AI486</f>
        <v>No</v>
      </c>
      <c r="AH486" s="6">
        <f>Deals_Raw!AJ486</f>
        <v>34732.621637482305</v>
      </c>
      <c r="AI486" s="6">
        <f>Deals_Raw!AK486</f>
        <v>18324.03401719141</v>
      </c>
      <c r="AJ486" t="str">
        <f>Deals_Raw!AL486</f>
        <v>First purchase under this contract</v>
      </c>
      <c r="AK486" s="9">
        <f t="shared" si="49"/>
        <v>2.4138888888888888</v>
      </c>
      <c r="AL486" s="8">
        <f t="shared" si="50"/>
        <v>0.82688585207683507</v>
      </c>
      <c r="AM486" s="8">
        <f t="shared" si="51"/>
        <v>2.4000000000000021E-2</v>
      </c>
      <c r="AN486" t="str">
        <f>IF(AC486&lt;Pricing_Policy!$C$10,"Below Floor","Pass")</f>
        <v>Pass</v>
      </c>
      <c r="AO486" t="str">
        <f>IF(V486&gt;Pricing_Policy!$C$7,"Exception","Standard")</f>
        <v>Standard</v>
      </c>
      <c r="AP486" t="str">
        <f t="shared" si="52"/>
        <v>Pass</v>
      </c>
      <c r="AQ486">
        <f t="shared" si="53"/>
        <v>1</v>
      </c>
      <c r="AR486" s="8">
        <f t="shared" si="54"/>
        <v>0.52757416956446257</v>
      </c>
      <c r="AS486">
        <f t="shared" si="55"/>
        <v>2</v>
      </c>
    </row>
    <row r="487" spans="1:45">
      <c r="A487" t="str">
        <f>Deals_Raw!A487</f>
        <v>D00549</v>
      </c>
      <c r="B487">
        <f>Deals_Raw!B487</f>
        <v>45686</v>
      </c>
      <c r="C487" t="str">
        <f>Deals_Raw!C487</f>
        <v>C0136</v>
      </c>
      <c r="D487" t="str">
        <f>Deals_Raw!D487</f>
        <v>HEA-0136</v>
      </c>
      <c r="E487" t="str">
        <f>Deals_Raw!E487</f>
        <v>CT00297</v>
      </c>
      <c r="F487" t="str">
        <f>Deals_Raw!F487</f>
        <v>Sales</v>
      </c>
      <c r="G487" t="str">
        <f>Deals_Raw!G487</f>
        <v>Healthcare</v>
      </c>
      <c r="H487" t="str">
        <f>Deals_Raw!H487</f>
        <v>West</v>
      </c>
      <c r="I487" t="str">
        <f>Deals_Raw!I487</f>
        <v>West Commercial</v>
      </c>
      <c r="J487" t="str">
        <f>Deals_Raw!J487</f>
        <v>SMB</v>
      </c>
      <c r="K487" t="str">
        <f>Deals_Raw!K487</f>
        <v>No</v>
      </c>
      <c r="L487">
        <f>Deals_Raw!L487</f>
        <v>44440</v>
      </c>
      <c r="M487">
        <f>Deals_Raw!M487</f>
        <v>70</v>
      </c>
      <c r="N487" t="str">
        <f>Deals_Raw!N487</f>
        <v>Nexus AI Assistant</v>
      </c>
      <c r="O487" t="str">
        <f>Deals_Raw!O487</f>
        <v>Renewal</v>
      </c>
      <c r="P487">
        <f>Deals_Raw!P487</f>
        <v>0</v>
      </c>
      <c r="Q487">
        <f>Deals_Raw!Q487</f>
        <v>1</v>
      </c>
      <c r="R487">
        <f>Deals_Raw!R487</f>
        <v>21</v>
      </c>
      <c r="S487" t="str">
        <f>Deals_Raw!S487</f>
        <v>A. Patel</v>
      </c>
      <c r="T487" s="6">
        <f>Deals_Raw!T487</f>
        <v>44893.602493627543</v>
      </c>
      <c r="U487" s="8">
        <f>Deals_Raw!V487</f>
        <v>0.125</v>
      </c>
      <c r="V487" s="8">
        <f>Deals_Raw!W487</f>
        <v>0.105</v>
      </c>
      <c r="W487" s="8">
        <f>Deals_Raw!X487</f>
        <v>3.1E-2</v>
      </c>
      <c r="X487" t="str">
        <f>Deals_Raw!Y487</f>
        <v>Strategic logo opportunity</v>
      </c>
      <c r="Y487" t="str">
        <f>Deals_Raw!Z487</f>
        <v>Pricing Analyst</v>
      </c>
      <c r="Z487" s="6">
        <f>Deals_Raw!AA487</f>
        <v>40162.402142507584</v>
      </c>
      <c r="AA487" s="6">
        <f>Deals_Raw!AC487</f>
        <v>18145.4759282183</v>
      </c>
      <c r="AB487" s="6">
        <f>Deals_Raw!AD487</f>
        <v>22016.926214289284</v>
      </c>
      <c r="AC487" s="8">
        <f>Deals_Raw!AE487</f>
        <v>0.54819744437015971</v>
      </c>
      <c r="AD487" t="str">
        <f>Deals_Raw!AF487</f>
        <v>Lost</v>
      </c>
      <c r="AE487" t="str">
        <f>Deals_Raw!AG487</f>
        <v>No</v>
      </c>
      <c r="AF487">
        <f>Deals_Raw!AH487</f>
        <v>0</v>
      </c>
      <c r="AG487" t="str">
        <f>Deals_Raw!AI487</f>
        <v>No</v>
      </c>
      <c r="AH487" s="6">
        <f>Deals_Raw!AJ487</f>
        <v>0</v>
      </c>
      <c r="AI487" s="6">
        <f>Deals_Raw!AK487</f>
        <v>0</v>
      </c>
      <c r="AJ487" t="str">
        <f>Deals_Raw!AL487</f>
        <v>Renewal of existing active contract</v>
      </c>
      <c r="AK487" s="9">
        <f t="shared" si="49"/>
        <v>3.411111111111111</v>
      </c>
      <c r="AL487" s="8">
        <f t="shared" si="50"/>
        <v>0.89461303864416908</v>
      </c>
      <c r="AM487" s="8">
        <f t="shared" si="51"/>
        <v>2.0000000000000004E-2</v>
      </c>
      <c r="AN487" t="str">
        <f>IF(AC487&lt;Pricing_Policy!$C$10,"Below Floor","Pass")</f>
        <v>Pass</v>
      </c>
      <c r="AO487" t="str">
        <f>IF(V487&gt;Pricing_Policy!$C$7,"Exception","Standard")</f>
        <v>Standard</v>
      </c>
      <c r="AP487" t="str">
        <f t="shared" si="52"/>
        <v>Pass</v>
      </c>
      <c r="AQ487">
        <f t="shared" si="53"/>
        <v>0</v>
      </c>
      <c r="AR487" s="8">
        <f t="shared" si="54"/>
        <v>0</v>
      </c>
      <c r="AS487">
        <f t="shared" si="55"/>
        <v>2</v>
      </c>
    </row>
    <row r="488" spans="1:45">
      <c r="A488" t="str">
        <f>Deals_Raw!A488</f>
        <v>D00550</v>
      </c>
      <c r="B488">
        <f>Deals_Raw!B488</f>
        <v>45825</v>
      </c>
      <c r="C488" t="str">
        <f>Deals_Raw!C488</f>
        <v>C0137</v>
      </c>
      <c r="D488" t="str">
        <f>Deals_Raw!D488</f>
        <v>HEA-0137</v>
      </c>
      <c r="E488" t="str">
        <f>Deals_Raw!E488</f>
        <v>CT00298</v>
      </c>
      <c r="F488" t="str">
        <f>Deals_Raw!F488</f>
        <v>Finance</v>
      </c>
      <c r="G488" t="str">
        <f>Deals_Raw!G488</f>
        <v>Healthcare</v>
      </c>
      <c r="H488" t="str">
        <f>Deals_Raw!H488</f>
        <v>Midwest</v>
      </c>
      <c r="I488" t="str">
        <f>Deals_Raw!I488</f>
        <v>Midwest Enterprise</v>
      </c>
      <c r="J488" t="str">
        <f>Deals_Raw!J488</f>
        <v>Enterprise</v>
      </c>
      <c r="K488" t="str">
        <f>Deals_Raw!K488</f>
        <v>No</v>
      </c>
      <c r="L488">
        <f>Deals_Raw!L488</f>
        <v>44805</v>
      </c>
      <c r="M488">
        <f>Deals_Raw!M488</f>
        <v>67</v>
      </c>
      <c r="N488" t="str">
        <f>Deals_Raw!N488</f>
        <v>Nexus Compliance</v>
      </c>
      <c r="O488" t="str">
        <f>Deals_Raw!O488</f>
        <v>Renewal</v>
      </c>
      <c r="P488">
        <f>Deals_Raw!P488</f>
        <v>0</v>
      </c>
      <c r="Q488">
        <f>Deals_Raw!Q488</f>
        <v>2</v>
      </c>
      <c r="R488">
        <f>Deals_Raw!R488</f>
        <v>1604</v>
      </c>
      <c r="S488" t="str">
        <f>Deals_Raw!S488</f>
        <v>A. Patel</v>
      </c>
      <c r="T488" s="6">
        <f>Deals_Raw!T488</f>
        <v>494474.63067610789</v>
      </c>
      <c r="U488" s="8">
        <f>Deals_Raw!V488</f>
        <v>7.2999999999999995E-2</v>
      </c>
      <c r="V488" s="8">
        <f>Deals_Raw!W488</f>
        <v>6.2E-2</v>
      </c>
      <c r="W488" s="8">
        <f>Deals_Raw!X488</f>
        <v>3.7999999999999999E-2</v>
      </c>
      <c r="X488" t="str">
        <f>Deals_Raw!Y488</f>
        <v>Budget constraint</v>
      </c>
      <c r="Y488" t="str">
        <f>Deals_Raw!Z488</f>
        <v>Sales Manager</v>
      </c>
      <c r="Z488" s="6">
        <f>Deals_Raw!AA488</f>
        <v>463902.38966977858</v>
      </c>
      <c r="AA488" s="6">
        <f>Deals_Raw!AC488</f>
        <v>160975.16481702935</v>
      </c>
      <c r="AB488" s="6">
        <f>Deals_Raw!AD488</f>
        <v>302927.22485274926</v>
      </c>
      <c r="AC488" s="8">
        <f>Deals_Raw!AE488</f>
        <v>0.65299776763034811</v>
      </c>
      <c r="AD488" t="str">
        <f>Deals_Raw!AF488</f>
        <v>Lost</v>
      </c>
      <c r="AE488" t="str">
        <f>Deals_Raw!AG488</f>
        <v>No</v>
      </c>
      <c r="AF488">
        <f>Deals_Raw!AH488</f>
        <v>0</v>
      </c>
      <c r="AG488" t="str">
        <f>Deals_Raw!AI488</f>
        <v>No</v>
      </c>
      <c r="AH488" s="6">
        <f>Deals_Raw!AJ488</f>
        <v>0</v>
      </c>
      <c r="AI488" s="6">
        <f>Deals_Raw!AK488</f>
        <v>0</v>
      </c>
      <c r="AJ488" t="str">
        <f>Deals_Raw!AL488</f>
        <v>Renewal of existing active contract</v>
      </c>
      <c r="AK488" s="9">
        <f t="shared" si="49"/>
        <v>2.7944444444444443</v>
      </c>
      <c r="AL488" s="8">
        <f t="shared" si="50"/>
        <v>0.938172275967875</v>
      </c>
      <c r="AM488" s="8">
        <f t="shared" si="51"/>
        <v>1.0999999999999996E-2</v>
      </c>
      <c r="AN488" t="str">
        <f>IF(AC488&lt;Pricing_Policy!$C$10,"Below Floor","Pass")</f>
        <v>Pass</v>
      </c>
      <c r="AO488" t="str">
        <f>IF(V488&gt;Pricing_Policy!$C$7,"Exception","Standard")</f>
        <v>Standard</v>
      </c>
      <c r="AP488" t="str">
        <f t="shared" si="52"/>
        <v>Pass</v>
      </c>
      <c r="AQ488">
        <f t="shared" si="53"/>
        <v>0</v>
      </c>
      <c r="AR488" s="8">
        <f t="shared" si="54"/>
        <v>0</v>
      </c>
      <c r="AS488">
        <f t="shared" si="55"/>
        <v>1</v>
      </c>
    </row>
    <row r="489" spans="1:45">
      <c r="A489" t="str">
        <f>Deals_Raw!A489</f>
        <v>D00551</v>
      </c>
      <c r="B489">
        <f>Deals_Raw!B489</f>
        <v>45535</v>
      </c>
      <c r="C489" t="str">
        <f>Deals_Raw!C489</f>
        <v>C0138</v>
      </c>
      <c r="D489" t="str">
        <f>Deals_Raw!D489</f>
        <v>PUB-0138</v>
      </c>
      <c r="E489" t="str">
        <f>Deals_Raw!E489</f>
        <v>CT00299</v>
      </c>
      <c r="F489" t="str">
        <f>Deals_Raw!F489</f>
        <v>Legal</v>
      </c>
      <c r="G489" t="str">
        <f>Deals_Raw!G489</f>
        <v>Public Sector</v>
      </c>
      <c r="H489" t="str">
        <f>Deals_Raw!H489</f>
        <v>West</v>
      </c>
      <c r="I489" t="str">
        <f>Deals_Raw!I489</f>
        <v>West Commercial</v>
      </c>
      <c r="J489" t="str">
        <f>Deals_Raw!J489</f>
        <v>Mid-Market</v>
      </c>
      <c r="K489" t="str">
        <f>Deals_Raw!K489</f>
        <v>No</v>
      </c>
      <c r="L489">
        <f>Deals_Raw!L489</f>
        <v>43739</v>
      </c>
      <c r="M489">
        <f>Deals_Raw!M489</f>
        <v>60</v>
      </c>
      <c r="N489" t="str">
        <f>Deals_Raw!N489</f>
        <v>Nexus Compliance</v>
      </c>
      <c r="O489" t="str">
        <f>Deals_Raw!O489</f>
        <v>New Business</v>
      </c>
      <c r="P489">
        <f>Deals_Raw!P489</f>
        <v>0</v>
      </c>
      <c r="Q489">
        <f>Deals_Raw!Q489</f>
        <v>1</v>
      </c>
      <c r="R489">
        <f>Deals_Raw!R489</f>
        <v>130</v>
      </c>
      <c r="S489" t="str">
        <f>Deals_Raw!S489</f>
        <v>T. Brooks</v>
      </c>
      <c r="T489" s="6">
        <f>Deals_Raw!T489</f>
        <v>157870.84114007384</v>
      </c>
      <c r="U489" s="8">
        <f>Deals_Raw!V489</f>
        <v>0.11799999999999999</v>
      </c>
      <c r="V489" s="8">
        <f>Deals_Raw!W489</f>
        <v>0.10199999999999999</v>
      </c>
      <c r="W489" s="8">
        <f>Deals_Raw!X489</f>
        <v>0.10199999999999999</v>
      </c>
      <c r="X489" t="str">
        <f>Deals_Raw!Y489</f>
        <v>Multi-year commitment</v>
      </c>
      <c r="Y489" t="str">
        <f>Deals_Raw!Z489</f>
        <v>Pricing Analyst</v>
      </c>
      <c r="Z489" s="6">
        <f>Deals_Raw!AA489</f>
        <v>141689.76128590311</v>
      </c>
      <c r="AA489" s="6">
        <f>Deals_Raw!AC489</f>
        <v>55350.717248164387</v>
      </c>
      <c r="AB489" s="6">
        <f>Deals_Raw!AD489</f>
        <v>86339.044037738728</v>
      </c>
      <c r="AC489" s="8">
        <f>Deals_Raw!AE489</f>
        <v>0.60935273836422721</v>
      </c>
      <c r="AD489" t="str">
        <f>Deals_Raw!AF489</f>
        <v>Lost</v>
      </c>
      <c r="AE489">
        <f>Deals_Raw!AG489</f>
        <v>0</v>
      </c>
      <c r="AF489">
        <f>Deals_Raw!AH489</f>
        <v>0</v>
      </c>
      <c r="AG489" t="str">
        <f>Deals_Raw!AI489</f>
        <v>No</v>
      </c>
      <c r="AH489" s="6">
        <f>Deals_Raw!AJ489</f>
        <v>0</v>
      </c>
      <c r="AI489" s="6">
        <f>Deals_Raw!AK489</f>
        <v>0</v>
      </c>
      <c r="AJ489" t="str">
        <f>Deals_Raw!AL489</f>
        <v>First purchase under this contract</v>
      </c>
      <c r="AK489" s="9">
        <f t="shared" si="49"/>
        <v>4.916666666666667</v>
      </c>
      <c r="AL489" s="8">
        <f t="shared" si="50"/>
        <v>0.89750431595019009</v>
      </c>
      <c r="AM489" s="8">
        <f t="shared" si="51"/>
        <v>1.6E-2</v>
      </c>
      <c r="AN489" t="str">
        <f>IF(AC489&lt;Pricing_Policy!$C$10,"Below Floor","Pass")</f>
        <v>Pass</v>
      </c>
      <c r="AO489" t="str">
        <f>IF(V489&gt;Pricing_Policy!$C$7,"Exception","Standard")</f>
        <v>Standard</v>
      </c>
      <c r="AP489" t="str">
        <f t="shared" si="52"/>
        <v>Pass</v>
      </c>
      <c r="AQ489">
        <f t="shared" si="53"/>
        <v>0</v>
      </c>
      <c r="AR489" s="8">
        <f t="shared" si="54"/>
        <v>0</v>
      </c>
      <c r="AS489">
        <f t="shared" si="55"/>
        <v>1</v>
      </c>
    </row>
    <row r="490" spans="1:45">
      <c r="A490" t="str">
        <f>Deals_Raw!A490</f>
        <v>D00552</v>
      </c>
      <c r="B490">
        <f>Deals_Raw!B490</f>
        <v>45801</v>
      </c>
      <c r="C490" t="str">
        <f>Deals_Raw!C490</f>
        <v>C0139</v>
      </c>
      <c r="D490" t="str">
        <f>Deals_Raw!D490</f>
        <v>LEG-0139</v>
      </c>
      <c r="E490" t="str">
        <f>Deals_Raw!E490</f>
        <v>CT00300</v>
      </c>
      <c r="F490" t="str">
        <f>Deals_Raw!F490</f>
        <v>Operations</v>
      </c>
      <c r="G490" t="str">
        <f>Deals_Raw!G490</f>
        <v>Legal</v>
      </c>
      <c r="H490" t="str">
        <f>Deals_Raw!H490</f>
        <v>Northeast</v>
      </c>
      <c r="I490" t="str">
        <f>Deals_Raw!I490</f>
        <v>Northeast Commercial</v>
      </c>
      <c r="J490" t="str">
        <f>Deals_Raw!J490</f>
        <v>SMB</v>
      </c>
      <c r="K490" t="str">
        <f>Deals_Raw!K490</f>
        <v>No</v>
      </c>
      <c r="L490">
        <f>Deals_Raw!L490</f>
        <v>44805</v>
      </c>
      <c r="M490">
        <f>Deals_Raw!M490</f>
        <v>76</v>
      </c>
      <c r="N490" t="str">
        <f>Deals_Raw!N490</f>
        <v>Nexus Enterprise Suite</v>
      </c>
      <c r="O490" t="str">
        <f>Deals_Raw!O490</f>
        <v>Renewal</v>
      </c>
      <c r="P490">
        <f>Deals_Raw!P490</f>
        <v>0</v>
      </c>
      <c r="Q490">
        <f>Deals_Raw!Q490</f>
        <v>2</v>
      </c>
      <c r="R490">
        <f>Deals_Raw!R490</f>
        <v>58</v>
      </c>
      <c r="S490" t="str">
        <f>Deals_Raw!S490</f>
        <v>A. Patel</v>
      </c>
      <c r="T490" s="6">
        <f>Deals_Raw!T490</f>
        <v>124912.94934819422</v>
      </c>
      <c r="U490" s="8">
        <f>Deals_Raw!V490</f>
        <v>0.11700000000000001</v>
      </c>
      <c r="V490" s="8">
        <f>Deals_Raw!W490</f>
        <v>0.113</v>
      </c>
      <c r="W490" s="8">
        <f>Deals_Raw!X490</f>
        <v>-0.01</v>
      </c>
      <c r="X490" t="str">
        <f>Deals_Raw!Y490</f>
        <v>Volume purchase</v>
      </c>
      <c r="Y490" t="str">
        <f>Deals_Raw!Z490</f>
        <v>Pricing Analyst</v>
      </c>
      <c r="Z490" s="6">
        <f>Deals_Raw!AA490</f>
        <v>110778.62137181839</v>
      </c>
      <c r="AA490" s="6">
        <f>Deals_Raw!AC490</f>
        <v>43521.724354342783</v>
      </c>
      <c r="AB490" s="6">
        <f>Deals_Raw!AD490</f>
        <v>67256.897017475596</v>
      </c>
      <c r="AC490" s="8">
        <f>Deals_Raw!AE490</f>
        <v>0.60712885017528717</v>
      </c>
      <c r="AD490" t="str">
        <f>Deals_Raw!AF490</f>
        <v>Won</v>
      </c>
      <c r="AE490" t="str">
        <f>Deals_Raw!AG490</f>
        <v>Yes</v>
      </c>
      <c r="AF490">
        <f>Deals_Raw!AH490</f>
        <v>0</v>
      </c>
      <c r="AG490" t="str">
        <f>Deals_Raw!AI490</f>
        <v>No</v>
      </c>
      <c r="AH490" s="6">
        <f>Deals_Raw!AJ490</f>
        <v>110778.62137181839</v>
      </c>
      <c r="AI490" s="6">
        <f>Deals_Raw!AK490</f>
        <v>67256.897017475596</v>
      </c>
      <c r="AJ490" t="str">
        <f>Deals_Raw!AL490</f>
        <v>Renewal of existing active contract</v>
      </c>
      <c r="AK490" s="9">
        <f t="shared" si="49"/>
        <v>2.7305555555555556</v>
      </c>
      <c r="AL490" s="8">
        <f t="shared" si="50"/>
        <v>0.88684657555417679</v>
      </c>
      <c r="AM490" s="8">
        <f t="shared" si="51"/>
        <v>4.0000000000000036E-3</v>
      </c>
      <c r="AN490" t="str">
        <f>IF(AC490&lt;Pricing_Policy!$C$10,"Below Floor","Pass")</f>
        <v>Pass</v>
      </c>
      <c r="AO490" t="str">
        <f>IF(V490&gt;Pricing_Policy!$C$7,"Exception","Standard")</f>
        <v>Standard</v>
      </c>
      <c r="AP490" t="str">
        <f t="shared" si="52"/>
        <v>Pass</v>
      </c>
      <c r="AQ490">
        <f t="shared" si="53"/>
        <v>1</v>
      </c>
      <c r="AR490" s="8">
        <f t="shared" si="54"/>
        <v>0.60712885017528717</v>
      </c>
      <c r="AS490">
        <f t="shared" si="55"/>
        <v>1</v>
      </c>
    </row>
    <row r="491" spans="1:45">
      <c r="A491" t="str">
        <f>Deals_Raw!A491</f>
        <v>D00553</v>
      </c>
      <c r="B491">
        <f>Deals_Raw!B491</f>
        <v>45483</v>
      </c>
      <c r="C491" t="str">
        <f>Deals_Raw!C491</f>
        <v>C0139</v>
      </c>
      <c r="D491" t="str">
        <f>Deals_Raw!D491</f>
        <v>LEG-0139</v>
      </c>
      <c r="E491" t="str">
        <f>Deals_Raw!E491</f>
        <v>CT00301</v>
      </c>
      <c r="F491" t="str">
        <f>Deals_Raw!F491</f>
        <v>Legal</v>
      </c>
      <c r="G491" t="str">
        <f>Deals_Raw!G491</f>
        <v>Legal</v>
      </c>
      <c r="H491" t="str">
        <f>Deals_Raw!H491</f>
        <v>Northeast</v>
      </c>
      <c r="I491" t="str">
        <f>Deals_Raw!I491</f>
        <v>Northeast Commercial</v>
      </c>
      <c r="J491" t="str">
        <f>Deals_Raw!J491</f>
        <v>SMB</v>
      </c>
      <c r="K491" t="str">
        <f>Deals_Raw!K491</f>
        <v>No</v>
      </c>
      <c r="L491">
        <f>Deals_Raw!L491</f>
        <v>44805</v>
      </c>
      <c r="M491">
        <f>Deals_Raw!M491</f>
        <v>76</v>
      </c>
      <c r="N491" t="str">
        <f>Deals_Raw!N491</f>
        <v>Nexus Analytics</v>
      </c>
      <c r="O491" t="str">
        <f>Deals_Raw!O491</f>
        <v>Renewal</v>
      </c>
      <c r="P491">
        <f>Deals_Raw!P491</f>
        <v>0</v>
      </c>
      <c r="Q491">
        <f>Deals_Raw!Q491</f>
        <v>1</v>
      </c>
      <c r="R491">
        <f>Deals_Raw!R491</f>
        <v>24</v>
      </c>
      <c r="S491" t="str">
        <f>Deals_Raw!S491</f>
        <v>M. Johnson</v>
      </c>
      <c r="T491" s="6">
        <f>Deals_Raw!T491</f>
        <v>56355.200684024872</v>
      </c>
      <c r="U491" s="8">
        <f>Deals_Raw!V491</f>
        <v>0.14699999999999999</v>
      </c>
      <c r="V491" s="8">
        <f>Deals_Raw!W491</f>
        <v>0.114</v>
      </c>
      <c r="W491" s="8">
        <f>Deals_Raw!X491</f>
        <v>-0.13500000000000001</v>
      </c>
      <c r="X491" t="str">
        <f>Deals_Raw!Y491</f>
        <v>Verified competitor pressure</v>
      </c>
      <c r="Y491" t="str">
        <f>Deals_Raw!Z491</f>
        <v>Pricing Analyst</v>
      </c>
      <c r="Z491" s="6">
        <f>Deals_Raw!AA491</f>
        <v>49915.35548675045</v>
      </c>
      <c r="AA491" s="6">
        <f>Deals_Raw!AC491</f>
        <v>15338.227039922482</v>
      </c>
      <c r="AB491" s="6">
        <f>Deals_Raw!AD491</f>
        <v>34577.12844682797</v>
      </c>
      <c r="AC491" s="8">
        <f>Deals_Raw!AE491</f>
        <v>0.69271525985638094</v>
      </c>
      <c r="AD491" t="str">
        <f>Deals_Raw!AF491</f>
        <v>Won</v>
      </c>
      <c r="AE491" t="str">
        <f>Deals_Raw!AG491</f>
        <v>Yes</v>
      </c>
      <c r="AF491">
        <f>Deals_Raw!AH491</f>
        <v>0</v>
      </c>
      <c r="AG491" t="str">
        <f>Deals_Raw!AI491</f>
        <v>No</v>
      </c>
      <c r="AH491" s="6">
        <f>Deals_Raw!AJ491</f>
        <v>49915.35548675045</v>
      </c>
      <c r="AI491" s="6">
        <f>Deals_Raw!AK491</f>
        <v>34577.12844682797</v>
      </c>
      <c r="AJ491" t="str">
        <f>Deals_Raw!AL491</f>
        <v>Renewal of existing active contract</v>
      </c>
      <c r="AK491" s="9">
        <f t="shared" si="49"/>
        <v>1.8583333333333334</v>
      </c>
      <c r="AL491" s="8">
        <f t="shared" si="50"/>
        <v>0.8857275793696191</v>
      </c>
      <c r="AM491" s="8">
        <f t="shared" si="51"/>
        <v>3.2999999999999988E-2</v>
      </c>
      <c r="AN491" t="str">
        <f>IF(AC491&lt;Pricing_Policy!$C$10,"Below Floor","Pass")</f>
        <v>Pass</v>
      </c>
      <c r="AO491" t="str">
        <f>IF(V491&gt;Pricing_Policy!$C$7,"Exception","Standard")</f>
        <v>Standard</v>
      </c>
      <c r="AP491" t="str">
        <f t="shared" si="52"/>
        <v>Pass</v>
      </c>
      <c r="AQ491">
        <f t="shared" si="53"/>
        <v>1</v>
      </c>
      <c r="AR491" s="8">
        <f t="shared" si="54"/>
        <v>0.69271525985638094</v>
      </c>
      <c r="AS491">
        <f t="shared" si="55"/>
        <v>2</v>
      </c>
    </row>
    <row r="492" spans="1:45">
      <c r="A492" t="str">
        <f>Deals_Raw!A492</f>
        <v>D00554</v>
      </c>
      <c r="B492">
        <f>Deals_Raw!B492</f>
        <v>45848</v>
      </c>
      <c r="C492" t="str">
        <f>Deals_Raw!C492</f>
        <v>C0139</v>
      </c>
      <c r="D492" t="str">
        <f>Deals_Raw!D492</f>
        <v>LEG-0139</v>
      </c>
      <c r="E492" t="str">
        <f>Deals_Raw!E492</f>
        <v>CT00301</v>
      </c>
      <c r="F492" t="str">
        <f>Deals_Raw!F492</f>
        <v>Legal</v>
      </c>
      <c r="G492" t="str">
        <f>Deals_Raw!G492</f>
        <v>Legal</v>
      </c>
      <c r="H492" t="str">
        <f>Deals_Raw!H492</f>
        <v>Northeast</v>
      </c>
      <c r="I492" t="str">
        <f>Deals_Raw!I492</f>
        <v>Northeast Commercial</v>
      </c>
      <c r="J492" t="str">
        <f>Deals_Raw!J492</f>
        <v>SMB</v>
      </c>
      <c r="K492" t="str">
        <f>Deals_Raw!K492</f>
        <v>No</v>
      </c>
      <c r="L492">
        <f>Deals_Raw!L492</f>
        <v>44805</v>
      </c>
      <c r="M492">
        <f>Deals_Raw!M492</f>
        <v>76</v>
      </c>
      <c r="N492" t="str">
        <f>Deals_Raw!N492</f>
        <v>Nexus Analytics</v>
      </c>
      <c r="O492" t="str">
        <f>Deals_Raw!O492</f>
        <v>Renewal</v>
      </c>
      <c r="P492">
        <f>Deals_Raw!P492</f>
        <v>0</v>
      </c>
      <c r="Q492">
        <f>Deals_Raw!Q492</f>
        <v>1</v>
      </c>
      <c r="R492">
        <f>Deals_Raw!R492</f>
        <v>24</v>
      </c>
      <c r="S492" t="str">
        <f>Deals_Raw!S492</f>
        <v>A. Patel</v>
      </c>
      <c r="T492" s="6">
        <f>Deals_Raw!T492</f>
        <v>58980.088111175806</v>
      </c>
      <c r="U492" s="8">
        <f>Deals_Raw!V492</f>
        <v>0.107</v>
      </c>
      <c r="V492" s="8">
        <f>Deals_Raw!W492</f>
        <v>7.6999999999999999E-2</v>
      </c>
      <c r="W492" s="8">
        <f>Deals_Raw!X492</f>
        <v>1.4999999999999999E-2</v>
      </c>
      <c r="X492" t="str">
        <f>Deals_Raw!Y492</f>
        <v>Budget constraint</v>
      </c>
      <c r="Y492" t="str">
        <f>Deals_Raw!Z492</f>
        <v>Sales Manager</v>
      </c>
      <c r="Z492" s="6">
        <f>Deals_Raw!AA492</f>
        <v>54466.136709420847</v>
      </c>
      <c r="AA492" s="6">
        <f>Deals_Raw!AC492</f>
        <v>16897.543362195203</v>
      </c>
      <c r="AB492" s="6">
        <f>Deals_Raw!AD492</f>
        <v>37568.593347225644</v>
      </c>
      <c r="AC492" s="8">
        <f>Deals_Raw!AE492</f>
        <v>0.68976056715121337</v>
      </c>
      <c r="AD492" t="str">
        <f>Deals_Raw!AF492</f>
        <v>Lost</v>
      </c>
      <c r="AE492" t="str">
        <f>Deals_Raw!AG492</f>
        <v>No</v>
      </c>
      <c r="AF492">
        <f>Deals_Raw!AH492</f>
        <v>0</v>
      </c>
      <c r="AG492" t="str">
        <f>Deals_Raw!AI492</f>
        <v>No</v>
      </c>
      <c r="AH492" s="6">
        <f>Deals_Raw!AJ492</f>
        <v>0</v>
      </c>
      <c r="AI492" s="6">
        <f>Deals_Raw!AK492</f>
        <v>0</v>
      </c>
      <c r="AJ492" t="str">
        <f>Deals_Raw!AL492</f>
        <v>Renewal of existing active contract</v>
      </c>
      <c r="AK492" s="9">
        <f t="shared" si="49"/>
        <v>2.8583333333333334</v>
      </c>
      <c r="AL492" s="8">
        <f t="shared" si="50"/>
        <v>0.92346651986605566</v>
      </c>
      <c r="AM492" s="8">
        <f t="shared" si="51"/>
        <v>0.03</v>
      </c>
      <c r="AN492" t="str">
        <f>IF(AC492&lt;Pricing_Policy!$C$10,"Below Floor","Pass")</f>
        <v>Pass</v>
      </c>
      <c r="AO492" t="str">
        <f>IF(V492&gt;Pricing_Policy!$C$7,"Exception","Standard")</f>
        <v>Standard</v>
      </c>
      <c r="AP492" t="str">
        <f t="shared" si="52"/>
        <v>Pass</v>
      </c>
      <c r="AQ492">
        <f t="shared" si="53"/>
        <v>0</v>
      </c>
      <c r="AR492" s="8">
        <f t="shared" si="54"/>
        <v>0</v>
      </c>
      <c r="AS492">
        <f t="shared" si="55"/>
        <v>2</v>
      </c>
    </row>
    <row r="493" spans="1:45">
      <c r="A493" t="str">
        <f>Deals_Raw!A493</f>
        <v>D00558</v>
      </c>
      <c r="B493">
        <f>Deals_Raw!B493</f>
        <v>45448</v>
      </c>
      <c r="C493" t="str">
        <f>Deals_Raw!C493</f>
        <v>C0140</v>
      </c>
      <c r="D493" t="str">
        <f>Deals_Raw!D493</f>
        <v>FIN-0140</v>
      </c>
      <c r="E493" t="str">
        <f>Deals_Raw!E493</f>
        <v>CT00302</v>
      </c>
      <c r="F493" t="str">
        <f>Deals_Raw!F493</f>
        <v>Finance</v>
      </c>
      <c r="G493" t="str">
        <f>Deals_Raw!G493</f>
        <v>Financial Services</v>
      </c>
      <c r="H493" t="str">
        <f>Deals_Raw!H493</f>
        <v>Northeast</v>
      </c>
      <c r="I493" t="str">
        <f>Deals_Raw!I493</f>
        <v>Northeast Commercial</v>
      </c>
      <c r="J493" t="str">
        <f>Deals_Raw!J493</f>
        <v>Mid-Market</v>
      </c>
      <c r="K493" t="str">
        <f>Deals_Raw!K493</f>
        <v>No</v>
      </c>
      <c r="L493">
        <f>Deals_Raw!L493</f>
        <v>43831</v>
      </c>
      <c r="M493">
        <f>Deals_Raw!M493</f>
        <v>63</v>
      </c>
      <c r="N493" t="str">
        <f>Deals_Raw!N493</f>
        <v>Nexus Enterprise Suite</v>
      </c>
      <c r="O493" t="str">
        <f>Deals_Raw!O493</f>
        <v>Renewal</v>
      </c>
      <c r="P493">
        <f>Deals_Raw!P493</f>
        <v>0</v>
      </c>
      <c r="Q493">
        <f>Deals_Raw!Q493</f>
        <v>1</v>
      </c>
      <c r="R493">
        <f>Deals_Raw!R493</f>
        <v>243</v>
      </c>
      <c r="S493" t="str">
        <f>Deals_Raw!S493</f>
        <v>D. Chen</v>
      </c>
      <c r="T493" s="6">
        <f>Deals_Raw!T493</f>
        <v>512312.12850313081</v>
      </c>
      <c r="U493" s="8">
        <f>Deals_Raw!V493</f>
        <v>0.14799999999999999</v>
      </c>
      <c r="V493" s="8">
        <f>Deals_Raw!W493</f>
        <v>0.123</v>
      </c>
      <c r="W493" s="8">
        <f>Deals_Raw!X493</f>
        <v>1.4E-2</v>
      </c>
      <c r="X493" t="str">
        <f>Deals_Raw!Y493</f>
        <v>Renewal retention risk</v>
      </c>
      <c r="Y493" t="str">
        <f>Deals_Raw!Z493</f>
        <v>Pricing Analyst</v>
      </c>
      <c r="Z493" s="6">
        <f>Deals_Raw!AA493</f>
        <v>449538.73000135919</v>
      </c>
      <c r="AA493" s="6">
        <f>Deals_Raw!AC493</f>
        <v>160070.03317299957</v>
      </c>
      <c r="AB493" s="6">
        <f>Deals_Raw!AD493</f>
        <v>289468.69682835962</v>
      </c>
      <c r="AC493" s="8">
        <f>Deals_Raw!AE493</f>
        <v>0.64392382126337455</v>
      </c>
      <c r="AD493" t="str">
        <f>Deals_Raw!AF493</f>
        <v>Won</v>
      </c>
      <c r="AE493" t="str">
        <f>Deals_Raw!AG493</f>
        <v>Yes</v>
      </c>
      <c r="AF493">
        <f>Deals_Raw!AH493</f>
        <v>0</v>
      </c>
      <c r="AG493" t="str">
        <f>Deals_Raw!AI493</f>
        <v>No</v>
      </c>
      <c r="AH493" s="6">
        <f>Deals_Raw!AJ493</f>
        <v>449538.73000135919</v>
      </c>
      <c r="AI493" s="6">
        <f>Deals_Raw!AK493</f>
        <v>289468.69682835962</v>
      </c>
      <c r="AJ493" t="str">
        <f>Deals_Raw!AL493</f>
        <v>Renewal of existing active contract</v>
      </c>
      <c r="AK493" s="9">
        <f t="shared" si="49"/>
        <v>4.427777777777778</v>
      </c>
      <c r="AL493" s="8">
        <f t="shared" si="50"/>
        <v>0.87747040327703663</v>
      </c>
      <c r="AM493" s="8">
        <f t="shared" si="51"/>
        <v>2.4999999999999994E-2</v>
      </c>
      <c r="AN493" t="str">
        <f>IF(AC493&lt;Pricing_Policy!$C$10,"Below Floor","Pass")</f>
        <v>Pass</v>
      </c>
      <c r="AO493" t="str">
        <f>IF(V493&gt;Pricing_Policy!$C$7,"Exception","Standard")</f>
        <v>Standard</v>
      </c>
      <c r="AP493" t="str">
        <f t="shared" si="52"/>
        <v>Pass</v>
      </c>
      <c r="AQ493">
        <f t="shared" si="53"/>
        <v>1</v>
      </c>
      <c r="AR493" s="8">
        <f t="shared" si="54"/>
        <v>0.64392382126337455</v>
      </c>
      <c r="AS493">
        <f t="shared" si="55"/>
        <v>3</v>
      </c>
    </row>
    <row r="494" spans="1:45">
      <c r="A494" t="str">
        <f>Deals_Raw!A494</f>
        <v>D00559</v>
      </c>
      <c r="B494">
        <f>Deals_Raw!B494</f>
        <v>45684</v>
      </c>
      <c r="C494" t="str">
        <f>Deals_Raw!C494</f>
        <v>C0140</v>
      </c>
      <c r="D494" t="str">
        <f>Deals_Raw!D494</f>
        <v>FIN-0140</v>
      </c>
      <c r="E494" t="str">
        <f>Deals_Raw!E494</f>
        <v>CT00302</v>
      </c>
      <c r="F494" t="str">
        <f>Deals_Raw!F494</f>
        <v>Finance</v>
      </c>
      <c r="G494" t="str">
        <f>Deals_Raw!G494</f>
        <v>Financial Services</v>
      </c>
      <c r="H494" t="str">
        <f>Deals_Raw!H494</f>
        <v>Northeast</v>
      </c>
      <c r="I494" t="str">
        <f>Deals_Raw!I494</f>
        <v>Northeast Commercial</v>
      </c>
      <c r="J494" t="str">
        <f>Deals_Raw!J494</f>
        <v>Mid-Market</v>
      </c>
      <c r="K494" t="str">
        <f>Deals_Raw!K494</f>
        <v>No</v>
      </c>
      <c r="L494">
        <f>Deals_Raw!L494</f>
        <v>43831</v>
      </c>
      <c r="M494">
        <f>Deals_Raw!M494</f>
        <v>63</v>
      </c>
      <c r="N494" t="str">
        <f>Deals_Raw!N494</f>
        <v>Nexus Enterprise Suite</v>
      </c>
      <c r="O494" t="str">
        <f>Deals_Raw!O494</f>
        <v>Expansion</v>
      </c>
      <c r="P494" t="str">
        <f>Deals_Raw!P494</f>
        <v>Multi-year Extension</v>
      </c>
      <c r="Q494">
        <f>Deals_Raw!Q494</f>
        <v>1</v>
      </c>
      <c r="R494">
        <f>Deals_Raw!R494</f>
        <v>286</v>
      </c>
      <c r="S494" t="str">
        <f>Deals_Raw!S494</f>
        <v>S. Rivera</v>
      </c>
      <c r="T494" s="6">
        <f>Deals_Raw!T494</f>
        <v>576884.67537964031</v>
      </c>
      <c r="U494" s="8">
        <f>Deals_Raw!V494</f>
        <v>0.108</v>
      </c>
      <c r="V494" s="8">
        <f>Deals_Raw!W494</f>
        <v>7.0999999999999994E-2</v>
      </c>
      <c r="W494" s="8">
        <f>Deals_Raw!X494</f>
        <v>-8.5999999999999993E-2</v>
      </c>
      <c r="X494" t="str">
        <f>Deals_Raw!Y494</f>
        <v>Expansion opportunity</v>
      </c>
      <c r="Y494" t="str">
        <f>Deals_Raw!Z494</f>
        <v>Sales Manager</v>
      </c>
      <c r="Z494" s="6">
        <f>Deals_Raw!AA494</f>
        <v>535840.92899014091</v>
      </c>
      <c r="AA494" s="6">
        <f>Deals_Raw!AC494</f>
        <v>209106.87371398055</v>
      </c>
      <c r="AB494" s="6">
        <f>Deals_Raw!AD494</f>
        <v>326734.05527616036</v>
      </c>
      <c r="AC494" s="8">
        <f>Deals_Raw!AE494</f>
        <v>0.60975942224482826</v>
      </c>
      <c r="AD494" t="str">
        <f>Deals_Raw!AF494</f>
        <v>Lost</v>
      </c>
      <c r="AE494">
        <f>Deals_Raw!AG494</f>
        <v>0</v>
      </c>
      <c r="AF494" t="str">
        <f>Deals_Raw!AH494</f>
        <v>No</v>
      </c>
      <c r="AG494" t="str">
        <f>Deals_Raw!AI494</f>
        <v>No</v>
      </c>
      <c r="AH494" s="6">
        <f>Deals_Raw!AJ494</f>
        <v>0</v>
      </c>
      <c r="AI494" s="6">
        <f>Deals_Raw!AK494</f>
        <v>0</v>
      </c>
      <c r="AJ494" t="str">
        <f>Deals_Raw!AL494</f>
        <v>Expansion allowed because contract was active</v>
      </c>
      <c r="AK494" s="9">
        <f t="shared" si="49"/>
        <v>5.072222222222222</v>
      </c>
      <c r="AL494" s="8">
        <f t="shared" si="50"/>
        <v>0.92885277050826653</v>
      </c>
      <c r="AM494" s="8">
        <f t="shared" si="51"/>
        <v>3.7000000000000005E-2</v>
      </c>
      <c r="AN494" t="str">
        <f>IF(AC494&lt;Pricing_Policy!$C$10,"Below Floor","Pass")</f>
        <v>Pass</v>
      </c>
      <c r="AO494" t="str">
        <f>IF(V494&gt;Pricing_Policy!$C$7,"Exception","Standard")</f>
        <v>Standard</v>
      </c>
      <c r="AP494" t="str">
        <f t="shared" si="52"/>
        <v>Pass</v>
      </c>
      <c r="AQ494">
        <f t="shared" si="53"/>
        <v>0</v>
      </c>
      <c r="AR494" s="8">
        <f t="shared" si="54"/>
        <v>0</v>
      </c>
      <c r="AS494">
        <f t="shared" si="55"/>
        <v>3</v>
      </c>
    </row>
    <row r="495" spans="1:45">
      <c r="A495" t="str">
        <f>Deals_Raw!A495</f>
        <v>D00560</v>
      </c>
      <c r="B495">
        <f>Deals_Raw!B495</f>
        <v>45813</v>
      </c>
      <c r="C495" t="str">
        <f>Deals_Raw!C495</f>
        <v>C0140</v>
      </c>
      <c r="D495" t="str">
        <f>Deals_Raw!D495</f>
        <v>FIN-0140</v>
      </c>
      <c r="E495" t="str">
        <f>Deals_Raw!E495</f>
        <v>CT00302</v>
      </c>
      <c r="F495" t="str">
        <f>Deals_Raw!F495</f>
        <v>Finance</v>
      </c>
      <c r="G495" t="str">
        <f>Deals_Raw!G495</f>
        <v>Financial Services</v>
      </c>
      <c r="H495" t="str">
        <f>Deals_Raw!H495</f>
        <v>Northeast</v>
      </c>
      <c r="I495" t="str">
        <f>Deals_Raw!I495</f>
        <v>Northeast Commercial</v>
      </c>
      <c r="J495" t="str">
        <f>Deals_Raw!J495</f>
        <v>Mid-Market</v>
      </c>
      <c r="K495" t="str">
        <f>Deals_Raw!K495</f>
        <v>No</v>
      </c>
      <c r="L495">
        <f>Deals_Raw!L495</f>
        <v>43831</v>
      </c>
      <c r="M495">
        <f>Deals_Raw!M495</f>
        <v>63</v>
      </c>
      <c r="N495" t="str">
        <f>Deals_Raw!N495</f>
        <v>Nexus Enterprise Suite</v>
      </c>
      <c r="O495" t="str">
        <f>Deals_Raw!O495</f>
        <v>Renewal</v>
      </c>
      <c r="P495">
        <f>Deals_Raw!P495</f>
        <v>0</v>
      </c>
      <c r="Q495">
        <f>Deals_Raw!Q495</f>
        <v>1</v>
      </c>
      <c r="R495">
        <f>Deals_Raw!R495</f>
        <v>243</v>
      </c>
      <c r="S495" t="str">
        <f>Deals_Raw!S495</f>
        <v>R. Singh</v>
      </c>
      <c r="T495" s="6">
        <f>Deals_Raw!T495</f>
        <v>527586.37819404283</v>
      </c>
      <c r="U495" s="8">
        <f>Deals_Raw!V495</f>
        <v>8.1000000000000003E-2</v>
      </c>
      <c r="V495" s="8">
        <f>Deals_Raw!W495</f>
        <v>4.2999999999999997E-2</v>
      </c>
      <c r="W495" s="8">
        <f>Deals_Raw!X495</f>
        <v>1.9E-2</v>
      </c>
      <c r="X495" t="str">
        <f>Deals_Raw!Y495</f>
        <v>Renewal retention risk</v>
      </c>
      <c r="Y495" t="str">
        <f>Deals_Raw!Z495</f>
        <v>Sales Manager</v>
      </c>
      <c r="Z495" s="6">
        <f>Deals_Raw!AA495</f>
        <v>504947.78469941649</v>
      </c>
      <c r="AA495" s="6">
        <f>Deals_Raw!AC495</f>
        <v>184896.63011568651</v>
      </c>
      <c r="AB495" s="6">
        <f>Deals_Raw!AD495</f>
        <v>320051.15458372998</v>
      </c>
      <c r="AC495" s="8">
        <f>Deals_Raw!AE495</f>
        <v>0.63383019845160604</v>
      </c>
      <c r="AD495" t="str">
        <f>Deals_Raw!AF495</f>
        <v>Won</v>
      </c>
      <c r="AE495" t="str">
        <f>Deals_Raw!AG495</f>
        <v>Yes</v>
      </c>
      <c r="AF495">
        <f>Deals_Raw!AH495</f>
        <v>0</v>
      </c>
      <c r="AG495" t="str">
        <f>Deals_Raw!AI495</f>
        <v>No</v>
      </c>
      <c r="AH495" s="6">
        <f>Deals_Raw!AJ495</f>
        <v>504947.78469941649</v>
      </c>
      <c r="AI495" s="6">
        <f>Deals_Raw!AK495</f>
        <v>320051.15458372998</v>
      </c>
      <c r="AJ495" t="str">
        <f>Deals_Raw!AL495</f>
        <v>Renewal of existing active contract</v>
      </c>
      <c r="AK495" s="9">
        <f t="shared" si="49"/>
        <v>5.427777777777778</v>
      </c>
      <c r="AL495" s="8">
        <f t="shared" si="50"/>
        <v>0.95709026155656352</v>
      </c>
      <c r="AM495" s="8">
        <f t="shared" si="51"/>
        <v>3.8000000000000006E-2</v>
      </c>
      <c r="AN495" t="str">
        <f>IF(AC495&lt;Pricing_Policy!$C$10,"Below Floor","Pass")</f>
        <v>Pass</v>
      </c>
      <c r="AO495" t="str">
        <f>IF(V495&gt;Pricing_Policy!$C$7,"Exception","Standard")</f>
        <v>Standard</v>
      </c>
      <c r="AP495" t="str">
        <f t="shared" si="52"/>
        <v>Pass</v>
      </c>
      <c r="AQ495">
        <f t="shared" si="53"/>
        <v>1</v>
      </c>
      <c r="AR495" s="8">
        <f t="shared" si="54"/>
        <v>0.63383019845160604</v>
      </c>
      <c r="AS495">
        <f t="shared" si="55"/>
        <v>3</v>
      </c>
    </row>
    <row r="496" spans="1:45">
      <c r="A496" t="str">
        <f>Deals_Raw!A496</f>
        <v>D00561</v>
      </c>
      <c r="B496">
        <f>Deals_Raw!B496</f>
        <v>45509</v>
      </c>
      <c r="C496" t="str">
        <f>Deals_Raw!C496</f>
        <v>C0140</v>
      </c>
      <c r="D496" t="str">
        <f>Deals_Raw!D496</f>
        <v>FIN-0140</v>
      </c>
      <c r="E496" t="str">
        <f>Deals_Raw!E496</f>
        <v>CT00303</v>
      </c>
      <c r="F496" t="str">
        <f>Deals_Raw!F496</f>
        <v>Corporate</v>
      </c>
      <c r="G496" t="str">
        <f>Deals_Raw!G496</f>
        <v>Financial Services</v>
      </c>
      <c r="H496" t="str">
        <f>Deals_Raw!H496</f>
        <v>Northeast</v>
      </c>
      <c r="I496" t="str">
        <f>Deals_Raw!I496</f>
        <v>Northeast Commercial</v>
      </c>
      <c r="J496" t="str">
        <f>Deals_Raw!J496</f>
        <v>Mid-Market</v>
      </c>
      <c r="K496" t="str">
        <f>Deals_Raw!K496</f>
        <v>No</v>
      </c>
      <c r="L496">
        <f>Deals_Raw!L496</f>
        <v>43831</v>
      </c>
      <c r="M496">
        <f>Deals_Raw!M496</f>
        <v>63</v>
      </c>
      <c r="N496" t="str">
        <f>Deals_Raw!N496</f>
        <v>Nexus AI Assistant</v>
      </c>
      <c r="O496" t="str">
        <f>Deals_Raw!O496</f>
        <v>New Business</v>
      </c>
      <c r="P496">
        <f>Deals_Raw!P496</f>
        <v>0</v>
      </c>
      <c r="Q496">
        <f>Deals_Raw!Q496</f>
        <v>1</v>
      </c>
      <c r="R496">
        <f>Deals_Raw!R496</f>
        <v>277</v>
      </c>
      <c r="S496" t="str">
        <f>Deals_Raw!S496</f>
        <v>M. Johnson</v>
      </c>
      <c r="T496" s="6">
        <f>Deals_Raw!T496</f>
        <v>102968.56811773597</v>
      </c>
      <c r="U496" s="8">
        <f>Deals_Raw!V496</f>
        <v>0.19400000000000001</v>
      </c>
      <c r="V496" s="8">
        <f>Deals_Raw!W496</f>
        <v>0.17499999999999999</v>
      </c>
      <c r="W496" s="8">
        <f>Deals_Raw!X496</f>
        <v>-0.111</v>
      </c>
      <c r="X496" t="str">
        <f>Deals_Raw!Y496</f>
        <v>Renewal retention risk</v>
      </c>
      <c r="Y496" t="str">
        <f>Deals_Raw!Z496</f>
        <v>Pricing Analyst</v>
      </c>
      <c r="Z496" s="6">
        <f>Deals_Raw!AA496</f>
        <v>84921.487305673334</v>
      </c>
      <c r="AA496" s="6">
        <f>Deals_Raw!AC496</f>
        <v>41150.577110432569</v>
      </c>
      <c r="AB496" s="6">
        <f>Deals_Raw!AD496</f>
        <v>43770.910195240765</v>
      </c>
      <c r="AC496" s="8">
        <f>Deals_Raw!AE496</f>
        <v>0.5154279745206084</v>
      </c>
      <c r="AD496" t="str">
        <f>Deals_Raw!AF496</f>
        <v>Lost</v>
      </c>
      <c r="AE496">
        <f>Deals_Raw!AG496</f>
        <v>0</v>
      </c>
      <c r="AF496">
        <f>Deals_Raw!AH496</f>
        <v>0</v>
      </c>
      <c r="AG496" t="str">
        <f>Deals_Raw!AI496</f>
        <v>No</v>
      </c>
      <c r="AH496" s="6">
        <f>Deals_Raw!AJ496</f>
        <v>0</v>
      </c>
      <c r="AI496" s="6">
        <f>Deals_Raw!AK496</f>
        <v>0</v>
      </c>
      <c r="AJ496" t="str">
        <f>Deals_Raw!AL496</f>
        <v>First purchase under this contract</v>
      </c>
      <c r="AK496" s="9">
        <f t="shared" si="49"/>
        <v>4.5944444444444441</v>
      </c>
      <c r="AL496" s="8">
        <f t="shared" si="50"/>
        <v>0.82473213775851184</v>
      </c>
      <c r="AM496" s="8">
        <f t="shared" si="51"/>
        <v>1.9000000000000017E-2</v>
      </c>
      <c r="AN496" t="str">
        <f>IF(AC496&lt;Pricing_Policy!$C$10,"Below Floor","Pass")</f>
        <v>Pass</v>
      </c>
      <c r="AO496" t="str">
        <f>IF(V496&gt;Pricing_Policy!$C$7,"Exception","Standard")</f>
        <v>Standard</v>
      </c>
      <c r="AP496" t="str">
        <f t="shared" si="52"/>
        <v>Pass</v>
      </c>
      <c r="AQ496">
        <f t="shared" si="53"/>
        <v>0</v>
      </c>
      <c r="AR496" s="8">
        <f t="shared" si="54"/>
        <v>0</v>
      </c>
      <c r="AS496">
        <f t="shared" si="55"/>
        <v>2</v>
      </c>
    </row>
    <row r="497" spans="1:45">
      <c r="A497" t="str">
        <f>Deals_Raw!A497</f>
        <v>D00562</v>
      </c>
      <c r="B497">
        <f>Deals_Raw!B497</f>
        <v>45854</v>
      </c>
      <c r="C497" t="str">
        <f>Deals_Raw!C497</f>
        <v>C0140</v>
      </c>
      <c r="D497" t="str">
        <f>Deals_Raw!D497</f>
        <v>FIN-0140</v>
      </c>
      <c r="E497" t="str">
        <f>Deals_Raw!E497</f>
        <v>CT00303</v>
      </c>
      <c r="F497" t="str">
        <f>Deals_Raw!F497</f>
        <v>Corporate</v>
      </c>
      <c r="G497" t="str">
        <f>Deals_Raw!G497</f>
        <v>Financial Services</v>
      </c>
      <c r="H497" t="str">
        <f>Deals_Raw!H497</f>
        <v>Northeast</v>
      </c>
      <c r="I497" t="str">
        <f>Deals_Raw!I497</f>
        <v>Northeast Commercial</v>
      </c>
      <c r="J497" t="str">
        <f>Deals_Raw!J497</f>
        <v>Mid-Market</v>
      </c>
      <c r="K497" t="str">
        <f>Deals_Raw!K497</f>
        <v>No</v>
      </c>
      <c r="L497">
        <f>Deals_Raw!L497</f>
        <v>43831</v>
      </c>
      <c r="M497">
        <f>Deals_Raw!M497</f>
        <v>63</v>
      </c>
      <c r="N497" t="str">
        <f>Deals_Raw!N497</f>
        <v>Nexus AI Assistant</v>
      </c>
      <c r="O497" t="str">
        <f>Deals_Raw!O497</f>
        <v>Win-back</v>
      </c>
      <c r="P497">
        <f>Deals_Raw!P497</f>
        <v>0</v>
      </c>
      <c r="Q497">
        <f>Deals_Raw!Q497</f>
        <v>1</v>
      </c>
      <c r="R497">
        <f>Deals_Raw!R497</f>
        <v>277</v>
      </c>
      <c r="S497" t="str">
        <f>Deals_Raw!S497</f>
        <v>D. Chen</v>
      </c>
      <c r="T497" s="6">
        <f>Deals_Raw!T497</f>
        <v>102968.56811773597</v>
      </c>
      <c r="U497" s="8">
        <f>Deals_Raw!V497</f>
        <v>0.27300000000000002</v>
      </c>
      <c r="V497" s="8">
        <f>Deals_Raw!W497</f>
        <v>0.20899999999999999</v>
      </c>
      <c r="W497" s="8">
        <f>Deals_Raw!X497</f>
        <v>-9.1999999999999998E-2</v>
      </c>
      <c r="X497" t="str">
        <f>Deals_Raw!Y497</f>
        <v>Renewal retention risk</v>
      </c>
      <c r="Y497" t="str">
        <f>Deals_Raw!Z497</f>
        <v>Business Manager</v>
      </c>
      <c r="Z497" s="6">
        <f>Deals_Raw!AA497</f>
        <v>81487.264445597233</v>
      </c>
      <c r="AA497" s="6">
        <f>Deals_Raw!AC497</f>
        <v>37975.400458711672</v>
      </c>
      <c r="AB497" s="6">
        <f>Deals_Raw!AD497</f>
        <v>43511.863986885561</v>
      </c>
      <c r="AC497" s="8">
        <f>Deals_Raw!AE497</f>
        <v>0.53397134242903788</v>
      </c>
      <c r="AD497" t="str">
        <f>Deals_Raw!AF497</f>
        <v>Lost</v>
      </c>
      <c r="AE497">
        <f>Deals_Raw!AG497</f>
        <v>0</v>
      </c>
      <c r="AF497">
        <f>Deals_Raw!AH497</f>
        <v>0</v>
      </c>
      <c r="AG497" t="str">
        <f>Deals_Raw!AI497</f>
        <v>Yes</v>
      </c>
      <c r="AH497" s="6">
        <f>Deals_Raw!AJ497</f>
        <v>0</v>
      </c>
      <c r="AI497" s="6">
        <f>Deals_Raw!AK497</f>
        <v>0</v>
      </c>
      <c r="AJ497" t="str">
        <f>Deals_Raw!AL497</f>
        <v>Customer returned after prior lost initial opportunity</v>
      </c>
      <c r="AK497" s="9">
        <f t="shared" si="49"/>
        <v>5.541666666666667</v>
      </c>
      <c r="AL497" s="8">
        <f t="shared" si="50"/>
        <v>0.7913799903716574</v>
      </c>
      <c r="AM497" s="8">
        <f t="shared" si="51"/>
        <v>6.4000000000000029E-2</v>
      </c>
      <c r="AN497" t="str">
        <f>IF(AC497&lt;Pricing_Policy!$C$10,"Below Floor","Pass")</f>
        <v>Pass</v>
      </c>
      <c r="AO497" t="str">
        <f>IF(V497&gt;Pricing_Policy!$C$7,"Exception","Standard")</f>
        <v>Standard</v>
      </c>
      <c r="AP497" t="str">
        <f t="shared" si="52"/>
        <v>Pass</v>
      </c>
      <c r="AQ497">
        <f t="shared" si="53"/>
        <v>0</v>
      </c>
      <c r="AR497" s="8">
        <f t="shared" si="54"/>
        <v>0</v>
      </c>
      <c r="AS497">
        <f t="shared" si="55"/>
        <v>2</v>
      </c>
    </row>
    <row r="498" spans="1:45">
      <c r="A498" t="str">
        <f>Deals_Raw!A498</f>
        <v>D00563</v>
      </c>
      <c r="B498">
        <f>Deals_Raw!B498</f>
        <v>45331</v>
      </c>
      <c r="C498" t="str">
        <f>Deals_Raw!C498</f>
        <v>C0141</v>
      </c>
      <c r="D498" t="str">
        <f>Deals_Raw!D498</f>
        <v>TEC-0141</v>
      </c>
      <c r="E498" t="str">
        <f>Deals_Raw!E498</f>
        <v>CT00304</v>
      </c>
      <c r="F498" t="str">
        <f>Deals_Raw!F498</f>
        <v>Corporate</v>
      </c>
      <c r="G498" t="str">
        <f>Deals_Raw!G498</f>
        <v>Technology</v>
      </c>
      <c r="H498" t="str">
        <f>Deals_Raw!H498</f>
        <v>Northeast</v>
      </c>
      <c r="I498" t="str">
        <f>Deals_Raw!I498</f>
        <v>Northeast Commercial</v>
      </c>
      <c r="J498" t="str">
        <f>Deals_Raw!J498</f>
        <v>Mid-Market</v>
      </c>
      <c r="K498" t="str">
        <f>Deals_Raw!K498</f>
        <v>No</v>
      </c>
      <c r="L498">
        <f>Deals_Raw!L498</f>
        <v>44378</v>
      </c>
      <c r="M498">
        <f>Deals_Raw!M498</f>
        <v>37</v>
      </c>
      <c r="N498" t="str">
        <f>Deals_Raw!N498</f>
        <v>Nexus Enterprise Suite</v>
      </c>
      <c r="O498" t="str">
        <f>Deals_Raw!O498</f>
        <v>New Business</v>
      </c>
      <c r="P498">
        <f>Deals_Raw!P498</f>
        <v>0</v>
      </c>
      <c r="Q498">
        <f>Deals_Raw!Q498</f>
        <v>3</v>
      </c>
      <c r="R498">
        <f>Deals_Raw!R498</f>
        <v>225</v>
      </c>
      <c r="S498" t="str">
        <f>Deals_Raw!S498</f>
        <v>A. Patel</v>
      </c>
      <c r="T498" s="6">
        <f>Deals_Raw!T498</f>
        <v>215667.90776615412</v>
      </c>
      <c r="U498" s="8">
        <f>Deals_Raw!V498</f>
        <v>8.5000000000000006E-2</v>
      </c>
      <c r="V498" s="8">
        <f>Deals_Raw!W498</f>
        <v>6.5000000000000002E-2</v>
      </c>
      <c r="W498" s="8">
        <f>Deals_Raw!X498</f>
        <v>-5.2999999999999999E-2</v>
      </c>
      <c r="X498" t="str">
        <f>Deals_Raw!Y498</f>
        <v>Expansion opportunity</v>
      </c>
      <c r="Y498" t="str">
        <f>Deals_Raw!Z498</f>
        <v>Sales Manager</v>
      </c>
      <c r="Z498" s="6">
        <f>Deals_Raw!AA498</f>
        <v>201656.00370263687</v>
      </c>
      <c r="AA498" s="6">
        <f>Deals_Raw!AC498</f>
        <v>74705.810783718742</v>
      </c>
      <c r="AB498" s="6">
        <f>Deals_Raw!AD498</f>
        <v>126950.19291891812</v>
      </c>
      <c r="AC498" s="8">
        <f>Deals_Raw!AE498</f>
        <v>0.62953837519323064</v>
      </c>
      <c r="AD498" t="str">
        <f>Deals_Raw!AF498</f>
        <v>Lost</v>
      </c>
      <c r="AE498">
        <f>Deals_Raw!AG498</f>
        <v>0</v>
      </c>
      <c r="AF498">
        <f>Deals_Raw!AH498</f>
        <v>0</v>
      </c>
      <c r="AG498" t="str">
        <f>Deals_Raw!AI498</f>
        <v>No</v>
      </c>
      <c r="AH498" s="6">
        <f>Deals_Raw!AJ498</f>
        <v>0</v>
      </c>
      <c r="AI498" s="6">
        <f>Deals_Raw!AK498</f>
        <v>0</v>
      </c>
      <c r="AJ498" t="str">
        <f>Deals_Raw!AL498</f>
        <v>First purchase under this contract</v>
      </c>
      <c r="AK498" s="9">
        <f t="shared" si="49"/>
        <v>2.6055555555555556</v>
      </c>
      <c r="AL498" s="8">
        <f t="shared" si="50"/>
        <v>0.93503018502544111</v>
      </c>
      <c r="AM498" s="8">
        <f t="shared" si="51"/>
        <v>2.0000000000000004E-2</v>
      </c>
      <c r="AN498" t="str">
        <f>IF(AC498&lt;Pricing_Policy!$C$10,"Below Floor","Pass")</f>
        <v>Pass</v>
      </c>
      <c r="AO498" t="str">
        <f>IF(V498&gt;Pricing_Policy!$C$7,"Exception","Standard")</f>
        <v>Standard</v>
      </c>
      <c r="AP498" t="str">
        <f t="shared" si="52"/>
        <v>Pass</v>
      </c>
      <c r="AQ498">
        <f t="shared" si="53"/>
        <v>0</v>
      </c>
      <c r="AR498" s="8">
        <f t="shared" si="54"/>
        <v>0</v>
      </c>
      <c r="AS498">
        <f t="shared" si="55"/>
        <v>2</v>
      </c>
    </row>
    <row r="499" spans="1:45">
      <c r="A499" t="str">
        <f>Deals_Raw!A499</f>
        <v>D00564</v>
      </c>
      <c r="B499">
        <f>Deals_Raw!B499</f>
        <v>45553</v>
      </c>
      <c r="C499" t="str">
        <f>Deals_Raw!C499</f>
        <v>C0141</v>
      </c>
      <c r="D499" t="str">
        <f>Deals_Raw!D499</f>
        <v>TEC-0141</v>
      </c>
      <c r="E499" t="str">
        <f>Deals_Raw!E499</f>
        <v>CT00304</v>
      </c>
      <c r="F499" t="str">
        <f>Deals_Raw!F499</f>
        <v>Corporate</v>
      </c>
      <c r="G499" t="str">
        <f>Deals_Raw!G499</f>
        <v>Technology</v>
      </c>
      <c r="H499" t="str">
        <f>Deals_Raw!H499</f>
        <v>Northeast</v>
      </c>
      <c r="I499" t="str">
        <f>Deals_Raw!I499</f>
        <v>Northeast Commercial</v>
      </c>
      <c r="J499" t="str">
        <f>Deals_Raw!J499</f>
        <v>Mid-Market</v>
      </c>
      <c r="K499" t="str">
        <f>Deals_Raw!K499</f>
        <v>No</v>
      </c>
      <c r="L499">
        <f>Deals_Raw!L499</f>
        <v>44378</v>
      </c>
      <c r="M499">
        <f>Deals_Raw!M499</f>
        <v>37</v>
      </c>
      <c r="N499" t="str">
        <f>Deals_Raw!N499</f>
        <v>Nexus Enterprise Suite</v>
      </c>
      <c r="O499" t="str">
        <f>Deals_Raw!O499</f>
        <v>Win-back</v>
      </c>
      <c r="P499">
        <f>Deals_Raw!P499</f>
        <v>0</v>
      </c>
      <c r="Q499">
        <f>Deals_Raw!Q499</f>
        <v>3</v>
      </c>
      <c r="R499">
        <f>Deals_Raw!R499</f>
        <v>225</v>
      </c>
      <c r="S499" t="str">
        <f>Deals_Raw!S499</f>
        <v>D. Chen</v>
      </c>
      <c r="T499" s="6">
        <f>Deals_Raw!T499</f>
        <v>215667.90776615412</v>
      </c>
      <c r="U499" s="8">
        <f>Deals_Raw!V499</f>
        <v>0.14499999999999999</v>
      </c>
      <c r="V499" s="8">
        <f>Deals_Raw!W499</f>
        <v>0.14000000000000001</v>
      </c>
      <c r="W499" s="8">
        <f>Deals_Raw!X499</f>
        <v>-0.16800000000000001</v>
      </c>
      <c r="X499" t="str">
        <f>Deals_Raw!Y499</f>
        <v>Renewal retention risk</v>
      </c>
      <c r="Y499" t="str">
        <f>Deals_Raw!Z499</f>
        <v>Pricing Analyst</v>
      </c>
      <c r="Z499" s="6">
        <f>Deals_Raw!AA499</f>
        <v>185557.69526989135</v>
      </c>
      <c r="AA499" s="6">
        <f>Deals_Raw!AC499</f>
        <v>78580.86647494568</v>
      </c>
      <c r="AB499" s="6">
        <f>Deals_Raw!AD499</f>
        <v>106976.82879494567</v>
      </c>
      <c r="AC499" s="8">
        <f>Deals_Raw!AE499</f>
        <v>0.57651518380495737</v>
      </c>
      <c r="AD499" t="str">
        <f>Deals_Raw!AF499</f>
        <v>Lost</v>
      </c>
      <c r="AE499">
        <f>Deals_Raw!AG499</f>
        <v>0</v>
      </c>
      <c r="AF499">
        <f>Deals_Raw!AH499</f>
        <v>0</v>
      </c>
      <c r="AG499" t="str">
        <f>Deals_Raw!AI499</f>
        <v>Yes</v>
      </c>
      <c r="AH499" s="6">
        <f>Deals_Raw!AJ499</f>
        <v>0</v>
      </c>
      <c r="AI499" s="6">
        <f>Deals_Raw!AK499</f>
        <v>0</v>
      </c>
      <c r="AJ499" t="str">
        <f>Deals_Raw!AL499</f>
        <v>Customer returned after prior lost initial opportunity</v>
      </c>
      <c r="AK499" s="9">
        <f t="shared" si="49"/>
        <v>3.213888888888889</v>
      </c>
      <c r="AL499" s="8">
        <f t="shared" si="50"/>
        <v>0.8603862169010752</v>
      </c>
      <c r="AM499" s="8">
        <f t="shared" si="51"/>
        <v>4.9999999999999767E-3</v>
      </c>
      <c r="AN499" t="str">
        <f>IF(AC499&lt;Pricing_Policy!$C$10,"Below Floor","Pass")</f>
        <v>Pass</v>
      </c>
      <c r="AO499" t="str">
        <f>IF(V499&gt;Pricing_Policy!$C$7,"Exception","Standard")</f>
        <v>Standard</v>
      </c>
      <c r="AP499" t="str">
        <f t="shared" si="52"/>
        <v>Pass</v>
      </c>
      <c r="AQ499">
        <f t="shared" si="53"/>
        <v>0</v>
      </c>
      <c r="AR499" s="8">
        <f t="shared" si="54"/>
        <v>0</v>
      </c>
      <c r="AS499">
        <f t="shared" si="55"/>
        <v>2</v>
      </c>
    </row>
    <row r="500" spans="1:45">
      <c r="A500" t="str">
        <f>Deals_Raw!A500</f>
        <v>D00565</v>
      </c>
      <c r="B500">
        <f>Deals_Raw!B500</f>
        <v>45705</v>
      </c>
      <c r="C500" t="str">
        <f>Deals_Raw!C500</f>
        <v>C0142</v>
      </c>
      <c r="D500" t="str">
        <f>Deals_Raw!D500</f>
        <v>MAN-0142</v>
      </c>
      <c r="E500" t="str">
        <f>Deals_Raw!E500</f>
        <v>CT00305</v>
      </c>
      <c r="F500" t="str">
        <f>Deals_Raw!F500</f>
        <v>Legal</v>
      </c>
      <c r="G500" t="str">
        <f>Deals_Raw!G500</f>
        <v>Manufacturing</v>
      </c>
      <c r="H500" t="str">
        <f>Deals_Raw!H500</f>
        <v>South</v>
      </c>
      <c r="I500" t="str">
        <f>Deals_Raw!I500</f>
        <v>South Enterprise</v>
      </c>
      <c r="J500" t="str">
        <f>Deals_Raw!J500</f>
        <v>Enterprise</v>
      </c>
      <c r="K500" t="str">
        <f>Deals_Raw!K500</f>
        <v>Yes</v>
      </c>
      <c r="L500">
        <f>Deals_Raw!L500</f>
        <v>43831</v>
      </c>
      <c r="M500">
        <f>Deals_Raw!M500</f>
        <v>96</v>
      </c>
      <c r="N500" t="str">
        <f>Deals_Raw!N500</f>
        <v>Nexus Compliance</v>
      </c>
      <c r="O500" t="str">
        <f>Deals_Raw!O500</f>
        <v>New Business</v>
      </c>
      <c r="P500">
        <f>Deals_Raw!P500</f>
        <v>0</v>
      </c>
      <c r="Q500">
        <f>Deals_Raw!Q500</f>
        <v>1</v>
      </c>
      <c r="R500">
        <f>Deals_Raw!R500</f>
        <v>1068</v>
      </c>
      <c r="S500" t="str">
        <f>Deals_Raw!S500</f>
        <v>D. Chen</v>
      </c>
      <c r="T500" s="6">
        <f>Deals_Raw!T500</f>
        <v>362514.59337994934</v>
      </c>
      <c r="U500" s="8">
        <f>Deals_Raw!V500</f>
        <v>0.19600000000000001</v>
      </c>
      <c r="V500" s="8">
        <f>Deals_Raw!W500</f>
        <v>0.17199999999999999</v>
      </c>
      <c r="W500" s="8">
        <f>Deals_Raw!X500</f>
        <v>-7.8E-2</v>
      </c>
      <c r="X500" t="str">
        <f>Deals_Raw!Y500</f>
        <v>Strategic logo opportunity</v>
      </c>
      <c r="Y500" t="str">
        <f>Deals_Raw!Z500</f>
        <v>Pricing Analyst</v>
      </c>
      <c r="Z500" s="6">
        <f>Deals_Raw!AA500</f>
        <v>300330.19924677256</v>
      </c>
      <c r="AA500" s="6">
        <f>Deals_Raw!AC500</f>
        <v>124025.3222535285</v>
      </c>
      <c r="AB500" s="6">
        <f>Deals_Raw!AD500</f>
        <v>176304.87699324405</v>
      </c>
      <c r="AC500" s="8">
        <f>Deals_Raw!AE500</f>
        <v>0.58703679295460887</v>
      </c>
      <c r="AD500" t="str">
        <f>Deals_Raw!AF500</f>
        <v>Won</v>
      </c>
      <c r="AE500">
        <f>Deals_Raw!AG500</f>
        <v>0</v>
      </c>
      <c r="AF500">
        <f>Deals_Raw!AH500</f>
        <v>0</v>
      </c>
      <c r="AG500" t="str">
        <f>Deals_Raw!AI500</f>
        <v>No</v>
      </c>
      <c r="AH500" s="6">
        <f>Deals_Raw!AJ500</f>
        <v>300330.19924677256</v>
      </c>
      <c r="AI500" s="6">
        <f>Deals_Raw!AK500</f>
        <v>176304.87699324405</v>
      </c>
      <c r="AJ500" t="str">
        <f>Deals_Raw!AL500</f>
        <v>First purchase under this contract</v>
      </c>
      <c r="AK500" s="9">
        <f t="shared" si="49"/>
        <v>5.1277777777777782</v>
      </c>
      <c r="AL500" s="8">
        <f t="shared" si="50"/>
        <v>0.82846374940828471</v>
      </c>
      <c r="AM500" s="8">
        <f t="shared" si="51"/>
        <v>2.4000000000000021E-2</v>
      </c>
      <c r="AN500" t="str">
        <f>IF(AC500&lt;Pricing_Policy!$C$10,"Below Floor","Pass")</f>
        <v>Pass</v>
      </c>
      <c r="AO500" t="str">
        <f>IF(V500&gt;Pricing_Policy!$C$7,"Exception","Standard")</f>
        <v>Standard</v>
      </c>
      <c r="AP500" t="str">
        <f t="shared" si="52"/>
        <v>Pass</v>
      </c>
      <c r="AQ500">
        <f t="shared" si="53"/>
        <v>1</v>
      </c>
      <c r="AR500" s="8">
        <f t="shared" si="54"/>
        <v>0.58703679295460887</v>
      </c>
      <c r="AS500">
        <f t="shared" si="55"/>
        <v>3</v>
      </c>
    </row>
    <row r="501" spans="1:45">
      <c r="A501" t="str">
        <f>Deals_Raw!A501</f>
        <v>D00566</v>
      </c>
      <c r="B501">
        <f>Deals_Raw!B501</f>
        <v>45367</v>
      </c>
      <c r="C501" t="str">
        <f>Deals_Raw!C501</f>
        <v>C0142</v>
      </c>
      <c r="D501" t="str">
        <f>Deals_Raw!D501</f>
        <v>MAN-0142</v>
      </c>
      <c r="E501" t="str">
        <f>Deals_Raw!E501</f>
        <v>CT00306</v>
      </c>
      <c r="F501" t="str">
        <f>Deals_Raw!F501</f>
        <v>Corporate</v>
      </c>
      <c r="G501" t="str">
        <f>Deals_Raw!G501</f>
        <v>Manufacturing</v>
      </c>
      <c r="H501" t="str">
        <f>Deals_Raw!H501</f>
        <v>South</v>
      </c>
      <c r="I501" t="str">
        <f>Deals_Raw!I501</f>
        <v>South Enterprise</v>
      </c>
      <c r="J501" t="str">
        <f>Deals_Raw!J501</f>
        <v>Enterprise</v>
      </c>
      <c r="K501" t="str">
        <f>Deals_Raw!K501</f>
        <v>Yes</v>
      </c>
      <c r="L501">
        <f>Deals_Raw!L501</f>
        <v>43831</v>
      </c>
      <c r="M501">
        <f>Deals_Raw!M501</f>
        <v>96</v>
      </c>
      <c r="N501" t="str">
        <f>Deals_Raw!N501</f>
        <v>Nexus Compliance</v>
      </c>
      <c r="O501" t="str">
        <f>Deals_Raw!O501</f>
        <v>New Business</v>
      </c>
      <c r="P501">
        <f>Deals_Raw!P501</f>
        <v>0</v>
      </c>
      <c r="Q501">
        <f>Deals_Raw!Q501</f>
        <v>1</v>
      </c>
      <c r="R501">
        <f>Deals_Raw!R501</f>
        <v>627</v>
      </c>
      <c r="S501" t="str">
        <f>Deals_Raw!S501</f>
        <v>D. Chen</v>
      </c>
      <c r="T501" s="6">
        <f>Deals_Raw!T501</f>
        <v>411622.14589715138</v>
      </c>
      <c r="U501" s="8">
        <f>Deals_Raw!V501</f>
        <v>0.157</v>
      </c>
      <c r="V501" s="8">
        <f>Deals_Raw!W501</f>
        <v>0.13900000000000001</v>
      </c>
      <c r="W501" s="8">
        <f>Deals_Raw!X501</f>
        <v>-4.5999999999999999E-2</v>
      </c>
      <c r="X501" t="str">
        <f>Deals_Raw!Y501</f>
        <v>Renewal retention risk</v>
      </c>
      <c r="Y501" t="str">
        <f>Deals_Raw!Z501</f>
        <v>Pricing Analyst</v>
      </c>
      <c r="Z501" s="6">
        <f>Deals_Raw!AA501</f>
        <v>354528.47626190796</v>
      </c>
      <c r="AA501" s="6">
        <f>Deals_Raw!AC501</f>
        <v>151069.78991704519</v>
      </c>
      <c r="AB501" s="6">
        <f>Deals_Raw!AD501</f>
        <v>203458.68634486277</v>
      </c>
      <c r="AC501" s="8">
        <f>Deals_Raw!AE501</f>
        <v>0.57388531519413866</v>
      </c>
      <c r="AD501" t="str">
        <f>Deals_Raw!AF501</f>
        <v>Won</v>
      </c>
      <c r="AE501">
        <f>Deals_Raw!AG501</f>
        <v>0</v>
      </c>
      <c r="AF501">
        <f>Deals_Raw!AH501</f>
        <v>0</v>
      </c>
      <c r="AG501" t="str">
        <f>Deals_Raw!AI501</f>
        <v>No</v>
      </c>
      <c r="AH501" s="6">
        <f>Deals_Raw!AJ501</f>
        <v>354528.47626190796</v>
      </c>
      <c r="AI501" s="6">
        <f>Deals_Raw!AK501</f>
        <v>203458.68634486277</v>
      </c>
      <c r="AJ501" t="str">
        <f>Deals_Raw!AL501</f>
        <v>First purchase under this contract</v>
      </c>
      <c r="AK501" s="9">
        <f t="shared" si="49"/>
        <v>4.208333333333333</v>
      </c>
      <c r="AL501" s="8">
        <f t="shared" si="50"/>
        <v>0.86129592344744987</v>
      </c>
      <c r="AM501" s="8">
        <f t="shared" si="51"/>
        <v>1.7999999999999988E-2</v>
      </c>
      <c r="AN501" t="str">
        <f>IF(AC501&lt;Pricing_Policy!$C$10,"Below Floor","Pass")</f>
        <v>Pass</v>
      </c>
      <c r="AO501" t="str">
        <f>IF(V501&gt;Pricing_Policy!$C$7,"Exception","Standard")</f>
        <v>Standard</v>
      </c>
      <c r="AP501" t="str">
        <f t="shared" si="52"/>
        <v>Pass</v>
      </c>
      <c r="AQ501">
        <f t="shared" si="53"/>
        <v>1</v>
      </c>
      <c r="AR501" s="8">
        <f t="shared" si="54"/>
        <v>0.57388531519413866</v>
      </c>
      <c r="AS501">
        <f t="shared" si="55"/>
        <v>3</v>
      </c>
    </row>
    <row r="502" spans="1:45">
      <c r="A502" t="str">
        <f>Deals_Raw!A502</f>
        <v>D00567</v>
      </c>
      <c r="B502">
        <f>Deals_Raw!B502</f>
        <v>45732</v>
      </c>
      <c r="C502" t="str">
        <f>Deals_Raw!C502</f>
        <v>C0142</v>
      </c>
      <c r="D502" t="str">
        <f>Deals_Raw!D502</f>
        <v>MAN-0142</v>
      </c>
      <c r="E502" t="str">
        <f>Deals_Raw!E502</f>
        <v>CT00306</v>
      </c>
      <c r="F502" t="str">
        <f>Deals_Raw!F502</f>
        <v>Corporate</v>
      </c>
      <c r="G502" t="str">
        <f>Deals_Raw!G502</f>
        <v>Manufacturing</v>
      </c>
      <c r="H502" t="str">
        <f>Deals_Raw!H502</f>
        <v>South</v>
      </c>
      <c r="I502" t="str">
        <f>Deals_Raw!I502</f>
        <v>South Enterprise</v>
      </c>
      <c r="J502" t="str">
        <f>Deals_Raw!J502</f>
        <v>Enterprise</v>
      </c>
      <c r="K502" t="str">
        <f>Deals_Raw!K502</f>
        <v>Yes</v>
      </c>
      <c r="L502">
        <f>Deals_Raw!L502</f>
        <v>43831</v>
      </c>
      <c r="M502">
        <f>Deals_Raw!M502</f>
        <v>96</v>
      </c>
      <c r="N502" t="str">
        <f>Deals_Raw!N502</f>
        <v>Nexus Compliance</v>
      </c>
      <c r="O502" t="str">
        <f>Deals_Raw!O502</f>
        <v>Renewal</v>
      </c>
      <c r="P502">
        <f>Deals_Raw!P502</f>
        <v>0</v>
      </c>
      <c r="Q502">
        <f>Deals_Raw!Q502</f>
        <v>1</v>
      </c>
      <c r="R502">
        <f>Deals_Raw!R502</f>
        <v>627</v>
      </c>
      <c r="S502" t="str">
        <f>Deals_Raw!S502</f>
        <v>M. Johnson</v>
      </c>
      <c r="T502" s="6">
        <f>Deals_Raw!T502</f>
        <v>429617.09019496152</v>
      </c>
      <c r="U502" s="8">
        <f>Deals_Raw!V502</f>
        <v>0.20100000000000001</v>
      </c>
      <c r="V502" s="8">
        <f>Deals_Raw!W502</f>
        <v>0.17199999999999999</v>
      </c>
      <c r="W502" s="8">
        <f>Deals_Raw!X502</f>
        <v>-0.125</v>
      </c>
      <c r="X502" t="str">
        <f>Deals_Raw!Y502</f>
        <v>Budget constraint</v>
      </c>
      <c r="Y502" t="str">
        <f>Deals_Raw!Z502</f>
        <v>Pricing Analyst</v>
      </c>
      <c r="Z502" s="6">
        <f>Deals_Raw!AA502</f>
        <v>355850.94344502804</v>
      </c>
      <c r="AA502" s="6">
        <f>Deals_Raw!AC502</f>
        <v>148390.57622431772</v>
      </c>
      <c r="AB502" s="6">
        <f>Deals_Raw!AD502</f>
        <v>207460.36722071032</v>
      </c>
      <c r="AC502" s="8">
        <f>Deals_Raw!AE502</f>
        <v>0.58299794068905952</v>
      </c>
      <c r="AD502" t="str">
        <f>Deals_Raw!AF502</f>
        <v>Won</v>
      </c>
      <c r="AE502" t="str">
        <f>Deals_Raw!AG502</f>
        <v>Yes</v>
      </c>
      <c r="AF502">
        <f>Deals_Raw!AH502</f>
        <v>0</v>
      </c>
      <c r="AG502" t="str">
        <f>Deals_Raw!AI502</f>
        <v>No</v>
      </c>
      <c r="AH502" s="6">
        <f>Deals_Raw!AJ502</f>
        <v>355850.94344502804</v>
      </c>
      <c r="AI502" s="6">
        <f>Deals_Raw!AK502</f>
        <v>207460.36722071032</v>
      </c>
      <c r="AJ502" t="str">
        <f>Deals_Raw!AL502</f>
        <v>Renewal of existing active contract</v>
      </c>
      <c r="AK502" s="9">
        <f t="shared" si="49"/>
        <v>5.208333333333333</v>
      </c>
      <c r="AL502" s="8">
        <f t="shared" si="50"/>
        <v>0.82829792288649828</v>
      </c>
      <c r="AM502" s="8">
        <f t="shared" si="51"/>
        <v>2.9000000000000026E-2</v>
      </c>
      <c r="AN502" t="str">
        <f>IF(AC502&lt;Pricing_Policy!$C$10,"Below Floor","Pass")</f>
        <v>Pass</v>
      </c>
      <c r="AO502" t="str">
        <f>IF(V502&gt;Pricing_Policy!$C$7,"Exception","Standard")</f>
        <v>Standard</v>
      </c>
      <c r="AP502" t="str">
        <f t="shared" si="52"/>
        <v>Pass</v>
      </c>
      <c r="AQ502">
        <f t="shared" si="53"/>
        <v>1</v>
      </c>
      <c r="AR502" s="8">
        <f t="shared" si="54"/>
        <v>0.58299794068905952</v>
      </c>
      <c r="AS502">
        <f t="shared" si="55"/>
        <v>3</v>
      </c>
    </row>
    <row r="503" spans="1:45">
      <c r="A503" t="str">
        <f>Deals_Raw!A503</f>
        <v>D00568</v>
      </c>
      <c r="B503">
        <f>Deals_Raw!B503</f>
        <v>45371</v>
      </c>
      <c r="C503" t="str">
        <f>Deals_Raw!C503</f>
        <v>C0143</v>
      </c>
      <c r="D503" t="str">
        <f>Deals_Raw!D503</f>
        <v>MAN-0143</v>
      </c>
      <c r="E503" t="str">
        <f>Deals_Raw!E503</f>
        <v>CT00307</v>
      </c>
      <c r="F503" t="str">
        <f>Deals_Raw!F503</f>
        <v>Finance</v>
      </c>
      <c r="G503" t="str">
        <f>Deals_Raw!G503</f>
        <v>Manufacturing</v>
      </c>
      <c r="H503" t="str">
        <f>Deals_Raw!H503</f>
        <v>South</v>
      </c>
      <c r="I503" t="str">
        <f>Deals_Raw!I503</f>
        <v>South Commercial</v>
      </c>
      <c r="J503" t="str">
        <f>Deals_Raw!J503</f>
        <v>Mid-Market</v>
      </c>
      <c r="K503" t="str">
        <f>Deals_Raw!K503</f>
        <v>No</v>
      </c>
      <c r="L503">
        <f>Deals_Raw!L503</f>
        <v>45597</v>
      </c>
      <c r="M503">
        <f>Deals_Raw!M503</f>
        <v>64</v>
      </c>
      <c r="N503" t="str">
        <f>Deals_Raw!N503</f>
        <v>Nexus Analytics</v>
      </c>
      <c r="O503" t="str">
        <f>Deals_Raw!O503</f>
        <v>New Business</v>
      </c>
      <c r="P503">
        <f>Deals_Raw!P503</f>
        <v>0</v>
      </c>
      <c r="Q503">
        <f>Deals_Raw!Q503</f>
        <v>1</v>
      </c>
      <c r="R503">
        <f>Deals_Raw!R503</f>
        <v>302</v>
      </c>
      <c r="S503" t="str">
        <f>Deals_Raw!S503</f>
        <v>R. Singh</v>
      </c>
      <c r="T503" s="6">
        <f>Deals_Raw!T503</f>
        <v>81226.42093251081</v>
      </c>
      <c r="U503" s="8">
        <f>Deals_Raw!V503</f>
        <v>0.127</v>
      </c>
      <c r="V503" s="8">
        <f>Deals_Raw!W503</f>
        <v>0.08</v>
      </c>
      <c r="W503" s="8">
        <f>Deals_Raw!X503</f>
        <v>-7.6999999999999999E-2</v>
      </c>
      <c r="X503" t="str">
        <f>Deals_Raw!Y503</f>
        <v>Multi-year commitment</v>
      </c>
      <c r="Y503" t="str">
        <f>Deals_Raw!Z503</f>
        <v>Sales Manager</v>
      </c>
      <c r="Z503" s="6">
        <f>Deals_Raw!AA503</f>
        <v>74732.683307693762</v>
      </c>
      <c r="AA503" s="6">
        <f>Deals_Raw!AC503</f>
        <v>27447.830681646232</v>
      </c>
      <c r="AB503" s="6">
        <f>Deals_Raw!AD503</f>
        <v>47284.852626047534</v>
      </c>
      <c r="AC503" s="8">
        <f>Deals_Raw!AE503</f>
        <v>0.63271985606837611</v>
      </c>
      <c r="AD503" t="str">
        <f>Deals_Raw!AF503</f>
        <v>Lost</v>
      </c>
      <c r="AE503">
        <f>Deals_Raw!AG503</f>
        <v>0</v>
      </c>
      <c r="AF503">
        <f>Deals_Raw!AH503</f>
        <v>0</v>
      </c>
      <c r="AG503" t="str">
        <f>Deals_Raw!AI503</f>
        <v>No</v>
      </c>
      <c r="AH503" s="6">
        <f>Deals_Raw!AJ503</f>
        <v>0</v>
      </c>
      <c r="AI503" s="6">
        <f>Deals_Raw!AK503</f>
        <v>0</v>
      </c>
      <c r="AJ503" t="str">
        <f>Deals_Raw!AL503</f>
        <v>First purchase under this contract</v>
      </c>
      <c r="AK503" s="9">
        <f t="shared" si="49"/>
        <v>0.61388888888888893</v>
      </c>
      <c r="AL503" s="8">
        <f t="shared" si="50"/>
        <v>0.92005387470891342</v>
      </c>
      <c r="AM503" s="8">
        <f t="shared" si="51"/>
        <v>4.7E-2</v>
      </c>
      <c r="AN503" t="str">
        <f>IF(AC503&lt;Pricing_Policy!$C$10,"Below Floor","Pass")</f>
        <v>Pass</v>
      </c>
      <c r="AO503" t="str">
        <f>IF(V503&gt;Pricing_Policy!$C$7,"Exception","Standard")</f>
        <v>Standard</v>
      </c>
      <c r="AP503" t="str">
        <f t="shared" si="52"/>
        <v>Pass</v>
      </c>
      <c r="AQ503">
        <f t="shared" si="53"/>
        <v>0</v>
      </c>
      <c r="AR503" s="8">
        <f t="shared" si="54"/>
        <v>0</v>
      </c>
      <c r="AS503">
        <f t="shared" si="55"/>
        <v>1</v>
      </c>
    </row>
    <row r="504" spans="1:45">
      <c r="A504" t="str">
        <f>Deals_Raw!A504</f>
        <v>D00569</v>
      </c>
      <c r="B504">
        <f>Deals_Raw!B504</f>
        <v>45558</v>
      </c>
      <c r="C504" t="str">
        <f>Deals_Raw!C504</f>
        <v>C0143</v>
      </c>
      <c r="D504" t="str">
        <f>Deals_Raw!D504</f>
        <v>MAN-0143</v>
      </c>
      <c r="E504" t="str">
        <f>Deals_Raw!E504</f>
        <v>CT00308</v>
      </c>
      <c r="F504" t="str">
        <f>Deals_Raw!F504</f>
        <v>Corporate</v>
      </c>
      <c r="G504" t="str">
        <f>Deals_Raw!G504</f>
        <v>Manufacturing</v>
      </c>
      <c r="H504" t="str">
        <f>Deals_Raw!H504</f>
        <v>South</v>
      </c>
      <c r="I504" t="str">
        <f>Deals_Raw!I504</f>
        <v>South Commercial</v>
      </c>
      <c r="J504" t="str">
        <f>Deals_Raw!J504</f>
        <v>Mid-Market</v>
      </c>
      <c r="K504" t="str">
        <f>Deals_Raw!K504</f>
        <v>No</v>
      </c>
      <c r="L504">
        <f>Deals_Raw!L504</f>
        <v>45597</v>
      </c>
      <c r="M504">
        <f>Deals_Raw!M504</f>
        <v>64</v>
      </c>
      <c r="N504" t="str">
        <f>Deals_Raw!N504</f>
        <v>Nexus Enterprise Suite</v>
      </c>
      <c r="O504" t="str">
        <f>Deals_Raw!O504</f>
        <v>New Business</v>
      </c>
      <c r="P504">
        <f>Deals_Raw!P504</f>
        <v>0</v>
      </c>
      <c r="Q504">
        <f>Deals_Raw!Q504</f>
        <v>3</v>
      </c>
      <c r="R504">
        <f>Deals_Raw!R504</f>
        <v>245</v>
      </c>
      <c r="S504" t="str">
        <f>Deals_Raw!S504</f>
        <v>T. Brooks</v>
      </c>
      <c r="T504" s="6">
        <f>Deals_Raw!T504</f>
        <v>289536.71702233795</v>
      </c>
      <c r="U504" s="8">
        <f>Deals_Raw!V504</f>
        <v>0.16800000000000001</v>
      </c>
      <c r="V504" s="8">
        <f>Deals_Raw!W504</f>
        <v>0.14199999999999999</v>
      </c>
      <c r="W504" s="8">
        <f>Deals_Raw!X504</f>
        <v>6.0999999999999999E-2</v>
      </c>
      <c r="X504" t="str">
        <f>Deals_Raw!Y504</f>
        <v>Budget constraint</v>
      </c>
      <c r="Y504" t="str">
        <f>Deals_Raw!Z504</f>
        <v>Pricing Analyst</v>
      </c>
      <c r="Z504" s="6">
        <f>Deals_Raw!AA504</f>
        <v>248421.82206808255</v>
      </c>
      <c r="AA504" s="6">
        <f>Deals_Raw!AC504</f>
        <v>110266.34911671963</v>
      </c>
      <c r="AB504" s="6">
        <f>Deals_Raw!AD504</f>
        <v>138155.4729513629</v>
      </c>
      <c r="AC504" s="8">
        <f>Deals_Raw!AE504</f>
        <v>0.55613259656995828</v>
      </c>
      <c r="AD504" t="str">
        <f>Deals_Raw!AF504</f>
        <v>Lost</v>
      </c>
      <c r="AE504">
        <f>Deals_Raw!AG504</f>
        <v>0</v>
      </c>
      <c r="AF504">
        <f>Deals_Raw!AH504</f>
        <v>0</v>
      </c>
      <c r="AG504" t="str">
        <f>Deals_Raw!AI504</f>
        <v>No</v>
      </c>
      <c r="AH504" s="6">
        <f>Deals_Raw!AJ504</f>
        <v>0</v>
      </c>
      <c r="AI504" s="6">
        <f>Deals_Raw!AK504</f>
        <v>0</v>
      </c>
      <c r="AJ504" t="str">
        <f>Deals_Raw!AL504</f>
        <v>First purchase under this contract</v>
      </c>
      <c r="AK504" s="9">
        <f t="shared" si="49"/>
        <v>0.10555555555555556</v>
      </c>
      <c r="AL504" s="8">
        <f t="shared" si="50"/>
        <v>0.85799764749324225</v>
      </c>
      <c r="AM504" s="8">
        <f t="shared" si="51"/>
        <v>2.6000000000000023E-2</v>
      </c>
      <c r="AN504" t="str">
        <f>IF(AC504&lt;Pricing_Policy!$C$10,"Below Floor","Pass")</f>
        <v>Pass</v>
      </c>
      <c r="AO504" t="str">
        <f>IF(V504&gt;Pricing_Policy!$C$7,"Exception","Standard")</f>
        <v>Standard</v>
      </c>
      <c r="AP504" t="str">
        <f t="shared" si="52"/>
        <v>Pass</v>
      </c>
      <c r="AQ504">
        <f t="shared" si="53"/>
        <v>0</v>
      </c>
      <c r="AR504" s="8">
        <f t="shared" si="54"/>
        <v>0</v>
      </c>
      <c r="AS504">
        <f t="shared" si="55"/>
        <v>1</v>
      </c>
    </row>
    <row r="505" spans="1:45">
      <c r="A505" t="str">
        <f>Deals_Raw!A505</f>
        <v>D00570</v>
      </c>
      <c r="B505">
        <f>Deals_Raw!B505</f>
        <v>45471</v>
      </c>
      <c r="C505" t="str">
        <f>Deals_Raw!C505</f>
        <v>C0144</v>
      </c>
      <c r="D505" t="str">
        <f>Deals_Raw!D505</f>
        <v>PUB-0144</v>
      </c>
      <c r="E505" t="str">
        <f>Deals_Raw!E505</f>
        <v>CT00309</v>
      </c>
      <c r="F505" t="str">
        <f>Deals_Raw!F505</f>
        <v>Legal</v>
      </c>
      <c r="G505" t="str">
        <f>Deals_Raw!G505</f>
        <v>Public Sector</v>
      </c>
      <c r="H505" t="str">
        <f>Deals_Raw!H505</f>
        <v>Northeast</v>
      </c>
      <c r="I505" t="str">
        <f>Deals_Raw!I505</f>
        <v>Northeast Commercial</v>
      </c>
      <c r="J505" t="str">
        <f>Deals_Raw!J505</f>
        <v>Mid-Market</v>
      </c>
      <c r="K505" t="str">
        <f>Deals_Raw!K505</f>
        <v>No</v>
      </c>
      <c r="L505">
        <f>Deals_Raw!L505</f>
        <v>43252</v>
      </c>
      <c r="M505">
        <f>Deals_Raw!M505</f>
        <v>68</v>
      </c>
      <c r="N505" t="str">
        <f>Deals_Raw!N505</f>
        <v>Nexus Analytics</v>
      </c>
      <c r="O505" t="str">
        <f>Deals_Raw!O505</f>
        <v>Expansion</v>
      </c>
      <c r="P505" t="str">
        <f>Deals_Raw!P505</f>
        <v>Seat Expansion</v>
      </c>
      <c r="Q505">
        <f>Deals_Raw!Q505</f>
        <v>1</v>
      </c>
      <c r="R505">
        <f>Deals_Raw!R505</f>
        <v>259</v>
      </c>
      <c r="S505" t="str">
        <f>Deals_Raw!S505</f>
        <v>T. Brooks</v>
      </c>
      <c r="T505" s="6">
        <f>Deals_Raw!T505</f>
        <v>146840.97743354333</v>
      </c>
      <c r="U505" s="8">
        <f>Deals_Raw!V505</f>
        <v>9.9000000000000005E-2</v>
      </c>
      <c r="V505" s="8">
        <f>Deals_Raw!W505</f>
        <v>7.0000000000000007E-2</v>
      </c>
      <c r="W505" s="8">
        <f>Deals_Raw!X505</f>
        <v>-5.3999999999999999E-2</v>
      </c>
      <c r="X505" t="str">
        <f>Deals_Raw!Y505</f>
        <v>Expansion opportunity</v>
      </c>
      <c r="Y505" t="str">
        <f>Deals_Raw!Z505</f>
        <v>Sales Manager</v>
      </c>
      <c r="Z505" s="6">
        <f>Deals_Raw!AA505</f>
        <v>136541.06722685599</v>
      </c>
      <c r="AA505" s="6">
        <f>Deals_Raw!AC505</f>
        <v>44590.813870809077</v>
      </c>
      <c r="AB505" s="6">
        <f>Deals_Raw!AD505</f>
        <v>91950.253356046916</v>
      </c>
      <c r="AC505" s="8">
        <f>Deals_Raw!AE505</f>
        <v>0.67342562368636161</v>
      </c>
      <c r="AD505" t="str">
        <f>Deals_Raw!AF505</f>
        <v>Lost</v>
      </c>
      <c r="AE505">
        <f>Deals_Raw!AG505</f>
        <v>0</v>
      </c>
      <c r="AF505" t="str">
        <f>Deals_Raw!AH505</f>
        <v>No</v>
      </c>
      <c r="AG505" t="str">
        <f>Deals_Raw!AI505</f>
        <v>No</v>
      </c>
      <c r="AH505" s="6">
        <f>Deals_Raw!AJ505</f>
        <v>0</v>
      </c>
      <c r="AI505" s="6">
        <f>Deals_Raw!AK505</f>
        <v>0</v>
      </c>
      <c r="AJ505" t="str">
        <f>Deals_Raw!AL505</f>
        <v>Expansion allowed because contract was active</v>
      </c>
      <c r="AK505" s="9">
        <f t="shared" si="49"/>
        <v>6.0750000000000002</v>
      </c>
      <c r="AL505" s="8">
        <f t="shared" si="50"/>
        <v>0.92985670358024664</v>
      </c>
      <c r="AM505" s="8">
        <f t="shared" si="51"/>
        <v>2.8999999999999998E-2</v>
      </c>
      <c r="AN505" t="str">
        <f>IF(AC505&lt;Pricing_Policy!$C$10,"Below Floor","Pass")</f>
        <v>Pass</v>
      </c>
      <c r="AO505" t="str">
        <f>IF(V505&gt;Pricing_Policy!$C$7,"Exception","Standard")</f>
        <v>Standard</v>
      </c>
      <c r="AP505" t="str">
        <f t="shared" si="52"/>
        <v>Pass</v>
      </c>
      <c r="AQ505">
        <f t="shared" si="53"/>
        <v>0</v>
      </c>
      <c r="AR505" s="8">
        <f t="shared" si="54"/>
        <v>0</v>
      </c>
      <c r="AS505">
        <f t="shared" si="55"/>
        <v>2</v>
      </c>
    </row>
    <row r="506" spans="1:45">
      <c r="A506" t="str">
        <f>Deals_Raw!A506</f>
        <v>D00571</v>
      </c>
      <c r="B506">
        <f>Deals_Raw!B506</f>
        <v>45632</v>
      </c>
      <c r="C506" t="str">
        <f>Deals_Raw!C506</f>
        <v>C0144</v>
      </c>
      <c r="D506" t="str">
        <f>Deals_Raw!D506</f>
        <v>PUB-0144</v>
      </c>
      <c r="E506" t="str">
        <f>Deals_Raw!E506</f>
        <v>CT00309</v>
      </c>
      <c r="F506" t="str">
        <f>Deals_Raw!F506</f>
        <v>Legal</v>
      </c>
      <c r="G506" t="str">
        <f>Deals_Raw!G506</f>
        <v>Public Sector</v>
      </c>
      <c r="H506" t="str">
        <f>Deals_Raw!H506</f>
        <v>Northeast</v>
      </c>
      <c r="I506" t="str">
        <f>Deals_Raw!I506</f>
        <v>Northeast Commercial</v>
      </c>
      <c r="J506" t="str">
        <f>Deals_Raw!J506</f>
        <v>Mid-Market</v>
      </c>
      <c r="K506" t="str">
        <f>Deals_Raw!K506</f>
        <v>No</v>
      </c>
      <c r="L506">
        <f>Deals_Raw!L506</f>
        <v>43252</v>
      </c>
      <c r="M506">
        <f>Deals_Raw!M506</f>
        <v>68</v>
      </c>
      <c r="N506" t="str">
        <f>Deals_Raw!N506</f>
        <v>Nexus Analytics</v>
      </c>
      <c r="O506" t="str">
        <f>Deals_Raw!O506</f>
        <v>Renewal</v>
      </c>
      <c r="P506">
        <f>Deals_Raw!P506</f>
        <v>0</v>
      </c>
      <c r="Q506">
        <f>Deals_Raw!Q506</f>
        <v>1</v>
      </c>
      <c r="R506">
        <f>Deals_Raw!R506</f>
        <v>180</v>
      </c>
      <c r="S506" t="str">
        <f>Deals_Raw!S506</f>
        <v>R. Singh</v>
      </c>
      <c r="T506" s="6">
        <f>Deals_Raw!T506</f>
        <v>120483.91887048486</v>
      </c>
      <c r="U506" s="8">
        <f>Deals_Raw!V506</f>
        <v>0.17100000000000001</v>
      </c>
      <c r="V506" s="8">
        <f>Deals_Raw!W506</f>
        <v>0.11799999999999999</v>
      </c>
      <c r="W506" s="8">
        <f>Deals_Raw!X506</f>
        <v>-7.6999999999999999E-2</v>
      </c>
      <c r="X506" t="str">
        <f>Deals_Raw!Y506</f>
        <v>Strategic logo opportunity</v>
      </c>
      <c r="Y506" t="str">
        <f>Deals_Raw!Z506</f>
        <v>Pricing Analyst</v>
      </c>
      <c r="Z506" s="6">
        <f>Deals_Raw!AA506</f>
        <v>106279.82487622595</v>
      </c>
      <c r="AA506" s="6">
        <f>Deals_Raw!AC506</f>
        <v>38676.070724666257</v>
      </c>
      <c r="AB506" s="6">
        <f>Deals_Raw!AD506</f>
        <v>67603.754151559697</v>
      </c>
      <c r="AC506" s="8">
        <f>Deals_Raw!AE506</f>
        <v>0.63609207326311834</v>
      </c>
      <c r="AD506" t="str">
        <f>Deals_Raw!AF506</f>
        <v>Lost</v>
      </c>
      <c r="AE506" t="str">
        <f>Deals_Raw!AG506</f>
        <v>No</v>
      </c>
      <c r="AF506">
        <f>Deals_Raw!AH506</f>
        <v>0</v>
      </c>
      <c r="AG506" t="str">
        <f>Deals_Raw!AI506</f>
        <v>No</v>
      </c>
      <c r="AH506" s="6">
        <f>Deals_Raw!AJ506</f>
        <v>0</v>
      </c>
      <c r="AI506" s="6">
        <f>Deals_Raw!AK506</f>
        <v>0</v>
      </c>
      <c r="AJ506" t="str">
        <f>Deals_Raw!AL506</f>
        <v>Renewal of existing active contract</v>
      </c>
      <c r="AK506" s="9">
        <f t="shared" si="49"/>
        <v>6.5138888888888893</v>
      </c>
      <c r="AL506" s="8">
        <f t="shared" si="50"/>
        <v>0.88210796820505377</v>
      </c>
      <c r="AM506" s="8">
        <f t="shared" si="51"/>
        <v>5.3000000000000019E-2</v>
      </c>
      <c r="AN506" t="str">
        <f>IF(AC506&lt;Pricing_Policy!$C$10,"Below Floor","Pass")</f>
        <v>Pass</v>
      </c>
      <c r="AO506" t="str">
        <f>IF(V506&gt;Pricing_Policy!$C$7,"Exception","Standard")</f>
        <v>Standard</v>
      </c>
      <c r="AP506" t="str">
        <f t="shared" si="52"/>
        <v>Pass</v>
      </c>
      <c r="AQ506">
        <f t="shared" si="53"/>
        <v>0</v>
      </c>
      <c r="AR506" s="8">
        <f t="shared" si="54"/>
        <v>0</v>
      </c>
      <c r="AS506">
        <f t="shared" si="55"/>
        <v>2</v>
      </c>
    </row>
    <row r="507" spans="1:45">
      <c r="A507" t="str">
        <f>Deals_Raw!A507</f>
        <v>D00572</v>
      </c>
      <c r="B507">
        <f>Deals_Raw!B507</f>
        <v>45336</v>
      </c>
      <c r="C507" t="str">
        <f>Deals_Raw!C507</f>
        <v>C0145</v>
      </c>
      <c r="D507" t="str">
        <f>Deals_Raw!D507</f>
        <v>LEG-0145</v>
      </c>
      <c r="E507" t="str">
        <f>Deals_Raw!E507</f>
        <v>CT00310</v>
      </c>
      <c r="F507" t="str">
        <f>Deals_Raw!F507</f>
        <v>Corporate</v>
      </c>
      <c r="G507" t="str">
        <f>Deals_Raw!G507</f>
        <v>Legal</v>
      </c>
      <c r="H507" t="str">
        <f>Deals_Raw!H507</f>
        <v>Midwest</v>
      </c>
      <c r="I507" t="str">
        <f>Deals_Raw!I507</f>
        <v>Midwest Commercial</v>
      </c>
      <c r="J507" t="str">
        <f>Deals_Raw!J507</f>
        <v>Mid-Market</v>
      </c>
      <c r="K507" t="str">
        <f>Deals_Raw!K507</f>
        <v>No</v>
      </c>
      <c r="L507">
        <f>Deals_Raw!L507</f>
        <v>45047</v>
      </c>
      <c r="M507">
        <f>Deals_Raw!M507</f>
        <v>54</v>
      </c>
      <c r="N507" t="str">
        <f>Deals_Raw!N507</f>
        <v>Nexus Analytics</v>
      </c>
      <c r="O507" t="str">
        <f>Deals_Raw!O507</f>
        <v>New Business</v>
      </c>
      <c r="P507">
        <f>Deals_Raw!P507</f>
        <v>0</v>
      </c>
      <c r="Q507">
        <f>Deals_Raw!Q507</f>
        <v>2</v>
      </c>
      <c r="R507">
        <f>Deals_Raw!R507</f>
        <v>95</v>
      </c>
      <c r="S507" t="str">
        <f>Deals_Raw!S507</f>
        <v>S. Rivera</v>
      </c>
      <c r="T507" s="6">
        <f>Deals_Raw!T507</f>
        <v>113991.40457276741</v>
      </c>
      <c r="U507" s="8">
        <f>Deals_Raw!V507</f>
        <v>7.8E-2</v>
      </c>
      <c r="V507" s="8">
        <f>Deals_Raw!W507</f>
        <v>6.0999999999999999E-2</v>
      </c>
      <c r="W507" s="8">
        <f>Deals_Raw!X507</f>
        <v>-2.1999999999999999E-2</v>
      </c>
      <c r="X507" t="str">
        <f>Deals_Raw!Y507</f>
        <v>Procurement requirement</v>
      </c>
      <c r="Y507" t="str">
        <f>Deals_Raw!Z507</f>
        <v>Sales Manager</v>
      </c>
      <c r="Z507" s="6">
        <f>Deals_Raw!AA507</f>
        <v>107088.62667111828</v>
      </c>
      <c r="AA507" s="6">
        <f>Deals_Raw!AC507</f>
        <v>36985.493069413322</v>
      </c>
      <c r="AB507" s="6">
        <f>Deals_Raw!AD507</f>
        <v>70103.133601704962</v>
      </c>
      <c r="AC507" s="8">
        <f>Deals_Raw!AE507</f>
        <v>0.65462725390063969</v>
      </c>
      <c r="AD507" t="str">
        <f>Deals_Raw!AF507</f>
        <v>Lost</v>
      </c>
      <c r="AE507">
        <f>Deals_Raw!AG507</f>
        <v>0</v>
      </c>
      <c r="AF507">
        <f>Deals_Raw!AH507</f>
        <v>0</v>
      </c>
      <c r="AG507" t="str">
        <f>Deals_Raw!AI507</f>
        <v>No</v>
      </c>
      <c r="AH507" s="6">
        <f>Deals_Raw!AJ507</f>
        <v>0</v>
      </c>
      <c r="AI507" s="6">
        <f>Deals_Raw!AK507</f>
        <v>0</v>
      </c>
      <c r="AJ507" t="str">
        <f>Deals_Raw!AL507</f>
        <v>First purchase under this contract</v>
      </c>
      <c r="AK507" s="9">
        <f t="shared" si="49"/>
        <v>0.78611111111111109</v>
      </c>
      <c r="AL507" s="8">
        <f t="shared" si="50"/>
        <v>0.93944475087818857</v>
      </c>
      <c r="AM507" s="8">
        <f t="shared" si="51"/>
        <v>1.7000000000000001E-2</v>
      </c>
      <c r="AN507" t="str">
        <f>IF(AC507&lt;Pricing_Policy!$C$10,"Below Floor","Pass")</f>
        <v>Pass</v>
      </c>
      <c r="AO507" t="str">
        <f>IF(V507&gt;Pricing_Policy!$C$7,"Exception","Standard")</f>
        <v>Standard</v>
      </c>
      <c r="AP507" t="str">
        <f t="shared" si="52"/>
        <v>Pass</v>
      </c>
      <c r="AQ507">
        <f t="shared" si="53"/>
        <v>0</v>
      </c>
      <c r="AR507" s="8">
        <f t="shared" si="54"/>
        <v>0</v>
      </c>
      <c r="AS507">
        <f t="shared" si="55"/>
        <v>1</v>
      </c>
    </row>
    <row r="508" spans="1:45">
      <c r="A508" t="str">
        <f>Deals_Raw!A508</f>
        <v>D00573</v>
      </c>
      <c r="B508">
        <f>Deals_Raw!B508</f>
        <v>45397</v>
      </c>
      <c r="C508" t="str">
        <f>Deals_Raw!C508</f>
        <v>C0145</v>
      </c>
      <c r="D508" t="str">
        <f>Deals_Raw!D508</f>
        <v>LEG-0145</v>
      </c>
      <c r="E508" t="str">
        <f>Deals_Raw!E508</f>
        <v>CT00311</v>
      </c>
      <c r="F508" t="str">
        <f>Deals_Raw!F508</f>
        <v>Corporate</v>
      </c>
      <c r="G508" t="str">
        <f>Deals_Raw!G508</f>
        <v>Legal</v>
      </c>
      <c r="H508" t="str">
        <f>Deals_Raw!H508</f>
        <v>Midwest</v>
      </c>
      <c r="I508" t="str">
        <f>Deals_Raw!I508</f>
        <v>Midwest Commercial</v>
      </c>
      <c r="J508" t="str">
        <f>Deals_Raw!J508</f>
        <v>Mid-Market</v>
      </c>
      <c r="K508" t="str">
        <f>Deals_Raw!K508</f>
        <v>No</v>
      </c>
      <c r="L508">
        <f>Deals_Raw!L508</f>
        <v>45047</v>
      </c>
      <c r="M508">
        <f>Deals_Raw!M508</f>
        <v>54</v>
      </c>
      <c r="N508" t="str">
        <f>Deals_Raw!N508</f>
        <v>Nexus AI Assistant</v>
      </c>
      <c r="O508" t="str">
        <f>Deals_Raw!O508</f>
        <v>New Business</v>
      </c>
      <c r="P508">
        <f>Deals_Raw!P508</f>
        <v>0</v>
      </c>
      <c r="Q508">
        <f>Deals_Raw!Q508</f>
        <v>3</v>
      </c>
      <c r="R508">
        <f>Deals_Raw!R508</f>
        <v>316</v>
      </c>
      <c r="S508" t="str">
        <f>Deals_Raw!S508</f>
        <v>M. Johnson</v>
      </c>
      <c r="T508" s="6">
        <f>Deals_Raw!T508</f>
        <v>99655.052793841343</v>
      </c>
      <c r="U508" s="8">
        <f>Deals_Raw!V508</f>
        <v>8.5000000000000006E-2</v>
      </c>
      <c r="V508" s="8">
        <f>Deals_Raw!W508</f>
        <v>2.5000000000000001E-2</v>
      </c>
      <c r="W508" s="8">
        <f>Deals_Raw!X508</f>
        <v>3.7999999999999999E-2</v>
      </c>
      <c r="X508" t="str">
        <f>Deals_Raw!Y508</f>
        <v>Renewal retention risk</v>
      </c>
      <c r="Y508" t="str">
        <f>Deals_Raw!Z508</f>
        <v>Sales Manager</v>
      </c>
      <c r="Z508" s="6">
        <f>Deals_Raw!AA508</f>
        <v>97209.097379089188</v>
      </c>
      <c r="AA508" s="6">
        <f>Deals_Raw!AC508</f>
        <v>38791.733586424562</v>
      </c>
      <c r="AB508" s="6">
        <f>Deals_Raw!AD508</f>
        <v>58417.363792664626</v>
      </c>
      <c r="AC508" s="8">
        <f>Deals_Raw!AE508</f>
        <v>0.600945439960755</v>
      </c>
      <c r="AD508" t="str">
        <f>Deals_Raw!AF508</f>
        <v>Lost</v>
      </c>
      <c r="AE508">
        <f>Deals_Raw!AG508</f>
        <v>0</v>
      </c>
      <c r="AF508">
        <f>Deals_Raw!AH508</f>
        <v>0</v>
      </c>
      <c r="AG508" t="str">
        <f>Deals_Raw!AI508</f>
        <v>No</v>
      </c>
      <c r="AH508" s="6">
        <f>Deals_Raw!AJ508</f>
        <v>0</v>
      </c>
      <c r="AI508" s="6">
        <f>Deals_Raw!AK508</f>
        <v>0</v>
      </c>
      <c r="AJ508" t="str">
        <f>Deals_Raw!AL508</f>
        <v>First purchase under this contract</v>
      </c>
      <c r="AK508" s="9">
        <f t="shared" si="49"/>
        <v>0.9555555555555556</v>
      </c>
      <c r="AL508" s="8">
        <f t="shared" si="50"/>
        <v>0.97545578125564636</v>
      </c>
      <c r="AM508" s="8">
        <f t="shared" si="51"/>
        <v>6.0000000000000005E-2</v>
      </c>
      <c r="AN508" t="str">
        <f>IF(AC508&lt;Pricing_Policy!$C$10,"Below Floor","Pass")</f>
        <v>Pass</v>
      </c>
      <c r="AO508" t="str">
        <f>IF(V508&gt;Pricing_Policy!$C$7,"Exception","Standard")</f>
        <v>Standard</v>
      </c>
      <c r="AP508" t="str">
        <f t="shared" si="52"/>
        <v>Pass</v>
      </c>
      <c r="AQ508">
        <f t="shared" si="53"/>
        <v>0</v>
      </c>
      <c r="AR508" s="8">
        <f t="shared" si="54"/>
        <v>0</v>
      </c>
      <c r="AS508">
        <f t="shared" si="55"/>
        <v>3</v>
      </c>
    </row>
    <row r="509" spans="1:45">
      <c r="A509" t="str">
        <f>Deals_Raw!A509</f>
        <v>D00574</v>
      </c>
      <c r="B509">
        <f>Deals_Raw!B509</f>
        <v>45584</v>
      </c>
      <c r="C509" t="str">
        <f>Deals_Raw!C509</f>
        <v>C0145</v>
      </c>
      <c r="D509" t="str">
        <f>Deals_Raw!D509</f>
        <v>LEG-0145</v>
      </c>
      <c r="E509" t="str">
        <f>Deals_Raw!E509</f>
        <v>CT00311</v>
      </c>
      <c r="F509" t="str">
        <f>Deals_Raw!F509</f>
        <v>Corporate</v>
      </c>
      <c r="G509" t="str">
        <f>Deals_Raw!G509</f>
        <v>Legal</v>
      </c>
      <c r="H509" t="str">
        <f>Deals_Raw!H509</f>
        <v>Midwest</v>
      </c>
      <c r="I509" t="str">
        <f>Deals_Raw!I509</f>
        <v>Midwest Commercial</v>
      </c>
      <c r="J509" t="str">
        <f>Deals_Raw!J509</f>
        <v>Mid-Market</v>
      </c>
      <c r="K509" t="str">
        <f>Deals_Raw!K509</f>
        <v>No</v>
      </c>
      <c r="L509">
        <f>Deals_Raw!L509</f>
        <v>45047</v>
      </c>
      <c r="M509">
        <f>Deals_Raw!M509</f>
        <v>54</v>
      </c>
      <c r="N509" t="str">
        <f>Deals_Raw!N509</f>
        <v>Nexus AI Assistant</v>
      </c>
      <c r="O509" t="str">
        <f>Deals_Raw!O509</f>
        <v>Win-back</v>
      </c>
      <c r="P509">
        <f>Deals_Raw!P509</f>
        <v>0</v>
      </c>
      <c r="Q509">
        <f>Deals_Raw!Q509</f>
        <v>3</v>
      </c>
      <c r="R509">
        <f>Deals_Raw!R509</f>
        <v>316</v>
      </c>
      <c r="S509" t="str">
        <f>Deals_Raw!S509</f>
        <v>L. Williams</v>
      </c>
      <c r="T509" s="6">
        <f>Deals_Raw!T509</f>
        <v>99655.052793841343</v>
      </c>
      <c r="U509" s="8">
        <f>Deals_Raw!V509</f>
        <v>0.216</v>
      </c>
      <c r="V509" s="8">
        <f>Deals_Raw!W509</f>
        <v>0.17899999999999999</v>
      </c>
      <c r="W509" s="8">
        <f>Deals_Raw!X509</f>
        <v>-0.13100000000000001</v>
      </c>
      <c r="X509" t="str">
        <f>Deals_Raw!Y509</f>
        <v>Renewal retention risk</v>
      </c>
      <c r="Y509" t="str">
        <f>Deals_Raw!Z509</f>
        <v>Pricing Analyst</v>
      </c>
      <c r="Z509" s="6">
        <f>Deals_Raw!AA509</f>
        <v>81820.846141840244</v>
      </c>
      <c r="AA509" s="6">
        <f>Deals_Raw!AC509</f>
        <v>40853.848254166369</v>
      </c>
      <c r="AB509" s="6">
        <f>Deals_Raw!AD509</f>
        <v>40966.997887673875</v>
      </c>
      <c r="AC509" s="8">
        <f>Deals_Raw!AE509</f>
        <v>0.50069144746628114</v>
      </c>
      <c r="AD509" t="str">
        <f>Deals_Raw!AF509</f>
        <v>Won</v>
      </c>
      <c r="AE509">
        <f>Deals_Raw!AG509</f>
        <v>0</v>
      </c>
      <c r="AF509">
        <f>Deals_Raw!AH509</f>
        <v>0</v>
      </c>
      <c r="AG509" t="str">
        <f>Deals_Raw!AI509</f>
        <v>Yes</v>
      </c>
      <c r="AH509" s="6">
        <f>Deals_Raw!AJ509</f>
        <v>81820.846141840244</v>
      </c>
      <c r="AI509" s="6">
        <f>Deals_Raw!AK509</f>
        <v>40966.997887673875</v>
      </c>
      <c r="AJ509" t="str">
        <f>Deals_Raw!AL509</f>
        <v>Customer returned after prior lost initial opportunity</v>
      </c>
      <c r="AK509" s="9">
        <f t="shared" si="49"/>
        <v>1.4666666666666666</v>
      </c>
      <c r="AL509" s="8">
        <f t="shared" si="50"/>
        <v>0.8210406180919384</v>
      </c>
      <c r="AM509" s="8">
        <f t="shared" si="51"/>
        <v>3.7000000000000005E-2</v>
      </c>
      <c r="AN509" t="str">
        <f>IF(AC509&lt;Pricing_Policy!$C$10,"Below Floor","Pass")</f>
        <v>Pass</v>
      </c>
      <c r="AO509" t="str">
        <f>IF(V509&gt;Pricing_Policy!$C$7,"Exception","Standard")</f>
        <v>Standard</v>
      </c>
      <c r="AP509" t="str">
        <f t="shared" si="52"/>
        <v>Pass</v>
      </c>
      <c r="AQ509">
        <f t="shared" si="53"/>
        <v>1</v>
      </c>
      <c r="AR509" s="8">
        <f t="shared" si="54"/>
        <v>0.50069144746628114</v>
      </c>
      <c r="AS509">
        <f t="shared" si="55"/>
        <v>3</v>
      </c>
    </row>
    <row r="510" spans="1:45">
      <c r="A510" t="str">
        <f>Deals_Raw!A510</f>
        <v>D00575</v>
      </c>
      <c r="B510">
        <f>Deals_Raw!B510</f>
        <v>45342</v>
      </c>
      <c r="C510" t="str">
        <f>Deals_Raw!C510</f>
        <v>C0145</v>
      </c>
      <c r="D510" t="str">
        <f>Deals_Raw!D510</f>
        <v>LEG-0145</v>
      </c>
      <c r="E510" t="str">
        <f>Deals_Raw!E510</f>
        <v>CT00312</v>
      </c>
      <c r="F510" t="str">
        <f>Deals_Raw!F510</f>
        <v>Legal</v>
      </c>
      <c r="G510" t="str">
        <f>Deals_Raw!G510</f>
        <v>Legal</v>
      </c>
      <c r="H510" t="str">
        <f>Deals_Raw!H510</f>
        <v>Midwest</v>
      </c>
      <c r="I510" t="str">
        <f>Deals_Raw!I510</f>
        <v>Midwest Commercial</v>
      </c>
      <c r="J510" t="str">
        <f>Deals_Raw!J510</f>
        <v>Mid-Market</v>
      </c>
      <c r="K510" t="str">
        <f>Deals_Raw!K510</f>
        <v>No</v>
      </c>
      <c r="L510">
        <f>Deals_Raw!L510</f>
        <v>45047</v>
      </c>
      <c r="M510">
        <f>Deals_Raw!M510</f>
        <v>54</v>
      </c>
      <c r="N510" t="str">
        <f>Deals_Raw!N510</f>
        <v>Nexus AI Assistant</v>
      </c>
      <c r="O510" t="str">
        <f>Deals_Raw!O510</f>
        <v>New Business</v>
      </c>
      <c r="P510">
        <f>Deals_Raw!P510</f>
        <v>0</v>
      </c>
      <c r="Q510">
        <f>Deals_Raw!Q510</f>
        <v>2</v>
      </c>
      <c r="R510">
        <f>Deals_Raw!R510</f>
        <v>156</v>
      </c>
      <c r="S510" t="str">
        <f>Deals_Raw!S510</f>
        <v>D. Chen</v>
      </c>
      <c r="T510" s="6">
        <f>Deals_Raw!T510</f>
        <v>109372.24241829402</v>
      </c>
      <c r="U510" s="8">
        <f>Deals_Raw!V510</f>
        <v>0.23599999999999999</v>
      </c>
      <c r="V510" s="8">
        <f>Deals_Raw!W510</f>
        <v>0.23400000000000001</v>
      </c>
      <c r="W510" s="8">
        <f>Deals_Raw!X510</f>
        <v>-3.5000000000000003E-2</v>
      </c>
      <c r="X510" t="str">
        <f>Deals_Raw!Y510</f>
        <v>Multi-year commitment</v>
      </c>
      <c r="Y510" t="str">
        <f>Deals_Raw!Z510</f>
        <v>Business Manager</v>
      </c>
      <c r="Z510" s="6">
        <f>Deals_Raw!AA510</f>
        <v>83759.051342302148</v>
      </c>
      <c r="AA510" s="6">
        <f>Deals_Raw!AC510</f>
        <v>44711.45299075832</v>
      </c>
      <c r="AB510" s="6">
        <f>Deals_Raw!AD510</f>
        <v>39047.598351543827</v>
      </c>
      <c r="AC510" s="8">
        <f>Deals_Raw!AE510</f>
        <v>0.46618959653645226</v>
      </c>
      <c r="AD510" t="str">
        <f>Deals_Raw!AF510</f>
        <v>Lost</v>
      </c>
      <c r="AE510">
        <f>Deals_Raw!AG510</f>
        <v>0</v>
      </c>
      <c r="AF510">
        <f>Deals_Raw!AH510</f>
        <v>0</v>
      </c>
      <c r="AG510" t="str">
        <f>Deals_Raw!AI510</f>
        <v>No</v>
      </c>
      <c r="AH510" s="6">
        <f>Deals_Raw!AJ510</f>
        <v>0</v>
      </c>
      <c r="AI510" s="6">
        <f>Deals_Raw!AK510</f>
        <v>0</v>
      </c>
      <c r="AJ510" t="str">
        <f>Deals_Raw!AL510</f>
        <v>First purchase under this contract</v>
      </c>
      <c r="AK510" s="9">
        <f t="shared" si="49"/>
        <v>0.80277777777777781</v>
      </c>
      <c r="AL510" s="8">
        <f t="shared" si="50"/>
        <v>0.76581634874016524</v>
      </c>
      <c r="AM510" s="8">
        <f t="shared" si="51"/>
        <v>1.999999999999974E-3</v>
      </c>
      <c r="AN510" t="str">
        <f>IF(AC510&lt;Pricing_Policy!$C$10,"Below Floor","Pass")</f>
        <v>Pass</v>
      </c>
      <c r="AO510" t="str">
        <f>IF(V510&gt;Pricing_Policy!$C$7,"Exception","Standard")</f>
        <v>Standard</v>
      </c>
      <c r="AP510" t="str">
        <f t="shared" si="52"/>
        <v>Pass</v>
      </c>
      <c r="AQ510">
        <f t="shared" si="53"/>
        <v>0</v>
      </c>
      <c r="AR510" s="8">
        <f t="shared" si="54"/>
        <v>0</v>
      </c>
      <c r="AS510">
        <f t="shared" si="55"/>
        <v>3</v>
      </c>
    </row>
    <row r="511" spans="1:45">
      <c r="A511" t="str">
        <f>Deals_Raw!A511</f>
        <v>D00577</v>
      </c>
      <c r="B511">
        <f>Deals_Raw!B511</f>
        <v>45531</v>
      </c>
      <c r="C511" t="str">
        <f>Deals_Raw!C511</f>
        <v>C0146</v>
      </c>
      <c r="D511" t="str">
        <f>Deals_Raw!D511</f>
        <v>FIN-0146</v>
      </c>
      <c r="E511" t="str">
        <f>Deals_Raw!E511</f>
        <v>CT00313</v>
      </c>
      <c r="F511" t="str">
        <f>Deals_Raw!F511</f>
        <v>Legal</v>
      </c>
      <c r="G511" t="str">
        <f>Deals_Raw!G511</f>
        <v>Financial Services</v>
      </c>
      <c r="H511" t="str">
        <f>Deals_Raw!H511</f>
        <v>South</v>
      </c>
      <c r="I511" t="str">
        <f>Deals_Raw!I511</f>
        <v>South Commercial</v>
      </c>
      <c r="J511" t="str">
        <f>Deals_Raw!J511</f>
        <v>SMB</v>
      </c>
      <c r="K511" t="str">
        <f>Deals_Raw!K511</f>
        <v>No</v>
      </c>
      <c r="L511">
        <f>Deals_Raw!L511</f>
        <v>44470</v>
      </c>
      <c r="M511">
        <f>Deals_Raw!M511</f>
        <v>81</v>
      </c>
      <c r="N511" t="str">
        <f>Deals_Raw!N511</f>
        <v>Nexus Compliance</v>
      </c>
      <c r="O511" t="str">
        <f>Deals_Raw!O511</f>
        <v>Expansion</v>
      </c>
      <c r="P511" t="str">
        <f>Deals_Raw!P511</f>
        <v>Storage / Usage Expansion</v>
      </c>
      <c r="Q511">
        <f>Deals_Raw!Q511</f>
        <v>1</v>
      </c>
      <c r="R511">
        <f>Deals_Raw!R511</f>
        <v>44</v>
      </c>
      <c r="S511" t="str">
        <f>Deals_Raw!S511</f>
        <v>D. Chen</v>
      </c>
      <c r="T511" s="6">
        <f>Deals_Raw!T511</f>
        <v>76740.327880299155</v>
      </c>
      <c r="U511" s="8">
        <f>Deals_Raw!V511</f>
        <v>0.124</v>
      </c>
      <c r="V511" s="8">
        <f>Deals_Raw!W511</f>
        <v>0.115</v>
      </c>
      <c r="W511" s="8">
        <f>Deals_Raw!X511</f>
        <v>0.104</v>
      </c>
      <c r="X511" t="str">
        <f>Deals_Raw!Y511</f>
        <v>Expansion opportunity</v>
      </c>
      <c r="Y511" t="str">
        <f>Deals_Raw!Z511</f>
        <v>Pricing Analyst</v>
      </c>
      <c r="Z511" s="6">
        <f>Deals_Raw!AA511</f>
        <v>67900.306493596203</v>
      </c>
      <c r="AA511" s="6">
        <f>Deals_Raw!AC511</f>
        <v>25348.648619182743</v>
      </c>
      <c r="AB511" s="6">
        <f>Deals_Raw!AD511</f>
        <v>42551.65787441346</v>
      </c>
      <c r="AC511" s="8">
        <f>Deals_Raw!AE511</f>
        <v>0.62667843595708339</v>
      </c>
      <c r="AD511" t="str">
        <f>Deals_Raw!AF511</f>
        <v>Won</v>
      </c>
      <c r="AE511">
        <f>Deals_Raw!AG511</f>
        <v>0</v>
      </c>
      <c r="AF511" t="str">
        <f>Deals_Raw!AH511</f>
        <v>Yes</v>
      </c>
      <c r="AG511" t="str">
        <f>Deals_Raw!AI511</f>
        <v>No</v>
      </c>
      <c r="AH511" s="6">
        <f>Deals_Raw!AJ511</f>
        <v>67900.306493596203</v>
      </c>
      <c r="AI511" s="6">
        <f>Deals_Raw!AK511</f>
        <v>42551.65787441346</v>
      </c>
      <c r="AJ511" t="str">
        <f>Deals_Raw!AL511</f>
        <v>Expansion allowed because contract was active</v>
      </c>
      <c r="AK511" s="9">
        <f t="shared" si="49"/>
        <v>2.9055555555555554</v>
      </c>
      <c r="AL511" s="8">
        <f t="shared" si="50"/>
        <v>0.88480605138289525</v>
      </c>
      <c r="AM511" s="8">
        <f t="shared" si="51"/>
        <v>8.9999999999999941E-3</v>
      </c>
      <c r="AN511" t="str">
        <f>IF(AC511&lt;Pricing_Policy!$C$10,"Below Floor","Pass")</f>
        <v>Pass</v>
      </c>
      <c r="AO511" t="str">
        <f>IF(V511&gt;Pricing_Policy!$C$7,"Exception","Standard")</f>
        <v>Standard</v>
      </c>
      <c r="AP511" t="str">
        <f t="shared" si="52"/>
        <v>Pass</v>
      </c>
      <c r="AQ511">
        <f t="shared" si="53"/>
        <v>1</v>
      </c>
      <c r="AR511" s="8">
        <f t="shared" si="54"/>
        <v>0.62667843595708339</v>
      </c>
      <c r="AS511">
        <f t="shared" si="55"/>
        <v>3</v>
      </c>
    </row>
    <row r="512" spans="1:45">
      <c r="A512" t="str">
        <f>Deals_Raw!A512</f>
        <v>D00578</v>
      </c>
      <c r="B512">
        <f>Deals_Raw!B512</f>
        <v>45626</v>
      </c>
      <c r="C512" t="str">
        <f>Deals_Raw!C512</f>
        <v>C0146</v>
      </c>
      <c r="D512" t="str">
        <f>Deals_Raw!D512</f>
        <v>FIN-0146</v>
      </c>
      <c r="E512" t="str">
        <f>Deals_Raw!E512</f>
        <v>CT00313</v>
      </c>
      <c r="F512" t="str">
        <f>Deals_Raw!F512</f>
        <v>Legal</v>
      </c>
      <c r="G512" t="str">
        <f>Deals_Raw!G512</f>
        <v>Financial Services</v>
      </c>
      <c r="H512" t="str">
        <f>Deals_Raw!H512</f>
        <v>South</v>
      </c>
      <c r="I512" t="str">
        <f>Deals_Raw!I512</f>
        <v>South Commercial</v>
      </c>
      <c r="J512" t="str">
        <f>Deals_Raw!J512</f>
        <v>SMB</v>
      </c>
      <c r="K512" t="str">
        <f>Deals_Raw!K512</f>
        <v>No</v>
      </c>
      <c r="L512">
        <f>Deals_Raw!L512</f>
        <v>44470</v>
      </c>
      <c r="M512">
        <f>Deals_Raw!M512</f>
        <v>81</v>
      </c>
      <c r="N512" t="str">
        <f>Deals_Raw!N512</f>
        <v>Nexus Compliance</v>
      </c>
      <c r="O512" t="str">
        <f>Deals_Raw!O512</f>
        <v>Renewal</v>
      </c>
      <c r="P512">
        <f>Deals_Raw!P512</f>
        <v>0</v>
      </c>
      <c r="Q512">
        <f>Deals_Raw!Q512</f>
        <v>1</v>
      </c>
      <c r="R512">
        <f>Deals_Raw!R512</f>
        <v>44</v>
      </c>
      <c r="S512" t="str">
        <f>Deals_Raw!S512</f>
        <v>R. Singh</v>
      </c>
      <c r="T512" s="6">
        <f>Deals_Raw!T512</f>
        <v>82279.719649079925</v>
      </c>
      <c r="U512" s="8">
        <f>Deals_Raw!V512</f>
        <v>0.12</v>
      </c>
      <c r="V512" s="8">
        <f>Deals_Raw!W512</f>
        <v>8.8999999999999996E-2</v>
      </c>
      <c r="W512" s="8">
        <f>Deals_Raw!X512</f>
        <v>-9.0999999999999998E-2</v>
      </c>
      <c r="X512" t="str">
        <f>Deals_Raw!Y512</f>
        <v>Budget constraint</v>
      </c>
      <c r="Y512" t="str">
        <f>Deals_Raw!Z512</f>
        <v>Sales Manager</v>
      </c>
      <c r="Z512" s="6">
        <f>Deals_Raw!AA512</f>
        <v>74968.687674050336</v>
      </c>
      <c r="AA512" s="6">
        <f>Deals_Raw!AC512</f>
        <v>27755.639077281015</v>
      </c>
      <c r="AB512" s="6">
        <f>Deals_Raw!AD512</f>
        <v>47213.048596769324</v>
      </c>
      <c r="AC512" s="8">
        <f>Deals_Raw!AE512</f>
        <v>0.62977024223823586</v>
      </c>
      <c r="AD512" t="str">
        <f>Deals_Raw!AF512</f>
        <v>Won</v>
      </c>
      <c r="AE512" t="str">
        <f>Deals_Raw!AG512</f>
        <v>Yes</v>
      </c>
      <c r="AF512">
        <f>Deals_Raw!AH512</f>
        <v>0</v>
      </c>
      <c r="AG512" t="str">
        <f>Deals_Raw!AI512</f>
        <v>No</v>
      </c>
      <c r="AH512" s="6">
        <f>Deals_Raw!AJ512</f>
        <v>74968.687674050336</v>
      </c>
      <c r="AI512" s="6">
        <f>Deals_Raw!AK512</f>
        <v>47213.048596769324</v>
      </c>
      <c r="AJ512" t="str">
        <f>Deals_Raw!AL512</f>
        <v>Renewal of existing active contract</v>
      </c>
      <c r="AK512" s="9">
        <f t="shared" si="49"/>
        <v>3.1638888888888888</v>
      </c>
      <c r="AL512" s="8">
        <f t="shared" si="50"/>
        <v>0.91114417980261864</v>
      </c>
      <c r="AM512" s="8">
        <f t="shared" si="51"/>
        <v>3.1E-2</v>
      </c>
      <c r="AN512" t="str">
        <f>IF(AC512&lt;Pricing_Policy!$C$10,"Below Floor","Pass")</f>
        <v>Pass</v>
      </c>
      <c r="AO512" t="str">
        <f>IF(V512&gt;Pricing_Policy!$C$7,"Exception","Standard")</f>
        <v>Standard</v>
      </c>
      <c r="AP512" t="str">
        <f t="shared" si="52"/>
        <v>Pass</v>
      </c>
      <c r="AQ512">
        <f t="shared" si="53"/>
        <v>1</v>
      </c>
      <c r="AR512" s="8">
        <f t="shared" si="54"/>
        <v>0.62977024223823586</v>
      </c>
      <c r="AS512">
        <f t="shared" si="55"/>
        <v>3</v>
      </c>
    </row>
    <row r="513" spans="1:45">
      <c r="A513" t="str">
        <f>Deals_Raw!A513</f>
        <v>D00579</v>
      </c>
      <c r="B513">
        <f>Deals_Raw!B513</f>
        <v>45991</v>
      </c>
      <c r="C513" t="str">
        <f>Deals_Raw!C513</f>
        <v>C0146</v>
      </c>
      <c r="D513" t="str">
        <f>Deals_Raw!D513</f>
        <v>FIN-0146</v>
      </c>
      <c r="E513" t="str">
        <f>Deals_Raw!E513</f>
        <v>CT00313</v>
      </c>
      <c r="F513" t="str">
        <f>Deals_Raw!F513</f>
        <v>Legal</v>
      </c>
      <c r="G513" t="str">
        <f>Deals_Raw!G513</f>
        <v>Financial Services</v>
      </c>
      <c r="H513" t="str">
        <f>Deals_Raw!H513</f>
        <v>South</v>
      </c>
      <c r="I513" t="str">
        <f>Deals_Raw!I513</f>
        <v>South Commercial</v>
      </c>
      <c r="J513" t="str">
        <f>Deals_Raw!J513</f>
        <v>SMB</v>
      </c>
      <c r="K513" t="str">
        <f>Deals_Raw!K513</f>
        <v>No</v>
      </c>
      <c r="L513">
        <f>Deals_Raw!L513</f>
        <v>44470</v>
      </c>
      <c r="M513">
        <f>Deals_Raw!M513</f>
        <v>81</v>
      </c>
      <c r="N513" t="str">
        <f>Deals_Raw!N513</f>
        <v>Nexus Compliance</v>
      </c>
      <c r="O513" t="str">
        <f>Deals_Raw!O513</f>
        <v>Renewal</v>
      </c>
      <c r="P513">
        <f>Deals_Raw!P513</f>
        <v>0</v>
      </c>
      <c r="Q513">
        <f>Deals_Raw!Q513</f>
        <v>1</v>
      </c>
      <c r="R513">
        <f>Deals_Raw!R513</f>
        <v>44</v>
      </c>
      <c r="S513" t="str">
        <f>Deals_Raw!S513</f>
        <v>A. Patel</v>
      </c>
      <c r="T513" s="6">
        <f>Deals_Raw!T513</f>
        <v>86649.179620300987</v>
      </c>
      <c r="U513" s="8">
        <f>Deals_Raw!V513</f>
        <v>0.161</v>
      </c>
      <c r="V513" s="8">
        <f>Deals_Raw!W513</f>
        <v>0.13900000000000001</v>
      </c>
      <c r="W513" s="8">
        <f>Deals_Raw!X513</f>
        <v>-0.159</v>
      </c>
      <c r="X513" t="str">
        <f>Deals_Raw!Y513</f>
        <v>Strategic logo opportunity</v>
      </c>
      <c r="Y513" t="str">
        <f>Deals_Raw!Z513</f>
        <v>Pricing Analyst</v>
      </c>
      <c r="Z513" s="6">
        <f>Deals_Raw!AA513</f>
        <v>74618.55213882844</v>
      </c>
      <c r="AA513" s="6">
        <f>Deals_Raw!AC513</f>
        <v>30814.844952626285</v>
      </c>
      <c r="AB513" s="6">
        <f>Deals_Raw!AD513</f>
        <v>43803.707186202155</v>
      </c>
      <c r="AC513" s="8">
        <f>Deals_Raw!AE513</f>
        <v>0.58703507278866773</v>
      </c>
      <c r="AD513" t="str">
        <f>Deals_Raw!AF513</f>
        <v>Won</v>
      </c>
      <c r="AE513" t="str">
        <f>Deals_Raw!AG513</f>
        <v>Yes</v>
      </c>
      <c r="AF513">
        <f>Deals_Raw!AH513</f>
        <v>0</v>
      </c>
      <c r="AG513" t="str">
        <f>Deals_Raw!AI513</f>
        <v>No</v>
      </c>
      <c r="AH513" s="6">
        <f>Deals_Raw!AJ513</f>
        <v>74618.55213882844</v>
      </c>
      <c r="AI513" s="6">
        <f>Deals_Raw!AK513</f>
        <v>43803.707186202155</v>
      </c>
      <c r="AJ513" t="str">
        <f>Deals_Raw!AL513</f>
        <v>Renewal of existing active contract</v>
      </c>
      <c r="AK513" s="9">
        <f t="shared" si="49"/>
        <v>4.1638888888888888</v>
      </c>
      <c r="AL513" s="8">
        <f t="shared" si="50"/>
        <v>0.86115705267850107</v>
      </c>
      <c r="AM513" s="8">
        <f t="shared" si="51"/>
        <v>2.1999999999999992E-2</v>
      </c>
      <c r="AN513" t="str">
        <f>IF(AC513&lt;Pricing_Policy!$C$10,"Below Floor","Pass")</f>
        <v>Pass</v>
      </c>
      <c r="AO513" t="str">
        <f>IF(V513&gt;Pricing_Policy!$C$7,"Exception","Standard")</f>
        <v>Standard</v>
      </c>
      <c r="AP513" t="str">
        <f t="shared" si="52"/>
        <v>Pass</v>
      </c>
      <c r="AQ513">
        <f t="shared" si="53"/>
        <v>1</v>
      </c>
      <c r="AR513" s="8">
        <f t="shared" si="54"/>
        <v>0.58703507278866773</v>
      </c>
      <c r="AS513">
        <f t="shared" si="55"/>
        <v>3</v>
      </c>
    </row>
    <row r="514" spans="1:45">
      <c r="A514" t="str">
        <f>Deals_Raw!A514</f>
        <v>D00580</v>
      </c>
      <c r="B514">
        <f>Deals_Raw!B514</f>
        <v>45326</v>
      </c>
      <c r="C514" t="str">
        <f>Deals_Raw!C514</f>
        <v>C0146</v>
      </c>
      <c r="D514" t="str">
        <f>Deals_Raw!D514</f>
        <v>FIN-0146</v>
      </c>
      <c r="E514" t="str">
        <f>Deals_Raw!E514</f>
        <v>CT00314</v>
      </c>
      <c r="F514" t="str">
        <f>Deals_Raw!F514</f>
        <v>Sales</v>
      </c>
      <c r="G514" t="str">
        <f>Deals_Raw!G514</f>
        <v>Financial Services</v>
      </c>
      <c r="H514" t="str">
        <f>Deals_Raw!H514</f>
        <v>South</v>
      </c>
      <c r="I514" t="str">
        <f>Deals_Raw!I514</f>
        <v>South Commercial</v>
      </c>
      <c r="J514" t="str">
        <f>Deals_Raw!J514</f>
        <v>SMB</v>
      </c>
      <c r="K514" t="str">
        <f>Deals_Raw!K514</f>
        <v>No</v>
      </c>
      <c r="L514">
        <f>Deals_Raw!L514</f>
        <v>44470</v>
      </c>
      <c r="M514">
        <f>Deals_Raw!M514</f>
        <v>81</v>
      </c>
      <c r="N514" t="str">
        <f>Deals_Raw!N514</f>
        <v>Nexus Enterprise Suite</v>
      </c>
      <c r="O514" t="str">
        <f>Deals_Raw!O514</f>
        <v>Expansion</v>
      </c>
      <c r="P514" t="str">
        <f>Deals_Raw!P514</f>
        <v>AI Add-on</v>
      </c>
      <c r="Q514">
        <f>Deals_Raw!Q514</f>
        <v>1</v>
      </c>
      <c r="R514">
        <f>Deals_Raw!R514</f>
        <v>78</v>
      </c>
      <c r="S514" t="str">
        <f>Deals_Raw!S514</f>
        <v>D. Chen</v>
      </c>
      <c r="T514" s="6">
        <f>Deals_Raw!T514</f>
        <v>196720.91611183636</v>
      </c>
      <c r="U514" s="8">
        <f>Deals_Raw!V514</f>
        <v>7.3999999999999996E-2</v>
      </c>
      <c r="V514" s="8">
        <f>Deals_Raw!W514</f>
        <v>6.3E-2</v>
      </c>
      <c r="W514" s="8">
        <f>Deals_Raw!X514</f>
        <v>2.3E-2</v>
      </c>
      <c r="X514" t="str">
        <f>Deals_Raw!Y514</f>
        <v>Expansion opportunity</v>
      </c>
      <c r="Y514" t="str">
        <f>Deals_Raw!Z514</f>
        <v>Sales Manager</v>
      </c>
      <c r="Z514" s="6">
        <f>Deals_Raw!AA514</f>
        <v>184368.6129234909</v>
      </c>
      <c r="AA514" s="6">
        <f>Deals_Raw!AC514</f>
        <v>69778.247662523296</v>
      </c>
      <c r="AB514" s="6">
        <f>Deals_Raw!AD514</f>
        <v>114590.36526096761</v>
      </c>
      <c r="AC514" s="8">
        <f>Deals_Raw!AE514</f>
        <v>0.62152859667344895</v>
      </c>
      <c r="AD514" t="str">
        <f>Deals_Raw!AF514</f>
        <v>Won</v>
      </c>
      <c r="AE514">
        <f>Deals_Raw!AG514</f>
        <v>0</v>
      </c>
      <c r="AF514" t="str">
        <f>Deals_Raw!AH514</f>
        <v>Yes</v>
      </c>
      <c r="AG514" t="str">
        <f>Deals_Raw!AI514</f>
        <v>No</v>
      </c>
      <c r="AH514" s="6">
        <f>Deals_Raw!AJ514</f>
        <v>184368.6129234909</v>
      </c>
      <c r="AI514" s="6">
        <f>Deals_Raw!AK514</f>
        <v>114590.36526096761</v>
      </c>
      <c r="AJ514" t="str">
        <f>Deals_Raw!AL514</f>
        <v>Expansion allowed because contract was active</v>
      </c>
      <c r="AK514" s="9">
        <f t="shared" si="49"/>
        <v>2.3416666666666668</v>
      </c>
      <c r="AL514" s="8">
        <f t="shared" si="50"/>
        <v>0.93720899926409895</v>
      </c>
      <c r="AM514" s="8">
        <f t="shared" si="51"/>
        <v>1.0999999999999996E-2</v>
      </c>
      <c r="AN514" t="str">
        <f>IF(AC514&lt;Pricing_Policy!$C$10,"Below Floor","Pass")</f>
        <v>Pass</v>
      </c>
      <c r="AO514" t="str">
        <f>IF(V514&gt;Pricing_Policy!$C$7,"Exception","Standard")</f>
        <v>Standard</v>
      </c>
      <c r="AP514" t="str">
        <f t="shared" si="52"/>
        <v>Pass</v>
      </c>
      <c r="AQ514">
        <f t="shared" si="53"/>
        <v>1</v>
      </c>
      <c r="AR514" s="8">
        <f t="shared" si="54"/>
        <v>0.62152859667344895</v>
      </c>
      <c r="AS514">
        <f t="shared" si="55"/>
        <v>4</v>
      </c>
    </row>
    <row r="515" spans="1:45">
      <c r="A515" t="str">
        <f>Deals_Raw!A515</f>
        <v>D00581</v>
      </c>
      <c r="B515">
        <f>Deals_Raw!B515</f>
        <v>45445</v>
      </c>
      <c r="C515" t="str">
        <f>Deals_Raw!C515</f>
        <v>C0146</v>
      </c>
      <c r="D515" t="str">
        <f>Deals_Raw!D515</f>
        <v>FIN-0146</v>
      </c>
      <c r="E515" t="str">
        <f>Deals_Raw!E515</f>
        <v>CT00314</v>
      </c>
      <c r="F515" t="str">
        <f>Deals_Raw!F515</f>
        <v>Sales</v>
      </c>
      <c r="G515" t="str">
        <f>Deals_Raw!G515</f>
        <v>Financial Services</v>
      </c>
      <c r="H515" t="str">
        <f>Deals_Raw!H515</f>
        <v>South</v>
      </c>
      <c r="I515" t="str">
        <f>Deals_Raw!I515</f>
        <v>South Commercial</v>
      </c>
      <c r="J515" t="str">
        <f>Deals_Raw!J515</f>
        <v>SMB</v>
      </c>
      <c r="K515" t="str">
        <f>Deals_Raw!K515</f>
        <v>No</v>
      </c>
      <c r="L515">
        <f>Deals_Raw!L515</f>
        <v>44470</v>
      </c>
      <c r="M515">
        <f>Deals_Raw!M515</f>
        <v>81</v>
      </c>
      <c r="N515" t="str">
        <f>Deals_Raw!N515</f>
        <v>Nexus Enterprise Suite</v>
      </c>
      <c r="O515" t="str">
        <f>Deals_Raw!O515</f>
        <v>Renewal</v>
      </c>
      <c r="P515">
        <f>Deals_Raw!P515</f>
        <v>0</v>
      </c>
      <c r="Q515">
        <f>Deals_Raw!Q515</f>
        <v>1</v>
      </c>
      <c r="R515">
        <f>Deals_Raw!R515</f>
        <v>78</v>
      </c>
      <c r="S515" t="str">
        <f>Deals_Raw!S515</f>
        <v>M. Johnson</v>
      </c>
      <c r="T515" s="6">
        <f>Deals_Raw!T515</f>
        <v>208965.59371898187</v>
      </c>
      <c r="U515" s="8">
        <f>Deals_Raw!V515</f>
        <v>0.151</v>
      </c>
      <c r="V515" s="8">
        <f>Deals_Raw!W515</f>
        <v>0.127</v>
      </c>
      <c r="W515" s="8">
        <f>Deals_Raw!X515</f>
        <v>-0.02</v>
      </c>
      <c r="X515" t="str">
        <f>Deals_Raw!Y515</f>
        <v>Budget constraint</v>
      </c>
      <c r="Y515" t="str">
        <f>Deals_Raw!Z515</f>
        <v>Pricing Analyst</v>
      </c>
      <c r="Z515" s="6">
        <f>Deals_Raw!AA515</f>
        <v>182329.00841353167</v>
      </c>
      <c r="AA515" s="6">
        <f>Deals_Raw!AC515</f>
        <v>71992.030159029731</v>
      </c>
      <c r="AB515" s="6">
        <f>Deals_Raw!AD515</f>
        <v>110336.97825450194</v>
      </c>
      <c r="AC515" s="8">
        <f>Deals_Raw!AE515</f>
        <v>0.60515317455274009</v>
      </c>
      <c r="AD515" t="str">
        <f>Deals_Raw!AF515</f>
        <v>Won</v>
      </c>
      <c r="AE515" t="str">
        <f>Deals_Raw!AG515</f>
        <v>Yes</v>
      </c>
      <c r="AF515">
        <f>Deals_Raw!AH515</f>
        <v>0</v>
      </c>
      <c r="AG515" t="str">
        <f>Deals_Raw!AI515</f>
        <v>No</v>
      </c>
      <c r="AH515" s="6">
        <f>Deals_Raw!AJ515</f>
        <v>182329.00841353167</v>
      </c>
      <c r="AI515" s="6">
        <f>Deals_Raw!AK515</f>
        <v>110336.97825450194</v>
      </c>
      <c r="AJ515" t="str">
        <f>Deals_Raw!AL515</f>
        <v>Renewal of existing active contract</v>
      </c>
      <c r="AK515" s="9">
        <f t="shared" si="49"/>
        <v>2.6694444444444443</v>
      </c>
      <c r="AL515" s="8">
        <f t="shared" si="50"/>
        <v>0.87253123908392682</v>
      </c>
      <c r="AM515" s="8">
        <f t="shared" si="51"/>
        <v>2.3999999999999994E-2</v>
      </c>
      <c r="AN515" t="str">
        <f>IF(AC515&lt;Pricing_Policy!$C$10,"Below Floor","Pass")</f>
        <v>Pass</v>
      </c>
      <c r="AO515" t="str">
        <f>IF(V515&gt;Pricing_Policy!$C$7,"Exception","Standard")</f>
        <v>Standard</v>
      </c>
      <c r="AP515" t="str">
        <f t="shared" si="52"/>
        <v>Pass</v>
      </c>
      <c r="AQ515">
        <f t="shared" si="53"/>
        <v>1</v>
      </c>
      <c r="AR515" s="8">
        <f t="shared" si="54"/>
        <v>0.60515317455274009</v>
      </c>
      <c r="AS515">
        <f t="shared" si="55"/>
        <v>4</v>
      </c>
    </row>
    <row r="516" spans="1:45">
      <c r="A516" t="str">
        <f>Deals_Raw!A516</f>
        <v>D00582</v>
      </c>
      <c r="B516">
        <f>Deals_Raw!B516</f>
        <v>45636</v>
      </c>
      <c r="C516" t="str">
        <f>Deals_Raw!C516</f>
        <v>C0146</v>
      </c>
      <c r="D516" t="str">
        <f>Deals_Raw!D516</f>
        <v>FIN-0146</v>
      </c>
      <c r="E516" t="str">
        <f>Deals_Raw!E516</f>
        <v>CT00314</v>
      </c>
      <c r="F516" t="str">
        <f>Deals_Raw!F516</f>
        <v>Sales</v>
      </c>
      <c r="G516" t="str">
        <f>Deals_Raw!G516</f>
        <v>Financial Services</v>
      </c>
      <c r="H516" t="str">
        <f>Deals_Raw!H516</f>
        <v>South</v>
      </c>
      <c r="I516" t="str">
        <f>Deals_Raw!I516</f>
        <v>South Commercial</v>
      </c>
      <c r="J516" t="str">
        <f>Deals_Raw!J516</f>
        <v>SMB</v>
      </c>
      <c r="K516" t="str">
        <f>Deals_Raw!K516</f>
        <v>No</v>
      </c>
      <c r="L516">
        <f>Deals_Raw!L516</f>
        <v>44470</v>
      </c>
      <c r="M516">
        <f>Deals_Raw!M516</f>
        <v>81</v>
      </c>
      <c r="N516" t="str">
        <f>Deals_Raw!N516</f>
        <v>Nexus Enterprise Suite</v>
      </c>
      <c r="O516" t="str">
        <f>Deals_Raw!O516</f>
        <v>Expansion</v>
      </c>
      <c r="P516" t="str">
        <f>Deals_Raw!P516</f>
        <v>Multi-year Extension</v>
      </c>
      <c r="Q516">
        <f>Deals_Raw!Q516</f>
        <v>1</v>
      </c>
      <c r="R516">
        <f>Deals_Raw!R516</f>
        <v>98</v>
      </c>
      <c r="S516" t="str">
        <f>Deals_Raw!S516</f>
        <v>M. Johnson</v>
      </c>
      <c r="T516" s="6">
        <f>Deals_Raw!T516</f>
        <v>244298.10724193911</v>
      </c>
      <c r="U516" s="8">
        <f>Deals_Raw!V516</f>
        <v>5.1999999999999998E-2</v>
      </c>
      <c r="V516" s="8">
        <f>Deals_Raw!W516</f>
        <v>2.5999999999999999E-2</v>
      </c>
      <c r="W516" s="8">
        <f>Deals_Raw!X516</f>
        <v>5.6000000000000001E-2</v>
      </c>
      <c r="X516" t="str">
        <f>Deals_Raw!Y516</f>
        <v>Expansion opportunity</v>
      </c>
      <c r="Y516" t="str">
        <f>Deals_Raw!Z516</f>
        <v>Sales Manager</v>
      </c>
      <c r="Z516" s="6">
        <f>Deals_Raw!AA516</f>
        <v>237884.08900594473</v>
      </c>
      <c r="AA516" s="6">
        <f>Deals_Raw!AC516</f>
        <v>86219.93511761089</v>
      </c>
      <c r="AB516" s="6">
        <f>Deals_Raw!AD516</f>
        <v>151664.15388833382</v>
      </c>
      <c r="AC516" s="8">
        <f>Deals_Raw!AE516</f>
        <v>0.6375548466570361</v>
      </c>
      <c r="AD516" t="str">
        <f>Deals_Raw!AF516</f>
        <v>Won</v>
      </c>
      <c r="AE516">
        <f>Deals_Raw!AG516</f>
        <v>0</v>
      </c>
      <c r="AF516" t="str">
        <f>Deals_Raw!AH516</f>
        <v>Yes</v>
      </c>
      <c r="AG516" t="str">
        <f>Deals_Raw!AI516</f>
        <v>No</v>
      </c>
      <c r="AH516" s="6">
        <f>Deals_Raw!AJ516</f>
        <v>237884.08900594473</v>
      </c>
      <c r="AI516" s="6">
        <f>Deals_Raw!AK516</f>
        <v>151664.15388833382</v>
      </c>
      <c r="AJ516" t="str">
        <f>Deals_Raw!AL516</f>
        <v>Expansion allowed because contract was active</v>
      </c>
      <c r="AK516" s="9">
        <f t="shared" si="49"/>
        <v>3.1916666666666669</v>
      </c>
      <c r="AL516" s="8">
        <f t="shared" si="50"/>
        <v>0.973745116945821</v>
      </c>
      <c r="AM516" s="8">
        <f t="shared" si="51"/>
        <v>2.5999999999999999E-2</v>
      </c>
      <c r="AN516" t="str">
        <f>IF(AC516&lt;Pricing_Policy!$C$10,"Below Floor","Pass")</f>
        <v>Pass</v>
      </c>
      <c r="AO516" t="str">
        <f>IF(V516&gt;Pricing_Policy!$C$7,"Exception","Standard")</f>
        <v>Standard</v>
      </c>
      <c r="AP516" t="str">
        <f t="shared" si="52"/>
        <v>Pass</v>
      </c>
      <c r="AQ516">
        <f t="shared" si="53"/>
        <v>1</v>
      </c>
      <c r="AR516" s="8">
        <f t="shared" si="54"/>
        <v>0.6375548466570361</v>
      </c>
      <c r="AS516">
        <f t="shared" si="55"/>
        <v>4</v>
      </c>
    </row>
    <row r="517" spans="1:45">
      <c r="A517" t="str">
        <f>Deals_Raw!A517</f>
        <v>D00583</v>
      </c>
      <c r="B517">
        <f>Deals_Raw!B517</f>
        <v>45810</v>
      </c>
      <c r="C517" t="str">
        <f>Deals_Raw!C517</f>
        <v>C0146</v>
      </c>
      <c r="D517" t="str">
        <f>Deals_Raw!D517</f>
        <v>FIN-0146</v>
      </c>
      <c r="E517" t="str">
        <f>Deals_Raw!E517</f>
        <v>CT00314</v>
      </c>
      <c r="F517" t="str">
        <f>Deals_Raw!F517</f>
        <v>Sales</v>
      </c>
      <c r="G517" t="str">
        <f>Deals_Raw!G517</f>
        <v>Financial Services</v>
      </c>
      <c r="H517" t="str">
        <f>Deals_Raw!H517</f>
        <v>South</v>
      </c>
      <c r="I517" t="str">
        <f>Deals_Raw!I517</f>
        <v>South Commercial</v>
      </c>
      <c r="J517" t="str">
        <f>Deals_Raw!J517</f>
        <v>SMB</v>
      </c>
      <c r="K517" t="str">
        <f>Deals_Raw!K517</f>
        <v>No</v>
      </c>
      <c r="L517">
        <f>Deals_Raw!L517</f>
        <v>44470</v>
      </c>
      <c r="M517">
        <f>Deals_Raw!M517</f>
        <v>81</v>
      </c>
      <c r="N517" t="str">
        <f>Deals_Raw!N517</f>
        <v>Nexus Enterprise Suite</v>
      </c>
      <c r="O517" t="str">
        <f>Deals_Raw!O517</f>
        <v>Renewal</v>
      </c>
      <c r="P517">
        <f>Deals_Raw!P517</f>
        <v>0</v>
      </c>
      <c r="Q517">
        <f>Deals_Raw!Q517</f>
        <v>1</v>
      </c>
      <c r="R517">
        <f>Deals_Raw!R517</f>
        <v>98</v>
      </c>
      <c r="S517" t="str">
        <f>Deals_Raw!S517</f>
        <v>A. Patel</v>
      </c>
      <c r="T517" s="6">
        <f>Deals_Raw!T517</f>
        <v>258903.25399430175</v>
      </c>
      <c r="U517" s="8">
        <f>Deals_Raw!V517</f>
        <v>0.124</v>
      </c>
      <c r="V517" s="8">
        <f>Deals_Raw!W517</f>
        <v>0.11899999999999999</v>
      </c>
      <c r="W517" s="8">
        <f>Deals_Raw!X517</f>
        <v>-3.2000000000000001E-2</v>
      </c>
      <c r="X517" t="str">
        <f>Deals_Raw!Y517</f>
        <v>Expansion opportunity</v>
      </c>
      <c r="Y517" t="str">
        <f>Deals_Raw!Z517</f>
        <v>Pricing Analyst</v>
      </c>
      <c r="Z517" s="6">
        <f>Deals_Raw!AA517</f>
        <v>228152.13242048692</v>
      </c>
      <c r="AA517" s="6">
        <f>Deals_Raw!AC517</f>
        <v>93195.464534197687</v>
      </c>
      <c r="AB517" s="6">
        <f>Deals_Raw!AD517</f>
        <v>134956.66788628924</v>
      </c>
      <c r="AC517" s="8">
        <f>Deals_Raw!AE517</f>
        <v>0.59152051946445372</v>
      </c>
      <c r="AD517" t="str">
        <f>Deals_Raw!AF517</f>
        <v>Won</v>
      </c>
      <c r="AE517" t="str">
        <f>Deals_Raw!AG517</f>
        <v>Yes</v>
      </c>
      <c r="AF517">
        <f>Deals_Raw!AH517</f>
        <v>0</v>
      </c>
      <c r="AG517" t="str">
        <f>Deals_Raw!AI517</f>
        <v>No</v>
      </c>
      <c r="AH517" s="6">
        <f>Deals_Raw!AJ517</f>
        <v>228152.13242048692</v>
      </c>
      <c r="AI517" s="6">
        <f>Deals_Raw!AK517</f>
        <v>134956.66788628924</v>
      </c>
      <c r="AJ517" t="str">
        <f>Deals_Raw!AL517</f>
        <v>Renewal of existing active contract</v>
      </c>
      <c r="AK517" s="9">
        <f t="shared" ref="AK517:AK580" si="56">YEARFRAC(L517,B517)</f>
        <v>3.6694444444444443</v>
      </c>
      <c r="AL517" s="8">
        <f t="shared" ref="AL517:AL580" si="57">IFERROR(Z517/T517,0)</f>
        <v>0.88122543421377142</v>
      </c>
      <c r="AM517" s="8">
        <f t="shared" ref="AM517:AM580" si="58">U517-V517</f>
        <v>5.0000000000000044E-3</v>
      </c>
      <c r="AN517" t="str">
        <f>IF(AC517&lt;Pricing_Policy!$C$10,"Below Floor","Pass")</f>
        <v>Pass</v>
      </c>
      <c r="AO517" t="str">
        <f>IF(V517&gt;Pricing_Policy!$C$7,"Exception","Standard")</f>
        <v>Standard</v>
      </c>
      <c r="AP517" t="str">
        <f t="shared" ref="AP517:AP580" si="59">IF(OR(AND(V517&lt;=0.1,Y517&lt;&gt;"Sales Manager"),AND(V517&gt;0.1,V517&lt;=0.2,Y517&lt;&gt;"Pricing Analyst"),AND(V517&gt;0.2,V517&lt;=0.28,Y517&lt;&gt;"Business Manager"),AND(V517&gt;0.28,Y517&lt;&gt;"VP Pricing")),"Review","Pass")</f>
        <v>Pass</v>
      </c>
      <c r="AQ517">
        <f t="shared" ref="AQ517:AQ580" si="60">IF(AD517="Won",1,0)</f>
        <v>1</v>
      </c>
      <c r="AR517" s="8">
        <f t="shared" ref="AR517:AR580" si="61">IFERROR(AI517/AH517,0)</f>
        <v>0.59152051946445372</v>
      </c>
      <c r="AS517">
        <f t="shared" ref="AS517:AS580" si="62">COUNTIFS($C:$C,C517,$N:$N,N517)</f>
        <v>4</v>
      </c>
    </row>
    <row r="518" spans="1:45">
      <c r="A518" t="str">
        <f>Deals_Raw!A518</f>
        <v>D00586</v>
      </c>
      <c r="B518">
        <f>Deals_Raw!B518</f>
        <v>45400</v>
      </c>
      <c r="C518" t="str">
        <f>Deals_Raw!C518</f>
        <v>C0147</v>
      </c>
      <c r="D518" t="str">
        <f>Deals_Raw!D518</f>
        <v>HEA-0147</v>
      </c>
      <c r="E518" t="str">
        <f>Deals_Raw!E518</f>
        <v>CT00315</v>
      </c>
      <c r="F518" t="str">
        <f>Deals_Raw!F518</f>
        <v>Corporate</v>
      </c>
      <c r="G518" t="str">
        <f>Deals_Raw!G518</f>
        <v>Healthcare</v>
      </c>
      <c r="H518" t="str">
        <f>Deals_Raw!H518</f>
        <v>South</v>
      </c>
      <c r="I518" t="str">
        <f>Deals_Raw!I518</f>
        <v>South Commercial</v>
      </c>
      <c r="J518" t="str">
        <f>Deals_Raw!J518</f>
        <v>Mid-Market</v>
      </c>
      <c r="K518" t="str">
        <f>Deals_Raw!K518</f>
        <v>No</v>
      </c>
      <c r="L518">
        <f>Deals_Raw!L518</f>
        <v>43709</v>
      </c>
      <c r="M518">
        <f>Deals_Raw!M518</f>
        <v>40</v>
      </c>
      <c r="N518" t="str">
        <f>Deals_Raw!N518</f>
        <v>Nexus Insights</v>
      </c>
      <c r="O518" t="str">
        <f>Deals_Raw!O518</f>
        <v>Renewal</v>
      </c>
      <c r="P518">
        <f>Deals_Raw!P518</f>
        <v>0</v>
      </c>
      <c r="Q518">
        <f>Deals_Raw!Q518</f>
        <v>1</v>
      </c>
      <c r="R518">
        <f>Deals_Raw!R518</f>
        <v>226</v>
      </c>
      <c r="S518" t="str">
        <f>Deals_Raw!S518</f>
        <v>D. Chen</v>
      </c>
      <c r="T518" s="6">
        <f>Deals_Raw!T518</f>
        <v>55080.22148325442</v>
      </c>
      <c r="U518" s="8">
        <f>Deals_Raw!V518</f>
        <v>0.12</v>
      </c>
      <c r="V518" s="8">
        <f>Deals_Raw!W518</f>
        <v>7.3999999999999996E-2</v>
      </c>
      <c r="W518" s="8">
        <f>Deals_Raw!X518</f>
        <v>-6.0000000000000001E-3</v>
      </c>
      <c r="X518" t="str">
        <f>Deals_Raw!Y518</f>
        <v>Renewal retention risk</v>
      </c>
      <c r="Y518" t="str">
        <f>Deals_Raw!Z518</f>
        <v>Sales Manager</v>
      </c>
      <c r="Z518" s="6">
        <f>Deals_Raw!AA518</f>
        <v>51007.079944397199</v>
      </c>
      <c r="AA518" s="6">
        <f>Deals_Raw!AC518</f>
        <v>15841.776297663388</v>
      </c>
      <c r="AB518" s="6">
        <f>Deals_Raw!AD518</f>
        <v>35165.30364673381</v>
      </c>
      <c r="AC518" s="8">
        <f>Deals_Raw!AE518</f>
        <v>0.68942005080603508</v>
      </c>
      <c r="AD518" t="str">
        <f>Deals_Raw!AF518</f>
        <v>Lost</v>
      </c>
      <c r="AE518" t="str">
        <f>Deals_Raw!AG518</f>
        <v>No</v>
      </c>
      <c r="AF518">
        <f>Deals_Raw!AH518</f>
        <v>0</v>
      </c>
      <c r="AG518" t="str">
        <f>Deals_Raw!AI518</f>
        <v>No</v>
      </c>
      <c r="AH518" s="6">
        <f>Deals_Raw!AJ518</f>
        <v>0</v>
      </c>
      <c r="AI518" s="6">
        <f>Deals_Raw!AK518</f>
        <v>0</v>
      </c>
      <c r="AJ518" t="str">
        <f>Deals_Raw!AL518</f>
        <v>Renewal of existing active contract</v>
      </c>
      <c r="AK518" s="9">
        <f t="shared" si="56"/>
        <v>4.6305555555555555</v>
      </c>
      <c r="AL518" s="8">
        <f t="shared" si="57"/>
        <v>0.92605074146087918</v>
      </c>
      <c r="AM518" s="8">
        <f t="shared" si="58"/>
        <v>4.5999999999999999E-2</v>
      </c>
      <c r="AN518" t="str">
        <f>IF(AC518&lt;Pricing_Policy!$C$10,"Below Floor","Pass")</f>
        <v>Pass</v>
      </c>
      <c r="AO518" t="str">
        <f>IF(V518&gt;Pricing_Policy!$C$7,"Exception","Standard")</f>
        <v>Standard</v>
      </c>
      <c r="AP518" t="str">
        <f t="shared" si="59"/>
        <v>Pass</v>
      </c>
      <c r="AQ518">
        <f t="shared" si="60"/>
        <v>0</v>
      </c>
      <c r="AR518" s="8">
        <f t="shared" si="61"/>
        <v>0</v>
      </c>
      <c r="AS518">
        <f t="shared" si="62"/>
        <v>1</v>
      </c>
    </row>
    <row r="519" spans="1:45">
      <c r="A519" t="str">
        <f>Deals_Raw!A519</f>
        <v>D00587</v>
      </c>
      <c r="B519">
        <f>Deals_Raw!B519</f>
        <v>45337</v>
      </c>
      <c r="C519" t="str">
        <f>Deals_Raw!C519</f>
        <v>C0147</v>
      </c>
      <c r="D519" t="str">
        <f>Deals_Raw!D519</f>
        <v>HEA-0147</v>
      </c>
      <c r="E519" t="str">
        <f>Deals_Raw!E519</f>
        <v>CT00316</v>
      </c>
      <c r="F519" t="str">
        <f>Deals_Raw!F519</f>
        <v>Technology</v>
      </c>
      <c r="G519" t="str">
        <f>Deals_Raw!G519</f>
        <v>Healthcare</v>
      </c>
      <c r="H519" t="str">
        <f>Deals_Raw!H519</f>
        <v>South</v>
      </c>
      <c r="I519" t="str">
        <f>Deals_Raw!I519</f>
        <v>South Commercial</v>
      </c>
      <c r="J519" t="str">
        <f>Deals_Raw!J519</f>
        <v>Mid-Market</v>
      </c>
      <c r="K519" t="str">
        <f>Deals_Raw!K519</f>
        <v>No</v>
      </c>
      <c r="L519">
        <f>Deals_Raw!L519</f>
        <v>43709</v>
      </c>
      <c r="M519">
        <f>Deals_Raw!M519</f>
        <v>40</v>
      </c>
      <c r="N519" t="str">
        <f>Deals_Raw!N519</f>
        <v>Nexus Analytics</v>
      </c>
      <c r="O519" t="str">
        <f>Deals_Raw!O519</f>
        <v>Renewal</v>
      </c>
      <c r="P519">
        <f>Deals_Raw!P519</f>
        <v>0</v>
      </c>
      <c r="Q519">
        <f>Deals_Raw!Q519</f>
        <v>2</v>
      </c>
      <c r="R519">
        <f>Deals_Raw!R519</f>
        <v>175</v>
      </c>
      <c r="S519" t="str">
        <f>Deals_Raw!S519</f>
        <v>L. Williams</v>
      </c>
      <c r="T519" s="6">
        <f>Deals_Raw!T519</f>
        <v>121567.10629077064</v>
      </c>
      <c r="U519" s="8">
        <f>Deals_Raw!V519</f>
        <v>0.17799999999999999</v>
      </c>
      <c r="V519" s="8">
        <f>Deals_Raw!W519</f>
        <v>0.17499999999999999</v>
      </c>
      <c r="W519" s="8">
        <f>Deals_Raw!X519</f>
        <v>-1.9E-2</v>
      </c>
      <c r="X519" t="str">
        <f>Deals_Raw!Y519</f>
        <v>Renewal retention risk</v>
      </c>
      <c r="Y519" t="str">
        <f>Deals_Raw!Z519</f>
        <v>Pricing Analyst</v>
      </c>
      <c r="Z519" s="6">
        <f>Deals_Raw!AA519</f>
        <v>100256.3789798896</v>
      </c>
      <c r="AA519" s="6">
        <f>Deals_Raw!AC519</f>
        <v>38119.390310193674</v>
      </c>
      <c r="AB519" s="6">
        <f>Deals_Raw!AD519</f>
        <v>62136.988669695929</v>
      </c>
      <c r="AC519" s="8">
        <f>Deals_Raw!AE519</f>
        <v>0.61978089875119036</v>
      </c>
      <c r="AD519" t="str">
        <f>Deals_Raw!AF519</f>
        <v>Lost</v>
      </c>
      <c r="AE519" t="str">
        <f>Deals_Raw!AG519</f>
        <v>No</v>
      </c>
      <c r="AF519">
        <f>Deals_Raw!AH519</f>
        <v>0</v>
      </c>
      <c r="AG519" t="str">
        <f>Deals_Raw!AI519</f>
        <v>No</v>
      </c>
      <c r="AH519" s="6">
        <f>Deals_Raw!AJ519</f>
        <v>0</v>
      </c>
      <c r="AI519" s="6">
        <f>Deals_Raw!AK519</f>
        <v>0</v>
      </c>
      <c r="AJ519" t="str">
        <f>Deals_Raw!AL519</f>
        <v>Renewal of existing active contract</v>
      </c>
      <c r="AK519" s="9">
        <f t="shared" si="56"/>
        <v>4.4555555555555557</v>
      </c>
      <c r="AL519" s="8">
        <f t="shared" si="57"/>
        <v>0.82469988830770624</v>
      </c>
      <c r="AM519" s="8">
        <f t="shared" si="58"/>
        <v>3.0000000000000027E-3</v>
      </c>
      <c r="AN519" t="str">
        <f>IF(AC519&lt;Pricing_Policy!$C$10,"Below Floor","Pass")</f>
        <v>Pass</v>
      </c>
      <c r="AO519" t="str">
        <f>IF(V519&gt;Pricing_Policy!$C$7,"Exception","Standard")</f>
        <v>Standard</v>
      </c>
      <c r="AP519" t="str">
        <f t="shared" si="59"/>
        <v>Pass</v>
      </c>
      <c r="AQ519">
        <f t="shared" si="60"/>
        <v>0</v>
      </c>
      <c r="AR519" s="8">
        <f t="shared" si="61"/>
        <v>0</v>
      </c>
      <c r="AS519">
        <f t="shared" si="62"/>
        <v>2</v>
      </c>
    </row>
    <row r="520" spans="1:45">
      <c r="A520" t="str">
        <f>Deals_Raw!A520</f>
        <v>D00588</v>
      </c>
      <c r="B520">
        <f>Deals_Raw!B520</f>
        <v>45733</v>
      </c>
      <c r="C520" t="str">
        <f>Deals_Raw!C520</f>
        <v>C0147</v>
      </c>
      <c r="D520" t="str">
        <f>Deals_Raw!D520</f>
        <v>HEA-0147</v>
      </c>
      <c r="E520" t="str">
        <f>Deals_Raw!E520</f>
        <v>CT00316</v>
      </c>
      <c r="F520" t="str">
        <f>Deals_Raw!F520</f>
        <v>Technology</v>
      </c>
      <c r="G520" t="str">
        <f>Deals_Raw!G520</f>
        <v>Healthcare</v>
      </c>
      <c r="H520" t="str">
        <f>Deals_Raw!H520</f>
        <v>South</v>
      </c>
      <c r="I520" t="str">
        <f>Deals_Raw!I520</f>
        <v>South Commercial</v>
      </c>
      <c r="J520" t="str">
        <f>Deals_Raw!J520</f>
        <v>Mid-Market</v>
      </c>
      <c r="K520" t="str">
        <f>Deals_Raw!K520</f>
        <v>No</v>
      </c>
      <c r="L520">
        <f>Deals_Raw!L520</f>
        <v>43709</v>
      </c>
      <c r="M520">
        <f>Deals_Raw!M520</f>
        <v>40</v>
      </c>
      <c r="N520" t="str">
        <f>Deals_Raw!N520</f>
        <v>Nexus Analytics</v>
      </c>
      <c r="O520" t="str">
        <f>Deals_Raw!O520</f>
        <v>Win-back</v>
      </c>
      <c r="P520">
        <f>Deals_Raw!P520</f>
        <v>0</v>
      </c>
      <c r="Q520">
        <f>Deals_Raw!Q520</f>
        <v>2</v>
      </c>
      <c r="R520">
        <f>Deals_Raw!R520</f>
        <v>175</v>
      </c>
      <c r="S520" t="str">
        <f>Deals_Raw!S520</f>
        <v>L. Williams</v>
      </c>
      <c r="T520" s="6">
        <f>Deals_Raw!T520</f>
        <v>121567.10629077064</v>
      </c>
      <c r="U520" s="8">
        <f>Deals_Raw!V520</f>
        <v>0.35299999999999998</v>
      </c>
      <c r="V520" s="8">
        <f>Deals_Raw!W520</f>
        <v>0.33900000000000002</v>
      </c>
      <c r="W520" s="8">
        <f>Deals_Raw!X520</f>
        <v>-9.1999999999999998E-2</v>
      </c>
      <c r="X520" t="str">
        <f>Deals_Raw!Y520</f>
        <v>Renewal retention risk</v>
      </c>
      <c r="Y520" t="str">
        <f>Deals_Raw!Z520</f>
        <v>VP Pricing</v>
      </c>
      <c r="Z520" s="6">
        <f>Deals_Raw!AA520</f>
        <v>80303.393189955445</v>
      </c>
      <c r="AA520" s="6">
        <f>Deals_Raw!AC520</f>
        <v>37814.673527879648</v>
      </c>
      <c r="AB520" s="6">
        <f>Deals_Raw!AD520</f>
        <v>42488.719662075797</v>
      </c>
      <c r="AC520" s="8">
        <f>Deals_Raw!AE520</f>
        <v>0.52910241988865792</v>
      </c>
      <c r="AD520" t="str">
        <f>Deals_Raw!AF520</f>
        <v>Won</v>
      </c>
      <c r="AE520">
        <f>Deals_Raw!AG520</f>
        <v>0</v>
      </c>
      <c r="AF520">
        <f>Deals_Raw!AH520</f>
        <v>0</v>
      </c>
      <c r="AG520" t="str">
        <f>Deals_Raw!AI520</f>
        <v>Yes</v>
      </c>
      <c r="AH520" s="6">
        <f>Deals_Raw!AJ520</f>
        <v>80303.393189955445</v>
      </c>
      <c r="AI520" s="6">
        <f>Deals_Raw!AK520</f>
        <v>42488.719662075797</v>
      </c>
      <c r="AJ520" t="str">
        <f>Deals_Raw!AL520</f>
        <v>Customer returned after lost renewal</v>
      </c>
      <c r="AK520" s="9">
        <f t="shared" si="56"/>
        <v>5.5444444444444443</v>
      </c>
      <c r="AL520" s="8">
        <f t="shared" si="57"/>
        <v>0.66056843532889187</v>
      </c>
      <c r="AM520" s="8">
        <f t="shared" si="58"/>
        <v>1.3999999999999957E-2</v>
      </c>
      <c r="AN520" t="str">
        <f>IF(AC520&lt;Pricing_Policy!$C$10,"Below Floor","Pass")</f>
        <v>Pass</v>
      </c>
      <c r="AO520" t="str">
        <f>IF(V520&gt;Pricing_Policy!$C$7,"Exception","Standard")</f>
        <v>Exception</v>
      </c>
      <c r="AP520" t="str">
        <f t="shared" si="59"/>
        <v>Pass</v>
      </c>
      <c r="AQ520">
        <f t="shared" si="60"/>
        <v>1</v>
      </c>
      <c r="AR520" s="8">
        <f t="shared" si="61"/>
        <v>0.52910241988865792</v>
      </c>
      <c r="AS520">
        <f t="shared" si="62"/>
        <v>2</v>
      </c>
    </row>
    <row r="521" spans="1:45">
      <c r="A521" t="str">
        <f>Deals_Raw!A521</f>
        <v>D00589</v>
      </c>
      <c r="B521">
        <f>Deals_Raw!B521</f>
        <v>45346</v>
      </c>
      <c r="C521" t="str">
        <f>Deals_Raw!C521</f>
        <v>C0148</v>
      </c>
      <c r="D521" t="str">
        <f>Deals_Raw!D521</f>
        <v>TEC-0148</v>
      </c>
      <c r="E521" t="str">
        <f>Deals_Raw!E521</f>
        <v>CT00317</v>
      </c>
      <c r="F521" t="str">
        <f>Deals_Raw!F521</f>
        <v>Operations</v>
      </c>
      <c r="G521" t="str">
        <f>Deals_Raw!G521</f>
        <v>Technology</v>
      </c>
      <c r="H521" t="str">
        <f>Deals_Raw!H521</f>
        <v>Northeast</v>
      </c>
      <c r="I521" t="str">
        <f>Deals_Raw!I521</f>
        <v>Northeast Commercial</v>
      </c>
      <c r="J521" t="str">
        <f>Deals_Raw!J521</f>
        <v>Mid-Market</v>
      </c>
      <c r="K521" t="str">
        <f>Deals_Raw!K521</f>
        <v>No</v>
      </c>
      <c r="L521">
        <f>Deals_Raw!L521</f>
        <v>44774</v>
      </c>
      <c r="M521">
        <f>Deals_Raw!M521</f>
        <v>63</v>
      </c>
      <c r="N521" t="str">
        <f>Deals_Raw!N521</f>
        <v>Nexus Analytics</v>
      </c>
      <c r="O521" t="str">
        <f>Deals_Raw!O521</f>
        <v>New Business</v>
      </c>
      <c r="P521">
        <f>Deals_Raw!P521</f>
        <v>0</v>
      </c>
      <c r="Q521">
        <f>Deals_Raw!Q521</f>
        <v>3</v>
      </c>
      <c r="R521">
        <f>Deals_Raw!R521</f>
        <v>294</v>
      </c>
      <c r="S521" t="str">
        <f>Deals_Raw!S521</f>
        <v>M. Johnson</v>
      </c>
      <c r="T521" s="6">
        <f>Deals_Raw!T521</f>
        <v>104415.58683639324</v>
      </c>
      <c r="U521" s="8">
        <f>Deals_Raw!V521</f>
        <v>0.16500000000000001</v>
      </c>
      <c r="V521" s="8">
        <f>Deals_Raw!W521</f>
        <v>0.13700000000000001</v>
      </c>
      <c r="W521" s="8">
        <f>Deals_Raw!X521</f>
        <v>-7.5999999999999998E-2</v>
      </c>
      <c r="X521" t="str">
        <f>Deals_Raw!Y521</f>
        <v>Strategic logo opportunity</v>
      </c>
      <c r="Y521" t="str">
        <f>Deals_Raw!Z521</f>
        <v>Pricing Analyst</v>
      </c>
      <c r="Z521" s="6">
        <f>Deals_Raw!AA521</f>
        <v>90112.442385045404</v>
      </c>
      <c r="AA521" s="6">
        <f>Deals_Raw!AC521</f>
        <v>33604.431149986849</v>
      </c>
      <c r="AB521" s="6">
        <f>Deals_Raw!AD521</f>
        <v>56508.011235058555</v>
      </c>
      <c r="AC521" s="8">
        <f>Deals_Raw!AE521</f>
        <v>0.62708333876472899</v>
      </c>
      <c r="AD521" t="str">
        <f>Deals_Raw!AF521</f>
        <v>Lost</v>
      </c>
      <c r="AE521">
        <f>Deals_Raw!AG521</f>
        <v>0</v>
      </c>
      <c r="AF521">
        <f>Deals_Raw!AH521</f>
        <v>0</v>
      </c>
      <c r="AG521" t="str">
        <f>Deals_Raw!AI521</f>
        <v>No</v>
      </c>
      <c r="AH521" s="6">
        <f>Deals_Raw!AJ521</f>
        <v>0</v>
      </c>
      <c r="AI521" s="6">
        <f>Deals_Raw!AK521</f>
        <v>0</v>
      </c>
      <c r="AJ521" t="str">
        <f>Deals_Raw!AL521</f>
        <v>First purchase under this contract</v>
      </c>
      <c r="AK521" s="9">
        <f t="shared" si="56"/>
        <v>1.5638888888888889</v>
      </c>
      <c r="AL521" s="8">
        <f t="shared" si="57"/>
        <v>0.86301715208708107</v>
      </c>
      <c r="AM521" s="8">
        <f t="shared" si="58"/>
        <v>2.7999999999999997E-2</v>
      </c>
      <c r="AN521" t="str">
        <f>IF(AC521&lt;Pricing_Policy!$C$10,"Below Floor","Pass")</f>
        <v>Pass</v>
      </c>
      <c r="AO521" t="str">
        <f>IF(V521&gt;Pricing_Policy!$C$7,"Exception","Standard")</f>
        <v>Standard</v>
      </c>
      <c r="AP521" t="str">
        <f t="shared" si="59"/>
        <v>Pass</v>
      </c>
      <c r="AQ521">
        <f t="shared" si="60"/>
        <v>0</v>
      </c>
      <c r="AR521" s="8">
        <f t="shared" si="61"/>
        <v>0</v>
      </c>
      <c r="AS521">
        <f t="shared" si="62"/>
        <v>1</v>
      </c>
    </row>
    <row r="522" spans="1:45">
      <c r="A522" t="str">
        <f>Deals_Raw!A522</f>
        <v>D00590</v>
      </c>
      <c r="B522">
        <f>Deals_Raw!B522</f>
        <v>45528</v>
      </c>
      <c r="C522" t="str">
        <f>Deals_Raw!C522</f>
        <v>C0149</v>
      </c>
      <c r="D522" t="str">
        <f>Deals_Raw!D522</f>
        <v>HEA-0149</v>
      </c>
      <c r="E522" t="str">
        <f>Deals_Raw!E522</f>
        <v>CT00318</v>
      </c>
      <c r="F522" t="str">
        <f>Deals_Raw!F522</f>
        <v>Finance</v>
      </c>
      <c r="G522" t="str">
        <f>Deals_Raw!G522</f>
        <v>Healthcare</v>
      </c>
      <c r="H522" t="str">
        <f>Deals_Raw!H522</f>
        <v>Northeast</v>
      </c>
      <c r="I522" t="str">
        <f>Deals_Raw!I522</f>
        <v>Northeast Commercial</v>
      </c>
      <c r="J522" t="str">
        <f>Deals_Raw!J522</f>
        <v>SMB</v>
      </c>
      <c r="K522" t="str">
        <f>Deals_Raw!K522</f>
        <v>No</v>
      </c>
      <c r="L522">
        <f>Deals_Raw!L522</f>
        <v>44136</v>
      </c>
      <c r="M522">
        <f>Deals_Raw!M522</f>
        <v>73</v>
      </c>
      <c r="N522" t="str">
        <f>Deals_Raw!N522</f>
        <v>Nexus Compliance</v>
      </c>
      <c r="O522" t="str">
        <f>Deals_Raw!O522</f>
        <v>New Business</v>
      </c>
      <c r="P522">
        <f>Deals_Raw!P522</f>
        <v>0</v>
      </c>
      <c r="Q522">
        <f>Deals_Raw!Q522</f>
        <v>3</v>
      </c>
      <c r="R522">
        <f>Deals_Raw!R522</f>
        <v>39</v>
      </c>
      <c r="S522" t="str">
        <f>Deals_Raw!S522</f>
        <v>L. Williams</v>
      </c>
      <c r="T522" s="6">
        <f>Deals_Raw!T522</f>
        <v>63148.629930284136</v>
      </c>
      <c r="U522" s="8">
        <f>Deals_Raw!V522</f>
        <v>7.3999999999999996E-2</v>
      </c>
      <c r="V522" s="8">
        <f>Deals_Raw!W522</f>
        <v>5.8999999999999997E-2</v>
      </c>
      <c r="W522" s="8">
        <f>Deals_Raw!X522</f>
        <v>-5.2999999999999999E-2</v>
      </c>
      <c r="X522" t="str">
        <f>Deals_Raw!Y522</f>
        <v>Expansion opportunity</v>
      </c>
      <c r="Y522" t="str">
        <f>Deals_Raw!Z522</f>
        <v>Sales Manager</v>
      </c>
      <c r="Z522" s="6">
        <f>Deals_Raw!AA522</f>
        <v>59403.350050186695</v>
      </c>
      <c r="AA522" s="6">
        <f>Deals_Raw!AC522</f>
        <v>22962.085651975882</v>
      </c>
      <c r="AB522" s="6">
        <f>Deals_Raw!AD522</f>
        <v>36441.264398210813</v>
      </c>
      <c r="AC522" s="8">
        <f>Deals_Raw!AE522</f>
        <v>0.6134547019220894</v>
      </c>
      <c r="AD522" t="str">
        <f>Deals_Raw!AF522</f>
        <v>Lost</v>
      </c>
      <c r="AE522">
        <f>Deals_Raw!AG522</f>
        <v>0</v>
      </c>
      <c r="AF522">
        <f>Deals_Raw!AH522</f>
        <v>0</v>
      </c>
      <c r="AG522" t="str">
        <f>Deals_Raw!AI522</f>
        <v>No</v>
      </c>
      <c r="AH522" s="6">
        <f>Deals_Raw!AJ522</f>
        <v>0</v>
      </c>
      <c r="AI522" s="6">
        <f>Deals_Raw!AK522</f>
        <v>0</v>
      </c>
      <c r="AJ522" t="str">
        <f>Deals_Raw!AL522</f>
        <v>First purchase under this contract</v>
      </c>
      <c r="AK522" s="9">
        <f t="shared" si="56"/>
        <v>3.8138888888888891</v>
      </c>
      <c r="AL522" s="8">
        <f t="shared" si="57"/>
        <v>0.9406910350354043</v>
      </c>
      <c r="AM522" s="8">
        <f t="shared" si="58"/>
        <v>1.4999999999999999E-2</v>
      </c>
      <c r="AN522" t="str">
        <f>IF(AC522&lt;Pricing_Policy!$C$10,"Below Floor","Pass")</f>
        <v>Pass</v>
      </c>
      <c r="AO522" t="str">
        <f>IF(V522&gt;Pricing_Policy!$C$7,"Exception","Standard")</f>
        <v>Standard</v>
      </c>
      <c r="AP522" t="str">
        <f t="shared" si="59"/>
        <v>Pass</v>
      </c>
      <c r="AQ522">
        <f t="shared" si="60"/>
        <v>0</v>
      </c>
      <c r="AR522" s="8">
        <f t="shared" si="61"/>
        <v>0</v>
      </c>
      <c r="AS522">
        <f t="shared" si="62"/>
        <v>1</v>
      </c>
    </row>
    <row r="523" spans="1:45">
      <c r="A523" t="str">
        <f>Deals_Raw!A523</f>
        <v>D00591</v>
      </c>
      <c r="B523">
        <f>Deals_Raw!B523</f>
        <v>45348</v>
      </c>
      <c r="C523" t="str">
        <f>Deals_Raw!C523</f>
        <v>C0149</v>
      </c>
      <c r="D523" t="str">
        <f>Deals_Raw!D523</f>
        <v>HEA-0149</v>
      </c>
      <c r="E523" t="str">
        <f>Deals_Raw!E523</f>
        <v>CT00319</v>
      </c>
      <c r="F523" t="str">
        <f>Deals_Raw!F523</f>
        <v>Operations</v>
      </c>
      <c r="G523" t="str">
        <f>Deals_Raw!G523</f>
        <v>Healthcare</v>
      </c>
      <c r="H523" t="str">
        <f>Deals_Raw!H523</f>
        <v>Northeast</v>
      </c>
      <c r="I523" t="str">
        <f>Deals_Raw!I523</f>
        <v>Northeast Commercial</v>
      </c>
      <c r="J523" t="str">
        <f>Deals_Raw!J523</f>
        <v>SMB</v>
      </c>
      <c r="K523" t="str">
        <f>Deals_Raw!K523</f>
        <v>No</v>
      </c>
      <c r="L523">
        <f>Deals_Raw!L523</f>
        <v>44136</v>
      </c>
      <c r="M523">
        <f>Deals_Raw!M523</f>
        <v>73</v>
      </c>
      <c r="N523" t="str">
        <f>Deals_Raw!N523</f>
        <v>Nexus AI Assistant</v>
      </c>
      <c r="O523" t="str">
        <f>Deals_Raw!O523</f>
        <v>New Business</v>
      </c>
      <c r="P523">
        <f>Deals_Raw!P523</f>
        <v>0</v>
      </c>
      <c r="Q523">
        <f>Deals_Raw!Q523</f>
        <v>2</v>
      </c>
      <c r="R523">
        <f>Deals_Raw!R523</f>
        <v>16</v>
      </c>
      <c r="S523" t="str">
        <f>Deals_Raw!S523</f>
        <v>M. Johnson</v>
      </c>
      <c r="T523" s="6">
        <f>Deals_Raw!T523</f>
        <v>42689.463131533754</v>
      </c>
      <c r="U523" s="8">
        <f>Deals_Raw!V523</f>
        <v>9.5000000000000001E-2</v>
      </c>
      <c r="V523" s="8">
        <f>Deals_Raw!W523</f>
        <v>7.9000000000000001E-2</v>
      </c>
      <c r="W523" s="8">
        <f>Deals_Raw!X523</f>
        <v>4.9000000000000002E-2</v>
      </c>
      <c r="X523" t="str">
        <f>Deals_Raw!Y523</f>
        <v>Expansion opportunity</v>
      </c>
      <c r="Y523" t="str">
        <f>Deals_Raw!Z523</f>
        <v>Sales Manager</v>
      </c>
      <c r="Z523" s="6">
        <f>Deals_Raw!AA523</f>
        <v>39334.048439283732</v>
      </c>
      <c r="AA523" s="6">
        <f>Deals_Raw!AC523</f>
        <v>17285.33322068792</v>
      </c>
      <c r="AB523" s="6">
        <f>Deals_Raw!AD523</f>
        <v>22048.715218595811</v>
      </c>
      <c r="AC523" s="8">
        <f>Deals_Raw!AE523</f>
        <v>0.56055036522951196</v>
      </c>
      <c r="AD523" t="str">
        <f>Deals_Raw!AF523</f>
        <v>Won</v>
      </c>
      <c r="AE523">
        <f>Deals_Raw!AG523</f>
        <v>0</v>
      </c>
      <c r="AF523">
        <f>Deals_Raw!AH523</f>
        <v>0</v>
      </c>
      <c r="AG523" t="str">
        <f>Deals_Raw!AI523</f>
        <v>No</v>
      </c>
      <c r="AH523" s="6">
        <f>Deals_Raw!AJ523</f>
        <v>39334.048439283732</v>
      </c>
      <c r="AI523" s="6">
        <f>Deals_Raw!AK523</f>
        <v>22048.715218595811</v>
      </c>
      <c r="AJ523" t="str">
        <f>Deals_Raw!AL523</f>
        <v>First purchase under this contract</v>
      </c>
      <c r="AK523" s="9">
        <f t="shared" si="56"/>
        <v>3.3194444444444446</v>
      </c>
      <c r="AL523" s="8">
        <f t="shared" si="57"/>
        <v>0.92139946379950011</v>
      </c>
      <c r="AM523" s="8">
        <f t="shared" si="58"/>
        <v>1.6E-2</v>
      </c>
      <c r="AN523" t="str">
        <f>IF(AC523&lt;Pricing_Policy!$C$10,"Below Floor","Pass")</f>
        <v>Pass</v>
      </c>
      <c r="AO523" t="str">
        <f>IF(V523&gt;Pricing_Policy!$C$7,"Exception","Standard")</f>
        <v>Standard</v>
      </c>
      <c r="AP523" t="str">
        <f t="shared" si="59"/>
        <v>Pass</v>
      </c>
      <c r="AQ523">
        <f t="shared" si="60"/>
        <v>1</v>
      </c>
      <c r="AR523" s="8">
        <f t="shared" si="61"/>
        <v>0.56055036522951196</v>
      </c>
      <c r="AS523">
        <f t="shared" si="62"/>
        <v>2</v>
      </c>
    </row>
    <row r="524" spans="1:45">
      <c r="A524" t="str">
        <f>Deals_Raw!A524</f>
        <v>D00592</v>
      </c>
      <c r="B524">
        <f>Deals_Raw!B524</f>
        <v>46015</v>
      </c>
      <c r="C524" t="str">
        <f>Deals_Raw!C524</f>
        <v>C0149</v>
      </c>
      <c r="D524" t="str">
        <f>Deals_Raw!D524</f>
        <v>HEA-0149</v>
      </c>
      <c r="E524" t="str">
        <f>Deals_Raw!E524</f>
        <v>CT00320</v>
      </c>
      <c r="F524" t="str">
        <f>Deals_Raw!F524</f>
        <v>Finance</v>
      </c>
      <c r="G524" t="str">
        <f>Deals_Raw!G524</f>
        <v>Healthcare</v>
      </c>
      <c r="H524" t="str">
        <f>Deals_Raw!H524</f>
        <v>Northeast</v>
      </c>
      <c r="I524" t="str">
        <f>Deals_Raw!I524</f>
        <v>Northeast Commercial</v>
      </c>
      <c r="J524" t="str">
        <f>Deals_Raw!J524</f>
        <v>SMB</v>
      </c>
      <c r="K524" t="str">
        <f>Deals_Raw!K524</f>
        <v>No</v>
      </c>
      <c r="L524">
        <f>Deals_Raw!L524</f>
        <v>44136</v>
      </c>
      <c r="M524">
        <f>Deals_Raw!M524</f>
        <v>73</v>
      </c>
      <c r="N524" t="str">
        <f>Deals_Raw!N524</f>
        <v>Nexus AI Assistant</v>
      </c>
      <c r="O524" t="str">
        <f>Deals_Raw!O524</f>
        <v>Renewal</v>
      </c>
      <c r="P524">
        <f>Deals_Raw!P524</f>
        <v>0</v>
      </c>
      <c r="Q524">
        <f>Deals_Raw!Q524</f>
        <v>2</v>
      </c>
      <c r="R524">
        <f>Deals_Raw!R524</f>
        <v>60</v>
      </c>
      <c r="S524" t="str">
        <f>Deals_Raw!S524</f>
        <v>D. Chen</v>
      </c>
      <c r="T524" s="6">
        <f>Deals_Raw!T524</f>
        <v>39130.210396530769</v>
      </c>
      <c r="U524" s="8">
        <f>Deals_Raw!V524</f>
        <v>0.16300000000000001</v>
      </c>
      <c r="V524" s="8">
        <f>Deals_Raw!W524</f>
        <v>0.13300000000000001</v>
      </c>
      <c r="W524" s="8">
        <f>Deals_Raw!X524</f>
        <v>0.06</v>
      </c>
      <c r="X524" t="str">
        <f>Deals_Raw!Y524</f>
        <v>Verified competitor pressure</v>
      </c>
      <c r="Y524" t="str">
        <f>Deals_Raw!Z524</f>
        <v>Pricing Analyst</v>
      </c>
      <c r="Z524" s="6">
        <f>Deals_Raw!AA524</f>
        <v>33928.792306484254</v>
      </c>
      <c r="AA524" s="6">
        <f>Deals_Raw!AC524</f>
        <v>14775.054029052177</v>
      </c>
      <c r="AB524" s="6">
        <f>Deals_Raw!AD524</f>
        <v>19153.738277432079</v>
      </c>
      <c r="AC524" s="8">
        <f>Deals_Raw!AE524</f>
        <v>0.56452755831723311</v>
      </c>
      <c r="AD524" t="str">
        <f>Deals_Raw!AF524</f>
        <v>Won</v>
      </c>
      <c r="AE524" t="str">
        <f>Deals_Raw!AG524</f>
        <v>Yes</v>
      </c>
      <c r="AF524">
        <f>Deals_Raw!AH524</f>
        <v>0</v>
      </c>
      <c r="AG524" t="str">
        <f>Deals_Raw!AI524</f>
        <v>No</v>
      </c>
      <c r="AH524" s="6">
        <f>Deals_Raw!AJ524</f>
        <v>33928.792306484254</v>
      </c>
      <c r="AI524" s="6">
        <f>Deals_Raw!AK524</f>
        <v>19153.738277432079</v>
      </c>
      <c r="AJ524" t="str">
        <f>Deals_Raw!AL524</f>
        <v>Renewal of existing active contract</v>
      </c>
      <c r="AK524" s="9">
        <f t="shared" si="56"/>
        <v>5.1472222222222221</v>
      </c>
      <c r="AL524" s="8">
        <f t="shared" si="57"/>
        <v>0.86707410879376046</v>
      </c>
      <c r="AM524" s="8">
        <f t="shared" si="58"/>
        <v>0.03</v>
      </c>
      <c r="AN524" t="str">
        <f>IF(AC524&lt;Pricing_Policy!$C$10,"Below Floor","Pass")</f>
        <v>Pass</v>
      </c>
      <c r="AO524" t="str">
        <f>IF(V524&gt;Pricing_Policy!$C$7,"Exception","Standard")</f>
        <v>Standard</v>
      </c>
      <c r="AP524" t="str">
        <f t="shared" si="59"/>
        <v>Pass</v>
      </c>
      <c r="AQ524">
        <f t="shared" si="60"/>
        <v>1</v>
      </c>
      <c r="AR524" s="8">
        <f t="shared" si="61"/>
        <v>0.56452755831723311</v>
      </c>
      <c r="AS524">
        <f t="shared" si="62"/>
        <v>2</v>
      </c>
    </row>
    <row r="525" spans="1:45">
      <c r="A525" t="str">
        <f>Deals_Raw!A525</f>
        <v>D00593</v>
      </c>
      <c r="B525">
        <f>Deals_Raw!B525</f>
        <v>45446</v>
      </c>
      <c r="C525" t="str">
        <f>Deals_Raw!C525</f>
        <v>C0149</v>
      </c>
      <c r="D525" t="str">
        <f>Deals_Raw!D525</f>
        <v>HEA-0149</v>
      </c>
      <c r="E525" t="str">
        <f>Deals_Raw!E525</f>
        <v>CT00321</v>
      </c>
      <c r="F525" t="str">
        <f>Deals_Raw!F525</f>
        <v>Finance</v>
      </c>
      <c r="G525" t="str">
        <f>Deals_Raw!G525</f>
        <v>Healthcare</v>
      </c>
      <c r="H525" t="str">
        <f>Deals_Raw!H525</f>
        <v>Northeast</v>
      </c>
      <c r="I525" t="str">
        <f>Deals_Raw!I525</f>
        <v>Northeast Commercial</v>
      </c>
      <c r="J525" t="str">
        <f>Deals_Raw!J525</f>
        <v>SMB</v>
      </c>
      <c r="K525" t="str">
        <f>Deals_Raw!K525</f>
        <v>No</v>
      </c>
      <c r="L525">
        <f>Deals_Raw!L525</f>
        <v>44136</v>
      </c>
      <c r="M525">
        <f>Deals_Raw!M525</f>
        <v>73</v>
      </c>
      <c r="N525" t="str">
        <f>Deals_Raw!N525</f>
        <v>Nexus Insights</v>
      </c>
      <c r="O525" t="str">
        <f>Deals_Raw!O525</f>
        <v>Renewal</v>
      </c>
      <c r="P525">
        <f>Deals_Raw!P525</f>
        <v>0</v>
      </c>
      <c r="Q525">
        <f>Deals_Raw!Q525</f>
        <v>1</v>
      </c>
      <c r="R525">
        <f>Deals_Raw!R525</f>
        <v>65</v>
      </c>
      <c r="S525" t="str">
        <f>Deals_Raw!S525</f>
        <v>S. Rivera</v>
      </c>
      <c r="T525" s="6">
        <f>Deals_Raw!T525</f>
        <v>26767.069627489975</v>
      </c>
      <c r="U525" s="8">
        <f>Deals_Raw!V525</f>
        <v>0.13700000000000001</v>
      </c>
      <c r="V525" s="8">
        <f>Deals_Raw!W525</f>
        <v>0.11899999999999999</v>
      </c>
      <c r="W525" s="8">
        <f>Deals_Raw!X525</f>
        <v>2.5000000000000001E-2</v>
      </c>
      <c r="X525" t="str">
        <f>Deals_Raw!Y525</f>
        <v>Expansion opportunity</v>
      </c>
      <c r="Y525" t="str">
        <f>Deals_Raw!Z525</f>
        <v>Pricing Analyst</v>
      </c>
      <c r="Z525" s="6">
        <f>Deals_Raw!AA525</f>
        <v>23577.563958824656</v>
      </c>
      <c r="AA525" s="6">
        <f>Deals_Raw!AC525</f>
        <v>7146.0826326192819</v>
      </c>
      <c r="AB525" s="6">
        <f>Deals_Raw!AD525</f>
        <v>16431.481326205372</v>
      </c>
      <c r="AC525" s="8">
        <f>Deals_Raw!AE525</f>
        <v>0.69691174859713889</v>
      </c>
      <c r="AD525" t="str">
        <f>Deals_Raw!AF525</f>
        <v>Won</v>
      </c>
      <c r="AE525" t="str">
        <f>Deals_Raw!AG525</f>
        <v>Yes</v>
      </c>
      <c r="AF525">
        <f>Deals_Raw!AH525</f>
        <v>0</v>
      </c>
      <c r="AG525" t="str">
        <f>Deals_Raw!AI525</f>
        <v>No</v>
      </c>
      <c r="AH525" s="6">
        <f>Deals_Raw!AJ525</f>
        <v>23577.563958824656</v>
      </c>
      <c r="AI525" s="6">
        <f>Deals_Raw!AK525</f>
        <v>16431.481326205372</v>
      </c>
      <c r="AJ525" t="str">
        <f>Deals_Raw!AL525</f>
        <v>Renewal of existing active contract</v>
      </c>
      <c r="AK525" s="9">
        <f t="shared" si="56"/>
        <v>3.588888888888889</v>
      </c>
      <c r="AL525" s="8">
        <f t="shared" si="57"/>
        <v>0.8808421798481193</v>
      </c>
      <c r="AM525" s="8">
        <f t="shared" si="58"/>
        <v>1.8000000000000016E-2</v>
      </c>
      <c r="AN525" t="str">
        <f>IF(AC525&lt;Pricing_Policy!$C$10,"Below Floor","Pass")</f>
        <v>Pass</v>
      </c>
      <c r="AO525" t="str">
        <f>IF(V525&gt;Pricing_Policy!$C$7,"Exception","Standard")</f>
        <v>Standard</v>
      </c>
      <c r="AP525" t="str">
        <f t="shared" si="59"/>
        <v>Pass</v>
      </c>
      <c r="AQ525">
        <f t="shared" si="60"/>
        <v>1</v>
      </c>
      <c r="AR525" s="8">
        <f t="shared" si="61"/>
        <v>0.69691174859713889</v>
      </c>
      <c r="AS525">
        <f t="shared" si="62"/>
        <v>3</v>
      </c>
    </row>
    <row r="526" spans="1:45">
      <c r="A526" t="str">
        <f>Deals_Raw!A526</f>
        <v>D00594</v>
      </c>
      <c r="B526">
        <f>Deals_Raw!B526</f>
        <v>45643</v>
      </c>
      <c r="C526" t="str">
        <f>Deals_Raw!C526</f>
        <v>C0149</v>
      </c>
      <c r="D526" t="str">
        <f>Deals_Raw!D526</f>
        <v>HEA-0149</v>
      </c>
      <c r="E526" t="str">
        <f>Deals_Raw!E526</f>
        <v>CT00321</v>
      </c>
      <c r="F526" t="str">
        <f>Deals_Raw!F526</f>
        <v>Finance</v>
      </c>
      <c r="G526" t="str">
        <f>Deals_Raw!G526</f>
        <v>Healthcare</v>
      </c>
      <c r="H526" t="str">
        <f>Deals_Raw!H526</f>
        <v>Northeast</v>
      </c>
      <c r="I526" t="str">
        <f>Deals_Raw!I526</f>
        <v>Northeast Commercial</v>
      </c>
      <c r="J526" t="str">
        <f>Deals_Raw!J526</f>
        <v>SMB</v>
      </c>
      <c r="K526" t="str">
        <f>Deals_Raw!K526</f>
        <v>No</v>
      </c>
      <c r="L526">
        <f>Deals_Raw!L526</f>
        <v>44136</v>
      </c>
      <c r="M526">
        <f>Deals_Raw!M526</f>
        <v>73</v>
      </c>
      <c r="N526" t="str">
        <f>Deals_Raw!N526</f>
        <v>Nexus Insights</v>
      </c>
      <c r="O526" t="str">
        <f>Deals_Raw!O526</f>
        <v>Expansion</v>
      </c>
      <c r="P526" t="str">
        <f>Deals_Raw!P526</f>
        <v>Multi-year Extension</v>
      </c>
      <c r="Q526">
        <f>Deals_Raw!Q526</f>
        <v>1</v>
      </c>
      <c r="R526">
        <f>Deals_Raw!R526</f>
        <v>83</v>
      </c>
      <c r="S526" t="str">
        <f>Deals_Raw!S526</f>
        <v>A. Patel</v>
      </c>
      <c r="T526" s="6">
        <f>Deals_Raw!T526</f>
        <v>35200.894408881693</v>
      </c>
      <c r="U526" s="8">
        <f>Deals_Raw!V526</f>
        <v>0.14499999999999999</v>
      </c>
      <c r="V526" s="8">
        <f>Deals_Raw!W526</f>
        <v>0.123</v>
      </c>
      <c r="W526" s="8">
        <f>Deals_Raw!X526</f>
        <v>0.03</v>
      </c>
      <c r="X526" t="str">
        <f>Deals_Raw!Y526</f>
        <v>Expansion opportunity</v>
      </c>
      <c r="Y526" t="str">
        <f>Deals_Raw!Z526</f>
        <v>Pricing Analyst</v>
      </c>
      <c r="Z526" s="6">
        <f>Deals_Raw!AA526</f>
        <v>30872.6692445382</v>
      </c>
      <c r="AA526" s="6">
        <f>Deals_Raw!AC526</f>
        <v>9685.0799360358869</v>
      </c>
      <c r="AB526" s="6">
        <f>Deals_Raw!AD526</f>
        <v>21187.589308502313</v>
      </c>
      <c r="AC526" s="8">
        <f>Deals_Raw!AE526</f>
        <v>0.68628951843063224</v>
      </c>
      <c r="AD526" t="str">
        <f>Deals_Raw!AF526</f>
        <v>Won</v>
      </c>
      <c r="AE526">
        <f>Deals_Raw!AG526</f>
        <v>0</v>
      </c>
      <c r="AF526" t="str">
        <f>Deals_Raw!AH526</f>
        <v>Yes</v>
      </c>
      <c r="AG526" t="str">
        <f>Deals_Raw!AI526</f>
        <v>No</v>
      </c>
      <c r="AH526" s="6">
        <f>Deals_Raw!AJ526</f>
        <v>30872.6692445382</v>
      </c>
      <c r="AI526" s="6">
        <f>Deals_Raw!AK526</f>
        <v>21187.589308502313</v>
      </c>
      <c r="AJ526" t="str">
        <f>Deals_Raw!AL526</f>
        <v>Expansion allowed because contract was active</v>
      </c>
      <c r="AK526" s="9">
        <f t="shared" si="56"/>
        <v>4.1277777777777782</v>
      </c>
      <c r="AL526" s="8">
        <f t="shared" si="57"/>
        <v>0.87704218210854834</v>
      </c>
      <c r="AM526" s="8">
        <f t="shared" si="58"/>
        <v>2.1999999999999992E-2</v>
      </c>
      <c r="AN526" t="str">
        <f>IF(AC526&lt;Pricing_Policy!$C$10,"Below Floor","Pass")</f>
        <v>Pass</v>
      </c>
      <c r="AO526" t="str">
        <f>IF(V526&gt;Pricing_Policy!$C$7,"Exception","Standard")</f>
        <v>Standard</v>
      </c>
      <c r="AP526" t="str">
        <f t="shared" si="59"/>
        <v>Pass</v>
      </c>
      <c r="AQ526">
        <f t="shared" si="60"/>
        <v>1</v>
      </c>
      <c r="AR526" s="8">
        <f t="shared" si="61"/>
        <v>0.68628951843063224</v>
      </c>
      <c r="AS526">
        <f t="shared" si="62"/>
        <v>3</v>
      </c>
    </row>
    <row r="527" spans="1:45">
      <c r="A527" t="str">
        <f>Deals_Raw!A527</f>
        <v>D00595</v>
      </c>
      <c r="B527">
        <f>Deals_Raw!B527</f>
        <v>45811</v>
      </c>
      <c r="C527" t="str">
        <f>Deals_Raw!C527</f>
        <v>C0149</v>
      </c>
      <c r="D527" t="str">
        <f>Deals_Raw!D527</f>
        <v>HEA-0149</v>
      </c>
      <c r="E527" t="str">
        <f>Deals_Raw!E527</f>
        <v>CT00321</v>
      </c>
      <c r="F527" t="str">
        <f>Deals_Raw!F527</f>
        <v>Finance</v>
      </c>
      <c r="G527" t="str">
        <f>Deals_Raw!G527</f>
        <v>Healthcare</v>
      </c>
      <c r="H527" t="str">
        <f>Deals_Raw!H527</f>
        <v>Northeast</v>
      </c>
      <c r="I527" t="str">
        <f>Deals_Raw!I527</f>
        <v>Northeast Commercial</v>
      </c>
      <c r="J527" t="str">
        <f>Deals_Raw!J527</f>
        <v>SMB</v>
      </c>
      <c r="K527" t="str">
        <f>Deals_Raw!K527</f>
        <v>No</v>
      </c>
      <c r="L527">
        <f>Deals_Raw!L527</f>
        <v>44136</v>
      </c>
      <c r="M527">
        <f>Deals_Raw!M527</f>
        <v>73</v>
      </c>
      <c r="N527" t="str">
        <f>Deals_Raw!N527</f>
        <v>Nexus Insights</v>
      </c>
      <c r="O527" t="str">
        <f>Deals_Raw!O527</f>
        <v>Renewal</v>
      </c>
      <c r="P527">
        <f>Deals_Raw!P527</f>
        <v>0</v>
      </c>
      <c r="Q527">
        <f>Deals_Raw!Q527</f>
        <v>1</v>
      </c>
      <c r="R527">
        <f>Deals_Raw!R527</f>
        <v>83</v>
      </c>
      <c r="S527" t="str">
        <f>Deals_Raw!S527</f>
        <v>D. Chen</v>
      </c>
      <c r="T527" s="6">
        <f>Deals_Raw!T527</f>
        <v>36752.536670590554</v>
      </c>
      <c r="U527" s="8">
        <f>Deals_Raw!V527</f>
        <v>9.6000000000000002E-2</v>
      </c>
      <c r="V527" s="8">
        <f>Deals_Raw!W527</f>
        <v>9.2999999999999999E-2</v>
      </c>
      <c r="W527" s="8">
        <f>Deals_Raw!X527</f>
        <v>3.5999999999999997E-2</v>
      </c>
      <c r="X527" t="str">
        <f>Deals_Raw!Y527</f>
        <v>Multi-year commitment</v>
      </c>
      <c r="Y527" t="str">
        <f>Deals_Raw!Z527</f>
        <v>Sales Manager</v>
      </c>
      <c r="Z527" s="6">
        <f>Deals_Raw!AA527</f>
        <v>33341.843848022967</v>
      </c>
      <c r="AA527" s="6">
        <f>Deals_Raw!AC527</f>
        <v>8799.1582030586269</v>
      </c>
      <c r="AB527" s="6">
        <f>Deals_Raw!AD527</f>
        <v>24542.685644964338</v>
      </c>
      <c r="AC527" s="8">
        <f>Deals_Raw!AE527</f>
        <v>0.73609263353381149</v>
      </c>
      <c r="AD527" t="str">
        <f>Deals_Raw!AF527</f>
        <v>Won</v>
      </c>
      <c r="AE527" t="str">
        <f>Deals_Raw!AG527</f>
        <v>Yes</v>
      </c>
      <c r="AF527">
        <f>Deals_Raw!AH527</f>
        <v>0</v>
      </c>
      <c r="AG527" t="str">
        <f>Deals_Raw!AI527</f>
        <v>No</v>
      </c>
      <c r="AH527" s="6">
        <f>Deals_Raw!AJ527</f>
        <v>33341.843848022967</v>
      </c>
      <c r="AI527" s="6">
        <f>Deals_Raw!AK527</f>
        <v>24542.685644964338</v>
      </c>
      <c r="AJ527" t="str">
        <f>Deals_Raw!AL527</f>
        <v>Renewal of existing active contract</v>
      </c>
      <c r="AK527" s="9">
        <f t="shared" si="56"/>
        <v>4.5888888888888886</v>
      </c>
      <c r="AL527" s="8">
        <f t="shared" si="57"/>
        <v>0.90719843767146469</v>
      </c>
      <c r="AM527" s="8">
        <f t="shared" si="58"/>
        <v>3.0000000000000027E-3</v>
      </c>
      <c r="AN527" t="str">
        <f>IF(AC527&lt;Pricing_Policy!$C$10,"Below Floor","Pass")</f>
        <v>Pass</v>
      </c>
      <c r="AO527" t="str">
        <f>IF(V527&gt;Pricing_Policy!$C$7,"Exception","Standard")</f>
        <v>Standard</v>
      </c>
      <c r="AP527" t="str">
        <f t="shared" si="59"/>
        <v>Pass</v>
      </c>
      <c r="AQ527">
        <f t="shared" si="60"/>
        <v>1</v>
      </c>
      <c r="AR527" s="8">
        <f t="shared" si="61"/>
        <v>0.73609263353381149</v>
      </c>
      <c r="AS527">
        <f t="shared" si="62"/>
        <v>3</v>
      </c>
    </row>
    <row r="528" spans="1:45">
      <c r="A528" t="str">
        <f>Deals_Raw!A528</f>
        <v>D00596</v>
      </c>
      <c r="B528">
        <f>Deals_Raw!B528</f>
        <v>45619</v>
      </c>
      <c r="C528" t="str">
        <f>Deals_Raw!C528</f>
        <v>C0150</v>
      </c>
      <c r="D528" t="str">
        <f>Deals_Raw!D528</f>
        <v>PUB-0150</v>
      </c>
      <c r="E528" t="str">
        <f>Deals_Raw!E528</f>
        <v>CT00322</v>
      </c>
      <c r="F528" t="str">
        <f>Deals_Raw!F528</f>
        <v>Legal</v>
      </c>
      <c r="G528" t="str">
        <f>Deals_Raw!G528</f>
        <v>Public Sector</v>
      </c>
      <c r="H528" t="str">
        <f>Deals_Raw!H528</f>
        <v>Midwest</v>
      </c>
      <c r="I528" t="str">
        <f>Deals_Raw!I528</f>
        <v>Midwest Commercial</v>
      </c>
      <c r="J528" t="str">
        <f>Deals_Raw!J528</f>
        <v>Mid-Market</v>
      </c>
      <c r="K528" t="str">
        <f>Deals_Raw!K528</f>
        <v>No</v>
      </c>
      <c r="L528">
        <f>Deals_Raw!L528</f>
        <v>44652</v>
      </c>
      <c r="M528">
        <f>Deals_Raw!M528</f>
        <v>43</v>
      </c>
      <c r="N528" t="str">
        <f>Deals_Raw!N528</f>
        <v>Nexus Compliance</v>
      </c>
      <c r="O528" t="str">
        <f>Deals_Raw!O528</f>
        <v>Renewal</v>
      </c>
      <c r="P528">
        <f>Deals_Raw!P528</f>
        <v>0</v>
      </c>
      <c r="Q528">
        <f>Deals_Raw!Q528</f>
        <v>1</v>
      </c>
      <c r="R528">
        <f>Deals_Raw!R528</f>
        <v>102</v>
      </c>
      <c r="S528" t="str">
        <f>Deals_Raw!S528</f>
        <v>S. Rivera</v>
      </c>
      <c r="T528" s="6">
        <f>Deals_Raw!T528</f>
        <v>187138.87157113903</v>
      </c>
      <c r="U528" s="8">
        <f>Deals_Raw!V528</f>
        <v>0.185</v>
      </c>
      <c r="V528" s="8">
        <f>Deals_Raw!W528</f>
        <v>0.16800000000000001</v>
      </c>
      <c r="W528" s="8">
        <f>Deals_Raw!X528</f>
        <v>1.6E-2</v>
      </c>
      <c r="X528" t="str">
        <f>Deals_Raw!Y528</f>
        <v>Renewal retention risk</v>
      </c>
      <c r="Y528" t="str">
        <f>Deals_Raw!Z528</f>
        <v>Pricing Analyst</v>
      </c>
      <c r="Z528" s="6">
        <f>Deals_Raw!AA528</f>
        <v>155671.48841447916</v>
      </c>
      <c r="AA528" s="6">
        <f>Deals_Raw!AC528</f>
        <v>63382.965370680853</v>
      </c>
      <c r="AB528" s="6">
        <f>Deals_Raw!AD528</f>
        <v>92288.523043798312</v>
      </c>
      <c r="AC528" s="8">
        <f>Deals_Raw!AE528</f>
        <v>0.59284152791086475</v>
      </c>
      <c r="AD528" t="str">
        <f>Deals_Raw!AF528</f>
        <v>Won</v>
      </c>
      <c r="AE528" t="str">
        <f>Deals_Raw!AG528</f>
        <v>Yes</v>
      </c>
      <c r="AF528">
        <f>Deals_Raw!AH528</f>
        <v>0</v>
      </c>
      <c r="AG528" t="str">
        <f>Deals_Raw!AI528</f>
        <v>No</v>
      </c>
      <c r="AH528" s="6">
        <f>Deals_Raw!AJ528</f>
        <v>155671.48841447916</v>
      </c>
      <c r="AI528" s="6">
        <f>Deals_Raw!AK528</f>
        <v>92288.523043798312</v>
      </c>
      <c r="AJ528" t="str">
        <f>Deals_Raw!AL528</f>
        <v>Renewal of existing active contract</v>
      </c>
      <c r="AK528" s="9">
        <f t="shared" si="56"/>
        <v>2.6444444444444444</v>
      </c>
      <c r="AL528" s="8">
        <f t="shared" si="57"/>
        <v>0.83185009670907495</v>
      </c>
      <c r="AM528" s="8">
        <f t="shared" si="58"/>
        <v>1.6999999999999987E-2</v>
      </c>
      <c r="AN528" t="str">
        <f>IF(AC528&lt;Pricing_Policy!$C$10,"Below Floor","Pass")</f>
        <v>Pass</v>
      </c>
      <c r="AO528" t="str">
        <f>IF(V528&gt;Pricing_Policy!$C$7,"Exception","Standard")</f>
        <v>Standard</v>
      </c>
      <c r="AP528" t="str">
        <f t="shared" si="59"/>
        <v>Pass</v>
      </c>
      <c r="AQ528">
        <f t="shared" si="60"/>
        <v>1</v>
      </c>
      <c r="AR528" s="8">
        <f t="shared" si="61"/>
        <v>0.59284152791086475</v>
      </c>
      <c r="AS528">
        <f t="shared" si="62"/>
        <v>5</v>
      </c>
    </row>
    <row r="529" spans="1:45">
      <c r="A529" t="str">
        <f>Deals_Raw!A529</f>
        <v>D00597</v>
      </c>
      <c r="B529">
        <f>Deals_Raw!B529</f>
        <v>45984</v>
      </c>
      <c r="C529" t="str">
        <f>Deals_Raw!C529</f>
        <v>C0150</v>
      </c>
      <c r="D529" t="str">
        <f>Deals_Raw!D529</f>
        <v>PUB-0150</v>
      </c>
      <c r="E529" t="str">
        <f>Deals_Raw!E529</f>
        <v>CT00322</v>
      </c>
      <c r="F529" t="str">
        <f>Deals_Raw!F529</f>
        <v>Legal</v>
      </c>
      <c r="G529" t="str">
        <f>Deals_Raw!G529</f>
        <v>Public Sector</v>
      </c>
      <c r="H529" t="str">
        <f>Deals_Raw!H529</f>
        <v>Midwest</v>
      </c>
      <c r="I529" t="str">
        <f>Deals_Raw!I529</f>
        <v>Midwest Commercial</v>
      </c>
      <c r="J529" t="str">
        <f>Deals_Raw!J529</f>
        <v>Mid-Market</v>
      </c>
      <c r="K529" t="str">
        <f>Deals_Raw!K529</f>
        <v>No</v>
      </c>
      <c r="L529">
        <f>Deals_Raw!L529</f>
        <v>44652</v>
      </c>
      <c r="M529">
        <f>Deals_Raw!M529</f>
        <v>43</v>
      </c>
      <c r="N529" t="str">
        <f>Deals_Raw!N529</f>
        <v>Nexus Compliance</v>
      </c>
      <c r="O529" t="str">
        <f>Deals_Raw!O529</f>
        <v>Renewal</v>
      </c>
      <c r="P529">
        <f>Deals_Raw!P529</f>
        <v>0</v>
      </c>
      <c r="Q529">
        <f>Deals_Raw!Q529</f>
        <v>1</v>
      </c>
      <c r="R529">
        <f>Deals_Raw!R529</f>
        <v>102</v>
      </c>
      <c r="S529" t="str">
        <f>Deals_Raw!S529</f>
        <v>D. Chen</v>
      </c>
      <c r="T529" s="6">
        <f>Deals_Raw!T529</f>
        <v>200836.84121510584</v>
      </c>
      <c r="U529" s="8">
        <f>Deals_Raw!V529</f>
        <v>8.8999999999999996E-2</v>
      </c>
      <c r="V529" s="8">
        <f>Deals_Raw!W529</f>
        <v>5.6000000000000001E-2</v>
      </c>
      <c r="W529" s="8">
        <f>Deals_Raw!X529</f>
        <v>-4.5999999999999999E-2</v>
      </c>
      <c r="X529" t="str">
        <f>Deals_Raw!Y529</f>
        <v>Renewal retention risk</v>
      </c>
      <c r="Y529" t="str">
        <f>Deals_Raw!Z529</f>
        <v>Sales Manager</v>
      </c>
      <c r="Z529" s="6">
        <f>Deals_Raw!AA529</f>
        <v>189551.78004727478</v>
      </c>
      <c r="AA529" s="6">
        <f>Deals_Raw!AC529</f>
        <v>63855.77319647176</v>
      </c>
      <c r="AB529" s="6">
        <f>Deals_Raw!AD529</f>
        <v>125696.00685080301</v>
      </c>
      <c r="AC529" s="8">
        <f>Deals_Raw!AE529</f>
        <v>0.66312227096708909</v>
      </c>
      <c r="AD529" t="str">
        <f>Deals_Raw!AF529</f>
        <v>Lost</v>
      </c>
      <c r="AE529" t="str">
        <f>Deals_Raw!AG529</f>
        <v>No</v>
      </c>
      <c r="AF529">
        <f>Deals_Raw!AH529</f>
        <v>0</v>
      </c>
      <c r="AG529" t="str">
        <f>Deals_Raw!AI529</f>
        <v>No</v>
      </c>
      <c r="AH529" s="6">
        <f>Deals_Raw!AJ529</f>
        <v>0</v>
      </c>
      <c r="AI529" s="6">
        <f>Deals_Raw!AK529</f>
        <v>0</v>
      </c>
      <c r="AJ529" t="str">
        <f>Deals_Raw!AL529</f>
        <v>Renewal of existing active contract</v>
      </c>
      <c r="AK529" s="9">
        <f t="shared" si="56"/>
        <v>3.6444444444444444</v>
      </c>
      <c r="AL529" s="8">
        <f t="shared" si="57"/>
        <v>0.94380980551399818</v>
      </c>
      <c r="AM529" s="8">
        <f t="shared" si="58"/>
        <v>3.2999999999999995E-2</v>
      </c>
      <c r="AN529" t="str">
        <f>IF(AC529&lt;Pricing_Policy!$C$10,"Below Floor","Pass")</f>
        <v>Pass</v>
      </c>
      <c r="AO529" t="str">
        <f>IF(V529&gt;Pricing_Policy!$C$7,"Exception","Standard")</f>
        <v>Standard</v>
      </c>
      <c r="AP529" t="str">
        <f t="shared" si="59"/>
        <v>Pass</v>
      </c>
      <c r="AQ529">
        <f t="shared" si="60"/>
        <v>0</v>
      </c>
      <c r="AR529" s="8">
        <f t="shared" si="61"/>
        <v>0</v>
      </c>
      <c r="AS529">
        <f t="shared" si="62"/>
        <v>5</v>
      </c>
    </row>
    <row r="530" spans="1:45">
      <c r="A530" t="str">
        <f>Deals_Raw!A530</f>
        <v>D00598</v>
      </c>
      <c r="B530">
        <f>Deals_Raw!B530</f>
        <v>45382</v>
      </c>
      <c r="C530" t="str">
        <f>Deals_Raw!C530</f>
        <v>C0150</v>
      </c>
      <c r="D530" t="str">
        <f>Deals_Raw!D530</f>
        <v>PUB-0150</v>
      </c>
      <c r="E530" t="str">
        <f>Deals_Raw!E530</f>
        <v>CT00323</v>
      </c>
      <c r="F530" t="str">
        <f>Deals_Raw!F530</f>
        <v>Finance</v>
      </c>
      <c r="G530" t="str">
        <f>Deals_Raw!G530</f>
        <v>Public Sector</v>
      </c>
      <c r="H530" t="str">
        <f>Deals_Raw!H530</f>
        <v>Midwest</v>
      </c>
      <c r="I530" t="str">
        <f>Deals_Raw!I530</f>
        <v>Midwest Commercial</v>
      </c>
      <c r="J530" t="str">
        <f>Deals_Raw!J530</f>
        <v>Mid-Market</v>
      </c>
      <c r="K530" t="str">
        <f>Deals_Raw!K530</f>
        <v>No</v>
      </c>
      <c r="L530">
        <f>Deals_Raw!L530</f>
        <v>44652</v>
      </c>
      <c r="M530">
        <f>Deals_Raw!M530</f>
        <v>43</v>
      </c>
      <c r="N530" t="str">
        <f>Deals_Raw!N530</f>
        <v>Nexus Enterprise Suite</v>
      </c>
      <c r="O530" t="str">
        <f>Deals_Raw!O530</f>
        <v>New Business</v>
      </c>
      <c r="P530">
        <f>Deals_Raw!P530</f>
        <v>0</v>
      </c>
      <c r="Q530">
        <f>Deals_Raw!Q530</f>
        <v>3</v>
      </c>
      <c r="R530">
        <f>Deals_Raw!R530</f>
        <v>152</v>
      </c>
      <c r="S530" t="str">
        <f>Deals_Raw!S530</f>
        <v>S. Rivera</v>
      </c>
      <c r="T530" s="6">
        <f>Deals_Raw!T530</f>
        <v>249905.29875819321</v>
      </c>
      <c r="U530" s="8">
        <f>Deals_Raw!V530</f>
        <v>8.5999999999999993E-2</v>
      </c>
      <c r="V530" s="8">
        <f>Deals_Raw!W530</f>
        <v>3.5999999999999997E-2</v>
      </c>
      <c r="W530" s="8">
        <f>Deals_Raw!X530</f>
        <v>1.4999999999999999E-2</v>
      </c>
      <c r="X530" t="str">
        <f>Deals_Raw!Y530</f>
        <v>Renewal retention risk</v>
      </c>
      <c r="Y530" t="str">
        <f>Deals_Raw!Z530</f>
        <v>Sales Manager</v>
      </c>
      <c r="Z530" s="6">
        <f>Deals_Raw!AA530</f>
        <v>240900.43246529298</v>
      </c>
      <c r="AA530" s="6">
        <f>Deals_Raw!AC530</f>
        <v>99572.406761862498</v>
      </c>
      <c r="AB530" s="6">
        <f>Deals_Raw!AD530</f>
        <v>141328.02570343047</v>
      </c>
      <c r="AC530" s="8">
        <f>Deals_Raw!AE530</f>
        <v>0.58666572017794894</v>
      </c>
      <c r="AD530" t="str">
        <f>Deals_Raw!AF530</f>
        <v>Won</v>
      </c>
      <c r="AE530">
        <f>Deals_Raw!AG530</f>
        <v>0</v>
      </c>
      <c r="AF530">
        <f>Deals_Raw!AH530</f>
        <v>0</v>
      </c>
      <c r="AG530" t="str">
        <f>Deals_Raw!AI530</f>
        <v>No</v>
      </c>
      <c r="AH530" s="6">
        <f>Deals_Raw!AJ530</f>
        <v>240900.43246529298</v>
      </c>
      <c r="AI530" s="6">
        <f>Deals_Raw!AK530</f>
        <v>141328.02570343047</v>
      </c>
      <c r="AJ530" t="str">
        <f>Deals_Raw!AL530</f>
        <v>First purchase under this contract</v>
      </c>
      <c r="AK530" s="9">
        <f t="shared" si="56"/>
        <v>2</v>
      </c>
      <c r="AL530" s="8">
        <f t="shared" si="57"/>
        <v>0.96396688530556818</v>
      </c>
      <c r="AM530" s="8">
        <f t="shared" si="58"/>
        <v>4.9999999999999996E-2</v>
      </c>
      <c r="AN530" t="str">
        <f>IF(AC530&lt;Pricing_Policy!$C$10,"Below Floor","Pass")</f>
        <v>Pass</v>
      </c>
      <c r="AO530" t="str">
        <f>IF(V530&gt;Pricing_Policy!$C$7,"Exception","Standard")</f>
        <v>Standard</v>
      </c>
      <c r="AP530" t="str">
        <f t="shared" si="59"/>
        <v>Pass</v>
      </c>
      <c r="AQ530">
        <f t="shared" si="60"/>
        <v>1</v>
      </c>
      <c r="AR530" s="8">
        <f t="shared" si="61"/>
        <v>0.58666572017794894</v>
      </c>
      <c r="AS530">
        <f t="shared" si="62"/>
        <v>1</v>
      </c>
    </row>
    <row r="531" spans="1:45">
      <c r="A531" t="str">
        <f>Deals_Raw!A531</f>
        <v>D00600</v>
      </c>
      <c r="B531">
        <f>Deals_Raw!B531</f>
        <v>45316</v>
      </c>
      <c r="C531" t="str">
        <f>Deals_Raw!C531</f>
        <v>C0150</v>
      </c>
      <c r="D531" t="str">
        <f>Deals_Raw!D531</f>
        <v>PUB-0150</v>
      </c>
      <c r="E531" t="str">
        <f>Deals_Raw!E531</f>
        <v>CT00324</v>
      </c>
      <c r="F531" t="str">
        <f>Deals_Raw!F531</f>
        <v>Corporate</v>
      </c>
      <c r="G531" t="str">
        <f>Deals_Raw!G531</f>
        <v>Public Sector</v>
      </c>
      <c r="H531" t="str">
        <f>Deals_Raw!H531</f>
        <v>Midwest</v>
      </c>
      <c r="I531" t="str">
        <f>Deals_Raw!I531</f>
        <v>Midwest Commercial</v>
      </c>
      <c r="J531" t="str">
        <f>Deals_Raw!J531</f>
        <v>Mid-Market</v>
      </c>
      <c r="K531" t="str">
        <f>Deals_Raw!K531</f>
        <v>No</v>
      </c>
      <c r="L531">
        <f>Deals_Raw!L531</f>
        <v>44652</v>
      </c>
      <c r="M531">
        <f>Deals_Raw!M531</f>
        <v>43</v>
      </c>
      <c r="N531" t="str">
        <f>Deals_Raw!N531</f>
        <v>Nexus Compliance</v>
      </c>
      <c r="O531" t="str">
        <f>Deals_Raw!O531</f>
        <v>Win-back</v>
      </c>
      <c r="P531">
        <f>Deals_Raw!P531</f>
        <v>0</v>
      </c>
      <c r="Q531">
        <f>Deals_Raw!Q531</f>
        <v>1</v>
      </c>
      <c r="R531">
        <f>Deals_Raw!R531</f>
        <v>290</v>
      </c>
      <c r="S531" t="str">
        <f>Deals_Raw!S531</f>
        <v>T. Brooks</v>
      </c>
      <c r="T531" s="6">
        <f>Deals_Raw!T531</f>
        <v>165047.84393366126</v>
      </c>
      <c r="U531" s="8">
        <f>Deals_Raw!V531</f>
        <v>0.34200000000000003</v>
      </c>
      <c r="V531" s="8">
        <f>Deals_Raw!W531</f>
        <v>0.34100000000000003</v>
      </c>
      <c r="W531" s="8">
        <f>Deals_Raw!X531</f>
        <v>-4.7E-2</v>
      </c>
      <c r="X531" t="str">
        <f>Deals_Raw!Y531</f>
        <v>Renewal retention risk</v>
      </c>
      <c r="Y531" t="str">
        <f>Deals_Raw!Z531</f>
        <v>VP Pricing</v>
      </c>
      <c r="Z531" s="6">
        <f>Deals_Raw!AA531</f>
        <v>108788.24858014718</v>
      </c>
      <c r="AA531" s="6">
        <f>Deals_Raw!AC531</f>
        <v>62238.054214713979</v>
      </c>
      <c r="AB531" s="6">
        <f>Deals_Raw!AD531</f>
        <v>46550.194365433199</v>
      </c>
      <c r="AC531" s="8">
        <f>Deals_Raw!AE531</f>
        <v>0.42789726806878814</v>
      </c>
      <c r="AD531" t="str">
        <f>Deals_Raw!AF531</f>
        <v>Won</v>
      </c>
      <c r="AE531">
        <f>Deals_Raw!AG531</f>
        <v>0</v>
      </c>
      <c r="AF531">
        <f>Deals_Raw!AH531</f>
        <v>0</v>
      </c>
      <c r="AG531" t="str">
        <f>Deals_Raw!AI531</f>
        <v>Yes</v>
      </c>
      <c r="AH531" s="6">
        <f>Deals_Raw!AJ531</f>
        <v>108788.24858014718</v>
      </c>
      <c r="AI531" s="6">
        <f>Deals_Raw!AK531</f>
        <v>46550.194365433199</v>
      </c>
      <c r="AJ531" t="str">
        <f>Deals_Raw!AL531</f>
        <v>Customer returned after lost renewal</v>
      </c>
      <c r="AK531" s="9">
        <f t="shared" si="56"/>
        <v>1.8166666666666667</v>
      </c>
      <c r="AL531" s="8">
        <f t="shared" si="57"/>
        <v>0.65913159473851191</v>
      </c>
      <c r="AM531" s="8">
        <f t="shared" si="58"/>
        <v>1.0000000000000009E-3</v>
      </c>
      <c r="AN531" t="str">
        <f>IF(AC531&lt;Pricing_Policy!$C$10,"Below Floor","Pass")</f>
        <v>Below Floor</v>
      </c>
      <c r="AO531" t="str">
        <f>IF(V531&gt;Pricing_Policy!$C$7,"Exception","Standard")</f>
        <v>Exception</v>
      </c>
      <c r="AP531" t="str">
        <f t="shared" si="59"/>
        <v>Pass</v>
      </c>
      <c r="AQ531">
        <f t="shared" si="60"/>
        <v>1</v>
      </c>
      <c r="AR531" s="8">
        <f t="shared" si="61"/>
        <v>0.42789726806878814</v>
      </c>
      <c r="AS531">
        <f t="shared" si="62"/>
        <v>5</v>
      </c>
    </row>
    <row r="532" spans="1:45">
      <c r="A532" t="str">
        <f>Deals_Raw!A532</f>
        <v>D00601</v>
      </c>
      <c r="B532">
        <f>Deals_Raw!B532</f>
        <v>45681</v>
      </c>
      <c r="C532" t="str">
        <f>Deals_Raw!C532</f>
        <v>C0150</v>
      </c>
      <c r="D532" t="str">
        <f>Deals_Raw!D532</f>
        <v>PUB-0150</v>
      </c>
      <c r="E532" t="str">
        <f>Deals_Raw!E532</f>
        <v>CT00324</v>
      </c>
      <c r="F532" t="str">
        <f>Deals_Raw!F532</f>
        <v>Corporate</v>
      </c>
      <c r="G532" t="str">
        <f>Deals_Raw!G532</f>
        <v>Public Sector</v>
      </c>
      <c r="H532" t="str">
        <f>Deals_Raw!H532</f>
        <v>Midwest</v>
      </c>
      <c r="I532" t="str">
        <f>Deals_Raw!I532</f>
        <v>Midwest Commercial</v>
      </c>
      <c r="J532" t="str">
        <f>Deals_Raw!J532</f>
        <v>Mid-Market</v>
      </c>
      <c r="K532" t="str">
        <f>Deals_Raw!K532</f>
        <v>No</v>
      </c>
      <c r="L532">
        <f>Deals_Raw!L532</f>
        <v>44652</v>
      </c>
      <c r="M532">
        <f>Deals_Raw!M532</f>
        <v>43</v>
      </c>
      <c r="N532" t="str">
        <f>Deals_Raw!N532</f>
        <v>Nexus Compliance</v>
      </c>
      <c r="O532" t="str">
        <f>Deals_Raw!O532</f>
        <v>Renewal</v>
      </c>
      <c r="P532">
        <f>Deals_Raw!P532</f>
        <v>0</v>
      </c>
      <c r="Q532">
        <f>Deals_Raw!Q532</f>
        <v>1</v>
      </c>
      <c r="R532">
        <f>Deals_Raw!R532</f>
        <v>290</v>
      </c>
      <c r="S532" t="str">
        <f>Deals_Raw!S532</f>
        <v>R. Singh</v>
      </c>
      <c r="T532" s="6">
        <f>Deals_Raw!T532</f>
        <v>174505.8304783256</v>
      </c>
      <c r="U532" s="8">
        <f>Deals_Raw!V532</f>
        <v>0.127</v>
      </c>
      <c r="V532" s="8">
        <f>Deals_Raw!W532</f>
        <v>9.9000000000000005E-2</v>
      </c>
      <c r="W532" s="8">
        <f>Deals_Raw!X532</f>
        <v>1.9E-2</v>
      </c>
      <c r="X532" t="str">
        <f>Deals_Raw!Y532</f>
        <v>Renewal retention risk</v>
      </c>
      <c r="Y532" t="str">
        <f>Deals_Raw!Z532</f>
        <v>Sales Manager</v>
      </c>
      <c r="Z532" s="6">
        <f>Deals_Raw!AA532</f>
        <v>157214.7518512134</v>
      </c>
      <c r="AA532" s="6">
        <f>Deals_Raw!AC532</f>
        <v>61691.000401231831</v>
      </c>
      <c r="AB532" s="6">
        <f>Deals_Raw!AD532</f>
        <v>95523.751449981559</v>
      </c>
      <c r="AC532" s="8">
        <f>Deals_Raw!AE532</f>
        <v>0.60760043396172114</v>
      </c>
      <c r="AD532" t="str">
        <f>Deals_Raw!AF532</f>
        <v>Lost</v>
      </c>
      <c r="AE532" t="str">
        <f>Deals_Raw!AG532</f>
        <v>No</v>
      </c>
      <c r="AF532">
        <f>Deals_Raw!AH532</f>
        <v>0</v>
      </c>
      <c r="AG532" t="str">
        <f>Deals_Raw!AI532</f>
        <v>No</v>
      </c>
      <c r="AH532" s="6">
        <f>Deals_Raw!AJ532</f>
        <v>0</v>
      </c>
      <c r="AI532" s="6">
        <f>Deals_Raw!AK532</f>
        <v>0</v>
      </c>
      <c r="AJ532" t="str">
        <f>Deals_Raw!AL532</f>
        <v>Renewal of existing active contract</v>
      </c>
      <c r="AK532" s="9">
        <f t="shared" si="56"/>
        <v>2.8138888888888891</v>
      </c>
      <c r="AL532" s="8">
        <f t="shared" si="57"/>
        <v>0.90091403490807809</v>
      </c>
      <c r="AM532" s="8">
        <f t="shared" si="58"/>
        <v>2.7999999999999997E-2</v>
      </c>
      <c r="AN532" t="str">
        <f>IF(AC532&lt;Pricing_Policy!$C$10,"Below Floor","Pass")</f>
        <v>Pass</v>
      </c>
      <c r="AO532" t="str">
        <f>IF(V532&gt;Pricing_Policy!$C$7,"Exception","Standard")</f>
        <v>Standard</v>
      </c>
      <c r="AP532" t="str">
        <f t="shared" si="59"/>
        <v>Pass</v>
      </c>
      <c r="AQ532">
        <f t="shared" si="60"/>
        <v>0</v>
      </c>
      <c r="AR532" s="8">
        <f t="shared" si="61"/>
        <v>0</v>
      </c>
      <c r="AS532">
        <f t="shared" si="62"/>
        <v>5</v>
      </c>
    </row>
    <row r="533" spans="1:45">
      <c r="A533" t="str">
        <f>Deals_Raw!A533</f>
        <v>D00602</v>
      </c>
      <c r="B533">
        <f>Deals_Raw!B533</f>
        <v>45740</v>
      </c>
      <c r="C533" t="str">
        <f>Deals_Raw!C533</f>
        <v>C0150</v>
      </c>
      <c r="D533" t="str">
        <f>Deals_Raw!D533</f>
        <v>PUB-0150</v>
      </c>
      <c r="E533" t="str">
        <f>Deals_Raw!E533</f>
        <v>CT00325</v>
      </c>
      <c r="F533" t="str">
        <f>Deals_Raw!F533</f>
        <v>Technology</v>
      </c>
      <c r="G533" t="str">
        <f>Deals_Raw!G533</f>
        <v>Public Sector</v>
      </c>
      <c r="H533" t="str">
        <f>Deals_Raw!H533</f>
        <v>Midwest</v>
      </c>
      <c r="I533" t="str">
        <f>Deals_Raw!I533</f>
        <v>Midwest Commercial</v>
      </c>
      <c r="J533" t="str">
        <f>Deals_Raw!J533</f>
        <v>Mid-Market</v>
      </c>
      <c r="K533" t="str">
        <f>Deals_Raw!K533</f>
        <v>No</v>
      </c>
      <c r="L533">
        <f>Deals_Raw!L533</f>
        <v>44652</v>
      </c>
      <c r="M533">
        <f>Deals_Raw!M533</f>
        <v>43</v>
      </c>
      <c r="N533" t="str">
        <f>Deals_Raw!N533</f>
        <v>Nexus Compliance</v>
      </c>
      <c r="O533" t="str">
        <f>Deals_Raw!O533</f>
        <v>New Business</v>
      </c>
      <c r="P533">
        <f>Deals_Raw!P533</f>
        <v>0</v>
      </c>
      <c r="Q533">
        <f>Deals_Raw!Q533</f>
        <v>3</v>
      </c>
      <c r="R533">
        <f>Deals_Raw!R533</f>
        <v>306</v>
      </c>
      <c r="S533" t="str">
        <f>Deals_Raw!S533</f>
        <v>S. Rivera</v>
      </c>
      <c r="T533" s="6">
        <f>Deals_Raw!T533</f>
        <v>160747.87837651517</v>
      </c>
      <c r="U533" s="8">
        <f>Deals_Raw!V533</f>
        <v>9.8000000000000004E-2</v>
      </c>
      <c r="V533" s="8">
        <f>Deals_Raw!W533</f>
        <v>6.9000000000000006E-2</v>
      </c>
      <c r="W533" s="8">
        <f>Deals_Raw!X533</f>
        <v>4.1000000000000002E-2</v>
      </c>
      <c r="X533" t="str">
        <f>Deals_Raw!Y533</f>
        <v>Strategic logo opportunity</v>
      </c>
      <c r="Y533" t="str">
        <f>Deals_Raw!Z533</f>
        <v>Sales Manager</v>
      </c>
      <c r="Z533" s="6">
        <f>Deals_Raw!AA533</f>
        <v>149653.9005331267</v>
      </c>
      <c r="AA533" s="6">
        <f>Deals_Raw!AC533</f>
        <v>53106.304313105386</v>
      </c>
      <c r="AB533" s="6">
        <f>Deals_Raw!AD533</f>
        <v>96547.596220021311</v>
      </c>
      <c r="AC533" s="8">
        <f>Deals_Raw!AE533</f>
        <v>0.64513919033236278</v>
      </c>
      <c r="AD533" t="str">
        <f>Deals_Raw!AF533</f>
        <v>Won</v>
      </c>
      <c r="AE533">
        <f>Deals_Raw!AG533</f>
        <v>0</v>
      </c>
      <c r="AF533">
        <f>Deals_Raw!AH533</f>
        <v>0</v>
      </c>
      <c r="AG533" t="str">
        <f>Deals_Raw!AI533</f>
        <v>No</v>
      </c>
      <c r="AH533" s="6">
        <f>Deals_Raw!AJ533</f>
        <v>149653.9005331267</v>
      </c>
      <c r="AI533" s="6">
        <f>Deals_Raw!AK533</f>
        <v>96547.596220021311</v>
      </c>
      <c r="AJ533" t="str">
        <f>Deals_Raw!AL533</f>
        <v>First purchase under this contract</v>
      </c>
      <c r="AK533" s="9">
        <f t="shared" si="56"/>
        <v>2.9805555555555556</v>
      </c>
      <c r="AL533" s="8">
        <f t="shared" si="57"/>
        <v>0.93098523006690403</v>
      </c>
      <c r="AM533" s="8">
        <f t="shared" si="58"/>
        <v>2.8999999999999998E-2</v>
      </c>
      <c r="AN533" t="str">
        <f>IF(AC533&lt;Pricing_Policy!$C$10,"Below Floor","Pass")</f>
        <v>Pass</v>
      </c>
      <c r="AO533" t="str">
        <f>IF(V533&gt;Pricing_Policy!$C$7,"Exception","Standard")</f>
        <v>Standard</v>
      </c>
      <c r="AP533" t="str">
        <f t="shared" si="59"/>
        <v>Pass</v>
      </c>
      <c r="AQ533">
        <f t="shared" si="60"/>
        <v>1</v>
      </c>
      <c r="AR533" s="8">
        <f t="shared" si="61"/>
        <v>0.64513919033236278</v>
      </c>
      <c r="AS533">
        <f t="shared" si="62"/>
        <v>5</v>
      </c>
    </row>
    <row r="534" spans="1:45">
      <c r="A534" t="str">
        <f>Deals_Raw!A534</f>
        <v>D00603</v>
      </c>
      <c r="B534">
        <f>Deals_Raw!B534</f>
        <v>45697</v>
      </c>
      <c r="C534" t="str">
        <f>Deals_Raw!C534</f>
        <v>C0151</v>
      </c>
      <c r="D534" t="str">
        <f>Deals_Raw!D534</f>
        <v>LEG-0151</v>
      </c>
      <c r="E534" t="str">
        <f>Deals_Raw!E534</f>
        <v>CT00326</v>
      </c>
      <c r="F534" t="str">
        <f>Deals_Raw!F534</f>
        <v>Sales</v>
      </c>
      <c r="G534" t="str">
        <f>Deals_Raw!G534</f>
        <v>Legal</v>
      </c>
      <c r="H534" t="str">
        <f>Deals_Raw!H534</f>
        <v>South</v>
      </c>
      <c r="I534" t="str">
        <f>Deals_Raw!I534</f>
        <v>South Enterprise</v>
      </c>
      <c r="J534" t="str">
        <f>Deals_Raw!J534</f>
        <v>Enterprise</v>
      </c>
      <c r="K534" t="str">
        <f>Deals_Raw!K534</f>
        <v>No</v>
      </c>
      <c r="L534">
        <f>Deals_Raw!L534</f>
        <v>45323</v>
      </c>
      <c r="M534">
        <f>Deals_Raw!M534</f>
        <v>76</v>
      </c>
      <c r="N534" t="str">
        <f>Deals_Raw!N534</f>
        <v>Nexus Insights</v>
      </c>
      <c r="O534" t="str">
        <f>Deals_Raw!O534</f>
        <v>New Business</v>
      </c>
      <c r="P534">
        <f>Deals_Raw!P534</f>
        <v>0</v>
      </c>
      <c r="Q534">
        <f>Deals_Raw!Q534</f>
        <v>1</v>
      </c>
      <c r="R534">
        <f>Deals_Raw!R534</f>
        <v>1419</v>
      </c>
      <c r="S534" t="str">
        <f>Deals_Raw!S534</f>
        <v>S. Rivera</v>
      </c>
      <c r="T534" s="6">
        <f>Deals_Raw!T534</f>
        <v>126129.29150375143</v>
      </c>
      <c r="U534" s="8">
        <f>Deals_Raw!V534</f>
        <v>8.5000000000000006E-2</v>
      </c>
      <c r="V534" s="8">
        <f>Deals_Raw!W534</f>
        <v>4.2000000000000003E-2</v>
      </c>
      <c r="W534" s="8">
        <f>Deals_Raw!X534</f>
        <v>7.3999999999999996E-2</v>
      </c>
      <c r="X534" t="str">
        <f>Deals_Raw!Y534</f>
        <v>Verified competitor pressure</v>
      </c>
      <c r="Y534" t="str">
        <f>Deals_Raw!Z534</f>
        <v>Sales Manager</v>
      </c>
      <c r="Z534" s="6">
        <f>Deals_Raw!AA534</f>
        <v>120887.01975150227</v>
      </c>
      <c r="AA534" s="6">
        <f>Deals_Raw!AC534</f>
        <v>42713.608200939831</v>
      </c>
      <c r="AB534" s="6">
        <f>Deals_Raw!AD534</f>
        <v>78173.41155056245</v>
      </c>
      <c r="AC534" s="8">
        <f>Deals_Raw!AE534</f>
        <v>0.64666505726799495</v>
      </c>
      <c r="AD534" t="str">
        <f>Deals_Raw!AF534</f>
        <v>Lost</v>
      </c>
      <c r="AE534">
        <f>Deals_Raw!AG534</f>
        <v>0</v>
      </c>
      <c r="AF534">
        <f>Deals_Raw!AH534</f>
        <v>0</v>
      </c>
      <c r="AG534" t="str">
        <f>Deals_Raw!AI534</f>
        <v>No</v>
      </c>
      <c r="AH534" s="6">
        <f>Deals_Raw!AJ534</f>
        <v>0</v>
      </c>
      <c r="AI534" s="6">
        <f>Deals_Raw!AK534</f>
        <v>0</v>
      </c>
      <c r="AJ534" t="str">
        <f>Deals_Raw!AL534</f>
        <v>First purchase under this contract</v>
      </c>
      <c r="AK534" s="9">
        <f t="shared" si="56"/>
        <v>1.0222222222222221</v>
      </c>
      <c r="AL534" s="8">
        <f t="shared" si="57"/>
        <v>0.95843731705974711</v>
      </c>
      <c r="AM534" s="8">
        <f t="shared" si="58"/>
        <v>4.3000000000000003E-2</v>
      </c>
      <c r="AN534" t="str">
        <f>IF(AC534&lt;Pricing_Policy!$C$10,"Below Floor","Pass")</f>
        <v>Pass</v>
      </c>
      <c r="AO534" t="str">
        <f>IF(V534&gt;Pricing_Policy!$C$7,"Exception","Standard")</f>
        <v>Standard</v>
      </c>
      <c r="AP534" t="str">
        <f t="shared" si="59"/>
        <v>Pass</v>
      </c>
      <c r="AQ534">
        <f t="shared" si="60"/>
        <v>0</v>
      </c>
      <c r="AR534" s="8">
        <f t="shared" si="61"/>
        <v>0</v>
      </c>
      <c r="AS534">
        <f t="shared" si="62"/>
        <v>1</v>
      </c>
    </row>
    <row r="535" spans="1:45">
      <c r="A535" t="str">
        <f>Deals_Raw!A535</f>
        <v>D00604</v>
      </c>
      <c r="B535">
        <f>Deals_Raw!B535</f>
        <v>45550</v>
      </c>
      <c r="C535" t="str">
        <f>Deals_Raw!C535</f>
        <v>C0151</v>
      </c>
      <c r="D535" t="str">
        <f>Deals_Raw!D535</f>
        <v>LEG-0151</v>
      </c>
      <c r="E535" t="str">
        <f>Deals_Raw!E535</f>
        <v>CT00327</v>
      </c>
      <c r="F535" t="str">
        <f>Deals_Raw!F535</f>
        <v>Sales</v>
      </c>
      <c r="G535" t="str">
        <f>Deals_Raw!G535</f>
        <v>Legal</v>
      </c>
      <c r="H535" t="str">
        <f>Deals_Raw!H535</f>
        <v>South</v>
      </c>
      <c r="I535" t="str">
        <f>Deals_Raw!I535</f>
        <v>South Enterprise</v>
      </c>
      <c r="J535" t="str">
        <f>Deals_Raw!J535</f>
        <v>Enterprise</v>
      </c>
      <c r="K535" t="str">
        <f>Deals_Raw!K535</f>
        <v>No</v>
      </c>
      <c r="L535">
        <f>Deals_Raw!L535</f>
        <v>45323</v>
      </c>
      <c r="M535">
        <f>Deals_Raw!M535</f>
        <v>76</v>
      </c>
      <c r="N535" t="str">
        <f>Deals_Raw!N535</f>
        <v>Nexus Enterprise Suite</v>
      </c>
      <c r="O535" t="str">
        <f>Deals_Raw!O535</f>
        <v>New Business</v>
      </c>
      <c r="P535">
        <f>Deals_Raw!P535</f>
        <v>0</v>
      </c>
      <c r="Q535">
        <f>Deals_Raw!Q535</f>
        <v>2</v>
      </c>
      <c r="R535">
        <f>Deals_Raw!R535</f>
        <v>1149</v>
      </c>
      <c r="S535" t="str">
        <f>Deals_Raw!S535</f>
        <v>K. Nguyen</v>
      </c>
      <c r="T535" s="6">
        <f>Deals_Raw!T535</f>
        <v>611592.01583507238</v>
      </c>
      <c r="U535" s="8">
        <f>Deals_Raw!V535</f>
        <v>0.11</v>
      </c>
      <c r="V535" s="8">
        <f>Deals_Raw!W535</f>
        <v>0.1</v>
      </c>
      <c r="W535" s="8">
        <f>Deals_Raw!X535</f>
        <v>0.15</v>
      </c>
      <c r="X535" t="str">
        <f>Deals_Raw!Y535</f>
        <v>Expansion opportunity</v>
      </c>
      <c r="Y535" t="str">
        <f>Deals_Raw!Z535</f>
        <v>Sales Manager</v>
      </c>
      <c r="Z535" s="6">
        <f>Deals_Raw!AA535</f>
        <v>550586.05754136969</v>
      </c>
      <c r="AA535" s="6">
        <f>Deals_Raw!AC535</f>
        <v>259290.43558807889</v>
      </c>
      <c r="AB535" s="6">
        <f>Deals_Raw!AD535</f>
        <v>291295.62195329077</v>
      </c>
      <c r="AC535" s="8">
        <f>Deals_Raw!AE535</f>
        <v>0.52906465386004353</v>
      </c>
      <c r="AD535" t="str">
        <f>Deals_Raw!AF535</f>
        <v>Lost</v>
      </c>
      <c r="AE535">
        <f>Deals_Raw!AG535</f>
        <v>0</v>
      </c>
      <c r="AF535">
        <f>Deals_Raw!AH535</f>
        <v>0</v>
      </c>
      <c r="AG535" t="str">
        <f>Deals_Raw!AI535</f>
        <v>No</v>
      </c>
      <c r="AH535" s="6">
        <f>Deals_Raw!AJ535</f>
        <v>0</v>
      </c>
      <c r="AI535" s="6">
        <f>Deals_Raw!AK535</f>
        <v>0</v>
      </c>
      <c r="AJ535" t="str">
        <f>Deals_Raw!AL535</f>
        <v>First purchase under this contract</v>
      </c>
      <c r="AK535" s="9">
        <f t="shared" si="56"/>
        <v>0.62222222222222223</v>
      </c>
      <c r="AL535" s="8">
        <f t="shared" si="57"/>
        <v>0.90025056456892316</v>
      </c>
      <c r="AM535" s="8">
        <f t="shared" si="58"/>
        <v>9.999999999999995E-3</v>
      </c>
      <c r="AN535" t="str">
        <f>IF(AC535&lt;Pricing_Policy!$C$10,"Below Floor","Pass")</f>
        <v>Pass</v>
      </c>
      <c r="AO535" t="str">
        <f>IF(V535&gt;Pricing_Policy!$C$7,"Exception","Standard")</f>
        <v>Standard</v>
      </c>
      <c r="AP535" t="str">
        <f t="shared" si="59"/>
        <v>Pass</v>
      </c>
      <c r="AQ535">
        <f t="shared" si="60"/>
        <v>0</v>
      </c>
      <c r="AR535" s="8">
        <f t="shared" si="61"/>
        <v>0</v>
      </c>
      <c r="AS535">
        <f t="shared" si="62"/>
        <v>1</v>
      </c>
    </row>
    <row r="536" spans="1:45">
      <c r="A536" t="str">
        <f>Deals_Raw!A536</f>
        <v>D00605</v>
      </c>
      <c r="B536">
        <f>Deals_Raw!B536</f>
        <v>45407</v>
      </c>
      <c r="C536" t="str">
        <f>Deals_Raw!C536</f>
        <v>C0151</v>
      </c>
      <c r="D536" t="str">
        <f>Deals_Raw!D536</f>
        <v>LEG-0151</v>
      </c>
      <c r="E536" t="str">
        <f>Deals_Raw!E536</f>
        <v>CT00328</v>
      </c>
      <c r="F536" t="str">
        <f>Deals_Raw!F536</f>
        <v>Sales</v>
      </c>
      <c r="G536" t="str">
        <f>Deals_Raw!G536</f>
        <v>Legal</v>
      </c>
      <c r="H536" t="str">
        <f>Deals_Raw!H536</f>
        <v>South</v>
      </c>
      <c r="I536" t="str">
        <f>Deals_Raw!I536</f>
        <v>South Enterprise</v>
      </c>
      <c r="J536" t="str">
        <f>Deals_Raw!J536</f>
        <v>Enterprise</v>
      </c>
      <c r="K536" t="str">
        <f>Deals_Raw!K536</f>
        <v>No</v>
      </c>
      <c r="L536">
        <f>Deals_Raw!L536</f>
        <v>45323</v>
      </c>
      <c r="M536">
        <f>Deals_Raw!M536</f>
        <v>76</v>
      </c>
      <c r="N536" t="str">
        <f>Deals_Raw!N536</f>
        <v>Nexus Compliance</v>
      </c>
      <c r="O536" t="str">
        <f>Deals_Raw!O536</f>
        <v>New Business</v>
      </c>
      <c r="P536">
        <f>Deals_Raw!P536</f>
        <v>0</v>
      </c>
      <c r="Q536">
        <f>Deals_Raw!Q536</f>
        <v>1</v>
      </c>
      <c r="R536">
        <f>Deals_Raw!R536</f>
        <v>1941</v>
      </c>
      <c r="S536" t="str">
        <f>Deals_Raw!S536</f>
        <v>M. Johnson</v>
      </c>
      <c r="T536" s="6">
        <f>Deals_Raw!T536</f>
        <v>214431.98631329546</v>
      </c>
      <c r="U536" s="8">
        <f>Deals_Raw!V536</f>
        <v>0.13800000000000001</v>
      </c>
      <c r="V536" s="8">
        <f>Deals_Raw!W536</f>
        <v>0.10100000000000001</v>
      </c>
      <c r="W536" s="8">
        <f>Deals_Raw!X536</f>
        <v>-7.3999999999999996E-2</v>
      </c>
      <c r="X536" t="str">
        <f>Deals_Raw!Y536</f>
        <v>Verified competitor pressure</v>
      </c>
      <c r="Y536" t="str">
        <f>Deals_Raw!Z536</f>
        <v>Pricing Analyst</v>
      </c>
      <c r="Z536" s="6">
        <f>Deals_Raw!AA536</f>
        <v>192843.19088275003</v>
      </c>
      <c r="AA536" s="6">
        <f>Deals_Raw!AC536</f>
        <v>88806.783056351225</v>
      </c>
      <c r="AB536" s="6">
        <f>Deals_Raw!AD536</f>
        <v>104036.4078263988</v>
      </c>
      <c r="AC536" s="8">
        <f>Deals_Raw!AE536</f>
        <v>0.53948706900236709</v>
      </c>
      <c r="AD536" t="str">
        <f>Deals_Raw!AF536</f>
        <v>Lost</v>
      </c>
      <c r="AE536">
        <f>Deals_Raw!AG536</f>
        <v>0</v>
      </c>
      <c r="AF536">
        <f>Deals_Raw!AH536</f>
        <v>0</v>
      </c>
      <c r="AG536" t="str">
        <f>Deals_Raw!AI536</f>
        <v>No</v>
      </c>
      <c r="AH536" s="6">
        <f>Deals_Raw!AJ536</f>
        <v>0</v>
      </c>
      <c r="AI536" s="6">
        <f>Deals_Raw!AK536</f>
        <v>0</v>
      </c>
      <c r="AJ536" t="str">
        <f>Deals_Raw!AL536</f>
        <v>First purchase under this contract</v>
      </c>
      <c r="AK536" s="9">
        <f t="shared" si="56"/>
        <v>0.23333333333333334</v>
      </c>
      <c r="AL536" s="8">
        <f t="shared" si="57"/>
        <v>0.89932101174960366</v>
      </c>
      <c r="AM536" s="8">
        <f t="shared" si="58"/>
        <v>3.7000000000000005E-2</v>
      </c>
      <c r="AN536" t="str">
        <f>IF(AC536&lt;Pricing_Policy!$C$10,"Below Floor","Pass")</f>
        <v>Pass</v>
      </c>
      <c r="AO536" t="str">
        <f>IF(V536&gt;Pricing_Policy!$C$7,"Exception","Standard")</f>
        <v>Standard</v>
      </c>
      <c r="AP536" t="str">
        <f t="shared" si="59"/>
        <v>Pass</v>
      </c>
      <c r="AQ536">
        <f t="shared" si="60"/>
        <v>0</v>
      </c>
      <c r="AR536" s="8">
        <f t="shared" si="61"/>
        <v>0</v>
      </c>
      <c r="AS536">
        <f t="shared" si="62"/>
        <v>4</v>
      </c>
    </row>
    <row r="537" spans="1:45">
      <c r="A537" t="str">
        <f>Deals_Raw!A537</f>
        <v>D00606</v>
      </c>
      <c r="B537">
        <f>Deals_Raw!B537</f>
        <v>45579</v>
      </c>
      <c r="C537" t="str">
        <f>Deals_Raw!C537</f>
        <v>C0151</v>
      </c>
      <c r="D537" t="str">
        <f>Deals_Raw!D537</f>
        <v>LEG-0151</v>
      </c>
      <c r="E537" t="str">
        <f>Deals_Raw!E537</f>
        <v>CT00328</v>
      </c>
      <c r="F537" t="str">
        <f>Deals_Raw!F537</f>
        <v>Sales</v>
      </c>
      <c r="G537" t="str">
        <f>Deals_Raw!G537</f>
        <v>Legal</v>
      </c>
      <c r="H537" t="str">
        <f>Deals_Raw!H537</f>
        <v>South</v>
      </c>
      <c r="I537" t="str">
        <f>Deals_Raw!I537</f>
        <v>South Enterprise</v>
      </c>
      <c r="J537" t="str">
        <f>Deals_Raw!J537</f>
        <v>Enterprise</v>
      </c>
      <c r="K537" t="str">
        <f>Deals_Raw!K537</f>
        <v>No</v>
      </c>
      <c r="L537">
        <f>Deals_Raw!L537</f>
        <v>45323</v>
      </c>
      <c r="M537">
        <f>Deals_Raw!M537</f>
        <v>76</v>
      </c>
      <c r="N537" t="str">
        <f>Deals_Raw!N537</f>
        <v>Nexus Compliance</v>
      </c>
      <c r="O537" t="str">
        <f>Deals_Raw!O537</f>
        <v>Win-back</v>
      </c>
      <c r="P537">
        <f>Deals_Raw!P537</f>
        <v>0</v>
      </c>
      <c r="Q537">
        <f>Deals_Raw!Q537</f>
        <v>1</v>
      </c>
      <c r="R537">
        <f>Deals_Raw!R537</f>
        <v>1941</v>
      </c>
      <c r="S537" t="str">
        <f>Deals_Raw!S537</f>
        <v>L. Williams</v>
      </c>
      <c r="T537" s="6">
        <f>Deals_Raw!T537</f>
        <v>214431.98631329546</v>
      </c>
      <c r="U537" s="8">
        <f>Deals_Raw!V537</f>
        <v>0.25800000000000001</v>
      </c>
      <c r="V537" s="8">
        <f>Deals_Raw!W537</f>
        <v>0.253</v>
      </c>
      <c r="W537" s="8">
        <f>Deals_Raw!X537</f>
        <v>-1.4E-2</v>
      </c>
      <c r="X537" t="str">
        <f>Deals_Raw!Y537</f>
        <v>Renewal retention risk</v>
      </c>
      <c r="Y537" t="str">
        <f>Deals_Raw!Z537</f>
        <v>Business Manager</v>
      </c>
      <c r="Z537" s="6">
        <f>Deals_Raw!AA537</f>
        <v>160142.65230677204</v>
      </c>
      <c r="AA537" s="6">
        <f>Deals_Raw!AC537</f>
        <v>69369.519960466059</v>
      </c>
      <c r="AB537" s="6">
        <f>Deals_Raw!AD537</f>
        <v>90773.132346305982</v>
      </c>
      <c r="AC537" s="8">
        <f>Deals_Raw!AE537</f>
        <v>0.56682670755583209</v>
      </c>
      <c r="AD537" t="str">
        <f>Deals_Raw!AF537</f>
        <v>Won</v>
      </c>
      <c r="AE537">
        <f>Deals_Raw!AG537</f>
        <v>0</v>
      </c>
      <c r="AF537">
        <f>Deals_Raw!AH537</f>
        <v>0</v>
      </c>
      <c r="AG537" t="str">
        <f>Deals_Raw!AI537</f>
        <v>Yes</v>
      </c>
      <c r="AH537" s="6">
        <f>Deals_Raw!AJ537</f>
        <v>160142.65230677204</v>
      </c>
      <c r="AI537" s="6">
        <f>Deals_Raw!AK537</f>
        <v>90773.132346305982</v>
      </c>
      <c r="AJ537" t="str">
        <f>Deals_Raw!AL537</f>
        <v>Customer returned after prior lost initial opportunity</v>
      </c>
      <c r="AK537" s="9">
        <f t="shared" si="56"/>
        <v>0.70277777777777772</v>
      </c>
      <c r="AL537" s="8">
        <f t="shared" si="57"/>
        <v>0.74682259424112185</v>
      </c>
      <c r="AM537" s="8">
        <f t="shared" si="58"/>
        <v>5.0000000000000044E-3</v>
      </c>
      <c r="AN537" t="str">
        <f>IF(AC537&lt;Pricing_Policy!$C$10,"Below Floor","Pass")</f>
        <v>Pass</v>
      </c>
      <c r="AO537" t="str">
        <f>IF(V537&gt;Pricing_Policy!$C$7,"Exception","Standard")</f>
        <v>Standard</v>
      </c>
      <c r="AP537" t="str">
        <f t="shared" si="59"/>
        <v>Pass</v>
      </c>
      <c r="AQ537">
        <f t="shared" si="60"/>
        <v>1</v>
      </c>
      <c r="AR537" s="8">
        <f t="shared" si="61"/>
        <v>0.56682670755583209</v>
      </c>
      <c r="AS537">
        <f t="shared" si="62"/>
        <v>4</v>
      </c>
    </row>
    <row r="538" spans="1:45">
      <c r="A538" t="str">
        <f>Deals_Raw!A538</f>
        <v>D00607</v>
      </c>
      <c r="B538">
        <f>Deals_Raw!B538</f>
        <v>45758</v>
      </c>
      <c r="C538" t="str">
        <f>Deals_Raw!C538</f>
        <v>C0151</v>
      </c>
      <c r="D538" t="str">
        <f>Deals_Raw!D538</f>
        <v>LEG-0151</v>
      </c>
      <c r="E538" t="str">
        <f>Deals_Raw!E538</f>
        <v>CT00328</v>
      </c>
      <c r="F538" t="str">
        <f>Deals_Raw!F538</f>
        <v>Sales</v>
      </c>
      <c r="G538" t="str">
        <f>Deals_Raw!G538</f>
        <v>Legal</v>
      </c>
      <c r="H538" t="str">
        <f>Deals_Raw!H538</f>
        <v>South</v>
      </c>
      <c r="I538" t="str">
        <f>Deals_Raw!I538</f>
        <v>South Enterprise</v>
      </c>
      <c r="J538" t="str">
        <f>Deals_Raw!J538</f>
        <v>Enterprise</v>
      </c>
      <c r="K538" t="str">
        <f>Deals_Raw!K538</f>
        <v>No</v>
      </c>
      <c r="L538">
        <f>Deals_Raw!L538</f>
        <v>45323</v>
      </c>
      <c r="M538">
        <f>Deals_Raw!M538</f>
        <v>76</v>
      </c>
      <c r="N538" t="str">
        <f>Deals_Raw!N538</f>
        <v>Nexus Compliance</v>
      </c>
      <c r="O538" t="str">
        <f>Deals_Raw!O538</f>
        <v>Expansion</v>
      </c>
      <c r="P538" t="str">
        <f>Deals_Raw!P538</f>
        <v>Multi-year Extension</v>
      </c>
      <c r="Q538">
        <f>Deals_Raw!Q538</f>
        <v>1</v>
      </c>
      <c r="R538">
        <f>Deals_Raw!R538</f>
        <v>2267</v>
      </c>
      <c r="S538" t="str">
        <f>Deals_Raw!S538</f>
        <v>D. Chen</v>
      </c>
      <c r="T538" s="6">
        <f>Deals_Raw!T538</f>
        <v>244206.66285960664</v>
      </c>
      <c r="U538" s="8">
        <f>Deals_Raw!V538</f>
        <v>5.6000000000000001E-2</v>
      </c>
      <c r="V538" s="8">
        <f>Deals_Raw!W538</f>
        <v>1.7999999999999999E-2</v>
      </c>
      <c r="W538" s="8">
        <f>Deals_Raw!X538</f>
        <v>-4.9000000000000002E-2</v>
      </c>
      <c r="X538" t="str">
        <f>Deals_Raw!Y538</f>
        <v>Expansion opportunity</v>
      </c>
      <c r="Y538" t="str">
        <f>Deals_Raw!Z538</f>
        <v>Sales Manager</v>
      </c>
      <c r="Z538" s="6">
        <f>Deals_Raw!AA538</f>
        <v>239848.5402798334</v>
      </c>
      <c r="AA538" s="6">
        <f>Deals_Raw!AC538</f>
        <v>84437.487718338773</v>
      </c>
      <c r="AB538" s="6">
        <f>Deals_Raw!AD538</f>
        <v>155411.05256149464</v>
      </c>
      <c r="AC538" s="8">
        <f>Deals_Raw!AE538</f>
        <v>0.64795496516332851</v>
      </c>
      <c r="AD538" t="str">
        <f>Deals_Raw!AF538</f>
        <v>Won</v>
      </c>
      <c r="AE538">
        <f>Deals_Raw!AG538</f>
        <v>0</v>
      </c>
      <c r="AF538" t="str">
        <f>Deals_Raw!AH538</f>
        <v>Yes</v>
      </c>
      <c r="AG538" t="str">
        <f>Deals_Raw!AI538</f>
        <v>No</v>
      </c>
      <c r="AH538" s="6">
        <f>Deals_Raw!AJ538</f>
        <v>239848.5402798334</v>
      </c>
      <c r="AI538" s="6">
        <f>Deals_Raw!AK538</f>
        <v>155411.05256149464</v>
      </c>
      <c r="AJ538" t="str">
        <f>Deals_Raw!AL538</f>
        <v>Expansion allowed because contract was active</v>
      </c>
      <c r="AK538" s="9">
        <f t="shared" si="56"/>
        <v>1.1944444444444444</v>
      </c>
      <c r="AL538" s="8">
        <f t="shared" si="57"/>
        <v>0.98215395710853837</v>
      </c>
      <c r="AM538" s="8">
        <f t="shared" si="58"/>
        <v>3.8000000000000006E-2</v>
      </c>
      <c r="AN538" t="str">
        <f>IF(AC538&lt;Pricing_Policy!$C$10,"Below Floor","Pass")</f>
        <v>Pass</v>
      </c>
      <c r="AO538" t="str">
        <f>IF(V538&gt;Pricing_Policy!$C$7,"Exception","Standard")</f>
        <v>Standard</v>
      </c>
      <c r="AP538" t="str">
        <f t="shared" si="59"/>
        <v>Pass</v>
      </c>
      <c r="AQ538">
        <f t="shared" si="60"/>
        <v>1</v>
      </c>
      <c r="AR538" s="8">
        <f t="shared" si="61"/>
        <v>0.64795496516332851</v>
      </c>
      <c r="AS538">
        <f t="shared" si="62"/>
        <v>4</v>
      </c>
    </row>
    <row r="539" spans="1:45">
      <c r="A539" t="str">
        <f>Deals_Raw!A539</f>
        <v>D00608</v>
      </c>
      <c r="B539">
        <f>Deals_Raw!B539</f>
        <v>45944</v>
      </c>
      <c r="C539" t="str">
        <f>Deals_Raw!C539</f>
        <v>C0151</v>
      </c>
      <c r="D539" t="str">
        <f>Deals_Raw!D539</f>
        <v>LEG-0151</v>
      </c>
      <c r="E539" t="str">
        <f>Deals_Raw!E539</f>
        <v>CT00328</v>
      </c>
      <c r="F539" t="str">
        <f>Deals_Raw!F539</f>
        <v>Sales</v>
      </c>
      <c r="G539" t="str">
        <f>Deals_Raw!G539</f>
        <v>Legal</v>
      </c>
      <c r="H539" t="str">
        <f>Deals_Raw!H539</f>
        <v>South</v>
      </c>
      <c r="I539" t="str">
        <f>Deals_Raw!I539</f>
        <v>South Enterprise</v>
      </c>
      <c r="J539" t="str">
        <f>Deals_Raw!J539</f>
        <v>Enterprise</v>
      </c>
      <c r="K539" t="str">
        <f>Deals_Raw!K539</f>
        <v>No</v>
      </c>
      <c r="L539">
        <f>Deals_Raw!L539</f>
        <v>45323</v>
      </c>
      <c r="M539">
        <f>Deals_Raw!M539</f>
        <v>76</v>
      </c>
      <c r="N539" t="str">
        <f>Deals_Raw!N539</f>
        <v>Nexus Compliance</v>
      </c>
      <c r="O539" t="str">
        <f>Deals_Raw!O539</f>
        <v>Renewal</v>
      </c>
      <c r="P539">
        <f>Deals_Raw!P539</f>
        <v>0</v>
      </c>
      <c r="Q539">
        <f>Deals_Raw!Q539</f>
        <v>1</v>
      </c>
      <c r="R539">
        <f>Deals_Raw!R539</f>
        <v>2267</v>
      </c>
      <c r="S539" t="str">
        <f>Deals_Raw!S539</f>
        <v>A. Patel</v>
      </c>
      <c r="T539" s="6">
        <f>Deals_Raw!T539</f>
        <v>258796.66236506862</v>
      </c>
      <c r="U539" s="8">
        <f>Deals_Raw!V539</f>
        <v>0.13100000000000001</v>
      </c>
      <c r="V539" s="8">
        <f>Deals_Raw!W539</f>
        <v>8.6999999999999994E-2</v>
      </c>
      <c r="W539" s="8">
        <f>Deals_Raw!X539</f>
        <v>3.5000000000000003E-2</v>
      </c>
      <c r="X539" t="str">
        <f>Deals_Raw!Y539</f>
        <v>Expansion opportunity</v>
      </c>
      <c r="Y539" t="str">
        <f>Deals_Raw!Z539</f>
        <v>Sales Manager</v>
      </c>
      <c r="Z539" s="6">
        <f>Deals_Raw!AA539</f>
        <v>236257.51132670938</v>
      </c>
      <c r="AA539" s="6">
        <f>Deals_Raw!AC539</f>
        <v>85999.546342930596</v>
      </c>
      <c r="AB539" s="6">
        <f>Deals_Raw!AD539</f>
        <v>150257.96498377877</v>
      </c>
      <c r="AC539" s="8">
        <f>Deals_Raw!AE539</f>
        <v>0.63599232947135431</v>
      </c>
      <c r="AD539" t="str">
        <f>Deals_Raw!AF539</f>
        <v>Lost</v>
      </c>
      <c r="AE539" t="str">
        <f>Deals_Raw!AG539</f>
        <v>No</v>
      </c>
      <c r="AF539">
        <f>Deals_Raw!AH539</f>
        <v>0</v>
      </c>
      <c r="AG539" t="str">
        <f>Deals_Raw!AI539</f>
        <v>No</v>
      </c>
      <c r="AH539" s="6">
        <f>Deals_Raw!AJ539</f>
        <v>0</v>
      </c>
      <c r="AI539" s="6">
        <f>Deals_Raw!AK539</f>
        <v>0</v>
      </c>
      <c r="AJ539" t="str">
        <f>Deals_Raw!AL539</f>
        <v>Renewal of existing active contract</v>
      </c>
      <c r="AK539" s="9">
        <f t="shared" si="56"/>
        <v>1.7027777777777777</v>
      </c>
      <c r="AL539" s="8">
        <f t="shared" si="57"/>
        <v>0.9129078758884277</v>
      </c>
      <c r="AM539" s="8">
        <f t="shared" si="58"/>
        <v>4.4000000000000011E-2</v>
      </c>
      <c r="AN539" t="str">
        <f>IF(AC539&lt;Pricing_Policy!$C$10,"Below Floor","Pass")</f>
        <v>Pass</v>
      </c>
      <c r="AO539" t="str">
        <f>IF(V539&gt;Pricing_Policy!$C$7,"Exception","Standard")</f>
        <v>Standard</v>
      </c>
      <c r="AP539" t="str">
        <f t="shared" si="59"/>
        <v>Pass</v>
      </c>
      <c r="AQ539">
        <f t="shared" si="60"/>
        <v>0</v>
      </c>
      <c r="AR539" s="8">
        <f t="shared" si="61"/>
        <v>0</v>
      </c>
      <c r="AS539">
        <f t="shared" si="62"/>
        <v>4</v>
      </c>
    </row>
    <row r="540" spans="1:45">
      <c r="A540" t="str">
        <f>Deals_Raw!A540</f>
        <v>D00609</v>
      </c>
      <c r="B540">
        <f>Deals_Raw!B540</f>
        <v>45796</v>
      </c>
      <c r="C540" t="str">
        <f>Deals_Raw!C540</f>
        <v>C0151</v>
      </c>
      <c r="D540" t="str">
        <f>Deals_Raw!D540</f>
        <v>LEG-0151</v>
      </c>
      <c r="E540" t="str">
        <f>Deals_Raw!E540</f>
        <v>CT00329</v>
      </c>
      <c r="F540" t="str">
        <f>Deals_Raw!F540</f>
        <v>Operations</v>
      </c>
      <c r="G540" t="str">
        <f>Deals_Raw!G540</f>
        <v>Legal</v>
      </c>
      <c r="H540" t="str">
        <f>Deals_Raw!H540</f>
        <v>South</v>
      </c>
      <c r="I540" t="str">
        <f>Deals_Raw!I540</f>
        <v>South Enterprise</v>
      </c>
      <c r="J540" t="str">
        <f>Deals_Raw!J540</f>
        <v>Enterprise</v>
      </c>
      <c r="K540" t="str">
        <f>Deals_Raw!K540</f>
        <v>No</v>
      </c>
      <c r="L540">
        <f>Deals_Raw!L540</f>
        <v>45323</v>
      </c>
      <c r="M540">
        <f>Deals_Raw!M540</f>
        <v>76</v>
      </c>
      <c r="N540" t="str">
        <f>Deals_Raw!N540</f>
        <v>Nexus Analytics</v>
      </c>
      <c r="O540" t="str">
        <f>Deals_Raw!O540</f>
        <v>New Business</v>
      </c>
      <c r="P540">
        <f>Deals_Raw!P540</f>
        <v>0</v>
      </c>
      <c r="Q540">
        <f>Deals_Raw!Q540</f>
        <v>3</v>
      </c>
      <c r="R540">
        <f>Deals_Raw!R540</f>
        <v>1339</v>
      </c>
      <c r="S540" t="str">
        <f>Deals_Raw!S540</f>
        <v>R. Singh</v>
      </c>
      <c r="T540" s="6">
        <f>Deals_Raw!T540</f>
        <v>136938.93279782895</v>
      </c>
      <c r="U540" s="8">
        <f>Deals_Raw!V540</f>
        <v>0.17100000000000001</v>
      </c>
      <c r="V540" s="8">
        <f>Deals_Raw!W540</f>
        <v>0.13100000000000001</v>
      </c>
      <c r="W540" s="8">
        <f>Deals_Raw!X540</f>
        <v>-5.7000000000000002E-2</v>
      </c>
      <c r="X540" t="str">
        <f>Deals_Raw!Y540</f>
        <v>Expansion opportunity</v>
      </c>
      <c r="Y540" t="str">
        <f>Deals_Raw!Z540</f>
        <v>Pricing Analyst</v>
      </c>
      <c r="Z540" s="6">
        <f>Deals_Raw!AA540</f>
        <v>119051.91361301167</v>
      </c>
      <c r="AA540" s="6">
        <f>Deals_Raw!AC540</f>
        <v>50148.322578005915</v>
      </c>
      <c r="AB540" s="6">
        <f>Deals_Raw!AD540</f>
        <v>68903.591035005753</v>
      </c>
      <c r="AC540" s="8">
        <f>Deals_Raw!AE540</f>
        <v>0.57876928596866328</v>
      </c>
      <c r="AD540" t="str">
        <f>Deals_Raw!AF540</f>
        <v>Won</v>
      </c>
      <c r="AE540">
        <f>Deals_Raw!AG540</f>
        <v>0</v>
      </c>
      <c r="AF540">
        <f>Deals_Raw!AH540</f>
        <v>0</v>
      </c>
      <c r="AG540" t="str">
        <f>Deals_Raw!AI540</f>
        <v>No</v>
      </c>
      <c r="AH540" s="6">
        <f>Deals_Raw!AJ540</f>
        <v>119051.91361301167</v>
      </c>
      <c r="AI540" s="6">
        <f>Deals_Raw!AK540</f>
        <v>68903.591035005753</v>
      </c>
      <c r="AJ540" t="str">
        <f>Deals_Raw!AL540</f>
        <v>First purchase under this contract</v>
      </c>
      <c r="AK540" s="9">
        <f t="shared" si="56"/>
        <v>1.3</v>
      </c>
      <c r="AL540" s="8">
        <f t="shared" si="57"/>
        <v>0.8693795926449569</v>
      </c>
      <c r="AM540" s="8">
        <f t="shared" si="58"/>
        <v>4.0000000000000008E-2</v>
      </c>
      <c r="AN540" t="str">
        <f>IF(AC540&lt;Pricing_Policy!$C$10,"Below Floor","Pass")</f>
        <v>Pass</v>
      </c>
      <c r="AO540" t="str">
        <f>IF(V540&gt;Pricing_Policy!$C$7,"Exception","Standard")</f>
        <v>Standard</v>
      </c>
      <c r="AP540" t="str">
        <f t="shared" si="59"/>
        <v>Pass</v>
      </c>
      <c r="AQ540">
        <f t="shared" si="60"/>
        <v>1</v>
      </c>
      <c r="AR540" s="8">
        <f t="shared" si="61"/>
        <v>0.57876928596866328</v>
      </c>
      <c r="AS540">
        <f t="shared" si="62"/>
        <v>1</v>
      </c>
    </row>
    <row r="541" spans="1:45">
      <c r="A541" t="str">
        <f>Deals_Raw!A541</f>
        <v>D00611</v>
      </c>
      <c r="B541">
        <f>Deals_Raw!B541</f>
        <v>45470</v>
      </c>
      <c r="C541" t="str">
        <f>Deals_Raw!C541</f>
        <v>C0152</v>
      </c>
      <c r="D541" t="str">
        <f>Deals_Raw!D541</f>
        <v>HEA-0152</v>
      </c>
      <c r="E541" t="str">
        <f>Deals_Raw!E541</f>
        <v>CT00330</v>
      </c>
      <c r="F541" t="str">
        <f>Deals_Raw!F541</f>
        <v>Sales</v>
      </c>
      <c r="G541" t="str">
        <f>Deals_Raw!G541</f>
        <v>Healthcare</v>
      </c>
      <c r="H541" t="str">
        <f>Deals_Raw!H541</f>
        <v>Midwest</v>
      </c>
      <c r="I541" t="str">
        <f>Deals_Raw!I541</f>
        <v>Midwest Enterprise</v>
      </c>
      <c r="J541" t="str">
        <f>Deals_Raw!J541</f>
        <v>Enterprise</v>
      </c>
      <c r="K541" t="str">
        <f>Deals_Raw!K541</f>
        <v>No</v>
      </c>
      <c r="L541">
        <f>Deals_Raw!L541</f>
        <v>44621</v>
      </c>
      <c r="M541">
        <f>Deals_Raw!M541</f>
        <v>74</v>
      </c>
      <c r="N541" t="str">
        <f>Deals_Raw!N541</f>
        <v>Nexus Analytics</v>
      </c>
      <c r="O541" t="str">
        <f>Deals_Raw!O541</f>
        <v>Renewal</v>
      </c>
      <c r="P541">
        <f>Deals_Raw!P541</f>
        <v>0</v>
      </c>
      <c r="Q541">
        <f>Deals_Raw!Q541</f>
        <v>1</v>
      </c>
      <c r="R541">
        <f>Deals_Raw!R541</f>
        <v>923</v>
      </c>
      <c r="S541" t="str">
        <f>Deals_Raw!S541</f>
        <v>R. Singh</v>
      </c>
      <c r="T541" s="6">
        <f>Deals_Raw!T541</f>
        <v>183146.07303362791</v>
      </c>
      <c r="U541" s="8">
        <f>Deals_Raw!V541</f>
        <v>0</v>
      </c>
      <c r="V541" s="8">
        <f>Deals_Raw!W541</f>
        <v>0</v>
      </c>
      <c r="W541" s="8">
        <f>Deals_Raw!X541</f>
        <v>-0.05</v>
      </c>
      <c r="X541" t="str">
        <f>Deals_Raw!Y541</f>
        <v>Budget constraint</v>
      </c>
      <c r="Y541" t="str">
        <f>Deals_Raw!Z541</f>
        <v>Sales Manager</v>
      </c>
      <c r="Z541" s="6">
        <f>Deals_Raw!AA541</f>
        <v>183146.07303362791</v>
      </c>
      <c r="AA541" s="6">
        <f>Deals_Raw!AC541</f>
        <v>52482.699182764307</v>
      </c>
      <c r="AB541" s="6">
        <f>Deals_Raw!AD541</f>
        <v>130663.3738508636</v>
      </c>
      <c r="AC541" s="8">
        <f>Deals_Raw!AE541</f>
        <v>0.71343803165723441</v>
      </c>
      <c r="AD541" t="str">
        <f>Deals_Raw!AF541</f>
        <v>Won</v>
      </c>
      <c r="AE541" t="str">
        <f>Deals_Raw!AG541</f>
        <v>Yes</v>
      </c>
      <c r="AF541">
        <f>Deals_Raw!AH541</f>
        <v>0</v>
      </c>
      <c r="AG541" t="str">
        <f>Deals_Raw!AI541</f>
        <v>No</v>
      </c>
      <c r="AH541" s="6">
        <f>Deals_Raw!AJ541</f>
        <v>183146.07303362791</v>
      </c>
      <c r="AI541" s="6">
        <f>Deals_Raw!AK541</f>
        <v>130663.3738508636</v>
      </c>
      <c r="AJ541" t="str">
        <f>Deals_Raw!AL541</f>
        <v>Renewal of existing active contract</v>
      </c>
      <c r="AK541" s="9">
        <f t="shared" si="56"/>
        <v>2.3222222222222224</v>
      </c>
      <c r="AL541" s="8">
        <f t="shared" si="57"/>
        <v>1</v>
      </c>
      <c r="AM541" s="8">
        <f t="shared" si="58"/>
        <v>0</v>
      </c>
      <c r="AN541" t="str">
        <f>IF(AC541&lt;Pricing_Policy!$C$10,"Below Floor","Pass")</f>
        <v>Pass</v>
      </c>
      <c r="AO541" t="str">
        <f>IF(V541&gt;Pricing_Policy!$C$7,"Exception","Standard")</f>
        <v>Standard</v>
      </c>
      <c r="AP541" t="str">
        <f t="shared" si="59"/>
        <v>Pass</v>
      </c>
      <c r="AQ541">
        <f t="shared" si="60"/>
        <v>1</v>
      </c>
      <c r="AR541" s="8">
        <f t="shared" si="61"/>
        <v>0.71343803165723441</v>
      </c>
      <c r="AS541">
        <f t="shared" si="62"/>
        <v>7</v>
      </c>
    </row>
    <row r="542" spans="1:45">
      <c r="A542" t="str">
        <f>Deals_Raw!A542</f>
        <v>D00612</v>
      </c>
      <c r="B542">
        <f>Deals_Raw!B542</f>
        <v>45835</v>
      </c>
      <c r="C542" t="str">
        <f>Deals_Raw!C542</f>
        <v>C0152</v>
      </c>
      <c r="D542" t="str">
        <f>Deals_Raw!D542</f>
        <v>HEA-0152</v>
      </c>
      <c r="E542" t="str">
        <f>Deals_Raw!E542</f>
        <v>CT00330</v>
      </c>
      <c r="F542" t="str">
        <f>Deals_Raw!F542</f>
        <v>Sales</v>
      </c>
      <c r="G542" t="str">
        <f>Deals_Raw!G542</f>
        <v>Healthcare</v>
      </c>
      <c r="H542" t="str">
        <f>Deals_Raw!H542</f>
        <v>Midwest</v>
      </c>
      <c r="I542" t="str">
        <f>Deals_Raw!I542</f>
        <v>Midwest Enterprise</v>
      </c>
      <c r="J542" t="str">
        <f>Deals_Raw!J542</f>
        <v>Enterprise</v>
      </c>
      <c r="K542" t="str">
        <f>Deals_Raw!K542</f>
        <v>No</v>
      </c>
      <c r="L542">
        <f>Deals_Raw!L542</f>
        <v>44621</v>
      </c>
      <c r="M542">
        <f>Deals_Raw!M542</f>
        <v>74</v>
      </c>
      <c r="N542" t="str">
        <f>Deals_Raw!N542</f>
        <v>Nexus Analytics</v>
      </c>
      <c r="O542" t="str">
        <f>Deals_Raw!O542</f>
        <v>Renewal</v>
      </c>
      <c r="P542">
        <f>Deals_Raw!P542</f>
        <v>0</v>
      </c>
      <c r="Q542">
        <f>Deals_Raw!Q542</f>
        <v>1</v>
      </c>
      <c r="R542">
        <f>Deals_Raw!R542</f>
        <v>923</v>
      </c>
      <c r="S542" t="str">
        <f>Deals_Raw!S542</f>
        <v>S. Rivera</v>
      </c>
      <c r="T542" s="6">
        <f>Deals_Raw!T542</f>
        <v>188936.24177923886</v>
      </c>
      <c r="U542" s="8">
        <f>Deals_Raw!V542</f>
        <v>0.18</v>
      </c>
      <c r="V542" s="8">
        <f>Deals_Raw!W542</f>
        <v>0.16</v>
      </c>
      <c r="W542" s="8">
        <f>Deals_Raw!X542</f>
        <v>-5.6000000000000001E-2</v>
      </c>
      <c r="X542" t="str">
        <f>Deals_Raw!Y542</f>
        <v>Volume purchase</v>
      </c>
      <c r="Y542" t="str">
        <f>Deals_Raw!Z542</f>
        <v>Pricing Analyst</v>
      </c>
      <c r="Z542" s="6">
        <f>Deals_Raw!AA542</f>
        <v>158763.93254273388</v>
      </c>
      <c r="AA542" s="6">
        <f>Deals_Raw!AC542</f>
        <v>56651.536992567046</v>
      </c>
      <c r="AB542" s="6">
        <f>Deals_Raw!AD542</f>
        <v>102112.39555016684</v>
      </c>
      <c r="AC542" s="8">
        <f>Deals_Raw!AE542</f>
        <v>0.6431712411928423</v>
      </c>
      <c r="AD542" t="str">
        <f>Deals_Raw!AF542</f>
        <v>Lost</v>
      </c>
      <c r="AE542" t="str">
        <f>Deals_Raw!AG542</f>
        <v>No</v>
      </c>
      <c r="AF542">
        <f>Deals_Raw!AH542</f>
        <v>0</v>
      </c>
      <c r="AG542" t="str">
        <f>Deals_Raw!AI542</f>
        <v>No</v>
      </c>
      <c r="AH542" s="6">
        <f>Deals_Raw!AJ542</f>
        <v>0</v>
      </c>
      <c r="AI542" s="6">
        <f>Deals_Raw!AK542</f>
        <v>0</v>
      </c>
      <c r="AJ542" t="str">
        <f>Deals_Raw!AL542</f>
        <v>Renewal of existing active contract</v>
      </c>
      <c r="AK542" s="9">
        <f t="shared" si="56"/>
        <v>3.3222222222222224</v>
      </c>
      <c r="AL542" s="8">
        <f t="shared" si="57"/>
        <v>0.84030427962169596</v>
      </c>
      <c r="AM542" s="8">
        <f t="shared" si="58"/>
        <v>1.999999999999999E-2</v>
      </c>
      <c r="AN542" t="str">
        <f>IF(AC542&lt;Pricing_Policy!$C$10,"Below Floor","Pass")</f>
        <v>Pass</v>
      </c>
      <c r="AO542" t="str">
        <f>IF(V542&gt;Pricing_Policy!$C$7,"Exception","Standard")</f>
        <v>Standard</v>
      </c>
      <c r="AP542" t="str">
        <f t="shared" si="59"/>
        <v>Pass</v>
      </c>
      <c r="AQ542">
        <f t="shared" si="60"/>
        <v>0</v>
      </c>
      <c r="AR542" s="8">
        <f t="shared" si="61"/>
        <v>0</v>
      </c>
      <c r="AS542">
        <f t="shared" si="62"/>
        <v>7</v>
      </c>
    </row>
    <row r="543" spans="1:45">
      <c r="A543" t="str">
        <f>Deals_Raw!A543</f>
        <v>D00613</v>
      </c>
      <c r="B543">
        <f>Deals_Raw!B543</f>
        <v>45636</v>
      </c>
      <c r="C543" t="str">
        <f>Deals_Raw!C543</f>
        <v>C0152</v>
      </c>
      <c r="D543" t="str">
        <f>Deals_Raw!D543</f>
        <v>HEA-0152</v>
      </c>
      <c r="E543" t="str">
        <f>Deals_Raw!E543</f>
        <v>CT00331</v>
      </c>
      <c r="F543" t="str">
        <f>Deals_Raw!F543</f>
        <v>Technology</v>
      </c>
      <c r="G543" t="str">
        <f>Deals_Raw!G543</f>
        <v>Healthcare</v>
      </c>
      <c r="H543" t="str">
        <f>Deals_Raw!H543</f>
        <v>Midwest</v>
      </c>
      <c r="I543" t="str">
        <f>Deals_Raw!I543</f>
        <v>Midwest Enterprise</v>
      </c>
      <c r="J543" t="str">
        <f>Deals_Raw!J543</f>
        <v>Enterprise</v>
      </c>
      <c r="K543" t="str">
        <f>Deals_Raw!K543</f>
        <v>No</v>
      </c>
      <c r="L543">
        <f>Deals_Raw!L543</f>
        <v>44621</v>
      </c>
      <c r="M543">
        <f>Deals_Raw!M543</f>
        <v>74</v>
      </c>
      <c r="N543" t="str">
        <f>Deals_Raw!N543</f>
        <v>Nexus Insights</v>
      </c>
      <c r="O543" t="str">
        <f>Deals_Raw!O543</f>
        <v>New Business</v>
      </c>
      <c r="P543">
        <f>Deals_Raw!P543</f>
        <v>0</v>
      </c>
      <c r="Q543">
        <f>Deals_Raw!Q543</f>
        <v>1</v>
      </c>
      <c r="R543">
        <f>Deals_Raw!R543</f>
        <v>1099</v>
      </c>
      <c r="S543" t="str">
        <f>Deals_Raw!S543</f>
        <v>S. Rivera</v>
      </c>
      <c r="T543" s="6">
        <f>Deals_Raw!T543</f>
        <v>81605.491063080437</v>
      </c>
      <c r="U543" s="8">
        <f>Deals_Raw!V543</f>
        <v>0.124</v>
      </c>
      <c r="V543" s="8">
        <f>Deals_Raw!W543</f>
        <v>9.6000000000000002E-2</v>
      </c>
      <c r="W543" s="8">
        <f>Deals_Raw!X543</f>
        <v>1.4999999999999999E-2</v>
      </c>
      <c r="X543" t="str">
        <f>Deals_Raw!Y543</f>
        <v>Multi-year commitment</v>
      </c>
      <c r="Y543" t="str">
        <f>Deals_Raw!Z543</f>
        <v>Sales Manager</v>
      </c>
      <c r="Z543" s="6">
        <f>Deals_Raw!AA543</f>
        <v>73805.015660853183</v>
      </c>
      <c r="AA543" s="6">
        <f>Deals_Raw!AC543</f>
        <v>28424.723874404284</v>
      </c>
      <c r="AB543" s="6">
        <f>Deals_Raw!AD543</f>
        <v>45380.291786448899</v>
      </c>
      <c r="AC543" s="8">
        <f>Deals_Raw!AE543</f>
        <v>0.61486731464131372</v>
      </c>
      <c r="AD543" t="str">
        <f>Deals_Raw!AF543</f>
        <v>Won</v>
      </c>
      <c r="AE543">
        <f>Deals_Raw!AG543</f>
        <v>0</v>
      </c>
      <c r="AF543">
        <f>Deals_Raw!AH543</f>
        <v>0</v>
      </c>
      <c r="AG543" t="str">
        <f>Deals_Raw!AI543</f>
        <v>No</v>
      </c>
      <c r="AH543" s="6">
        <f>Deals_Raw!AJ543</f>
        <v>73805.015660853183</v>
      </c>
      <c r="AI543" s="6">
        <f>Deals_Raw!AK543</f>
        <v>45380.291786448899</v>
      </c>
      <c r="AJ543" t="str">
        <f>Deals_Raw!AL543</f>
        <v>First purchase under this contract</v>
      </c>
      <c r="AK543" s="9">
        <f t="shared" si="56"/>
        <v>2.7749999999999999</v>
      </c>
      <c r="AL543" s="8">
        <f t="shared" si="57"/>
        <v>0.90441237102295546</v>
      </c>
      <c r="AM543" s="8">
        <f t="shared" si="58"/>
        <v>2.7999999999999997E-2</v>
      </c>
      <c r="AN543" t="str">
        <f>IF(AC543&lt;Pricing_Policy!$C$10,"Below Floor","Pass")</f>
        <v>Pass</v>
      </c>
      <c r="AO543" t="str">
        <f>IF(V543&gt;Pricing_Policy!$C$7,"Exception","Standard")</f>
        <v>Standard</v>
      </c>
      <c r="AP543" t="str">
        <f t="shared" si="59"/>
        <v>Pass</v>
      </c>
      <c r="AQ543">
        <f t="shared" si="60"/>
        <v>1</v>
      </c>
      <c r="AR543" s="8">
        <f t="shared" si="61"/>
        <v>0.61486731464131372</v>
      </c>
      <c r="AS543">
        <f t="shared" si="62"/>
        <v>3</v>
      </c>
    </row>
    <row r="544" spans="1:45">
      <c r="A544" t="str">
        <f>Deals_Raw!A544</f>
        <v>D00614</v>
      </c>
      <c r="B544">
        <f>Deals_Raw!B544</f>
        <v>45767</v>
      </c>
      <c r="C544" t="str">
        <f>Deals_Raw!C544</f>
        <v>C0152</v>
      </c>
      <c r="D544" t="str">
        <f>Deals_Raw!D544</f>
        <v>HEA-0152</v>
      </c>
      <c r="E544" t="str">
        <f>Deals_Raw!E544</f>
        <v>CT00331</v>
      </c>
      <c r="F544" t="str">
        <f>Deals_Raw!F544</f>
        <v>Technology</v>
      </c>
      <c r="G544" t="str">
        <f>Deals_Raw!G544</f>
        <v>Healthcare</v>
      </c>
      <c r="H544" t="str">
        <f>Deals_Raw!H544</f>
        <v>Midwest</v>
      </c>
      <c r="I544" t="str">
        <f>Deals_Raw!I544</f>
        <v>Midwest Enterprise</v>
      </c>
      <c r="J544" t="str">
        <f>Deals_Raw!J544</f>
        <v>Enterprise</v>
      </c>
      <c r="K544" t="str">
        <f>Deals_Raw!K544</f>
        <v>No</v>
      </c>
      <c r="L544">
        <f>Deals_Raw!L544</f>
        <v>44621</v>
      </c>
      <c r="M544">
        <f>Deals_Raw!M544</f>
        <v>74</v>
      </c>
      <c r="N544" t="str">
        <f>Deals_Raw!N544</f>
        <v>Nexus Insights</v>
      </c>
      <c r="O544" t="str">
        <f>Deals_Raw!O544</f>
        <v>Expansion</v>
      </c>
      <c r="P544" t="str">
        <f>Deals_Raw!P544</f>
        <v>Storage / Usage Expansion</v>
      </c>
      <c r="Q544">
        <f>Deals_Raw!Q544</f>
        <v>1</v>
      </c>
      <c r="R544">
        <f>Deals_Raw!R544</f>
        <v>1452</v>
      </c>
      <c r="S544" t="str">
        <f>Deals_Raw!S544</f>
        <v>K. Nguyen</v>
      </c>
      <c r="T544" s="6">
        <f>Deals_Raw!T544</f>
        <v>105724.41849949768</v>
      </c>
      <c r="U544" s="8">
        <f>Deals_Raw!V544</f>
        <v>0.10100000000000001</v>
      </c>
      <c r="V544" s="8">
        <f>Deals_Raw!W544</f>
        <v>8.1000000000000003E-2</v>
      </c>
      <c r="W544" s="8">
        <f>Deals_Raw!X544</f>
        <v>-2.3E-2</v>
      </c>
      <c r="X544" t="str">
        <f>Deals_Raw!Y544</f>
        <v>Expansion opportunity</v>
      </c>
      <c r="Y544" t="str">
        <f>Deals_Raw!Z544</f>
        <v>Sales Manager</v>
      </c>
      <c r="Z544" s="6">
        <f>Deals_Raw!AA544</f>
        <v>97166.128918179034</v>
      </c>
      <c r="AA544" s="6">
        <f>Deals_Raw!AC544</f>
        <v>30456.614592198737</v>
      </c>
      <c r="AB544" s="6">
        <f>Deals_Raw!AD544</f>
        <v>66709.514325980301</v>
      </c>
      <c r="AC544" s="8">
        <f>Deals_Raw!AE544</f>
        <v>0.68655111682132131</v>
      </c>
      <c r="AD544" t="str">
        <f>Deals_Raw!AF544</f>
        <v>Won</v>
      </c>
      <c r="AE544">
        <f>Deals_Raw!AG544</f>
        <v>0</v>
      </c>
      <c r="AF544" t="str">
        <f>Deals_Raw!AH544</f>
        <v>Yes</v>
      </c>
      <c r="AG544" t="str">
        <f>Deals_Raw!AI544</f>
        <v>No</v>
      </c>
      <c r="AH544" s="6">
        <f>Deals_Raw!AJ544</f>
        <v>97166.128918179034</v>
      </c>
      <c r="AI544" s="6">
        <f>Deals_Raw!AK544</f>
        <v>66709.514325980301</v>
      </c>
      <c r="AJ544" t="str">
        <f>Deals_Raw!AL544</f>
        <v>Expansion allowed because contract was active</v>
      </c>
      <c r="AK544" s="9">
        <f t="shared" si="56"/>
        <v>3.1361111111111111</v>
      </c>
      <c r="AL544" s="8">
        <f t="shared" si="57"/>
        <v>0.91905096568245193</v>
      </c>
      <c r="AM544" s="8">
        <f t="shared" si="58"/>
        <v>2.0000000000000004E-2</v>
      </c>
      <c r="AN544" t="str">
        <f>IF(AC544&lt;Pricing_Policy!$C$10,"Below Floor","Pass")</f>
        <v>Pass</v>
      </c>
      <c r="AO544" t="str">
        <f>IF(V544&gt;Pricing_Policy!$C$7,"Exception","Standard")</f>
        <v>Standard</v>
      </c>
      <c r="AP544" t="str">
        <f t="shared" si="59"/>
        <v>Pass</v>
      </c>
      <c r="AQ544">
        <f t="shared" si="60"/>
        <v>1</v>
      </c>
      <c r="AR544" s="8">
        <f t="shared" si="61"/>
        <v>0.68655111682132131</v>
      </c>
      <c r="AS544">
        <f t="shared" si="62"/>
        <v>3</v>
      </c>
    </row>
    <row r="545" spans="1:45">
      <c r="A545" t="str">
        <f>Deals_Raw!A545</f>
        <v>D00615</v>
      </c>
      <c r="B545">
        <f>Deals_Raw!B545</f>
        <v>46001</v>
      </c>
      <c r="C545" t="str">
        <f>Deals_Raw!C545</f>
        <v>C0152</v>
      </c>
      <c r="D545" t="str">
        <f>Deals_Raw!D545</f>
        <v>HEA-0152</v>
      </c>
      <c r="E545" t="str">
        <f>Deals_Raw!E545</f>
        <v>CT00331</v>
      </c>
      <c r="F545" t="str">
        <f>Deals_Raw!F545</f>
        <v>Technology</v>
      </c>
      <c r="G545" t="str">
        <f>Deals_Raw!G545</f>
        <v>Healthcare</v>
      </c>
      <c r="H545" t="str">
        <f>Deals_Raw!H545</f>
        <v>Midwest</v>
      </c>
      <c r="I545" t="str">
        <f>Deals_Raw!I545</f>
        <v>Midwest Enterprise</v>
      </c>
      <c r="J545" t="str">
        <f>Deals_Raw!J545</f>
        <v>Enterprise</v>
      </c>
      <c r="K545" t="str">
        <f>Deals_Raw!K545</f>
        <v>No</v>
      </c>
      <c r="L545">
        <f>Deals_Raw!L545</f>
        <v>44621</v>
      </c>
      <c r="M545">
        <f>Deals_Raw!M545</f>
        <v>74</v>
      </c>
      <c r="N545" t="str">
        <f>Deals_Raw!N545</f>
        <v>Nexus Insights</v>
      </c>
      <c r="O545" t="str">
        <f>Deals_Raw!O545</f>
        <v>Renewal</v>
      </c>
      <c r="P545">
        <f>Deals_Raw!P545</f>
        <v>0</v>
      </c>
      <c r="Q545">
        <f>Deals_Raw!Q545</f>
        <v>1</v>
      </c>
      <c r="R545">
        <f>Deals_Raw!R545</f>
        <v>1452</v>
      </c>
      <c r="S545" t="str">
        <f>Deals_Raw!S545</f>
        <v>K. Nguyen</v>
      </c>
      <c r="T545" s="6">
        <f>Deals_Raw!T545</f>
        <v>113319.10417544021</v>
      </c>
      <c r="U545" s="8">
        <f>Deals_Raw!V545</f>
        <v>0.14199999999999999</v>
      </c>
      <c r="V545" s="8">
        <f>Deals_Raw!W545</f>
        <v>0.122</v>
      </c>
      <c r="W545" s="8">
        <f>Deals_Raw!X545</f>
        <v>-4.2999999999999997E-2</v>
      </c>
      <c r="X545" t="str">
        <f>Deals_Raw!Y545</f>
        <v>Strategic logo opportunity</v>
      </c>
      <c r="Y545" t="str">
        <f>Deals_Raw!Z545</f>
        <v>Pricing Analyst</v>
      </c>
      <c r="Z545" s="6">
        <f>Deals_Raw!AA545</f>
        <v>99446.195491126098</v>
      </c>
      <c r="AA545" s="6">
        <f>Deals_Raw!AC545</f>
        <v>33831.540579024317</v>
      </c>
      <c r="AB545" s="6">
        <f>Deals_Raw!AD545</f>
        <v>65614.654912101774</v>
      </c>
      <c r="AC545" s="8">
        <f>Deals_Raw!AE545</f>
        <v>0.65980055434053064</v>
      </c>
      <c r="AD545" t="str">
        <f>Deals_Raw!AF545</f>
        <v>Won</v>
      </c>
      <c r="AE545" t="str">
        <f>Deals_Raw!AG545</f>
        <v>Yes</v>
      </c>
      <c r="AF545">
        <f>Deals_Raw!AH545</f>
        <v>0</v>
      </c>
      <c r="AG545" t="str">
        <f>Deals_Raw!AI545</f>
        <v>No</v>
      </c>
      <c r="AH545" s="6">
        <f>Deals_Raw!AJ545</f>
        <v>99446.195491126098</v>
      </c>
      <c r="AI545" s="6">
        <f>Deals_Raw!AK545</f>
        <v>65614.654912101774</v>
      </c>
      <c r="AJ545" t="str">
        <f>Deals_Raw!AL545</f>
        <v>Renewal of existing active contract</v>
      </c>
      <c r="AK545" s="9">
        <f t="shared" si="56"/>
        <v>3.7749999999999999</v>
      </c>
      <c r="AL545" s="8">
        <f t="shared" si="57"/>
        <v>0.87757661177027901</v>
      </c>
      <c r="AM545" s="8">
        <f t="shared" si="58"/>
        <v>1.999999999999999E-2</v>
      </c>
      <c r="AN545" t="str">
        <f>IF(AC545&lt;Pricing_Policy!$C$10,"Below Floor","Pass")</f>
        <v>Pass</v>
      </c>
      <c r="AO545" t="str">
        <f>IF(V545&gt;Pricing_Policy!$C$7,"Exception","Standard")</f>
        <v>Standard</v>
      </c>
      <c r="AP545" t="str">
        <f t="shared" si="59"/>
        <v>Pass</v>
      </c>
      <c r="AQ545">
        <f t="shared" si="60"/>
        <v>1</v>
      </c>
      <c r="AR545" s="8">
        <f t="shared" si="61"/>
        <v>0.65980055434053064</v>
      </c>
      <c r="AS545">
        <f t="shared" si="62"/>
        <v>3</v>
      </c>
    </row>
    <row r="546" spans="1:45">
      <c r="A546" t="str">
        <f>Deals_Raw!A546</f>
        <v>D00617</v>
      </c>
      <c r="B546">
        <f>Deals_Raw!B546</f>
        <v>45375</v>
      </c>
      <c r="C546" t="str">
        <f>Deals_Raw!C546</f>
        <v>C0152</v>
      </c>
      <c r="D546" t="str">
        <f>Deals_Raw!D546</f>
        <v>HEA-0152</v>
      </c>
      <c r="E546" t="str">
        <f>Deals_Raw!E546</f>
        <v>CT00332</v>
      </c>
      <c r="F546" t="str">
        <f>Deals_Raw!F546</f>
        <v>Operations</v>
      </c>
      <c r="G546" t="str">
        <f>Deals_Raw!G546</f>
        <v>Healthcare</v>
      </c>
      <c r="H546" t="str">
        <f>Deals_Raw!H546</f>
        <v>Midwest</v>
      </c>
      <c r="I546" t="str">
        <f>Deals_Raw!I546</f>
        <v>Midwest Enterprise</v>
      </c>
      <c r="J546" t="str">
        <f>Deals_Raw!J546</f>
        <v>Enterprise</v>
      </c>
      <c r="K546" t="str">
        <f>Deals_Raw!K546</f>
        <v>No</v>
      </c>
      <c r="L546">
        <f>Deals_Raw!L546</f>
        <v>44621</v>
      </c>
      <c r="M546">
        <f>Deals_Raw!M546</f>
        <v>74</v>
      </c>
      <c r="N546" t="str">
        <f>Deals_Raw!N546</f>
        <v>Nexus Analytics</v>
      </c>
      <c r="O546" t="str">
        <f>Deals_Raw!O546</f>
        <v>Expansion</v>
      </c>
      <c r="P546" t="str">
        <f>Deals_Raw!P546</f>
        <v>Seat Expansion</v>
      </c>
      <c r="Q546">
        <f>Deals_Raw!Q546</f>
        <v>1</v>
      </c>
      <c r="R546">
        <f>Deals_Raw!R546</f>
        <v>1821</v>
      </c>
      <c r="S546" t="str">
        <f>Deals_Raw!S546</f>
        <v>R. Singh</v>
      </c>
      <c r="T546" s="6">
        <f>Deals_Raw!T546</f>
        <v>236945.55962844379</v>
      </c>
      <c r="U546" s="8">
        <f>Deals_Raw!V546</f>
        <v>4.1000000000000002E-2</v>
      </c>
      <c r="V546" s="8">
        <f>Deals_Raw!W546</f>
        <v>8.9999999999999993E-3</v>
      </c>
      <c r="W546" s="8">
        <f>Deals_Raw!X546</f>
        <v>-7.6999999999999999E-2</v>
      </c>
      <c r="X546" t="str">
        <f>Deals_Raw!Y546</f>
        <v>Expansion opportunity</v>
      </c>
      <c r="Y546" t="str">
        <f>Deals_Raw!Z546</f>
        <v>Sales Manager</v>
      </c>
      <c r="Z546" s="6">
        <f>Deals_Raw!AA546</f>
        <v>234846.08576106271</v>
      </c>
      <c r="AA546" s="6">
        <f>Deals_Raw!AC546</f>
        <v>65052.384055155431</v>
      </c>
      <c r="AB546" s="6">
        <f>Deals_Raw!AD546</f>
        <v>169793.7017059073</v>
      </c>
      <c r="AC546" s="8">
        <f>Deals_Raw!AE546</f>
        <v>0.7229999220794292</v>
      </c>
      <c r="AD546" t="str">
        <f>Deals_Raw!AF546</f>
        <v>Won</v>
      </c>
      <c r="AE546">
        <f>Deals_Raw!AG546</f>
        <v>0</v>
      </c>
      <c r="AF546" t="str">
        <f>Deals_Raw!AH546</f>
        <v>Yes</v>
      </c>
      <c r="AG546" t="str">
        <f>Deals_Raw!AI546</f>
        <v>No</v>
      </c>
      <c r="AH546" s="6">
        <f>Deals_Raw!AJ546</f>
        <v>234846.08576106271</v>
      </c>
      <c r="AI546" s="6">
        <f>Deals_Raw!AK546</f>
        <v>169793.7017059073</v>
      </c>
      <c r="AJ546" t="str">
        <f>Deals_Raw!AL546</f>
        <v>Expansion allowed because contract was active</v>
      </c>
      <c r="AK546" s="9">
        <f t="shared" si="56"/>
        <v>2.0638888888888891</v>
      </c>
      <c r="AL546" s="8">
        <f t="shared" si="57"/>
        <v>0.99113942514612519</v>
      </c>
      <c r="AM546" s="8">
        <f t="shared" si="58"/>
        <v>3.2000000000000001E-2</v>
      </c>
      <c r="AN546" t="str">
        <f>IF(AC546&lt;Pricing_Policy!$C$10,"Below Floor","Pass")</f>
        <v>Pass</v>
      </c>
      <c r="AO546" t="str">
        <f>IF(V546&gt;Pricing_Policy!$C$7,"Exception","Standard")</f>
        <v>Standard</v>
      </c>
      <c r="AP546" t="str">
        <f t="shared" si="59"/>
        <v>Pass</v>
      </c>
      <c r="AQ546">
        <f t="shared" si="60"/>
        <v>1</v>
      </c>
      <c r="AR546" s="8">
        <f t="shared" si="61"/>
        <v>0.7229999220794292</v>
      </c>
      <c r="AS546">
        <f t="shared" si="62"/>
        <v>7</v>
      </c>
    </row>
    <row r="547" spans="1:45">
      <c r="A547" t="str">
        <f>Deals_Raw!A547</f>
        <v>D00618</v>
      </c>
      <c r="B547">
        <f>Deals_Raw!B547</f>
        <v>45470</v>
      </c>
      <c r="C547" t="str">
        <f>Deals_Raw!C547</f>
        <v>C0152</v>
      </c>
      <c r="D547" t="str">
        <f>Deals_Raw!D547</f>
        <v>HEA-0152</v>
      </c>
      <c r="E547" t="str">
        <f>Deals_Raw!E547</f>
        <v>CT00332</v>
      </c>
      <c r="F547" t="str">
        <f>Deals_Raw!F547</f>
        <v>Operations</v>
      </c>
      <c r="G547" t="str">
        <f>Deals_Raw!G547</f>
        <v>Healthcare</v>
      </c>
      <c r="H547" t="str">
        <f>Deals_Raw!H547</f>
        <v>Midwest</v>
      </c>
      <c r="I547" t="str">
        <f>Deals_Raw!I547</f>
        <v>Midwest Enterprise</v>
      </c>
      <c r="J547" t="str">
        <f>Deals_Raw!J547</f>
        <v>Enterprise</v>
      </c>
      <c r="K547" t="str">
        <f>Deals_Raw!K547</f>
        <v>No</v>
      </c>
      <c r="L547">
        <f>Deals_Raw!L547</f>
        <v>44621</v>
      </c>
      <c r="M547">
        <f>Deals_Raw!M547</f>
        <v>74</v>
      </c>
      <c r="N547" t="str">
        <f>Deals_Raw!N547</f>
        <v>Nexus Analytics</v>
      </c>
      <c r="O547" t="str">
        <f>Deals_Raw!O547</f>
        <v>Renewal</v>
      </c>
      <c r="P547">
        <f>Deals_Raw!P547</f>
        <v>0</v>
      </c>
      <c r="Q547">
        <f>Deals_Raw!Q547</f>
        <v>1</v>
      </c>
      <c r="R547">
        <f>Deals_Raw!R547</f>
        <v>1821</v>
      </c>
      <c r="S547" t="str">
        <f>Deals_Raw!S547</f>
        <v>M. Johnson</v>
      </c>
      <c r="T547" s="6">
        <f>Deals_Raw!T547</f>
        <v>250939.60270837741</v>
      </c>
      <c r="U547" s="8">
        <f>Deals_Raw!V547</f>
        <v>0.14099999999999999</v>
      </c>
      <c r="V547" s="8">
        <f>Deals_Raw!W547</f>
        <v>0.121</v>
      </c>
      <c r="W547" s="8">
        <f>Deals_Raw!X547</f>
        <v>2.5999999999999999E-2</v>
      </c>
      <c r="X547" t="str">
        <f>Deals_Raw!Y547</f>
        <v>Renewal retention risk</v>
      </c>
      <c r="Y547" t="str">
        <f>Deals_Raw!Z547</f>
        <v>Pricing Analyst</v>
      </c>
      <c r="Z547" s="6">
        <f>Deals_Raw!AA547</f>
        <v>220482.46883603095</v>
      </c>
      <c r="AA547" s="6">
        <f>Deals_Raw!AC547</f>
        <v>84765.591866982621</v>
      </c>
      <c r="AB547" s="6">
        <f>Deals_Raw!AD547</f>
        <v>135716.87696904835</v>
      </c>
      <c r="AC547" s="8">
        <f>Deals_Raw!AE547</f>
        <v>0.61554498044911987</v>
      </c>
      <c r="AD547" t="str">
        <f>Deals_Raw!AF547</f>
        <v>Won</v>
      </c>
      <c r="AE547" t="str">
        <f>Deals_Raw!AG547</f>
        <v>Yes</v>
      </c>
      <c r="AF547">
        <f>Deals_Raw!AH547</f>
        <v>0</v>
      </c>
      <c r="AG547" t="str">
        <f>Deals_Raw!AI547</f>
        <v>No</v>
      </c>
      <c r="AH547" s="6">
        <f>Deals_Raw!AJ547</f>
        <v>220482.46883603095</v>
      </c>
      <c r="AI547" s="6">
        <f>Deals_Raw!AK547</f>
        <v>135716.87696904835</v>
      </c>
      <c r="AJ547" t="str">
        <f>Deals_Raw!AL547</f>
        <v>Renewal of existing active contract</v>
      </c>
      <c r="AK547" s="9">
        <f t="shared" si="56"/>
        <v>2.3222222222222224</v>
      </c>
      <c r="AL547" s="8">
        <f t="shared" si="57"/>
        <v>0.8786276317343924</v>
      </c>
      <c r="AM547" s="8">
        <f t="shared" si="58"/>
        <v>1.999999999999999E-2</v>
      </c>
      <c r="AN547" t="str">
        <f>IF(AC547&lt;Pricing_Policy!$C$10,"Below Floor","Pass")</f>
        <v>Pass</v>
      </c>
      <c r="AO547" t="str">
        <f>IF(V547&gt;Pricing_Policy!$C$7,"Exception","Standard")</f>
        <v>Standard</v>
      </c>
      <c r="AP547" t="str">
        <f t="shared" si="59"/>
        <v>Pass</v>
      </c>
      <c r="AQ547">
        <f t="shared" si="60"/>
        <v>1</v>
      </c>
      <c r="AR547" s="8">
        <f t="shared" si="61"/>
        <v>0.61554498044911987</v>
      </c>
      <c r="AS547">
        <f t="shared" si="62"/>
        <v>7</v>
      </c>
    </row>
    <row r="548" spans="1:45">
      <c r="A548" t="str">
        <f>Deals_Raw!A548</f>
        <v>D00619</v>
      </c>
      <c r="B548">
        <f>Deals_Raw!B548</f>
        <v>45835</v>
      </c>
      <c r="C548" t="str">
        <f>Deals_Raw!C548</f>
        <v>C0152</v>
      </c>
      <c r="D548" t="str">
        <f>Deals_Raw!D548</f>
        <v>HEA-0152</v>
      </c>
      <c r="E548" t="str">
        <f>Deals_Raw!E548</f>
        <v>CT00332</v>
      </c>
      <c r="F548" t="str">
        <f>Deals_Raw!F548</f>
        <v>Operations</v>
      </c>
      <c r="G548" t="str">
        <f>Deals_Raw!G548</f>
        <v>Healthcare</v>
      </c>
      <c r="H548" t="str">
        <f>Deals_Raw!H548</f>
        <v>Midwest</v>
      </c>
      <c r="I548" t="str">
        <f>Deals_Raw!I548</f>
        <v>Midwest Enterprise</v>
      </c>
      <c r="J548" t="str">
        <f>Deals_Raw!J548</f>
        <v>Enterprise</v>
      </c>
      <c r="K548" t="str">
        <f>Deals_Raw!K548</f>
        <v>No</v>
      </c>
      <c r="L548">
        <f>Deals_Raw!L548</f>
        <v>44621</v>
      </c>
      <c r="M548">
        <f>Deals_Raw!M548</f>
        <v>74</v>
      </c>
      <c r="N548" t="str">
        <f>Deals_Raw!N548</f>
        <v>Nexus Analytics</v>
      </c>
      <c r="O548" t="str">
        <f>Deals_Raw!O548</f>
        <v>Renewal</v>
      </c>
      <c r="P548">
        <f>Deals_Raw!P548</f>
        <v>0</v>
      </c>
      <c r="Q548">
        <f>Deals_Raw!Q548</f>
        <v>1</v>
      </c>
      <c r="R548">
        <f>Deals_Raw!R548</f>
        <v>1821</v>
      </c>
      <c r="S548" t="str">
        <f>Deals_Raw!S548</f>
        <v>K. Nguyen</v>
      </c>
      <c r="T548" s="6">
        <f>Deals_Raw!T548</f>
        <v>263577.27513803326</v>
      </c>
      <c r="U548" s="8">
        <f>Deals_Raw!V548</f>
        <v>0.19900000000000001</v>
      </c>
      <c r="V548" s="8">
        <f>Deals_Raw!W548</f>
        <v>0.151</v>
      </c>
      <c r="W548" s="8">
        <f>Deals_Raw!X548</f>
        <v>-0.05</v>
      </c>
      <c r="X548" t="str">
        <f>Deals_Raw!Y548</f>
        <v>Volume purchase</v>
      </c>
      <c r="Y548" t="str">
        <f>Deals_Raw!Z548</f>
        <v>Pricing Analyst</v>
      </c>
      <c r="Z548" s="6">
        <f>Deals_Raw!AA548</f>
        <v>223861.89736054876</v>
      </c>
      <c r="AA548" s="6">
        <f>Deals_Raw!AC548</f>
        <v>72824.622174890828</v>
      </c>
      <c r="AB548" s="6">
        <f>Deals_Raw!AD548</f>
        <v>151037.27518565793</v>
      </c>
      <c r="AC548" s="8">
        <f>Deals_Raw!AE548</f>
        <v>0.67468951602067173</v>
      </c>
      <c r="AD548" t="str">
        <f>Deals_Raw!AF548</f>
        <v>Won</v>
      </c>
      <c r="AE548" t="str">
        <f>Deals_Raw!AG548</f>
        <v>Yes</v>
      </c>
      <c r="AF548">
        <f>Deals_Raw!AH548</f>
        <v>0</v>
      </c>
      <c r="AG548" t="str">
        <f>Deals_Raw!AI548</f>
        <v>No</v>
      </c>
      <c r="AH548" s="6">
        <f>Deals_Raw!AJ548</f>
        <v>223861.89736054876</v>
      </c>
      <c r="AI548" s="6">
        <f>Deals_Raw!AK548</f>
        <v>151037.27518565793</v>
      </c>
      <c r="AJ548" t="str">
        <f>Deals_Raw!AL548</f>
        <v>Renewal of existing active contract</v>
      </c>
      <c r="AK548" s="9">
        <f t="shared" si="56"/>
        <v>3.3222222222222224</v>
      </c>
      <c r="AL548" s="8">
        <f t="shared" si="57"/>
        <v>0.8493216922563378</v>
      </c>
      <c r="AM548" s="8">
        <f t="shared" si="58"/>
        <v>4.8000000000000015E-2</v>
      </c>
      <c r="AN548" t="str">
        <f>IF(AC548&lt;Pricing_Policy!$C$10,"Below Floor","Pass")</f>
        <v>Pass</v>
      </c>
      <c r="AO548" t="str">
        <f>IF(V548&gt;Pricing_Policy!$C$7,"Exception","Standard")</f>
        <v>Standard</v>
      </c>
      <c r="AP548" t="str">
        <f t="shared" si="59"/>
        <v>Pass</v>
      </c>
      <c r="AQ548">
        <f t="shared" si="60"/>
        <v>1</v>
      </c>
      <c r="AR548" s="8">
        <f t="shared" si="61"/>
        <v>0.67468951602067173</v>
      </c>
      <c r="AS548">
        <f t="shared" si="62"/>
        <v>7</v>
      </c>
    </row>
    <row r="549" spans="1:45">
      <c r="A549" t="str">
        <f>Deals_Raw!A549</f>
        <v>D00620</v>
      </c>
      <c r="B549">
        <f>Deals_Raw!B549</f>
        <v>45656</v>
      </c>
      <c r="C549" t="str">
        <f>Deals_Raw!C549</f>
        <v>C0152</v>
      </c>
      <c r="D549" t="str">
        <f>Deals_Raw!D549</f>
        <v>HEA-0152</v>
      </c>
      <c r="E549" t="str">
        <f>Deals_Raw!E549</f>
        <v>CT00333</v>
      </c>
      <c r="F549" t="str">
        <f>Deals_Raw!F549</f>
        <v>Corporate</v>
      </c>
      <c r="G549" t="str">
        <f>Deals_Raw!G549</f>
        <v>Healthcare</v>
      </c>
      <c r="H549" t="str">
        <f>Deals_Raw!H549</f>
        <v>Midwest</v>
      </c>
      <c r="I549" t="str">
        <f>Deals_Raw!I549</f>
        <v>Midwest Enterprise</v>
      </c>
      <c r="J549" t="str">
        <f>Deals_Raw!J549</f>
        <v>Enterprise</v>
      </c>
      <c r="K549" t="str">
        <f>Deals_Raw!K549</f>
        <v>No</v>
      </c>
      <c r="L549">
        <f>Deals_Raw!L549</f>
        <v>44621</v>
      </c>
      <c r="M549">
        <f>Deals_Raw!M549</f>
        <v>74</v>
      </c>
      <c r="N549" t="str">
        <f>Deals_Raw!N549</f>
        <v>Nexus Analytics</v>
      </c>
      <c r="O549" t="str">
        <f>Deals_Raw!O549</f>
        <v>New Business</v>
      </c>
      <c r="P549">
        <f>Deals_Raw!P549</f>
        <v>0</v>
      </c>
      <c r="Q549">
        <f>Deals_Raw!Q549</f>
        <v>3</v>
      </c>
      <c r="R549">
        <f>Deals_Raw!R549</f>
        <v>1621</v>
      </c>
      <c r="S549" t="str">
        <f>Deals_Raw!S549</f>
        <v>T. Brooks</v>
      </c>
      <c r="T549" s="6">
        <f>Deals_Raw!T549</f>
        <v>126225.15287221664</v>
      </c>
      <c r="U549" s="8">
        <f>Deals_Raw!V549</f>
        <v>0.23899999999999999</v>
      </c>
      <c r="V549" s="8">
        <f>Deals_Raw!W549</f>
        <v>0.192</v>
      </c>
      <c r="W549" s="8">
        <f>Deals_Raw!X549</f>
        <v>0</v>
      </c>
      <c r="X549" t="str">
        <f>Deals_Raw!Y549</f>
        <v>Expansion opportunity</v>
      </c>
      <c r="Y549" t="str">
        <f>Deals_Raw!Z549</f>
        <v>Pricing Analyst</v>
      </c>
      <c r="Z549" s="6">
        <f>Deals_Raw!AA549</f>
        <v>101933.10139024971</v>
      </c>
      <c r="AA549" s="6">
        <f>Deals_Raw!AC549</f>
        <v>42067.419904065646</v>
      </c>
      <c r="AB549" s="6">
        <f>Deals_Raw!AD549</f>
        <v>59865.681486184061</v>
      </c>
      <c r="AC549" s="8">
        <f>Deals_Raw!AE549</f>
        <v>0.58730364003140634</v>
      </c>
      <c r="AD549" t="str">
        <f>Deals_Raw!AF549</f>
        <v>Lost</v>
      </c>
      <c r="AE549">
        <f>Deals_Raw!AG549</f>
        <v>0</v>
      </c>
      <c r="AF549">
        <f>Deals_Raw!AH549</f>
        <v>0</v>
      </c>
      <c r="AG549" t="str">
        <f>Deals_Raw!AI549</f>
        <v>No</v>
      </c>
      <c r="AH549" s="6">
        <f>Deals_Raw!AJ549</f>
        <v>0</v>
      </c>
      <c r="AI549" s="6">
        <f>Deals_Raw!AK549</f>
        <v>0</v>
      </c>
      <c r="AJ549" t="str">
        <f>Deals_Raw!AL549</f>
        <v>First purchase under this contract</v>
      </c>
      <c r="AK549" s="9">
        <f t="shared" si="56"/>
        <v>2.8305555555555557</v>
      </c>
      <c r="AL549" s="8">
        <f t="shared" si="57"/>
        <v>0.80754983512233203</v>
      </c>
      <c r="AM549" s="8">
        <f t="shared" si="58"/>
        <v>4.6999999999999986E-2</v>
      </c>
      <c r="AN549" t="str">
        <f>IF(AC549&lt;Pricing_Policy!$C$10,"Below Floor","Pass")</f>
        <v>Pass</v>
      </c>
      <c r="AO549" t="str">
        <f>IF(V549&gt;Pricing_Policy!$C$7,"Exception","Standard")</f>
        <v>Standard</v>
      </c>
      <c r="AP549" t="str">
        <f t="shared" si="59"/>
        <v>Pass</v>
      </c>
      <c r="AQ549">
        <f t="shared" si="60"/>
        <v>0</v>
      </c>
      <c r="AR549" s="8">
        <f t="shared" si="61"/>
        <v>0</v>
      </c>
      <c r="AS549">
        <f t="shared" si="62"/>
        <v>7</v>
      </c>
    </row>
    <row r="550" spans="1:45">
      <c r="A550" t="str">
        <f>Deals_Raw!A550</f>
        <v>D00621</v>
      </c>
      <c r="B550">
        <f>Deals_Raw!B550</f>
        <v>45811</v>
      </c>
      <c r="C550" t="str">
        <f>Deals_Raw!C550</f>
        <v>C0152</v>
      </c>
      <c r="D550" t="str">
        <f>Deals_Raw!D550</f>
        <v>HEA-0152</v>
      </c>
      <c r="E550" t="str">
        <f>Deals_Raw!E550</f>
        <v>CT00333</v>
      </c>
      <c r="F550" t="str">
        <f>Deals_Raw!F550</f>
        <v>Corporate</v>
      </c>
      <c r="G550" t="str">
        <f>Deals_Raw!G550</f>
        <v>Healthcare</v>
      </c>
      <c r="H550" t="str">
        <f>Deals_Raw!H550</f>
        <v>Midwest</v>
      </c>
      <c r="I550" t="str">
        <f>Deals_Raw!I550</f>
        <v>Midwest Enterprise</v>
      </c>
      <c r="J550" t="str">
        <f>Deals_Raw!J550</f>
        <v>Enterprise</v>
      </c>
      <c r="K550" t="str">
        <f>Deals_Raw!K550</f>
        <v>No</v>
      </c>
      <c r="L550">
        <f>Deals_Raw!L550</f>
        <v>44621</v>
      </c>
      <c r="M550">
        <f>Deals_Raw!M550</f>
        <v>74</v>
      </c>
      <c r="N550" t="str">
        <f>Deals_Raw!N550</f>
        <v>Nexus Analytics</v>
      </c>
      <c r="O550" t="str">
        <f>Deals_Raw!O550</f>
        <v>Win-back</v>
      </c>
      <c r="P550">
        <f>Deals_Raw!P550</f>
        <v>0</v>
      </c>
      <c r="Q550">
        <f>Deals_Raw!Q550</f>
        <v>3</v>
      </c>
      <c r="R550">
        <f>Deals_Raw!R550</f>
        <v>1621</v>
      </c>
      <c r="S550" t="str">
        <f>Deals_Raw!S550</f>
        <v>L. Williams</v>
      </c>
      <c r="T550" s="6">
        <f>Deals_Raw!T550</f>
        <v>126225.15287221664</v>
      </c>
      <c r="U550" s="8">
        <f>Deals_Raw!V550</f>
        <v>0.192</v>
      </c>
      <c r="V550" s="8">
        <f>Deals_Raw!W550</f>
        <v>0.151</v>
      </c>
      <c r="W550" s="8">
        <f>Deals_Raw!X550</f>
        <v>-0.1</v>
      </c>
      <c r="X550" t="str">
        <f>Deals_Raw!Y550</f>
        <v>Renewal retention risk</v>
      </c>
      <c r="Y550" t="str">
        <f>Deals_Raw!Z550</f>
        <v>Pricing Analyst</v>
      </c>
      <c r="Z550" s="6">
        <f>Deals_Raw!AA550</f>
        <v>107152.43673534412</v>
      </c>
      <c r="AA550" s="6">
        <f>Deals_Raw!AC550</f>
        <v>45533.671059957123</v>
      </c>
      <c r="AB550" s="6">
        <f>Deals_Raw!AD550</f>
        <v>61618.765675386996</v>
      </c>
      <c r="AC550" s="8">
        <f>Deals_Raw!AE550</f>
        <v>0.57505706405519486</v>
      </c>
      <c r="AD550" t="str">
        <f>Deals_Raw!AF550</f>
        <v>Won</v>
      </c>
      <c r="AE550">
        <f>Deals_Raw!AG550</f>
        <v>0</v>
      </c>
      <c r="AF550">
        <f>Deals_Raw!AH550</f>
        <v>0</v>
      </c>
      <c r="AG550" t="str">
        <f>Deals_Raw!AI550</f>
        <v>Yes</v>
      </c>
      <c r="AH550" s="6">
        <f>Deals_Raw!AJ550</f>
        <v>107152.43673534412</v>
      </c>
      <c r="AI550" s="6">
        <f>Deals_Raw!AK550</f>
        <v>61618.765675386996</v>
      </c>
      <c r="AJ550" t="str">
        <f>Deals_Raw!AL550</f>
        <v>Customer returned after prior lost initial opportunity</v>
      </c>
      <c r="AK550" s="9">
        <f t="shared" si="56"/>
        <v>3.2555555555555555</v>
      </c>
      <c r="AL550" s="8">
        <f t="shared" si="57"/>
        <v>0.84889924311535048</v>
      </c>
      <c r="AM550" s="8">
        <f t="shared" si="58"/>
        <v>4.1000000000000009E-2</v>
      </c>
      <c r="AN550" t="str">
        <f>IF(AC550&lt;Pricing_Policy!$C$10,"Below Floor","Pass")</f>
        <v>Pass</v>
      </c>
      <c r="AO550" t="str">
        <f>IF(V550&gt;Pricing_Policy!$C$7,"Exception","Standard")</f>
        <v>Standard</v>
      </c>
      <c r="AP550" t="str">
        <f t="shared" si="59"/>
        <v>Pass</v>
      </c>
      <c r="AQ550">
        <f t="shared" si="60"/>
        <v>1</v>
      </c>
      <c r="AR550" s="8">
        <f t="shared" si="61"/>
        <v>0.57505706405519486</v>
      </c>
      <c r="AS550">
        <f t="shared" si="62"/>
        <v>7</v>
      </c>
    </row>
    <row r="551" spans="1:45">
      <c r="A551" t="str">
        <f>Deals_Raw!A551</f>
        <v>D00622</v>
      </c>
      <c r="B551">
        <f>Deals_Raw!B551</f>
        <v>45460</v>
      </c>
      <c r="C551" t="str">
        <f>Deals_Raw!C551</f>
        <v>C0153</v>
      </c>
      <c r="D551" t="str">
        <f>Deals_Raw!D551</f>
        <v>FIN-0153</v>
      </c>
      <c r="E551" t="str">
        <f>Deals_Raw!E551</f>
        <v>CT00335</v>
      </c>
      <c r="F551" t="str">
        <f>Deals_Raw!F551</f>
        <v>Sales</v>
      </c>
      <c r="G551" t="str">
        <f>Deals_Raw!G551</f>
        <v>Financial Services</v>
      </c>
      <c r="H551" t="str">
        <f>Deals_Raw!H551</f>
        <v>Northeast</v>
      </c>
      <c r="I551" t="str">
        <f>Deals_Raw!I551</f>
        <v>Northeast Enterprise</v>
      </c>
      <c r="J551" t="str">
        <f>Deals_Raw!J551</f>
        <v>Enterprise</v>
      </c>
      <c r="K551" t="str">
        <f>Deals_Raw!K551</f>
        <v>Yes</v>
      </c>
      <c r="L551">
        <f>Deals_Raw!L551</f>
        <v>45200</v>
      </c>
      <c r="M551">
        <f>Deals_Raw!M551</f>
        <v>76</v>
      </c>
      <c r="N551" t="str">
        <f>Deals_Raw!N551</f>
        <v>Nexus Analytics</v>
      </c>
      <c r="O551" t="str">
        <f>Deals_Raw!O551</f>
        <v>New Business</v>
      </c>
      <c r="P551">
        <f>Deals_Raw!P551</f>
        <v>0</v>
      </c>
      <c r="Q551">
        <f>Deals_Raw!Q551</f>
        <v>3</v>
      </c>
      <c r="R551">
        <f>Deals_Raw!R551</f>
        <v>1159</v>
      </c>
      <c r="S551" t="str">
        <f>Deals_Raw!S551</f>
        <v>L. Williams</v>
      </c>
      <c r="T551" s="6">
        <f>Deals_Raw!T551</f>
        <v>344859.46310386568</v>
      </c>
      <c r="U551" s="8">
        <f>Deals_Raw!V551</f>
        <v>0.19800000000000001</v>
      </c>
      <c r="V551" s="8">
        <f>Deals_Raw!W551</f>
        <v>0.16500000000000001</v>
      </c>
      <c r="W551" s="8">
        <f>Deals_Raw!X551</f>
        <v>1E-3</v>
      </c>
      <c r="X551" t="str">
        <f>Deals_Raw!Y551</f>
        <v>Verified competitor pressure</v>
      </c>
      <c r="Y551" t="str">
        <f>Deals_Raw!Z551</f>
        <v>Pricing Analyst</v>
      </c>
      <c r="Z551" s="6">
        <f>Deals_Raw!AA551</f>
        <v>287869.77213836357</v>
      </c>
      <c r="AA551" s="6">
        <f>Deals_Raw!AC551</f>
        <v>128285.32481842466</v>
      </c>
      <c r="AB551" s="6">
        <f>Deals_Raw!AD551</f>
        <v>159584.44731993892</v>
      </c>
      <c r="AC551" s="8">
        <f>Deals_Raw!AE551</f>
        <v>0.55436333636042634</v>
      </c>
      <c r="AD551" t="str">
        <f>Deals_Raw!AF551</f>
        <v>Won</v>
      </c>
      <c r="AE551">
        <f>Deals_Raw!AG551</f>
        <v>0</v>
      </c>
      <c r="AF551">
        <f>Deals_Raw!AH551</f>
        <v>0</v>
      </c>
      <c r="AG551" t="str">
        <f>Deals_Raw!AI551</f>
        <v>No</v>
      </c>
      <c r="AH551" s="6">
        <f>Deals_Raw!AJ551</f>
        <v>287869.77213836357</v>
      </c>
      <c r="AI551" s="6">
        <f>Deals_Raw!AK551</f>
        <v>159584.44731993892</v>
      </c>
      <c r="AJ551" t="str">
        <f>Deals_Raw!AL551</f>
        <v>First purchase under this contract</v>
      </c>
      <c r="AK551" s="9">
        <f t="shared" si="56"/>
        <v>0.71111111111111114</v>
      </c>
      <c r="AL551" s="8">
        <f t="shared" si="57"/>
        <v>0.83474517285222993</v>
      </c>
      <c r="AM551" s="8">
        <f t="shared" si="58"/>
        <v>3.3000000000000002E-2</v>
      </c>
      <c r="AN551" t="str">
        <f>IF(AC551&lt;Pricing_Policy!$C$10,"Below Floor","Pass")</f>
        <v>Pass</v>
      </c>
      <c r="AO551" t="str">
        <f>IF(V551&gt;Pricing_Policy!$C$7,"Exception","Standard")</f>
        <v>Standard</v>
      </c>
      <c r="AP551" t="str">
        <f t="shared" si="59"/>
        <v>Pass</v>
      </c>
      <c r="AQ551">
        <f t="shared" si="60"/>
        <v>1</v>
      </c>
      <c r="AR551" s="8">
        <f t="shared" si="61"/>
        <v>0.55436333636042634</v>
      </c>
      <c r="AS551">
        <f t="shared" si="62"/>
        <v>1</v>
      </c>
    </row>
    <row r="552" spans="1:45">
      <c r="A552" t="str">
        <f>Deals_Raw!A552</f>
        <v>D00623</v>
      </c>
      <c r="B552">
        <f>Deals_Raw!B552</f>
        <v>45376</v>
      </c>
      <c r="C552" t="str">
        <f>Deals_Raw!C552</f>
        <v>C0154</v>
      </c>
      <c r="D552" t="str">
        <f>Deals_Raw!D552</f>
        <v>LEG-0154</v>
      </c>
      <c r="E552" t="str">
        <f>Deals_Raw!E552</f>
        <v>CT00336</v>
      </c>
      <c r="F552" t="str">
        <f>Deals_Raw!F552</f>
        <v>Sales</v>
      </c>
      <c r="G552" t="str">
        <f>Deals_Raw!G552</f>
        <v>Legal</v>
      </c>
      <c r="H552" t="str">
        <f>Deals_Raw!H552</f>
        <v>South</v>
      </c>
      <c r="I552" t="str">
        <f>Deals_Raw!I552</f>
        <v>South Commercial</v>
      </c>
      <c r="J552" t="str">
        <f>Deals_Raw!J552</f>
        <v>SMB</v>
      </c>
      <c r="K552" t="str">
        <f>Deals_Raw!K552</f>
        <v>No</v>
      </c>
      <c r="L552">
        <f>Deals_Raw!L552</f>
        <v>45017</v>
      </c>
      <c r="M552">
        <f>Deals_Raw!M552</f>
        <v>85</v>
      </c>
      <c r="N552" t="str">
        <f>Deals_Raw!N552</f>
        <v>Nexus Analytics</v>
      </c>
      <c r="O552" t="str">
        <f>Deals_Raw!O552</f>
        <v>Expansion</v>
      </c>
      <c r="P552" t="str">
        <f>Deals_Raw!P552</f>
        <v>Module Add-on</v>
      </c>
      <c r="Q552">
        <f>Deals_Raw!Q552</f>
        <v>1</v>
      </c>
      <c r="R552">
        <f>Deals_Raw!R552</f>
        <v>26</v>
      </c>
      <c r="S552" t="str">
        <f>Deals_Raw!S552</f>
        <v>S. Rivera</v>
      </c>
      <c r="T552" s="6">
        <f>Deals_Raw!T552</f>
        <v>66018.43382626005</v>
      </c>
      <c r="U552" s="8">
        <f>Deals_Raw!V552</f>
        <v>0.13300000000000001</v>
      </c>
      <c r="V552" s="8">
        <f>Deals_Raw!W552</f>
        <v>0.123</v>
      </c>
      <c r="W552" s="8">
        <f>Deals_Raw!X552</f>
        <v>-5.2999999999999999E-2</v>
      </c>
      <c r="X552" t="str">
        <f>Deals_Raw!Y552</f>
        <v>Expansion opportunity</v>
      </c>
      <c r="Y552" t="str">
        <f>Deals_Raw!Z552</f>
        <v>Pricing Analyst</v>
      </c>
      <c r="Z552" s="6">
        <f>Deals_Raw!AA552</f>
        <v>57887.342144372204</v>
      </c>
      <c r="AA552" s="6">
        <f>Deals_Raw!AC552</f>
        <v>22782.128120179976</v>
      </c>
      <c r="AB552" s="6">
        <f>Deals_Raw!AD552</f>
        <v>35105.214024192232</v>
      </c>
      <c r="AC552" s="8">
        <f>Deals_Raw!AE552</f>
        <v>0.60644024623965487</v>
      </c>
      <c r="AD552" t="str">
        <f>Deals_Raw!AF552</f>
        <v>Won</v>
      </c>
      <c r="AE552">
        <f>Deals_Raw!AG552</f>
        <v>0</v>
      </c>
      <c r="AF552" t="str">
        <f>Deals_Raw!AH552</f>
        <v>Yes</v>
      </c>
      <c r="AG552" t="str">
        <f>Deals_Raw!AI552</f>
        <v>No</v>
      </c>
      <c r="AH552" s="6">
        <f>Deals_Raw!AJ552</f>
        <v>57887.342144372204</v>
      </c>
      <c r="AI552" s="6">
        <f>Deals_Raw!AK552</f>
        <v>35105.214024192232</v>
      </c>
      <c r="AJ552" t="str">
        <f>Deals_Raw!AL552</f>
        <v>Expansion allowed because contract was active</v>
      </c>
      <c r="AK552" s="9">
        <f t="shared" si="56"/>
        <v>0.98333333333333328</v>
      </c>
      <c r="AL552" s="8">
        <f t="shared" si="57"/>
        <v>0.87683604092629119</v>
      </c>
      <c r="AM552" s="8">
        <f t="shared" si="58"/>
        <v>1.0000000000000009E-2</v>
      </c>
      <c r="AN552" t="str">
        <f>IF(AC552&lt;Pricing_Policy!$C$10,"Below Floor","Pass")</f>
        <v>Pass</v>
      </c>
      <c r="AO552" t="str">
        <f>IF(V552&gt;Pricing_Policy!$C$7,"Exception","Standard")</f>
        <v>Standard</v>
      </c>
      <c r="AP552" t="str">
        <f t="shared" si="59"/>
        <v>Pass</v>
      </c>
      <c r="AQ552">
        <f t="shared" si="60"/>
        <v>1</v>
      </c>
      <c r="AR552" s="8">
        <f t="shared" si="61"/>
        <v>0.60644024623965487</v>
      </c>
      <c r="AS552">
        <f t="shared" si="62"/>
        <v>3</v>
      </c>
    </row>
    <row r="553" spans="1:45">
      <c r="A553" t="str">
        <f>Deals_Raw!A553</f>
        <v>D00624</v>
      </c>
      <c r="B553">
        <f>Deals_Raw!B553</f>
        <v>45543</v>
      </c>
      <c r="C553" t="str">
        <f>Deals_Raw!C553</f>
        <v>C0154</v>
      </c>
      <c r="D553" t="str">
        <f>Deals_Raw!D553</f>
        <v>LEG-0154</v>
      </c>
      <c r="E553" t="str">
        <f>Deals_Raw!E553</f>
        <v>CT00336</v>
      </c>
      <c r="F553" t="str">
        <f>Deals_Raw!F553</f>
        <v>Sales</v>
      </c>
      <c r="G553" t="str">
        <f>Deals_Raw!G553</f>
        <v>Legal</v>
      </c>
      <c r="H553" t="str">
        <f>Deals_Raw!H553</f>
        <v>South</v>
      </c>
      <c r="I553" t="str">
        <f>Deals_Raw!I553</f>
        <v>South Commercial</v>
      </c>
      <c r="J553" t="str">
        <f>Deals_Raw!J553</f>
        <v>SMB</v>
      </c>
      <c r="K553" t="str">
        <f>Deals_Raw!K553</f>
        <v>No</v>
      </c>
      <c r="L553">
        <f>Deals_Raw!L553</f>
        <v>45017</v>
      </c>
      <c r="M553">
        <f>Deals_Raw!M553</f>
        <v>85</v>
      </c>
      <c r="N553" t="str">
        <f>Deals_Raw!N553</f>
        <v>Nexus Analytics</v>
      </c>
      <c r="O553" t="str">
        <f>Deals_Raw!O553</f>
        <v>Renewal</v>
      </c>
      <c r="P553">
        <f>Deals_Raw!P553</f>
        <v>0</v>
      </c>
      <c r="Q553">
        <f>Deals_Raw!Q553</f>
        <v>1</v>
      </c>
      <c r="R553">
        <f>Deals_Raw!R553</f>
        <v>26</v>
      </c>
      <c r="S553" t="str">
        <f>Deals_Raw!S553</f>
        <v>D. Chen</v>
      </c>
      <c r="T553" s="6">
        <f>Deals_Raw!T553</f>
        <v>71224.121549565345</v>
      </c>
      <c r="U553" s="8">
        <f>Deals_Raw!V553</f>
        <v>0.20699999999999999</v>
      </c>
      <c r="V553" s="8">
        <f>Deals_Raw!W553</f>
        <v>0.185</v>
      </c>
      <c r="W553" s="8">
        <f>Deals_Raw!X553</f>
        <v>2.3E-2</v>
      </c>
      <c r="X553" t="str">
        <f>Deals_Raw!Y553</f>
        <v>Budget constraint</v>
      </c>
      <c r="Y553" t="str">
        <f>Deals_Raw!Z553</f>
        <v>Pricing Analyst</v>
      </c>
      <c r="Z553" s="6">
        <f>Deals_Raw!AA553</f>
        <v>58016.751153531943</v>
      </c>
      <c r="AA553" s="6">
        <f>Deals_Raw!AC553</f>
        <v>24217.438965065445</v>
      </c>
      <c r="AB553" s="6">
        <f>Deals_Raw!AD553</f>
        <v>33799.312188466502</v>
      </c>
      <c r="AC553" s="8">
        <f>Deals_Raw!AE553</f>
        <v>0.58257850562886726</v>
      </c>
      <c r="AD553" t="str">
        <f>Deals_Raw!AF553</f>
        <v>Won</v>
      </c>
      <c r="AE553" t="str">
        <f>Deals_Raw!AG553</f>
        <v>Yes</v>
      </c>
      <c r="AF553">
        <f>Deals_Raw!AH553</f>
        <v>0</v>
      </c>
      <c r="AG553" t="str">
        <f>Deals_Raw!AI553</f>
        <v>No</v>
      </c>
      <c r="AH553" s="6">
        <f>Deals_Raw!AJ553</f>
        <v>58016.751153531943</v>
      </c>
      <c r="AI553" s="6">
        <f>Deals_Raw!AK553</f>
        <v>33799.312188466502</v>
      </c>
      <c r="AJ553" t="str">
        <f>Deals_Raw!AL553</f>
        <v>Renewal of existing active contract</v>
      </c>
      <c r="AK553" s="9">
        <f t="shared" si="56"/>
        <v>1.4361111111111111</v>
      </c>
      <c r="AL553" s="8">
        <f t="shared" si="57"/>
        <v>0.81456604716644621</v>
      </c>
      <c r="AM553" s="8">
        <f t="shared" si="58"/>
        <v>2.1999999999999992E-2</v>
      </c>
      <c r="AN553" t="str">
        <f>IF(AC553&lt;Pricing_Policy!$C$10,"Below Floor","Pass")</f>
        <v>Pass</v>
      </c>
      <c r="AO553" t="str">
        <f>IF(V553&gt;Pricing_Policy!$C$7,"Exception","Standard")</f>
        <v>Standard</v>
      </c>
      <c r="AP553" t="str">
        <f t="shared" si="59"/>
        <v>Pass</v>
      </c>
      <c r="AQ553">
        <f t="shared" si="60"/>
        <v>1</v>
      </c>
      <c r="AR553" s="8">
        <f t="shared" si="61"/>
        <v>0.58257850562886726</v>
      </c>
      <c r="AS553">
        <f t="shared" si="62"/>
        <v>3</v>
      </c>
    </row>
    <row r="554" spans="1:45">
      <c r="A554" t="str">
        <f>Deals_Raw!A554</f>
        <v>D00625</v>
      </c>
      <c r="B554">
        <f>Deals_Raw!B554</f>
        <v>45908</v>
      </c>
      <c r="C554" t="str">
        <f>Deals_Raw!C554</f>
        <v>C0154</v>
      </c>
      <c r="D554" t="str">
        <f>Deals_Raw!D554</f>
        <v>LEG-0154</v>
      </c>
      <c r="E554" t="str">
        <f>Deals_Raw!E554</f>
        <v>CT00336</v>
      </c>
      <c r="F554" t="str">
        <f>Deals_Raw!F554</f>
        <v>Sales</v>
      </c>
      <c r="G554" t="str">
        <f>Deals_Raw!G554</f>
        <v>Legal</v>
      </c>
      <c r="H554" t="str">
        <f>Deals_Raw!H554</f>
        <v>South</v>
      </c>
      <c r="I554" t="str">
        <f>Deals_Raw!I554</f>
        <v>South Commercial</v>
      </c>
      <c r="J554" t="str">
        <f>Deals_Raw!J554</f>
        <v>SMB</v>
      </c>
      <c r="K554" t="str">
        <f>Deals_Raw!K554</f>
        <v>No</v>
      </c>
      <c r="L554">
        <f>Deals_Raw!L554</f>
        <v>45017</v>
      </c>
      <c r="M554">
        <f>Deals_Raw!M554</f>
        <v>85</v>
      </c>
      <c r="N554" t="str">
        <f>Deals_Raw!N554</f>
        <v>Nexus Analytics</v>
      </c>
      <c r="O554" t="str">
        <f>Deals_Raw!O554</f>
        <v>Renewal</v>
      </c>
      <c r="P554">
        <f>Deals_Raw!P554</f>
        <v>0</v>
      </c>
      <c r="Q554">
        <f>Deals_Raw!Q554</f>
        <v>1</v>
      </c>
      <c r="R554">
        <f>Deals_Raw!R554</f>
        <v>26</v>
      </c>
      <c r="S554" t="str">
        <f>Deals_Raw!S554</f>
        <v>A. Patel</v>
      </c>
      <c r="T554" s="6">
        <f>Deals_Raw!T554</f>
        <v>76578.448637914917</v>
      </c>
      <c r="U554" s="8">
        <f>Deals_Raw!V554</f>
        <v>0.17699999999999999</v>
      </c>
      <c r="V554" s="8">
        <f>Deals_Raw!W554</f>
        <v>0.158</v>
      </c>
      <c r="W554" s="8">
        <f>Deals_Raw!X554</f>
        <v>2.5000000000000001E-2</v>
      </c>
      <c r="X554" t="str">
        <f>Deals_Raw!Y554</f>
        <v>Renewal retention risk</v>
      </c>
      <c r="Y554" t="str">
        <f>Deals_Raw!Z554</f>
        <v>Pricing Analyst</v>
      </c>
      <c r="Z554" s="6">
        <f>Deals_Raw!AA554</f>
        <v>64487.508872879589</v>
      </c>
      <c r="AA554" s="6">
        <f>Deals_Raw!AC554</f>
        <v>25479.701239697228</v>
      </c>
      <c r="AB554" s="6">
        <f>Deals_Raw!AD554</f>
        <v>39007.807633182361</v>
      </c>
      <c r="AC554" s="8">
        <f>Deals_Raw!AE554</f>
        <v>0.60488935477529682</v>
      </c>
      <c r="AD554" t="str">
        <f>Deals_Raw!AF554</f>
        <v>Won</v>
      </c>
      <c r="AE554" t="str">
        <f>Deals_Raw!AG554</f>
        <v>Yes</v>
      </c>
      <c r="AF554">
        <f>Deals_Raw!AH554</f>
        <v>0</v>
      </c>
      <c r="AG554" t="str">
        <f>Deals_Raw!AI554</f>
        <v>No</v>
      </c>
      <c r="AH554" s="6">
        <f>Deals_Raw!AJ554</f>
        <v>64487.508872879589</v>
      </c>
      <c r="AI554" s="6">
        <f>Deals_Raw!AK554</f>
        <v>39007.807633182361</v>
      </c>
      <c r="AJ554" t="str">
        <f>Deals_Raw!AL554</f>
        <v>Renewal of existing active contract</v>
      </c>
      <c r="AK554" s="9">
        <f t="shared" si="56"/>
        <v>2.4361111111111109</v>
      </c>
      <c r="AL554" s="8">
        <f t="shared" si="57"/>
        <v>0.84211041121758956</v>
      </c>
      <c r="AM554" s="8">
        <f t="shared" si="58"/>
        <v>1.8999999999999989E-2</v>
      </c>
      <c r="AN554" t="str">
        <f>IF(AC554&lt;Pricing_Policy!$C$10,"Below Floor","Pass")</f>
        <v>Pass</v>
      </c>
      <c r="AO554" t="str">
        <f>IF(V554&gt;Pricing_Policy!$C$7,"Exception","Standard")</f>
        <v>Standard</v>
      </c>
      <c r="AP554" t="str">
        <f t="shared" si="59"/>
        <v>Pass</v>
      </c>
      <c r="AQ554">
        <f t="shared" si="60"/>
        <v>1</v>
      </c>
      <c r="AR554" s="8">
        <f t="shared" si="61"/>
        <v>0.60488935477529682</v>
      </c>
      <c r="AS554">
        <f t="shared" si="62"/>
        <v>3</v>
      </c>
    </row>
    <row r="555" spans="1:45">
      <c r="A555" t="str">
        <f>Deals_Raw!A555</f>
        <v>D00626</v>
      </c>
      <c r="B555">
        <f>Deals_Raw!B555</f>
        <v>45803</v>
      </c>
      <c r="C555" t="str">
        <f>Deals_Raw!C555</f>
        <v>C0155</v>
      </c>
      <c r="D555" t="str">
        <f>Deals_Raw!D555</f>
        <v>LEG-0155</v>
      </c>
      <c r="E555" t="str">
        <f>Deals_Raw!E555</f>
        <v>CT00337</v>
      </c>
      <c r="F555" t="str">
        <f>Deals_Raw!F555</f>
        <v>Corporate</v>
      </c>
      <c r="G555" t="str">
        <f>Deals_Raw!G555</f>
        <v>Legal</v>
      </c>
      <c r="H555" t="str">
        <f>Deals_Raw!H555</f>
        <v>Midwest</v>
      </c>
      <c r="I555" t="str">
        <f>Deals_Raw!I555</f>
        <v>Midwest Commercial</v>
      </c>
      <c r="J555" t="str">
        <f>Deals_Raw!J555</f>
        <v>SMB</v>
      </c>
      <c r="K555" t="str">
        <f>Deals_Raw!K555</f>
        <v>No</v>
      </c>
      <c r="L555">
        <f>Deals_Raw!L555</f>
        <v>44440</v>
      </c>
      <c r="M555">
        <f>Deals_Raw!M555</f>
        <v>58</v>
      </c>
      <c r="N555" t="str">
        <f>Deals_Raw!N555</f>
        <v>Nexus Enterprise Suite</v>
      </c>
      <c r="O555" t="str">
        <f>Deals_Raw!O555</f>
        <v>New Business</v>
      </c>
      <c r="P555">
        <f>Deals_Raw!P555</f>
        <v>0</v>
      </c>
      <c r="Q555">
        <f>Deals_Raw!Q555</f>
        <v>2</v>
      </c>
      <c r="R555">
        <f>Deals_Raw!R555</f>
        <v>17</v>
      </c>
      <c r="S555" t="str">
        <f>Deals_Raw!S555</f>
        <v>T. Brooks</v>
      </c>
      <c r="T555" s="6">
        <f>Deals_Raw!T555</f>
        <v>160347.11683538009</v>
      </c>
      <c r="U555" s="8">
        <f>Deals_Raw!V555</f>
        <v>0.1</v>
      </c>
      <c r="V555" s="8">
        <f>Deals_Raw!W555</f>
        <v>6.3E-2</v>
      </c>
      <c r="W555" s="8">
        <f>Deals_Raw!X555</f>
        <v>-1.9E-2</v>
      </c>
      <c r="X555" t="str">
        <f>Deals_Raw!Y555</f>
        <v>Multi-year commitment</v>
      </c>
      <c r="Y555" t="str">
        <f>Deals_Raw!Z555</f>
        <v>Sales Manager</v>
      </c>
      <c r="Z555" s="6">
        <f>Deals_Raw!AA555</f>
        <v>150166.04444224021</v>
      </c>
      <c r="AA555" s="6">
        <f>Deals_Raw!AC555</f>
        <v>65283.303434754329</v>
      </c>
      <c r="AB555" s="6">
        <f>Deals_Raw!AD555</f>
        <v>84882.741007485878</v>
      </c>
      <c r="AC555" s="8">
        <f>Deals_Raw!AE555</f>
        <v>0.56525921903826359</v>
      </c>
      <c r="AD555" t="str">
        <f>Deals_Raw!AF555</f>
        <v>Lost</v>
      </c>
      <c r="AE555">
        <f>Deals_Raw!AG555</f>
        <v>0</v>
      </c>
      <c r="AF555">
        <f>Deals_Raw!AH555</f>
        <v>0</v>
      </c>
      <c r="AG555" t="str">
        <f>Deals_Raw!AI555</f>
        <v>No</v>
      </c>
      <c r="AH555" s="6">
        <f>Deals_Raw!AJ555</f>
        <v>0</v>
      </c>
      <c r="AI555" s="6">
        <f>Deals_Raw!AK555</f>
        <v>0</v>
      </c>
      <c r="AJ555" t="str">
        <f>Deals_Raw!AL555</f>
        <v>First purchase under this contract</v>
      </c>
      <c r="AK555" s="9">
        <f t="shared" si="56"/>
        <v>3.7361111111111112</v>
      </c>
      <c r="AL555" s="8">
        <f t="shared" si="57"/>
        <v>0.93650604641933011</v>
      </c>
      <c r="AM555" s="8">
        <f t="shared" si="58"/>
        <v>3.7000000000000005E-2</v>
      </c>
      <c r="AN555" t="str">
        <f>IF(AC555&lt;Pricing_Policy!$C$10,"Below Floor","Pass")</f>
        <v>Pass</v>
      </c>
      <c r="AO555" t="str">
        <f>IF(V555&gt;Pricing_Policy!$C$7,"Exception","Standard")</f>
        <v>Standard</v>
      </c>
      <c r="AP555" t="str">
        <f t="shared" si="59"/>
        <v>Pass</v>
      </c>
      <c r="AQ555">
        <f t="shared" si="60"/>
        <v>0</v>
      </c>
      <c r="AR555" s="8">
        <f t="shared" si="61"/>
        <v>0</v>
      </c>
      <c r="AS555">
        <f t="shared" si="62"/>
        <v>1</v>
      </c>
    </row>
    <row r="556" spans="1:45">
      <c r="A556" t="str">
        <f>Deals_Raw!A556</f>
        <v>D00627</v>
      </c>
      <c r="B556">
        <f>Deals_Raw!B556</f>
        <v>45399</v>
      </c>
      <c r="C556" t="str">
        <f>Deals_Raw!C556</f>
        <v>C0155</v>
      </c>
      <c r="D556" t="str">
        <f>Deals_Raw!D556</f>
        <v>LEG-0155</v>
      </c>
      <c r="E556" t="str">
        <f>Deals_Raw!E556</f>
        <v>CT00338</v>
      </c>
      <c r="F556" t="str">
        <f>Deals_Raw!F556</f>
        <v>Legal</v>
      </c>
      <c r="G556" t="str">
        <f>Deals_Raw!G556</f>
        <v>Legal</v>
      </c>
      <c r="H556" t="str">
        <f>Deals_Raw!H556</f>
        <v>Midwest</v>
      </c>
      <c r="I556" t="str">
        <f>Deals_Raw!I556</f>
        <v>Midwest Commercial</v>
      </c>
      <c r="J556" t="str">
        <f>Deals_Raw!J556</f>
        <v>SMB</v>
      </c>
      <c r="K556" t="str">
        <f>Deals_Raw!K556</f>
        <v>No</v>
      </c>
      <c r="L556">
        <f>Deals_Raw!L556</f>
        <v>44440</v>
      </c>
      <c r="M556">
        <f>Deals_Raw!M556</f>
        <v>58</v>
      </c>
      <c r="N556" t="str">
        <f>Deals_Raw!N556</f>
        <v>Nexus Compliance</v>
      </c>
      <c r="O556" t="str">
        <f>Deals_Raw!O556</f>
        <v>New Business</v>
      </c>
      <c r="P556">
        <f>Deals_Raw!P556</f>
        <v>0</v>
      </c>
      <c r="Q556">
        <f>Deals_Raw!Q556</f>
        <v>1</v>
      </c>
      <c r="R556">
        <f>Deals_Raw!R556</f>
        <v>36</v>
      </c>
      <c r="S556" t="str">
        <f>Deals_Raw!S556</f>
        <v>A. Patel</v>
      </c>
      <c r="T556" s="6">
        <f>Deals_Raw!T556</f>
        <v>76837.857790762384</v>
      </c>
      <c r="U556" s="8">
        <f>Deals_Raw!V556</f>
        <v>0.16300000000000001</v>
      </c>
      <c r="V556" s="8">
        <f>Deals_Raw!W556</f>
        <v>0.16200000000000001</v>
      </c>
      <c r="W556" s="8">
        <f>Deals_Raw!X556</f>
        <v>-0.11899999999999999</v>
      </c>
      <c r="X556" t="str">
        <f>Deals_Raw!Y556</f>
        <v>Verified competitor pressure</v>
      </c>
      <c r="Y556" t="str">
        <f>Deals_Raw!Z556</f>
        <v>Pricing Analyst</v>
      </c>
      <c r="Z556" s="6">
        <f>Deals_Raw!AA556</f>
        <v>64411.995191692586</v>
      </c>
      <c r="AA556" s="6">
        <f>Deals_Raw!AC556</f>
        <v>27202.970545563883</v>
      </c>
      <c r="AB556" s="6">
        <f>Deals_Raw!AD556</f>
        <v>37209.024646128702</v>
      </c>
      <c r="AC556" s="8">
        <f>Deals_Raw!AE556</f>
        <v>0.57767228814125704</v>
      </c>
      <c r="AD556" t="str">
        <f>Deals_Raw!AF556</f>
        <v>Lost</v>
      </c>
      <c r="AE556">
        <f>Deals_Raw!AG556</f>
        <v>0</v>
      </c>
      <c r="AF556">
        <f>Deals_Raw!AH556</f>
        <v>0</v>
      </c>
      <c r="AG556" t="str">
        <f>Deals_Raw!AI556</f>
        <v>No</v>
      </c>
      <c r="AH556" s="6">
        <f>Deals_Raw!AJ556</f>
        <v>0</v>
      </c>
      <c r="AI556" s="6">
        <f>Deals_Raw!AK556</f>
        <v>0</v>
      </c>
      <c r="AJ556" t="str">
        <f>Deals_Raw!AL556</f>
        <v>First purchase under this contract</v>
      </c>
      <c r="AK556" s="9">
        <f t="shared" si="56"/>
        <v>2.6277777777777778</v>
      </c>
      <c r="AL556" s="8">
        <f t="shared" si="57"/>
        <v>0.83828463004647091</v>
      </c>
      <c r="AM556" s="8">
        <f t="shared" si="58"/>
        <v>1.0000000000000009E-3</v>
      </c>
      <c r="AN556" t="str">
        <f>IF(AC556&lt;Pricing_Policy!$C$10,"Below Floor","Pass")</f>
        <v>Pass</v>
      </c>
      <c r="AO556" t="str">
        <f>IF(V556&gt;Pricing_Policy!$C$7,"Exception","Standard")</f>
        <v>Standard</v>
      </c>
      <c r="AP556" t="str">
        <f t="shared" si="59"/>
        <v>Pass</v>
      </c>
      <c r="AQ556">
        <f t="shared" si="60"/>
        <v>0</v>
      </c>
      <c r="AR556" s="8">
        <f t="shared" si="61"/>
        <v>0</v>
      </c>
      <c r="AS556">
        <f t="shared" si="62"/>
        <v>2</v>
      </c>
    </row>
    <row r="557" spans="1:45">
      <c r="A557" t="str">
        <f>Deals_Raw!A557</f>
        <v>D00629</v>
      </c>
      <c r="B557">
        <f>Deals_Raw!B557</f>
        <v>45301</v>
      </c>
      <c r="C557" t="str">
        <f>Deals_Raw!C557</f>
        <v>C0155</v>
      </c>
      <c r="D557" t="str">
        <f>Deals_Raw!D557</f>
        <v>LEG-0155</v>
      </c>
      <c r="E557" t="str">
        <f>Deals_Raw!E557</f>
        <v>CT00339</v>
      </c>
      <c r="F557" t="str">
        <f>Deals_Raw!F557</f>
        <v>Corporate</v>
      </c>
      <c r="G557" t="str">
        <f>Deals_Raw!G557</f>
        <v>Legal</v>
      </c>
      <c r="H557" t="str">
        <f>Deals_Raw!H557</f>
        <v>Midwest</v>
      </c>
      <c r="I557" t="str">
        <f>Deals_Raw!I557</f>
        <v>Midwest Commercial</v>
      </c>
      <c r="J557" t="str">
        <f>Deals_Raw!J557</f>
        <v>SMB</v>
      </c>
      <c r="K557" t="str">
        <f>Deals_Raw!K557</f>
        <v>No</v>
      </c>
      <c r="L557">
        <f>Deals_Raw!L557</f>
        <v>44440</v>
      </c>
      <c r="M557">
        <f>Deals_Raw!M557</f>
        <v>58</v>
      </c>
      <c r="N557" t="str">
        <f>Deals_Raw!N557</f>
        <v>Nexus Compliance</v>
      </c>
      <c r="O557" t="str">
        <f>Deals_Raw!O557</f>
        <v>Renewal</v>
      </c>
      <c r="P557">
        <f>Deals_Raw!P557</f>
        <v>0</v>
      </c>
      <c r="Q557">
        <f>Deals_Raw!Q557</f>
        <v>1</v>
      </c>
      <c r="R557">
        <f>Deals_Raw!R557</f>
        <v>62</v>
      </c>
      <c r="S557" t="str">
        <f>Deals_Raw!S557</f>
        <v>S. Rivera</v>
      </c>
      <c r="T557" s="6">
        <f>Deals_Raw!T557</f>
        <v>91711.714382660008</v>
      </c>
      <c r="U557" s="8">
        <f>Deals_Raw!V557</f>
        <v>0.17799999999999999</v>
      </c>
      <c r="V557" s="8">
        <f>Deals_Raw!W557</f>
        <v>0.159</v>
      </c>
      <c r="W557" s="8">
        <f>Deals_Raw!X557</f>
        <v>-5.7000000000000002E-2</v>
      </c>
      <c r="X557" t="str">
        <f>Deals_Raw!Y557</f>
        <v>Renewal retention risk</v>
      </c>
      <c r="Y557" t="str">
        <f>Deals_Raw!Z557</f>
        <v>Pricing Analyst</v>
      </c>
      <c r="Z557" s="6">
        <f>Deals_Raw!AA557</f>
        <v>77156.503959086593</v>
      </c>
      <c r="AA557" s="6">
        <f>Deals_Raw!AC557</f>
        <v>30733.69182460678</v>
      </c>
      <c r="AB557" s="6">
        <f>Deals_Raw!AD557</f>
        <v>46422.812134479813</v>
      </c>
      <c r="AC557" s="8">
        <f>Deals_Raw!AE557</f>
        <v>0.60167075686965044</v>
      </c>
      <c r="AD557" t="str">
        <f>Deals_Raw!AF557</f>
        <v>Lost</v>
      </c>
      <c r="AE557" t="str">
        <f>Deals_Raw!AG557</f>
        <v>No</v>
      </c>
      <c r="AF557">
        <f>Deals_Raw!AH557</f>
        <v>0</v>
      </c>
      <c r="AG557" t="str">
        <f>Deals_Raw!AI557</f>
        <v>No</v>
      </c>
      <c r="AH557" s="6">
        <f>Deals_Raw!AJ557</f>
        <v>0</v>
      </c>
      <c r="AI557" s="6">
        <f>Deals_Raw!AK557</f>
        <v>0</v>
      </c>
      <c r="AJ557" t="str">
        <f>Deals_Raw!AL557</f>
        <v>Renewal of existing active contract</v>
      </c>
      <c r="AK557" s="9">
        <f t="shared" si="56"/>
        <v>2.3583333333333334</v>
      </c>
      <c r="AL557" s="8">
        <f t="shared" si="57"/>
        <v>0.84129387917836829</v>
      </c>
      <c r="AM557" s="8">
        <f t="shared" si="58"/>
        <v>1.8999999999999989E-2</v>
      </c>
      <c r="AN557" t="str">
        <f>IF(AC557&lt;Pricing_Policy!$C$10,"Below Floor","Pass")</f>
        <v>Pass</v>
      </c>
      <c r="AO557" t="str">
        <f>IF(V557&gt;Pricing_Policy!$C$7,"Exception","Standard")</f>
        <v>Standard</v>
      </c>
      <c r="AP557" t="str">
        <f t="shared" si="59"/>
        <v>Pass</v>
      </c>
      <c r="AQ557">
        <f t="shared" si="60"/>
        <v>0</v>
      </c>
      <c r="AR557" s="8">
        <f t="shared" si="61"/>
        <v>0</v>
      </c>
      <c r="AS557">
        <f t="shared" si="62"/>
        <v>2</v>
      </c>
    </row>
    <row r="558" spans="1:45">
      <c r="A558" t="str">
        <f>Deals_Raw!A558</f>
        <v>D00630</v>
      </c>
      <c r="B558">
        <f>Deals_Raw!B558</f>
        <v>45570</v>
      </c>
      <c r="C558" t="str">
        <f>Deals_Raw!C558</f>
        <v>C0156</v>
      </c>
      <c r="D558" t="str">
        <f>Deals_Raw!D558</f>
        <v>HEA-0156</v>
      </c>
      <c r="E558" t="str">
        <f>Deals_Raw!E558</f>
        <v>CT00340</v>
      </c>
      <c r="F558" t="str">
        <f>Deals_Raw!F558</f>
        <v>Finance</v>
      </c>
      <c r="G558" t="str">
        <f>Deals_Raw!G558</f>
        <v>Healthcare</v>
      </c>
      <c r="H558" t="str">
        <f>Deals_Raw!H558</f>
        <v>South</v>
      </c>
      <c r="I558" t="str">
        <f>Deals_Raw!I558</f>
        <v>South Commercial</v>
      </c>
      <c r="J558" t="str">
        <f>Deals_Raw!J558</f>
        <v>Mid-Market</v>
      </c>
      <c r="K558" t="str">
        <f>Deals_Raw!K558</f>
        <v>No</v>
      </c>
      <c r="L558">
        <f>Deals_Raw!L558</f>
        <v>44105</v>
      </c>
      <c r="M558">
        <f>Deals_Raw!M558</f>
        <v>72</v>
      </c>
      <c r="N558" t="str">
        <f>Deals_Raw!N558</f>
        <v>Nexus AI Assistant</v>
      </c>
      <c r="O558" t="str">
        <f>Deals_Raw!O558</f>
        <v>New Business</v>
      </c>
      <c r="P558">
        <f>Deals_Raw!P558</f>
        <v>0</v>
      </c>
      <c r="Q558">
        <f>Deals_Raw!Q558</f>
        <v>1</v>
      </c>
      <c r="R558">
        <f>Deals_Raw!R558</f>
        <v>273</v>
      </c>
      <c r="S558" t="str">
        <f>Deals_Raw!S558</f>
        <v>S. Rivera</v>
      </c>
      <c r="T558" s="6">
        <f>Deals_Raw!T558</f>
        <v>57487.314366153463</v>
      </c>
      <c r="U558" s="8">
        <f>Deals_Raw!V558</f>
        <v>0.11</v>
      </c>
      <c r="V558" s="8">
        <f>Deals_Raw!W558</f>
        <v>8.6999999999999994E-2</v>
      </c>
      <c r="W558" s="8">
        <f>Deals_Raw!X558</f>
        <v>0.11</v>
      </c>
      <c r="X558" t="str">
        <f>Deals_Raw!Y558</f>
        <v>Procurement requirement</v>
      </c>
      <c r="Y558" t="str">
        <f>Deals_Raw!Z558</f>
        <v>Sales Manager</v>
      </c>
      <c r="Z558" s="6">
        <f>Deals_Raw!AA558</f>
        <v>52495.544910349374</v>
      </c>
      <c r="AA558" s="6">
        <f>Deals_Raw!AC558</f>
        <v>22480.435486120427</v>
      </c>
      <c r="AB558" s="6">
        <f>Deals_Raw!AD558</f>
        <v>30015.109424228947</v>
      </c>
      <c r="AC558" s="8">
        <f>Deals_Raw!AE558</f>
        <v>0.57176488929656843</v>
      </c>
      <c r="AD558" t="str">
        <f>Deals_Raw!AF558</f>
        <v>Won</v>
      </c>
      <c r="AE558">
        <f>Deals_Raw!AG558</f>
        <v>0</v>
      </c>
      <c r="AF558">
        <f>Deals_Raw!AH558</f>
        <v>0</v>
      </c>
      <c r="AG558" t="str">
        <f>Deals_Raw!AI558</f>
        <v>No</v>
      </c>
      <c r="AH558" s="6">
        <f>Deals_Raw!AJ558</f>
        <v>52495.544910349374</v>
      </c>
      <c r="AI558" s="6">
        <f>Deals_Raw!AK558</f>
        <v>30015.109424228947</v>
      </c>
      <c r="AJ558" t="str">
        <f>Deals_Raw!AL558</f>
        <v>First purchase under this contract</v>
      </c>
      <c r="AK558" s="9">
        <f t="shared" si="56"/>
        <v>4.0111111111111111</v>
      </c>
      <c r="AL558" s="8">
        <f t="shared" si="57"/>
        <v>0.91316746118961034</v>
      </c>
      <c r="AM558" s="8">
        <f t="shared" si="58"/>
        <v>2.3000000000000007E-2</v>
      </c>
      <c r="AN558" t="str">
        <f>IF(AC558&lt;Pricing_Policy!$C$10,"Below Floor","Pass")</f>
        <v>Pass</v>
      </c>
      <c r="AO558" t="str">
        <f>IF(V558&gt;Pricing_Policy!$C$7,"Exception","Standard")</f>
        <v>Standard</v>
      </c>
      <c r="AP558" t="str">
        <f t="shared" si="59"/>
        <v>Pass</v>
      </c>
      <c r="AQ558">
        <f t="shared" si="60"/>
        <v>1</v>
      </c>
      <c r="AR558" s="8">
        <f t="shared" si="61"/>
        <v>0.57176488929656843</v>
      </c>
      <c r="AS558">
        <f t="shared" si="62"/>
        <v>2</v>
      </c>
    </row>
    <row r="559" spans="1:45">
      <c r="A559" t="str">
        <f>Deals_Raw!A559</f>
        <v>D00631</v>
      </c>
      <c r="B559">
        <f>Deals_Raw!B559</f>
        <v>45935</v>
      </c>
      <c r="C559" t="str">
        <f>Deals_Raw!C559</f>
        <v>C0156</v>
      </c>
      <c r="D559" t="str">
        <f>Deals_Raw!D559</f>
        <v>HEA-0156</v>
      </c>
      <c r="E559" t="str">
        <f>Deals_Raw!E559</f>
        <v>CT00340</v>
      </c>
      <c r="F559" t="str">
        <f>Deals_Raw!F559</f>
        <v>Finance</v>
      </c>
      <c r="G559" t="str">
        <f>Deals_Raw!G559</f>
        <v>Healthcare</v>
      </c>
      <c r="H559" t="str">
        <f>Deals_Raw!H559</f>
        <v>South</v>
      </c>
      <c r="I559" t="str">
        <f>Deals_Raw!I559</f>
        <v>South Commercial</v>
      </c>
      <c r="J559" t="str">
        <f>Deals_Raw!J559</f>
        <v>Mid-Market</v>
      </c>
      <c r="K559" t="str">
        <f>Deals_Raw!K559</f>
        <v>No</v>
      </c>
      <c r="L559">
        <f>Deals_Raw!L559</f>
        <v>44105</v>
      </c>
      <c r="M559">
        <f>Deals_Raw!M559</f>
        <v>72</v>
      </c>
      <c r="N559" t="str">
        <f>Deals_Raw!N559</f>
        <v>Nexus AI Assistant</v>
      </c>
      <c r="O559" t="str">
        <f>Deals_Raw!O559</f>
        <v>Renewal</v>
      </c>
      <c r="P559">
        <f>Deals_Raw!P559</f>
        <v>0</v>
      </c>
      <c r="Q559">
        <f>Deals_Raw!Q559</f>
        <v>1</v>
      </c>
      <c r="R559">
        <f>Deals_Raw!R559</f>
        <v>273</v>
      </c>
      <c r="S559" t="str">
        <f>Deals_Raw!S559</f>
        <v>R. Singh</v>
      </c>
      <c r="T559" s="6">
        <f>Deals_Raw!T559</f>
        <v>59449.930409673099</v>
      </c>
      <c r="U559" s="8">
        <f>Deals_Raw!V559</f>
        <v>0.21099999999999999</v>
      </c>
      <c r="V559" s="8">
        <f>Deals_Raw!W559</f>
        <v>0.19900000000000001</v>
      </c>
      <c r="W559" s="8">
        <f>Deals_Raw!X559</f>
        <v>3.6999999999999998E-2</v>
      </c>
      <c r="X559" t="str">
        <f>Deals_Raw!Y559</f>
        <v>Verified competitor pressure</v>
      </c>
      <c r="Y559" t="str">
        <f>Deals_Raw!Z559</f>
        <v>Pricing Analyst</v>
      </c>
      <c r="Z559" s="6">
        <f>Deals_Raw!AA559</f>
        <v>47598.761669847299</v>
      </c>
      <c r="AA559" s="6">
        <f>Deals_Raw!AC559</f>
        <v>21825.601518918818</v>
      </c>
      <c r="AB559" s="6">
        <f>Deals_Raw!AD559</f>
        <v>25773.160150928481</v>
      </c>
      <c r="AC559" s="8">
        <f>Deals_Raw!AE559</f>
        <v>0.54146703079578595</v>
      </c>
      <c r="AD559" t="str">
        <f>Deals_Raw!AF559</f>
        <v>Won</v>
      </c>
      <c r="AE559" t="str">
        <f>Deals_Raw!AG559</f>
        <v>Yes</v>
      </c>
      <c r="AF559">
        <f>Deals_Raw!AH559</f>
        <v>0</v>
      </c>
      <c r="AG559" t="str">
        <f>Deals_Raw!AI559</f>
        <v>No</v>
      </c>
      <c r="AH559" s="6">
        <f>Deals_Raw!AJ559</f>
        <v>47598.761669847299</v>
      </c>
      <c r="AI559" s="6">
        <f>Deals_Raw!AK559</f>
        <v>25773.160150928481</v>
      </c>
      <c r="AJ559" t="str">
        <f>Deals_Raw!AL559</f>
        <v>Renewal of existing active contract</v>
      </c>
      <c r="AK559" s="9">
        <f t="shared" si="56"/>
        <v>5.0111111111111111</v>
      </c>
      <c r="AL559" s="8">
        <f t="shared" si="57"/>
        <v>0.80065294175857449</v>
      </c>
      <c r="AM559" s="8">
        <f t="shared" si="58"/>
        <v>1.1999999999999983E-2</v>
      </c>
      <c r="AN559" t="str">
        <f>IF(AC559&lt;Pricing_Policy!$C$10,"Below Floor","Pass")</f>
        <v>Pass</v>
      </c>
      <c r="AO559" t="str">
        <f>IF(V559&gt;Pricing_Policy!$C$7,"Exception","Standard")</f>
        <v>Standard</v>
      </c>
      <c r="AP559" t="str">
        <f t="shared" si="59"/>
        <v>Pass</v>
      </c>
      <c r="AQ559">
        <f t="shared" si="60"/>
        <v>1</v>
      </c>
      <c r="AR559" s="8">
        <f t="shared" si="61"/>
        <v>0.54146703079578595</v>
      </c>
      <c r="AS559">
        <f t="shared" si="62"/>
        <v>2</v>
      </c>
    </row>
    <row r="560" spans="1:45">
      <c r="A560" t="str">
        <f>Deals_Raw!A560</f>
        <v>D00632</v>
      </c>
      <c r="B560">
        <f>Deals_Raw!B560</f>
        <v>45413</v>
      </c>
      <c r="C560" t="str">
        <f>Deals_Raw!C560</f>
        <v>C0157</v>
      </c>
      <c r="D560" t="str">
        <f>Deals_Raw!D560</f>
        <v>LEG-0157</v>
      </c>
      <c r="E560" t="str">
        <f>Deals_Raw!E560</f>
        <v>CT00341</v>
      </c>
      <c r="F560" t="str">
        <f>Deals_Raw!F560</f>
        <v>Operations</v>
      </c>
      <c r="G560" t="str">
        <f>Deals_Raw!G560</f>
        <v>Legal</v>
      </c>
      <c r="H560" t="str">
        <f>Deals_Raw!H560</f>
        <v>West</v>
      </c>
      <c r="I560" t="str">
        <f>Deals_Raw!I560</f>
        <v>West Commercial</v>
      </c>
      <c r="J560" t="str">
        <f>Deals_Raw!J560</f>
        <v>Mid-Market</v>
      </c>
      <c r="K560" t="str">
        <f>Deals_Raw!K560</f>
        <v>Yes</v>
      </c>
      <c r="L560">
        <f>Deals_Raw!L560</f>
        <v>45231</v>
      </c>
      <c r="M560">
        <f>Deals_Raw!M560</f>
        <v>85</v>
      </c>
      <c r="N560" t="str">
        <f>Deals_Raw!N560</f>
        <v>Nexus Enterprise Suite</v>
      </c>
      <c r="O560" t="str">
        <f>Deals_Raw!O560</f>
        <v>New Business</v>
      </c>
      <c r="P560">
        <f>Deals_Raw!P560</f>
        <v>0</v>
      </c>
      <c r="Q560">
        <f>Deals_Raw!Q560</f>
        <v>1</v>
      </c>
      <c r="R560">
        <f>Deals_Raw!R560</f>
        <v>133</v>
      </c>
      <c r="S560" t="str">
        <f>Deals_Raw!S560</f>
        <v>S. Rivera</v>
      </c>
      <c r="T560" s="6">
        <f>Deals_Raw!T560</f>
        <v>302328.40742659004</v>
      </c>
      <c r="U560" s="8">
        <f>Deals_Raw!V560</f>
        <v>0.192</v>
      </c>
      <c r="V560" s="8">
        <f>Deals_Raw!W560</f>
        <v>0.188</v>
      </c>
      <c r="W560" s="8">
        <f>Deals_Raw!X560</f>
        <v>-3.1E-2</v>
      </c>
      <c r="X560" t="str">
        <f>Deals_Raw!Y560</f>
        <v>Budget constraint</v>
      </c>
      <c r="Y560" t="str">
        <f>Deals_Raw!Z560</f>
        <v>Pricing Analyst</v>
      </c>
      <c r="Z560" s="6">
        <f>Deals_Raw!AA560</f>
        <v>245543.21717755304</v>
      </c>
      <c r="AA560" s="6">
        <f>Deals_Raw!AC560</f>
        <v>116022.26875826779</v>
      </c>
      <c r="AB560" s="6">
        <f>Deals_Raw!AD560</f>
        <v>129520.94841928525</v>
      </c>
      <c r="AC560" s="8">
        <f>Deals_Raw!AE560</f>
        <v>0.52748738046234955</v>
      </c>
      <c r="AD560" t="str">
        <f>Deals_Raw!AF560</f>
        <v>Lost</v>
      </c>
      <c r="AE560">
        <f>Deals_Raw!AG560</f>
        <v>0</v>
      </c>
      <c r="AF560">
        <f>Deals_Raw!AH560</f>
        <v>0</v>
      </c>
      <c r="AG560" t="str">
        <f>Deals_Raw!AI560</f>
        <v>No</v>
      </c>
      <c r="AH560" s="6">
        <f>Deals_Raw!AJ560</f>
        <v>0</v>
      </c>
      <c r="AI560" s="6">
        <f>Deals_Raw!AK560</f>
        <v>0</v>
      </c>
      <c r="AJ560" t="str">
        <f>Deals_Raw!AL560</f>
        <v>First purchase under this contract</v>
      </c>
      <c r="AK560" s="9">
        <f t="shared" si="56"/>
        <v>0.5</v>
      </c>
      <c r="AL560" s="8">
        <f t="shared" si="57"/>
        <v>0.81217381875427863</v>
      </c>
      <c r="AM560" s="8">
        <f t="shared" si="58"/>
        <v>4.0000000000000036E-3</v>
      </c>
      <c r="AN560" t="str">
        <f>IF(AC560&lt;Pricing_Policy!$C$10,"Below Floor","Pass")</f>
        <v>Pass</v>
      </c>
      <c r="AO560" t="str">
        <f>IF(V560&gt;Pricing_Policy!$C$7,"Exception","Standard")</f>
        <v>Standard</v>
      </c>
      <c r="AP560" t="str">
        <f t="shared" si="59"/>
        <v>Pass</v>
      </c>
      <c r="AQ560">
        <f t="shared" si="60"/>
        <v>0</v>
      </c>
      <c r="AR560" s="8">
        <f t="shared" si="61"/>
        <v>0</v>
      </c>
      <c r="AS560">
        <f t="shared" si="62"/>
        <v>2</v>
      </c>
    </row>
    <row r="561" spans="1:45">
      <c r="A561" t="str">
        <f>Deals_Raw!A561</f>
        <v>D00633</v>
      </c>
      <c r="B561">
        <f>Deals_Raw!B561</f>
        <v>45322</v>
      </c>
      <c r="C561" t="str">
        <f>Deals_Raw!C561</f>
        <v>C0157</v>
      </c>
      <c r="D561" t="str">
        <f>Deals_Raw!D561</f>
        <v>LEG-0157</v>
      </c>
      <c r="E561" t="str">
        <f>Deals_Raw!E561</f>
        <v>CT00342</v>
      </c>
      <c r="F561" t="str">
        <f>Deals_Raw!F561</f>
        <v>Technology</v>
      </c>
      <c r="G561" t="str">
        <f>Deals_Raw!G561</f>
        <v>Legal</v>
      </c>
      <c r="H561" t="str">
        <f>Deals_Raw!H561</f>
        <v>West</v>
      </c>
      <c r="I561" t="str">
        <f>Deals_Raw!I561</f>
        <v>West Commercial</v>
      </c>
      <c r="J561" t="str">
        <f>Deals_Raw!J561</f>
        <v>Mid-Market</v>
      </c>
      <c r="K561" t="str">
        <f>Deals_Raw!K561</f>
        <v>Yes</v>
      </c>
      <c r="L561">
        <f>Deals_Raw!L561</f>
        <v>45231</v>
      </c>
      <c r="M561">
        <f>Deals_Raw!M561</f>
        <v>85</v>
      </c>
      <c r="N561" t="str">
        <f>Deals_Raw!N561</f>
        <v>Nexus Enterprise Suite</v>
      </c>
      <c r="O561" t="str">
        <f>Deals_Raw!O561</f>
        <v>New Business</v>
      </c>
      <c r="P561">
        <f>Deals_Raw!P561</f>
        <v>0</v>
      </c>
      <c r="Q561">
        <f>Deals_Raw!Q561</f>
        <v>3</v>
      </c>
      <c r="R561">
        <f>Deals_Raw!R561</f>
        <v>301</v>
      </c>
      <c r="S561" t="str">
        <f>Deals_Raw!S561</f>
        <v>R. Singh</v>
      </c>
      <c r="T561" s="6">
        <f>Deals_Raw!T561</f>
        <v>311439.81005342468</v>
      </c>
      <c r="U561" s="8">
        <f>Deals_Raw!V561</f>
        <v>9.2999999999999999E-2</v>
      </c>
      <c r="V561" s="8">
        <f>Deals_Raw!W561</f>
        <v>7.0999999999999994E-2</v>
      </c>
      <c r="W561" s="8">
        <f>Deals_Raw!X561</f>
        <v>-3.7999999999999999E-2</v>
      </c>
      <c r="X561" t="str">
        <f>Deals_Raw!Y561</f>
        <v>Budget constraint</v>
      </c>
      <c r="Y561" t="str">
        <f>Deals_Raw!Z561</f>
        <v>Sales Manager</v>
      </c>
      <c r="Z561" s="6">
        <f>Deals_Raw!AA561</f>
        <v>289476.99120515533</v>
      </c>
      <c r="AA561" s="6">
        <f>Deals_Raw!AC561</f>
        <v>115976.48516334349</v>
      </c>
      <c r="AB561" s="6">
        <f>Deals_Raw!AD561</f>
        <v>173500.50604181184</v>
      </c>
      <c r="AC561" s="8">
        <f>Deals_Raw!AE561</f>
        <v>0.59935853733829314</v>
      </c>
      <c r="AD561" t="str">
        <f>Deals_Raw!AF561</f>
        <v>Won</v>
      </c>
      <c r="AE561">
        <f>Deals_Raw!AG561</f>
        <v>0</v>
      </c>
      <c r="AF561">
        <f>Deals_Raw!AH561</f>
        <v>0</v>
      </c>
      <c r="AG561" t="str">
        <f>Deals_Raw!AI561</f>
        <v>No</v>
      </c>
      <c r="AH561" s="6">
        <f>Deals_Raw!AJ561</f>
        <v>289476.99120515533</v>
      </c>
      <c r="AI561" s="6">
        <f>Deals_Raw!AK561</f>
        <v>173500.50604181184</v>
      </c>
      <c r="AJ561" t="str">
        <f>Deals_Raw!AL561</f>
        <v>First purchase under this contract</v>
      </c>
      <c r="AK561" s="9">
        <f t="shared" si="56"/>
        <v>0.25</v>
      </c>
      <c r="AL561" s="8">
        <f t="shared" si="57"/>
        <v>0.92947973207246104</v>
      </c>
      <c r="AM561" s="8">
        <f t="shared" si="58"/>
        <v>2.2000000000000006E-2</v>
      </c>
      <c r="AN561" t="str">
        <f>IF(AC561&lt;Pricing_Policy!$C$10,"Below Floor","Pass")</f>
        <v>Pass</v>
      </c>
      <c r="AO561" t="str">
        <f>IF(V561&gt;Pricing_Policy!$C$7,"Exception","Standard")</f>
        <v>Standard</v>
      </c>
      <c r="AP561" t="str">
        <f t="shared" si="59"/>
        <v>Pass</v>
      </c>
      <c r="AQ561">
        <f t="shared" si="60"/>
        <v>1</v>
      </c>
      <c r="AR561" s="8">
        <f t="shared" si="61"/>
        <v>0.59935853733829314</v>
      </c>
      <c r="AS561">
        <f t="shared" si="62"/>
        <v>2</v>
      </c>
    </row>
    <row r="562" spans="1:45">
      <c r="A562" t="str">
        <f>Deals_Raw!A562</f>
        <v>D00634</v>
      </c>
      <c r="B562">
        <f>Deals_Raw!B562</f>
        <v>45466</v>
      </c>
      <c r="C562" t="str">
        <f>Deals_Raw!C562</f>
        <v>C0158</v>
      </c>
      <c r="D562" t="str">
        <f>Deals_Raw!D562</f>
        <v>TEC-0158</v>
      </c>
      <c r="E562" t="str">
        <f>Deals_Raw!E562</f>
        <v>CT00343</v>
      </c>
      <c r="F562" t="str">
        <f>Deals_Raw!F562</f>
        <v>Technology</v>
      </c>
      <c r="G562" t="str">
        <f>Deals_Raw!G562</f>
        <v>Technology</v>
      </c>
      <c r="H562" t="str">
        <f>Deals_Raw!H562</f>
        <v>Northeast</v>
      </c>
      <c r="I562" t="str">
        <f>Deals_Raw!I562</f>
        <v>Northeast Commercial</v>
      </c>
      <c r="J562" t="str">
        <f>Deals_Raw!J562</f>
        <v>Mid-Market</v>
      </c>
      <c r="K562" t="str">
        <f>Deals_Raw!K562</f>
        <v>No</v>
      </c>
      <c r="L562">
        <f>Deals_Raw!L562</f>
        <v>44652</v>
      </c>
      <c r="M562">
        <f>Deals_Raw!M562</f>
        <v>80</v>
      </c>
      <c r="N562" t="str">
        <f>Deals_Raw!N562</f>
        <v>Nexus AI Assistant</v>
      </c>
      <c r="O562" t="str">
        <f>Deals_Raw!O562</f>
        <v>New Business</v>
      </c>
      <c r="P562">
        <f>Deals_Raw!P562</f>
        <v>0</v>
      </c>
      <c r="Q562">
        <f>Deals_Raw!Q562</f>
        <v>1</v>
      </c>
      <c r="R562">
        <f>Deals_Raw!R562</f>
        <v>342</v>
      </c>
      <c r="S562" t="str">
        <f>Deals_Raw!S562</f>
        <v>K. Nguyen</v>
      </c>
      <c r="T562" s="6">
        <f>Deals_Raw!T562</f>
        <v>87757.680098929341</v>
      </c>
      <c r="U562" s="8">
        <f>Deals_Raw!V562</f>
        <v>0.16700000000000001</v>
      </c>
      <c r="V562" s="8">
        <f>Deals_Raw!W562</f>
        <v>0.13600000000000001</v>
      </c>
      <c r="W562" s="8">
        <f>Deals_Raw!X562</f>
        <v>-0.157</v>
      </c>
      <c r="X562" t="str">
        <f>Deals_Raw!Y562</f>
        <v>Volume purchase</v>
      </c>
      <c r="Y562" t="str">
        <f>Deals_Raw!Z562</f>
        <v>Pricing Analyst</v>
      </c>
      <c r="Z562" s="6">
        <f>Deals_Raw!AA562</f>
        <v>75824.551662492551</v>
      </c>
      <c r="AA562" s="6">
        <f>Deals_Raw!AC562</f>
        <v>38329.695518698514</v>
      </c>
      <c r="AB562" s="6">
        <f>Deals_Raw!AD562</f>
        <v>37494.856143794037</v>
      </c>
      <c r="AC562" s="8">
        <f>Deals_Raw!AE562</f>
        <v>0.494494927061221</v>
      </c>
      <c r="AD562" t="str">
        <f>Deals_Raw!AF562</f>
        <v>Lost</v>
      </c>
      <c r="AE562">
        <f>Deals_Raw!AG562</f>
        <v>0</v>
      </c>
      <c r="AF562">
        <f>Deals_Raw!AH562</f>
        <v>0</v>
      </c>
      <c r="AG562" t="str">
        <f>Deals_Raw!AI562</f>
        <v>No</v>
      </c>
      <c r="AH562" s="6">
        <f>Deals_Raw!AJ562</f>
        <v>0</v>
      </c>
      <c r="AI562" s="6">
        <f>Deals_Raw!AK562</f>
        <v>0</v>
      </c>
      <c r="AJ562" t="str">
        <f>Deals_Raw!AL562</f>
        <v>First purchase under this contract</v>
      </c>
      <c r="AK562" s="9">
        <f t="shared" si="56"/>
        <v>2.2277777777777779</v>
      </c>
      <c r="AL562" s="8">
        <f t="shared" si="57"/>
        <v>0.86402183349668593</v>
      </c>
      <c r="AM562" s="8">
        <f t="shared" si="58"/>
        <v>3.1E-2</v>
      </c>
      <c r="AN562" t="str">
        <f>IF(AC562&lt;Pricing_Policy!$C$10,"Below Floor","Pass")</f>
        <v>Pass</v>
      </c>
      <c r="AO562" t="str">
        <f>IF(V562&gt;Pricing_Policy!$C$7,"Exception","Standard")</f>
        <v>Standard</v>
      </c>
      <c r="AP562" t="str">
        <f t="shared" si="59"/>
        <v>Pass</v>
      </c>
      <c r="AQ562">
        <f t="shared" si="60"/>
        <v>0</v>
      </c>
      <c r="AR562" s="8">
        <f t="shared" si="61"/>
        <v>0</v>
      </c>
      <c r="AS562">
        <f t="shared" si="62"/>
        <v>3</v>
      </c>
    </row>
    <row r="563" spans="1:45">
      <c r="A563" t="str">
        <f>Deals_Raw!A563</f>
        <v>D00635</v>
      </c>
      <c r="B563">
        <f>Deals_Raw!B563</f>
        <v>45651</v>
      </c>
      <c r="C563" t="str">
        <f>Deals_Raw!C563</f>
        <v>C0158</v>
      </c>
      <c r="D563" t="str">
        <f>Deals_Raw!D563</f>
        <v>TEC-0158</v>
      </c>
      <c r="E563" t="str">
        <f>Deals_Raw!E563</f>
        <v>CT00343</v>
      </c>
      <c r="F563" t="str">
        <f>Deals_Raw!F563</f>
        <v>Technology</v>
      </c>
      <c r="G563" t="str">
        <f>Deals_Raw!G563</f>
        <v>Technology</v>
      </c>
      <c r="H563" t="str">
        <f>Deals_Raw!H563</f>
        <v>Northeast</v>
      </c>
      <c r="I563" t="str">
        <f>Deals_Raw!I563</f>
        <v>Northeast Commercial</v>
      </c>
      <c r="J563" t="str">
        <f>Deals_Raw!J563</f>
        <v>Mid-Market</v>
      </c>
      <c r="K563" t="str">
        <f>Deals_Raw!K563</f>
        <v>No</v>
      </c>
      <c r="L563">
        <f>Deals_Raw!L563</f>
        <v>44652</v>
      </c>
      <c r="M563">
        <f>Deals_Raw!M563</f>
        <v>80</v>
      </c>
      <c r="N563" t="str">
        <f>Deals_Raw!N563</f>
        <v>Nexus AI Assistant</v>
      </c>
      <c r="O563" t="str">
        <f>Deals_Raw!O563</f>
        <v>Win-back</v>
      </c>
      <c r="P563">
        <f>Deals_Raw!P563</f>
        <v>0</v>
      </c>
      <c r="Q563">
        <f>Deals_Raw!Q563</f>
        <v>1</v>
      </c>
      <c r="R563">
        <f>Deals_Raw!R563</f>
        <v>342</v>
      </c>
      <c r="S563" t="str">
        <f>Deals_Raw!S563</f>
        <v>A. Patel</v>
      </c>
      <c r="T563" s="6">
        <f>Deals_Raw!T563</f>
        <v>87757.680098929341</v>
      </c>
      <c r="U563" s="8">
        <f>Deals_Raw!V563</f>
        <v>0.183</v>
      </c>
      <c r="V563" s="8">
        <f>Deals_Raw!W563</f>
        <v>0.16200000000000001</v>
      </c>
      <c r="W563" s="8">
        <f>Deals_Raw!X563</f>
        <v>-0.127</v>
      </c>
      <c r="X563" t="str">
        <f>Deals_Raw!Y563</f>
        <v>Renewal retention risk</v>
      </c>
      <c r="Y563" t="str">
        <f>Deals_Raw!Z563</f>
        <v>Pricing Analyst</v>
      </c>
      <c r="Z563" s="6">
        <f>Deals_Raw!AA563</f>
        <v>73577.248342613646</v>
      </c>
      <c r="AA563" s="6">
        <f>Deals_Raw!AC563</f>
        <v>33611.679184247885</v>
      </c>
      <c r="AB563" s="6">
        <f>Deals_Raw!AD563</f>
        <v>39965.569158365761</v>
      </c>
      <c r="AC563" s="8">
        <f>Deals_Raw!AE563</f>
        <v>0.54317836095562366</v>
      </c>
      <c r="AD563" t="str">
        <f>Deals_Raw!AF563</f>
        <v>Won</v>
      </c>
      <c r="AE563">
        <f>Deals_Raw!AG563</f>
        <v>0</v>
      </c>
      <c r="AF563">
        <f>Deals_Raw!AH563</f>
        <v>0</v>
      </c>
      <c r="AG563" t="str">
        <f>Deals_Raw!AI563</f>
        <v>Yes</v>
      </c>
      <c r="AH563" s="6">
        <f>Deals_Raw!AJ563</f>
        <v>73577.248342613646</v>
      </c>
      <c r="AI563" s="6">
        <f>Deals_Raw!AK563</f>
        <v>39965.569158365761</v>
      </c>
      <c r="AJ563" t="str">
        <f>Deals_Raw!AL563</f>
        <v>Customer returned after prior lost initial opportunity</v>
      </c>
      <c r="AK563" s="9">
        <f t="shared" si="56"/>
        <v>2.7333333333333334</v>
      </c>
      <c r="AL563" s="8">
        <f t="shared" si="57"/>
        <v>0.83841378053373705</v>
      </c>
      <c r="AM563" s="8">
        <f t="shared" si="58"/>
        <v>2.0999999999999991E-2</v>
      </c>
      <c r="AN563" t="str">
        <f>IF(AC563&lt;Pricing_Policy!$C$10,"Below Floor","Pass")</f>
        <v>Pass</v>
      </c>
      <c r="AO563" t="str">
        <f>IF(V563&gt;Pricing_Policy!$C$7,"Exception","Standard")</f>
        <v>Standard</v>
      </c>
      <c r="AP563" t="str">
        <f t="shared" si="59"/>
        <v>Pass</v>
      </c>
      <c r="AQ563">
        <f t="shared" si="60"/>
        <v>1</v>
      </c>
      <c r="AR563" s="8">
        <f t="shared" si="61"/>
        <v>0.54317836095562366</v>
      </c>
      <c r="AS563">
        <f t="shared" si="62"/>
        <v>3</v>
      </c>
    </row>
    <row r="564" spans="1:45">
      <c r="A564" t="str">
        <f>Deals_Raw!A564</f>
        <v>D00636</v>
      </c>
      <c r="B564">
        <f>Deals_Raw!B564</f>
        <v>46016</v>
      </c>
      <c r="C564" t="str">
        <f>Deals_Raw!C564</f>
        <v>C0158</v>
      </c>
      <c r="D564" t="str">
        <f>Deals_Raw!D564</f>
        <v>TEC-0158</v>
      </c>
      <c r="E564" t="str">
        <f>Deals_Raw!E564</f>
        <v>CT00343</v>
      </c>
      <c r="F564" t="str">
        <f>Deals_Raw!F564</f>
        <v>Technology</v>
      </c>
      <c r="G564" t="str">
        <f>Deals_Raw!G564</f>
        <v>Technology</v>
      </c>
      <c r="H564" t="str">
        <f>Deals_Raw!H564</f>
        <v>Northeast</v>
      </c>
      <c r="I564" t="str">
        <f>Deals_Raw!I564</f>
        <v>Northeast Commercial</v>
      </c>
      <c r="J564" t="str">
        <f>Deals_Raw!J564</f>
        <v>Mid-Market</v>
      </c>
      <c r="K564" t="str">
        <f>Deals_Raw!K564</f>
        <v>No</v>
      </c>
      <c r="L564">
        <f>Deals_Raw!L564</f>
        <v>44652</v>
      </c>
      <c r="M564">
        <f>Deals_Raw!M564</f>
        <v>80</v>
      </c>
      <c r="N564" t="str">
        <f>Deals_Raw!N564</f>
        <v>Nexus AI Assistant</v>
      </c>
      <c r="O564" t="str">
        <f>Deals_Raw!O564</f>
        <v>Renewal</v>
      </c>
      <c r="P564">
        <f>Deals_Raw!P564</f>
        <v>0</v>
      </c>
      <c r="Q564">
        <f>Deals_Raw!Q564</f>
        <v>1</v>
      </c>
      <c r="R564">
        <f>Deals_Raw!R564</f>
        <v>342</v>
      </c>
      <c r="S564" t="str">
        <f>Deals_Raw!S564</f>
        <v>M. Johnson</v>
      </c>
      <c r="T564" s="6">
        <f>Deals_Raw!T564</f>
        <v>92104.248590218253</v>
      </c>
      <c r="U564" s="8">
        <f>Deals_Raw!V564</f>
        <v>5.2999999999999999E-2</v>
      </c>
      <c r="V564" s="8">
        <f>Deals_Raw!W564</f>
        <v>2.1000000000000001E-2</v>
      </c>
      <c r="W564" s="8">
        <f>Deals_Raw!X564</f>
        <v>-1.6E-2</v>
      </c>
      <c r="X564" t="str">
        <f>Deals_Raw!Y564</f>
        <v>Budget constraint</v>
      </c>
      <c r="Y564" t="str">
        <f>Deals_Raw!Z564</f>
        <v>Sales Manager</v>
      </c>
      <c r="Z564" s="6">
        <f>Deals_Raw!AA564</f>
        <v>90129.445798483575</v>
      </c>
      <c r="AA564" s="6">
        <f>Deals_Raw!AC564</f>
        <v>33471.961644430528</v>
      </c>
      <c r="AB564" s="6">
        <f>Deals_Raw!AD564</f>
        <v>56657.484154053047</v>
      </c>
      <c r="AC564" s="8">
        <f>Deals_Raw!AE564</f>
        <v>0.62862346098001087</v>
      </c>
      <c r="AD564" t="str">
        <f>Deals_Raw!AF564</f>
        <v>Won</v>
      </c>
      <c r="AE564" t="str">
        <f>Deals_Raw!AG564</f>
        <v>Yes</v>
      </c>
      <c r="AF564">
        <f>Deals_Raw!AH564</f>
        <v>0</v>
      </c>
      <c r="AG564" t="str">
        <f>Deals_Raw!AI564</f>
        <v>No</v>
      </c>
      <c r="AH564" s="6">
        <f>Deals_Raw!AJ564</f>
        <v>90129.445798483575</v>
      </c>
      <c r="AI564" s="6">
        <f>Deals_Raw!AK564</f>
        <v>56657.484154053047</v>
      </c>
      <c r="AJ564" t="str">
        <f>Deals_Raw!AL564</f>
        <v>Renewal of existing active contract</v>
      </c>
      <c r="AK564" s="9">
        <f t="shared" si="56"/>
        <v>3.7333333333333334</v>
      </c>
      <c r="AL564" s="8">
        <f t="shared" si="57"/>
        <v>0.97855904779679825</v>
      </c>
      <c r="AM564" s="8">
        <f t="shared" si="58"/>
        <v>3.2000000000000001E-2</v>
      </c>
      <c r="AN564" t="str">
        <f>IF(AC564&lt;Pricing_Policy!$C$10,"Below Floor","Pass")</f>
        <v>Pass</v>
      </c>
      <c r="AO564" t="str">
        <f>IF(V564&gt;Pricing_Policy!$C$7,"Exception","Standard")</f>
        <v>Standard</v>
      </c>
      <c r="AP564" t="str">
        <f t="shared" si="59"/>
        <v>Pass</v>
      </c>
      <c r="AQ564">
        <f t="shared" si="60"/>
        <v>1</v>
      </c>
      <c r="AR564" s="8">
        <f t="shared" si="61"/>
        <v>0.62862346098001087</v>
      </c>
      <c r="AS564">
        <f t="shared" si="62"/>
        <v>3</v>
      </c>
    </row>
    <row r="565" spans="1:45">
      <c r="A565" t="str">
        <f>Deals_Raw!A565</f>
        <v>D00637</v>
      </c>
      <c r="B565">
        <f>Deals_Raw!B565</f>
        <v>45414</v>
      </c>
      <c r="C565" t="str">
        <f>Deals_Raw!C565</f>
        <v>C0158</v>
      </c>
      <c r="D565" t="str">
        <f>Deals_Raw!D565</f>
        <v>TEC-0158</v>
      </c>
      <c r="E565" t="str">
        <f>Deals_Raw!E565</f>
        <v>CT00344</v>
      </c>
      <c r="F565" t="str">
        <f>Deals_Raw!F565</f>
        <v>Sales</v>
      </c>
      <c r="G565" t="str">
        <f>Deals_Raw!G565</f>
        <v>Technology</v>
      </c>
      <c r="H565" t="str">
        <f>Deals_Raw!H565</f>
        <v>Northeast</v>
      </c>
      <c r="I565" t="str">
        <f>Deals_Raw!I565</f>
        <v>Northeast Commercial</v>
      </c>
      <c r="J565" t="str">
        <f>Deals_Raw!J565</f>
        <v>Mid-Market</v>
      </c>
      <c r="K565" t="str">
        <f>Deals_Raw!K565</f>
        <v>No</v>
      </c>
      <c r="L565">
        <f>Deals_Raw!L565</f>
        <v>44652</v>
      </c>
      <c r="M565">
        <f>Deals_Raw!M565</f>
        <v>80</v>
      </c>
      <c r="N565" t="str">
        <f>Deals_Raw!N565</f>
        <v>Nexus Enterprise Suite</v>
      </c>
      <c r="O565" t="str">
        <f>Deals_Raw!O565</f>
        <v>New Business</v>
      </c>
      <c r="P565">
        <f>Deals_Raw!P565</f>
        <v>0</v>
      </c>
      <c r="Q565">
        <f>Deals_Raw!Q565</f>
        <v>1</v>
      </c>
      <c r="R565">
        <f>Deals_Raw!R565</f>
        <v>73</v>
      </c>
      <c r="S565" t="str">
        <f>Deals_Raw!S565</f>
        <v>M. Johnson</v>
      </c>
      <c r="T565" s="6">
        <f>Deals_Raw!T565</f>
        <v>326438.20394359087</v>
      </c>
      <c r="U565" s="8">
        <f>Deals_Raw!V565</f>
        <v>0.20499999999999999</v>
      </c>
      <c r="V565" s="8">
        <f>Deals_Raw!W565</f>
        <v>0.14799999999999999</v>
      </c>
      <c r="W565" s="8">
        <f>Deals_Raw!X565</f>
        <v>-4.5999999999999999E-2</v>
      </c>
      <c r="X565" t="str">
        <f>Deals_Raw!Y565</f>
        <v>Procurement requirement</v>
      </c>
      <c r="Y565" t="str">
        <f>Deals_Raw!Z565</f>
        <v>Pricing Analyst</v>
      </c>
      <c r="Z565" s="6">
        <f>Deals_Raw!AA565</f>
        <v>278275.31488446408</v>
      </c>
      <c r="AA565" s="6">
        <f>Deals_Raw!AC565</f>
        <v>125657.64507061004</v>
      </c>
      <c r="AB565" s="6">
        <f>Deals_Raw!AD565</f>
        <v>152617.66981385404</v>
      </c>
      <c r="AC565" s="8">
        <f>Deals_Raw!AE565</f>
        <v>0.54844127973485068</v>
      </c>
      <c r="AD565" t="str">
        <f>Deals_Raw!AF565</f>
        <v>Lost</v>
      </c>
      <c r="AE565">
        <f>Deals_Raw!AG565</f>
        <v>0</v>
      </c>
      <c r="AF565">
        <f>Deals_Raw!AH565</f>
        <v>0</v>
      </c>
      <c r="AG565" t="str">
        <f>Deals_Raw!AI565</f>
        <v>No</v>
      </c>
      <c r="AH565" s="6">
        <f>Deals_Raw!AJ565</f>
        <v>0</v>
      </c>
      <c r="AI565" s="6">
        <f>Deals_Raw!AK565</f>
        <v>0</v>
      </c>
      <c r="AJ565" t="str">
        <f>Deals_Raw!AL565</f>
        <v>First purchase under this contract</v>
      </c>
      <c r="AK565" s="9">
        <f t="shared" si="56"/>
        <v>2.0861111111111112</v>
      </c>
      <c r="AL565" s="8">
        <f t="shared" si="57"/>
        <v>0.85245939820374261</v>
      </c>
      <c r="AM565" s="8">
        <f t="shared" si="58"/>
        <v>5.6999999999999995E-2</v>
      </c>
      <c r="AN565" t="str">
        <f>IF(AC565&lt;Pricing_Policy!$C$10,"Below Floor","Pass")</f>
        <v>Pass</v>
      </c>
      <c r="AO565" t="str">
        <f>IF(V565&gt;Pricing_Policy!$C$7,"Exception","Standard")</f>
        <v>Standard</v>
      </c>
      <c r="AP565" t="str">
        <f t="shared" si="59"/>
        <v>Pass</v>
      </c>
      <c r="AQ565">
        <f t="shared" si="60"/>
        <v>0</v>
      </c>
      <c r="AR565" s="8">
        <f t="shared" si="61"/>
        <v>0</v>
      </c>
      <c r="AS565">
        <f t="shared" si="62"/>
        <v>3</v>
      </c>
    </row>
    <row r="566" spans="1:45">
      <c r="A566" t="str">
        <f>Deals_Raw!A566</f>
        <v>D00639</v>
      </c>
      <c r="B566">
        <f>Deals_Raw!B566</f>
        <v>45491</v>
      </c>
      <c r="C566" t="str">
        <f>Deals_Raw!C566</f>
        <v>C0158</v>
      </c>
      <c r="D566" t="str">
        <f>Deals_Raw!D566</f>
        <v>TEC-0158</v>
      </c>
      <c r="E566" t="str">
        <f>Deals_Raw!E566</f>
        <v>CT00345</v>
      </c>
      <c r="F566" t="str">
        <f>Deals_Raw!F566</f>
        <v>Operations</v>
      </c>
      <c r="G566" t="str">
        <f>Deals_Raw!G566</f>
        <v>Technology</v>
      </c>
      <c r="H566" t="str">
        <f>Deals_Raw!H566</f>
        <v>Northeast</v>
      </c>
      <c r="I566" t="str">
        <f>Deals_Raw!I566</f>
        <v>Northeast Commercial</v>
      </c>
      <c r="J566" t="str">
        <f>Deals_Raw!J566</f>
        <v>Mid-Market</v>
      </c>
      <c r="K566" t="str">
        <f>Deals_Raw!K566</f>
        <v>No</v>
      </c>
      <c r="L566">
        <f>Deals_Raw!L566</f>
        <v>44652</v>
      </c>
      <c r="M566">
        <f>Deals_Raw!M566</f>
        <v>80</v>
      </c>
      <c r="N566" t="str">
        <f>Deals_Raw!N566</f>
        <v>Nexus Enterprise Suite</v>
      </c>
      <c r="O566" t="str">
        <f>Deals_Raw!O566</f>
        <v>Renewal</v>
      </c>
      <c r="P566">
        <f>Deals_Raw!P566</f>
        <v>0</v>
      </c>
      <c r="Q566">
        <f>Deals_Raw!Q566</f>
        <v>1</v>
      </c>
      <c r="R566">
        <f>Deals_Raw!R566</f>
        <v>334</v>
      </c>
      <c r="S566" t="str">
        <f>Deals_Raw!S566</f>
        <v>T. Brooks</v>
      </c>
      <c r="T566" s="6">
        <f>Deals_Raw!T566</f>
        <v>223304.39753568018</v>
      </c>
      <c r="U566" s="8">
        <f>Deals_Raw!V566</f>
        <v>0.105</v>
      </c>
      <c r="V566" s="8">
        <f>Deals_Raw!W566</f>
        <v>6.0999999999999999E-2</v>
      </c>
      <c r="W566" s="8">
        <f>Deals_Raw!X566</f>
        <v>-7.0000000000000007E-2</v>
      </c>
      <c r="X566" t="str">
        <f>Deals_Raw!Y566</f>
        <v>Renewal retention risk</v>
      </c>
      <c r="Y566" t="str">
        <f>Deals_Raw!Z566</f>
        <v>Sales Manager</v>
      </c>
      <c r="Z566" s="6">
        <f>Deals_Raw!AA566</f>
        <v>209634.18506205222</v>
      </c>
      <c r="AA566" s="6">
        <f>Deals_Raw!AC566</f>
        <v>88757.765616217308</v>
      </c>
      <c r="AB566" s="6">
        <f>Deals_Raw!AD566</f>
        <v>120876.41944583491</v>
      </c>
      <c r="AC566" s="8">
        <f>Deals_Raw!AE566</f>
        <v>0.57660643186632565</v>
      </c>
      <c r="AD566" t="str">
        <f>Deals_Raw!AF566</f>
        <v>Won</v>
      </c>
      <c r="AE566" t="str">
        <f>Deals_Raw!AG566</f>
        <v>Yes</v>
      </c>
      <c r="AF566">
        <f>Deals_Raw!AH566</f>
        <v>0</v>
      </c>
      <c r="AG566" t="str">
        <f>Deals_Raw!AI566</f>
        <v>No</v>
      </c>
      <c r="AH566" s="6">
        <f>Deals_Raw!AJ566</f>
        <v>209634.18506205222</v>
      </c>
      <c r="AI566" s="6">
        <f>Deals_Raw!AK566</f>
        <v>120876.41944583491</v>
      </c>
      <c r="AJ566" t="str">
        <f>Deals_Raw!AL566</f>
        <v>Renewal of existing active contract</v>
      </c>
      <c r="AK566" s="9">
        <f t="shared" si="56"/>
        <v>2.2972222222222221</v>
      </c>
      <c r="AL566" s="8">
        <f t="shared" si="57"/>
        <v>0.93878216181818053</v>
      </c>
      <c r="AM566" s="8">
        <f t="shared" si="58"/>
        <v>4.3999999999999997E-2</v>
      </c>
      <c r="AN566" t="str">
        <f>IF(AC566&lt;Pricing_Policy!$C$10,"Below Floor","Pass")</f>
        <v>Pass</v>
      </c>
      <c r="AO566" t="str">
        <f>IF(V566&gt;Pricing_Policy!$C$7,"Exception","Standard")</f>
        <v>Standard</v>
      </c>
      <c r="AP566" t="str">
        <f t="shared" si="59"/>
        <v>Pass</v>
      </c>
      <c r="AQ566">
        <f t="shared" si="60"/>
        <v>1</v>
      </c>
      <c r="AR566" s="8">
        <f t="shared" si="61"/>
        <v>0.57660643186632565</v>
      </c>
      <c r="AS566">
        <f t="shared" si="62"/>
        <v>3</v>
      </c>
    </row>
    <row r="567" spans="1:45">
      <c r="A567" t="str">
        <f>Deals_Raw!A567</f>
        <v>D00640</v>
      </c>
      <c r="B567">
        <f>Deals_Raw!B567</f>
        <v>45856</v>
      </c>
      <c r="C567" t="str">
        <f>Deals_Raw!C567</f>
        <v>C0158</v>
      </c>
      <c r="D567" t="str">
        <f>Deals_Raw!D567</f>
        <v>TEC-0158</v>
      </c>
      <c r="E567" t="str">
        <f>Deals_Raw!E567</f>
        <v>CT00345</v>
      </c>
      <c r="F567" t="str">
        <f>Deals_Raw!F567</f>
        <v>Operations</v>
      </c>
      <c r="G567" t="str">
        <f>Deals_Raw!G567</f>
        <v>Technology</v>
      </c>
      <c r="H567" t="str">
        <f>Deals_Raw!H567</f>
        <v>Northeast</v>
      </c>
      <c r="I567" t="str">
        <f>Deals_Raw!I567</f>
        <v>Northeast Commercial</v>
      </c>
      <c r="J567" t="str">
        <f>Deals_Raw!J567</f>
        <v>Mid-Market</v>
      </c>
      <c r="K567" t="str">
        <f>Deals_Raw!K567</f>
        <v>No</v>
      </c>
      <c r="L567">
        <f>Deals_Raw!L567</f>
        <v>44652</v>
      </c>
      <c r="M567">
        <f>Deals_Raw!M567</f>
        <v>80</v>
      </c>
      <c r="N567" t="str">
        <f>Deals_Raw!N567</f>
        <v>Nexus Enterprise Suite</v>
      </c>
      <c r="O567" t="str">
        <f>Deals_Raw!O567</f>
        <v>Renewal</v>
      </c>
      <c r="P567">
        <f>Deals_Raw!P567</f>
        <v>0</v>
      </c>
      <c r="Q567">
        <f>Deals_Raw!Q567</f>
        <v>1</v>
      </c>
      <c r="R567">
        <f>Deals_Raw!R567</f>
        <v>334</v>
      </c>
      <c r="S567" t="str">
        <f>Deals_Raw!S567</f>
        <v>L. Williams</v>
      </c>
      <c r="T567" s="6">
        <f>Deals_Raw!T567</f>
        <v>231406.33293406779</v>
      </c>
      <c r="U567" s="8">
        <f>Deals_Raw!V567</f>
        <v>8.4000000000000005E-2</v>
      </c>
      <c r="V567" s="8">
        <f>Deals_Raw!W567</f>
        <v>3.9E-2</v>
      </c>
      <c r="W567" s="8">
        <f>Deals_Raw!X567</f>
        <v>-5.8999999999999997E-2</v>
      </c>
      <c r="X567" t="str">
        <f>Deals_Raw!Y567</f>
        <v>Multi-year commitment</v>
      </c>
      <c r="Y567" t="str">
        <f>Deals_Raw!Z567</f>
        <v>Sales Manager</v>
      </c>
      <c r="Z567" s="6">
        <f>Deals_Raw!AA567</f>
        <v>222301.68404347342</v>
      </c>
      <c r="AA567" s="6">
        <f>Deals_Raw!AC567</f>
        <v>91798.698771452371</v>
      </c>
      <c r="AB567" s="6">
        <f>Deals_Raw!AD567</f>
        <v>130502.98527202105</v>
      </c>
      <c r="AC567" s="8">
        <f>Deals_Raw!AE567</f>
        <v>0.58705351618703805</v>
      </c>
      <c r="AD567" t="str">
        <f>Deals_Raw!AF567</f>
        <v>Won</v>
      </c>
      <c r="AE567" t="str">
        <f>Deals_Raw!AG567</f>
        <v>Yes</v>
      </c>
      <c r="AF567">
        <f>Deals_Raw!AH567</f>
        <v>0</v>
      </c>
      <c r="AG567" t="str">
        <f>Deals_Raw!AI567</f>
        <v>No</v>
      </c>
      <c r="AH567" s="6">
        <f>Deals_Raw!AJ567</f>
        <v>222301.68404347342</v>
      </c>
      <c r="AI567" s="6">
        <f>Deals_Raw!AK567</f>
        <v>130502.98527202105</v>
      </c>
      <c r="AJ567" t="str">
        <f>Deals_Raw!AL567</f>
        <v>Renewal of existing active contract</v>
      </c>
      <c r="AK567" s="9">
        <f t="shared" si="56"/>
        <v>3.2972222222222221</v>
      </c>
      <c r="AL567" s="8">
        <f t="shared" si="57"/>
        <v>0.96065514381065598</v>
      </c>
      <c r="AM567" s="8">
        <f t="shared" si="58"/>
        <v>4.5000000000000005E-2</v>
      </c>
      <c r="AN567" t="str">
        <f>IF(AC567&lt;Pricing_Policy!$C$10,"Below Floor","Pass")</f>
        <v>Pass</v>
      </c>
      <c r="AO567" t="str">
        <f>IF(V567&gt;Pricing_Policy!$C$7,"Exception","Standard")</f>
        <v>Standard</v>
      </c>
      <c r="AP567" t="str">
        <f t="shared" si="59"/>
        <v>Pass</v>
      </c>
      <c r="AQ567">
        <f t="shared" si="60"/>
        <v>1</v>
      </c>
      <c r="AR567" s="8">
        <f t="shared" si="61"/>
        <v>0.58705351618703805</v>
      </c>
      <c r="AS567">
        <f t="shared" si="62"/>
        <v>3</v>
      </c>
    </row>
    <row r="568" spans="1:45">
      <c r="A568" t="str">
        <f>Deals_Raw!A568</f>
        <v>D00641</v>
      </c>
      <c r="B568">
        <f>Deals_Raw!B568</f>
        <v>45607</v>
      </c>
      <c r="C568" t="str">
        <f>Deals_Raw!C568</f>
        <v>C0159</v>
      </c>
      <c r="D568" t="str">
        <f>Deals_Raw!D568</f>
        <v>MAN-0159</v>
      </c>
      <c r="E568" t="str">
        <f>Deals_Raw!E568</f>
        <v>CT00346</v>
      </c>
      <c r="F568" t="str">
        <f>Deals_Raw!F568</f>
        <v>Corporate</v>
      </c>
      <c r="G568" t="str">
        <f>Deals_Raw!G568</f>
        <v>Manufacturing</v>
      </c>
      <c r="H568" t="str">
        <f>Deals_Raw!H568</f>
        <v>Midwest</v>
      </c>
      <c r="I568" t="str">
        <f>Deals_Raw!I568</f>
        <v>Midwest Commercial</v>
      </c>
      <c r="J568" t="str">
        <f>Deals_Raw!J568</f>
        <v>Mid-Market</v>
      </c>
      <c r="K568" t="str">
        <f>Deals_Raw!K568</f>
        <v>No</v>
      </c>
      <c r="L568">
        <f>Deals_Raw!L568</f>
        <v>43739</v>
      </c>
      <c r="M568">
        <f>Deals_Raw!M568</f>
        <v>42</v>
      </c>
      <c r="N568" t="str">
        <f>Deals_Raw!N568</f>
        <v>Nexus AI Assistant</v>
      </c>
      <c r="O568" t="str">
        <f>Deals_Raw!O568</f>
        <v>New Business</v>
      </c>
      <c r="P568">
        <f>Deals_Raw!P568</f>
        <v>0</v>
      </c>
      <c r="Q568">
        <f>Deals_Raw!Q568</f>
        <v>1</v>
      </c>
      <c r="R568">
        <f>Deals_Raw!R568</f>
        <v>111</v>
      </c>
      <c r="S568" t="str">
        <f>Deals_Raw!S568</f>
        <v>K. Nguyen</v>
      </c>
      <c r="T568" s="6">
        <f>Deals_Raw!T568</f>
        <v>89240.544063169131</v>
      </c>
      <c r="U568" s="8">
        <f>Deals_Raw!V568</f>
        <v>0.22600000000000001</v>
      </c>
      <c r="V568" s="8">
        <f>Deals_Raw!W568</f>
        <v>0.187</v>
      </c>
      <c r="W568" s="8">
        <f>Deals_Raw!X568</f>
        <v>1.2999999999999999E-2</v>
      </c>
      <c r="X568" t="str">
        <f>Deals_Raw!Y568</f>
        <v>Multi-year commitment</v>
      </c>
      <c r="Y568" t="str">
        <f>Deals_Raw!Z568</f>
        <v>Pricing Analyst</v>
      </c>
      <c r="Z568" s="6">
        <f>Deals_Raw!AA568</f>
        <v>72548.724622170048</v>
      </c>
      <c r="AA568" s="6">
        <f>Deals_Raw!AC568</f>
        <v>40078.925886123972</v>
      </c>
      <c r="AB568" s="6">
        <f>Deals_Raw!AD568</f>
        <v>32469.798736046076</v>
      </c>
      <c r="AC568" s="8">
        <f>Deals_Raw!AE568</f>
        <v>0.44755850506190265</v>
      </c>
      <c r="AD568" t="str">
        <f>Deals_Raw!AF568</f>
        <v>Lost</v>
      </c>
      <c r="AE568">
        <f>Deals_Raw!AG568</f>
        <v>0</v>
      </c>
      <c r="AF568">
        <f>Deals_Raw!AH568</f>
        <v>0</v>
      </c>
      <c r="AG568" t="str">
        <f>Deals_Raw!AI568</f>
        <v>No</v>
      </c>
      <c r="AH568" s="6">
        <f>Deals_Raw!AJ568</f>
        <v>0</v>
      </c>
      <c r="AI568" s="6">
        <f>Deals_Raw!AK568</f>
        <v>0</v>
      </c>
      <c r="AJ568" t="str">
        <f>Deals_Raw!AL568</f>
        <v>First purchase under this contract</v>
      </c>
      <c r="AK568" s="9">
        <f t="shared" si="56"/>
        <v>5.1111111111111107</v>
      </c>
      <c r="AL568" s="8">
        <f t="shared" si="57"/>
        <v>0.81295699599070415</v>
      </c>
      <c r="AM568" s="8">
        <f t="shared" si="58"/>
        <v>3.9000000000000007E-2</v>
      </c>
      <c r="AN568" t="str">
        <f>IF(AC568&lt;Pricing_Policy!$C$10,"Below Floor","Pass")</f>
        <v>Below Floor</v>
      </c>
      <c r="AO568" t="str">
        <f>IF(V568&gt;Pricing_Policy!$C$7,"Exception","Standard")</f>
        <v>Standard</v>
      </c>
      <c r="AP568" t="str">
        <f t="shared" si="59"/>
        <v>Pass</v>
      </c>
      <c r="AQ568">
        <f t="shared" si="60"/>
        <v>0</v>
      </c>
      <c r="AR568" s="8">
        <f t="shared" si="61"/>
        <v>0</v>
      </c>
      <c r="AS568">
        <f t="shared" si="62"/>
        <v>1</v>
      </c>
    </row>
    <row r="569" spans="1:45">
      <c r="A569" t="str">
        <f>Deals_Raw!A569</f>
        <v>D00643</v>
      </c>
      <c r="B569">
        <f>Deals_Raw!B569</f>
        <v>45658</v>
      </c>
      <c r="C569" t="str">
        <f>Deals_Raw!C569</f>
        <v>C0159</v>
      </c>
      <c r="D569" t="str">
        <f>Deals_Raw!D569</f>
        <v>MAN-0159</v>
      </c>
      <c r="E569" t="str">
        <f>Deals_Raw!E569</f>
        <v>CT00348</v>
      </c>
      <c r="F569" t="str">
        <f>Deals_Raw!F569</f>
        <v>Technology</v>
      </c>
      <c r="G569" t="str">
        <f>Deals_Raw!G569</f>
        <v>Manufacturing</v>
      </c>
      <c r="H569" t="str">
        <f>Deals_Raw!H569</f>
        <v>Midwest</v>
      </c>
      <c r="I569" t="str">
        <f>Deals_Raw!I569</f>
        <v>Midwest Commercial</v>
      </c>
      <c r="J569" t="str">
        <f>Deals_Raw!J569</f>
        <v>Mid-Market</v>
      </c>
      <c r="K569" t="str">
        <f>Deals_Raw!K569</f>
        <v>No</v>
      </c>
      <c r="L569">
        <f>Deals_Raw!L569</f>
        <v>43739</v>
      </c>
      <c r="M569">
        <f>Deals_Raw!M569</f>
        <v>42</v>
      </c>
      <c r="N569" t="str">
        <f>Deals_Raw!N569</f>
        <v>Nexus Analytics</v>
      </c>
      <c r="O569" t="str">
        <f>Deals_Raw!O569</f>
        <v>New Business</v>
      </c>
      <c r="P569">
        <f>Deals_Raw!P569</f>
        <v>0</v>
      </c>
      <c r="Q569">
        <f>Deals_Raw!Q569</f>
        <v>1</v>
      </c>
      <c r="R569">
        <f>Deals_Raw!R569</f>
        <v>83</v>
      </c>
      <c r="S569" t="str">
        <f>Deals_Raw!S569</f>
        <v>K. Nguyen</v>
      </c>
      <c r="T569" s="6">
        <f>Deals_Raw!T569</f>
        <v>63417.625540595138</v>
      </c>
      <c r="U569" s="8">
        <f>Deals_Raw!V569</f>
        <v>0.1</v>
      </c>
      <c r="V569" s="8">
        <f>Deals_Raw!W569</f>
        <v>6.6000000000000003E-2</v>
      </c>
      <c r="W569" s="8">
        <f>Deals_Raw!X569</f>
        <v>-0.05</v>
      </c>
      <c r="X569" t="str">
        <f>Deals_Raw!Y569</f>
        <v>Verified competitor pressure</v>
      </c>
      <c r="Y569" t="str">
        <f>Deals_Raw!Z569</f>
        <v>Sales Manager</v>
      </c>
      <c r="Z569" s="6">
        <f>Deals_Raw!AA569</f>
        <v>59236.025404336768</v>
      </c>
      <c r="AA569" s="6">
        <f>Deals_Raw!AC569</f>
        <v>20746.299952904727</v>
      </c>
      <c r="AB569" s="6">
        <f>Deals_Raw!AD569</f>
        <v>38489.725451432038</v>
      </c>
      <c r="AC569" s="8">
        <f>Deals_Raw!AE569</f>
        <v>0.64976887272072348</v>
      </c>
      <c r="AD569" t="str">
        <f>Deals_Raw!AF569</f>
        <v>Lost</v>
      </c>
      <c r="AE569">
        <f>Deals_Raw!AG569</f>
        <v>0</v>
      </c>
      <c r="AF569">
        <f>Deals_Raw!AH569</f>
        <v>0</v>
      </c>
      <c r="AG569" t="str">
        <f>Deals_Raw!AI569</f>
        <v>No</v>
      </c>
      <c r="AH569" s="6">
        <f>Deals_Raw!AJ569</f>
        <v>0</v>
      </c>
      <c r="AI569" s="6">
        <f>Deals_Raw!AK569</f>
        <v>0</v>
      </c>
      <c r="AJ569" t="str">
        <f>Deals_Raw!AL569</f>
        <v>First purchase under this contract</v>
      </c>
      <c r="AK569" s="9">
        <f t="shared" si="56"/>
        <v>5.25</v>
      </c>
      <c r="AL569" s="8">
        <f t="shared" si="57"/>
        <v>0.93406249286987841</v>
      </c>
      <c r="AM569" s="8">
        <f t="shared" si="58"/>
        <v>3.4000000000000002E-2</v>
      </c>
      <c r="AN569" t="str">
        <f>IF(AC569&lt;Pricing_Policy!$C$10,"Below Floor","Pass")</f>
        <v>Pass</v>
      </c>
      <c r="AO569" t="str">
        <f>IF(V569&gt;Pricing_Policy!$C$7,"Exception","Standard")</f>
        <v>Standard</v>
      </c>
      <c r="AP569" t="str">
        <f t="shared" si="59"/>
        <v>Pass</v>
      </c>
      <c r="AQ569">
        <f t="shared" si="60"/>
        <v>0</v>
      </c>
      <c r="AR569" s="8">
        <f t="shared" si="61"/>
        <v>0</v>
      </c>
      <c r="AS569">
        <f t="shared" si="62"/>
        <v>5</v>
      </c>
    </row>
    <row r="570" spans="1:45">
      <c r="A570" t="str">
        <f>Deals_Raw!A570</f>
        <v>D00644</v>
      </c>
      <c r="B570">
        <f>Deals_Raw!B570</f>
        <v>45423</v>
      </c>
      <c r="C570" t="str">
        <f>Deals_Raw!C570</f>
        <v>C0159</v>
      </c>
      <c r="D570" t="str">
        <f>Deals_Raw!D570</f>
        <v>MAN-0159</v>
      </c>
      <c r="E570" t="str">
        <f>Deals_Raw!E570</f>
        <v>CT00349</v>
      </c>
      <c r="F570" t="str">
        <f>Deals_Raw!F570</f>
        <v>Corporate</v>
      </c>
      <c r="G570" t="str">
        <f>Deals_Raw!G570</f>
        <v>Manufacturing</v>
      </c>
      <c r="H570" t="str">
        <f>Deals_Raw!H570</f>
        <v>Midwest</v>
      </c>
      <c r="I570" t="str">
        <f>Deals_Raw!I570</f>
        <v>Midwest Commercial</v>
      </c>
      <c r="J570" t="str">
        <f>Deals_Raw!J570</f>
        <v>Mid-Market</v>
      </c>
      <c r="K570" t="str">
        <f>Deals_Raw!K570</f>
        <v>No</v>
      </c>
      <c r="L570">
        <f>Deals_Raw!L570</f>
        <v>43739</v>
      </c>
      <c r="M570">
        <f>Deals_Raw!M570</f>
        <v>42</v>
      </c>
      <c r="N570" t="str">
        <f>Deals_Raw!N570</f>
        <v>Nexus Analytics</v>
      </c>
      <c r="O570" t="str">
        <f>Deals_Raw!O570</f>
        <v>Expansion</v>
      </c>
      <c r="P570" t="str">
        <f>Deals_Raw!P570</f>
        <v>Multi-year Extension</v>
      </c>
      <c r="Q570">
        <f>Deals_Raw!Q570</f>
        <v>1</v>
      </c>
      <c r="R570">
        <f>Deals_Raw!R570</f>
        <v>320</v>
      </c>
      <c r="S570" t="str">
        <f>Deals_Raw!S570</f>
        <v>A. Patel</v>
      </c>
      <c r="T570" s="6">
        <f>Deals_Raw!T570</f>
        <v>95106.392221221133</v>
      </c>
      <c r="U570" s="8">
        <f>Deals_Raw!V570</f>
        <v>0.127</v>
      </c>
      <c r="V570" s="8">
        <f>Deals_Raw!W570</f>
        <v>7.6999999999999999E-2</v>
      </c>
      <c r="W570" s="8">
        <f>Deals_Raw!X570</f>
        <v>-6.0000000000000001E-3</v>
      </c>
      <c r="X570" t="str">
        <f>Deals_Raw!Y570</f>
        <v>Expansion opportunity</v>
      </c>
      <c r="Y570" t="str">
        <f>Deals_Raw!Z570</f>
        <v>Sales Manager</v>
      </c>
      <c r="Z570" s="6">
        <f>Deals_Raw!AA570</f>
        <v>87747.263553013341</v>
      </c>
      <c r="AA570" s="6">
        <f>Deals_Raw!AC570</f>
        <v>28863.971128312216</v>
      </c>
      <c r="AB570" s="6">
        <f>Deals_Raw!AD570</f>
        <v>58883.292424701125</v>
      </c>
      <c r="AC570" s="8">
        <f>Deals_Raw!AE570</f>
        <v>0.67105559809424964</v>
      </c>
      <c r="AD570" t="str">
        <f>Deals_Raw!AF570</f>
        <v>Won</v>
      </c>
      <c r="AE570">
        <f>Deals_Raw!AG570</f>
        <v>0</v>
      </c>
      <c r="AF570" t="str">
        <f>Deals_Raw!AH570</f>
        <v>Yes</v>
      </c>
      <c r="AG570" t="str">
        <f>Deals_Raw!AI570</f>
        <v>No</v>
      </c>
      <c r="AH570" s="6">
        <f>Deals_Raw!AJ570</f>
        <v>87747.263553013341</v>
      </c>
      <c r="AI570" s="6">
        <f>Deals_Raw!AK570</f>
        <v>58883.292424701125</v>
      </c>
      <c r="AJ570" t="str">
        <f>Deals_Raw!AL570</f>
        <v>Expansion allowed because contract was active</v>
      </c>
      <c r="AK570" s="9">
        <f t="shared" si="56"/>
        <v>4.6111111111111107</v>
      </c>
      <c r="AL570" s="8">
        <f t="shared" si="57"/>
        <v>0.92262214456531821</v>
      </c>
      <c r="AM570" s="8">
        <f t="shared" si="58"/>
        <v>0.05</v>
      </c>
      <c r="AN570" t="str">
        <f>IF(AC570&lt;Pricing_Policy!$C$10,"Below Floor","Pass")</f>
        <v>Pass</v>
      </c>
      <c r="AO570" t="str">
        <f>IF(V570&gt;Pricing_Policy!$C$7,"Exception","Standard")</f>
        <v>Standard</v>
      </c>
      <c r="AP570" t="str">
        <f t="shared" si="59"/>
        <v>Pass</v>
      </c>
      <c r="AQ570">
        <f t="shared" si="60"/>
        <v>1</v>
      </c>
      <c r="AR570" s="8">
        <f t="shared" si="61"/>
        <v>0.67105559809424964</v>
      </c>
      <c r="AS570">
        <f t="shared" si="62"/>
        <v>5</v>
      </c>
    </row>
    <row r="571" spans="1:45">
      <c r="A571" t="str">
        <f>Deals_Raw!A571</f>
        <v>D00645</v>
      </c>
      <c r="B571">
        <f>Deals_Raw!B571</f>
        <v>45615</v>
      </c>
      <c r="C571" t="str">
        <f>Deals_Raw!C571</f>
        <v>C0159</v>
      </c>
      <c r="D571" t="str">
        <f>Deals_Raw!D571</f>
        <v>MAN-0159</v>
      </c>
      <c r="E571" t="str">
        <f>Deals_Raw!E571</f>
        <v>CT00349</v>
      </c>
      <c r="F571" t="str">
        <f>Deals_Raw!F571</f>
        <v>Corporate</v>
      </c>
      <c r="G571" t="str">
        <f>Deals_Raw!G571</f>
        <v>Manufacturing</v>
      </c>
      <c r="H571" t="str">
        <f>Deals_Raw!H571</f>
        <v>Midwest</v>
      </c>
      <c r="I571" t="str">
        <f>Deals_Raw!I571</f>
        <v>Midwest Commercial</v>
      </c>
      <c r="J571" t="str">
        <f>Deals_Raw!J571</f>
        <v>Mid-Market</v>
      </c>
      <c r="K571" t="str">
        <f>Deals_Raw!K571</f>
        <v>No</v>
      </c>
      <c r="L571">
        <f>Deals_Raw!L571</f>
        <v>43739</v>
      </c>
      <c r="M571">
        <f>Deals_Raw!M571</f>
        <v>42</v>
      </c>
      <c r="N571" t="str">
        <f>Deals_Raw!N571</f>
        <v>Nexus Analytics</v>
      </c>
      <c r="O571" t="str">
        <f>Deals_Raw!O571</f>
        <v>Renewal</v>
      </c>
      <c r="P571">
        <f>Deals_Raw!P571</f>
        <v>0</v>
      </c>
      <c r="Q571">
        <f>Deals_Raw!Q571</f>
        <v>1</v>
      </c>
      <c r="R571">
        <f>Deals_Raw!R571</f>
        <v>320</v>
      </c>
      <c r="S571" t="str">
        <f>Deals_Raw!S571</f>
        <v>K. Nguyen</v>
      </c>
      <c r="T571" s="6">
        <f>Deals_Raw!T571</f>
        <v>102194.14591535268</v>
      </c>
      <c r="U571" s="8">
        <f>Deals_Raw!V571</f>
        <v>0.159</v>
      </c>
      <c r="V571" s="8">
        <f>Deals_Raw!W571</f>
        <v>0.151</v>
      </c>
      <c r="W571" s="8">
        <f>Deals_Raw!X571</f>
        <v>-2.9000000000000001E-2</v>
      </c>
      <c r="X571" t="str">
        <f>Deals_Raw!Y571</f>
        <v>Renewal retention risk</v>
      </c>
      <c r="Y571" t="str">
        <f>Deals_Raw!Z571</f>
        <v>Pricing Analyst</v>
      </c>
      <c r="Z571" s="6">
        <f>Deals_Raw!AA571</f>
        <v>86760.356804989846</v>
      </c>
      <c r="AA571" s="6">
        <f>Deals_Raw!AC571</f>
        <v>29881.080324684055</v>
      </c>
      <c r="AB571" s="6">
        <f>Deals_Raw!AD571</f>
        <v>56879.276480305794</v>
      </c>
      <c r="AC571" s="8">
        <f>Deals_Raw!AE571</f>
        <v>0.65559062427731396</v>
      </c>
      <c r="AD571" t="str">
        <f>Deals_Raw!AF571</f>
        <v>Won</v>
      </c>
      <c r="AE571" t="str">
        <f>Deals_Raw!AG571</f>
        <v>Yes</v>
      </c>
      <c r="AF571">
        <f>Deals_Raw!AH571</f>
        <v>0</v>
      </c>
      <c r="AG571" t="str">
        <f>Deals_Raw!AI571</f>
        <v>No</v>
      </c>
      <c r="AH571" s="6">
        <f>Deals_Raw!AJ571</f>
        <v>86760.356804989846</v>
      </c>
      <c r="AI571" s="6">
        <f>Deals_Raw!AK571</f>
        <v>56879.276480305794</v>
      </c>
      <c r="AJ571" t="str">
        <f>Deals_Raw!AL571</f>
        <v>Renewal of existing active contract</v>
      </c>
      <c r="AK571" s="9">
        <f t="shared" si="56"/>
        <v>5.1333333333333337</v>
      </c>
      <c r="AL571" s="8">
        <f t="shared" si="57"/>
        <v>0.84897580020731689</v>
      </c>
      <c r="AM571" s="8">
        <f t="shared" si="58"/>
        <v>8.0000000000000071E-3</v>
      </c>
      <c r="AN571" t="str">
        <f>IF(AC571&lt;Pricing_Policy!$C$10,"Below Floor","Pass")</f>
        <v>Pass</v>
      </c>
      <c r="AO571" t="str">
        <f>IF(V571&gt;Pricing_Policy!$C$7,"Exception","Standard")</f>
        <v>Standard</v>
      </c>
      <c r="AP571" t="str">
        <f t="shared" si="59"/>
        <v>Pass</v>
      </c>
      <c r="AQ571">
        <f t="shared" si="60"/>
        <v>1</v>
      </c>
      <c r="AR571" s="8">
        <f t="shared" si="61"/>
        <v>0.65559062427731396</v>
      </c>
      <c r="AS571">
        <f t="shared" si="62"/>
        <v>5</v>
      </c>
    </row>
    <row r="572" spans="1:45">
      <c r="A572" t="str">
        <f>Deals_Raw!A572</f>
        <v>D00646</v>
      </c>
      <c r="B572">
        <f>Deals_Raw!B572</f>
        <v>45873</v>
      </c>
      <c r="C572" t="str">
        <f>Deals_Raw!C572</f>
        <v>C0159</v>
      </c>
      <c r="D572" t="str">
        <f>Deals_Raw!D572</f>
        <v>MAN-0159</v>
      </c>
      <c r="E572" t="str">
        <f>Deals_Raw!E572</f>
        <v>CT00349</v>
      </c>
      <c r="F572" t="str">
        <f>Deals_Raw!F572</f>
        <v>Corporate</v>
      </c>
      <c r="G572" t="str">
        <f>Deals_Raw!G572</f>
        <v>Manufacturing</v>
      </c>
      <c r="H572" t="str">
        <f>Deals_Raw!H572</f>
        <v>Midwest</v>
      </c>
      <c r="I572" t="str">
        <f>Deals_Raw!I572</f>
        <v>Midwest Commercial</v>
      </c>
      <c r="J572" t="str">
        <f>Deals_Raw!J572</f>
        <v>Mid-Market</v>
      </c>
      <c r="K572" t="str">
        <f>Deals_Raw!K572</f>
        <v>No</v>
      </c>
      <c r="L572">
        <f>Deals_Raw!L572</f>
        <v>43739</v>
      </c>
      <c r="M572">
        <f>Deals_Raw!M572</f>
        <v>42</v>
      </c>
      <c r="N572" t="str">
        <f>Deals_Raw!N572</f>
        <v>Nexus Analytics</v>
      </c>
      <c r="O572" t="str">
        <f>Deals_Raw!O572</f>
        <v>Expansion</v>
      </c>
      <c r="P572" t="str">
        <f>Deals_Raw!P572</f>
        <v>Enterprise Upgrade</v>
      </c>
      <c r="Q572">
        <f>Deals_Raw!Q572</f>
        <v>1</v>
      </c>
      <c r="R572">
        <f>Deals_Raw!R572</f>
        <v>358</v>
      </c>
      <c r="S572" t="str">
        <f>Deals_Raw!S572</f>
        <v>D. Chen</v>
      </c>
      <c r="T572" s="6">
        <f>Deals_Raw!T572</f>
        <v>111905.42556711972</v>
      </c>
      <c r="U572" s="8">
        <f>Deals_Raw!V572</f>
        <v>0.16600000000000001</v>
      </c>
      <c r="V572" s="8">
        <f>Deals_Raw!W572</f>
        <v>0.14299999999999999</v>
      </c>
      <c r="W572" s="8">
        <f>Deals_Raw!X572</f>
        <v>0.02</v>
      </c>
      <c r="X572" t="str">
        <f>Deals_Raw!Y572</f>
        <v>Expansion opportunity</v>
      </c>
      <c r="Y572" t="str">
        <f>Deals_Raw!Z572</f>
        <v>Pricing Analyst</v>
      </c>
      <c r="Z572" s="6">
        <f>Deals_Raw!AA572</f>
        <v>95944.21096297678</v>
      </c>
      <c r="AA572" s="6">
        <f>Deals_Raw!AC572</f>
        <v>36231.409631943054</v>
      </c>
      <c r="AB572" s="6">
        <f>Deals_Raw!AD572</f>
        <v>59712.801331033726</v>
      </c>
      <c r="AC572" s="8">
        <f>Deals_Raw!AE572</f>
        <v>0.62237002870424218</v>
      </c>
      <c r="AD572" t="str">
        <f>Deals_Raw!AF572</f>
        <v>Won</v>
      </c>
      <c r="AE572">
        <f>Deals_Raw!AG572</f>
        <v>0</v>
      </c>
      <c r="AF572" t="str">
        <f>Deals_Raw!AH572</f>
        <v>Yes</v>
      </c>
      <c r="AG572" t="str">
        <f>Deals_Raw!AI572</f>
        <v>No</v>
      </c>
      <c r="AH572" s="6">
        <f>Deals_Raw!AJ572</f>
        <v>95944.21096297678</v>
      </c>
      <c r="AI572" s="6">
        <f>Deals_Raw!AK572</f>
        <v>59712.801331033726</v>
      </c>
      <c r="AJ572" t="str">
        <f>Deals_Raw!AL572</f>
        <v>Expansion allowed because contract was active</v>
      </c>
      <c r="AK572" s="9">
        <f t="shared" si="56"/>
        <v>5.8416666666666668</v>
      </c>
      <c r="AL572" s="8">
        <f t="shared" si="57"/>
        <v>0.85736871538395998</v>
      </c>
      <c r="AM572" s="8">
        <f t="shared" si="58"/>
        <v>2.300000000000002E-2</v>
      </c>
      <c r="AN572" t="str">
        <f>IF(AC572&lt;Pricing_Policy!$C$10,"Below Floor","Pass")</f>
        <v>Pass</v>
      </c>
      <c r="AO572" t="str">
        <f>IF(V572&gt;Pricing_Policy!$C$7,"Exception","Standard")</f>
        <v>Standard</v>
      </c>
      <c r="AP572" t="str">
        <f t="shared" si="59"/>
        <v>Pass</v>
      </c>
      <c r="AQ572">
        <f t="shared" si="60"/>
        <v>1</v>
      </c>
      <c r="AR572" s="8">
        <f t="shared" si="61"/>
        <v>0.62237002870424218</v>
      </c>
      <c r="AS572">
        <f t="shared" si="62"/>
        <v>5</v>
      </c>
    </row>
    <row r="573" spans="1:45">
      <c r="A573" t="str">
        <f>Deals_Raw!A573</f>
        <v>D00647</v>
      </c>
      <c r="B573">
        <f>Deals_Raw!B573</f>
        <v>45980</v>
      </c>
      <c r="C573" t="str">
        <f>Deals_Raw!C573</f>
        <v>C0159</v>
      </c>
      <c r="D573" t="str">
        <f>Deals_Raw!D573</f>
        <v>MAN-0159</v>
      </c>
      <c r="E573" t="str">
        <f>Deals_Raw!E573</f>
        <v>CT00349</v>
      </c>
      <c r="F573" t="str">
        <f>Deals_Raw!F573</f>
        <v>Corporate</v>
      </c>
      <c r="G573" t="str">
        <f>Deals_Raw!G573</f>
        <v>Manufacturing</v>
      </c>
      <c r="H573" t="str">
        <f>Deals_Raw!H573</f>
        <v>Midwest</v>
      </c>
      <c r="I573" t="str">
        <f>Deals_Raw!I573</f>
        <v>Midwest Commercial</v>
      </c>
      <c r="J573" t="str">
        <f>Deals_Raw!J573</f>
        <v>Mid-Market</v>
      </c>
      <c r="K573" t="str">
        <f>Deals_Raw!K573</f>
        <v>No</v>
      </c>
      <c r="L573">
        <f>Deals_Raw!L573</f>
        <v>43739</v>
      </c>
      <c r="M573">
        <f>Deals_Raw!M573</f>
        <v>42</v>
      </c>
      <c r="N573" t="str">
        <f>Deals_Raw!N573</f>
        <v>Nexus Analytics</v>
      </c>
      <c r="O573" t="str">
        <f>Deals_Raw!O573</f>
        <v>Renewal</v>
      </c>
      <c r="P573">
        <f>Deals_Raw!P573</f>
        <v>0</v>
      </c>
      <c r="Q573">
        <f>Deals_Raw!Q573</f>
        <v>1</v>
      </c>
      <c r="R573">
        <f>Deals_Raw!R573</f>
        <v>358</v>
      </c>
      <c r="S573" t="str">
        <f>Deals_Raw!S573</f>
        <v>T. Brooks</v>
      </c>
      <c r="T573" s="6">
        <f>Deals_Raw!T573</f>
        <v>114865.58820568655</v>
      </c>
      <c r="U573" s="8">
        <f>Deals_Raw!V573</f>
        <v>0.184</v>
      </c>
      <c r="V573" s="8">
        <f>Deals_Raw!W573</f>
        <v>0.16900000000000001</v>
      </c>
      <c r="W573" s="8">
        <f>Deals_Raw!X573</f>
        <v>-0.03</v>
      </c>
      <c r="X573" t="str">
        <f>Deals_Raw!Y573</f>
        <v>Renewal retention risk</v>
      </c>
      <c r="Y573" t="str">
        <f>Deals_Raw!Z573</f>
        <v>Pricing Analyst</v>
      </c>
      <c r="Z573" s="6">
        <f>Deals_Raw!AA573</f>
        <v>95473.05885922692</v>
      </c>
      <c r="AA573" s="6">
        <f>Deals_Raw!AC573</f>
        <v>35208.422366617233</v>
      </c>
      <c r="AB573" s="6">
        <f>Deals_Raw!AD573</f>
        <v>60264.636492609687</v>
      </c>
      <c r="AC573" s="8">
        <f>Deals_Raw!AE573</f>
        <v>0.6312213855163965</v>
      </c>
      <c r="AD573" t="str">
        <f>Deals_Raw!AF573</f>
        <v>Won</v>
      </c>
      <c r="AE573" t="str">
        <f>Deals_Raw!AG573</f>
        <v>Yes</v>
      </c>
      <c r="AF573">
        <f>Deals_Raw!AH573</f>
        <v>0</v>
      </c>
      <c r="AG573" t="str">
        <f>Deals_Raw!AI573</f>
        <v>No</v>
      </c>
      <c r="AH573" s="6">
        <f>Deals_Raw!AJ573</f>
        <v>95473.05885922692</v>
      </c>
      <c r="AI573" s="6">
        <f>Deals_Raw!AK573</f>
        <v>60264.636492609687</v>
      </c>
      <c r="AJ573" t="str">
        <f>Deals_Raw!AL573</f>
        <v>Renewal of existing active contract</v>
      </c>
      <c r="AK573" s="9">
        <f t="shared" si="56"/>
        <v>6.1333333333333337</v>
      </c>
      <c r="AL573" s="8">
        <f t="shared" si="57"/>
        <v>0.83117198414782001</v>
      </c>
      <c r="AM573" s="8">
        <f t="shared" si="58"/>
        <v>1.4999999999999986E-2</v>
      </c>
      <c r="AN573" t="str">
        <f>IF(AC573&lt;Pricing_Policy!$C$10,"Below Floor","Pass")</f>
        <v>Pass</v>
      </c>
      <c r="AO573" t="str">
        <f>IF(V573&gt;Pricing_Policy!$C$7,"Exception","Standard")</f>
        <v>Standard</v>
      </c>
      <c r="AP573" t="str">
        <f t="shared" si="59"/>
        <v>Pass</v>
      </c>
      <c r="AQ573">
        <f t="shared" si="60"/>
        <v>1</v>
      </c>
      <c r="AR573" s="8">
        <f t="shared" si="61"/>
        <v>0.6312213855163965</v>
      </c>
      <c r="AS573">
        <f t="shared" si="62"/>
        <v>5</v>
      </c>
    </row>
    <row r="574" spans="1:45">
      <c r="A574" t="str">
        <f>Deals_Raw!A574</f>
        <v>D00648</v>
      </c>
      <c r="B574">
        <f>Deals_Raw!B574</f>
        <v>46003</v>
      </c>
      <c r="C574" t="str">
        <f>Deals_Raw!C574</f>
        <v>C0160</v>
      </c>
      <c r="D574" t="str">
        <f>Deals_Raw!D574</f>
        <v>TEC-0160</v>
      </c>
      <c r="E574" t="str">
        <f>Deals_Raw!E574</f>
        <v>CT00351</v>
      </c>
      <c r="F574" t="str">
        <f>Deals_Raw!F574</f>
        <v>Corporate</v>
      </c>
      <c r="G574" t="str">
        <f>Deals_Raw!G574</f>
        <v>Technology</v>
      </c>
      <c r="H574" t="str">
        <f>Deals_Raw!H574</f>
        <v>Northeast</v>
      </c>
      <c r="I574" t="str">
        <f>Deals_Raw!I574</f>
        <v>Northeast Commercial</v>
      </c>
      <c r="J574" t="str">
        <f>Deals_Raw!J574</f>
        <v>Mid-Market</v>
      </c>
      <c r="K574" t="str">
        <f>Deals_Raw!K574</f>
        <v>No</v>
      </c>
      <c r="L574">
        <f>Deals_Raw!L574</f>
        <v>43739</v>
      </c>
      <c r="M574">
        <f>Deals_Raw!M574</f>
        <v>66</v>
      </c>
      <c r="N574" t="str">
        <f>Deals_Raw!N574</f>
        <v>Nexus Compliance</v>
      </c>
      <c r="O574" t="str">
        <f>Deals_Raw!O574</f>
        <v>Renewal</v>
      </c>
      <c r="P574">
        <f>Deals_Raw!P574</f>
        <v>0</v>
      </c>
      <c r="Q574">
        <f>Deals_Raw!Q574</f>
        <v>2</v>
      </c>
      <c r="R574">
        <f>Deals_Raw!R574</f>
        <v>231</v>
      </c>
      <c r="S574" t="str">
        <f>Deals_Raw!S574</f>
        <v>K. Nguyen</v>
      </c>
      <c r="T574" s="6">
        <f>Deals_Raw!T574</f>
        <v>144725.24552297438</v>
      </c>
      <c r="U574" s="8">
        <f>Deals_Raw!V574</f>
        <v>0</v>
      </c>
      <c r="V574" s="8">
        <f>Deals_Raw!W574</f>
        <v>0</v>
      </c>
      <c r="W574" s="8">
        <f>Deals_Raw!X574</f>
        <v>-4.7E-2</v>
      </c>
      <c r="X574" t="str">
        <f>Deals_Raw!Y574</f>
        <v>Verified competitor pressure</v>
      </c>
      <c r="Y574" t="str">
        <f>Deals_Raw!Z574</f>
        <v>Sales Manager</v>
      </c>
      <c r="Z574" s="6">
        <f>Deals_Raw!AA574</f>
        <v>144725.24552297438</v>
      </c>
      <c r="AA574" s="6">
        <f>Deals_Raw!AC574</f>
        <v>48268.780710749015</v>
      </c>
      <c r="AB574" s="6">
        <f>Deals_Raw!AD574</f>
        <v>96456.464812225371</v>
      </c>
      <c r="AC574" s="8">
        <f>Deals_Raw!AE574</f>
        <v>0.66647988375264777</v>
      </c>
      <c r="AD574" t="str">
        <f>Deals_Raw!AF574</f>
        <v>Lost</v>
      </c>
      <c r="AE574" t="str">
        <f>Deals_Raw!AG574</f>
        <v>No</v>
      </c>
      <c r="AF574">
        <f>Deals_Raw!AH574</f>
        <v>0</v>
      </c>
      <c r="AG574" t="str">
        <f>Deals_Raw!AI574</f>
        <v>No</v>
      </c>
      <c r="AH574" s="6">
        <f>Deals_Raw!AJ574</f>
        <v>0</v>
      </c>
      <c r="AI574" s="6">
        <f>Deals_Raw!AK574</f>
        <v>0</v>
      </c>
      <c r="AJ574" t="str">
        <f>Deals_Raw!AL574</f>
        <v>Renewal of existing active contract</v>
      </c>
      <c r="AK574" s="9">
        <f t="shared" si="56"/>
        <v>6.197222222222222</v>
      </c>
      <c r="AL574" s="8">
        <f t="shared" si="57"/>
        <v>1</v>
      </c>
      <c r="AM574" s="8">
        <f t="shared" si="58"/>
        <v>0</v>
      </c>
      <c r="AN574" t="str">
        <f>IF(AC574&lt;Pricing_Policy!$C$10,"Below Floor","Pass")</f>
        <v>Pass</v>
      </c>
      <c r="AO574" t="str">
        <f>IF(V574&gt;Pricing_Policy!$C$7,"Exception","Standard")</f>
        <v>Standard</v>
      </c>
      <c r="AP574" t="str">
        <f t="shared" si="59"/>
        <v>Pass</v>
      </c>
      <c r="AQ574">
        <f t="shared" si="60"/>
        <v>0</v>
      </c>
      <c r="AR574" s="8">
        <f t="shared" si="61"/>
        <v>0</v>
      </c>
      <c r="AS574">
        <f t="shared" si="62"/>
        <v>1</v>
      </c>
    </row>
    <row r="575" spans="1:45">
      <c r="A575" t="str">
        <f>Deals_Raw!A575</f>
        <v>D00650</v>
      </c>
      <c r="B575">
        <f>Deals_Raw!B575</f>
        <v>45537</v>
      </c>
      <c r="C575" t="str">
        <f>Deals_Raw!C575</f>
        <v>C0160</v>
      </c>
      <c r="D575" t="str">
        <f>Deals_Raw!D575</f>
        <v>TEC-0160</v>
      </c>
      <c r="E575" t="str">
        <f>Deals_Raw!E575</f>
        <v>CT00352</v>
      </c>
      <c r="F575" t="str">
        <f>Deals_Raw!F575</f>
        <v>Technology</v>
      </c>
      <c r="G575" t="str">
        <f>Deals_Raw!G575</f>
        <v>Technology</v>
      </c>
      <c r="H575" t="str">
        <f>Deals_Raw!H575</f>
        <v>Northeast</v>
      </c>
      <c r="I575" t="str">
        <f>Deals_Raw!I575</f>
        <v>Northeast Commercial</v>
      </c>
      <c r="J575" t="str">
        <f>Deals_Raw!J575</f>
        <v>Mid-Market</v>
      </c>
      <c r="K575" t="str">
        <f>Deals_Raw!K575</f>
        <v>No</v>
      </c>
      <c r="L575">
        <f>Deals_Raw!L575</f>
        <v>43739</v>
      </c>
      <c r="M575">
        <f>Deals_Raw!M575</f>
        <v>66</v>
      </c>
      <c r="N575" t="str">
        <f>Deals_Raw!N575</f>
        <v>Nexus AI Assistant</v>
      </c>
      <c r="O575" t="str">
        <f>Deals_Raw!O575</f>
        <v>Expansion</v>
      </c>
      <c r="P575" t="str">
        <f>Deals_Raw!P575</f>
        <v>Seat Expansion</v>
      </c>
      <c r="Q575">
        <f>Deals_Raw!Q575</f>
        <v>2</v>
      </c>
      <c r="R575">
        <f>Deals_Raw!R575</f>
        <v>432</v>
      </c>
      <c r="S575" t="str">
        <f>Deals_Raw!S575</f>
        <v>D. Chen</v>
      </c>
      <c r="T575" s="6">
        <f>Deals_Raw!T575</f>
        <v>140748.19406979845</v>
      </c>
      <c r="U575" s="8">
        <f>Deals_Raw!V575</f>
        <v>0.17499999999999999</v>
      </c>
      <c r="V575" s="8">
        <f>Deals_Raw!W575</f>
        <v>0.14899999999999999</v>
      </c>
      <c r="W575" s="8">
        <f>Deals_Raw!X575</f>
        <v>2.5000000000000001E-2</v>
      </c>
      <c r="X575" t="str">
        <f>Deals_Raw!Y575</f>
        <v>Expansion opportunity</v>
      </c>
      <c r="Y575" t="str">
        <f>Deals_Raw!Z575</f>
        <v>Pricing Analyst</v>
      </c>
      <c r="Z575" s="6">
        <f>Deals_Raw!AA575</f>
        <v>119791.06573193781</v>
      </c>
      <c r="AA575" s="6">
        <f>Deals_Raw!AC575</f>
        <v>57970.262022436997</v>
      </c>
      <c r="AB575" s="6">
        <f>Deals_Raw!AD575</f>
        <v>61820.803709500811</v>
      </c>
      <c r="AC575" s="8">
        <f>Deals_Raw!AE575</f>
        <v>0.51607190679679049</v>
      </c>
      <c r="AD575" t="str">
        <f>Deals_Raw!AF575</f>
        <v>Won</v>
      </c>
      <c r="AE575">
        <f>Deals_Raw!AG575</f>
        <v>0</v>
      </c>
      <c r="AF575" t="str">
        <f>Deals_Raw!AH575</f>
        <v>Yes</v>
      </c>
      <c r="AG575" t="str">
        <f>Deals_Raw!AI575</f>
        <v>No</v>
      </c>
      <c r="AH575" s="6">
        <f>Deals_Raw!AJ575</f>
        <v>119791.06573193781</v>
      </c>
      <c r="AI575" s="6">
        <f>Deals_Raw!AK575</f>
        <v>61820.803709500811</v>
      </c>
      <c r="AJ575" t="str">
        <f>Deals_Raw!AL575</f>
        <v>Expansion allowed because contract was active</v>
      </c>
      <c r="AK575" s="9">
        <f t="shared" si="56"/>
        <v>4.9194444444444443</v>
      </c>
      <c r="AL575" s="8">
        <f t="shared" si="57"/>
        <v>0.85110197344722027</v>
      </c>
      <c r="AM575" s="8">
        <f t="shared" si="58"/>
        <v>2.5999999999999995E-2</v>
      </c>
      <c r="AN575" t="str">
        <f>IF(AC575&lt;Pricing_Policy!$C$10,"Below Floor","Pass")</f>
        <v>Pass</v>
      </c>
      <c r="AO575" t="str">
        <f>IF(V575&gt;Pricing_Policy!$C$7,"Exception","Standard")</f>
        <v>Standard</v>
      </c>
      <c r="AP575" t="str">
        <f t="shared" si="59"/>
        <v>Pass</v>
      </c>
      <c r="AQ575">
        <f t="shared" si="60"/>
        <v>1</v>
      </c>
      <c r="AR575" s="8">
        <f t="shared" si="61"/>
        <v>0.51607190679679049</v>
      </c>
      <c r="AS575">
        <f t="shared" si="62"/>
        <v>2</v>
      </c>
    </row>
    <row r="576" spans="1:45">
      <c r="A576" t="str">
        <f>Deals_Raw!A576</f>
        <v>D00651</v>
      </c>
      <c r="B576">
        <f>Deals_Raw!B576</f>
        <v>45690</v>
      </c>
      <c r="C576" t="str">
        <f>Deals_Raw!C576</f>
        <v>C0160</v>
      </c>
      <c r="D576" t="str">
        <f>Deals_Raw!D576</f>
        <v>TEC-0160</v>
      </c>
      <c r="E576" t="str">
        <f>Deals_Raw!E576</f>
        <v>CT00352</v>
      </c>
      <c r="F576" t="str">
        <f>Deals_Raw!F576</f>
        <v>Technology</v>
      </c>
      <c r="G576" t="str">
        <f>Deals_Raw!G576</f>
        <v>Technology</v>
      </c>
      <c r="H576" t="str">
        <f>Deals_Raw!H576</f>
        <v>Northeast</v>
      </c>
      <c r="I576" t="str">
        <f>Deals_Raw!I576</f>
        <v>Northeast Commercial</v>
      </c>
      <c r="J576" t="str">
        <f>Deals_Raw!J576</f>
        <v>Mid-Market</v>
      </c>
      <c r="K576" t="str">
        <f>Deals_Raw!K576</f>
        <v>No</v>
      </c>
      <c r="L576">
        <f>Deals_Raw!L576</f>
        <v>43739</v>
      </c>
      <c r="M576">
        <f>Deals_Raw!M576</f>
        <v>66</v>
      </c>
      <c r="N576" t="str">
        <f>Deals_Raw!N576</f>
        <v>Nexus AI Assistant</v>
      </c>
      <c r="O576" t="str">
        <f>Deals_Raw!O576</f>
        <v>Renewal</v>
      </c>
      <c r="P576">
        <f>Deals_Raw!P576</f>
        <v>0</v>
      </c>
      <c r="Q576">
        <f>Deals_Raw!Q576</f>
        <v>2</v>
      </c>
      <c r="R576">
        <f>Deals_Raw!R576</f>
        <v>432</v>
      </c>
      <c r="S576" t="str">
        <f>Deals_Raw!S576</f>
        <v>M. Johnson</v>
      </c>
      <c r="T576" s="6">
        <f>Deals_Raw!T576</f>
        <v>145451.17080199489</v>
      </c>
      <c r="U576" s="8">
        <f>Deals_Raw!V576</f>
        <v>8.7999999999999995E-2</v>
      </c>
      <c r="V576" s="8">
        <f>Deals_Raw!W576</f>
        <v>8.6999999999999994E-2</v>
      </c>
      <c r="W576" s="8">
        <f>Deals_Raw!X576</f>
        <v>-3.0000000000000001E-3</v>
      </c>
      <c r="X576" t="str">
        <f>Deals_Raw!Y576</f>
        <v>Verified competitor pressure</v>
      </c>
      <c r="Y576" t="str">
        <f>Deals_Raw!Z576</f>
        <v>Sales Manager</v>
      </c>
      <c r="Z576" s="6">
        <f>Deals_Raw!AA576</f>
        <v>132787.00699057628</v>
      </c>
      <c r="AA576" s="6">
        <f>Deals_Raw!AC576</f>
        <v>58664.411246230651</v>
      </c>
      <c r="AB576" s="6">
        <f>Deals_Raw!AD576</f>
        <v>74122.595744345628</v>
      </c>
      <c r="AC576" s="8">
        <f>Deals_Raw!AE576</f>
        <v>0.558206690731466</v>
      </c>
      <c r="AD576" t="str">
        <f>Deals_Raw!AF576</f>
        <v>Lost</v>
      </c>
      <c r="AE576" t="str">
        <f>Deals_Raw!AG576</f>
        <v>No</v>
      </c>
      <c r="AF576">
        <f>Deals_Raw!AH576</f>
        <v>0</v>
      </c>
      <c r="AG576" t="str">
        <f>Deals_Raw!AI576</f>
        <v>No</v>
      </c>
      <c r="AH576" s="6">
        <f>Deals_Raw!AJ576</f>
        <v>0</v>
      </c>
      <c r="AI576" s="6">
        <f>Deals_Raw!AK576</f>
        <v>0</v>
      </c>
      <c r="AJ576" t="str">
        <f>Deals_Raw!AL576</f>
        <v>Renewal of existing active contract</v>
      </c>
      <c r="AK576" s="9">
        <f t="shared" si="56"/>
        <v>5.3361111111111112</v>
      </c>
      <c r="AL576" s="8">
        <f t="shared" si="57"/>
        <v>0.91293185375139718</v>
      </c>
      <c r="AM576" s="8">
        <f t="shared" si="58"/>
        <v>1.0000000000000009E-3</v>
      </c>
      <c r="AN576" t="str">
        <f>IF(AC576&lt;Pricing_Policy!$C$10,"Below Floor","Pass")</f>
        <v>Pass</v>
      </c>
      <c r="AO576" t="str">
        <f>IF(V576&gt;Pricing_Policy!$C$7,"Exception","Standard")</f>
        <v>Standard</v>
      </c>
      <c r="AP576" t="str">
        <f t="shared" si="59"/>
        <v>Pass</v>
      </c>
      <c r="AQ576">
        <f t="shared" si="60"/>
        <v>0</v>
      </c>
      <c r="AR576" s="8">
        <f t="shared" si="61"/>
        <v>0</v>
      </c>
      <c r="AS576">
        <f t="shared" si="62"/>
        <v>2</v>
      </c>
    </row>
    <row r="577" spans="1:45">
      <c r="A577" t="str">
        <f>Deals_Raw!A577</f>
        <v>D00652</v>
      </c>
      <c r="B577">
        <f>Deals_Raw!B577</f>
        <v>45438</v>
      </c>
      <c r="C577" t="str">
        <f>Deals_Raw!C577</f>
        <v>C0161</v>
      </c>
      <c r="D577" t="str">
        <f>Deals_Raw!D577</f>
        <v>TEC-0161</v>
      </c>
      <c r="E577" t="str">
        <f>Deals_Raw!E577</f>
        <v>CT00353</v>
      </c>
      <c r="F577" t="str">
        <f>Deals_Raw!F577</f>
        <v>Operations</v>
      </c>
      <c r="G577" t="str">
        <f>Deals_Raw!G577</f>
        <v>Technology</v>
      </c>
      <c r="H577" t="str">
        <f>Deals_Raw!H577</f>
        <v>Northeast</v>
      </c>
      <c r="I577" t="str">
        <f>Deals_Raw!I577</f>
        <v>Northeast Commercial</v>
      </c>
      <c r="J577" t="str">
        <f>Deals_Raw!J577</f>
        <v>SMB</v>
      </c>
      <c r="K577" t="str">
        <f>Deals_Raw!K577</f>
        <v>No</v>
      </c>
      <c r="L577">
        <f>Deals_Raw!L577</f>
        <v>45108</v>
      </c>
      <c r="M577">
        <f>Deals_Raw!M577</f>
        <v>75</v>
      </c>
      <c r="N577" t="str">
        <f>Deals_Raw!N577</f>
        <v>Nexus Compliance</v>
      </c>
      <c r="O577" t="str">
        <f>Deals_Raw!O577</f>
        <v>New Business</v>
      </c>
      <c r="P577">
        <f>Deals_Raw!P577</f>
        <v>0</v>
      </c>
      <c r="Q577">
        <f>Deals_Raw!Q577</f>
        <v>1</v>
      </c>
      <c r="R577">
        <f>Deals_Raw!R577</f>
        <v>62</v>
      </c>
      <c r="S577" t="str">
        <f>Deals_Raw!S577</f>
        <v>K. Nguyen</v>
      </c>
      <c r="T577" s="6">
        <f>Deals_Raw!T577</f>
        <v>88831.305585782829</v>
      </c>
      <c r="U577" s="8">
        <f>Deals_Raw!V577</f>
        <v>8.6999999999999994E-2</v>
      </c>
      <c r="V577" s="8">
        <f>Deals_Raw!W577</f>
        <v>6.6000000000000003E-2</v>
      </c>
      <c r="W577" s="8">
        <f>Deals_Raw!X577</f>
        <v>-1.4999999999999999E-2</v>
      </c>
      <c r="X577" t="str">
        <f>Deals_Raw!Y577</f>
        <v>Budget constraint</v>
      </c>
      <c r="Y577" t="str">
        <f>Deals_Raw!Z577</f>
        <v>Sales Manager</v>
      </c>
      <c r="Z577" s="6">
        <f>Deals_Raw!AA577</f>
        <v>82952.773485552403</v>
      </c>
      <c r="AA577" s="6">
        <f>Deals_Raw!AC577</f>
        <v>35266.102074860035</v>
      </c>
      <c r="AB577" s="6">
        <f>Deals_Raw!AD577</f>
        <v>47686.671410692368</v>
      </c>
      <c r="AC577" s="8">
        <f>Deals_Raw!AE577</f>
        <v>0.57486530476280928</v>
      </c>
      <c r="AD577" t="str">
        <f>Deals_Raw!AF577</f>
        <v>Won</v>
      </c>
      <c r="AE577">
        <f>Deals_Raw!AG577</f>
        <v>0</v>
      </c>
      <c r="AF577">
        <f>Deals_Raw!AH577</f>
        <v>0</v>
      </c>
      <c r="AG577" t="str">
        <f>Deals_Raw!AI577</f>
        <v>No</v>
      </c>
      <c r="AH577" s="6">
        <f>Deals_Raw!AJ577</f>
        <v>82952.773485552403</v>
      </c>
      <c r="AI577" s="6">
        <f>Deals_Raw!AK577</f>
        <v>47686.671410692368</v>
      </c>
      <c r="AJ577" t="str">
        <f>Deals_Raw!AL577</f>
        <v>First purchase under this contract</v>
      </c>
      <c r="AK577" s="9">
        <f t="shared" si="56"/>
        <v>0.90277777777777779</v>
      </c>
      <c r="AL577" s="8">
        <f t="shared" si="57"/>
        <v>0.93382364402430595</v>
      </c>
      <c r="AM577" s="8">
        <f t="shared" si="58"/>
        <v>2.0999999999999991E-2</v>
      </c>
      <c r="AN577" t="str">
        <f>IF(AC577&lt;Pricing_Policy!$C$10,"Below Floor","Pass")</f>
        <v>Pass</v>
      </c>
      <c r="AO577" t="str">
        <f>IF(V577&gt;Pricing_Policy!$C$7,"Exception","Standard")</f>
        <v>Standard</v>
      </c>
      <c r="AP577" t="str">
        <f t="shared" si="59"/>
        <v>Pass</v>
      </c>
      <c r="AQ577">
        <f t="shared" si="60"/>
        <v>1</v>
      </c>
      <c r="AR577" s="8">
        <f t="shared" si="61"/>
        <v>0.57486530476280928</v>
      </c>
      <c r="AS577">
        <f t="shared" si="62"/>
        <v>4</v>
      </c>
    </row>
    <row r="578" spans="1:45">
      <c r="A578" t="str">
        <f>Deals_Raw!A578</f>
        <v>D00653</v>
      </c>
      <c r="B578">
        <f>Deals_Raw!B578</f>
        <v>45803</v>
      </c>
      <c r="C578" t="str">
        <f>Deals_Raw!C578</f>
        <v>C0161</v>
      </c>
      <c r="D578" t="str">
        <f>Deals_Raw!D578</f>
        <v>TEC-0161</v>
      </c>
      <c r="E578" t="str">
        <f>Deals_Raw!E578</f>
        <v>CT00353</v>
      </c>
      <c r="F578" t="str">
        <f>Deals_Raw!F578</f>
        <v>Operations</v>
      </c>
      <c r="G578" t="str">
        <f>Deals_Raw!G578</f>
        <v>Technology</v>
      </c>
      <c r="H578" t="str">
        <f>Deals_Raw!H578</f>
        <v>Northeast</v>
      </c>
      <c r="I578" t="str">
        <f>Deals_Raw!I578</f>
        <v>Northeast Commercial</v>
      </c>
      <c r="J578" t="str">
        <f>Deals_Raw!J578</f>
        <v>SMB</v>
      </c>
      <c r="K578" t="str">
        <f>Deals_Raw!K578</f>
        <v>No</v>
      </c>
      <c r="L578">
        <f>Deals_Raw!L578</f>
        <v>45108</v>
      </c>
      <c r="M578">
        <f>Deals_Raw!M578</f>
        <v>75</v>
      </c>
      <c r="N578" t="str">
        <f>Deals_Raw!N578</f>
        <v>Nexus Compliance</v>
      </c>
      <c r="O578" t="str">
        <f>Deals_Raw!O578</f>
        <v>Renewal</v>
      </c>
      <c r="P578">
        <f>Deals_Raw!P578</f>
        <v>0</v>
      </c>
      <c r="Q578">
        <f>Deals_Raw!Q578</f>
        <v>1</v>
      </c>
      <c r="R578">
        <f>Deals_Raw!R578</f>
        <v>62</v>
      </c>
      <c r="S578" t="str">
        <f>Deals_Raw!S578</f>
        <v>K. Nguyen</v>
      </c>
      <c r="T578" s="6">
        <f>Deals_Raw!T578</f>
        <v>90761.752589266427</v>
      </c>
      <c r="U578" s="8">
        <f>Deals_Raw!V578</f>
        <v>0.12</v>
      </c>
      <c r="V578" s="8">
        <f>Deals_Raw!W578</f>
        <v>8.5000000000000006E-2</v>
      </c>
      <c r="W578" s="8">
        <f>Deals_Raw!X578</f>
        <v>-7.0000000000000007E-2</v>
      </c>
      <c r="X578" t="str">
        <f>Deals_Raw!Y578</f>
        <v>Multi-year commitment</v>
      </c>
      <c r="Y578" t="str">
        <f>Deals_Raw!Z578</f>
        <v>Sales Manager</v>
      </c>
      <c r="Z578" s="6">
        <f>Deals_Raw!AA578</f>
        <v>83005.508177486714</v>
      </c>
      <c r="AA578" s="6">
        <f>Deals_Raw!AC578</f>
        <v>27246.624275268194</v>
      </c>
      <c r="AB578" s="6">
        <f>Deals_Raw!AD578</f>
        <v>55758.88390221852</v>
      </c>
      <c r="AC578" s="8">
        <f>Deals_Raw!AE578</f>
        <v>0.67174920226970913</v>
      </c>
      <c r="AD578" t="str">
        <f>Deals_Raw!AF578</f>
        <v>Won</v>
      </c>
      <c r="AE578" t="str">
        <f>Deals_Raw!AG578</f>
        <v>Yes</v>
      </c>
      <c r="AF578">
        <f>Deals_Raw!AH578</f>
        <v>0</v>
      </c>
      <c r="AG578" t="str">
        <f>Deals_Raw!AI578</f>
        <v>No</v>
      </c>
      <c r="AH578" s="6">
        <f>Deals_Raw!AJ578</f>
        <v>83005.508177486714</v>
      </c>
      <c r="AI578" s="6">
        <f>Deals_Raw!AK578</f>
        <v>55758.88390221852</v>
      </c>
      <c r="AJ578" t="str">
        <f>Deals_Raw!AL578</f>
        <v>Renewal of existing active contract</v>
      </c>
      <c r="AK578" s="9">
        <f t="shared" si="56"/>
        <v>1.9027777777777777</v>
      </c>
      <c r="AL578" s="8">
        <f t="shared" si="57"/>
        <v>0.91454280916235886</v>
      </c>
      <c r="AM578" s="8">
        <f t="shared" si="58"/>
        <v>3.4999999999999989E-2</v>
      </c>
      <c r="AN578" t="str">
        <f>IF(AC578&lt;Pricing_Policy!$C$10,"Below Floor","Pass")</f>
        <v>Pass</v>
      </c>
      <c r="AO578" t="str">
        <f>IF(V578&gt;Pricing_Policy!$C$7,"Exception","Standard")</f>
        <v>Standard</v>
      </c>
      <c r="AP578" t="str">
        <f t="shared" si="59"/>
        <v>Pass</v>
      </c>
      <c r="AQ578">
        <f t="shared" si="60"/>
        <v>1</v>
      </c>
      <c r="AR578" s="8">
        <f t="shared" si="61"/>
        <v>0.67174920226970913</v>
      </c>
      <c r="AS578">
        <f t="shared" si="62"/>
        <v>4</v>
      </c>
    </row>
    <row r="579" spans="1:45">
      <c r="A579" t="str">
        <f>Deals_Raw!A579</f>
        <v>D00654</v>
      </c>
      <c r="B579">
        <f>Deals_Raw!B579</f>
        <v>45393</v>
      </c>
      <c r="C579" t="str">
        <f>Deals_Raw!C579</f>
        <v>C0161</v>
      </c>
      <c r="D579" t="str">
        <f>Deals_Raw!D579</f>
        <v>TEC-0161</v>
      </c>
      <c r="E579" t="str">
        <f>Deals_Raw!E579</f>
        <v>CT00354</v>
      </c>
      <c r="F579" t="str">
        <f>Deals_Raw!F579</f>
        <v>Finance</v>
      </c>
      <c r="G579" t="str">
        <f>Deals_Raw!G579</f>
        <v>Technology</v>
      </c>
      <c r="H579" t="str">
        <f>Deals_Raw!H579</f>
        <v>Northeast</v>
      </c>
      <c r="I579" t="str">
        <f>Deals_Raw!I579</f>
        <v>Northeast Commercial</v>
      </c>
      <c r="J579" t="str">
        <f>Deals_Raw!J579</f>
        <v>SMB</v>
      </c>
      <c r="K579" t="str">
        <f>Deals_Raw!K579</f>
        <v>No</v>
      </c>
      <c r="L579">
        <f>Deals_Raw!L579</f>
        <v>45108</v>
      </c>
      <c r="M579">
        <f>Deals_Raw!M579</f>
        <v>75</v>
      </c>
      <c r="N579" t="str">
        <f>Deals_Raw!N579</f>
        <v>Nexus Analytics</v>
      </c>
      <c r="O579" t="str">
        <f>Deals_Raw!O579</f>
        <v>New Business</v>
      </c>
      <c r="P579">
        <f>Deals_Raw!P579</f>
        <v>0</v>
      </c>
      <c r="Q579">
        <f>Deals_Raw!Q579</f>
        <v>3</v>
      </c>
      <c r="R579">
        <f>Deals_Raw!R579</f>
        <v>18</v>
      </c>
      <c r="S579" t="str">
        <f>Deals_Raw!S579</f>
        <v>D. Chen</v>
      </c>
      <c r="T579" s="6">
        <f>Deals_Raw!T579</f>
        <v>47990.781827853796</v>
      </c>
      <c r="U579" s="8">
        <f>Deals_Raw!V579</f>
        <v>0.24099999999999999</v>
      </c>
      <c r="V579" s="8">
        <f>Deals_Raw!W579</f>
        <v>0.221</v>
      </c>
      <c r="W579" s="8">
        <f>Deals_Raw!X579</f>
        <v>-3.4000000000000002E-2</v>
      </c>
      <c r="X579" t="str">
        <f>Deals_Raw!Y579</f>
        <v>Budget constraint</v>
      </c>
      <c r="Y579" t="str">
        <f>Deals_Raw!Z579</f>
        <v>Business Manager</v>
      </c>
      <c r="Z579" s="6">
        <f>Deals_Raw!AA579</f>
        <v>37367.46655039808</v>
      </c>
      <c r="AA579" s="6">
        <f>Deals_Raw!AC579</f>
        <v>15439.241016168999</v>
      </c>
      <c r="AB579" s="6">
        <f>Deals_Raw!AD579</f>
        <v>21928.225534229081</v>
      </c>
      <c r="AC579" s="8">
        <f>Deals_Raw!AE579</f>
        <v>0.58682665854946692</v>
      </c>
      <c r="AD579" t="str">
        <f>Deals_Raw!AF579</f>
        <v>Lost</v>
      </c>
      <c r="AE579">
        <f>Deals_Raw!AG579</f>
        <v>0</v>
      </c>
      <c r="AF579">
        <f>Deals_Raw!AH579</f>
        <v>0</v>
      </c>
      <c r="AG579" t="str">
        <f>Deals_Raw!AI579</f>
        <v>No</v>
      </c>
      <c r="AH579" s="6">
        <f>Deals_Raw!AJ579</f>
        <v>0</v>
      </c>
      <c r="AI579" s="6">
        <f>Deals_Raw!AK579</f>
        <v>0</v>
      </c>
      <c r="AJ579" t="str">
        <f>Deals_Raw!AL579</f>
        <v>First purchase under this contract</v>
      </c>
      <c r="AK579" s="9">
        <f t="shared" si="56"/>
        <v>0.77777777777777779</v>
      </c>
      <c r="AL579" s="8">
        <f t="shared" si="57"/>
        <v>0.77863842027908048</v>
      </c>
      <c r="AM579" s="8">
        <f t="shared" si="58"/>
        <v>1.999999999999999E-2</v>
      </c>
      <c r="AN579" t="str">
        <f>IF(AC579&lt;Pricing_Policy!$C$10,"Below Floor","Pass")</f>
        <v>Pass</v>
      </c>
      <c r="AO579" t="str">
        <f>IF(V579&gt;Pricing_Policy!$C$7,"Exception","Standard")</f>
        <v>Standard</v>
      </c>
      <c r="AP579" t="str">
        <f t="shared" si="59"/>
        <v>Pass</v>
      </c>
      <c r="AQ579">
        <f t="shared" si="60"/>
        <v>0</v>
      </c>
      <c r="AR579" s="8">
        <f t="shared" si="61"/>
        <v>0</v>
      </c>
      <c r="AS579">
        <f t="shared" si="62"/>
        <v>1</v>
      </c>
    </row>
    <row r="580" spans="1:45">
      <c r="A580" t="str">
        <f>Deals_Raw!A580</f>
        <v>D00655</v>
      </c>
      <c r="B580">
        <f>Deals_Raw!B580</f>
        <v>45626</v>
      </c>
      <c r="C580" t="str">
        <f>Deals_Raw!C580</f>
        <v>C0161</v>
      </c>
      <c r="D580" t="str">
        <f>Deals_Raw!D580</f>
        <v>TEC-0161</v>
      </c>
      <c r="E580" t="str">
        <f>Deals_Raw!E580</f>
        <v>CT00355</v>
      </c>
      <c r="F580" t="str">
        <f>Deals_Raw!F580</f>
        <v>Legal</v>
      </c>
      <c r="G580" t="str">
        <f>Deals_Raw!G580</f>
        <v>Technology</v>
      </c>
      <c r="H580" t="str">
        <f>Deals_Raw!H580</f>
        <v>Northeast</v>
      </c>
      <c r="I580" t="str">
        <f>Deals_Raw!I580</f>
        <v>Northeast Commercial</v>
      </c>
      <c r="J580" t="str">
        <f>Deals_Raw!J580</f>
        <v>SMB</v>
      </c>
      <c r="K580" t="str">
        <f>Deals_Raw!K580</f>
        <v>No</v>
      </c>
      <c r="L580">
        <f>Deals_Raw!L580</f>
        <v>45108</v>
      </c>
      <c r="M580">
        <f>Deals_Raw!M580</f>
        <v>75</v>
      </c>
      <c r="N580" t="str">
        <f>Deals_Raw!N580</f>
        <v>Nexus Compliance</v>
      </c>
      <c r="O580" t="str">
        <f>Deals_Raw!O580</f>
        <v>Renewal</v>
      </c>
      <c r="P580">
        <f>Deals_Raw!P580</f>
        <v>0</v>
      </c>
      <c r="Q580">
        <f>Deals_Raw!Q580</f>
        <v>1</v>
      </c>
      <c r="R580">
        <f>Deals_Raw!R580</f>
        <v>18</v>
      </c>
      <c r="S580" t="str">
        <f>Deals_Raw!S580</f>
        <v>M. Johnson</v>
      </c>
      <c r="T580" s="6">
        <f>Deals_Raw!T580</f>
        <v>70732.069235869276</v>
      </c>
      <c r="U580" s="8">
        <f>Deals_Raw!V580</f>
        <v>0.17799999999999999</v>
      </c>
      <c r="V580" s="8">
        <f>Deals_Raw!W580</f>
        <v>0.16</v>
      </c>
      <c r="W580" s="8">
        <f>Deals_Raw!X580</f>
        <v>-4.7E-2</v>
      </c>
      <c r="X580" t="str">
        <f>Deals_Raw!Y580</f>
        <v>Expansion opportunity</v>
      </c>
      <c r="Y580" t="str">
        <f>Deals_Raw!Z580</f>
        <v>Pricing Analyst</v>
      </c>
      <c r="Z580" s="6">
        <f>Deals_Raw!AA580</f>
        <v>59421.84242603615</v>
      </c>
      <c r="AA580" s="6">
        <f>Deals_Raw!AC580</f>
        <v>25982.444493109724</v>
      </c>
      <c r="AB580" s="6">
        <f>Deals_Raw!AD580</f>
        <v>33439.397932926426</v>
      </c>
      <c r="AC580" s="8">
        <f>Deals_Raw!AE580</f>
        <v>0.56274589557786392</v>
      </c>
      <c r="AD580" t="str">
        <f>Deals_Raw!AF580</f>
        <v>Won</v>
      </c>
      <c r="AE580" t="str">
        <f>Deals_Raw!AG580</f>
        <v>Yes</v>
      </c>
      <c r="AF580">
        <f>Deals_Raw!AH580</f>
        <v>0</v>
      </c>
      <c r="AG580" t="str">
        <f>Deals_Raw!AI580</f>
        <v>No</v>
      </c>
      <c r="AH580" s="6">
        <f>Deals_Raw!AJ580</f>
        <v>59421.84242603615</v>
      </c>
      <c r="AI580" s="6">
        <f>Deals_Raw!AK580</f>
        <v>33439.397932926426</v>
      </c>
      <c r="AJ580" t="str">
        <f>Deals_Raw!AL580</f>
        <v>Renewal of existing active contract</v>
      </c>
      <c r="AK580" s="9">
        <f t="shared" si="56"/>
        <v>1.413888888888889</v>
      </c>
      <c r="AL580" s="8">
        <f t="shared" si="57"/>
        <v>0.84009761156404084</v>
      </c>
      <c r="AM580" s="8">
        <f t="shared" si="58"/>
        <v>1.7999999999999988E-2</v>
      </c>
      <c r="AN580" t="str">
        <f>IF(AC580&lt;Pricing_Policy!$C$10,"Below Floor","Pass")</f>
        <v>Pass</v>
      </c>
      <c r="AO580" t="str">
        <f>IF(V580&gt;Pricing_Policy!$C$7,"Exception","Standard")</f>
        <v>Standard</v>
      </c>
      <c r="AP580" t="str">
        <f t="shared" si="59"/>
        <v>Pass</v>
      </c>
      <c r="AQ580">
        <f t="shared" si="60"/>
        <v>1</v>
      </c>
      <c r="AR580" s="8">
        <f t="shared" si="61"/>
        <v>0.56274589557786392</v>
      </c>
      <c r="AS580">
        <f t="shared" si="62"/>
        <v>4</v>
      </c>
    </row>
    <row r="581" spans="1:45">
      <c r="A581" t="str">
        <f>Deals_Raw!A581</f>
        <v>D00656</v>
      </c>
      <c r="B581">
        <f>Deals_Raw!B581</f>
        <v>45991</v>
      </c>
      <c r="C581" t="str">
        <f>Deals_Raw!C581</f>
        <v>C0161</v>
      </c>
      <c r="D581" t="str">
        <f>Deals_Raw!D581</f>
        <v>TEC-0161</v>
      </c>
      <c r="E581" t="str">
        <f>Deals_Raw!E581</f>
        <v>CT00355</v>
      </c>
      <c r="F581" t="str">
        <f>Deals_Raw!F581</f>
        <v>Legal</v>
      </c>
      <c r="G581" t="str">
        <f>Deals_Raw!G581</f>
        <v>Technology</v>
      </c>
      <c r="H581" t="str">
        <f>Deals_Raw!H581</f>
        <v>Northeast</v>
      </c>
      <c r="I581" t="str">
        <f>Deals_Raw!I581</f>
        <v>Northeast Commercial</v>
      </c>
      <c r="J581" t="str">
        <f>Deals_Raw!J581</f>
        <v>SMB</v>
      </c>
      <c r="K581" t="str">
        <f>Deals_Raw!K581</f>
        <v>No</v>
      </c>
      <c r="L581">
        <f>Deals_Raw!L581</f>
        <v>45108</v>
      </c>
      <c r="M581">
        <f>Deals_Raw!M581</f>
        <v>75</v>
      </c>
      <c r="N581" t="str">
        <f>Deals_Raw!N581</f>
        <v>Nexus Compliance</v>
      </c>
      <c r="O581" t="str">
        <f>Deals_Raw!O581</f>
        <v>Renewal</v>
      </c>
      <c r="P581">
        <f>Deals_Raw!P581</f>
        <v>0</v>
      </c>
      <c r="Q581">
        <f>Deals_Raw!Q581</f>
        <v>1</v>
      </c>
      <c r="R581">
        <f>Deals_Raw!R581</f>
        <v>18</v>
      </c>
      <c r="S581" t="str">
        <f>Deals_Raw!S581</f>
        <v>D. Chen</v>
      </c>
      <c r="T581" s="6">
        <f>Deals_Raw!T581</f>
        <v>74329.69031350709</v>
      </c>
      <c r="U581" s="8">
        <f>Deals_Raw!V581</f>
        <v>0.111</v>
      </c>
      <c r="V581" s="8">
        <f>Deals_Raw!W581</f>
        <v>6.0999999999999999E-2</v>
      </c>
      <c r="W581" s="8">
        <f>Deals_Raw!X581</f>
        <v>-0.13100000000000001</v>
      </c>
      <c r="X581" t="str">
        <f>Deals_Raw!Y581</f>
        <v>Procurement requirement</v>
      </c>
      <c r="Y581" t="str">
        <f>Deals_Raw!Z581</f>
        <v>Sales Manager</v>
      </c>
      <c r="Z581" s="6">
        <f>Deals_Raw!AA581</f>
        <v>69764.433795271776</v>
      </c>
      <c r="AA581" s="6">
        <f>Deals_Raw!AC581</f>
        <v>26349.960106753624</v>
      </c>
      <c r="AB581" s="6">
        <f>Deals_Raw!AD581</f>
        <v>43414.473688518148</v>
      </c>
      <c r="AC581" s="8">
        <f>Deals_Raw!AE581</f>
        <v>0.62230095374844896</v>
      </c>
      <c r="AD581" t="str">
        <f>Deals_Raw!AF581</f>
        <v>Lost</v>
      </c>
      <c r="AE581" t="str">
        <f>Deals_Raw!AG581</f>
        <v>No</v>
      </c>
      <c r="AF581">
        <f>Deals_Raw!AH581</f>
        <v>0</v>
      </c>
      <c r="AG581" t="str">
        <f>Deals_Raw!AI581</f>
        <v>No</v>
      </c>
      <c r="AH581" s="6">
        <f>Deals_Raw!AJ581</f>
        <v>0</v>
      </c>
      <c r="AI581" s="6">
        <f>Deals_Raw!AK581</f>
        <v>0</v>
      </c>
      <c r="AJ581" t="str">
        <f>Deals_Raw!AL581</f>
        <v>Renewal of existing active contract</v>
      </c>
      <c r="AK581" s="9">
        <f t="shared" ref="AK581:AK642" si="63">YEARFRAC(L581,B581)</f>
        <v>2.4138888888888888</v>
      </c>
      <c r="AL581" s="8">
        <f t="shared" ref="AL581:AL642" si="64">IFERROR(Z581/T581,0)</f>
        <v>0.93858098292916303</v>
      </c>
      <c r="AM581" s="8">
        <f t="shared" ref="AM581:AM642" si="65">U581-V581</f>
        <v>0.05</v>
      </c>
      <c r="AN581" t="str">
        <f>IF(AC581&lt;Pricing_Policy!$C$10,"Below Floor","Pass")</f>
        <v>Pass</v>
      </c>
      <c r="AO581" t="str">
        <f>IF(V581&gt;Pricing_Policy!$C$7,"Exception","Standard")</f>
        <v>Standard</v>
      </c>
      <c r="AP581" t="str">
        <f t="shared" ref="AP581:AP642" si="66">IF(OR(AND(V581&lt;=0.1,Y581&lt;&gt;"Sales Manager"),AND(V581&gt;0.1,V581&lt;=0.2,Y581&lt;&gt;"Pricing Analyst"),AND(V581&gt;0.2,V581&lt;=0.28,Y581&lt;&gt;"Business Manager"),AND(V581&gt;0.28,Y581&lt;&gt;"VP Pricing")),"Review","Pass")</f>
        <v>Pass</v>
      </c>
      <c r="AQ581">
        <f t="shared" ref="AQ581:AQ642" si="67">IF(AD581="Won",1,0)</f>
        <v>0</v>
      </c>
      <c r="AR581" s="8">
        <f t="shared" ref="AR581:AR642" si="68">IFERROR(AI581/AH581,0)</f>
        <v>0</v>
      </c>
      <c r="AS581">
        <f t="shared" ref="AS581:AS642" si="69">COUNTIFS($C:$C,C581,$N:$N,N581)</f>
        <v>4</v>
      </c>
    </row>
    <row r="582" spans="1:45">
      <c r="A582" t="str">
        <f>Deals_Raw!A582</f>
        <v>D00659</v>
      </c>
      <c r="B582">
        <f>Deals_Raw!B582</f>
        <v>45626</v>
      </c>
      <c r="C582" t="str">
        <f>Deals_Raw!C582</f>
        <v>C0162</v>
      </c>
      <c r="D582" t="str">
        <f>Deals_Raw!D582</f>
        <v>TEC-0162</v>
      </c>
      <c r="E582" t="str">
        <f>Deals_Raw!E582</f>
        <v>CT00356</v>
      </c>
      <c r="F582" t="str">
        <f>Deals_Raw!F582</f>
        <v>Finance</v>
      </c>
      <c r="G582" t="str">
        <f>Deals_Raw!G582</f>
        <v>Technology</v>
      </c>
      <c r="H582" t="str">
        <f>Deals_Raw!H582</f>
        <v>Midwest</v>
      </c>
      <c r="I582" t="str">
        <f>Deals_Raw!I582</f>
        <v>Midwest Commercial</v>
      </c>
      <c r="J582" t="str">
        <f>Deals_Raw!J582</f>
        <v>SMB</v>
      </c>
      <c r="K582" t="str">
        <f>Deals_Raw!K582</f>
        <v>No</v>
      </c>
      <c r="L582">
        <f>Deals_Raw!L582</f>
        <v>44501</v>
      </c>
      <c r="M582">
        <f>Deals_Raw!M582</f>
        <v>53</v>
      </c>
      <c r="N582" t="str">
        <f>Deals_Raw!N582</f>
        <v>Nexus Compliance</v>
      </c>
      <c r="O582" t="str">
        <f>Deals_Raw!O582</f>
        <v>Renewal</v>
      </c>
      <c r="P582">
        <f>Deals_Raw!P582</f>
        <v>0</v>
      </c>
      <c r="Q582">
        <f>Deals_Raw!Q582</f>
        <v>1</v>
      </c>
      <c r="R582">
        <f>Deals_Raw!R582</f>
        <v>40</v>
      </c>
      <c r="S582" t="str">
        <f>Deals_Raw!S582</f>
        <v>S. Rivera</v>
      </c>
      <c r="T582" s="6">
        <f>Deals_Raw!T582</f>
        <v>76505.960552007193</v>
      </c>
      <c r="U582" s="8">
        <f>Deals_Raw!V582</f>
        <v>9.9000000000000005E-2</v>
      </c>
      <c r="V582" s="8">
        <f>Deals_Raw!W582</f>
        <v>5.8999999999999997E-2</v>
      </c>
      <c r="W582" s="8">
        <f>Deals_Raw!X582</f>
        <v>3.5999999999999997E-2</v>
      </c>
      <c r="X582" t="str">
        <f>Deals_Raw!Y582</f>
        <v>Renewal retention risk</v>
      </c>
      <c r="Y582" t="str">
        <f>Deals_Raw!Z582</f>
        <v>Sales Manager</v>
      </c>
      <c r="Z582" s="6">
        <f>Deals_Raw!AA582</f>
        <v>71974.003322472898</v>
      </c>
      <c r="AA582" s="6">
        <f>Deals_Raw!AC582</f>
        <v>22973.703280824917</v>
      </c>
      <c r="AB582" s="6">
        <f>Deals_Raw!AD582</f>
        <v>49000.300041647977</v>
      </c>
      <c r="AC582" s="8">
        <f>Deals_Raw!AE582</f>
        <v>0.68080553782879971</v>
      </c>
      <c r="AD582" t="str">
        <f>Deals_Raw!AF582</f>
        <v>Lost</v>
      </c>
      <c r="AE582" t="str">
        <f>Deals_Raw!AG582</f>
        <v>No</v>
      </c>
      <c r="AF582">
        <f>Deals_Raw!AH582</f>
        <v>0</v>
      </c>
      <c r="AG582" t="str">
        <f>Deals_Raw!AI582</f>
        <v>No</v>
      </c>
      <c r="AH582" s="6">
        <f>Deals_Raw!AJ582</f>
        <v>0</v>
      </c>
      <c r="AI582" s="6">
        <f>Deals_Raw!AK582</f>
        <v>0</v>
      </c>
      <c r="AJ582" t="str">
        <f>Deals_Raw!AL582</f>
        <v>Renewal of existing active contract</v>
      </c>
      <c r="AK582" s="9">
        <f t="shared" si="63"/>
        <v>3.0805555555555557</v>
      </c>
      <c r="AL582" s="8">
        <f t="shared" si="64"/>
        <v>0.94076334449191623</v>
      </c>
      <c r="AM582" s="8">
        <f t="shared" si="65"/>
        <v>4.0000000000000008E-2</v>
      </c>
      <c r="AN582" t="str">
        <f>IF(AC582&lt;Pricing_Policy!$C$10,"Below Floor","Pass")</f>
        <v>Pass</v>
      </c>
      <c r="AO582" t="str">
        <f>IF(V582&gt;Pricing_Policy!$C$7,"Exception","Standard")</f>
        <v>Standard</v>
      </c>
      <c r="AP582" t="str">
        <f t="shared" si="66"/>
        <v>Pass</v>
      </c>
      <c r="AQ582">
        <f t="shared" si="67"/>
        <v>0</v>
      </c>
      <c r="AR582" s="8">
        <f t="shared" si="68"/>
        <v>0</v>
      </c>
      <c r="AS582">
        <f t="shared" si="69"/>
        <v>1</v>
      </c>
    </row>
    <row r="583" spans="1:45">
      <c r="A583" t="str">
        <f>Deals_Raw!A583</f>
        <v>D00661</v>
      </c>
      <c r="B583">
        <f>Deals_Raw!B583</f>
        <v>45453</v>
      </c>
      <c r="C583" t="str">
        <f>Deals_Raw!C583</f>
        <v>C0162</v>
      </c>
      <c r="D583" t="str">
        <f>Deals_Raw!D583</f>
        <v>TEC-0162</v>
      </c>
      <c r="E583" t="str">
        <f>Deals_Raw!E583</f>
        <v>CT00358</v>
      </c>
      <c r="F583" t="str">
        <f>Deals_Raw!F583</f>
        <v>Technology</v>
      </c>
      <c r="G583" t="str">
        <f>Deals_Raw!G583</f>
        <v>Technology</v>
      </c>
      <c r="H583" t="str">
        <f>Deals_Raw!H583</f>
        <v>Midwest</v>
      </c>
      <c r="I583" t="str">
        <f>Deals_Raw!I583</f>
        <v>Midwest Commercial</v>
      </c>
      <c r="J583" t="str">
        <f>Deals_Raw!J583</f>
        <v>SMB</v>
      </c>
      <c r="K583" t="str">
        <f>Deals_Raw!K583</f>
        <v>No</v>
      </c>
      <c r="L583">
        <f>Deals_Raw!L583</f>
        <v>44501</v>
      </c>
      <c r="M583">
        <f>Deals_Raw!M583</f>
        <v>53</v>
      </c>
      <c r="N583" t="str">
        <f>Deals_Raw!N583</f>
        <v>Nexus Insights</v>
      </c>
      <c r="O583" t="str">
        <f>Deals_Raw!O583</f>
        <v>Renewal</v>
      </c>
      <c r="P583">
        <f>Deals_Raw!P583</f>
        <v>0</v>
      </c>
      <c r="Q583">
        <f>Deals_Raw!Q583</f>
        <v>1</v>
      </c>
      <c r="R583">
        <f>Deals_Raw!R583</f>
        <v>36</v>
      </c>
      <c r="S583" t="str">
        <f>Deals_Raw!S583</f>
        <v>L. Williams</v>
      </c>
      <c r="T583" s="6">
        <f>Deals_Raw!T583</f>
        <v>33539.689217828723</v>
      </c>
      <c r="U583" s="8">
        <f>Deals_Raw!V583</f>
        <v>0.17399999999999999</v>
      </c>
      <c r="V583" s="8">
        <f>Deals_Raw!W583</f>
        <v>0.161</v>
      </c>
      <c r="W583" s="8">
        <f>Deals_Raw!X583</f>
        <v>-4.3999999999999997E-2</v>
      </c>
      <c r="X583" t="str">
        <f>Deals_Raw!Y583</f>
        <v>Renewal retention risk</v>
      </c>
      <c r="Y583" t="str">
        <f>Deals_Raw!Z583</f>
        <v>Pricing Analyst</v>
      </c>
      <c r="Z583" s="6">
        <f>Deals_Raw!AA583</f>
        <v>28148.94967683229</v>
      </c>
      <c r="AA583" s="6">
        <f>Deals_Raw!AC583</f>
        <v>9509.5563078880205</v>
      </c>
      <c r="AB583" s="6">
        <f>Deals_Raw!AD583</f>
        <v>18639.393368944271</v>
      </c>
      <c r="AC583" s="8">
        <f>Deals_Raw!AE583</f>
        <v>0.66217011941604476</v>
      </c>
      <c r="AD583" t="str">
        <f>Deals_Raw!AF583</f>
        <v>Won</v>
      </c>
      <c r="AE583" t="str">
        <f>Deals_Raw!AG583</f>
        <v>Yes</v>
      </c>
      <c r="AF583">
        <f>Deals_Raw!AH583</f>
        <v>0</v>
      </c>
      <c r="AG583" t="str">
        <f>Deals_Raw!AI583</f>
        <v>No</v>
      </c>
      <c r="AH583" s="6">
        <f>Deals_Raw!AJ583</f>
        <v>28148.94967683229</v>
      </c>
      <c r="AI583" s="6">
        <f>Deals_Raw!AK583</f>
        <v>18639.393368944271</v>
      </c>
      <c r="AJ583" t="str">
        <f>Deals_Raw!AL583</f>
        <v>Renewal of existing active contract</v>
      </c>
      <c r="AK583" s="9">
        <f t="shared" si="63"/>
        <v>2.6083333333333334</v>
      </c>
      <c r="AL583" s="8">
        <f t="shared" si="64"/>
        <v>0.83927282372876388</v>
      </c>
      <c r="AM583" s="8">
        <f t="shared" si="65"/>
        <v>1.2999999999999984E-2</v>
      </c>
      <c r="AN583" t="str">
        <f>IF(AC583&lt;Pricing_Policy!$C$10,"Below Floor","Pass")</f>
        <v>Pass</v>
      </c>
      <c r="AO583" t="str">
        <f>IF(V583&gt;Pricing_Policy!$C$7,"Exception","Standard")</f>
        <v>Standard</v>
      </c>
      <c r="AP583" t="str">
        <f t="shared" si="66"/>
        <v>Pass</v>
      </c>
      <c r="AQ583">
        <f t="shared" si="67"/>
        <v>1</v>
      </c>
      <c r="AR583" s="8">
        <f t="shared" si="68"/>
        <v>0.66217011941604476</v>
      </c>
      <c r="AS583">
        <f t="shared" si="69"/>
        <v>2</v>
      </c>
    </row>
    <row r="584" spans="1:45">
      <c r="A584" t="str">
        <f>Deals_Raw!A584</f>
        <v>D00662</v>
      </c>
      <c r="B584">
        <f>Deals_Raw!B584</f>
        <v>45818</v>
      </c>
      <c r="C584" t="str">
        <f>Deals_Raw!C584</f>
        <v>C0162</v>
      </c>
      <c r="D584" t="str">
        <f>Deals_Raw!D584</f>
        <v>TEC-0162</v>
      </c>
      <c r="E584" t="str">
        <f>Deals_Raw!E584</f>
        <v>CT00358</v>
      </c>
      <c r="F584" t="str">
        <f>Deals_Raw!F584</f>
        <v>Technology</v>
      </c>
      <c r="G584" t="str">
        <f>Deals_Raw!G584</f>
        <v>Technology</v>
      </c>
      <c r="H584" t="str">
        <f>Deals_Raw!H584</f>
        <v>Midwest</v>
      </c>
      <c r="I584" t="str">
        <f>Deals_Raw!I584</f>
        <v>Midwest Commercial</v>
      </c>
      <c r="J584" t="str">
        <f>Deals_Raw!J584</f>
        <v>SMB</v>
      </c>
      <c r="K584" t="str">
        <f>Deals_Raw!K584</f>
        <v>No</v>
      </c>
      <c r="L584">
        <f>Deals_Raw!L584</f>
        <v>44501</v>
      </c>
      <c r="M584">
        <f>Deals_Raw!M584</f>
        <v>53</v>
      </c>
      <c r="N584" t="str">
        <f>Deals_Raw!N584</f>
        <v>Nexus Insights</v>
      </c>
      <c r="O584" t="str">
        <f>Deals_Raw!O584</f>
        <v>Renewal</v>
      </c>
      <c r="P584">
        <f>Deals_Raw!P584</f>
        <v>0</v>
      </c>
      <c r="Q584">
        <f>Deals_Raw!Q584</f>
        <v>1</v>
      </c>
      <c r="R584">
        <f>Deals_Raw!R584</f>
        <v>36</v>
      </c>
      <c r="S584" t="str">
        <f>Deals_Raw!S584</f>
        <v>T. Brooks</v>
      </c>
      <c r="T584" s="6">
        <f>Deals_Raw!T584</f>
        <v>36210.502534255866</v>
      </c>
      <c r="U584" s="8">
        <f>Deals_Raw!V584</f>
        <v>0.157</v>
      </c>
      <c r="V584" s="8">
        <f>Deals_Raw!W584</f>
        <v>0.155</v>
      </c>
      <c r="W584" s="8">
        <f>Deals_Raw!X584</f>
        <v>-5.7000000000000002E-2</v>
      </c>
      <c r="X584" t="str">
        <f>Deals_Raw!Y584</f>
        <v>Renewal retention risk</v>
      </c>
      <c r="Y584" t="str">
        <f>Deals_Raw!Z584</f>
        <v>Pricing Analyst</v>
      </c>
      <c r="Z584" s="6">
        <f>Deals_Raw!AA584</f>
        <v>30589.393903381158</v>
      </c>
      <c r="AA584" s="6">
        <f>Deals_Raw!AC584</f>
        <v>10988.366519355839</v>
      </c>
      <c r="AB584" s="6">
        <f>Deals_Raw!AD584</f>
        <v>19601.027384025321</v>
      </c>
      <c r="AC584" s="8">
        <f>Deals_Raw!AE584</f>
        <v>0.64077854716365423</v>
      </c>
      <c r="AD584" t="str">
        <f>Deals_Raw!AF584</f>
        <v>Lost</v>
      </c>
      <c r="AE584" t="str">
        <f>Deals_Raw!AG584</f>
        <v>No</v>
      </c>
      <c r="AF584">
        <f>Deals_Raw!AH584</f>
        <v>0</v>
      </c>
      <c r="AG584" t="str">
        <f>Deals_Raw!AI584</f>
        <v>No</v>
      </c>
      <c r="AH584" s="6">
        <f>Deals_Raw!AJ584</f>
        <v>0</v>
      </c>
      <c r="AI584" s="6">
        <f>Deals_Raw!AK584</f>
        <v>0</v>
      </c>
      <c r="AJ584" t="str">
        <f>Deals_Raw!AL584</f>
        <v>Renewal of existing active contract</v>
      </c>
      <c r="AK584" s="9">
        <f t="shared" si="63"/>
        <v>3.6083333333333334</v>
      </c>
      <c r="AL584" s="8">
        <f t="shared" si="64"/>
        <v>0.84476579341706115</v>
      </c>
      <c r="AM584" s="8">
        <f t="shared" si="65"/>
        <v>2.0000000000000018E-3</v>
      </c>
      <c r="AN584" t="str">
        <f>IF(AC584&lt;Pricing_Policy!$C$10,"Below Floor","Pass")</f>
        <v>Pass</v>
      </c>
      <c r="AO584" t="str">
        <f>IF(V584&gt;Pricing_Policy!$C$7,"Exception","Standard")</f>
        <v>Standard</v>
      </c>
      <c r="AP584" t="str">
        <f t="shared" si="66"/>
        <v>Pass</v>
      </c>
      <c r="AQ584">
        <f t="shared" si="67"/>
        <v>0</v>
      </c>
      <c r="AR584" s="8">
        <f t="shared" si="68"/>
        <v>0</v>
      </c>
      <c r="AS584">
        <f t="shared" si="69"/>
        <v>2</v>
      </c>
    </row>
    <row r="585" spans="1:45">
      <c r="A585" t="str">
        <f>Deals_Raw!A585</f>
        <v>D00663</v>
      </c>
      <c r="B585">
        <f>Deals_Raw!B585</f>
        <v>45488</v>
      </c>
      <c r="C585" t="str">
        <f>Deals_Raw!C585</f>
        <v>C0163</v>
      </c>
      <c r="D585" t="str">
        <f>Deals_Raw!D585</f>
        <v>MAN-0163</v>
      </c>
      <c r="E585" t="str">
        <f>Deals_Raw!E585</f>
        <v>CT00359</v>
      </c>
      <c r="F585" t="str">
        <f>Deals_Raw!F585</f>
        <v>Technology</v>
      </c>
      <c r="G585" t="str">
        <f>Deals_Raw!G585</f>
        <v>Manufacturing</v>
      </c>
      <c r="H585" t="str">
        <f>Deals_Raw!H585</f>
        <v>South</v>
      </c>
      <c r="I585" t="str">
        <f>Deals_Raw!I585</f>
        <v>South Enterprise</v>
      </c>
      <c r="J585" t="str">
        <f>Deals_Raw!J585</f>
        <v>Enterprise</v>
      </c>
      <c r="K585" t="str">
        <f>Deals_Raw!K585</f>
        <v>No</v>
      </c>
      <c r="L585">
        <f>Deals_Raw!L585</f>
        <v>43831</v>
      </c>
      <c r="M585">
        <f>Deals_Raw!M585</f>
        <v>63</v>
      </c>
      <c r="N585" t="str">
        <f>Deals_Raw!N585</f>
        <v>Nexus Analytics</v>
      </c>
      <c r="O585" t="str">
        <f>Deals_Raw!O585</f>
        <v>New Business</v>
      </c>
      <c r="P585">
        <f>Deals_Raw!P585</f>
        <v>0</v>
      </c>
      <c r="Q585">
        <f>Deals_Raw!Q585</f>
        <v>2</v>
      </c>
      <c r="R585">
        <f>Deals_Raw!R585</f>
        <v>1936</v>
      </c>
      <c r="S585" t="str">
        <f>Deals_Raw!S585</f>
        <v>L. Williams</v>
      </c>
      <c r="T585" s="6">
        <f>Deals_Raw!T585</f>
        <v>234941.19027556555</v>
      </c>
      <c r="U585" s="8">
        <f>Deals_Raw!V585</f>
        <v>0.122</v>
      </c>
      <c r="V585" s="8">
        <f>Deals_Raw!W585</f>
        <v>7.2999999999999995E-2</v>
      </c>
      <c r="W585" s="8">
        <f>Deals_Raw!X585</f>
        <v>-9.8000000000000004E-2</v>
      </c>
      <c r="X585" t="str">
        <f>Deals_Raw!Y585</f>
        <v>Procurement requirement</v>
      </c>
      <c r="Y585" t="str">
        <f>Deals_Raw!Z585</f>
        <v>Sales Manager</v>
      </c>
      <c r="Z585" s="6">
        <f>Deals_Raw!AA585</f>
        <v>217811.6394048704</v>
      </c>
      <c r="AA585" s="6">
        <f>Deals_Raw!AC585</f>
        <v>86167.904489345601</v>
      </c>
      <c r="AB585" s="6">
        <f>Deals_Raw!AD585</f>
        <v>131643.73491552478</v>
      </c>
      <c r="AC585" s="8">
        <f>Deals_Raw!AE585</f>
        <v>0.6043925626528347</v>
      </c>
      <c r="AD585" t="str">
        <f>Deals_Raw!AF585</f>
        <v>Lost</v>
      </c>
      <c r="AE585">
        <f>Deals_Raw!AG585</f>
        <v>0</v>
      </c>
      <c r="AF585">
        <f>Deals_Raw!AH585</f>
        <v>0</v>
      </c>
      <c r="AG585" t="str">
        <f>Deals_Raw!AI585</f>
        <v>No</v>
      </c>
      <c r="AH585" s="6">
        <f>Deals_Raw!AJ585</f>
        <v>0</v>
      </c>
      <c r="AI585" s="6">
        <f>Deals_Raw!AK585</f>
        <v>0</v>
      </c>
      <c r="AJ585" t="str">
        <f>Deals_Raw!AL585</f>
        <v>First purchase under this contract</v>
      </c>
      <c r="AK585" s="9">
        <f t="shared" si="63"/>
        <v>4.5388888888888888</v>
      </c>
      <c r="AL585" s="8">
        <f t="shared" si="64"/>
        <v>0.92709004814948082</v>
      </c>
      <c r="AM585" s="8">
        <f t="shared" si="65"/>
        <v>4.9000000000000002E-2</v>
      </c>
      <c r="AN585" t="str">
        <f>IF(AC585&lt;Pricing_Policy!$C$10,"Below Floor","Pass")</f>
        <v>Pass</v>
      </c>
      <c r="AO585" t="str">
        <f>IF(V585&gt;Pricing_Policy!$C$7,"Exception","Standard")</f>
        <v>Standard</v>
      </c>
      <c r="AP585" t="str">
        <f t="shared" si="66"/>
        <v>Pass</v>
      </c>
      <c r="AQ585">
        <f t="shared" si="67"/>
        <v>0</v>
      </c>
      <c r="AR585" s="8">
        <f t="shared" si="68"/>
        <v>0</v>
      </c>
      <c r="AS585">
        <f t="shared" si="69"/>
        <v>2</v>
      </c>
    </row>
    <row r="586" spans="1:45">
      <c r="A586" t="str">
        <f>Deals_Raw!A586</f>
        <v>D00664</v>
      </c>
      <c r="B586">
        <f>Deals_Raw!B586</f>
        <v>45874</v>
      </c>
      <c r="C586" t="str">
        <f>Deals_Raw!C586</f>
        <v>C0163</v>
      </c>
      <c r="D586" t="str">
        <f>Deals_Raw!D586</f>
        <v>MAN-0163</v>
      </c>
      <c r="E586" t="str">
        <f>Deals_Raw!E586</f>
        <v>CT00359</v>
      </c>
      <c r="F586" t="str">
        <f>Deals_Raw!F586</f>
        <v>Technology</v>
      </c>
      <c r="G586" t="str">
        <f>Deals_Raw!G586</f>
        <v>Manufacturing</v>
      </c>
      <c r="H586" t="str">
        <f>Deals_Raw!H586</f>
        <v>South</v>
      </c>
      <c r="I586" t="str">
        <f>Deals_Raw!I586</f>
        <v>South Enterprise</v>
      </c>
      <c r="J586" t="str">
        <f>Deals_Raw!J586</f>
        <v>Enterprise</v>
      </c>
      <c r="K586" t="str">
        <f>Deals_Raw!K586</f>
        <v>No</v>
      </c>
      <c r="L586">
        <f>Deals_Raw!L586</f>
        <v>43831</v>
      </c>
      <c r="M586">
        <f>Deals_Raw!M586</f>
        <v>63</v>
      </c>
      <c r="N586" t="str">
        <f>Deals_Raw!N586</f>
        <v>Nexus Analytics</v>
      </c>
      <c r="O586" t="str">
        <f>Deals_Raw!O586</f>
        <v>Win-back</v>
      </c>
      <c r="P586">
        <f>Deals_Raw!P586</f>
        <v>0</v>
      </c>
      <c r="Q586">
        <f>Deals_Raw!Q586</f>
        <v>2</v>
      </c>
      <c r="R586">
        <f>Deals_Raw!R586</f>
        <v>1936</v>
      </c>
      <c r="S586" t="str">
        <f>Deals_Raw!S586</f>
        <v>S. Rivera</v>
      </c>
      <c r="T586" s="6">
        <f>Deals_Raw!T586</f>
        <v>234941.19027556555</v>
      </c>
      <c r="U586" s="8">
        <f>Deals_Raw!V586</f>
        <v>0.21099999999999999</v>
      </c>
      <c r="V586" s="8">
        <f>Deals_Raw!W586</f>
        <v>0.187</v>
      </c>
      <c r="W586" s="8">
        <f>Deals_Raw!X586</f>
        <v>-0.1</v>
      </c>
      <c r="X586" t="str">
        <f>Deals_Raw!Y586</f>
        <v>Renewal retention risk</v>
      </c>
      <c r="Y586" t="str">
        <f>Deals_Raw!Z586</f>
        <v>Pricing Analyst</v>
      </c>
      <c r="Z586" s="6">
        <f>Deals_Raw!AA586</f>
        <v>191115.61145794124</v>
      </c>
      <c r="AA586" s="6">
        <f>Deals_Raw!AC586</f>
        <v>82576.092036021713</v>
      </c>
      <c r="AB586" s="6">
        <f>Deals_Raw!AD586</f>
        <v>108539.51942191953</v>
      </c>
      <c r="AC586" s="8">
        <f>Deals_Raw!AE586</f>
        <v>0.56792597210618656</v>
      </c>
      <c r="AD586" t="str">
        <f>Deals_Raw!AF586</f>
        <v>Won</v>
      </c>
      <c r="AE586">
        <f>Deals_Raw!AG586</f>
        <v>0</v>
      </c>
      <c r="AF586">
        <f>Deals_Raw!AH586</f>
        <v>0</v>
      </c>
      <c r="AG586" t="str">
        <f>Deals_Raw!AI586</f>
        <v>Yes</v>
      </c>
      <c r="AH586" s="6">
        <f>Deals_Raw!AJ586</f>
        <v>191115.61145794124</v>
      </c>
      <c r="AI586" s="6">
        <f>Deals_Raw!AK586</f>
        <v>108539.51942191953</v>
      </c>
      <c r="AJ586" t="str">
        <f>Deals_Raw!AL586</f>
        <v>Customer returned after prior lost initial opportunity</v>
      </c>
      <c r="AK586" s="9">
        <f t="shared" si="63"/>
        <v>5.5944444444444441</v>
      </c>
      <c r="AL586" s="8">
        <f t="shared" si="64"/>
        <v>0.81346149320934014</v>
      </c>
      <c r="AM586" s="8">
        <f t="shared" si="65"/>
        <v>2.3999999999999994E-2</v>
      </c>
      <c r="AN586" t="str">
        <f>IF(AC586&lt;Pricing_Policy!$C$10,"Below Floor","Pass")</f>
        <v>Pass</v>
      </c>
      <c r="AO586" t="str">
        <f>IF(V586&gt;Pricing_Policy!$C$7,"Exception","Standard")</f>
        <v>Standard</v>
      </c>
      <c r="AP586" t="str">
        <f t="shared" si="66"/>
        <v>Pass</v>
      </c>
      <c r="AQ586">
        <f t="shared" si="67"/>
        <v>1</v>
      </c>
      <c r="AR586" s="8">
        <f t="shared" si="68"/>
        <v>0.56792597210618656</v>
      </c>
      <c r="AS586">
        <f t="shared" si="69"/>
        <v>2</v>
      </c>
    </row>
    <row r="587" spans="1:45">
      <c r="A587" t="str">
        <f>Deals_Raw!A587</f>
        <v>D00666</v>
      </c>
      <c r="B587">
        <f>Deals_Raw!B587</f>
        <v>45568</v>
      </c>
      <c r="C587" t="str">
        <f>Deals_Raw!C587</f>
        <v>C0163</v>
      </c>
      <c r="D587" t="str">
        <f>Deals_Raw!D587</f>
        <v>MAN-0163</v>
      </c>
      <c r="E587" t="str">
        <f>Deals_Raw!E587</f>
        <v>CT00360</v>
      </c>
      <c r="F587" t="str">
        <f>Deals_Raw!F587</f>
        <v>Legal</v>
      </c>
      <c r="G587" t="str">
        <f>Deals_Raw!G587</f>
        <v>Manufacturing</v>
      </c>
      <c r="H587" t="str">
        <f>Deals_Raw!H587</f>
        <v>South</v>
      </c>
      <c r="I587" t="str">
        <f>Deals_Raw!I587</f>
        <v>South Enterprise</v>
      </c>
      <c r="J587" t="str">
        <f>Deals_Raw!J587</f>
        <v>Enterprise</v>
      </c>
      <c r="K587" t="str">
        <f>Deals_Raw!K587</f>
        <v>No</v>
      </c>
      <c r="L587">
        <f>Deals_Raw!L587</f>
        <v>43831</v>
      </c>
      <c r="M587">
        <f>Deals_Raw!M587</f>
        <v>63</v>
      </c>
      <c r="N587" t="str">
        <f>Deals_Raw!N587</f>
        <v>Nexus Compliance</v>
      </c>
      <c r="O587" t="str">
        <f>Deals_Raw!O587</f>
        <v>Renewal</v>
      </c>
      <c r="P587">
        <f>Deals_Raw!P587</f>
        <v>0</v>
      </c>
      <c r="Q587">
        <f>Deals_Raw!Q587</f>
        <v>1</v>
      </c>
      <c r="R587">
        <f>Deals_Raw!R587</f>
        <v>1528</v>
      </c>
      <c r="S587" t="str">
        <f>Deals_Raw!S587</f>
        <v>T. Brooks</v>
      </c>
      <c r="T587" s="6">
        <f>Deals_Raw!T587</f>
        <v>219820.28158620809</v>
      </c>
      <c r="U587" s="8">
        <f>Deals_Raw!V587</f>
        <v>7.9000000000000001E-2</v>
      </c>
      <c r="V587" s="8">
        <f>Deals_Raw!W587</f>
        <v>7.5999999999999998E-2</v>
      </c>
      <c r="W587" s="8">
        <f>Deals_Raw!X587</f>
        <v>-0.12</v>
      </c>
      <c r="X587" t="str">
        <f>Deals_Raw!Y587</f>
        <v>Renewal retention risk</v>
      </c>
      <c r="Y587" t="str">
        <f>Deals_Raw!Z587</f>
        <v>Sales Manager</v>
      </c>
      <c r="Z587" s="6">
        <f>Deals_Raw!AA587</f>
        <v>203163.42518389114</v>
      </c>
      <c r="AA587" s="6">
        <f>Deals_Raw!AC587</f>
        <v>76366.579563410487</v>
      </c>
      <c r="AB587" s="6">
        <f>Deals_Raw!AD587</f>
        <v>126796.84562048066</v>
      </c>
      <c r="AC587" s="8">
        <f>Deals_Raw!AE587</f>
        <v>0.62411256113501667</v>
      </c>
      <c r="AD587" t="str">
        <f>Deals_Raw!AF587</f>
        <v>Won</v>
      </c>
      <c r="AE587" t="str">
        <f>Deals_Raw!AG587</f>
        <v>Yes</v>
      </c>
      <c r="AF587">
        <f>Deals_Raw!AH587</f>
        <v>0</v>
      </c>
      <c r="AG587" t="str">
        <f>Deals_Raw!AI587</f>
        <v>No</v>
      </c>
      <c r="AH587" s="6">
        <f>Deals_Raw!AJ587</f>
        <v>203163.42518389114</v>
      </c>
      <c r="AI587" s="6">
        <f>Deals_Raw!AK587</f>
        <v>126796.84562048066</v>
      </c>
      <c r="AJ587" t="str">
        <f>Deals_Raw!AL587</f>
        <v>Renewal of existing active contract</v>
      </c>
      <c r="AK587" s="9">
        <f t="shared" si="63"/>
        <v>4.7555555555555555</v>
      </c>
      <c r="AL587" s="8">
        <f t="shared" si="64"/>
        <v>0.92422511570760346</v>
      </c>
      <c r="AM587" s="8">
        <f t="shared" si="65"/>
        <v>3.0000000000000027E-3</v>
      </c>
      <c r="AN587" t="str">
        <f>IF(AC587&lt;Pricing_Policy!$C$10,"Below Floor","Pass")</f>
        <v>Pass</v>
      </c>
      <c r="AO587" t="str">
        <f>IF(V587&gt;Pricing_Policy!$C$7,"Exception","Standard")</f>
        <v>Standard</v>
      </c>
      <c r="AP587" t="str">
        <f t="shared" si="66"/>
        <v>Pass</v>
      </c>
      <c r="AQ587">
        <f t="shared" si="67"/>
        <v>1</v>
      </c>
      <c r="AR587" s="8">
        <f t="shared" si="68"/>
        <v>0.62411256113501667</v>
      </c>
      <c r="AS587">
        <f t="shared" si="69"/>
        <v>3</v>
      </c>
    </row>
    <row r="588" spans="1:45">
      <c r="A588" t="str">
        <f>Deals_Raw!A588</f>
        <v>D00667</v>
      </c>
      <c r="B588">
        <f>Deals_Raw!B588</f>
        <v>45933</v>
      </c>
      <c r="C588" t="str">
        <f>Deals_Raw!C588</f>
        <v>C0163</v>
      </c>
      <c r="D588" t="str">
        <f>Deals_Raw!D588</f>
        <v>MAN-0163</v>
      </c>
      <c r="E588" t="str">
        <f>Deals_Raw!E588</f>
        <v>CT00360</v>
      </c>
      <c r="F588" t="str">
        <f>Deals_Raw!F588</f>
        <v>Legal</v>
      </c>
      <c r="G588" t="str">
        <f>Deals_Raw!G588</f>
        <v>Manufacturing</v>
      </c>
      <c r="H588" t="str">
        <f>Deals_Raw!H588</f>
        <v>South</v>
      </c>
      <c r="I588" t="str">
        <f>Deals_Raw!I588</f>
        <v>South Enterprise</v>
      </c>
      <c r="J588" t="str">
        <f>Deals_Raw!J588</f>
        <v>Enterprise</v>
      </c>
      <c r="K588" t="str">
        <f>Deals_Raw!K588</f>
        <v>No</v>
      </c>
      <c r="L588">
        <f>Deals_Raw!L588</f>
        <v>43831</v>
      </c>
      <c r="M588">
        <f>Deals_Raw!M588</f>
        <v>63</v>
      </c>
      <c r="N588" t="str">
        <f>Deals_Raw!N588</f>
        <v>Nexus Compliance</v>
      </c>
      <c r="O588" t="str">
        <f>Deals_Raw!O588</f>
        <v>Renewal</v>
      </c>
      <c r="P588">
        <f>Deals_Raw!P588</f>
        <v>0</v>
      </c>
      <c r="Q588">
        <f>Deals_Raw!Q588</f>
        <v>1</v>
      </c>
      <c r="R588">
        <f>Deals_Raw!R588</f>
        <v>1528</v>
      </c>
      <c r="S588" t="str">
        <f>Deals_Raw!S588</f>
        <v>L. Williams</v>
      </c>
      <c r="T588" s="6">
        <f>Deals_Raw!T588</f>
        <v>230781.18099679553</v>
      </c>
      <c r="U588" s="8">
        <f>Deals_Raw!V588</f>
        <v>0.191</v>
      </c>
      <c r="V588" s="8">
        <f>Deals_Raw!W588</f>
        <v>0.17299999999999999</v>
      </c>
      <c r="W588" s="8">
        <f>Deals_Raw!X588</f>
        <v>-3.4000000000000002E-2</v>
      </c>
      <c r="X588" t="str">
        <f>Deals_Raw!Y588</f>
        <v>Renewal retention risk</v>
      </c>
      <c r="Y588" t="str">
        <f>Deals_Raw!Z588</f>
        <v>Pricing Analyst</v>
      </c>
      <c r="Z588" s="6">
        <f>Deals_Raw!AA588</f>
        <v>190857.07658512745</v>
      </c>
      <c r="AA588" s="6">
        <f>Deals_Raw!AC588</f>
        <v>79038.128710584846</v>
      </c>
      <c r="AB588" s="6">
        <f>Deals_Raw!AD588</f>
        <v>111818.9478745426</v>
      </c>
      <c r="AC588" s="8">
        <f>Deals_Raw!AE588</f>
        <v>0.58587792433605845</v>
      </c>
      <c r="AD588" t="str">
        <f>Deals_Raw!AF588</f>
        <v>Won</v>
      </c>
      <c r="AE588" t="str">
        <f>Deals_Raw!AG588</f>
        <v>Yes</v>
      </c>
      <c r="AF588">
        <f>Deals_Raw!AH588</f>
        <v>0</v>
      </c>
      <c r="AG588" t="str">
        <f>Deals_Raw!AI588</f>
        <v>No</v>
      </c>
      <c r="AH588" s="6">
        <f>Deals_Raw!AJ588</f>
        <v>190857.07658512745</v>
      </c>
      <c r="AI588" s="6">
        <f>Deals_Raw!AK588</f>
        <v>111818.9478745426</v>
      </c>
      <c r="AJ588" t="str">
        <f>Deals_Raw!AL588</f>
        <v>Renewal of existing active contract</v>
      </c>
      <c r="AK588" s="9">
        <f t="shared" si="63"/>
        <v>5.7555555555555555</v>
      </c>
      <c r="AL588" s="8">
        <f t="shared" si="64"/>
        <v>0.82700450600336239</v>
      </c>
      <c r="AM588" s="8">
        <f t="shared" si="65"/>
        <v>1.8000000000000016E-2</v>
      </c>
      <c r="AN588" t="str">
        <f>IF(AC588&lt;Pricing_Policy!$C$10,"Below Floor","Pass")</f>
        <v>Pass</v>
      </c>
      <c r="AO588" t="str">
        <f>IF(V588&gt;Pricing_Policy!$C$7,"Exception","Standard")</f>
        <v>Standard</v>
      </c>
      <c r="AP588" t="str">
        <f t="shared" si="66"/>
        <v>Pass</v>
      </c>
      <c r="AQ588">
        <f t="shared" si="67"/>
        <v>1</v>
      </c>
      <c r="AR588" s="8">
        <f t="shared" si="68"/>
        <v>0.58587792433605845</v>
      </c>
      <c r="AS588">
        <f t="shared" si="69"/>
        <v>3</v>
      </c>
    </row>
    <row r="589" spans="1:45">
      <c r="A589" t="str">
        <f>Deals_Raw!A589</f>
        <v>D00668</v>
      </c>
      <c r="B589">
        <f>Deals_Raw!B589</f>
        <v>45367</v>
      </c>
      <c r="C589" t="str">
        <f>Deals_Raw!C589</f>
        <v>C0163</v>
      </c>
      <c r="D589" t="str">
        <f>Deals_Raw!D589</f>
        <v>MAN-0163</v>
      </c>
      <c r="E589" t="str">
        <f>Deals_Raw!E589</f>
        <v>CT00361</v>
      </c>
      <c r="F589" t="str">
        <f>Deals_Raw!F589</f>
        <v>Technology</v>
      </c>
      <c r="G589" t="str">
        <f>Deals_Raw!G589</f>
        <v>Manufacturing</v>
      </c>
      <c r="H589" t="str">
        <f>Deals_Raw!H589</f>
        <v>South</v>
      </c>
      <c r="I589" t="str">
        <f>Deals_Raw!I589</f>
        <v>South Enterprise</v>
      </c>
      <c r="J589" t="str">
        <f>Deals_Raw!J589</f>
        <v>Enterprise</v>
      </c>
      <c r="K589" t="str">
        <f>Deals_Raw!K589</f>
        <v>No</v>
      </c>
      <c r="L589">
        <f>Deals_Raw!L589</f>
        <v>43831</v>
      </c>
      <c r="M589">
        <f>Deals_Raw!M589</f>
        <v>63</v>
      </c>
      <c r="N589" t="str">
        <f>Deals_Raw!N589</f>
        <v>Nexus Compliance</v>
      </c>
      <c r="O589" t="str">
        <f>Deals_Raw!O589</f>
        <v>Renewal</v>
      </c>
      <c r="P589">
        <f>Deals_Raw!P589</f>
        <v>0</v>
      </c>
      <c r="Q589">
        <f>Deals_Raw!Q589</f>
        <v>3</v>
      </c>
      <c r="R589">
        <f>Deals_Raw!R589</f>
        <v>929</v>
      </c>
      <c r="S589" t="str">
        <f>Deals_Raw!S589</f>
        <v>L. Williams</v>
      </c>
      <c r="T589" s="6">
        <f>Deals_Raw!T589</f>
        <v>358280.05695615639</v>
      </c>
      <c r="U589" s="8">
        <f>Deals_Raw!V589</f>
        <v>0.14299999999999999</v>
      </c>
      <c r="V589" s="8">
        <f>Deals_Raw!W589</f>
        <v>0.11700000000000001</v>
      </c>
      <c r="W589" s="8">
        <f>Deals_Raw!X589</f>
        <v>-7.9000000000000001E-2</v>
      </c>
      <c r="X589" t="str">
        <f>Deals_Raw!Y589</f>
        <v>Renewal retention risk</v>
      </c>
      <c r="Y589" t="str">
        <f>Deals_Raw!Z589</f>
        <v>Pricing Analyst</v>
      </c>
      <c r="Z589" s="6">
        <f>Deals_Raw!AA589</f>
        <v>316514.78171219188</v>
      </c>
      <c r="AA589" s="6">
        <f>Deals_Raw!AC589</f>
        <v>123099.22759517033</v>
      </c>
      <c r="AB589" s="6">
        <f>Deals_Raw!AD589</f>
        <v>193415.55411702156</v>
      </c>
      <c r="AC589" s="8">
        <f>Deals_Raw!AE589</f>
        <v>0.61107905631053616</v>
      </c>
      <c r="AD589" t="str">
        <f>Deals_Raw!AF589</f>
        <v>Lost</v>
      </c>
      <c r="AE589" t="str">
        <f>Deals_Raw!AG589</f>
        <v>No</v>
      </c>
      <c r="AF589">
        <f>Deals_Raw!AH589</f>
        <v>0</v>
      </c>
      <c r="AG589" t="str">
        <f>Deals_Raw!AI589</f>
        <v>No</v>
      </c>
      <c r="AH589" s="6">
        <f>Deals_Raw!AJ589</f>
        <v>0</v>
      </c>
      <c r="AI589" s="6">
        <f>Deals_Raw!AK589</f>
        <v>0</v>
      </c>
      <c r="AJ589" t="str">
        <f>Deals_Raw!AL589</f>
        <v>Renewal of existing active contract</v>
      </c>
      <c r="AK589" s="9">
        <f t="shared" si="63"/>
        <v>4.208333333333333</v>
      </c>
      <c r="AL589" s="8">
        <f t="shared" si="64"/>
        <v>0.88342841184410259</v>
      </c>
      <c r="AM589" s="8">
        <f t="shared" si="65"/>
        <v>2.5999999999999981E-2</v>
      </c>
      <c r="AN589" t="str">
        <f>IF(AC589&lt;Pricing_Policy!$C$10,"Below Floor","Pass")</f>
        <v>Pass</v>
      </c>
      <c r="AO589" t="str">
        <f>IF(V589&gt;Pricing_Policy!$C$7,"Exception","Standard")</f>
        <v>Standard</v>
      </c>
      <c r="AP589" t="str">
        <f t="shared" si="66"/>
        <v>Pass</v>
      </c>
      <c r="AQ589">
        <f t="shared" si="67"/>
        <v>0</v>
      </c>
      <c r="AR589" s="8">
        <f t="shared" si="68"/>
        <v>0</v>
      </c>
      <c r="AS589">
        <f t="shared" si="69"/>
        <v>3</v>
      </c>
    </row>
    <row r="590" spans="1:45">
      <c r="A590" t="str">
        <f>Deals_Raw!A590</f>
        <v>D00669</v>
      </c>
      <c r="B590">
        <f>Deals_Raw!B590</f>
        <v>45654</v>
      </c>
      <c r="C590" t="str">
        <f>Deals_Raw!C590</f>
        <v>C0164</v>
      </c>
      <c r="D590" t="str">
        <f>Deals_Raw!D590</f>
        <v>MAN-0164</v>
      </c>
      <c r="E590" t="str">
        <f>Deals_Raw!E590</f>
        <v>CT00362</v>
      </c>
      <c r="F590" t="str">
        <f>Deals_Raw!F590</f>
        <v>Corporate</v>
      </c>
      <c r="G590" t="str">
        <f>Deals_Raw!G590</f>
        <v>Manufacturing</v>
      </c>
      <c r="H590" t="str">
        <f>Deals_Raw!H590</f>
        <v>Northeast</v>
      </c>
      <c r="I590" t="str">
        <f>Deals_Raw!I590</f>
        <v>Northeast Commercial</v>
      </c>
      <c r="J590" t="str">
        <f>Deals_Raw!J590</f>
        <v>Mid-Market</v>
      </c>
      <c r="K590" t="str">
        <f>Deals_Raw!K590</f>
        <v>No</v>
      </c>
      <c r="L590">
        <f>Deals_Raw!L590</f>
        <v>44287</v>
      </c>
      <c r="M590">
        <f>Deals_Raw!M590</f>
        <v>56</v>
      </c>
      <c r="N590" t="str">
        <f>Deals_Raw!N590</f>
        <v>Nexus Compliance</v>
      </c>
      <c r="O590" t="str">
        <f>Deals_Raw!O590</f>
        <v>New Business</v>
      </c>
      <c r="P590">
        <f>Deals_Raw!P590</f>
        <v>0</v>
      </c>
      <c r="Q590">
        <f>Deals_Raw!Q590</f>
        <v>1</v>
      </c>
      <c r="R590">
        <f>Deals_Raw!R590</f>
        <v>230</v>
      </c>
      <c r="S590" t="str">
        <f>Deals_Raw!S590</f>
        <v>A. Patel</v>
      </c>
      <c r="T590" s="6">
        <f>Deals_Raw!T590</f>
        <v>108957.44636707006</v>
      </c>
      <c r="U590" s="8">
        <f>Deals_Raw!V590</f>
        <v>0.184</v>
      </c>
      <c r="V590" s="8">
        <f>Deals_Raw!W590</f>
        <v>0.17299999999999999</v>
      </c>
      <c r="W590" s="8">
        <f>Deals_Raw!X590</f>
        <v>6.4000000000000001E-2</v>
      </c>
      <c r="X590" t="str">
        <f>Deals_Raw!Y590</f>
        <v>Volume purchase</v>
      </c>
      <c r="Y590" t="str">
        <f>Deals_Raw!Z590</f>
        <v>Pricing Analyst</v>
      </c>
      <c r="Z590" s="6">
        <f>Deals_Raw!AA590</f>
        <v>90087.301761012437</v>
      </c>
      <c r="AA590" s="6">
        <f>Deals_Raw!AC590</f>
        <v>39539.209531649933</v>
      </c>
      <c r="AB590" s="6">
        <f>Deals_Raw!AD590</f>
        <v>50548.092229362504</v>
      </c>
      <c r="AC590" s="8">
        <f>Deals_Raw!AE590</f>
        <v>0.56110119008180215</v>
      </c>
      <c r="AD590" t="str">
        <f>Deals_Raw!AF590</f>
        <v>Won</v>
      </c>
      <c r="AE590">
        <f>Deals_Raw!AG590</f>
        <v>0</v>
      </c>
      <c r="AF590">
        <f>Deals_Raw!AH590</f>
        <v>0</v>
      </c>
      <c r="AG590" t="str">
        <f>Deals_Raw!AI590</f>
        <v>No</v>
      </c>
      <c r="AH590" s="6">
        <f>Deals_Raw!AJ590</f>
        <v>90087.301761012437</v>
      </c>
      <c r="AI590" s="6">
        <f>Deals_Raw!AK590</f>
        <v>50548.092229362504</v>
      </c>
      <c r="AJ590" t="str">
        <f>Deals_Raw!AL590</f>
        <v>First purchase under this contract</v>
      </c>
      <c r="AK590" s="9">
        <f t="shared" si="63"/>
        <v>3.7416666666666667</v>
      </c>
      <c r="AL590" s="8">
        <f t="shared" si="64"/>
        <v>0.82681179455614795</v>
      </c>
      <c r="AM590" s="8">
        <f t="shared" si="65"/>
        <v>1.100000000000001E-2</v>
      </c>
      <c r="AN590" t="str">
        <f>IF(AC590&lt;Pricing_Policy!$C$10,"Below Floor","Pass")</f>
        <v>Pass</v>
      </c>
      <c r="AO590" t="str">
        <f>IF(V590&gt;Pricing_Policy!$C$7,"Exception","Standard")</f>
        <v>Standard</v>
      </c>
      <c r="AP590" t="str">
        <f t="shared" si="66"/>
        <v>Pass</v>
      </c>
      <c r="AQ590">
        <f t="shared" si="67"/>
        <v>1</v>
      </c>
      <c r="AR590" s="8">
        <f t="shared" si="68"/>
        <v>0.56110119008180215</v>
      </c>
      <c r="AS590">
        <f t="shared" si="69"/>
        <v>2</v>
      </c>
    </row>
    <row r="591" spans="1:45">
      <c r="A591" t="str">
        <f>Deals_Raw!A591</f>
        <v>D00670</v>
      </c>
      <c r="B591">
        <f>Deals_Raw!B591</f>
        <v>46019</v>
      </c>
      <c r="C591" t="str">
        <f>Deals_Raw!C591</f>
        <v>C0164</v>
      </c>
      <c r="D591" t="str">
        <f>Deals_Raw!D591</f>
        <v>MAN-0164</v>
      </c>
      <c r="E591" t="str">
        <f>Deals_Raw!E591</f>
        <v>CT00362</v>
      </c>
      <c r="F591" t="str">
        <f>Deals_Raw!F591</f>
        <v>Corporate</v>
      </c>
      <c r="G591" t="str">
        <f>Deals_Raw!G591</f>
        <v>Manufacturing</v>
      </c>
      <c r="H591" t="str">
        <f>Deals_Raw!H591</f>
        <v>Northeast</v>
      </c>
      <c r="I591" t="str">
        <f>Deals_Raw!I591</f>
        <v>Northeast Commercial</v>
      </c>
      <c r="J591" t="str">
        <f>Deals_Raw!J591</f>
        <v>Mid-Market</v>
      </c>
      <c r="K591" t="str">
        <f>Deals_Raw!K591</f>
        <v>No</v>
      </c>
      <c r="L591">
        <f>Deals_Raw!L591</f>
        <v>44287</v>
      </c>
      <c r="M591">
        <f>Deals_Raw!M591</f>
        <v>56</v>
      </c>
      <c r="N591" t="str">
        <f>Deals_Raw!N591</f>
        <v>Nexus Compliance</v>
      </c>
      <c r="O591" t="str">
        <f>Deals_Raw!O591</f>
        <v>Renewal</v>
      </c>
      <c r="P591">
        <f>Deals_Raw!P591</f>
        <v>0</v>
      </c>
      <c r="Q591">
        <f>Deals_Raw!Q591</f>
        <v>1</v>
      </c>
      <c r="R591">
        <f>Deals_Raw!R591</f>
        <v>230</v>
      </c>
      <c r="S591" t="str">
        <f>Deals_Raw!S591</f>
        <v>L. Williams</v>
      </c>
      <c r="T591" s="6">
        <f>Deals_Raw!T591</f>
        <v>114316.59138522652</v>
      </c>
      <c r="U591" s="8">
        <f>Deals_Raw!V591</f>
        <v>0.11799999999999999</v>
      </c>
      <c r="V591" s="8">
        <f>Deals_Raw!W591</f>
        <v>0.106</v>
      </c>
      <c r="W591" s="8">
        <f>Deals_Raw!X591</f>
        <v>2.5999999999999999E-2</v>
      </c>
      <c r="X591" t="str">
        <f>Deals_Raw!Y591</f>
        <v>Renewal retention risk</v>
      </c>
      <c r="Y591" t="str">
        <f>Deals_Raw!Z591</f>
        <v>Pricing Analyst</v>
      </c>
      <c r="Z591" s="6">
        <f>Deals_Raw!AA591</f>
        <v>102246.09494648471</v>
      </c>
      <c r="AA591" s="6">
        <f>Deals_Raw!AC591</f>
        <v>38862.835410475447</v>
      </c>
      <c r="AB591" s="6">
        <f>Deals_Raw!AD591</f>
        <v>63383.25953600926</v>
      </c>
      <c r="AC591" s="8">
        <f>Deals_Raw!AE591</f>
        <v>0.61990885391939776</v>
      </c>
      <c r="AD591" t="str">
        <f>Deals_Raw!AF591</f>
        <v>Won</v>
      </c>
      <c r="AE591" t="str">
        <f>Deals_Raw!AG591</f>
        <v>Yes</v>
      </c>
      <c r="AF591">
        <f>Deals_Raw!AH591</f>
        <v>0</v>
      </c>
      <c r="AG591" t="str">
        <f>Deals_Raw!AI591</f>
        <v>No</v>
      </c>
      <c r="AH591" s="6">
        <f>Deals_Raw!AJ591</f>
        <v>102246.09494648471</v>
      </c>
      <c r="AI591" s="6">
        <f>Deals_Raw!AK591</f>
        <v>63383.25953600926</v>
      </c>
      <c r="AJ591" t="str">
        <f>Deals_Raw!AL591</f>
        <v>Renewal of existing active contract</v>
      </c>
      <c r="AK591" s="9">
        <f t="shared" si="63"/>
        <v>4.7416666666666663</v>
      </c>
      <c r="AL591" s="8">
        <f t="shared" si="64"/>
        <v>0.89441168344438826</v>
      </c>
      <c r="AM591" s="8">
        <f t="shared" si="65"/>
        <v>1.1999999999999997E-2</v>
      </c>
      <c r="AN591" t="str">
        <f>IF(AC591&lt;Pricing_Policy!$C$10,"Below Floor","Pass")</f>
        <v>Pass</v>
      </c>
      <c r="AO591" t="str">
        <f>IF(V591&gt;Pricing_Policy!$C$7,"Exception","Standard")</f>
        <v>Standard</v>
      </c>
      <c r="AP591" t="str">
        <f t="shared" si="66"/>
        <v>Pass</v>
      </c>
      <c r="AQ591">
        <f t="shared" si="67"/>
        <v>1</v>
      </c>
      <c r="AR591" s="8">
        <f t="shared" si="68"/>
        <v>0.61990885391939776</v>
      </c>
      <c r="AS591">
        <f t="shared" si="69"/>
        <v>2</v>
      </c>
    </row>
    <row r="592" spans="1:45">
      <c r="A592" t="str">
        <f>Deals_Raw!A592</f>
        <v>D00671</v>
      </c>
      <c r="B592">
        <f>Deals_Raw!B592</f>
        <v>45347</v>
      </c>
      <c r="C592" t="str">
        <f>Deals_Raw!C592</f>
        <v>C0164</v>
      </c>
      <c r="D592" t="str">
        <f>Deals_Raw!D592</f>
        <v>MAN-0164</v>
      </c>
      <c r="E592" t="str">
        <f>Deals_Raw!E592</f>
        <v>CT00363</v>
      </c>
      <c r="F592" t="str">
        <f>Deals_Raw!F592</f>
        <v>Finance</v>
      </c>
      <c r="G592" t="str">
        <f>Deals_Raw!G592</f>
        <v>Manufacturing</v>
      </c>
      <c r="H592" t="str">
        <f>Deals_Raw!H592</f>
        <v>Northeast</v>
      </c>
      <c r="I592" t="str">
        <f>Deals_Raw!I592</f>
        <v>Northeast Commercial</v>
      </c>
      <c r="J592" t="str">
        <f>Deals_Raw!J592</f>
        <v>Mid-Market</v>
      </c>
      <c r="K592" t="str">
        <f>Deals_Raw!K592</f>
        <v>No</v>
      </c>
      <c r="L592">
        <f>Deals_Raw!L592</f>
        <v>44287</v>
      </c>
      <c r="M592">
        <f>Deals_Raw!M592</f>
        <v>56</v>
      </c>
      <c r="N592" t="str">
        <f>Deals_Raw!N592</f>
        <v>Nexus Insights</v>
      </c>
      <c r="O592" t="str">
        <f>Deals_Raw!O592</f>
        <v>New Business</v>
      </c>
      <c r="P592">
        <f>Deals_Raw!P592</f>
        <v>0</v>
      </c>
      <c r="Q592">
        <f>Deals_Raw!Q592</f>
        <v>1</v>
      </c>
      <c r="R592">
        <f>Deals_Raw!R592</f>
        <v>142</v>
      </c>
      <c r="S592" t="str">
        <f>Deals_Raw!S592</f>
        <v>D. Chen</v>
      </c>
      <c r="T592" s="6">
        <f>Deals_Raw!T592</f>
        <v>63598.126213288066</v>
      </c>
      <c r="U592" s="8">
        <f>Deals_Raw!V592</f>
        <v>7.6999999999999999E-2</v>
      </c>
      <c r="V592" s="8">
        <f>Deals_Raw!W592</f>
        <v>6.5000000000000002E-2</v>
      </c>
      <c r="W592" s="8">
        <f>Deals_Raw!X592</f>
        <v>-0.04</v>
      </c>
      <c r="X592" t="str">
        <f>Deals_Raw!Y592</f>
        <v>Procurement requirement</v>
      </c>
      <c r="Y592" t="str">
        <f>Deals_Raw!Z592</f>
        <v>Sales Manager</v>
      </c>
      <c r="Z592" s="6">
        <f>Deals_Raw!AA592</f>
        <v>59475.554938139794</v>
      </c>
      <c r="AA592" s="6">
        <f>Deals_Raw!AC592</f>
        <v>17337.62546355242</v>
      </c>
      <c r="AB592" s="6">
        <f>Deals_Raw!AD592</f>
        <v>42137.929474587378</v>
      </c>
      <c r="AC592" s="8">
        <f>Deals_Raw!AE592</f>
        <v>0.70849157302382149</v>
      </c>
      <c r="AD592" t="str">
        <f>Deals_Raw!AF592</f>
        <v>Won</v>
      </c>
      <c r="AE592">
        <f>Deals_Raw!AG592</f>
        <v>0</v>
      </c>
      <c r="AF592">
        <f>Deals_Raw!AH592</f>
        <v>0</v>
      </c>
      <c r="AG592" t="str">
        <f>Deals_Raw!AI592</f>
        <v>No</v>
      </c>
      <c r="AH592" s="6">
        <f>Deals_Raw!AJ592</f>
        <v>59475.554938139794</v>
      </c>
      <c r="AI592" s="6">
        <f>Deals_Raw!AK592</f>
        <v>42137.929474587378</v>
      </c>
      <c r="AJ592" t="str">
        <f>Deals_Raw!AL592</f>
        <v>First purchase under this contract</v>
      </c>
      <c r="AK592" s="9">
        <f t="shared" si="63"/>
        <v>2.9</v>
      </c>
      <c r="AL592" s="8">
        <f t="shared" si="64"/>
        <v>0.93517778713601618</v>
      </c>
      <c r="AM592" s="8">
        <f t="shared" si="65"/>
        <v>1.1999999999999997E-2</v>
      </c>
      <c r="AN592" t="str">
        <f>IF(AC592&lt;Pricing_Policy!$C$10,"Below Floor","Pass")</f>
        <v>Pass</v>
      </c>
      <c r="AO592" t="str">
        <f>IF(V592&gt;Pricing_Policy!$C$7,"Exception","Standard")</f>
        <v>Standard</v>
      </c>
      <c r="AP592" t="str">
        <f t="shared" si="66"/>
        <v>Pass</v>
      </c>
      <c r="AQ592">
        <f t="shared" si="67"/>
        <v>1</v>
      </c>
      <c r="AR592" s="8">
        <f t="shared" si="68"/>
        <v>0.70849157302382149</v>
      </c>
      <c r="AS592">
        <f t="shared" si="69"/>
        <v>3</v>
      </c>
    </row>
    <row r="593" spans="1:45">
      <c r="A593" t="str">
        <f>Deals_Raw!A593</f>
        <v>D00672</v>
      </c>
      <c r="B593">
        <f>Deals_Raw!B593</f>
        <v>45558</v>
      </c>
      <c r="C593" t="str">
        <f>Deals_Raw!C593</f>
        <v>C0164</v>
      </c>
      <c r="D593" t="str">
        <f>Deals_Raw!D593</f>
        <v>MAN-0164</v>
      </c>
      <c r="E593" t="str">
        <f>Deals_Raw!E593</f>
        <v>CT00363</v>
      </c>
      <c r="F593" t="str">
        <f>Deals_Raw!F593</f>
        <v>Finance</v>
      </c>
      <c r="G593" t="str">
        <f>Deals_Raw!G593</f>
        <v>Manufacturing</v>
      </c>
      <c r="H593" t="str">
        <f>Deals_Raw!H593</f>
        <v>Northeast</v>
      </c>
      <c r="I593" t="str">
        <f>Deals_Raw!I593</f>
        <v>Northeast Commercial</v>
      </c>
      <c r="J593" t="str">
        <f>Deals_Raw!J593</f>
        <v>Mid-Market</v>
      </c>
      <c r="K593" t="str">
        <f>Deals_Raw!K593</f>
        <v>No</v>
      </c>
      <c r="L593">
        <f>Deals_Raw!L593</f>
        <v>44287</v>
      </c>
      <c r="M593">
        <f>Deals_Raw!M593</f>
        <v>56</v>
      </c>
      <c r="N593" t="str">
        <f>Deals_Raw!N593</f>
        <v>Nexus Insights</v>
      </c>
      <c r="O593" t="str">
        <f>Deals_Raw!O593</f>
        <v>Expansion</v>
      </c>
      <c r="P593" t="str">
        <f>Deals_Raw!P593</f>
        <v>Storage / Usage Expansion</v>
      </c>
      <c r="Q593">
        <f>Deals_Raw!Q593</f>
        <v>1</v>
      </c>
      <c r="R593">
        <f>Deals_Raw!R593</f>
        <v>193</v>
      </c>
      <c r="S593" t="str">
        <f>Deals_Raw!S593</f>
        <v>D. Chen</v>
      </c>
      <c r="T593" s="6">
        <f>Deals_Raw!T593</f>
        <v>76876.830703889063</v>
      </c>
      <c r="U593" s="8">
        <f>Deals_Raw!V593</f>
        <v>2.3E-2</v>
      </c>
      <c r="V593" s="8">
        <f>Deals_Raw!W593</f>
        <v>0</v>
      </c>
      <c r="W593" s="8">
        <f>Deals_Raw!X593</f>
        <v>-2.1999999999999999E-2</v>
      </c>
      <c r="X593" t="str">
        <f>Deals_Raw!Y593</f>
        <v>Expansion opportunity</v>
      </c>
      <c r="Y593" t="str">
        <f>Deals_Raw!Z593</f>
        <v>Sales Manager</v>
      </c>
      <c r="Z593" s="6">
        <f>Deals_Raw!AA593</f>
        <v>76876.830703889063</v>
      </c>
      <c r="AA593" s="6">
        <f>Deals_Raw!AC593</f>
        <v>22949.996250764194</v>
      </c>
      <c r="AB593" s="6">
        <f>Deals_Raw!AD593</f>
        <v>53926.834453124873</v>
      </c>
      <c r="AC593" s="8">
        <f>Deals_Raw!AE593</f>
        <v>0.70147057259472601</v>
      </c>
      <c r="AD593" t="str">
        <f>Deals_Raw!AF593</f>
        <v>Won</v>
      </c>
      <c r="AE593">
        <f>Deals_Raw!AG593</f>
        <v>0</v>
      </c>
      <c r="AF593" t="str">
        <f>Deals_Raw!AH593</f>
        <v>Yes</v>
      </c>
      <c r="AG593" t="str">
        <f>Deals_Raw!AI593</f>
        <v>No</v>
      </c>
      <c r="AH593" s="6">
        <f>Deals_Raw!AJ593</f>
        <v>76876.830703889063</v>
      </c>
      <c r="AI593" s="6">
        <f>Deals_Raw!AK593</f>
        <v>53926.834453124873</v>
      </c>
      <c r="AJ593" t="str">
        <f>Deals_Raw!AL593</f>
        <v>Expansion allowed because contract was active</v>
      </c>
      <c r="AK593" s="9">
        <f t="shared" si="63"/>
        <v>3.4777777777777779</v>
      </c>
      <c r="AL593" s="8">
        <f t="shared" si="64"/>
        <v>1</v>
      </c>
      <c r="AM593" s="8">
        <f t="shared" si="65"/>
        <v>2.3E-2</v>
      </c>
      <c r="AN593" t="str">
        <f>IF(AC593&lt;Pricing_Policy!$C$10,"Below Floor","Pass")</f>
        <v>Pass</v>
      </c>
      <c r="AO593" t="str">
        <f>IF(V593&gt;Pricing_Policy!$C$7,"Exception","Standard")</f>
        <v>Standard</v>
      </c>
      <c r="AP593" t="str">
        <f t="shared" si="66"/>
        <v>Pass</v>
      </c>
      <c r="AQ593">
        <f t="shared" si="67"/>
        <v>1</v>
      </c>
      <c r="AR593" s="8">
        <f t="shared" si="68"/>
        <v>0.70147057259472601</v>
      </c>
      <c r="AS593">
        <f t="shared" si="69"/>
        <v>3</v>
      </c>
    </row>
    <row r="594" spans="1:45">
      <c r="A594" t="str">
        <f>Deals_Raw!A594</f>
        <v>D00673</v>
      </c>
      <c r="B594">
        <f>Deals_Raw!B594</f>
        <v>45712</v>
      </c>
      <c r="C594" t="str">
        <f>Deals_Raw!C594</f>
        <v>C0164</v>
      </c>
      <c r="D594" t="str">
        <f>Deals_Raw!D594</f>
        <v>MAN-0164</v>
      </c>
      <c r="E594" t="str">
        <f>Deals_Raw!E594</f>
        <v>CT00363</v>
      </c>
      <c r="F594" t="str">
        <f>Deals_Raw!F594</f>
        <v>Finance</v>
      </c>
      <c r="G594" t="str">
        <f>Deals_Raw!G594</f>
        <v>Manufacturing</v>
      </c>
      <c r="H594" t="str">
        <f>Deals_Raw!H594</f>
        <v>Northeast</v>
      </c>
      <c r="I594" t="str">
        <f>Deals_Raw!I594</f>
        <v>Northeast Commercial</v>
      </c>
      <c r="J594" t="str">
        <f>Deals_Raw!J594</f>
        <v>Mid-Market</v>
      </c>
      <c r="K594" t="str">
        <f>Deals_Raw!K594</f>
        <v>No</v>
      </c>
      <c r="L594">
        <f>Deals_Raw!L594</f>
        <v>44287</v>
      </c>
      <c r="M594">
        <f>Deals_Raw!M594</f>
        <v>56</v>
      </c>
      <c r="N594" t="str">
        <f>Deals_Raw!N594</f>
        <v>Nexus Insights</v>
      </c>
      <c r="O594" t="str">
        <f>Deals_Raw!O594</f>
        <v>Renewal</v>
      </c>
      <c r="P594">
        <f>Deals_Raw!P594</f>
        <v>0</v>
      </c>
      <c r="Q594">
        <f>Deals_Raw!Q594</f>
        <v>1</v>
      </c>
      <c r="R594">
        <f>Deals_Raw!R594</f>
        <v>193</v>
      </c>
      <c r="S594" t="str">
        <f>Deals_Raw!S594</f>
        <v>M. Johnson</v>
      </c>
      <c r="T594" s="6">
        <f>Deals_Raw!T594</f>
        <v>78525.866271882958</v>
      </c>
      <c r="U594" s="8">
        <f>Deals_Raw!V594</f>
        <v>0.22500000000000001</v>
      </c>
      <c r="V594" s="8">
        <f>Deals_Raw!W594</f>
        <v>0.20100000000000001</v>
      </c>
      <c r="W594" s="8">
        <f>Deals_Raw!X594</f>
        <v>-4.1000000000000002E-2</v>
      </c>
      <c r="X594" t="str">
        <f>Deals_Raw!Y594</f>
        <v>Renewal retention risk</v>
      </c>
      <c r="Y594" t="str">
        <f>Deals_Raw!Z594</f>
        <v>Business Manager</v>
      </c>
      <c r="Z594" s="6">
        <f>Deals_Raw!AA594</f>
        <v>62716.496070299487</v>
      </c>
      <c r="AA594" s="6">
        <f>Deals_Raw!AC594</f>
        <v>24284.251382853236</v>
      </c>
      <c r="AB594" s="6">
        <f>Deals_Raw!AD594</f>
        <v>38432.244687446248</v>
      </c>
      <c r="AC594" s="8">
        <f>Deals_Raw!AE594</f>
        <v>0.61279323775306571</v>
      </c>
      <c r="AD594" t="str">
        <f>Deals_Raw!AF594</f>
        <v>Won</v>
      </c>
      <c r="AE594" t="str">
        <f>Deals_Raw!AG594</f>
        <v>Yes</v>
      </c>
      <c r="AF594">
        <f>Deals_Raw!AH594</f>
        <v>0</v>
      </c>
      <c r="AG594" t="str">
        <f>Deals_Raw!AI594</f>
        <v>No</v>
      </c>
      <c r="AH594" s="6">
        <f>Deals_Raw!AJ594</f>
        <v>62716.496070299487</v>
      </c>
      <c r="AI594" s="6">
        <f>Deals_Raw!AK594</f>
        <v>38432.244687446248</v>
      </c>
      <c r="AJ594" t="str">
        <f>Deals_Raw!AL594</f>
        <v>Renewal of existing active contract</v>
      </c>
      <c r="AK594" s="9">
        <f t="shared" si="63"/>
        <v>3.8972222222222221</v>
      </c>
      <c r="AL594" s="8">
        <f t="shared" si="64"/>
        <v>0.79867308758051625</v>
      </c>
      <c r="AM594" s="8">
        <f t="shared" si="65"/>
        <v>2.3999999999999994E-2</v>
      </c>
      <c r="AN594" t="str">
        <f>IF(AC594&lt;Pricing_Policy!$C$10,"Below Floor","Pass")</f>
        <v>Pass</v>
      </c>
      <c r="AO594" t="str">
        <f>IF(V594&gt;Pricing_Policy!$C$7,"Exception","Standard")</f>
        <v>Standard</v>
      </c>
      <c r="AP594" t="str">
        <f t="shared" si="66"/>
        <v>Pass</v>
      </c>
      <c r="AQ594">
        <f t="shared" si="67"/>
        <v>1</v>
      </c>
      <c r="AR594" s="8">
        <f t="shared" si="68"/>
        <v>0.61279323775306571</v>
      </c>
      <c r="AS594">
        <f t="shared" si="69"/>
        <v>3</v>
      </c>
    </row>
    <row r="595" spans="1:45">
      <c r="A595" t="str">
        <f>Deals_Raw!A595</f>
        <v>D00674</v>
      </c>
      <c r="B595">
        <f>Deals_Raw!B595</f>
        <v>45305</v>
      </c>
      <c r="C595" t="str">
        <f>Deals_Raw!C595</f>
        <v>C0164</v>
      </c>
      <c r="D595" t="str">
        <f>Deals_Raw!D595</f>
        <v>MAN-0164</v>
      </c>
      <c r="E595" t="str">
        <f>Deals_Raw!E595</f>
        <v>CT00364</v>
      </c>
      <c r="F595" t="str">
        <f>Deals_Raw!F595</f>
        <v>Legal</v>
      </c>
      <c r="G595" t="str">
        <f>Deals_Raw!G595</f>
        <v>Manufacturing</v>
      </c>
      <c r="H595" t="str">
        <f>Deals_Raw!H595</f>
        <v>Northeast</v>
      </c>
      <c r="I595" t="str">
        <f>Deals_Raw!I595</f>
        <v>Northeast Commercial</v>
      </c>
      <c r="J595" t="str">
        <f>Deals_Raw!J595</f>
        <v>Mid-Market</v>
      </c>
      <c r="K595" t="str">
        <f>Deals_Raw!K595</f>
        <v>No</v>
      </c>
      <c r="L595">
        <f>Deals_Raw!L595</f>
        <v>44287</v>
      </c>
      <c r="M595">
        <f>Deals_Raw!M595</f>
        <v>56</v>
      </c>
      <c r="N595" t="str">
        <f>Deals_Raw!N595</f>
        <v>Nexus Enterprise Suite</v>
      </c>
      <c r="O595" t="str">
        <f>Deals_Raw!O595</f>
        <v>New Business</v>
      </c>
      <c r="P595">
        <f>Deals_Raw!P595</f>
        <v>0</v>
      </c>
      <c r="Q595">
        <f>Deals_Raw!Q595</f>
        <v>1</v>
      </c>
      <c r="R595">
        <f>Deals_Raw!R595</f>
        <v>154</v>
      </c>
      <c r="S595" t="str">
        <f>Deals_Raw!S595</f>
        <v>A. Patel</v>
      </c>
      <c r="T595" s="6">
        <f>Deals_Raw!T595</f>
        <v>285260.15542836662</v>
      </c>
      <c r="U595" s="8">
        <f>Deals_Raw!V595</f>
        <v>0.246</v>
      </c>
      <c r="V595" s="8">
        <f>Deals_Raw!W595</f>
        <v>0.193</v>
      </c>
      <c r="W595" s="8">
        <f>Deals_Raw!X595</f>
        <v>0.05</v>
      </c>
      <c r="X595" t="str">
        <f>Deals_Raw!Y595</f>
        <v>Verified competitor pressure</v>
      </c>
      <c r="Y595" t="str">
        <f>Deals_Raw!Z595</f>
        <v>Pricing Analyst</v>
      </c>
      <c r="Z595" s="6">
        <f>Deals_Raw!AA595</f>
        <v>230096.34608312038</v>
      </c>
      <c r="AA595" s="6">
        <f>Deals_Raw!AC595</f>
        <v>111336.60426703263</v>
      </c>
      <c r="AB595" s="6">
        <f>Deals_Raw!AD595</f>
        <v>118759.74181608776</v>
      </c>
      <c r="AC595" s="8">
        <f>Deals_Raw!AE595</f>
        <v>0.51613049853988902</v>
      </c>
      <c r="AD595" t="str">
        <f>Deals_Raw!AF595</f>
        <v>Won</v>
      </c>
      <c r="AE595">
        <f>Deals_Raw!AG595</f>
        <v>0</v>
      </c>
      <c r="AF595">
        <f>Deals_Raw!AH595</f>
        <v>0</v>
      </c>
      <c r="AG595" t="str">
        <f>Deals_Raw!AI595</f>
        <v>No</v>
      </c>
      <c r="AH595" s="6">
        <f>Deals_Raw!AJ595</f>
        <v>230096.34608312038</v>
      </c>
      <c r="AI595" s="6">
        <f>Deals_Raw!AK595</f>
        <v>118759.74181608776</v>
      </c>
      <c r="AJ595" t="str">
        <f>Deals_Raw!AL595</f>
        <v>First purchase under this contract</v>
      </c>
      <c r="AK595" s="9">
        <f t="shared" si="63"/>
        <v>2.786111111111111</v>
      </c>
      <c r="AL595" s="8">
        <f t="shared" si="64"/>
        <v>0.8066192971731071</v>
      </c>
      <c r="AM595" s="8">
        <f t="shared" si="65"/>
        <v>5.2999999999999992E-2</v>
      </c>
      <c r="AN595" t="str">
        <f>IF(AC595&lt;Pricing_Policy!$C$10,"Below Floor","Pass")</f>
        <v>Pass</v>
      </c>
      <c r="AO595" t="str">
        <f>IF(V595&gt;Pricing_Policy!$C$7,"Exception","Standard")</f>
        <v>Standard</v>
      </c>
      <c r="AP595" t="str">
        <f t="shared" si="66"/>
        <v>Pass</v>
      </c>
      <c r="AQ595">
        <f t="shared" si="67"/>
        <v>1</v>
      </c>
      <c r="AR595" s="8">
        <f t="shared" si="68"/>
        <v>0.51613049853988902</v>
      </c>
      <c r="AS595">
        <f t="shared" si="69"/>
        <v>3</v>
      </c>
    </row>
    <row r="596" spans="1:45">
      <c r="A596" t="str">
        <f>Deals_Raw!A596</f>
        <v>D00675</v>
      </c>
      <c r="B596">
        <f>Deals_Raw!B596</f>
        <v>45574</v>
      </c>
      <c r="C596" t="str">
        <f>Deals_Raw!C596</f>
        <v>C0164</v>
      </c>
      <c r="D596" t="str">
        <f>Deals_Raw!D596</f>
        <v>MAN-0164</v>
      </c>
      <c r="E596" t="str">
        <f>Deals_Raw!E596</f>
        <v>CT00364</v>
      </c>
      <c r="F596" t="str">
        <f>Deals_Raw!F596</f>
        <v>Legal</v>
      </c>
      <c r="G596" t="str">
        <f>Deals_Raw!G596</f>
        <v>Manufacturing</v>
      </c>
      <c r="H596" t="str">
        <f>Deals_Raw!H596</f>
        <v>Northeast</v>
      </c>
      <c r="I596" t="str">
        <f>Deals_Raw!I596</f>
        <v>Northeast Commercial</v>
      </c>
      <c r="J596" t="str">
        <f>Deals_Raw!J596</f>
        <v>Mid-Market</v>
      </c>
      <c r="K596" t="str">
        <f>Deals_Raw!K596</f>
        <v>No</v>
      </c>
      <c r="L596">
        <f>Deals_Raw!L596</f>
        <v>44287</v>
      </c>
      <c r="M596">
        <f>Deals_Raw!M596</f>
        <v>56</v>
      </c>
      <c r="N596" t="str">
        <f>Deals_Raw!N596</f>
        <v>Nexus Enterprise Suite</v>
      </c>
      <c r="O596" t="str">
        <f>Deals_Raw!O596</f>
        <v>Expansion</v>
      </c>
      <c r="P596" t="str">
        <f>Deals_Raw!P596</f>
        <v>Module Add-on</v>
      </c>
      <c r="Q596">
        <f>Deals_Raw!Q596</f>
        <v>1</v>
      </c>
      <c r="R596">
        <f>Deals_Raw!R596</f>
        <v>180</v>
      </c>
      <c r="S596" t="str">
        <f>Deals_Raw!S596</f>
        <v>L. Williams</v>
      </c>
      <c r="T596" s="6">
        <f>Deals_Raw!T596</f>
        <v>314769.69106216007</v>
      </c>
      <c r="U596" s="8">
        <f>Deals_Raw!V596</f>
        <v>0.02</v>
      </c>
      <c r="V596" s="8">
        <f>Deals_Raw!W596</f>
        <v>0</v>
      </c>
      <c r="W596" s="8">
        <f>Deals_Raw!X596</f>
        <v>-8.9999999999999993E-3</v>
      </c>
      <c r="X596" t="str">
        <f>Deals_Raw!Y596</f>
        <v>Expansion opportunity</v>
      </c>
      <c r="Y596" t="str">
        <f>Deals_Raw!Z596</f>
        <v>Sales Manager</v>
      </c>
      <c r="Z596" s="6">
        <f>Deals_Raw!AA596</f>
        <v>314769.69106216007</v>
      </c>
      <c r="AA596" s="6">
        <f>Deals_Raw!AC596</f>
        <v>107679.92328906759</v>
      </c>
      <c r="AB596" s="6">
        <f>Deals_Raw!AD596</f>
        <v>207089.76777309249</v>
      </c>
      <c r="AC596" s="8">
        <f>Deals_Raw!AE596</f>
        <v>0.6579088573435643</v>
      </c>
      <c r="AD596" t="str">
        <f>Deals_Raw!AF596</f>
        <v>Lost</v>
      </c>
      <c r="AE596">
        <f>Deals_Raw!AG596</f>
        <v>0</v>
      </c>
      <c r="AF596" t="str">
        <f>Deals_Raw!AH596</f>
        <v>No</v>
      </c>
      <c r="AG596" t="str">
        <f>Deals_Raw!AI596</f>
        <v>No</v>
      </c>
      <c r="AH596" s="6">
        <f>Deals_Raw!AJ596</f>
        <v>0</v>
      </c>
      <c r="AI596" s="6">
        <f>Deals_Raw!AK596</f>
        <v>0</v>
      </c>
      <c r="AJ596" t="str">
        <f>Deals_Raw!AL596</f>
        <v>Expansion allowed because contract was active</v>
      </c>
      <c r="AK596" s="9">
        <f t="shared" si="63"/>
        <v>3.5222222222222221</v>
      </c>
      <c r="AL596" s="8">
        <f t="shared" si="64"/>
        <v>1</v>
      </c>
      <c r="AM596" s="8">
        <f t="shared" si="65"/>
        <v>0.02</v>
      </c>
      <c r="AN596" t="str">
        <f>IF(AC596&lt;Pricing_Policy!$C$10,"Below Floor","Pass")</f>
        <v>Pass</v>
      </c>
      <c r="AO596" t="str">
        <f>IF(V596&gt;Pricing_Policy!$C$7,"Exception","Standard")</f>
        <v>Standard</v>
      </c>
      <c r="AP596" t="str">
        <f t="shared" si="66"/>
        <v>Pass</v>
      </c>
      <c r="AQ596">
        <f t="shared" si="67"/>
        <v>0</v>
      </c>
      <c r="AR596" s="8">
        <f t="shared" si="68"/>
        <v>0</v>
      </c>
      <c r="AS596">
        <f t="shared" si="69"/>
        <v>3</v>
      </c>
    </row>
    <row r="597" spans="1:45">
      <c r="A597" t="str">
        <f>Deals_Raw!A597</f>
        <v>D00676</v>
      </c>
      <c r="B597">
        <f>Deals_Raw!B597</f>
        <v>45670</v>
      </c>
      <c r="C597" t="str">
        <f>Deals_Raw!C597</f>
        <v>C0164</v>
      </c>
      <c r="D597" t="str">
        <f>Deals_Raw!D597</f>
        <v>MAN-0164</v>
      </c>
      <c r="E597" t="str">
        <f>Deals_Raw!E597</f>
        <v>CT00364</v>
      </c>
      <c r="F597" t="str">
        <f>Deals_Raw!F597</f>
        <v>Legal</v>
      </c>
      <c r="G597" t="str">
        <f>Deals_Raw!G597</f>
        <v>Manufacturing</v>
      </c>
      <c r="H597" t="str">
        <f>Deals_Raw!H597</f>
        <v>Northeast</v>
      </c>
      <c r="I597" t="str">
        <f>Deals_Raw!I597</f>
        <v>Northeast Commercial</v>
      </c>
      <c r="J597" t="str">
        <f>Deals_Raw!J597</f>
        <v>Mid-Market</v>
      </c>
      <c r="K597" t="str">
        <f>Deals_Raw!K597</f>
        <v>No</v>
      </c>
      <c r="L597">
        <f>Deals_Raw!L597</f>
        <v>44287</v>
      </c>
      <c r="M597">
        <f>Deals_Raw!M597</f>
        <v>56</v>
      </c>
      <c r="N597" t="str">
        <f>Deals_Raw!N597</f>
        <v>Nexus Enterprise Suite</v>
      </c>
      <c r="O597" t="str">
        <f>Deals_Raw!O597</f>
        <v>Renewal</v>
      </c>
      <c r="P597">
        <f>Deals_Raw!P597</f>
        <v>0</v>
      </c>
      <c r="Q597">
        <f>Deals_Raw!Q597</f>
        <v>1</v>
      </c>
      <c r="R597">
        <f>Deals_Raw!R597</f>
        <v>154</v>
      </c>
      <c r="S597" t="str">
        <f>Deals_Raw!S597</f>
        <v>R. Singh</v>
      </c>
      <c r="T597" s="6">
        <f>Deals_Raw!T597</f>
        <v>302413.46047902899</v>
      </c>
      <c r="U597" s="8">
        <f>Deals_Raw!V597</f>
        <v>0.216</v>
      </c>
      <c r="V597" s="8">
        <f>Deals_Raw!W597</f>
        <v>0.20499999999999999</v>
      </c>
      <c r="W597" s="8">
        <f>Deals_Raw!X597</f>
        <v>0.108</v>
      </c>
      <c r="X597" t="str">
        <f>Deals_Raw!Y597</f>
        <v>Renewal retention risk</v>
      </c>
      <c r="Y597" t="str">
        <f>Deals_Raw!Z597</f>
        <v>Business Manager</v>
      </c>
      <c r="Z597" s="6">
        <f>Deals_Raw!AA597</f>
        <v>240290.46970777589</v>
      </c>
      <c r="AA597" s="6">
        <f>Deals_Raw!AC597</f>
        <v>110570.99606352492</v>
      </c>
      <c r="AB597" s="6">
        <f>Deals_Raw!AD597</f>
        <v>129719.47364425097</v>
      </c>
      <c r="AC597" s="8">
        <f>Deals_Raw!AE597</f>
        <v>0.53984443828340978</v>
      </c>
      <c r="AD597" t="str">
        <f>Deals_Raw!AF597</f>
        <v>Won</v>
      </c>
      <c r="AE597" t="str">
        <f>Deals_Raw!AG597</f>
        <v>Yes</v>
      </c>
      <c r="AF597">
        <f>Deals_Raw!AH597</f>
        <v>0</v>
      </c>
      <c r="AG597" t="str">
        <f>Deals_Raw!AI597</f>
        <v>No</v>
      </c>
      <c r="AH597" s="6">
        <f>Deals_Raw!AJ597</f>
        <v>240290.46970777589</v>
      </c>
      <c r="AI597" s="6">
        <f>Deals_Raw!AK597</f>
        <v>129719.47364425097</v>
      </c>
      <c r="AJ597" t="str">
        <f>Deals_Raw!AL597</f>
        <v>Renewal of existing active contract</v>
      </c>
      <c r="AK597" s="9">
        <f t="shared" si="63"/>
        <v>3.7833333333333332</v>
      </c>
      <c r="AL597" s="8">
        <f t="shared" si="64"/>
        <v>0.79457597332853824</v>
      </c>
      <c r="AM597" s="8">
        <f t="shared" si="65"/>
        <v>1.100000000000001E-2</v>
      </c>
      <c r="AN597" t="str">
        <f>IF(AC597&lt;Pricing_Policy!$C$10,"Below Floor","Pass")</f>
        <v>Pass</v>
      </c>
      <c r="AO597" t="str">
        <f>IF(V597&gt;Pricing_Policy!$C$7,"Exception","Standard")</f>
        <v>Standard</v>
      </c>
      <c r="AP597" t="str">
        <f t="shared" si="66"/>
        <v>Pass</v>
      </c>
      <c r="AQ597">
        <f t="shared" si="67"/>
        <v>1</v>
      </c>
      <c r="AR597" s="8">
        <f t="shared" si="68"/>
        <v>0.53984443828340978</v>
      </c>
      <c r="AS597">
        <f t="shared" si="69"/>
        <v>3</v>
      </c>
    </row>
    <row r="598" spans="1:45">
      <c r="A598" t="str">
        <f>Deals_Raw!A598</f>
        <v>D00677</v>
      </c>
      <c r="B598">
        <f>Deals_Raw!B598</f>
        <v>45313</v>
      </c>
      <c r="C598" t="str">
        <f>Deals_Raw!C598</f>
        <v>C0165</v>
      </c>
      <c r="D598" t="str">
        <f>Deals_Raw!D598</f>
        <v>TEC-0165</v>
      </c>
      <c r="E598" t="str">
        <f>Deals_Raw!E598</f>
        <v>CT00365</v>
      </c>
      <c r="F598" t="str">
        <f>Deals_Raw!F598</f>
        <v>Technology</v>
      </c>
      <c r="G598" t="str">
        <f>Deals_Raw!G598</f>
        <v>Technology</v>
      </c>
      <c r="H598" t="str">
        <f>Deals_Raw!H598</f>
        <v>Midwest</v>
      </c>
      <c r="I598" t="str">
        <f>Deals_Raw!I598</f>
        <v>Midwest Enterprise</v>
      </c>
      <c r="J598" t="str">
        <f>Deals_Raw!J598</f>
        <v>Enterprise</v>
      </c>
      <c r="K598" t="str">
        <f>Deals_Raw!K598</f>
        <v>No</v>
      </c>
      <c r="L598">
        <f>Deals_Raw!L598</f>
        <v>44348</v>
      </c>
      <c r="M598">
        <f>Deals_Raw!M598</f>
        <v>50</v>
      </c>
      <c r="N598" t="str">
        <f>Deals_Raw!N598</f>
        <v>Nexus Enterprise Suite</v>
      </c>
      <c r="O598" t="str">
        <f>Deals_Raw!O598</f>
        <v>New Business</v>
      </c>
      <c r="P598">
        <f>Deals_Raw!P598</f>
        <v>0</v>
      </c>
      <c r="Q598">
        <f>Deals_Raw!Q598</f>
        <v>3</v>
      </c>
      <c r="R598">
        <f>Deals_Raw!R598</f>
        <v>1090</v>
      </c>
      <c r="S598" t="str">
        <f>Deals_Raw!S598</f>
        <v>R. Singh</v>
      </c>
      <c r="T598" s="6">
        <f>Deals_Raw!T598</f>
        <v>733107.86877782457</v>
      </c>
      <c r="U598" s="8">
        <f>Deals_Raw!V598</f>
        <v>1.6E-2</v>
      </c>
      <c r="V598" s="8">
        <f>Deals_Raw!W598</f>
        <v>0</v>
      </c>
      <c r="W598" s="8">
        <f>Deals_Raw!X598</f>
        <v>0.13400000000000001</v>
      </c>
      <c r="X598" t="str">
        <f>Deals_Raw!Y598</f>
        <v>Expansion opportunity</v>
      </c>
      <c r="Y598" t="str">
        <f>Deals_Raw!Z598</f>
        <v>Sales Manager</v>
      </c>
      <c r="Z598" s="6">
        <f>Deals_Raw!AA598</f>
        <v>733107.86877782457</v>
      </c>
      <c r="AA598" s="6">
        <f>Deals_Raw!AC598</f>
        <v>295154.34898626636</v>
      </c>
      <c r="AB598" s="6">
        <f>Deals_Raw!AD598</f>
        <v>437953.51979155821</v>
      </c>
      <c r="AC598" s="8">
        <f>Deals_Raw!AE598</f>
        <v>0.59739301464827721</v>
      </c>
      <c r="AD598" t="str">
        <f>Deals_Raw!AF598</f>
        <v>Lost</v>
      </c>
      <c r="AE598">
        <f>Deals_Raw!AG598</f>
        <v>0</v>
      </c>
      <c r="AF598">
        <f>Deals_Raw!AH598</f>
        <v>0</v>
      </c>
      <c r="AG598" t="str">
        <f>Deals_Raw!AI598</f>
        <v>No</v>
      </c>
      <c r="AH598" s="6">
        <f>Deals_Raw!AJ598</f>
        <v>0</v>
      </c>
      <c r="AI598" s="6">
        <f>Deals_Raw!AK598</f>
        <v>0</v>
      </c>
      <c r="AJ598" t="str">
        <f>Deals_Raw!AL598</f>
        <v>First purchase under this contract</v>
      </c>
      <c r="AK598" s="9">
        <f t="shared" si="63"/>
        <v>2.6416666666666666</v>
      </c>
      <c r="AL598" s="8">
        <f t="shared" si="64"/>
        <v>1</v>
      </c>
      <c r="AM598" s="8">
        <f t="shared" si="65"/>
        <v>1.6E-2</v>
      </c>
      <c r="AN598" t="str">
        <f>IF(AC598&lt;Pricing_Policy!$C$10,"Below Floor","Pass")</f>
        <v>Pass</v>
      </c>
      <c r="AO598" t="str">
        <f>IF(V598&gt;Pricing_Policy!$C$7,"Exception","Standard")</f>
        <v>Standard</v>
      </c>
      <c r="AP598" t="str">
        <f t="shared" si="66"/>
        <v>Pass</v>
      </c>
      <c r="AQ598">
        <f t="shared" si="67"/>
        <v>0</v>
      </c>
      <c r="AR598" s="8">
        <f t="shared" si="68"/>
        <v>0</v>
      </c>
      <c r="AS598">
        <f t="shared" si="69"/>
        <v>1</v>
      </c>
    </row>
    <row r="599" spans="1:45">
      <c r="A599" t="str">
        <f>Deals_Raw!A599</f>
        <v>D00678</v>
      </c>
      <c r="B599">
        <f>Deals_Raw!B599</f>
        <v>45743</v>
      </c>
      <c r="C599" t="str">
        <f>Deals_Raw!C599</f>
        <v>C0165</v>
      </c>
      <c r="D599" t="str">
        <f>Deals_Raw!D599</f>
        <v>TEC-0165</v>
      </c>
      <c r="E599" t="str">
        <f>Deals_Raw!E599</f>
        <v>CT00366</v>
      </c>
      <c r="F599" t="str">
        <f>Deals_Raw!F599</f>
        <v>Legal</v>
      </c>
      <c r="G599" t="str">
        <f>Deals_Raw!G599</f>
        <v>Technology</v>
      </c>
      <c r="H599" t="str">
        <f>Deals_Raw!H599</f>
        <v>Midwest</v>
      </c>
      <c r="I599" t="str">
        <f>Deals_Raw!I599</f>
        <v>Midwest Enterprise</v>
      </c>
      <c r="J599" t="str">
        <f>Deals_Raw!J599</f>
        <v>Enterprise</v>
      </c>
      <c r="K599" t="str">
        <f>Deals_Raw!K599</f>
        <v>No</v>
      </c>
      <c r="L599">
        <f>Deals_Raw!L599</f>
        <v>44348</v>
      </c>
      <c r="M599">
        <f>Deals_Raw!M599</f>
        <v>50</v>
      </c>
      <c r="N599" t="str">
        <f>Deals_Raw!N599</f>
        <v>Nexus AI Assistant</v>
      </c>
      <c r="O599" t="str">
        <f>Deals_Raw!O599</f>
        <v>New Business</v>
      </c>
      <c r="P599">
        <f>Deals_Raw!P599</f>
        <v>0</v>
      </c>
      <c r="Q599">
        <f>Deals_Raw!Q599</f>
        <v>2</v>
      </c>
      <c r="R599">
        <f>Deals_Raw!R599</f>
        <v>1858</v>
      </c>
      <c r="S599" t="str">
        <f>Deals_Raw!S599</f>
        <v>D. Chen</v>
      </c>
      <c r="T599" s="6">
        <f>Deals_Raw!T599</f>
        <v>317643.28108914045</v>
      </c>
      <c r="U599" s="8">
        <f>Deals_Raw!V599</f>
        <v>0.16600000000000001</v>
      </c>
      <c r="V599" s="8">
        <f>Deals_Raw!W599</f>
        <v>0.13900000000000001</v>
      </c>
      <c r="W599" s="8">
        <f>Deals_Raw!X599</f>
        <v>8.7999999999999995E-2</v>
      </c>
      <c r="X599" t="str">
        <f>Deals_Raw!Y599</f>
        <v>Verified competitor pressure</v>
      </c>
      <c r="Y599" t="str">
        <f>Deals_Raw!Z599</f>
        <v>Pricing Analyst</v>
      </c>
      <c r="Z599" s="6">
        <f>Deals_Raw!AA599</f>
        <v>273344.38005027681</v>
      </c>
      <c r="AA599" s="6">
        <f>Deals_Raw!AC599</f>
        <v>136672.98466957035</v>
      </c>
      <c r="AB599" s="6">
        <f>Deals_Raw!AD599</f>
        <v>136671.39538070647</v>
      </c>
      <c r="AC599" s="8">
        <f>Deals_Raw!AE599</f>
        <v>0.49999709288176403</v>
      </c>
      <c r="AD599" t="str">
        <f>Deals_Raw!AF599</f>
        <v>Won</v>
      </c>
      <c r="AE599">
        <f>Deals_Raw!AG599</f>
        <v>0</v>
      </c>
      <c r="AF599">
        <f>Deals_Raw!AH599</f>
        <v>0</v>
      </c>
      <c r="AG599" t="str">
        <f>Deals_Raw!AI599</f>
        <v>No</v>
      </c>
      <c r="AH599" s="6">
        <f>Deals_Raw!AJ599</f>
        <v>273344.38005027681</v>
      </c>
      <c r="AI599" s="6">
        <f>Deals_Raw!AK599</f>
        <v>136671.39538070647</v>
      </c>
      <c r="AJ599" t="str">
        <f>Deals_Raw!AL599</f>
        <v>First purchase under this contract</v>
      </c>
      <c r="AK599" s="9">
        <f t="shared" si="63"/>
        <v>3.8222222222222224</v>
      </c>
      <c r="AL599" s="8">
        <f t="shared" si="64"/>
        <v>0.86053883813638099</v>
      </c>
      <c r="AM599" s="8">
        <f t="shared" si="65"/>
        <v>2.6999999999999996E-2</v>
      </c>
      <c r="AN599" t="str">
        <f>IF(AC599&lt;Pricing_Policy!$C$10,"Below Floor","Pass")</f>
        <v>Pass</v>
      </c>
      <c r="AO599" t="str">
        <f>IF(V599&gt;Pricing_Policy!$C$7,"Exception","Standard")</f>
        <v>Standard</v>
      </c>
      <c r="AP599" t="str">
        <f t="shared" si="66"/>
        <v>Pass</v>
      </c>
      <c r="AQ599">
        <f t="shared" si="67"/>
        <v>1</v>
      </c>
      <c r="AR599" s="8">
        <f t="shared" si="68"/>
        <v>0.49999709288176403</v>
      </c>
      <c r="AS599">
        <f t="shared" si="69"/>
        <v>1</v>
      </c>
    </row>
    <row r="600" spans="1:45">
      <c r="A600" t="str">
        <f>Deals_Raw!A600</f>
        <v>D00679</v>
      </c>
      <c r="B600">
        <f>Deals_Raw!B600</f>
        <v>45547</v>
      </c>
      <c r="C600" t="str">
        <f>Deals_Raw!C600</f>
        <v>C0165</v>
      </c>
      <c r="D600" t="str">
        <f>Deals_Raw!D600</f>
        <v>TEC-0165</v>
      </c>
      <c r="E600" t="str">
        <f>Deals_Raw!E600</f>
        <v>CT00367</v>
      </c>
      <c r="F600" t="str">
        <f>Deals_Raw!F600</f>
        <v>Finance</v>
      </c>
      <c r="G600" t="str">
        <f>Deals_Raw!G600</f>
        <v>Technology</v>
      </c>
      <c r="H600" t="str">
        <f>Deals_Raw!H600</f>
        <v>Midwest</v>
      </c>
      <c r="I600" t="str">
        <f>Deals_Raw!I600</f>
        <v>Midwest Enterprise</v>
      </c>
      <c r="J600" t="str">
        <f>Deals_Raw!J600</f>
        <v>Enterprise</v>
      </c>
      <c r="K600" t="str">
        <f>Deals_Raw!K600</f>
        <v>No</v>
      </c>
      <c r="L600">
        <f>Deals_Raw!L600</f>
        <v>44348</v>
      </c>
      <c r="M600">
        <f>Deals_Raw!M600</f>
        <v>50</v>
      </c>
      <c r="N600" t="str">
        <f>Deals_Raw!N600</f>
        <v>Nexus Insights</v>
      </c>
      <c r="O600" t="str">
        <f>Deals_Raw!O600</f>
        <v>New Business</v>
      </c>
      <c r="P600">
        <f>Deals_Raw!P600</f>
        <v>0</v>
      </c>
      <c r="Q600">
        <f>Deals_Raw!Q600</f>
        <v>2</v>
      </c>
      <c r="R600">
        <f>Deals_Raw!R600</f>
        <v>906</v>
      </c>
      <c r="S600" t="str">
        <f>Deals_Raw!S600</f>
        <v>S. Rivera</v>
      </c>
      <c r="T600" s="6">
        <f>Deals_Raw!T600</f>
        <v>164644.60112234112</v>
      </c>
      <c r="U600" s="8">
        <f>Deals_Raw!V600</f>
        <v>7.2999999999999995E-2</v>
      </c>
      <c r="V600" s="8">
        <f>Deals_Raw!W600</f>
        <v>5.2999999999999999E-2</v>
      </c>
      <c r="W600" s="8">
        <f>Deals_Raw!X600</f>
        <v>0.05</v>
      </c>
      <c r="X600" t="str">
        <f>Deals_Raw!Y600</f>
        <v>Multi-year commitment</v>
      </c>
      <c r="Y600" t="str">
        <f>Deals_Raw!Z600</f>
        <v>Sales Manager</v>
      </c>
      <c r="Z600" s="6">
        <f>Deals_Raw!AA600</f>
        <v>155919.36017470836</v>
      </c>
      <c r="AA600" s="6">
        <f>Deals_Raw!AC600</f>
        <v>53939.423456079952</v>
      </c>
      <c r="AB600" s="6">
        <f>Deals_Raw!AD600</f>
        <v>101979.93671862841</v>
      </c>
      <c r="AC600" s="8">
        <f>Deals_Raw!AE600</f>
        <v>0.65405563878891892</v>
      </c>
      <c r="AD600" t="str">
        <f>Deals_Raw!AF600</f>
        <v>Won</v>
      </c>
      <c r="AE600">
        <f>Deals_Raw!AG600</f>
        <v>0</v>
      </c>
      <c r="AF600">
        <f>Deals_Raw!AH600</f>
        <v>0</v>
      </c>
      <c r="AG600" t="str">
        <f>Deals_Raw!AI600</f>
        <v>No</v>
      </c>
      <c r="AH600" s="6">
        <f>Deals_Raw!AJ600</f>
        <v>155919.36017470836</v>
      </c>
      <c r="AI600" s="6">
        <f>Deals_Raw!AK600</f>
        <v>101979.93671862841</v>
      </c>
      <c r="AJ600" t="str">
        <f>Deals_Raw!AL600</f>
        <v>First purchase under this contract</v>
      </c>
      <c r="AK600" s="9">
        <f t="shared" si="63"/>
        <v>3.2805555555555554</v>
      </c>
      <c r="AL600" s="8">
        <f t="shared" si="64"/>
        <v>0.94700560547898338</v>
      </c>
      <c r="AM600" s="8">
        <f t="shared" si="65"/>
        <v>1.9999999999999997E-2</v>
      </c>
      <c r="AN600" t="str">
        <f>IF(AC600&lt;Pricing_Policy!$C$10,"Below Floor","Pass")</f>
        <v>Pass</v>
      </c>
      <c r="AO600" t="str">
        <f>IF(V600&gt;Pricing_Policy!$C$7,"Exception","Standard")</f>
        <v>Standard</v>
      </c>
      <c r="AP600" t="str">
        <f t="shared" si="66"/>
        <v>Pass</v>
      </c>
      <c r="AQ600">
        <f t="shared" si="67"/>
        <v>1</v>
      </c>
      <c r="AR600" s="8">
        <f t="shared" si="68"/>
        <v>0.65405563878891892</v>
      </c>
      <c r="AS600">
        <f t="shared" si="69"/>
        <v>1</v>
      </c>
    </row>
    <row r="601" spans="1:45">
      <c r="A601" t="str">
        <f>Deals_Raw!A601</f>
        <v>D00680</v>
      </c>
      <c r="B601">
        <f>Deals_Raw!B601</f>
        <v>45335</v>
      </c>
      <c r="C601" t="str">
        <f>Deals_Raw!C601</f>
        <v>C0166</v>
      </c>
      <c r="D601" t="str">
        <f>Deals_Raw!D601</f>
        <v>LEG-0166</v>
      </c>
      <c r="E601" t="str">
        <f>Deals_Raw!E601</f>
        <v>CT00368</v>
      </c>
      <c r="F601" t="str">
        <f>Deals_Raw!F601</f>
        <v>Finance</v>
      </c>
      <c r="G601" t="str">
        <f>Deals_Raw!G601</f>
        <v>Legal</v>
      </c>
      <c r="H601" t="str">
        <f>Deals_Raw!H601</f>
        <v>Midwest</v>
      </c>
      <c r="I601" t="str">
        <f>Deals_Raw!I601</f>
        <v>Midwest Commercial</v>
      </c>
      <c r="J601" t="str">
        <f>Deals_Raw!J601</f>
        <v>Mid-Market</v>
      </c>
      <c r="K601" t="str">
        <f>Deals_Raw!K601</f>
        <v>No</v>
      </c>
      <c r="L601">
        <f>Deals_Raw!L601</f>
        <v>43313</v>
      </c>
      <c r="M601">
        <f>Deals_Raw!M601</f>
        <v>66</v>
      </c>
      <c r="N601" t="str">
        <f>Deals_Raw!N601</f>
        <v>Nexus Analytics</v>
      </c>
      <c r="O601" t="str">
        <f>Deals_Raw!O601</f>
        <v>New Business</v>
      </c>
      <c r="P601">
        <f>Deals_Raw!P601</f>
        <v>0</v>
      </c>
      <c r="Q601">
        <f>Deals_Raw!Q601</f>
        <v>3</v>
      </c>
      <c r="R601">
        <f>Deals_Raw!R601</f>
        <v>249</v>
      </c>
      <c r="S601" t="str">
        <f>Deals_Raw!S601</f>
        <v>K. Nguyen</v>
      </c>
      <c r="T601" s="6">
        <f>Deals_Raw!T601</f>
        <v>99085.081457913198</v>
      </c>
      <c r="U601" s="8">
        <f>Deals_Raw!V601</f>
        <v>0.159</v>
      </c>
      <c r="V601" s="8">
        <f>Deals_Raw!W601</f>
        <v>0.14899999999999999</v>
      </c>
      <c r="W601" s="8">
        <f>Deals_Raw!X601</f>
        <v>-5.1999999999999998E-2</v>
      </c>
      <c r="X601" t="str">
        <f>Deals_Raw!Y601</f>
        <v>Volume purchase</v>
      </c>
      <c r="Y601" t="str">
        <f>Deals_Raw!Z601</f>
        <v>Pricing Analyst</v>
      </c>
      <c r="Z601" s="6">
        <f>Deals_Raw!AA601</f>
        <v>84351.178795062428</v>
      </c>
      <c r="AA601" s="6">
        <f>Deals_Raw!AC601</f>
        <v>35865.793043831545</v>
      </c>
      <c r="AB601" s="6">
        <f>Deals_Raw!AD601</f>
        <v>48485.385751230882</v>
      </c>
      <c r="AC601" s="8">
        <f>Deals_Raw!AE601</f>
        <v>0.57480389063713977</v>
      </c>
      <c r="AD601" t="str">
        <f>Deals_Raw!AF601</f>
        <v>Won</v>
      </c>
      <c r="AE601">
        <f>Deals_Raw!AG601</f>
        <v>0</v>
      </c>
      <c r="AF601">
        <f>Deals_Raw!AH601</f>
        <v>0</v>
      </c>
      <c r="AG601" t="str">
        <f>Deals_Raw!AI601</f>
        <v>No</v>
      </c>
      <c r="AH601" s="6">
        <f>Deals_Raw!AJ601</f>
        <v>84351.178795062428</v>
      </c>
      <c r="AI601" s="6">
        <f>Deals_Raw!AK601</f>
        <v>48485.385751230882</v>
      </c>
      <c r="AJ601" t="str">
        <f>Deals_Raw!AL601</f>
        <v>First purchase under this contract</v>
      </c>
      <c r="AK601" s="9">
        <f t="shared" si="63"/>
        <v>5.5333333333333332</v>
      </c>
      <c r="AL601" s="8">
        <f t="shared" si="64"/>
        <v>0.8513004940192832</v>
      </c>
      <c r="AM601" s="8">
        <f t="shared" si="65"/>
        <v>1.0000000000000009E-2</v>
      </c>
      <c r="AN601" t="str">
        <f>IF(AC601&lt;Pricing_Policy!$C$10,"Below Floor","Pass")</f>
        <v>Pass</v>
      </c>
      <c r="AO601" t="str">
        <f>IF(V601&gt;Pricing_Policy!$C$7,"Exception","Standard")</f>
        <v>Standard</v>
      </c>
      <c r="AP601" t="str">
        <f t="shared" si="66"/>
        <v>Pass</v>
      </c>
      <c r="AQ601">
        <f t="shared" si="67"/>
        <v>1</v>
      </c>
      <c r="AR601" s="8">
        <f t="shared" si="68"/>
        <v>0.57480389063713977</v>
      </c>
      <c r="AS601">
        <f t="shared" si="69"/>
        <v>1</v>
      </c>
    </row>
    <row r="602" spans="1:45">
      <c r="A602" t="str">
        <f>Deals_Raw!A602</f>
        <v>D00682</v>
      </c>
      <c r="B602">
        <f>Deals_Raw!B602</f>
        <v>45418</v>
      </c>
      <c r="C602" t="str">
        <f>Deals_Raw!C602</f>
        <v>C0166</v>
      </c>
      <c r="D602" t="str">
        <f>Deals_Raw!D602</f>
        <v>LEG-0166</v>
      </c>
      <c r="E602" t="str">
        <f>Deals_Raw!E602</f>
        <v>CT00369</v>
      </c>
      <c r="F602" t="str">
        <f>Deals_Raw!F602</f>
        <v>Operations</v>
      </c>
      <c r="G602" t="str">
        <f>Deals_Raw!G602</f>
        <v>Legal</v>
      </c>
      <c r="H602" t="str">
        <f>Deals_Raw!H602</f>
        <v>Midwest</v>
      </c>
      <c r="I602" t="str">
        <f>Deals_Raw!I602</f>
        <v>Midwest Commercial</v>
      </c>
      <c r="J602" t="str">
        <f>Deals_Raw!J602</f>
        <v>Mid-Market</v>
      </c>
      <c r="K602" t="str">
        <f>Deals_Raw!K602</f>
        <v>No</v>
      </c>
      <c r="L602">
        <f>Deals_Raw!L602</f>
        <v>43313</v>
      </c>
      <c r="M602">
        <f>Deals_Raw!M602</f>
        <v>66</v>
      </c>
      <c r="N602" t="str">
        <f>Deals_Raw!N602</f>
        <v>Nexus AI Assistant</v>
      </c>
      <c r="O602" t="str">
        <f>Deals_Raw!O602</f>
        <v>Win-back</v>
      </c>
      <c r="P602">
        <f>Deals_Raw!P602</f>
        <v>0</v>
      </c>
      <c r="Q602">
        <f>Deals_Raw!Q602</f>
        <v>1</v>
      </c>
      <c r="R602">
        <f>Deals_Raw!R602</f>
        <v>60</v>
      </c>
      <c r="S602" t="str">
        <f>Deals_Raw!S602</f>
        <v>M. Johnson</v>
      </c>
      <c r="T602" s="6">
        <f>Deals_Raw!T602</f>
        <v>60159.693613858799</v>
      </c>
      <c r="U602" s="8">
        <f>Deals_Raw!V602</f>
        <v>0.17</v>
      </c>
      <c r="V602" s="8">
        <f>Deals_Raw!W602</f>
        <v>0.155</v>
      </c>
      <c r="W602" s="8">
        <f>Deals_Raw!X602</f>
        <v>-8.5999999999999993E-2</v>
      </c>
      <c r="X602" t="str">
        <f>Deals_Raw!Y602</f>
        <v>Renewal retention risk</v>
      </c>
      <c r="Y602" t="str">
        <f>Deals_Raw!Z602</f>
        <v>Pricing Analyst</v>
      </c>
      <c r="Z602" s="6">
        <f>Deals_Raw!AA602</f>
        <v>50837.80996215489</v>
      </c>
      <c r="AA602" s="6">
        <f>Deals_Raw!AC602</f>
        <v>22822.059538284375</v>
      </c>
      <c r="AB602" s="6">
        <f>Deals_Raw!AD602</f>
        <v>28015.750423870515</v>
      </c>
      <c r="AC602" s="8">
        <f>Deals_Raw!AE602</f>
        <v>0.55108098568223607</v>
      </c>
      <c r="AD602" t="str">
        <f>Deals_Raw!AF602</f>
        <v>Won</v>
      </c>
      <c r="AE602">
        <f>Deals_Raw!AG602</f>
        <v>0</v>
      </c>
      <c r="AF602">
        <f>Deals_Raw!AH602</f>
        <v>0</v>
      </c>
      <c r="AG602" t="str">
        <f>Deals_Raw!AI602</f>
        <v>Yes</v>
      </c>
      <c r="AH602" s="6">
        <f>Deals_Raw!AJ602</f>
        <v>50837.80996215489</v>
      </c>
      <c r="AI602" s="6">
        <f>Deals_Raw!AK602</f>
        <v>28015.750423870515</v>
      </c>
      <c r="AJ602" t="str">
        <f>Deals_Raw!AL602</f>
        <v>Customer returned after lost renewal</v>
      </c>
      <c r="AK602" s="9">
        <f t="shared" si="63"/>
        <v>5.7638888888888893</v>
      </c>
      <c r="AL602" s="8">
        <f t="shared" si="64"/>
        <v>0.84504768738455716</v>
      </c>
      <c r="AM602" s="8">
        <f t="shared" si="65"/>
        <v>1.5000000000000013E-2</v>
      </c>
      <c r="AN602" t="str">
        <f>IF(AC602&lt;Pricing_Policy!$C$10,"Below Floor","Pass")</f>
        <v>Pass</v>
      </c>
      <c r="AO602" t="str">
        <f>IF(V602&gt;Pricing_Policy!$C$7,"Exception","Standard")</f>
        <v>Standard</v>
      </c>
      <c r="AP602" t="str">
        <f t="shared" si="66"/>
        <v>Pass</v>
      </c>
      <c r="AQ602">
        <f t="shared" si="67"/>
        <v>1</v>
      </c>
      <c r="AR602" s="8">
        <f t="shared" si="68"/>
        <v>0.55108098568223607</v>
      </c>
      <c r="AS602">
        <f t="shared" si="69"/>
        <v>3</v>
      </c>
    </row>
    <row r="603" spans="1:45">
      <c r="A603" t="str">
        <f>Deals_Raw!A603</f>
        <v>D00683</v>
      </c>
      <c r="B603">
        <f>Deals_Raw!B603</f>
        <v>45634</v>
      </c>
      <c r="C603" t="str">
        <f>Deals_Raw!C603</f>
        <v>C0166</v>
      </c>
      <c r="D603" t="str">
        <f>Deals_Raw!D603</f>
        <v>LEG-0166</v>
      </c>
      <c r="E603" t="str">
        <f>Deals_Raw!E603</f>
        <v>CT00369</v>
      </c>
      <c r="F603" t="str">
        <f>Deals_Raw!F603</f>
        <v>Operations</v>
      </c>
      <c r="G603" t="str">
        <f>Deals_Raw!G603</f>
        <v>Legal</v>
      </c>
      <c r="H603" t="str">
        <f>Deals_Raw!H603</f>
        <v>Midwest</v>
      </c>
      <c r="I603" t="str">
        <f>Deals_Raw!I603</f>
        <v>Midwest Commercial</v>
      </c>
      <c r="J603" t="str">
        <f>Deals_Raw!J603</f>
        <v>Mid-Market</v>
      </c>
      <c r="K603" t="str">
        <f>Deals_Raw!K603</f>
        <v>No</v>
      </c>
      <c r="L603">
        <f>Deals_Raw!L603</f>
        <v>43313</v>
      </c>
      <c r="M603">
        <f>Deals_Raw!M603</f>
        <v>66</v>
      </c>
      <c r="N603" t="str">
        <f>Deals_Raw!N603</f>
        <v>Nexus AI Assistant</v>
      </c>
      <c r="O603" t="str">
        <f>Deals_Raw!O603</f>
        <v>Expansion</v>
      </c>
      <c r="P603" t="str">
        <f>Deals_Raw!P603</f>
        <v>Seat Expansion</v>
      </c>
      <c r="Q603">
        <f>Deals_Raw!Q603</f>
        <v>1</v>
      </c>
      <c r="R603">
        <f>Deals_Raw!R603</f>
        <v>74</v>
      </c>
      <c r="S603" t="str">
        <f>Deals_Raw!S603</f>
        <v>L. Williams</v>
      </c>
      <c r="T603" s="6">
        <f>Deals_Raw!T603</f>
        <v>71727.358354236087</v>
      </c>
      <c r="U603" s="8">
        <f>Deals_Raw!V603</f>
        <v>0.12</v>
      </c>
      <c r="V603" s="8">
        <f>Deals_Raw!W603</f>
        <v>8.1000000000000003E-2</v>
      </c>
      <c r="W603" s="8">
        <f>Deals_Raw!X603</f>
        <v>1.9E-2</v>
      </c>
      <c r="X603" t="str">
        <f>Deals_Raw!Y603</f>
        <v>Expansion opportunity</v>
      </c>
      <c r="Y603" t="str">
        <f>Deals_Raw!Z603</f>
        <v>Sales Manager</v>
      </c>
      <c r="Z603" s="6">
        <f>Deals_Raw!AA603</f>
        <v>65938.30307587373</v>
      </c>
      <c r="AA603" s="6">
        <f>Deals_Raw!AC603</f>
        <v>28421.899268489531</v>
      </c>
      <c r="AB603" s="6">
        <f>Deals_Raw!AD603</f>
        <v>37516.403807384195</v>
      </c>
      <c r="AC603" s="8">
        <f>Deals_Raw!AE603</f>
        <v>0.56896222767842397</v>
      </c>
      <c r="AD603" t="str">
        <f>Deals_Raw!AF603</f>
        <v>Won</v>
      </c>
      <c r="AE603">
        <f>Deals_Raw!AG603</f>
        <v>0</v>
      </c>
      <c r="AF603" t="str">
        <f>Deals_Raw!AH603</f>
        <v>Yes</v>
      </c>
      <c r="AG603" t="str">
        <f>Deals_Raw!AI603</f>
        <v>No</v>
      </c>
      <c r="AH603" s="6">
        <f>Deals_Raw!AJ603</f>
        <v>65938.30307587373</v>
      </c>
      <c r="AI603" s="6">
        <f>Deals_Raw!AK603</f>
        <v>37516.403807384195</v>
      </c>
      <c r="AJ603" t="str">
        <f>Deals_Raw!AL603</f>
        <v>Expansion allowed because contract was active</v>
      </c>
      <c r="AK603" s="9">
        <f t="shared" si="63"/>
        <v>6.3527777777777779</v>
      </c>
      <c r="AL603" s="8">
        <f t="shared" si="64"/>
        <v>0.91929083391343847</v>
      </c>
      <c r="AM603" s="8">
        <f t="shared" si="65"/>
        <v>3.8999999999999993E-2</v>
      </c>
      <c r="AN603" t="str">
        <f>IF(AC603&lt;Pricing_Policy!$C$10,"Below Floor","Pass")</f>
        <v>Pass</v>
      </c>
      <c r="AO603" t="str">
        <f>IF(V603&gt;Pricing_Policy!$C$7,"Exception","Standard")</f>
        <v>Standard</v>
      </c>
      <c r="AP603" t="str">
        <f t="shared" si="66"/>
        <v>Pass</v>
      </c>
      <c r="AQ603">
        <f t="shared" si="67"/>
        <v>1</v>
      </c>
      <c r="AR603" s="8">
        <f t="shared" si="68"/>
        <v>0.56896222767842397</v>
      </c>
      <c r="AS603">
        <f t="shared" si="69"/>
        <v>3</v>
      </c>
    </row>
    <row r="604" spans="1:45">
      <c r="A604" t="str">
        <f>Deals_Raw!A604</f>
        <v>D00684</v>
      </c>
      <c r="B604">
        <f>Deals_Raw!B604</f>
        <v>45783</v>
      </c>
      <c r="C604" t="str">
        <f>Deals_Raw!C604</f>
        <v>C0166</v>
      </c>
      <c r="D604" t="str">
        <f>Deals_Raw!D604</f>
        <v>LEG-0166</v>
      </c>
      <c r="E604" t="str">
        <f>Deals_Raw!E604</f>
        <v>CT00369</v>
      </c>
      <c r="F604" t="str">
        <f>Deals_Raw!F604</f>
        <v>Operations</v>
      </c>
      <c r="G604" t="str">
        <f>Deals_Raw!G604</f>
        <v>Legal</v>
      </c>
      <c r="H604" t="str">
        <f>Deals_Raw!H604</f>
        <v>Midwest</v>
      </c>
      <c r="I604" t="str">
        <f>Deals_Raw!I604</f>
        <v>Midwest Commercial</v>
      </c>
      <c r="J604" t="str">
        <f>Deals_Raw!J604</f>
        <v>Mid-Market</v>
      </c>
      <c r="K604" t="str">
        <f>Deals_Raw!K604</f>
        <v>No</v>
      </c>
      <c r="L604">
        <f>Deals_Raw!L604</f>
        <v>43313</v>
      </c>
      <c r="M604">
        <f>Deals_Raw!M604</f>
        <v>66</v>
      </c>
      <c r="N604" t="str">
        <f>Deals_Raw!N604</f>
        <v>Nexus AI Assistant</v>
      </c>
      <c r="O604" t="str">
        <f>Deals_Raw!O604</f>
        <v>Renewal</v>
      </c>
      <c r="P604">
        <f>Deals_Raw!P604</f>
        <v>0</v>
      </c>
      <c r="Q604">
        <f>Deals_Raw!Q604</f>
        <v>1</v>
      </c>
      <c r="R604">
        <f>Deals_Raw!R604</f>
        <v>74</v>
      </c>
      <c r="S604" t="str">
        <f>Deals_Raw!S604</f>
        <v>S. Rivera</v>
      </c>
      <c r="T604" s="6">
        <f>Deals_Raw!T604</f>
        <v>76954.59722464993</v>
      </c>
      <c r="U604" s="8">
        <f>Deals_Raw!V604</f>
        <v>0.10299999999999999</v>
      </c>
      <c r="V604" s="8">
        <f>Deals_Raw!W604</f>
        <v>4.2000000000000003E-2</v>
      </c>
      <c r="W604" s="8">
        <f>Deals_Raw!X604</f>
        <v>0.01</v>
      </c>
      <c r="X604" t="str">
        <f>Deals_Raw!Y604</f>
        <v>Procurement requirement</v>
      </c>
      <c r="Y604" t="str">
        <f>Deals_Raw!Z604</f>
        <v>Sales Manager</v>
      </c>
      <c r="Z604" s="6">
        <f>Deals_Raw!AA604</f>
        <v>73701.629295466177</v>
      </c>
      <c r="AA604" s="6">
        <f>Deals_Raw!AC604</f>
        <v>30872.952638178827</v>
      </c>
      <c r="AB604" s="6">
        <f>Deals_Raw!AD604</f>
        <v>42828.676657287346</v>
      </c>
      <c r="AC604" s="8">
        <f>Deals_Raw!AE604</f>
        <v>0.58110895331213519</v>
      </c>
      <c r="AD604" t="str">
        <f>Deals_Raw!AF604</f>
        <v>Won</v>
      </c>
      <c r="AE604" t="str">
        <f>Deals_Raw!AG604</f>
        <v>Yes</v>
      </c>
      <c r="AF604">
        <f>Deals_Raw!AH604</f>
        <v>0</v>
      </c>
      <c r="AG604" t="str">
        <f>Deals_Raw!AI604</f>
        <v>No</v>
      </c>
      <c r="AH604" s="6">
        <f>Deals_Raw!AJ604</f>
        <v>73701.629295466177</v>
      </c>
      <c r="AI604" s="6">
        <f>Deals_Raw!AK604</f>
        <v>42828.676657287346</v>
      </c>
      <c r="AJ604" t="str">
        <f>Deals_Raw!AL604</f>
        <v>Renewal of existing active contract</v>
      </c>
      <c r="AK604" s="9">
        <f t="shared" si="63"/>
        <v>6.7638888888888893</v>
      </c>
      <c r="AL604" s="8">
        <f t="shared" si="64"/>
        <v>0.95772873815858572</v>
      </c>
      <c r="AM604" s="8">
        <f t="shared" si="65"/>
        <v>6.0999999999999992E-2</v>
      </c>
      <c r="AN604" t="str">
        <f>IF(AC604&lt;Pricing_Policy!$C$10,"Below Floor","Pass")</f>
        <v>Pass</v>
      </c>
      <c r="AO604" t="str">
        <f>IF(V604&gt;Pricing_Policy!$C$7,"Exception","Standard")</f>
        <v>Standard</v>
      </c>
      <c r="AP604" t="str">
        <f t="shared" si="66"/>
        <v>Pass</v>
      </c>
      <c r="AQ604">
        <f t="shared" si="67"/>
        <v>1</v>
      </c>
      <c r="AR604" s="8">
        <f t="shared" si="68"/>
        <v>0.58110895331213519</v>
      </c>
      <c r="AS604">
        <f t="shared" si="69"/>
        <v>3</v>
      </c>
    </row>
    <row r="605" spans="1:45">
      <c r="A605" t="str">
        <f>Deals_Raw!A605</f>
        <v>D00685</v>
      </c>
      <c r="B605">
        <f>Deals_Raw!B605</f>
        <v>45299</v>
      </c>
      <c r="C605" t="str">
        <f>Deals_Raw!C605</f>
        <v>C0166</v>
      </c>
      <c r="D605" t="str">
        <f>Deals_Raw!D605</f>
        <v>LEG-0166</v>
      </c>
      <c r="E605" t="str">
        <f>Deals_Raw!E605</f>
        <v>CT00370</v>
      </c>
      <c r="F605" t="str">
        <f>Deals_Raw!F605</f>
        <v>Legal</v>
      </c>
      <c r="G605" t="str">
        <f>Deals_Raw!G605</f>
        <v>Legal</v>
      </c>
      <c r="H605" t="str">
        <f>Deals_Raw!H605</f>
        <v>Midwest</v>
      </c>
      <c r="I605" t="str">
        <f>Deals_Raw!I605</f>
        <v>Midwest Commercial</v>
      </c>
      <c r="J605" t="str">
        <f>Deals_Raw!J605</f>
        <v>Mid-Market</v>
      </c>
      <c r="K605" t="str">
        <f>Deals_Raw!K605</f>
        <v>No</v>
      </c>
      <c r="L605">
        <f>Deals_Raw!L605</f>
        <v>43313</v>
      </c>
      <c r="M605">
        <f>Deals_Raw!M605</f>
        <v>66</v>
      </c>
      <c r="N605" t="str">
        <f>Deals_Raw!N605</f>
        <v>Nexus Enterprise Suite</v>
      </c>
      <c r="O605" t="str">
        <f>Deals_Raw!O605</f>
        <v>Renewal</v>
      </c>
      <c r="P605">
        <f>Deals_Raw!P605</f>
        <v>0</v>
      </c>
      <c r="Q605">
        <f>Deals_Raw!Q605</f>
        <v>1</v>
      </c>
      <c r="R605">
        <f>Deals_Raw!R605</f>
        <v>116</v>
      </c>
      <c r="S605" t="str">
        <f>Deals_Raw!S605</f>
        <v>R. Singh</v>
      </c>
      <c r="T605" s="6">
        <f>Deals_Raw!T605</f>
        <v>353590.17827457457</v>
      </c>
      <c r="U605" s="8">
        <f>Deals_Raw!V605</f>
        <v>6.2E-2</v>
      </c>
      <c r="V605" s="8">
        <f>Deals_Raw!W605</f>
        <v>2E-3</v>
      </c>
      <c r="W605" s="8">
        <f>Deals_Raw!X605</f>
        <v>-0.09</v>
      </c>
      <c r="X605" t="str">
        <f>Deals_Raw!Y605</f>
        <v>Multi-year commitment</v>
      </c>
      <c r="Y605" t="str">
        <f>Deals_Raw!Z605</f>
        <v>Sales Manager</v>
      </c>
      <c r="Z605" s="6">
        <f>Deals_Raw!AA605</f>
        <v>352754.51405461197</v>
      </c>
      <c r="AA605" s="6">
        <f>Deals_Raw!AC605</f>
        <v>124012.06314578978</v>
      </c>
      <c r="AB605" s="6">
        <f>Deals_Raw!AD605</f>
        <v>228742.45090882218</v>
      </c>
      <c r="AC605" s="8">
        <f>Deals_Raw!AE605</f>
        <v>0.64844655927892458</v>
      </c>
      <c r="AD605" t="str">
        <f>Deals_Raw!AF605</f>
        <v>Lost</v>
      </c>
      <c r="AE605" t="str">
        <f>Deals_Raw!AG605</f>
        <v>No</v>
      </c>
      <c r="AF605">
        <f>Deals_Raw!AH605</f>
        <v>0</v>
      </c>
      <c r="AG605" t="str">
        <f>Deals_Raw!AI605</f>
        <v>No</v>
      </c>
      <c r="AH605" s="6">
        <f>Deals_Raw!AJ605</f>
        <v>0</v>
      </c>
      <c r="AI605" s="6">
        <f>Deals_Raw!AK605</f>
        <v>0</v>
      </c>
      <c r="AJ605" t="str">
        <f>Deals_Raw!AL605</f>
        <v>Renewal of existing active contract</v>
      </c>
      <c r="AK605" s="9">
        <f t="shared" si="63"/>
        <v>5.4361111111111109</v>
      </c>
      <c r="AL605" s="8">
        <f t="shared" si="64"/>
        <v>0.99763663056468244</v>
      </c>
      <c r="AM605" s="8">
        <f t="shared" si="65"/>
        <v>0.06</v>
      </c>
      <c r="AN605" t="str">
        <f>IF(AC605&lt;Pricing_Policy!$C$10,"Below Floor","Pass")</f>
        <v>Pass</v>
      </c>
      <c r="AO605" t="str">
        <f>IF(V605&gt;Pricing_Policy!$C$7,"Exception","Standard")</f>
        <v>Standard</v>
      </c>
      <c r="AP605" t="str">
        <f t="shared" si="66"/>
        <v>Pass</v>
      </c>
      <c r="AQ605">
        <f t="shared" si="67"/>
        <v>0</v>
      </c>
      <c r="AR605" s="8">
        <f t="shared" si="68"/>
        <v>0</v>
      </c>
      <c r="AS605">
        <f t="shared" si="69"/>
        <v>2</v>
      </c>
    </row>
    <row r="606" spans="1:45">
      <c r="A606" t="str">
        <f>Deals_Raw!A606</f>
        <v>D00686</v>
      </c>
      <c r="B606">
        <f>Deals_Raw!B606</f>
        <v>45625</v>
      </c>
      <c r="C606" t="str">
        <f>Deals_Raw!C606</f>
        <v>C0166</v>
      </c>
      <c r="D606" t="str">
        <f>Deals_Raw!D606</f>
        <v>LEG-0166</v>
      </c>
      <c r="E606" t="str">
        <f>Deals_Raw!E606</f>
        <v>CT00370</v>
      </c>
      <c r="F606" t="str">
        <f>Deals_Raw!F606</f>
        <v>Legal</v>
      </c>
      <c r="G606" t="str">
        <f>Deals_Raw!G606</f>
        <v>Legal</v>
      </c>
      <c r="H606" t="str">
        <f>Deals_Raw!H606</f>
        <v>Midwest</v>
      </c>
      <c r="I606" t="str">
        <f>Deals_Raw!I606</f>
        <v>Midwest Commercial</v>
      </c>
      <c r="J606" t="str">
        <f>Deals_Raw!J606</f>
        <v>Mid-Market</v>
      </c>
      <c r="K606" t="str">
        <f>Deals_Raw!K606</f>
        <v>No</v>
      </c>
      <c r="L606">
        <f>Deals_Raw!L606</f>
        <v>43313</v>
      </c>
      <c r="M606">
        <f>Deals_Raw!M606</f>
        <v>66</v>
      </c>
      <c r="N606" t="str">
        <f>Deals_Raw!N606</f>
        <v>Nexus Enterprise Suite</v>
      </c>
      <c r="O606" t="str">
        <f>Deals_Raw!O606</f>
        <v>Win-back</v>
      </c>
      <c r="P606">
        <f>Deals_Raw!P606</f>
        <v>0</v>
      </c>
      <c r="Q606">
        <f>Deals_Raw!Q606</f>
        <v>1</v>
      </c>
      <c r="R606">
        <f>Deals_Raw!R606</f>
        <v>116</v>
      </c>
      <c r="S606" t="str">
        <f>Deals_Raw!S606</f>
        <v>D. Chen</v>
      </c>
      <c r="T606" s="6">
        <f>Deals_Raw!T606</f>
        <v>353590.17827457457</v>
      </c>
      <c r="U606" s="8">
        <f>Deals_Raw!V606</f>
        <v>0.182</v>
      </c>
      <c r="V606" s="8">
        <f>Deals_Raw!W606</f>
        <v>0.14599999999999999</v>
      </c>
      <c r="W606" s="8">
        <f>Deals_Raw!X606</f>
        <v>-0.155</v>
      </c>
      <c r="X606" t="str">
        <f>Deals_Raw!Y606</f>
        <v>Renewal retention risk</v>
      </c>
      <c r="Y606" t="str">
        <f>Deals_Raw!Z606</f>
        <v>Pricing Analyst</v>
      </c>
      <c r="Z606" s="6">
        <f>Deals_Raw!AA606</f>
        <v>301982.45848538628</v>
      </c>
      <c r="AA606" s="6">
        <f>Deals_Raw!AC606</f>
        <v>136918.94207232757</v>
      </c>
      <c r="AB606" s="6">
        <f>Deals_Raw!AD606</f>
        <v>165063.51641305871</v>
      </c>
      <c r="AC606" s="8">
        <f>Deals_Raw!AE606</f>
        <v>0.54659968410399096</v>
      </c>
      <c r="AD606" t="str">
        <f>Deals_Raw!AF606</f>
        <v>Lost</v>
      </c>
      <c r="AE606">
        <f>Deals_Raw!AG606</f>
        <v>0</v>
      </c>
      <c r="AF606">
        <f>Deals_Raw!AH606</f>
        <v>0</v>
      </c>
      <c r="AG606" t="str">
        <f>Deals_Raw!AI606</f>
        <v>Yes</v>
      </c>
      <c r="AH606" s="6">
        <f>Deals_Raw!AJ606</f>
        <v>0</v>
      </c>
      <c r="AI606" s="6">
        <f>Deals_Raw!AK606</f>
        <v>0</v>
      </c>
      <c r="AJ606" t="str">
        <f>Deals_Raw!AL606</f>
        <v>Customer returned after lost renewal</v>
      </c>
      <c r="AK606" s="9">
        <f t="shared" si="63"/>
        <v>6.3277777777777775</v>
      </c>
      <c r="AL606" s="8">
        <f t="shared" si="64"/>
        <v>0.85404651214855531</v>
      </c>
      <c r="AM606" s="8">
        <f t="shared" si="65"/>
        <v>3.6000000000000004E-2</v>
      </c>
      <c r="AN606" t="str">
        <f>IF(AC606&lt;Pricing_Policy!$C$10,"Below Floor","Pass")</f>
        <v>Pass</v>
      </c>
      <c r="AO606" t="str">
        <f>IF(V606&gt;Pricing_Policy!$C$7,"Exception","Standard")</f>
        <v>Standard</v>
      </c>
      <c r="AP606" t="str">
        <f t="shared" si="66"/>
        <v>Pass</v>
      </c>
      <c r="AQ606">
        <f t="shared" si="67"/>
        <v>0</v>
      </c>
      <c r="AR606" s="8">
        <f t="shared" si="68"/>
        <v>0</v>
      </c>
      <c r="AS606">
        <f t="shared" si="69"/>
        <v>2</v>
      </c>
    </row>
    <row r="607" spans="1:45">
      <c r="A607" t="str">
        <f>Deals_Raw!A607</f>
        <v>D00687</v>
      </c>
      <c r="B607">
        <f>Deals_Raw!B607</f>
        <v>45315</v>
      </c>
      <c r="C607" t="str">
        <f>Deals_Raw!C607</f>
        <v>C0167</v>
      </c>
      <c r="D607" t="str">
        <f>Deals_Raw!D607</f>
        <v>LEG-0167</v>
      </c>
      <c r="E607" t="str">
        <f>Deals_Raw!E607</f>
        <v>CT00371</v>
      </c>
      <c r="F607" t="str">
        <f>Deals_Raw!F607</f>
        <v>Finance</v>
      </c>
      <c r="G607" t="str">
        <f>Deals_Raw!G607</f>
        <v>Legal</v>
      </c>
      <c r="H607" t="str">
        <f>Deals_Raw!H607</f>
        <v>Midwest</v>
      </c>
      <c r="I607" t="str">
        <f>Deals_Raw!I607</f>
        <v>Midwest Commercial</v>
      </c>
      <c r="J607" t="str">
        <f>Deals_Raw!J607</f>
        <v>Mid-Market</v>
      </c>
      <c r="K607" t="str">
        <f>Deals_Raw!K607</f>
        <v>No</v>
      </c>
      <c r="L607">
        <f>Deals_Raw!L607</f>
        <v>44228</v>
      </c>
      <c r="M607">
        <f>Deals_Raw!M607</f>
        <v>91</v>
      </c>
      <c r="N607" t="str">
        <f>Deals_Raw!N607</f>
        <v>Nexus AI Assistant</v>
      </c>
      <c r="O607" t="str">
        <f>Deals_Raw!O607</f>
        <v>Renewal</v>
      </c>
      <c r="P607">
        <f>Deals_Raw!P607</f>
        <v>0</v>
      </c>
      <c r="Q607">
        <f>Deals_Raw!Q607</f>
        <v>1</v>
      </c>
      <c r="R607">
        <f>Deals_Raw!R607</f>
        <v>101</v>
      </c>
      <c r="S607" t="str">
        <f>Deals_Raw!S607</f>
        <v>K. Nguyen</v>
      </c>
      <c r="T607" s="6">
        <f>Deals_Raw!T607</f>
        <v>100246.71850117257</v>
      </c>
      <c r="U607" s="8">
        <f>Deals_Raw!V607</f>
        <v>0.16500000000000001</v>
      </c>
      <c r="V607" s="8">
        <f>Deals_Raw!W607</f>
        <v>0.14000000000000001</v>
      </c>
      <c r="W607" s="8">
        <f>Deals_Raw!X607</f>
        <v>-3.5999999999999997E-2</v>
      </c>
      <c r="X607" t="str">
        <f>Deals_Raw!Y607</f>
        <v>Verified competitor pressure</v>
      </c>
      <c r="Y607" t="str">
        <f>Deals_Raw!Z607</f>
        <v>Pricing Analyst</v>
      </c>
      <c r="Z607" s="6">
        <f>Deals_Raw!AA607</f>
        <v>86223.190589196762</v>
      </c>
      <c r="AA607" s="6">
        <f>Deals_Raw!AC607</f>
        <v>38147.56344385058</v>
      </c>
      <c r="AB607" s="6">
        <f>Deals_Raw!AD607</f>
        <v>48075.627145346181</v>
      </c>
      <c r="AC607" s="8">
        <f>Deals_Raw!AE607</f>
        <v>0.55757188775811506</v>
      </c>
      <c r="AD607" t="str">
        <f>Deals_Raw!AF607</f>
        <v>Won</v>
      </c>
      <c r="AE607" t="str">
        <f>Deals_Raw!AG607</f>
        <v>Yes</v>
      </c>
      <c r="AF607">
        <f>Deals_Raw!AH607</f>
        <v>0</v>
      </c>
      <c r="AG607" t="str">
        <f>Deals_Raw!AI607</f>
        <v>No</v>
      </c>
      <c r="AH607" s="6">
        <f>Deals_Raw!AJ607</f>
        <v>86223.190589196762</v>
      </c>
      <c r="AI607" s="6">
        <f>Deals_Raw!AK607</f>
        <v>48075.627145346181</v>
      </c>
      <c r="AJ607" t="str">
        <f>Deals_Raw!AL607</f>
        <v>Renewal of existing active contract</v>
      </c>
      <c r="AK607" s="9">
        <f t="shared" si="63"/>
        <v>2.9805555555555556</v>
      </c>
      <c r="AL607" s="8">
        <f t="shared" si="64"/>
        <v>0.86010985574743004</v>
      </c>
      <c r="AM607" s="8">
        <f t="shared" si="65"/>
        <v>2.4999999999999994E-2</v>
      </c>
      <c r="AN607" t="str">
        <f>IF(AC607&lt;Pricing_Policy!$C$10,"Below Floor","Pass")</f>
        <v>Pass</v>
      </c>
      <c r="AO607" t="str">
        <f>IF(V607&gt;Pricing_Policy!$C$7,"Exception","Standard")</f>
        <v>Standard</v>
      </c>
      <c r="AP607" t="str">
        <f t="shared" si="66"/>
        <v>Pass</v>
      </c>
      <c r="AQ607">
        <f t="shared" si="67"/>
        <v>1</v>
      </c>
      <c r="AR607" s="8">
        <f t="shared" si="68"/>
        <v>0.55757188775811506</v>
      </c>
      <c r="AS607">
        <f t="shared" si="69"/>
        <v>3</v>
      </c>
    </row>
    <row r="608" spans="1:45">
      <c r="A608" t="str">
        <f>Deals_Raw!A608</f>
        <v>D00688</v>
      </c>
      <c r="B608">
        <f>Deals_Raw!B608</f>
        <v>45486</v>
      </c>
      <c r="C608" t="str">
        <f>Deals_Raw!C608</f>
        <v>C0167</v>
      </c>
      <c r="D608" t="str">
        <f>Deals_Raw!D608</f>
        <v>LEG-0167</v>
      </c>
      <c r="E608" t="str">
        <f>Deals_Raw!E608</f>
        <v>CT00371</v>
      </c>
      <c r="F608" t="str">
        <f>Deals_Raw!F608</f>
        <v>Finance</v>
      </c>
      <c r="G608" t="str">
        <f>Deals_Raw!G608</f>
        <v>Legal</v>
      </c>
      <c r="H608" t="str">
        <f>Deals_Raw!H608</f>
        <v>Midwest</v>
      </c>
      <c r="I608" t="str">
        <f>Deals_Raw!I608</f>
        <v>Midwest Commercial</v>
      </c>
      <c r="J608" t="str">
        <f>Deals_Raw!J608</f>
        <v>Mid-Market</v>
      </c>
      <c r="K608" t="str">
        <f>Deals_Raw!K608</f>
        <v>No</v>
      </c>
      <c r="L608">
        <f>Deals_Raw!L608</f>
        <v>44228</v>
      </c>
      <c r="M608">
        <f>Deals_Raw!M608</f>
        <v>91</v>
      </c>
      <c r="N608" t="str">
        <f>Deals_Raw!N608</f>
        <v>Nexus AI Assistant</v>
      </c>
      <c r="O608" t="str">
        <f>Deals_Raw!O608</f>
        <v>Expansion</v>
      </c>
      <c r="P608" t="str">
        <f>Deals_Raw!P608</f>
        <v>AI Add-on</v>
      </c>
      <c r="Q608">
        <f>Deals_Raw!Q608</f>
        <v>1</v>
      </c>
      <c r="R608">
        <f>Deals_Raw!R608</f>
        <v>124</v>
      </c>
      <c r="S608" t="str">
        <f>Deals_Raw!S608</f>
        <v>T. Brooks</v>
      </c>
      <c r="T608" s="6">
        <f>Deals_Raw!T608</f>
        <v>110314.08326744346</v>
      </c>
      <c r="U608" s="8">
        <f>Deals_Raw!V608</f>
        <v>0.113</v>
      </c>
      <c r="V608" s="8">
        <f>Deals_Raw!W608</f>
        <v>8.8999999999999996E-2</v>
      </c>
      <c r="W608" s="8">
        <f>Deals_Raw!X608</f>
        <v>-0.11600000000000001</v>
      </c>
      <c r="X608" t="str">
        <f>Deals_Raw!Y608</f>
        <v>Expansion opportunity</v>
      </c>
      <c r="Y608" t="str">
        <f>Deals_Raw!Z608</f>
        <v>Sales Manager</v>
      </c>
      <c r="Z608" s="6">
        <f>Deals_Raw!AA608</f>
        <v>100539.60591123512</v>
      </c>
      <c r="AA608" s="6">
        <f>Deals_Raw!AC608</f>
        <v>41723.194958467873</v>
      </c>
      <c r="AB608" s="6">
        <f>Deals_Raw!AD608</f>
        <v>58816.410952767248</v>
      </c>
      <c r="AC608" s="8">
        <f>Deals_Raw!AE608</f>
        <v>0.58500737515020063</v>
      </c>
      <c r="AD608" t="str">
        <f>Deals_Raw!AF608</f>
        <v>Lost</v>
      </c>
      <c r="AE608">
        <f>Deals_Raw!AG608</f>
        <v>0</v>
      </c>
      <c r="AF608" t="str">
        <f>Deals_Raw!AH608</f>
        <v>No</v>
      </c>
      <c r="AG608" t="str">
        <f>Deals_Raw!AI608</f>
        <v>No</v>
      </c>
      <c r="AH608" s="6">
        <f>Deals_Raw!AJ608</f>
        <v>0</v>
      </c>
      <c r="AI608" s="6">
        <f>Deals_Raw!AK608</f>
        <v>0</v>
      </c>
      <c r="AJ608" t="str">
        <f>Deals_Raw!AL608</f>
        <v>Expansion allowed because contract was active</v>
      </c>
      <c r="AK608" s="9">
        <f t="shared" si="63"/>
        <v>3.45</v>
      </c>
      <c r="AL608" s="8">
        <f t="shared" si="64"/>
        <v>0.91139411155227323</v>
      </c>
      <c r="AM608" s="8">
        <f t="shared" si="65"/>
        <v>2.4000000000000007E-2</v>
      </c>
      <c r="AN608" t="str">
        <f>IF(AC608&lt;Pricing_Policy!$C$10,"Below Floor","Pass")</f>
        <v>Pass</v>
      </c>
      <c r="AO608" t="str">
        <f>IF(V608&gt;Pricing_Policy!$C$7,"Exception","Standard")</f>
        <v>Standard</v>
      </c>
      <c r="AP608" t="str">
        <f t="shared" si="66"/>
        <v>Pass</v>
      </c>
      <c r="AQ608">
        <f t="shared" si="67"/>
        <v>0</v>
      </c>
      <c r="AR608" s="8">
        <f t="shared" si="68"/>
        <v>0</v>
      </c>
      <c r="AS608">
        <f t="shared" si="69"/>
        <v>3</v>
      </c>
    </row>
    <row r="609" spans="1:45">
      <c r="A609" t="str">
        <f>Deals_Raw!A609</f>
        <v>D00689</v>
      </c>
      <c r="B609">
        <f>Deals_Raw!B609</f>
        <v>45680</v>
      </c>
      <c r="C609" t="str">
        <f>Deals_Raw!C609</f>
        <v>C0167</v>
      </c>
      <c r="D609" t="str">
        <f>Deals_Raw!D609</f>
        <v>LEG-0167</v>
      </c>
      <c r="E609" t="str">
        <f>Deals_Raw!E609</f>
        <v>CT00371</v>
      </c>
      <c r="F609" t="str">
        <f>Deals_Raw!F609</f>
        <v>Finance</v>
      </c>
      <c r="G609" t="str">
        <f>Deals_Raw!G609</f>
        <v>Legal</v>
      </c>
      <c r="H609" t="str">
        <f>Deals_Raw!H609</f>
        <v>Midwest</v>
      </c>
      <c r="I609" t="str">
        <f>Deals_Raw!I609</f>
        <v>Midwest Commercial</v>
      </c>
      <c r="J609" t="str">
        <f>Deals_Raw!J609</f>
        <v>Mid-Market</v>
      </c>
      <c r="K609" t="str">
        <f>Deals_Raw!K609</f>
        <v>No</v>
      </c>
      <c r="L609">
        <f>Deals_Raw!L609</f>
        <v>44228</v>
      </c>
      <c r="M609">
        <f>Deals_Raw!M609</f>
        <v>91</v>
      </c>
      <c r="N609" t="str">
        <f>Deals_Raw!N609</f>
        <v>Nexus AI Assistant</v>
      </c>
      <c r="O609" t="str">
        <f>Deals_Raw!O609</f>
        <v>Renewal</v>
      </c>
      <c r="P609">
        <f>Deals_Raw!P609</f>
        <v>0</v>
      </c>
      <c r="Q609">
        <f>Deals_Raw!Q609</f>
        <v>1</v>
      </c>
      <c r="R609">
        <f>Deals_Raw!R609</f>
        <v>101</v>
      </c>
      <c r="S609" t="str">
        <f>Deals_Raw!S609</f>
        <v>R. Singh</v>
      </c>
      <c r="T609" s="6">
        <f>Deals_Raw!T609</f>
        <v>102706.6366596725</v>
      </c>
      <c r="U609" s="8">
        <f>Deals_Raw!V609</f>
        <v>0.20300000000000001</v>
      </c>
      <c r="V609" s="8">
        <f>Deals_Raw!W609</f>
        <v>0.19500000000000001</v>
      </c>
      <c r="W609" s="8">
        <f>Deals_Raw!X609</f>
        <v>-4.5999999999999999E-2</v>
      </c>
      <c r="X609" t="str">
        <f>Deals_Raw!Y609</f>
        <v>Verified competitor pressure</v>
      </c>
      <c r="Y609" t="str">
        <f>Deals_Raw!Z609</f>
        <v>Pricing Analyst</v>
      </c>
      <c r="Z609" s="6">
        <f>Deals_Raw!AA609</f>
        <v>82683.716033466946</v>
      </c>
      <c r="AA609" s="6">
        <f>Deals_Raw!AC609</f>
        <v>43385.692595256354</v>
      </c>
      <c r="AB609" s="6">
        <f>Deals_Raw!AD609</f>
        <v>39298.023438210592</v>
      </c>
      <c r="AC609" s="8">
        <f>Deals_Raw!AE609</f>
        <v>0.47528129265869445</v>
      </c>
      <c r="AD609" t="str">
        <f>Deals_Raw!AF609</f>
        <v>Won</v>
      </c>
      <c r="AE609" t="str">
        <f>Deals_Raw!AG609</f>
        <v>Yes</v>
      </c>
      <c r="AF609">
        <f>Deals_Raw!AH609</f>
        <v>0</v>
      </c>
      <c r="AG609" t="str">
        <f>Deals_Raw!AI609</f>
        <v>No</v>
      </c>
      <c r="AH609" s="6">
        <f>Deals_Raw!AJ609</f>
        <v>82683.716033466946</v>
      </c>
      <c r="AI609" s="6">
        <f>Deals_Raw!AK609</f>
        <v>39298.023438210592</v>
      </c>
      <c r="AJ609" t="str">
        <f>Deals_Raw!AL609</f>
        <v>Renewal of existing active contract</v>
      </c>
      <c r="AK609" s="9">
        <f t="shared" si="63"/>
        <v>3.9777777777777779</v>
      </c>
      <c r="AL609" s="8">
        <f t="shared" si="64"/>
        <v>0.80504745090082863</v>
      </c>
      <c r="AM609" s="8">
        <f t="shared" si="65"/>
        <v>8.0000000000000071E-3</v>
      </c>
      <c r="AN609" t="str">
        <f>IF(AC609&lt;Pricing_Policy!$C$10,"Below Floor","Pass")</f>
        <v>Pass</v>
      </c>
      <c r="AO609" t="str">
        <f>IF(V609&gt;Pricing_Policy!$C$7,"Exception","Standard")</f>
        <v>Standard</v>
      </c>
      <c r="AP609" t="str">
        <f t="shared" si="66"/>
        <v>Pass</v>
      </c>
      <c r="AQ609">
        <f t="shared" si="67"/>
        <v>1</v>
      </c>
      <c r="AR609" s="8">
        <f t="shared" si="68"/>
        <v>0.47528129265869445</v>
      </c>
      <c r="AS609">
        <f t="shared" si="69"/>
        <v>3</v>
      </c>
    </row>
    <row r="610" spans="1:45">
      <c r="A610" t="str">
        <f>Deals_Raw!A610</f>
        <v>D00690</v>
      </c>
      <c r="B610">
        <f>Deals_Raw!B610</f>
        <v>45528</v>
      </c>
      <c r="C610" t="str">
        <f>Deals_Raw!C610</f>
        <v>C0167</v>
      </c>
      <c r="D610" t="str">
        <f>Deals_Raw!D610</f>
        <v>LEG-0167</v>
      </c>
      <c r="E610" t="str">
        <f>Deals_Raw!E610</f>
        <v>CT00372</v>
      </c>
      <c r="F610" t="str">
        <f>Deals_Raw!F610</f>
        <v>Finance</v>
      </c>
      <c r="G610" t="str">
        <f>Deals_Raw!G610</f>
        <v>Legal</v>
      </c>
      <c r="H610" t="str">
        <f>Deals_Raw!H610</f>
        <v>Midwest</v>
      </c>
      <c r="I610" t="str">
        <f>Deals_Raw!I610</f>
        <v>Midwest Commercial</v>
      </c>
      <c r="J610" t="str">
        <f>Deals_Raw!J610</f>
        <v>Mid-Market</v>
      </c>
      <c r="K610" t="str">
        <f>Deals_Raw!K610</f>
        <v>No</v>
      </c>
      <c r="L610">
        <f>Deals_Raw!L610</f>
        <v>44228</v>
      </c>
      <c r="M610">
        <f>Deals_Raw!M610</f>
        <v>91</v>
      </c>
      <c r="N610" t="str">
        <f>Deals_Raw!N610</f>
        <v>Nexus Enterprise Suite</v>
      </c>
      <c r="O610" t="str">
        <f>Deals_Raw!O610</f>
        <v>New Business</v>
      </c>
      <c r="P610">
        <f>Deals_Raw!P610</f>
        <v>0</v>
      </c>
      <c r="Q610">
        <f>Deals_Raw!Q610</f>
        <v>3</v>
      </c>
      <c r="R610">
        <f>Deals_Raw!R610</f>
        <v>264</v>
      </c>
      <c r="S610" t="str">
        <f>Deals_Raw!S610</f>
        <v>L. Williams</v>
      </c>
      <c r="T610" s="6">
        <f>Deals_Raw!T610</f>
        <v>341544.15854768449</v>
      </c>
      <c r="U610" s="8">
        <f>Deals_Raw!V610</f>
        <v>0.114</v>
      </c>
      <c r="V610" s="8">
        <f>Deals_Raw!W610</f>
        <v>7.0000000000000007E-2</v>
      </c>
      <c r="W610" s="8">
        <f>Deals_Raw!X610</f>
        <v>0.13600000000000001</v>
      </c>
      <c r="X610" t="str">
        <f>Deals_Raw!Y610</f>
        <v>Renewal retention risk</v>
      </c>
      <c r="Y610" t="str">
        <f>Deals_Raw!Z610</f>
        <v>Sales Manager</v>
      </c>
      <c r="Z610" s="6">
        <f>Deals_Raw!AA610</f>
        <v>317743.55906282406</v>
      </c>
      <c r="AA610" s="6">
        <f>Deals_Raw!AC610</f>
        <v>133197.79624858711</v>
      </c>
      <c r="AB610" s="6">
        <f>Deals_Raw!AD610</f>
        <v>184545.76281423695</v>
      </c>
      <c r="AC610" s="8">
        <f>Deals_Raw!AE610</f>
        <v>0.58080095583542157</v>
      </c>
      <c r="AD610" t="str">
        <f>Deals_Raw!AF610</f>
        <v>Lost</v>
      </c>
      <c r="AE610">
        <f>Deals_Raw!AG610</f>
        <v>0</v>
      </c>
      <c r="AF610">
        <f>Deals_Raw!AH610</f>
        <v>0</v>
      </c>
      <c r="AG610" t="str">
        <f>Deals_Raw!AI610</f>
        <v>No</v>
      </c>
      <c r="AH610" s="6">
        <f>Deals_Raw!AJ610</f>
        <v>0</v>
      </c>
      <c r="AI610" s="6">
        <f>Deals_Raw!AK610</f>
        <v>0</v>
      </c>
      <c r="AJ610" t="str">
        <f>Deals_Raw!AL610</f>
        <v>First purchase under this contract</v>
      </c>
      <c r="AK610" s="9">
        <f t="shared" si="63"/>
        <v>3.5638888888888891</v>
      </c>
      <c r="AL610" s="8">
        <f t="shared" si="64"/>
        <v>0.9303147224474122</v>
      </c>
      <c r="AM610" s="8">
        <f t="shared" si="65"/>
        <v>4.3999999999999997E-2</v>
      </c>
      <c r="AN610" t="str">
        <f>IF(AC610&lt;Pricing_Policy!$C$10,"Below Floor","Pass")</f>
        <v>Pass</v>
      </c>
      <c r="AO610" t="str">
        <f>IF(V610&gt;Pricing_Policy!$C$7,"Exception","Standard")</f>
        <v>Standard</v>
      </c>
      <c r="AP610" t="str">
        <f t="shared" si="66"/>
        <v>Pass</v>
      </c>
      <c r="AQ610">
        <f t="shared" si="67"/>
        <v>0</v>
      </c>
      <c r="AR610" s="8">
        <f t="shared" si="68"/>
        <v>0</v>
      </c>
      <c r="AS610">
        <f t="shared" si="69"/>
        <v>2</v>
      </c>
    </row>
    <row r="611" spans="1:45">
      <c r="A611" t="str">
        <f>Deals_Raw!A611</f>
        <v>D00691</v>
      </c>
      <c r="B611">
        <f>Deals_Raw!B611</f>
        <v>45823</v>
      </c>
      <c r="C611" t="str">
        <f>Deals_Raw!C611</f>
        <v>C0167</v>
      </c>
      <c r="D611" t="str">
        <f>Deals_Raw!D611</f>
        <v>LEG-0167</v>
      </c>
      <c r="E611" t="str">
        <f>Deals_Raw!E611</f>
        <v>CT00372</v>
      </c>
      <c r="F611" t="str">
        <f>Deals_Raw!F611</f>
        <v>Finance</v>
      </c>
      <c r="G611" t="str">
        <f>Deals_Raw!G611</f>
        <v>Legal</v>
      </c>
      <c r="H611" t="str">
        <f>Deals_Raw!H611</f>
        <v>Midwest</v>
      </c>
      <c r="I611" t="str">
        <f>Deals_Raw!I611</f>
        <v>Midwest Commercial</v>
      </c>
      <c r="J611" t="str">
        <f>Deals_Raw!J611</f>
        <v>Mid-Market</v>
      </c>
      <c r="K611" t="str">
        <f>Deals_Raw!K611</f>
        <v>No</v>
      </c>
      <c r="L611">
        <f>Deals_Raw!L611</f>
        <v>44228</v>
      </c>
      <c r="M611">
        <f>Deals_Raw!M611</f>
        <v>91</v>
      </c>
      <c r="N611" t="str">
        <f>Deals_Raw!N611</f>
        <v>Nexus Enterprise Suite</v>
      </c>
      <c r="O611" t="str">
        <f>Deals_Raw!O611</f>
        <v>Win-back</v>
      </c>
      <c r="P611">
        <f>Deals_Raw!P611</f>
        <v>0</v>
      </c>
      <c r="Q611">
        <f>Deals_Raw!Q611</f>
        <v>3</v>
      </c>
      <c r="R611">
        <f>Deals_Raw!R611</f>
        <v>264</v>
      </c>
      <c r="S611" t="str">
        <f>Deals_Raw!S611</f>
        <v>M. Johnson</v>
      </c>
      <c r="T611" s="6">
        <f>Deals_Raw!T611</f>
        <v>341544.15854768449</v>
      </c>
      <c r="U611" s="8">
        <f>Deals_Raw!V611</f>
        <v>0.11600000000000001</v>
      </c>
      <c r="V611" s="8">
        <f>Deals_Raw!W611</f>
        <v>0.11600000000000001</v>
      </c>
      <c r="W611" s="8">
        <f>Deals_Raw!X611</f>
        <v>-8.9999999999999993E-3</v>
      </c>
      <c r="X611" t="str">
        <f>Deals_Raw!Y611</f>
        <v>Renewal retention risk</v>
      </c>
      <c r="Y611" t="str">
        <f>Deals_Raw!Z611</f>
        <v>Pricing Analyst</v>
      </c>
      <c r="Z611" s="6">
        <f>Deals_Raw!AA611</f>
        <v>302092.02453953261</v>
      </c>
      <c r="AA611" s="6">
        <f>Deals_Raw!AC611</f>
        <v>135653.99737954824</v>
      </c>
      <c r="AB611" s="6">
        <f>Deals_Raw!AD611</f>
        <v>166438.02715998437</v>
      </c>
      <c r="AC611" s="8">
        <f>Deals_Raw!AE611</f>
        <v>0.55095141096054934</v>
      </c>
      <c r="AD611" t="str">
        <f>Deals_Raw!AF611</f>
        <v>Won</v>
      </c>
      <c r="AE611">
        <f>Deals_Raw!AG611</f>
        <v>0</v>
      </c>
      <c r="AF611">
        <f>Deals_Raw!AH611</f>
        <v>0</v>
      </c>
      <c r="AG611" t="str">
        <f>Deals_Raw!AI611</f>
        <v>Yes</v>
      </c>
      <c r="AH611" s="6">
        <f>Deals_Raw!AJ611</f>
        <v>302092.02453953261</v>
      </c>
      <c r="AI611" s="6">
        <f>Deals_Raw!AK611</f>
        <v>166438.02715998437</v>
      </c>
      <c r="AJ611" t="str">
        <f>Deals_Raw!AL611</f>
        <v>Customer returned after prior lost initial opportunity</v>
      </c>
      <c r="AK611" s="9">
        <f t="shared" si="63"/>
        <v>4.3722222222222218</v>
      </c>
      <c r="AL611" s="8">
        <f t="shared" si="64"/>
        <v>0.88448892179590943</v>
      </c>
      <c r="AM611" s="8">
        <f t="shared" si="65"/>
        <v>0</v>
      </c>
      <c r="AN611" t="str">
        <f>IF(AC611&lt;Pricing_Policy!$C$10,"Below Floor","Pass")</f>
        <v>Pass</v>
      </c>
      <c r="AO611" t="str">
        <f>IF(V611&gt;Pricing_Policy!$C$7,"Exception","Standard")</f>
        <v>Standard</v>
      </c>
      <c r="AP611" t="str">
        <f t="shared" si="66"/>
        <v>Pass</v>
      </c>
      <c r="AQ611">
        <f t="shared" si="67"/>
        <v>1</v>
      </c>
      <c r="AR611" s="8">
        <f t="shared" si="68"/>
        <v>0.55095141096054934</v>
      </c>
      <c r="AS611">
        <f t="shared" si="69"/>
        <v>2</v>
      </c>
    </row>
    <row r="612" spans="1:45">
      <c r="A612" t="str">
        <f>Deals_Raw!A612</f>
        <v>D00692</v>
      </c>
      <c r="B612">
        <f>Deals_Raw!B612</f>
        <v>45320</v>
      </c>
      <c r="C612" t="str">
        <f>Deals_Raw!C612</f>
        <v>C0168</v>
      </c>
      <c r="D612" t="str">
        <f>Deals_Raw!D612</f>
        <v>MAN-0168</v>
      </c>
      <c r="E612" t="str">
        <f>Deals_Raw!E612</f>
        <v>CT00373</v>
      </c>
      <c r="F612" t="str">
        <f>Deals_Raw!F612</f>
        <v>Operations</v>
      </c>
      <c r="G612" t="str">
        <f>Deals_Raw!G612</f>
        <v>Manufacturing</v>
      </c>
      <c r="H612" t="str">
        <f>Deals_Raw!H612</f>
        <v>Midwest</v>
      </c>
      <c r="I612" t="str">
        <f>Deals_Raw!I612</f>
        <v>Midwest Commercial</v>
      </c>
      <c r="J612" t="str">
        <f>Deals_Raw!J612</f>
        <v>SMB</v>
      </c>
      <c r="K612" t="str">
        <f>Deals_Raw!K612</f>
        <v>No</v>
      </c>
      <c r="L612">
        <f>Deals_Raw!L612</f>
        <v>45536</v>
      </c>
      <c r="M612">
        <f>Deals_Raw!M612</f>
        <v>73</v>
      </c>
      <c r="N612" t="str">
        <f>Deals_Raw!N612</f>
        <v>Nexus Analytics</v>
      </c>
      <c r="O612" t="str">
        <f>Deals_Raw!O612</f>
        <v>New Business</v>
      </c>
      <c r="P612">
        <f>Deals_Raw!P612</f>
        <v>0</v>
      </c>
      <c r="Q612">
        <f>Deals_Raw!Q612</f>
        <v>3</v>
      </c>
      <c r="R612">
        <f>Deals_Raw!R612</f>
        <v>61</v>
      </c>
      <c r="S612" t="str">
        <f>Deals_Raw!S612</f>
        <v>M. Johnson</v>
      </c>
      <c r="T612" s="6">
        <f>Deals_Raw!T612</f>
        <v>47970.656356019899</v>
      </c>
      <c r="U612" s="8">
        <f>Deals_Raw!V612</f>
        <v>0.14000000000000001</v>
      </c>
      <c r="V612" s="8">
        <f>Deals_Raw!W612</f>
        <v>0.104</v>
      </c>
      <c r="W612" s="8">
        <f>Deals_Raw!X612</f>
        <v>-5.0000000000000001E-3</v>
      </c>
      <c r="X612" t="str">
        <f>Deals_Raw!Y612</f>
        <v>Strategic logo opportunity</v>
      </c>
      <c r="Y612" t="str">
        <f>Deals_Raw!Z612</f>
        <v>Pricing Analyst</v>
      </c>
      <c r="Z612" s="6">
        <f>Deals_Raw!AA612</f>
        <v>42966.194853863351</v>
      </c>
      <c r="AA612" s="6">
        <f>Deals_Raw!AC612</f>
        <v>15916.663279608116</v>
      </c>
      <c r="AB612" s="6">
        <f>Deals_Raw!AD612</f>
        <v>27049.531574255234</v>
      </c>
      <c r="AC612" s="8">
        <f>Deals_Raw!AE612</f>
        <v>0.6295538077378301</v>
      </c>
      <c r="AD612" t="str">
        <f>Deals_Raw!AF612</f>
        <v>Lost</v>
      </c>
      <c r="AE612">
        <f>Deals_Raw!AG612</f>
        <v>0</v>
      </c>
      <c r="AF612">
        <f>Deals_Raw!AH612</f>
        <v>0</v>
      </c>
      <c r="AG612" t="str">
        <f>Deals_Raw!AI612</f>
        <v>No</v>
      </c>
      <c r="AH612" s="6">
        <f>Deals_Raw!AJ612</f>
        <v>0</v>
      </c>
      <c r="AI612" s="6">
        <f>Deals_Raw!AK612</f>
        <v>0</v>
      </c>
      <c r="AJ612" t="str">
        <f>Deals_Raw!AL612</f>
        <v>First purchase under this contract</v>
      </c>
      <c r="AK612" s="9">
        <f t="shared" si="63"/>
        <v>0.58888888888888891</v>
      </c>
      <c r="AL612" s="8">
        <f t="shared" si="64"/>
        <v>0.8956766097796256</v>
      </c>
      <c r="AM612" s="8">
        <f t="shared" si="65"/>
        <v>3.6000000000000018E-2</v>
      </c>
      <c r="AN612" t="str">
        <f>IF(AC612&lt;Pricing_Policy!$C$10,"Below Floor","Pass")</f>
        <v>Pass</v>
      </c>
      <c r="AO612" t="str">
        <f>IF(V612&gt;Pricing_Policy!$C$7,"Exception","Standard")</f>
        <v>Standard</v>
      </c>
      <c r="AP612" t="str">
        <f t="shared" si="66"/>
        <v>Pass</v>
      </c>
      <c r="AQ612">
        <f t="shared" si="67"/>
        <v>0</v>
      </c>
      <c r="AR612" s="8">
        <f t="shared" si="68"/>
        <v>0</v>
      </c>
      <c r="AS612">
        <f t="shared" si="69"/>
        <v>4</v>
      </c>
    </row>
    <row r="613" spans="1:45">
      <c r="A613" t="str">
        <f>Deals_Raw!A613</f>
        <v>D00693</v>
      </c>
      <c r="B613">
        <f>Deals_Raw!B613</f>
        <v>45353</v>
      </c>
      <c r="C613" t="str">
        <f>Deals_Raw!C613</f>
        <v>C0168</v>
      </c>
      <c r="D613" t="str">
        <f>Deals_Raw!D613</f>
        <v>MAN-0168</v>
      </c>
      <c r="E613" t="str">
        <f>Deals_Raw!E613</f>
        <v>CT00374</v>
      </c>
      <c r="F613" t="str">
        <f>Deals_Raw!F613</f>
        <v>Legal</v>
      </c>
      <c r="G613" t="str">
        <f>Deals_Raw!G613</f>
        <v>Manufacturing</v>
      </c>
      <c r="H613" t="str">
        <f>Deals_Raw!H613</f>
        <v>Midwest</v>
      </c>
      <c r="I613" t="str">
        <f>Deals_Raw!I613</f>
        <v>Midwest Commercial</v>
      </c>
      <c r="J613" t="str">
        <f>Deals_Raw!J613</f>
        <v>SMB</v>
      </c>
      <c r="K613" t="str">
        <f>Deals_Raw!K613</f>
        <v>No</v>
      </c>
      <c r="L613">
        <f>Deals_Raw!L613</f>
        <v>45536</v>
      </c>
      <c r="M613">
        <f>Deals_Raw!M613</f>
        <v>73</v>
      </c>
      <c r="N613" t="str">
        <f>Deals_Raw!N613</f>
        <v>Nexus Analytics</v>
      </c>
      <c r="O613" t="str">
        <f>Deals_Raw!O613</f>
        <v>New Business</v>
      </c>
      <c r="P613">
        <f>Deals_Raw!P613</f>
        <v>0</v>
      </c>
      <c r="Q613">
        <f>Deals_Raw!Q613</f>
        <v>1</v>
      </c>
      <c r="R613">
        <f>Deals_Raw!R613</f>
        <v>60</v>
      </c>
      <c r="S613" t="str">
        <f>Deals_Raw!S613</f>
        <v>M. Johnson</v>
      </c>
      <c r="T613" s="6">
        <f>Deals_Raw!T613</f>
        <v>50516.699331874981</v>
      </c>
      <c r="U613" s="8">
        <f>Deals_Raw!V613</f>
        <v>4.2999999999999997E-2</v>
      </c>
      <c r="V613" s="8">
        <f>Deals_Raw!W613</f>
        <v>2.5000000000000001E-2</v>
      </c>
      <c r="W613" s="8">
        <f>Deals_Raw!X613</f>
        <v>2E-3</v>
      </c>
      <c r="X613" t="str">
        <f>Deals_Raw!Y613</f>
        <v>Expansion opportunity</v>
      </c>
      <c r="Y613" t="str">
        <f>Deals_Raw!Z613</f>
        <v>Sales Manager</v>
      </c>
      <c r="Z613" s="6">
        <f>Deals_Raw!AA613</f>
        <v>49246.734269939472</v>
      </c>
      <c r="AA613" s="6">
        <f>Deals_Raw!AC613</f>
        <v>16457.684117181227</v>
      </c>
      <c r="AB613" s="6">
        <f>Deals_Raw!AD613</f>
        <v>32789.050152758246</v>
      </c>
      <c r="AC613" s="8">
        <f>Deals_Raw!AE613</f>
        <v>0.66581166525742386</v>
      </c>
      <c r="AD613" t="str">
        <f>Deals_Raw!AF613</f>
        <v>Won</v>
      </c>
      <c r="AE613">
        <f>Deals_Raw!AG613</f>
        <v>0</v>
      </c>
      <c r="AF613">
        <f>Deals_Raw!AH613</f>
        <v>0</v>
      </c>
      <c r="AG613" t="str">
        <f>Deals_Raw!AI613</f>
        <v>No</v>
      </c>
      <c r="AH613" s="6">
        <f>Deals_Raw!AJ613</f>
        <v>49246.734269939472</v>
      </c>
      <c r="AI613" s="6">
        <f>Deals_Raw!AK613</f>
        <v>32789.050152758246</v>
      </c>
      <c r="AJ613" t="str">
        <f>Deals_Raw!AL613</f>
        <v>First purchase under this contract</v>
      </c>
      <c r="AK613" s="9">
        <f t="shared" si="63"/>
        <v>0.49722222222222223</v>
      </c>
      <c r="AL613" s="8">
        <f t="shared" si="64"/>
        <v>0.97486049012045828</v>
      </c>
      <c r="AM613" s="8">
        <f t="shared" si="65"/>
        <v>1.7999999999999995E-2</v>
      </c>
      <c r="AN613" t="str">
        <f>IF(AC613&lt;Pricing_Policy!$C$10,"Below Floor","Pass")</f>
        <v>Pass</v>
      </c>
      <c r="AO613" t="str">
        <f>IF(V613&gt;Pricing_Policy!$C$7,"Exception","Standard")</f>
        <v>Standard</v>
      </c>
      <c r="AP613" t="str">
        <f t="shared" si="66"/>
        <v>Pass</v>
      </c>
      <c r="AQ613">
        <f t="shared" si="67"/>
        <v>1</v>
      </c>
      <c r="AR613" s="8">
        <f t="shared" si="68"/>
        <v>0.66581166525742386</v>
      </c>
      <c r="AS613">
        <f t="shared" si="69"/>
        <v>4</v>
      </c>
    </row>
    <row r="614" spans="1:45">
      <c r="A614" t="str">
        <f>Deals_Raw!A614</f>
        <v>D00694</v>
      </c>
      <c r="B614">
        <f>Deals_Raw!B614</f>
        <v>45718</v>
      </c>
      <c r="C614" t="str">
        <f>Deals_Raw!C614</f>
        <v>C0168</v>
      </c>
      <c r="D614" t="str">
        <f>Deals_Raw!D614</f>
        <v>MAN-0168</v>
      </c>
      <c r="E614" t="str">
        <f>Deals_Raw!E614</f>
        <v>CT00374</v>
      </c>
      <c r="F614" t="str">
        <f>Deals_Raw!F614</f>
        <v>Legal</v>
      </c>
      <c r="G614" t="str">
        <f>Deals_Raw!G614</f>
        <v>Manufacturing</v>
      </c>
      <c r="H614" t="str">
        <f>Deals_Raw!H614</f>
        <v>Midwest</v>
      </c>
      <c r="I614" t="str">
        <f>Deals_Raw!I614</f>
        <v>Midwest Commercial</v>
      </c>
      <c r="J614" t="str">
        <f>Deals_Raw!J614</f>
        <v>SMB</v>
      </c>
      <c r="K614" t="str">
        <f>Deals_Raw!K614</f>
        <v>No</v>
      </c>
      <c r="L614">
        <f>Deals_Raw!L614</f>
        <v>45536</v>
      </c>
      <c r="M614">
        <f>Deals_Raw!M614</f>
        <v>73</v>
      </c>
      <c r="N614" t="str">
        <f>Deals_Raw!N614</f>
        <v>Nexus Analytics</v>
      </c>
      <c r="O614" t="str">
        <f>Deals_Raw!O614</f>
        <v>Renewal</v>
      </c>
      <c r="P614">
        <f>Deals_Raw!P614</f>
        <v>0</v>
      </c>
      <c r="Q614">
        <f>Deals_Raw!Q614</f>
        <v>1</v>
      </c>
      <c r="R614">
        <f>Deals_Raw!R614</f>
        <v>60</v>
      </c>
      <c r="S614" t="str">
        <f>Deals_Raw!S614</f>
        <v>A. Patel</v>
      </c>
      <c r="T614" s="6">
        <f>Deals_Raw!T614</f>
        <v>53395.175544765378</v>
      </c>
      <c r="U614" s="8">
        <f>Deals_Raw!V614</f>
        <v>0.115</v>
      </c>
      <c r="V614" s="8">
        <f>Deals_Raw!W614</f>
        <v>0.10299999999999999</v>
      </c>
      <c r="W614" s="8">
        <f>Deals_Raw!X614</f>
        <v>-2.1999999999999999E-2</v>
      </c>
      <c r="X614" t="str">
        <f>Deals_Raw!Y614</f>
        <v>Volume purchase</v>
      </c>
      <c r="Y614" t="str">
        <f>Deals_Raw!Z614</f>
        <v>Pricing Analyst</v>
      </c>
      <c r="Z614" s="6">
        <f>Deals_Raw!AA614</f>
        <v>47880.8053997073</v>
      </c>
      <c r="AA614" s="6">
        <f>Deals_Raw!AC614</f>
        <v>15283.560338810281</v>
      </c>
      <c r="AB614" s="6">
        <f>Deals_Raw!AD614</f>
        <v>32597.245060897018</v>
      </c>
      <c r="AC614" s="8">
        <f>Deals_Raw!AE614</f>
        <v>0.68079984847323161</v>
      </c>
      <c r="AD614" t="str">
        <f>Deals_Raw!AF614</f>
        <v>Lost</v>
      </c>
      <c r="AE614" t="str">
        <f>Deals_Raw!AG614</f>
        <v>No</v>
      </c>
      <c r="AF614">
        <f>Deals_Raw!AH614</f>
        <v>0</v>
      </c>
      <c r="AG614" t="str">
        <f>Deals_Raw!AI614</f>
        <v>No</v>
      </c>
      <c r="AH614" s="6">
        <f>Deals_Raw!AJ614</f>
        <v>0</v>
      </c>
      <c r="AI614" s="6">
        <f>Deals_Raw!AK614</f>
        <v>0</v>
      </c>
      <c r="AJ614" t="str">
        <f>Deals_Raw!AL614</f>
        <v>Renewal of existing active contract</v>
      </c>
      <c r="AK614" s="9">
        <f t="shared" si="63"/>
        <v>0.50277777777777777</v>
      </c>
      <c r="AL614" s="8">
        <f t="shared" si="64"/>
        <v>0.89672531106420006</v>
      </c>
      <c r="AM614" s="8">
        <f t="shared" si="65"/>
        <v>1.2000000000000011E-2</v>
      </c>
      <c r="AN614" t="str">
        <f>IF(AC614&lt;Pricing_Policy!$C$10,"Below Floor","Pass")</f>
        <v>Pass</v>
      </c>
      <c r="AO614" t="str">
        <f>IF(V614&gt;Pricing_Policy!$C$7,"Exception","Standard")</f>
        <v>Standard</v>
      </c>
      <c r="AP614" t="str">
        <f t="shared" si="66"/>
        <v>Pass</v>
      </c>
      <c r="AQ614">
        <f t="shared" si="67"/>
        <v>0</v>
      </c>
      <c r="AR614" s="8">
        <f t="shared" si="68"/>
        <v>0</v>
      </c>
      <c r="AS614">
        <f t="shared" si="69"/>
        <v>4</v>
      </c>
    </row>
    <row r="615" spans="1:45">
      <c r="A615" t="str">
        <f>Deals_Raw!A615</f>
        <v>D00695</v>
      </c>
      <c r="B615">
        <f>Deals_Raw!B615</f>
        <v>45973</v>
      </c>
      <c r="C615" t="str">
        <f>Deals_Raw!C615</f>
        <v>C0168</v>
      </c>
      <c r="D615" t="str">
        <f>Deals_Raw!D615</f>
        <v>MAN-0168</v>
      </c>
      <c r="E615" t="str">
        <f>Deals_Raw!E615</f>
        <v>CT00374</v>
      </c>
      <c r="F615" t="str">
        <f>Deals_Raw!F615</f>
        <v>Legal</v>
      </c>
      <c r="G615" t="str">
        <f>Deals_Raw!G615</f>
        <v>Manufacturing</v>
      </c>
      <c r="H615" t="str">
        <f>Deals_Raw!H615</f>
        <v>Midwest</v>
      </c>
      <c r="I615" t="str">
        <f>Deals_Raw!I615</f>
        <v>Midwest Commercial</v>
      </c>
      <c r="J615" t="str">
        <f>Deals_Raw!J615</f>
        <v>SMB</v>
      </c>
      <c r="K615" t="str">
        <f>Deals_Raw!K615</f>
        <v>No</v>
      </c>
      <c r="L615">
        <f>Deals_Raw!L615</f>
        <v>45536</v>
      </c>
      <c r="M615">
        <f>Deals_Raw!M615</f>
        <v>73</v>
      </c>
      <c r="N615" t="str">
        <f>Deals_Raw!N615</f>
        <v>Nexus Analytics</v>
      </c>
      <c r="O615" t="str">
        <f>Deals_Raw!O615</f>
        <v>Win-back</v>
      </c>
      <c r="P615">
        <f>Deals_Raw!P615</f>
        <v>0</v>
      </c>
      <c r="Q615">
        <f>Deals_Raw!Q615</f>
        <v>1</v>
      </c>
      <c r="R615">
        <f>Deals_Raw!R615</f>
        <v>60</v>
      </c>
      <c r="S615" t="str">
        <f>Deals_Raw!S615</f>
        <v>K. Nguyen</v>
      </c>
      <c r="T615" s="6">
        <f>Deals_Raw!T615</f>
        <v>53395.175544765378</v>
      </c>
      <c r="U615" s="8">
        <f>Deals_Raw!V615</f>
        <v>0.187</v>
      </c>
      <c r="V615" s="8">
        <f>Deals_Raw!W615</f>
        <v>0.185</v>
      </c>
      <c r="W615" s="8">
        <f>Deals_Raw!X615</f>
        <v>-9.9000000000000005E-2</v>
      </c>
      <c r="X615" t="str">
        <f>Deals_Raw!Y615</f>
        <v>Renewal retention risk</v>
      </c>
      <c r="Y615" t="str">
        <f>Deals_Raw!Z615</f>
        <v>Pricing Analyst</v>
      </c>
      <c r="Z615" s="6">
        <f>Deals_Raw!AA615</f>
        <v>43503.201210486681</v>
      </c>
      <c r="AA615" s="6">
        <f>Deals_Raw!AC615</f>
        <v>18449.219799599305</v>
      </c>
      <c r="AB615" s="6">
        <f>Deals_Raw!AD615</f>
        <v>25053.981410887376</v>
      </c>
      <c r="AC615" s="8">
        <f>Deals_Raw!AE615</f>
        <v>0.57591121374415033</v>
      </c>
      <c r="AD615" t="str">
        <f>Deals_Raw!AF615</f>
        <v>Won</v>
      </c>
      <c r="AE615">
        <f>Deals_Raw!AG615</f>
        <v>0</v>
      </c>
      <c r="AF615">
        <f>Deals_Raw!AH615</f>
        <v>0</v>
      </c>
      <c r="AG615" t="str">
        <f>Deals_Raw!AI615</f>
        <v>Yes</v>
      </c>
      <c r="AH615" s="6">
        <f>Deals_Raw!AJ615</f>
        <v>43503.201210486681</v>
      </c>
      <c r="AI615" s="6">
        <f>Deals_Raw!AK615</f>
        <v>25053.981410887376</v>
      </c>
      <c r="AJ615" t="str">
        <f>Deals_Raw!AL615</f>
        <v>Customer returned after lost renewal</v>
      </c>
      <c r="AK615" s="9">
        <f t="shared" si="63"/>
        <v>1.1972222222222222</v>
      </c>
      <c r="AL615" s="8">
        <f t="shared" si="64"/>
        <v>0.81474029753895127</v>
      </c>
      <c r="AM615" s="8">
        <f t="shared" si="65"/>
        <v>2.0000000000000018E-3</v>
      </c>
      <c r="AN615" t="str">
        <f>IF(AC615&lt;Pricing_Policy!$C$10,"Below Floor","Pass")</f>
        <v>Pass</v>
      </c>
      <c r="AO615" t="str">
        <f>IF(V615&gt;Pricing_Policy!$C$7,"Exception","Standard")</f>
        <v>Standard</v>
      </c>
      <c r="AP615" t="str">
        <f t="shared" si="66"/>
        <v>Pass</v>
      </c>
      <c r="AQ615">
        <f t="shared" si="67"/>
        <v>1</v>
      </c>
      <c r="AR615" s="8">
        <f t="shared" si="68"/>
        <v>0.57591121374415033</v>
      </c>
      <c r="AS615">
        <f t="shared" si="69"/>
        <v>4</v>
      </c>
    </row>
    <row r="616" spans="1:45">
      <c r="A616" t="str">
        <f>Deals_Raw!A616</f>
        <v>D00696</v>
      </c>
      <c r="B616">
        <f>Deals_Raw!B616</f>
        <v>45735</v>
      </c>
      <c r="C616" t="str">
        <f>Deals_Raw!C616</f>
        <v>C0169</v>
      </c>
      <c r="D616" t="str">
        <f>Deals_Raw!D616</f>
        <v>MAN-0169</v>
      </c>
      <c r="E616" t="str">
        <f>Deals_Raw!E616</f>
        <v>CT00375</v>
      </c>
      <c r="F616" t="str">
        <f>Deals_Raw!F616</f>
        <v>Legal</v>
      </c>
      <c r="G616" t="str">
        <f>Deals_Raw!G616</f>
        <v>Manufacturing</v>
      </c>
      <c r="H616" t="str">
        <f>Deals_Raw!H616</f>
        <v>Midwest</v>
      </c>
      <c r="I616" t="str">
        <f>Deals_Raw!I616</f>
        <v>Midwest Enterprise</v>
      </c>
      <c r="J616" t="str">
        <f>Deals_Raw!J616</f>
        <v>Enterprise</v>
      </c>
      <c r="K616" t="str">
        <f>Deals_Raw!K616</f>
        <v>No</v>
      </c>
      <c r="L616">
        <f>Deals_Raw!L616</f>
        <v>45292</v>
      </c>
      <c r="M616">
        <f>Deals_Raw!M616</f>
        <v>59</v>
      </c>
      <c r="N616" t="str">
        <f>Deals_Raw!N616</f>
        <v>Nexus Analytics</v>
      </c>
      <c r="O616" t="str">
        <f>Deals_Raw!O616</f>
        <v>New Business</v>
      </c>
      <c r="P616">
        <f>Deals_Raw!P616</f>
        <v>0</v>
      </c>
      <c r="Q616">
        <f>Deals_Raw!Q616</f>
        <v>1</v>
      </c>
      <c r="R616">
        <f>Deals_Raw!R616</f>
        <v>436</v>
      </c>
      <c r="S616" t="str">
        <f>Deals_Raw!S616</f>
        <v>A. Patel</v>
      </c>
      <c r="T616" s="6">
        <f>Deals_Raw!T616</f>
        <v>135209.28333829989</v>
      </c>
      <c r="U616" s="8">
        <f>Deals_Raw!V616</f>
        <v>0.187</v>
      </c>
      <c r="V616" s="8">
        <f>Deals_Raw!W616</f>
        <v>0.18099999999999999</v>
      </c>
      <c r="W616" s="8">
        <f>Deals_Raw!X616</f>
        <v>-5.8000000000000003E-2</v>
      </c>
      <c r="X616" t="str">
        <f>Deals_Raw!Y616</f>
        <v>Strategic logo opportunity</v>
      </c>
      <c r="Y616" t="str">
        <f>Deals_Raw!Z616</f>
        <v>Pricing Analyst</v>
      </c>
      <c r="Z616" s="6">
        <f>Deals_Raw!AA616</f>
        <v>110704.77046329225</v>
      </c>
      <c r="AA616" s="6">
        <f>Deals_Raw!AC616</f>
        <v>47322.752484362005</v>
      </c>
      <c r="AB616" s="6">
        <f>Deals_Raw!AD616</f>
        <v>63382.017978930249</v>
      </c>
      <c r="AC616" s="8">
        <f>Deals_Raw!AE616</f>
        <v>0.57253194883726</v>
      </c>
      <c r="AD616" t="str">
        <f>Deals_Raw!AF616</f>
        <v>Won</v>
      </c>
      <c r="AE616">
        <f>Deals_Raw!AG616</f>
        <v>0</v>
      </c>
      <c r="AF616">
        <f>Deals_Raw!AH616</f>
        <v>0</v>
      </c>
      <c r="AG616" t="str">
        <f>Deals_Raw!AI616</f>
        <v>No</v>
      </c>
      <c r="AH616" s="6">
        <f>Deals_Raw!AJ616</f>
        <v>110704.77046329225</v>
      </c>
      <c r="AI616" s="6">
        <f>Deals_Raw!AK616</f>
        <v>63382.017978930249</v>
      </c>
      <c r="AJ616" t="str">
        <f>Deals_Raw!AL616</f>
        <v>First purchase under this contract</v>
      </c>
      <c r="AK616" s="9">
        <f t="shared" si="63"/>
        <v>1.2166666666666666</v>
      </c>
      <c r="AL616" s="8">
        <f t="shared" si="64"/>
        <v>0.81876604719739388</v>
      </c>
      <c r="AM616" s="8">
        <f t="shared" si="65"/>
        <v>6.0000000000000053E-3</v>
      </c>
      <c r="AN616" t="str">
        <f>IF(AC616&lt;Pricing_Policy!$C$10,"Below Floor","Pass")</f>
        <v>Pass</v>
      </c>
      <c r="AO616" t="str">
        <f>IF(V616&gt;Pricing_Policy!$C$7,"Exception","Standard")</f>
        <v>Standard</v>
      </c>
      <c r="AP616" t="str">
        <f t="shared" si="66"/>
        <v>Pass</v>
      </c>
      <c r="AQ616">
        <f t="shared" si="67"/>
        <v>1</v>
      </c>
      <c r="AR616" s="8">
        <f t="shared" si="68"/>
        <v>0.57253194883726</v>
      </c>
      <c r="AS616">
        <f t="shared" si="69"/>
        <v>3</v>
      </c>
    </row>
    <row r="617" spans="1:45">
      <c r="A617" t="str">
        <f>Deals_Raw!A617</f>
        <v>D00697</v>
      </c>
      <c r="B617">
        <f>Deals_Raw!B617</f>
        <v>45437</v>
      </c>
      <c r="C617" t="str">
        <f>Deals_Raw!C617</f>
        <v>C0169</v>
      </c>
      <c r="D617" t="str">
        <f>Deals_Raw!D617</f>
        <v>MAN-0169</v>
      </c>
      <c r="E617" t="str">
        <f>Deals_Raw!E617</f>
        <v>CT00376</v>
      </c>
      <c r="F617" t="str">
        <f>Deals_Raw!F617</f>
        <v>Finance</v>
      </c>
      <c r="G617" t="str">
        <f>Deals_Raw!G617</f>
        <v>Manufacturing</v>
      </c>
      <c r="H617" t="str">
        <f>Deals_Raw!H617</f>
        <v>Midwest</v>
      </c>
      <c r="I617" t="str">
        <f>Deals_Raw!I617</f>
        <v>Midwest Enterprise</v>
      </c>
      <c r="J617" t="str">
        <f>Deals_Raw!J617</f>
        <v>Enterprise</v>
      </c>
      <c r="K617" t="str">
        <f>Deals_Raw!K617</f>
        <v>No</v>
      </c>
      <c r="L617">
        <f>Deals_Raw!L617</f>
        <v>45292</v>
      </c>
      <c r="M617">
        <f>Deals_Raw!M617</f>
        <v>59</v>
      </c>
      <c r="N617" t="str">
        <f>Deals_Raw!N617</f>
        <v>Nexus Analytics</v>
      </c>
      <c r="O617" t="str">
        <f>Deals_Raw!O617</f>
        <v>New Business</v>
      </c>
      <c r="P617">
        <f>Deals_Raw!P617</f>
        <v>0</v>
      </c>
      <c r="Q617">
        <f>Deals_Raw!Q617</f>
        <v>1</v>
      </c>
      <c r="R617">
        <f>Deals_Raw!R617</f>
        <v>1727</v>
      </c>
      <c r="S617" t="str">
        <f>Deals_Raw!S617</f>
        <v>A. Patel</v>
      </c>
      <c r="T617" s="6">
        <f>Deals_Raw!T617</f>
        <v>342671.15282458189</v>
      </c>
      <c r="U617" s="8">
        <f>Deals_Raw!V617</f>
        <v>0.11899999999999999</v>
      </c>
      <c r="V617" s="8">
        <f>Deals_Raw!W617</f>
        <v>7.0999999999999994E-2</v>
      </c>
      <c r="W617" s="8">
        <f>Deals_Raw!X617</f>
        <v>1.4999999999999999E-2</v>
      </c>
      <c r="X617" t="str">
        <f>Deals_Raw!Y617</f>
        <v>Strategic logo opportunity</v>
      </c>
      <c r="Y617" t="str">
        <f>Deals_Raw!Z617</f>
        <v>Sales Manager</v>
      </c>
      <c r="Z617" s="6">
        <f>Deals_Raw!AA617</f>
        <v>318211.87614658801</v>
      </c>
      <c r="AA617" s="6">
        <f>Deals_Raw!AC617</f>
        <v>135022.43028373425</v>
      </c>
      <c r="AB617" s="6">
        <f>Deals_Raw!AD617</f>
        <v>183189.44586285375</v>
      </c>
      <c r="AC617" s="8">
        <f>Deals_Raw!AE617</f>
        <v>0.57568387478557026</v>
      </c>
      <c r="AD617" t="str">
        <f>Deals_Raw!AF617</f>
        <v>Won</v>
      </c>
      <c r="AE617">
        <f>Deals_Raw!AG617</f>
        <v>0</v>
      </c>
      <c r="AF617">
        <f>Deals_Raw!AH617</f>
        <v>0</v>
      </c>
      <c r="AG617" t="str">
        <f>Deals_Raw!AI617</f>
        <v>No</v>
      </c>
      <c r="AH617" s="6">
        <f>Deals_Raw!AJ617</f>
        <v>318211.87614658801</v>
      </c>
      <c r="AI617" s="6">
        <f>Deals_Raw!AK617</f>
        <v>183189.44586285375</v>
      </c>
      <c r="AJ617" t="str">
        <f>Deals_Raw!AL617</f>
        <v>First purchase under this contract</v>
      </c>
      <c r="AK617" s="9">
        <f t="shared" si="63"/>
        <v>0.4</v>
      </c>
      <c r="AL617" s="8">
        <f t="shared" si="64"/>
        <v>0.92862172238199769</v>
      </c>
      <c r="AM617" s="8">
        <f t="shared" si="65"/>
        <v>4.8000000000000001E-2</v>
      </c>
      <c r="AN617" t="str">
        <f>IF(AC617&lt;Pricing_Policy!$C$10,"Below Floor","Pass")</f>
        <v>Pass</v>
      </c>
      <c r="AO617" t="str">
        <f>IF(V617&gt;Pricing_Policy!$C$7,"Exception","Standard")</f>
        <v>Standard</v>
      </c>
      <c r="AP617" t="str">
        <f t="shared" si="66"/>
        <v>Pass</v>
      </c>
      <c r="AQ617">
        <f t="shared" si="67"/>
        <v>1</v>
      </c>
      <c r="AR617" s="8">
        <f t="shared" si="68"/>
        <v>0.57568387478557026</v>
      </c>
      <c r="AS617">
        <f t="shared" si="69"/>
        <v>3</v>
      </c>
    </row>
    <row r="618" spans="1:45">
      <c r="A618" t="str">
        <f>Deals_Raw!A618</f>
        <v>D00698</v>
      </c>
      <c r="B618">
        <f>Deals_Raw!B618</f>
        <v>45802</v>
      </c>
      <c r="C618" t="str">
        <f>Deals_Raw!C618</f>
        <v>C0169</v>
      </c>
      <c r="D618" t="str">
        <f>Deals_Raw!D618</f>
        <v>MAN-0169</v>
      </c>
      <c r="E618" t="str">
        <f>Deals_Raw!E618</f>
        <v>CT00376</v>
      </c>
      <c r="F618" t="str">
        <f>Deals_Raw!F618</f>
        <v>Finance</v>
      </c>
      <c r="G618" t="str">
        <f>Deals_Raw!G618</f>
        <v>Manufacturing</v>
      </c>
      <c r="H618" t="str">
        <f>Deals_Raw!H618</f>
        <v>Midwest</v>
      </c>
      <c r="I618" t="str">
        <f>Deals_Raw!I618</f>
        <v>Midwest Enterprise</v>
      </c>
      <c r="J618" t="str">
        <f>Deals_Raw!J618</f>
        <v>Enterprise</v>
      </c>
      <c r="K618" t="str">
        <f>Deals_Raw!K618</f>
        <v>No</v>
      </c>
      <c r="L618">
        <f>Deals_Raw!L618</f>
        <v>45292</v>
      </c>
      <c r="M618">
        <f>Deals_Raw!M618</f>
        <v>59</v>
      </c>
      <c r="N618" t="str">
        <f>Deals_Raw!N618</f>
        <v>Nexus Analytics</v>
      </c>
      <c r="O618" t="str">
        <f>Deals_Raw!O618</f>
        <v>Renewal</v>
      </c>
      <c r="P618">
        <f>Deals_Raw!P618</f>
        <v>0</v>
      </c>
      <c r="Q618">
        <f>Deals_Raw!Q618</f>
        <v>1</v>
      </c>
      <c r="R618">
        <f>Deals_Raw!R618</f>
        <v>1727</v>
      </c>
      <c r="S618" t="str">
        <f>Deals_Raw!S618</f>
        <v>T. Brooks</v>
      </c>
      <c r="T618" s="6">
        <f>Deals_Raw!T618</f>
        <v>360711.20654745045</v>
      </c>
      <c r="U618" s="8">
        <f>Deals_Raw!V618</f>
        <v>0.161</v>
      </c>
      <c r="V618" s="8">
        <f>Deals_Raw!W618</f>
        <v>0.13300000000000001</v>
      </c>
      <c r="W618" s="8">
        <f>Deals_Raw!X618</f>
        <v>-1.2E-2</v>
      </c>
      <c r="X618" t="str">
        <f>Deals_Raw!Y618</f>
        <v>Renewal retention risk</v>
      </c>
      <c r="Y618" t="str">
        <f>Deals_Raw!Z618</f>
        <v>Pricing Analyst</v>
      </c>
      <c r="Z618" s="6">
        <f>Deals_Raw!AA618</f>
        <v>312735.74112681963</v>
      </c>
      <c r="AA618" s="6">
        <f>Deals_Raw!AC618</f>
        <v>99687.748103138714</v>
      </c>
      <c r="AB618" s="6">
        <f>Deals_Raw!AD618</f>
        <v>213047.99302368093</v>
      </c>
      <c r="AC618" s="8">
        <f>Deals_Raw!AE618</f>
        <v>0.68123966981211259</v>
      </c>
      <c r="AD618" t="str">
        <f>Deals_Raw!AF618</f>
        <v>Won</v>
      </c>
      <c r="AE618" t="str">
        <f>Deals_Raw!AG618</f>
        <v>Yes</v>
      </c>
      <c r="AF618">
        <f>Deals_Raw!AH618</f>
        <v>0</v>
      </c>
      <c r="AG618" t="str">
        <f>Deals_Raw!AI618</f>
        <v>No</v>
      </c>
      <c r="AH618" s="6">
        <f>Deals_Raw!AJ618</f>
        <v>312735.74112681963</v>
      </c>
      <c r="AI618" s="6">
        <f>Deals_Raw!AK618</f>
        <v>213047.99302368093</v>
      </c>
      <c r="AJ618" t="str">
        <f>Deals_Raw!AL618</f>
        <v>Renewal of existing active contract</v>
      </c>
      <c r="AK618" s="9">
        <f t="shared" si="63"/>
        <v>1.4</v>
      </c>
      <c r="AL618" s="8">
        <f t="shared" si="64"/>
        <v>0.86699757437583302</v>
      </c>
      <c r="AM618" s="8">
        <f t="shared" si="65"/>
        <v>2.7999999999999997E-2</v>
      </c>
      <c r="AN618" t="str">
        <f>IF(AC618&lt;Pricing_Policy!$C$10,"Below Floor","Pass")</f>
        <v>Pass</v>
      </c>
      <c r="AO618" t="str">
        <f>IF(V618&gt;Pricing_Policy!$C$7,"Exception","Standard")</f>
        <v>Standard</v>
      </c>
      <c r="AP618" t="str">
        <f t="shared" si="66"/>
        <v>Pass</v>
      </c>
      <c r="AQ618">
        <f t="shared" si="67"/>
        <v>1</v>
      </c>
      <c r="AR618" s="8">
        <f t="shared" si="68"/>
        <v>0.68123966981211259</v>
      </c>
      <c r="AS618">
        <f t="shared" si="69"/>
        <v>3</v>
      </c>
    </row>
    <row r="619" spans="1:45">
      <c r="A619" t="str">
        <f>Deals_Raw!A619</f>
        <v>D00699</v>
      </c>
      <c r="B619">
        <f>Deals_Raw!B619</f>
        <v>45486</v>
      </c>
      <c r="C619" t="str">
        <f>Deals_Raw!C619</f>
        <v>C0169</v>
      </c>
      <c r="D619" t="str">
        <f>Deals_Raw!D619</f>
        <v>MAN-0169</v>
      </c>
      <c r="E619" t="str">
        <f>Deals_Raw!E619</f>
        <v>CT00377</v>
      </c>
      <c r="F619" t="str">
        <f>Deals_Raw!F619</f>
        <v>Corporate</v>
      </c>
      <c r="G619" t="str">
        <f>Deals_Raw!G619</f>
        <v>Manufacturing</v>
      </c>
      <c r="H619" t="str">
        <f>Deals_Raw!H619</f>
        <v>Midwest</v>
      </c>
      <c r="I619" t="str">
        <f>Deals_Raw!I619</f>
        <v>Midwest Enterprise</v>
      </c>
      <c r="J619" t="str">
        <f>Deals_Raw!J619</f>
        <v>Enterprise</v>
      </c>
      <c r="K619" t="str">
        <f>Deals_Raw!K619</f>
        <v>No</v>
      </c>
      <c r="L619">
        <f>Deals_Raw!L619</f>
        <v>45292</v>
      </c>
      <c r="M619">
        <f>Deals_Raw!M619</f>
        <v>59</v>
      </c>
      <c r="N619" t="str">
        <f>Deals_Raw!N619</f>
        <v>Nexus Compliance</v>
      </c>
      <c r="O619" t="str">
        <f>Deals_Raw!O619</f>
        <v>New Business</v>
      </c>
      <c r="P619">
        <f>Deals_Raw!P619</f>
        <v>0</v>
      </c>
      <c r="Q619">
        <f>Deals_Raw!Q619</f>
        <v>1</v>
      </c>
      <c r="R619">
        <f>Deals_Raw!R619</f>
        <v>1839</v>
      </c>
      <c r="S619" t="str">
        <f>Deals_Raw!S619</f>
        <v>R. Singh</v>
      </c>
      <c r="T619" s="6">
        <f>Deals_Raw!T619</f>
        <v>544252.89785814658</v>
      </c>
      <c r="U619" s="8">
        <f>Deals_Raw!V619</f>
        <v>8.1000000000000003E-2</v>
      </c>
      <c r="V619" s="8">
        <f>Deals_Raw!W619</f>
        <v>7.0999999999999994E-2</v>
      </c>
      <c r="W619" s="8">
        <f>Deals_Raw!X619</f>
        <v>-0.14099999999999999</v>
      </c>
      <c r="X619" t="str">
        <f>Deals_Raw!Y619</f>
        <v>Verified competitor pressure</v>
      </c>
      <c r="Y619" t="str">
        <f>Deals_Raw!Z619</f>
        <v>Sales Manager</v>
      </c>
      <c r="Z619" s="6">
        <f>Deals_Raw!AA619</f>
        <v>505514.6154378145</v>
      </c>
      <c r="AA619" s="6">
        <f>Deals_Raw!AC619</f>
        <v>198397.92383694381</v>
      </c>
      <c r="AB619" s="6">
        <f>Deals_Raw!AD619</f>
        <v>307116.69160087069</v>
      </c>
      <c r="AC619" s="8">
        <f>Deals_Raw!AE619</f>
        <v>0.60753276408217005</v>
      </c>
      <c r="AD619" t="str">
        <f>Deals_Raw!AF619</f>
        <v>Won</v>
      </c>
      <c r="AE619">
        <f>Deals_Raw!AG619</f>
        <v>0</v>
      </c>
      <c r="AF619">
        <f>Deals_Raw!AH619</f>
        <v>0</v>
      </c>
      <c r="AG619" t="str">
        <f>Deals_Raw!AI619</f>
        <v>No</v>
      </c>
      <c r="AH619" s="6">
        <f>Deals_Raw!AJ619</f>
        <v>505514.6154378145</v>
      </c>
      <c r="AI619" s="6">
        <f>Deals_Raw!AK619</f>
        <v>307116.69160087069</v>
      </c>
      <c r="AJ619" t="str">
        <f>Deals_Raw!AL619</f>
        <v>First purchase under this contract</v>
      </c>
      <c r="AK619" s="9">
        <f t="shared" si="63"/>
        <v>0.53333333333333333</v>
      </c>
      <c r="AL619" s="8">
        <f t="shared" si="64"/>
        <v>0.9288230111906014</v>
      </c>
      <c r="AM619" s="8">
        <f t="shared" si="65"/>
        <v>1.0000000000000009E-2</v>
      </c>
      <c r="AN619" t="str">
        <f>IF(AC619&lt;Pricing_Policy!$C$10,"Below Floor","Pass")</f>
        <v>Pass</v>
      </c>
      <c r="AO619" t="str">
        <f>IF(V619&gt;Pricing_Policy!$C$7,"Exception","Standard")</f>
        <v>Standard</v>
      </c>
      <c r="AP619" t="str">
        <f t="shared" si="66"/>
        <v>Pass</v>
      </c>
      <c r="AQ619">
        <f t="shared" si="67"/>
        <v>1</v>
      </c>
      <c r="AR619" s="8">
        <f t="shared" si="68"/>
        <v>0.60753276408217005</v>
      </c>
      <c r="AS619">
        <f t="shared" si="69"/>
        <v>3</v>
      </c>
    </row>
    <row r="620" spans="1:45">
      <c r="A620" t="str">
        <f>Deals_Raw!A620</f>
        <v>D00700</v>
      </c>
      <c r="B620">
        <f>Deals_Raw!B620</f>
        <v>45703</v>
      </c>
      <c r="C620" t="str">
        <f>Deals_Raw!C620</f>
        <v>C0169</v>
      </c>
      <c r="D620" t="str">
        <f>Deals_Raw!D620</f>
        <v>MAN-0169</v>
      </c>
      <c r="E620" t="str">
        <f>Deals_Raw!E620</f>
        <v>CT00377</v>
      </c>
      <c r="F620" t="str">
        <f>Deals_Raw!F620</f>
        <v>Corporate</v>
      </c>
      <c r="G620" t="str">
        <f>Deals_Raw!G620</f>
        <v>Manufacturing</v>
      </c>
      <c r="H620" t="str">
        <f>Deals_Raw!H620</f>
        <v>Midwest</v>
      </c>
      <c r="I620" t="str">
        <f>Deals_Raw!I620</f>
        <v>Midwest Enterprise</v>
      </c>
      <c r="J620" t="str">
        <f>Deals_Raw!J620</f>
        <v>Enterprise</v>
      </c>
      <c r="K620" t="str">
        <f>Deals_Raw!K620</f>
        <v>No</v>
      </c>
      <c r="L620">
        <f>Deals_Raw!L620</f>
        <v>45292</v>
      </c>
      <c r="M620">
        <f>Deals_Raw!M620</f>
        <v>59</v>
      </c>
      <c r="N620" t="str">
        <f>Deals_Raw!N620</f>
        <v>Nexus Compliance</v>
      </c>
      <c r="O620" t="str">
        <f>Deals_Raw!O620</f>
        <v>Expansion</v>
      </c>
      <c r="P620" t="str">
        <f>Deals_Raw!P620</f>
        <v>Seat Expansion</v>
      </c>
      <c r="Q620">
        <f>Deals_Raw!Q620</f>
        <v>1</v>
      </c>
      <c r="R620">
        <f>Deals_Raw!R620</f>
        <v>2301</v>
      </c>
      <c r="S620" t="str">
        <f>Deals_Raw!S620</f>
        <v>S. Rivera</v>
      </c>
      <c r="T620" s="6">
        <f>Deals_Raw!T620</f>
        <v>598727.9542197265</v>
      </c>
      <c r="U620" s="8">
        <f>Deals_Raw!V620</f>
        <v>0</v>
      </c>
      <c r="V620" s="8">
        <f>Deals_Raw!W620</f>
        <v>0</v>
      </c>
      <c r="W620" s="8">
        <f>Deals_Raw!X620</f>
        <v>-2.5999999999999999E-2</v>
      </c>
      <c r="X620" t="str">
        <f>Deals_Raw!Y620</f>
        <v>Expansion opportunity</v>
      </c>
      <c r="Y620" t="str">
        <f>Deals_Raw!Z620</f>
        <v>Sales Manager</v>
      </c>
      <c r="Z620" s="6">
        <f>Deals_Raw!AA620</f>
        <v>598727.9542197265</v>
      </c>
      <c r="AA620" s="6">
        <f>Deals_Raw!AC620</f>
        <v>205420.93536915132</v>
      </c>
      <c r="AB620" s="6">
        <f>Deals_Raw!AD620</f>
        <v>393307.0188505752</v>
      </c>
      <c r="AC620" s="8">
        <f>Deals_Raw!AE620</f>
        <v>0.65690438550366381</v>
      </c>
      <c r="AD620" t="str">
        <f>Deals_Raw!AF620</f>
        <v>Won</v>
      </c>
      <c r="AE620">
        <f>Deals_Raw!AG620</f>
        <v>0</v>
      </c>
      <c r="AF620" t="str">
        <f>Deals_Raw!AH620</f>
        <v>Yes</v>
      </c>
      <c r="AG620" t="str">
        <f>Deals_Raw!AI620</f>
        <v>No</v>
      </c>
      <c r="AH620" s="6">
        <f>Deals_Raw!AJ620</f>
        <v>598727.9542197265</v>
      </c>
      <c r="AI620" s="6">
        <f>Deals_Raw!AK620</f>
        <v>393307.0188505752</v>
      </c>
      <c r="AJ620" t="str">
        <f>Deals_Raw!AL620</f>
        <v>Expansion allowed because contract was active</v>
      </c>
      <c r="AK620" s="9">
        <f t="shared" si="63"/>
        <v>1.1222222222222222</v>
      </c>
      <c r="AL620" s="8">
        <f t="shared" si="64"/>
        <v>1</v>
      </c>
      <c r="AM620" s="8">
        <f t="shared" si="65"/>
        <v>0</v>
      </c>
      <c r="AN620" t="str">
        <f>IF(AC620&lt;Pricing_Policy!$C$10,"Below Floor","Pass")</f>
        <v>Pass</v>
      </c>
      <c r="AO620" t="str">
        <f>IF(V620&gt;Pricing_Policy!$C$7,"Exception","Standard")</f>
        <v>Standard</v>
      </c>
      <c r="AP620" t="str">
        <f t="shared" si="66"/>
        <v>Pass</v>
      </c>
      <c r="AQ620">
        <f t="shared" si="67"/>
        <v>1</v>
      </c>
      <c r="AR620" s="8">
        <f t="shared" si="68"/>
        <v>0.65690438550366381</v>
      </c>
      <c r="AS620">
        <f t="shared" si="69"/>
        <v>3</v>
      </c>
    </row>
    <row r="621" spans="1:45">
      <c r="A621" t="str">
        <f>Deals_Raw!A621</f>
        <v>D00701</v>
      </c>
      <c r="B621">
        <f>Deals_Raw!B621</f>
        <v>45851</v>
      </c>
      <c r="C621" t="str">
        <f>Deals_Raw!C621</f>
        <v>C0169</v>
      </c>
      <c r="D621" t="str">
        <f>Deals_Raw!D621</f>
        <v>MAN-0169</v>
      </c>
      <c r="E621" t="str">
        <f>Deals_Raw!E621</f>
        <v>CT00377</v>
      </c>
      <c r="F621" t="str">
        <f>Deals_Raw!F621</f>
        <v>Corporate</v>
      </c>
      <c r="G621" t="str">
        <f>Deals_Raw!G621</f>
        <v>Manufacturing</v>
      </c>
      <c r="H621" t="str">
        <f>Deals_Raw!H621</f>
        <v>Midwest</v>
      </c>
      <c r="I621" t="str">
        <f>Deals_Raw!I621</f>
        <v>Midwest Enterprise</v>
      </c>
      <c r="J621" t="str">
        <f>Deals_Raw!J621</f>
        <v>Enterprise</v>
      </c>
      <c r="K621" t="str">
        <f>Deals_Raw!K621</f>
        <v>No</v>
      </c>
      <c r="L621">
        <f>Deals_Raw!L621</f>
        <v>45292</v>
      </c>
      <c r="M621">
        <f>Deals_Raw!M621</f>
        <v>59</v>
      </c>
      <c r="N621" t="str">
        <f>Deals_Raw!N621</f>
        <v>Nexus Compliance</v>
      </c>
      <c r="O621" t="str">
        <f>Deals_Raw!O621</f>
        <v>Renewal</v>
      </c>
      <c r="P621">
        <f>Deals_Raw!P621</f>
        <v>0</v>
      </c>
      <c r="Q621">
        <f>Deals_Raw!Q621</f>
        <v>1</v>
      </c>
      <c r="R621">
        <f>Deals_Raw!R621</f>
        <v>2301</v>
      </c>
      <c r="S621" t="str">
        <f>Deals_Raw!S621</f>
        <v>M. Johnson</v>
      </c>
      <c r="T621" s="6">
        <f>Deals_Raw!T621</f>
        <v>615394.90411878051</v>
      </c>
      <c r="U621" s="8">
        <f>Deals_Raw!V621</f>
        <v>0.129</v>
      </c>
      <c r="V621" s="8">
        <f>Deals_Raw!W621</f>
        <v>0.111</v>
      </c>
      <c r="W621" s="8">
        <f>Deals_Raw!X621</f>
        <v>-4.2000000000000003E-2</v>
      </c>
      <c r="X621" t="str">
        <f>Deals_Raw!Y621</f>
        <v>Renewal retention risk</v>
      </c>
      <c r="Y621" t="str">
        <f>Deals_Raw!Z621</f>
        <v>Pricing Analyst</v>
      </c>
      <c r="Z621" s="6">
        <f>Deals_Raw!AA621</f>
        <v>546950.80901625659</v>
      </c>
      <c r="AA621" s="6">
        <f>Deals_Raw!AC621</f>
        <v>211146.14321753284</v>
      </c>
      <c r="AB621" s="6">
        <f>Deals_Raw!AD621</f>
        <v>335804.66579872376</v>
      </c>
      <c r="AC621" s="8">
        <f>Deals_Raw!AE621</f>
        <v>0.61395770929144544</v>
      </c>
      <c r="AD621" t="str">
        <f>Deals_Raw!AF621</f>
        <v>Won</v>
      </c>
      <c r="AE621" t="str">
        <f>Deals_Raw!AG621</f>
        <v>Yes</v>
      </c>
      <c r="AF621">
        <f>Deals_Raw!AH621</f>
        <v>0</v>
      </c>
      <c r="AG621" t="str">
        <f>Deals_Raw!AI621</f>
        <v>No</v>
      </c>
      <c r="AH621" s="6">
        <f>Deals_Raw!AJ621</f>
        <v>546950.80901625659</v>
      </c>
      <c r="AI621" s="6">
        <f>Deals_Raw!AK621</f>
        <v>335804.66579872376</v>
      </c>
      <c r="AJ621" t="str">
        <f>Deals_Raw!AL621</f>
        <v>Renewal of existing active contract</v>
      </c>
      <c r="AK621" s="9">
        <f t="shared" si="63"/>
        <v>1.5333333333333334</v>
      </c>
      <c r="AL621" s="8">
        <f t="shared" si="64"/>
        <v>0.88878020496361931</v>
      </c>
      <c r="AM621" s="8">
        <f t="shared" si="65"/>
        <v>1.8000000000000002E-2</v>
      </c>
      <c r="AN621" t="str">
        <f>IF(AC621&lt;Pricing_Policy!$C$10,"Below Floor","Pass")</f>
        <v>Pass</v>
      </c>
      <c r="AO621" t="str">
        <f>IF(V621&gt;Pricing_Policy!$C$7,"Exception","Standard")</f>
        <v>Standard</v>
      </c>
      <c r="AP621" t="str">
        <f t="shared" si="66"/>
        <v>Pass</v>
      </c>
      <c r="AQ621">
        <f t="shared" si="67"/>
        <v>1</v>
      </c>
      <c r="AR621" s="8">
        <f t="shared" si="68"/>
        <v>0.61395770929144544</v>
      </c>
      <c r="AS621">
        <f t="shared" si="69"/>
        <v>3</v>
      </c>
    </row>
    <row r="622" spans="1:45">
      <c r="A622" t="str">
        <f>Deals_Raw!A622</f>
        <v>D00702</v>
      </c>
      <c r="B622">
        <f>Deals_Raw!B622</f>
        <v>45825</v>
      </c>
      <c r="C622" t="str">
        <f>Deals_Raw!C622</f>
        <v>C0170</v>
      </c>
      <c r="D622" t="str">
        <f>Deals_Raw!D622</f>
        <v>PUB-0170</v>
      </c>
      <c r="E622" t="str">
        <f>Deals_Raw!E622</f>
        <v>CT00378</v>
      </c>
      <c r="F622" t="str">
        <f>Deals_Raw!F622</f>
        <v>Corporate</v>
      </c>
      <c r="G622" t="str">
        <f>Deals_Raw!G622</f>
        <v>Public Sector</v>
      </c>
      <c r="H622" t="str">
        <f>Deals_Raw!H622</f>
        <v>Midwest</v>
      </c>
      <c r="I622" t="str">
        <f>Deals_Raw!I622</f>
        <v>Midwest Commercial</v>
      </c>
      <c r="J622" t="str">
        <f>Deals_Raw!J622</f>
        <v>Mid-Market</v>
      </c>
      <c r="K622" t="str">
        <f>Deals_Raw!K622</f>
        <v>No</v>
      </c>
      <c r="L622">
        <f>Deals_Raw!L622</f>
        <v>45352</v>
      </c>
      <c r="M622">
        <f>Deals_Raw!M622</f>
        <v>84</v>
      </c>
      <c r="N622" t="str">
        <f>Deals_Raw!N622</f>
        <v>Nexus Analytics</v>
      </c>
      <c r="O622" t="str">
        <f>Deals_Raw!O622</f>
        <v>New Business</v>
      </c>
      <c r="P622">
        <f>Deals_Raw!P622</f>
        <v>0</v>
      </c>
      <c r="Q622">
        <f>Deals_Raw!Q622</f>
        <v>1</v>
      </c>
      <c r="R622">
        <f>Deals_Raw!R622</f>
        <v>220</v>
      </c>
      <c r="S622" t="str">
        <f>Deals_Raw!S622</f>
        <v>M. Johnson</v>
      </c>
      <c r="T622" s="6">
        <f>Deals_Raw!T622</f>
        <v>131366.83531693221</v>
      </c>
      <c r="U622" s="8">
        <f>Deals_Raw!V622</f>
        <v>0.222</v>
      </c>
      <c r="V622" s="8">
        <f>Deals_Raw!W622</f>
        <v>0.17499999999999999</v>
      </c>
      <c r="W622" s="8">
        <f>Deals_Raw!X622</f>
        <v>-2.1000000000000001E-2</v>
      </c>
      <c r="X622" t="str">
        <f>Deals_Raw!Y622</f>
        <v>Multi-year commitment</v>
      </c>
      <c r="Y622" t="str">
        <f>Deals_Raw!Z622</f>
        <v>Pricing Analyst</v>
      </c>
      <c r="Z622" s="6">
        <f>Deals_Raw!AA622</f>
        <v>108339.6412667308</v>
      </c>
      <c r="AA622" s="6">
        <f>Deals_Raw!AC622</f>
        <v>44456.838373403807</v>
      </c>
      <c r="AB622" s="6">
        <f>Deals_Raw!AD622</f>
        <v>63882.802893326996</v>
      </c>
      <c r="AC622" s="8">
        <f>Deals_Raw!AE622</f>
        <v>0.58965307754756502</v>
      </c>
      <c r="AD622" t="str">
        <f>Deals_Raw!AF622</f>
        <v>Lost</v>
      </c>
      <c r="AE622">
        <f>Deals_Raw!AG622</f>
        <v>0</v>
      </c>
      <c r="AF622">
        <f>Deals_Raw!AH622</f>
        <v>0</v>
      </c>
      <c r="AG622" t="str">
        <f>Deals_Raw!AI622</f>
        <v>No</v>
      </c>
      <c r="AH622" s="6">
        <f>Deals_Raw!AJ622</f>
        <v>0</v>
      </c>
      <c r="AI622" s="6">
        <f>Deals_Raw!AK622</f>
        <v>0</v>
      </c>
      <c r="AJ622" t="str">
        <f>Deals_Raw!AL622</f>
        <v>First purchase under this contract</v>
      </c>
      <c r="AK622" s="9">
        <f t="shared" si="63"/>
        <v>1.2944444444444445</v>
      </c>
      <c r="AL622" s="8">
        <f t="shared" si="64"/>
        <v>0.82471074990391147</v>
      </c>
      <c r="AM622" s="8">
        <f t="shared" si="65"/>
        <v>4.7000000000000014E-2</v>
      </c>
      <c r="AN622" t="str">
        <f>IF(AC622&lt;Pricing_Policy!$C$10,"Below Floor","Pass")</f>
        <v>Pass</v>
      </c>
      <c r="AO622" t="str">
        <f>IF(V622&gt;Pricing_Policy!$C$7,"Exception","Standard")</f>
        <v>Standard</v>
      </c>
      <c r="AP622" t="str">
        <f t="shared" si="66"/>
        <v>Pass</v>
      </c>
      <c r="AQ622">
        <f t="shared" si="67"/>
        <v>0</v>
      </c>
      <c r="AR622" s="8">
        <f t="shared" si="68"/>
        <v>0</v>
      </c>
      <c r="AS622">
        <f t="shared" si="69"/>
        <v>1</v>
      </c>
    </row>
    <row r="623" spans="1:45">
      <c r="A623" t="str">
        <f>Deals_Raw!A623</f>
        <v>D00703</v>
      </c>
      <c r="B623">
        <f>Deals_Raw!B623</f>
        <v>45618</v>
      </c>
      <c r="C623" t="str">
        <f>Deals_Raw!C623</f>
        <v>C0171</v>
      </c>
      <c r="D623" t="str">
        <f>Deals_Raw!D623</f>
        <v>MAN-0171</v>
      </c>
      <c r="E623" t="str">
        <f>Deals_Raw!E623</f>
        <v>CT00380</v>
      </c>
      <c r="F623" t="str">
        <f>Deals_Raw!F623</f>
        <v>Legal</v>
      </c>
      <c r="G623" t="str">
        <f>Deals_Raw!G623</f>
        <v>Manufacturing</v>
      </c>
      <c r="H623" t="str">
        <f>Deals_Raw!H623</f>
        <v>South</v>
      </c>
      <c r="I623" t="str">
        <f>Deals_Raw!I623</f>
        <v>South Commercial</v>
      </c>
      <c r="J623" t="str">
        <f>Deals_Raw!J623</f>
        <v>SMB</v>
      </c>
      <c r="K623" t="str">
        <f>Deals_Raw!K623</f>
        <v>No</v>
      </c>
      <c r="L623">
        <f>Deals_Raw!L623</f>
        <v>44986</v>
      </c>
      <c r="M623">
        <f>Deals_Raw!M623</f>
        <v>49</v>
      </c>
      <c r="N623" t="str">
        <f>Deals_Raw!N623</f>
        <v>Nexus Analytics</v>
      </c>
      <c r="O623" t="str">
        <f>Deals_Raw!O623</f>
        <v>Renewal</v>
      </c>
      <c r="P623">
        <f>Deals_Raw!P623</f>
        <v>0</v>
      </c>
      <c r="Q623">
        <f>Deals_Raw!Q623</f>
        <v>1</v>
      </c>
      <c r="R623">
        <f>Deals_Raw!R623</f>
        <v>64</v>
      </c>
      <c r="S623" t="str">
        <f>Deals_Raw!S623</f>
        <v>R. Singh</v>
      </c>
      <c r="T623" s="6">
        <f>Deals_Raw!T623</f>
        <v>47663.573901775708</v>
      </c>
      <c r="U623" s="8">
        <f>Deals_Raw!V623</f>
        <v>0.19400000000000001</v>
      </c>
      <c r="V623" s="8">
        <f>Deals_Raw!W623</f>
        <v>0.16900000000000001</v>
      </c>
      <c r="W623" s="8">
        <f>Deals_Raw!X623</f>
        <v>-0.122</v>
      </c>
      <c r="X623" t="str">
        <f>Deals_Raw!Y623</f>
        <v>Renewal retention risk</v>
      </c>
      <c r="Y623" t="str">
        <f>Deals_Raw!Z623</f>
        <v>Pricing Analyst</v>
      </c>
      <c r="Z623" s="6">
        <f>Deals_Raw!AA623</f>
        <v>39591.755355519817</v>
      </c>
      <c r="AA623" s="6">
        <f>Deals_Raw!AC623</f>
        <v>15910.797375989599</v>
      </c>
      <c r="AB623" s="6">
        <f>Deals_Raw!AD623</f>
        <v>23680.95797953022</v>
      </c>
      <c r="AC623" s="8">
        <f>Deals_Raw!AE623</f>
        <v>0.59812851859897798</v>
      </c>
      <c r="AD623" t="str">
        <f>Deals_Raw!AF623</f>
        <v>Won</v>
      </c>
      <c r="AE623" t="str">
        <f>Deals_Raw!AG623</f>
        <v>Yes</v>
      </c>
      <c r="AF623">
        <f>Deals_Raw!AH623</f>
        <v>0</v>
      </c>
      <c r="AG623" t="str">
        <f>Deals_Raw!AI623</f>
        <v>No</v>
      </c>
      <c r="AH623" s="6">
        <f>Deals_Raw!AJ623</f>
        <v>39591.755355519817</v>
      </c>
      <c r="AI623" s="6">
        <f>Deals_Raw!AK623</f>
        <v>23680.95797953022</v>
      </c>
      <c r="AJ623" t="str">
        <f>Deals_Raw!AL623</f>
        <v>Renewal of existing active contract</v>
      </c>
      <c r="AK623" s="9">
        <f t="shared" si="63"/>
        <v>1.7250000000000001</v>
      </c>
      <c r="AL623" s="8">
        <f t="shared" si="64"/>
        <v>0.8306501614232672</v>
      </c>
      <c r="AM623" s="8">
        <f t="shared" si="65"/>
        <v>2.4999999999999994E-2</v>
      </c>
      <c r="AN623" t="str">
        <f>IF(AC623&lt;Pricing_Policy!$C$10,"Below Floor","Pass")</f>
        <v>Pass</v>
      </c>
      <c r="AO623" t="str">
        <f>IF(V623&gt;Pricing_Policy!$C$7,"Exception","Standard")</f>
        <v>Standard</v>
      </c>
      <c r="AP623" t="str">
        <f t="shared" si="66"/>
        <v>Pass</v>
      </c>
      <c r="AQ623">
        <f t="shared" si="67"/>
        <v>1</v>
      </c>
      <c r="AR623" s="8">
        <f t="shared" si="68"/>
        <v>0.59812851859897798</v>
      </c>
      <c r="AS623">
        <f t="shared" si="69"/>
        <v>2</v>
      </c>
    </row>
    <row r="624" spans="1:45">
      <c r="A624" t="str">
        <f>Deals_Raw!A624</f>
        <v>D00704</v>
      </c>
      <c r="B624">
        <f>Deals_Raw!B624</f>
        <v>45983</v>
      </c>
      <c r="C624" t="str">
        <f>Deals_Raw!C624</f>
        <v>C0171</v>
      </c>
      <c r="D624" t="str">
        <f>Deals_Raw!D624</f>
        <v>MAN-0171</v>
      </c>
      <c r="E624" t="str">
        <f>Deals_Raw!E624</f>
        <v>CT00380</v>
      </c>
      <c r="F624" t="str">
        <f>Deals_Raw!F624</f>
        <v>Legal</v>
      </c>
      <c r="G624" t="str">
        <f>Deals_Raw!G624</f>
        <v>Manufacturing</v>
      </c>
      <c r="H624" t="str">
        <f>Deals_Raw!H624</f>
        <v>South</v>
      </c>
      <c r="I624" t="str">
        <f>Deals_Raw!I624</f>
        <v>South Commercial</v>
      </c>
      <c r="J624" t="str">
        <f>Deals_Raw!J624</f>
        <v>SMB</v>
      </c>
      <c r="K624" t="str">
        <f>Deals_Raw!K624</f>
        <v>No</v>
      </c>
      <c r="L624">
        <f>Deals_Raw!L624</f>
        <v>44986</v>
      </c>
      <c r="M624">
        <f>Deals_Raw!M624</f>
        <v>49</v>
      </c>
      <c r="N624" t="str">
        <f>Deals_Raw!N624</f>
        <v>Nexus Analytics</v>
      </c>
      <c r="O624" t="str">
        <f>Deals_Raw!O624</f>
        <v>Renewal</v>
      </c>
      <c r="P624">
        <f>Deals_Raw!P624</f>
        <v>0</v>
      </c>
      <c r="Q624">
        <f>Deals_Raw!Q624</f>
        <v>1</v>
      </c>
      <c r="R624">
        <f>Deals_Raw!R624</f>
        <v>64</v>
      </c>
      <c r="S624" t="str">
        <f>Deals_Raw!S624</f>
        <v>S. Rivera</v>
      </c>
      <c r="T624" s="6">
        <f>Deals_Raw!T624</f>
        <v>49724.270669183483</v>
      </c>
      <c r="U624" s="8">
        <f>Deals_Raw!V624</f>
        <v>0.122</v>
      </c>
      <c r="V624" s="8">
        <f>Deals_Raw!W624</f>
        <v>9.9000000000000005E-2</v>
      </c>
      <c r="W624" s="8">
        <f>Deals_Raw!X624</f>
        <v>-0.17599999999999999</v>
      </c>
      <c r="X624" t="str">
        <f>Deals_Raw!Y624</f>
        <v>Renewal retention risk</v>
      </c>
      <c r="Y624" t="str">
        <f>Deals_Raw!Z624</f>
        <v>Sales Manager</v>
      </c>
      <c r="Z624" s="6">
        <f>Deals_Raw!AA624</f>
        <v>44825.925652125981</v>
      </c>
      <c r="AA624" s="6">
        <f>Deals_Raw!AC624</f>
        <v>14566.246682311774</v>
      </c>
      <c r="AB624" s="6">
        <f>Deals_Raw!AD624</f>
        <v>30259.678969814209</v>
      </c>
      <c r="AC624" s="8">
        <f>Deals_Raw!AE624</f>
        <v>0.67504861371176317</v>
      </c>
      <c r="AD624" t="str">
        <f>Deals_Raw!AF624</f>
        <v>Lost</v>
      </c>
      <c r="AE624" t="str">
        <f>Deals_Raw!AG624</f>
        <v>No</v>
      </c>
      <c r="AF624">
        <f>Deals_Raw!AH624</f>
        <v>0</v>
      </c>
      <c r="AG624" t="str">
        <f>Deals_Raw!AI624</f>
        <v>No</v>
      </c>
      <c r="AH624" s="6">
        <f>Deals_Raw!AJ624</f>
        <v>0</v>
      </c>
      <c r="AI624" s="6">
        <f>Deals_Raw!AK624</f>
        <v>0</v>
      </c>
      <c r="AJ624" t="str">
        <f>Deals_Raw!AL624</f>
        <v>Renewal of existing active contract</v>
      </c>
      <c r="AK624" s="9">
        <f t="shared" si="63"/>
        <v>2.7250000000000001</v>
      </c>
      <c r="AL624" s="8">
        <f t="shared" si="64"/>
        <v>0.9014898569423716</v>
      </c>
      <c r="AM624" s="8">
        <f t="shared" si="65"/>
        <v>2.2999999999999993E-2</v>
      </c>
      <c r="AN624" t="str">
        <f>IF(AC624&lt;Pricing_Policy!$C$10,"Below Floor","Pass")</f>
        <v>Pass</v>
      </c>
      <c r="AO624" t="str">
        <f>IF(V624&gt;Pricing_Policy!$C$7,"Exception","Standard")</f>
        <v>Standard</v>
      </c>
      <c r="AP624" t="str">
        <f t="shared" si="66"/>
        <v>Pass</v>
      </c>
      <c r="AQ624">
        <f t="shared" si="67"/>
        <v>0</v>
      </c>
      <c r="AR624" s="8">
        <f t="shared" si="68"/>
        <v>0</v>
      </c>
      <c r="AS624">
        <f t="shared" si="69"/>
        <v>2</v>
      </c>
    </row>
    <row r="625" spans="1:45">
      <c r="A625" t="str">
        <f>Deals_Raw!A625</f>
        <v>D00705</v>
      </c>
      <c r="B625">
        <f>Deals_Raw!B625</f>
        <v>45798</v>
      </c>
      <c r="C625" t="str">
        <f>Deals_Raw!C625</f>
        <v>C0171</v>
      </c>
      <c r="D625" t="str">
        <f>Deals_Raw!D625</f>
        <v>MAN-0171</v>
      </c>
      <c r="E625" t="str">
        <f>Deals_Raw!E625</f>
        <v>CT00381</v>
      </c>
      <c r="F625" t="str">
        <f>Deals_Raw!F625</f>
        <v>Corporate</v>
      </c>
      <c r="G625" t="str">
        <f>Deals_Raw!G625</f>
        <v>Manufacturing</v>
      </c>
      <c r="H625" t="str">
        <f>Deals_Raw!H625</f>
        <v>South</v>
      </c>
      <c r="I625" t="str">
        <f>Deals_Raw!I625</f>
        <v>South Commercial</v>
      </c>
      <c r="J625" t="str">
        <f>Deals_Raw!J625</f>
        <v>SMB</v>
      </c>
      <c r="K625" t="str">
        <f>Deals_Raw!K625</f>
        <v>No</v>
      </c>
      <c r="L625">
        <f>Deals_Raw!L625</f>
        <v>44986</v>
      </c>
      <c r="M625">
        <f>Deals_Raw!M625</f>
        <v>49</v>
      </c>
      <c r="N625" t="str">
        <f>Deals_Raw!N625</f>
        <v>Nexus Compliance</v>
      </c>
      <c r="O625" t="str">
        <f>Deals_Raw!O625</f>
        <v>New Business</v>
      </c>
      <c r="P625">
        <f>Deals_Raw!P625</f>
        <v>0</v>
      </c>
      <c r="Q625">
        <f>Deals_Raw!Q625</f>
        <v>1</v>
      </c>
      <c r="R625">
        <f>Deals_Raw!R625</f>
        <v>78</v>
      </c>
      <c r="S625" t="str">
        <f>Deals_Raw!S625</f>
        <v>D. Chen</v>
      </c>
      <c r="T625" s="6">
        <f>Deals_Raw!T625</f>
        <v>59547.136322525272</v>
      </c>
      <c r="U625" s="8">
        <f>Deals_Raw!V625</f>
        <v>0.16500000000000001</v>
      </c>
      <c r="V625" s="8">
        <f>Deals_Raw!W625</f>
        <v>0.13800000000000001</v>
      </c>
      <c r="W625" s="8">
        <f>Deals_Raw!X625</f>
        <v>0</v>
      </c>
      <c r="X625" t="str">
        <f>Deals_Raw!Y625</f>
        <v>Expansion opportunity</v>
      </c>
      <c r="Y625" t="str">
        <f>Deals_Raw!Z625</f>
        <v>Pricing Analyst</v>
      </c>
      <c r="Z625" s="6">
        <f>Deals_Raw!AA625</f>
        <v>51313.062388583123</v>
      </c>
      <c r="AA625" s="6">
        <f>Deals_Raw!AC625</f>
        <v>21365.141282767519</v>
      </c>
      <c r="AB625" s="6">
        <f>Deals_Raw!AD625</f>
        <v>29947.921105815603</v>
      </c>
      <c r="AC625" s="8">
        <f>Deals_Raw!AE625</f>
        <v>0.58363152990219602</v>
      </c>
      <c r="AD625" t="str">
        <f>Deals_Raw!AF625</f>
        <v>Won</v>
      </c>
      <c r="AE625">
        <f>Deals_Raw!AG625</f>
        <v>0</v>
      </c>
      <c r="AF625">
        <f>Deals_Raw!AH625</f>
        <v>0</v>
      </c>
      <c r="AG625" t="str">
        <f>Deals_Raw!AI625</f>
        <v>No</v>
      </c>
      <c r="AH625" s="6">
        <f>Deals_Raw!AJ625</f>
        <v>51313.062388583123</v>
      </c>
      <c r="AI625" s="6">
        <f>Deals_Raw!AK625</f>
        <v>29947.921105815603</v>
      </c>
      <c r="AJ625" t="str">
        <f>Deals_Raw!AL625</f>
        <v>First purchase under this contract</v>
      </c>
      <c r="AK625" s="9">
        <f t="shared" si="63"/>
        <v>2.2222222222222223</v>
      </c>
      <c r="AL625" s="8">
        <f t="shared" si="64"/>
        <v>0.86172174780422828</v>
      </c>
      <c r="AM625" s="8">
        <f t="shared" si="65"/>
        <v>2.6999999999999996E-2</v>
      </c>
      <c r="AN625" t="str">
        <f>IF(AC625&lt;Pricing_Policy!$C$10,"Below Floor","Pass")</f>
        <v>Pass</v>
      </c>
      <c r="AO625" t="str">
        <f>IF(V625&gt;Pricing_Policy!$C$7,"Exception","Standard")</f>
        <v>Standard</v>
      </c>
      <c r="AP625" t="str">
        <f t="shared" si="66"/>
        <v>Pass</v>
      </c>
      <c r="AQ625">
        <f t="shared" si="67"/>
        <v>1</v>
      </c>
      <c r="AR625" s="8">
        <f t="shared" si="68"/>
        <v>0.58363152990219602</v>
      </c>
      <c r="AS625">
        <f t="shared" si="69"/>
        <v>1</v>
      </c>
    </row>
    <row r="626" spans="1:45">
      <c r="A626" t="str">
        <f>Deals_Raw!A626</f>
        <v>D00706</v>
      </c>
      <c r="B626">
        <f>Deals_Raw!B626</f>
        <v>45748</v>
      </c>
      <c r="C626" t="str">
        <f>Deals_Raw!C626</f>
        <v>C0172</v>
      </c>
      <c r="D626" t="str">
        <f>Deals_Raw!D626</f>
        <v>PUB-0172</v>
      </c>
      <c r="E626" t="str">
        <f>Deals_Raw!E626</f>
        <v>CT00382</v>
      </c>
      <c r="F626" t="str">
        <f>Deals_Raw!F626</f>
        <v>Technology</v>
      </c>
      <c r="G626" t="str">
        <f>Deals_Raw!G626</f>
        <v>Public Sector</v>
      </c>
      <c r="H626" t="str">
        <f>Deals_Raw!H626</f>
        <v>Midwest</v>
      </c>
      <c r="I626" t="str">
        <f>Deals_Raw!I626</f>
        <v>Midwest Commercial</v>
      </c>
      <c r="J626" t="str">
        <f>Deals_Raw!J626</f>
        <v>Mid-Market</v>
      </c>
      <c r="K626" t="str">
        <f>Deals_Raw!K626</f>
        <v>No</v>
      </c>
      <c r="L626">
        <f>Deals_Raw!L626</f>
        <v>45231</v>
      </c>
      <c r="M626">
        <f>Deals_Raw!M626</f>
        <v>77</v>
      </c>
      <c r="N626" t="str">
        <f>Deals_Raw!N626</f>
        <v>Nexus Enterprise Suite</v>
      </c>
      <c r="O626" t="str">
        <f>Deals_Raw!O626</f>
        <v>New Business</v>
      </c>
      <c r="P626">
        <f>Deals_Raw!P626</f>
        <v>0</v>
      </c>
      <c r="Q626">
        <f>Deals_Raw!Q626</f>
        <v>3</v>
      </c>
      <c r="R626">
        <f>Deals_Raw!R626</f>
        <v>296</v>
      </c>
      <c r="S626" t="str">
        <f>Deals_Raw!S626</f>
        <v>K. Nguyen</v>
      </c>
      <c r="T626" s="6">
        <f>Deals_Raw!T626</f>
        <v>327620.09483944299</v>
      </c>
      <c r="U626" s="8">
        <f>Deals_Raw!V626</f>
        <v>0.153</v>
      </c>
      <c r="V626" s="8">
        <f>Deals_Raw!W626</f>
        <v>0.13100000000000001</v>
      </c>
      <c r="W626" s="8">
        <f>Deals_Raw!X626</f>
        <v>-0.14899999999999999</v>
      </c>
      <c r="X626" t="str">
        <f>Deals_Raw!Y626</f>
        <v>Strategic logo opportunity</v>
      </c>
      <c r="Y626" t="str">
        <f>Deals_Raw!Z626</f>
        <v>Pricing Analyst</v>
      </c>
      <c r="Z626" s="6">
        <f>Deals_Raw!AA626</f>
        <v>284547.08656969731</v>
      </c>
      <c r="AA626" s="6">
        <f>Deals_Raw!AC626</f>
        <v>125109.05154186637</v>
      </c>
      <c r="AB626" s="6">
        <f>Deals_Raw!AD626</f>
        <v>159438.03502783092</v>
      </c>
      <c r="AC626" s="8">
        <f>Deals_Raw!AE626</f>
        <v>0.56032214896277976</v>
      </c>
      <c r="AD626" t="str">
        <f>Deals_Raw!AF626</f>
        <v>Lost</v>
      </c>
      <c r="AE626">
        <f>Deals_Raw!AG626</f>
        <v>0</v>
      </c>
      <c r="AF626">
        <f>Deals_Raw!AH626</f>
        <v>0</v>
      </c>
      <c r="AG626" t="str">
        <f>Deals_Raw!AI626</f>
        <v>No</v>
      </c>
      <c r="AH626" s="6">
        <f>Deals_Raw!AJ626</f>
        <v>0</v>
      </c>
      <c r="AI626" s="6">
        <f>Deals_Raw!AK626</f>
        <v>0</v>
      </c>
      <c r="AJ626" t="str">
        <f>Deals_Raw!AL626</f>
        <v>First purchase under this contract</v>
      </c>
      <c r="AK626" s="9">
        <f t="shared" si="63"/>
        <v>1.4166666666666667</v>
      </c>
      <c r="AL626" s="8">
        <f t="shared" si="64"/>
        <v>0.86852757523663349</v>
      </c>
      <c r="AM626" s="8">
        <f t="shared" si="65"/>
        <v>2.1999999999999992E-2</v>
      </c>
      <c r="AN626" t="str">
        <f>IF(AC626&lt;Pricing_Policy!$C$10,"Below Floor","Pass")</f>
        <v>Pass</v>
      </c>
      <c r="AO626" t="str">
        <f>IF(V626&gt;Pricing_Policy!$C$7,"Exception","Standard")</f>
        <v>Standard</v>
      </c>
      <c r="AP626" t="str">
        <f t="shared" si="66"/>
        <v>Pass</v>
      </c>
      <c r="AQ626">
        <f t="shared" si="67"/>
        <v>0</v>
      </c>
      <c r="AR626" s="8">
        <f t="shared" si="68"/>
        <v>0</v>
      </c>
      <c r="AS626">
        <f t="shared" si="69"/>
        <v>2</v>
      </c>
    </row>
    <row r="627" spans="1:45">
      <c r="A627" t="str">
        <f>Deals_Raw!A627</f>
        <v>D00707</v>
      </c>
      <c r="B627">
        <f>Deals_Raw!B627</f>
        <v>45526</v>
      </c>
      <c r="C627" t="str">
        <f>Deals_Raw!C627</f>
        <v>C0172</v>
      </c>
      <c r="D627" t="str">
        <f>Deals_Raw!D627</f>
        <v>PUB-0172</v>
      </c>
      <c r="E627" t="str">
        <f>Deals_Raw!E627</f>
        <v>CT00383</v>
      </c>
      <c r="F627" t="str">
        <f>Deals_Raw!F627</f>
        <v>Finance</v>
      </c>
      <c r="G627" t="str">
        <f>Deals_Raw!G627</f>
        <v>Public Sector</v>
      </c>
      <c r="H627" t="str">
        <f>Deals_Raw!H627</f>
        <v>Midwest</v>
      </c>
      <c r="I627" t="str">
        <f>Deals_Raw!I627</f>
        <v>Midwest Commercial</v>
      </c>
      <c r="J627" t="str">
        <f>Deals_Raw!J627</f>
        <v>Mid-Market</v>
      </c>
      <c r="K627" t="str">
        <f>Deals_Raw!K627</f>
        <v>No</v>
      </c>
      <c r="L627">
        <f>Deals_Raw!L627</f>
        <v>45231</v>
      </c>
      <c r="M627">
        <f>Deals_Raw!M627</f>
        <v>77</v>
      </c>
      <c r="N627" t="str">
        <f>Deals_Raw!N627</f>
        <v>Nexus Enterprise Suite</v>
      </c>
      <c r="O627" t="str">
        <f>Deals_Raw!O627</f>
        <v>New Business</v>
      </c>
      <c r="P627">
        <f>Deals_Raw!P627</f>
        <v>0</v>
      </c>
      <c r="Q627">
        <f>Deals_Raw!Q627</f>
        <v>3</v>
      </c>
      <c r="R627">
        <f>Deals_Raw!R627</f>
        <v>334</v>
      </c>
      <c r="S627" t="str">
        <f>Deals_Raw!S627</f>
        <v>R. Singh</v>
      </c>
      <c r="T627" s="6">
        <f>Deals_Raw!T627</f>
        <v>229178.93221824063</v>
      </c>
      <c r="U627" s="8">
        <f>Deals_Raw!V627</f>
        <v>0.182</v>
      </c>
      <c r="V627" s="8">
        <f>Deals_Raw!W627</f>
        <v>0.13600000000000001</v>
      </c>
      <c r="W627" s="8">
        <f>Deals_Raw!X627</f>
        <v>-8.4000000000000005E-2</v>
      </c>
      <c r="X627" t="str">
        <f>Deals_Raw!Y627</f>
        <v>Strategic logo opportunity</v>
      </c>
      <c r="Y627" t="str">
        <f>Deals_Raw!Z627</f>
        <v>Pricing Analyst</v>
      </c>
      <c r="Z627" s="6">
        <f>Deals_Raw!AA627</f>
        <v>198001.32355710739</v>
      </c>
      <c r="AA627" s="6">
        <f>Deals_Raw!AC627</f>
        <v>88867.144309777272</v>
      </c>
      <c r="AB627" s="6">
        <f>Deals_Raw!AD627</f>
        <v>109134.17924733012</v>
      </c>
      <c r="AC627" s="8">
        <f>Deals_Raw!AE627</f>
        <v>0.55117903904240173</v>
      </c>
      <c r="AD627" t="str">
        <f>Deals_Raw!AF627</f>
        <v>Lost</v>
      </c>
      <c r="AE627">
        <f>Deals_Raw!AG627</f>
        <v>0</v>
      </c>
      <c r="AF627">
        <f>Deals_Raw!AH627</f>
        <v>0</v>
      </c>
      <c r="AG627" t="str">
        <f>Deals_Raw!AI627</f>
        <v>No</v>
      </c>
      <c r="AH627" s="6">
        <f>Deals_Raw!AJ627</f>
        <v>0</v>
      </c>
      <c r="AI627" s="6">
        <f>Deals_Raw!AK627</f>
        <v>0</v>
      </c>
      <c r="AJ627" t="str">
        <f>Deals_Raw!AL627</f>
        <v>First purchase under this contract</v>
      </c>
      <c r="AK627" s="9">
        <f t="shared" si="63"/>
        <v>0.80833333333333335</v>
      </c>
      <c r="AL627" s="8">
        <f t="shared" si="64"/>
        <v>0.86395953432820916</v>
      </c>
      <c r="AM627" s="8">
        <f t="shared" si="65"/>
        <v>4.5999999999999985E-2</v>
      </c>
      <c r="AN627" t="str">
        <f>IF(AC627&lt;Pricing_Policy!$C$10,"Below Floor","Pass")</f>
        <v>Pass</v>
      </c>
      <c r="AO627" t="str">
        <f>IF(V627&gt;Pricing_Policy!$C$7,"Exception","Standard")</f>
        <v>Standard</v>
      </c>
      <c r="AP627" t="str">
        <f t="shared" si="66"/>
        <v>Pass</v>
      </c>
      <c r="AQ627">
        <f t="shared" si="67"/>
        <v>0</v>
      </c>
      <c r="AR627" s="8">
        <f t="shared" si="68"/>
        <v>0</v>
      </c>
      <c r="AS627">
        <f t="shared" si="69"/>
        <v>2</v>
      </c>
    </row>
    <row r="628" spans="1:45">
      <c r="A628" t="str">
        <f>Deals_Raw!A628</f>
        <v>D00708</v>
      </c>
      <c r="B628">
        <f>Deals_Raw!B628</f>
        <v>45439</v>
      </c>
      <c r="C628" t="str">
        <f>Deals_Raw!C628</f>
        <v>C0174</v>
      </c>
      <c r="D628" t="str">
        <f>Deals_Raw!D628</f>
        <v>PUB-0174</v>
      </c>
      <c r="E628" t="str">
        <f>Deals_Raw!E628</f>
        <v>CT00387</v>
      </c>
      <c r="F628" t="str">
        <f>Deals_Raw!F628</f>
        <v>Corporate</v>
      </c>
      <c r="G628" t="str">
        <f>Deals_Raw!G628</f>
        <v>Public Sector</v>
      </c>
      <c r="H628" t="str">
        <f>Deals_Raw!H628</f>
        <v>Midwest</v>
      </c>
      <c r="I628" t="str">
        <f>Deals_Raw!I628</f>
        <v>Midwest Enterprise</v>
      </c>
      <c r="J628" t="str">
        <f>Deals_Raw!J628</f>
        <v>Enterprise</v>
      </c>
      <c r="K628" t="str">
        <f>Deals_Raw!K628</f>
        <v>No</v>
      </c>
      <c r="L628">
        <f>Deals_Raw!L628</f>
        <v>45231</v>
      </c>
      <c r="M628">
        <f>Deals_Raw!M628</f>
        <v>30</v>
      </c>
      <c r="N628" t="str">
        <f>Deals_Raw!N628</f>
        <v>Nexus Compliance</v>
      </c>
      <c r="O628" t="str">
        <f>Deals_Raw!O628</f>
        <v>New Business</v>
      </c>
      <c r="P628">
        <f>Deals_Raw!P628</f>
        <v>0</v>
      </c>
      <c r="Q628">
        <f>Deals_Raw!Q628</f>
        <v>3</v>
      </c>
      <c r="R628">
        <f>Deals_Raw!R628</f>
        <v>373</v>
      </c>
      <c r="S628" t="str">
        <f>Deals_Raw!S628</f>
        <v>R. Singh</v>
      </c>
      <c r="T628" s="6">
        <f>Deals_Raw!T628</f>
        <v>269285.25593962171</v>
      </c>
      <c r="U628" s="8">
        <f>Deals_Raw!V628</f>
        <v>0.20399999999999999</v>
      </c>
      <c r="V628" s="8">
        <f>Deals_Raw!W628</f>
        <v>0.188</v>
      </c>
      <c r="W628" s="8">
        <f>Deals_Raw!X628</f>
        <v>-4.7E-2</v>
      </c>
      <c r="X628" t="str">
        <f>Deals_Raw!Y628</f>
        <v>Procurement requirement</v>
      </c>
      <c r="Y628" t="str">
        <f>Deals_Raw!Z628</f>
        <v>Pricing Analyst</v>
      </c>
      <c r="Z628" s="6">
        <f>Deals_Raw!AA628</f>
        <v>218677.71371724931</v>
      </c>
      <c r="AA628" s="6">
        <f>Deals_Raw!AC628</f>
        <v>113477.3151391562</v>
      </c>
      <c r="AB628" s="6">
        <f>Deals_Raw!AD628</f>
        <v>105200.39857809311</v>
      </c>
      <c r="AC628" s="8">
        <f>Deals_Raw!AE628</f>
        <v>0.4810750798049655</v>
      </c>
      <c r="AD628" t="str">
        <f>Deals_Raw!AF628</f>
        <v>Lost</v>
      </c>
      <c r="AE628">
        <f>Deals_Raw!AG628</f>
        <v>0</v>
      </c>
      <c r="AF628">
        <f>Deals_Raw!AH628</f>
        <v>0</v>
      </c>
      <c r="AG628" t="str">
        <f>Deals_Raw!AI628</f>
        <v>No</v>
      </c>
      <c r="AH628" s="6">
        <f>Deals_Raw!AJ628</f>
        <v>0</v>
      </c>
      <c r="AI628" s="6">
        <f>Deals_Raw!AK628</f>
        <v>0</v>
      </c>
      <c r="AJ628" t="str">
        <f>Deals_Raw!AL628</f>
        <v>First purchase under this contract</v>
      </c>
      <c r="AK628" s="9">
        <f t="shared" si="63"/>
        <v>0.57222222222222219</v>
      </c>
      <c r="AL628" s="8">
        <f t="shared" si="64"/>
        <v>0.81206716258643041</v>
      </c>
      <c r="AM628" s="8">
        <f t="shared" si="65"/>
        <v>1.5999999999999986E-2</v>
      </c>
      <c r="AN628" t="str">
        <f>IF(AC628&lt;Pricing_Policy!$C$10,"Below Floor","Pass")</f>
        <v>Pass</v>
      </c>
      <c r="AO628" t="str">
        <f>IF(V628&gt;Pricing_Policy!$C$7,"Exception","Standard")</f>
        <v>Standard</v>
      </c>
      <c r="AP628" t="str">
        <f t="shared" si="66"/>
        <v>Pass</v>
      </c>
      <c r="AQ628">
        <f t="shared" si="67"/>
        <v>0</v>
      </c>
      <c r="AR628" s="8">
        <f t="shared" si="68"/>
        <v>0</v>
      </c>
      <c r="AS628">
        <f t="shared" si="69"/>
        <v>1</v>
      </c>
    </row>
    <row r="629" spans="1:45">
      <c r="A629" t="str">
        <f>Deals_Raw!A629</f>
        <v>D00709</v>
      </c>
      <c r="B629">
        <f>Deals_Raw!B629</f>
        <v>45760</v>
      </c>
      <c r="C629" t="str">
        <f>Deals_Raw!C629</f>
        <v>C0174</v>
      </c>
      <c r="D629" t="str">
        <f>Deals_Raw!D629</f>
        <v>PUB-0174</v>
      </c>
      <c r="E629" t="str">
        <f>Deals_Raw!E629</f>
        <v>CT00388</v>
      </c>
      <c r="F629" t="str">
        <f>Deals_Raw!F629</f>
        <v>Operations</v>
      </c>
      <c r="G629" t="str">
        <f>Deals_Raw!G629</f>
        <v>Public Sector</v>
      </c>
      <c r="H629" t="str">
        <f>Deals_Raw!H629</f>
        <v>Midwest</v>
      </c>
      <c r="I629" t="str">
        <f>Deals_Raw!I629</f>
        <v>Midwest Enterprise</v>
      </c>
      <c r="J629" t="str">
        <f>Deals_Raw!J629</f>
        <v>Enterprise</v>
      </c>
      <c r="K629" t="str">
        <f>Deals_Raw!K629</f>
        <v>No</v>
      </c>
      <c r="L629">
        <f>Deals_Raw!L629</f>
        <v>45231</v>
      </c>
      <c r="M629">
        <f>Deals_Raw!M629</f>
        <v>30</v>
      </c>
      <c r="N629" t="str">
        <f>Deals_Raw!N629</f>
        <v>Nexus Insights</v>
      </c>
      <c r="O629" t="str">
        <f>Deals_Raw!O629</f>
        <v>New Business</v>
      </c>
      <c r="P629">
        <f>Deals_Raw!P629</f>
        <v>0</v>
      </c>
      <c r="Q629">
        <f>Deals_Raw!Q629</f>
        <v>1</v>
      </c>
      <c r="R629">
        <f>Deals_Raw!R629</f>
        <v>1853</v>
      </c>
      <c r="S629" t="str">
        <f>Deals_Raw!S629</f>
        <v>R. Singh</v>
      </c>
      <c r="T629" s="6">
        <f>Deals_Raw!T629</f>
        <v>68615.868663712565</v>
      </c>
      <c r="U629" s="8">
        <f>Deals_Raw!V629</f>
        <v>7.5999999999999998E-2</v>
      </c>
      <c r="V629" s="8">
        <f>Deals_Raw!W629</f>
        <v>4.5999999999999999E-2</v>
      </c>
      <c r="W629" s="8">
        <f>Deals_Raw!X629</f>
        <v>0.15</v>
      </c>
      <c r="X629" t="str">
        <f>Deals_Raw!Y629</f>
        <v>Procurement requirement</v>
      </c>
      <c r="Y629" t="str">
        <f>Deals_Raw!Z629</f>
        <v>Sales Manager</v>
      </c>
      <c r="Z629" s="6">
        <f>Deals_Raw!AA629</f>
        <v>65448.444268664767</v>
      </c>
      <c r="AA629" s="6">
        <f>Deals_Raw!AC629</f>
        <v>20433.756380680388</v>
      </c>
      <c r="AB629" s="6">
        <f>Deals_Raw!AD629</f>
        <v>45014.687887984379</v>
      </c>
      <c r="AC629" s="8">
        <f>Deals_Raw!AE629</f>
        <v>0.68778850881771669</v>
      </c>
      <c r="AD629" t="str">
        <f>Deals_Raw!AF629</f>
        <v>Lost</v>
      </c>
      <c r="AE629">
        <f>Deals_Raw!AG629</f>
        <v>0</v>
      </c>
      <c r="AF629">
        <f>Deals_Raw!AH629</f>
        <v>0</v>
      </c>
      <c r="AG629" t="str">
        <f>Deals_Raw!AI629</f>
        <v>No</v>
      </c>
      <c r="AH629" s="6">
        <f>Deals_Raw!AJ629</f>
        <v>0</v>
      </c>
      <c r="AI629" s="6">
        <f>Deals_Raw!AK629</f>
        <v>0</v>
      </c>
      <c r="AJ629" t="str">
        <f>Deals_Raw!AL629</f>
        <v>First purchase under this contract</v>
      </c>
      <c r="AK629" s="9">
        <f t="shared" si="63"/>
        <v>1.45</v>
      </c>
      <c r="AL629" s="8">
        <f t="shared" si="64"/>
        <v>0.95383831092234084</v>
      </c>
      <c r="AM629" s="8">
        <f t="shared" si="65"/>
        <v>0.03</v>
      </c>
      <c r="AN629" t="str">
        <f>IF(AC629&lt;Pricing_Policy!$C$10,"Below Floor","Pass")</f>
        <v>Pass</v>
      </c>
      <c r="AO629" t="str">
        <f>IF(V629&gt;Pricing_Policy!$C$7,"Exception","Standard")</f>
        <v>Standard</v>
      </c>
      <c r="AP629" t="str">
        <f t="shared" si="66"/>
        <v>Pass</v>
      </c>
      <c r="AQ629">
        <f t="shared" si="67"/>
        <v>0</v>
      </c>
      <c r="AR629" s="8">
        <f t="shared" si="68"/>
        <v>0</v>
      </c>
      <c r="AS629">
        <f t="shared" si="69"/>
        <v>1</v>
      </c>
    </row>
    <row r="630" spans="1:45">
      <c r="A630" t="str">
        <f>Deals_Raw!A630</f>
        <v>D00710</v>
      </c>
      <c r="B630">
        <f>Deals_Raw!B630</f>
        <v>45804</v>
      </c>
      <c r="C630" t="str">
        <f>Deals_Raw!C630</f>
        <v>C0175</v>
      </c>
      <c r="D630" t="str">
        <f>Deals_Raw!D630</f>
        <v>HEA-0175</v>
      </c>
      <c r="E630" t="str">
        <f>Deals_Raw!E630</f>
        <v>CT00389</v>
      </c>
      <c r="F630" t="str">
        <f>Deals_Raw!F630</f>
        <v>Sales</v>
      </c>
      <c r="G630" t="str">
        <f>Deals_Raw!G630</f>
        <v>Healthcare</v>
      </c>
      <c r="H630" t="str">
        <f>Deals_Raw!H630</f>
        <v>West</v>
      </c>
      <c r="I630" t="str">
        <f>Deals_Raw!I630</f>
        <v>West Enterprise</v>
      </c>
      <c r="J630" t="str">
        <f>Deals_Raw!J630</f>
        <v>Enterprise</v>
      </c>
      <c r="K630" t="str">
        <f>Deals_Raw!K630</f>
        <v>Yes</v>
      </c>
      <c r="L630">
        <f>Deals_Raw!L630</f>
        <v>44228</v>
      </c>
      <c r="M630">
        <f>Deals_Raw!M630</f>
        <v>78</v>
      </c>
      <c r="N630" t="str">
        <f>Deals_Raw!N630</f>
        <v>Nexus Insights</v>
      </c>
      <c r="O630" t="str">
        <f>Deals_Raw!O630</f>
        <v>New Business</v>
      </c>
      <c r="P630">
        <f>Deals_Raw!P630</f>
        <v>0</v>
      </c>
      <c r="Q630">
        <f>Deals_Raw!Q630</f>
        <v>1</v>
      </c>
      <c r="R630">
        <f>Deals_Raw!R630</f>
        <v>1752</v>
      </c>
      <c r="S630" t="str">
        <f>Deals_Raw!S630</f>
        <v>S. Rivera</v>
      </c>
      <c r="T630" s="6">
        <f>Deals_Raw!T630</f>
        <v>154571.37691080695</v>
      </c>
      <c r="U630" s="8">
        <f>Deals_Raw!V630</f>
        <v>0.17499999999999999</v>
      </c>
      <c r="V630" s="8">
        <f>Deals_Raw!W630</f>
        <v>0.13100000000000001</v>
      </c>
      <c r="W630" s="8">
        <f>Deals_Raw!X630</f>
        <v>9.0999999999999998E-2</v>
      </c>
      <c r="X630" t="str">
        <f>Deals_Raw!Y630</f>
        <v>Budget constraint</v>
      </c>
      <c r="Y630" t="str">
        <f>Deals_Raw!Z630</f>
        <v>Pricing Analyst</v>
      </c>
      <c r="Z630" s="6">
        <f>Deals_Raw!AA630</f>
        <v>134275.13655296803</v>
      </c>
      <c r="AA630" s="6">
        <f>Deals_Raw!AC630</f>
        <v>52897.466838757762</v>
      </c>
      <c r="AB630" s="6">
        <f>Deals_Raw!AD630</f>
        <v>81377.669714210264</v>
      </c>
      <c r="AC630" s="8">
        <f>Deals_Raw!AE630</f>
        <v>0.60605166230539564</v>
      </c>
      <c r="AD630" t="str">
        <f>Deals_Raw!AF630</f>
        <v>Won</v>
      </c>
      <c r="AE630">
        <f>Deals_Raw!AG630</f>
        <v>0</v>
      </c>
      <c r="AF630">
        <f>Deals_Raw!AH630</f>
        <v>0</v>
      </c>
      <c r="AG630" t="str">
        <f>Deals_Raw!AI630</f>
        <v>No</v>
      </c>
      <c r="AH630" s="6">
        <f>Deals_Raw!AJ630</f>
        <v>134275.13655296803</v>
      </c>
      <c r="AI630" s="6">
        <f>Deals_Raw!AK630</f>
        <v>81377.669714210264</v>
      </c>
      <c r="AJ630" t="str">
        <f>Deals_Raw!AL630</f>
        <v>First purchase under this contract</v>
      </c>
      <c r="AK630" s="9">
        <f t="shared" si="63"/>
        <v>4.322222222222222</v>
      </c>
      <c r="AL630" s="8">
        <f t="shared" si="64"/>
        <v>0.8686934103617997</v>
      </c>
      <c r="AM630" s="8">
        <f t="shared" si="65"/>
        <v>4.3999999999999984E-2</v>
      </c>
      <c r="AN630" t="str">
        <f>IF(AC630&lt;Pricing_Policy!$C$10,"Below Floor","Pass")</f>
        <v>Pass</v>
      </c>
      <c r="AO630" t="str">
        <f>IF(V630&gt;Pricing_Policy!$C$7,"Exception","Standard")</f>
        <v>Standard</v>
      </c>
      <c r="AP630" t="str">
        <f t="shared" si="66"/>
        <v>Pass</v>
      </c>
      <c r="AQ630">
        <f t="shared" si="67"/>
        <v>1</v>
      </c>
      <c r="AR630" s="8">
        <f t="shared" si="68"/>
        <v>0.60605166230539564</v>
      </c>
      <c r="AS630">
        <f t="shared" si="69"/>
        <v>1</v>
      </c>
    </row>
    <row r="631" spans="1:45">
      <c r="A631" t="str">
        <f>Deals_Raw!A631</f>
        <v>D00711</v>
      </c>
      <c r="B631">
        <f>Deals_Raw!B631</f>
        <v>45604</v>
      </c>
      <c r="C631" t="str">
        <f>Deals_Raw!C631</f>
        <v>C0175</v>
      </c>
      <c r="D631" t="str">
        <f>Deals_Raw!D631</f>
        <v>HEA-0175</v>
      </c>
      <c r="E631" t="str">
        <f>Deals_Raw!E631</f>
        <v>CT00390</v>
      </c>
      <c r="F631" t="str">
        <f>Deals_Raw!F631</f>
        <v>Finance</v>
      </c>
      <c r="G631" t="str">
        <f>Deals_Raw!G631</f>
        <v>Healthcare</v>
      </c>
      <c r="H631" t="str">
        <f>Deals_Raw!H631</f>
        <v>West</v>
      </c>
      <c r="I631" t="str">
        <f>Deals_Raw!I631</f>
        <v>West Enterprise</v>
      </c>
      <c r="J631" t="str">
        <f>Deals_Raw!J631</f>
        <v>Enterprise</v>
      </c>
      <c r="K631" t="str">
        <f>Deals_Raw!K631</f>
        <v>Yes</v>
      </c>
      <c r="L631">
        <f>Deals_Raw!L631</f>
        <v>44228</v>
      </c>
      <c r="M631">
        <f>Deals_Raw!M631</f>
        <v>78</v>
      </c>
      <c r="N631" t="str">
        <f>Deals_Raw!N631</f>
        <v>Nexus Compliance</v>
      </c>
      <c r="O631" t="str">
        <f>Deals_Raw!O631</f>
        <v>Renewal</v>
      </c>
      <c r="P631">
        <f>Deals_Raw!P631</f>
        <v>0</v>
      </c>
      <c r="Q631">
        <f>Deals_Raw!Q631</f>
        <v>1</v>
      </c>
      <c r="R631">
        <f>Deals_Raw!R631</f>
        <v>412</v>
      </c>
      <c r="S631" t="str">
        <f>Deals_Raw!S631</f>
        <v>A. Patel</v>
      </c>
      <c r="T631" s="6">
        <f>Deals_Raw!T631</f>
        <v>373689.49508567428</v>
      </c>
      <c r="U631" s="8">
        <f>Deals_Raw!V631</f>
        <v>6.4000000000000001E-2</v>
      </c>
      <c r="V631" s="8">
        <f>Deals_Raw!W631</f>
        <v>8.0000000000000002E-3</v>
      </c>
      <c r="W631" s="8">
        <f>Deals_Raw!X631</f>
        <v>-1.9E-2</v>
      </c>
      <c r="X631" t="str">
        <f>Deals_Raw!Y631</f>
        <v>Expansion opportunity</v>
      </c>
      <c r="Y631" t="str">
        <f>Deals_Raw!Z631</f>
        <v>Sales Manager</v>
      </c>
      <c r="Z631" s="6">
        <f>Deals_Raw!AA631</f>
        <v>370839.86833801749</v>
      </c>
      <c r="AA631" s="6">
        <f>Deals_Raw!AC631</f>
        <v>123503.6309681898</v>
      </c>
      <c r="AB631" s="6">
        <f>Deals_Raw!AD631</f>
        <v>247336.23736982769</v>
      </c>
      <c r="AC631" s="8">
        <f>Deals_Raw!AE631</f>
        <v>0.6669623697104291</v>
      </c>
      <c r="AD631" t="str">
        <f>Deals_Raw!AF631</f>
        <v>Won</v>
      </c>
      <c r="AE631" t="str">
        <f>Deals_Raw!AG631</f>
        <v>Yes</v>
      </c>
      <c r="AF631">
        <f>Deals_Raw!AH631</f>
        <v>0</v>
      </c>
      <c r="AG631" t="str">
        <f>Deals_Raw!AI631</f>
        <v>No</v>
      </c>
      <c r="AH631" s="6">
        <f>Deals_Raw!AJ631</f>
        <v>370839.86833801749</v>
      </c>
      <c r="AI631" s="6">
        <f>Deals_Raw!AK631</f>
        <v>247336.23736982769</v>
      </c>
      <c r="AJ631" t="str">
        <f>Deals_Raw!AL631</f>
        <v>Renewal of existing active contract</v>
      </c>
      <c r="AK631" s="9">
        <f t="shared" si="63"/>
        <v>3.7694444444444444</v>
      </c>
      <c r="AL631" s="8">
        <f t="shared" si="64"/>
        <v>0.99237434612122699</v>
      </c>
      <c r="AM631" s="8">
        <f t="shared" si="65"/>
        <v>5.6000000000000001E-2</v>
      </c>
      <c r="AN631" t="str">
        <f>IF(AC631&lt;Pricing_Policy!$C$10,"Below Floor","Pass")</f>
        <v>Pass</v>
      </c>
      <c r="AO631" t="str">
        <f>IF(V631&gt;Pricing_Policy!$C$7,"Exception","Standard")</f>
        <v>Standard</v>
      </c>
      <c r="AP631" t="str">
        <f t="shared" si="66"/>
        <v>Pass</v>
      </c>
      <c r="AQ631">
        <f t="shared" si="67"/>
        <v>1</v>
      </c>
      <c r="AR631" s="8">
        <f t="shared" si="68"/>
        <v>0.6669623697104291</v>
      </c>
      <c r="AS631">
        <f t="shared" si="69"/>
        <v>4</v>
      </c>
    </row>
    <row r="632" spans="1:45">
      <c r="A632" t="str">
        <f>Deals_Raw!A632</f>
        <v>D00712</v>
      </c>
      <c r="B632">
        <f>Deals_Raw!B632</f>
        <v>45969</v>
      </c>
      <c r="C632" t="str">
        <f>Deals_Raw!C632</f>
        <v>C0175</v>
      </c>
      <c r="D632" t="str">
        <f>Deals_Raw!D632</f>
        <v>HEA-0175</v>
      </c>
      <c r="E632" t="str">
        <f>Deals_Raw!E632</f>
        <v>CT00390</v>
      </c>
      <c r="F632" t="str">
        <f>Deals_Raw!F632</f>
        <v>Finance</v>
      </c>
      <c r="G632" t="str">
        <f>Deals_Raw!G632</f>
        <v>Healthcare</v>
      </c>
      <c r="H632" t="str">
        <f>Deals_Raw!H632</f>
        <v>West</v>
      </c>
      <c r="I632" t="str">
        <f>Deals_Raw!I632</f>
        <v>West Enterprise</v>
      </c>
      <c r="J632" t="str">
        <f>Deals_Raw!J632</f>
        <v>Enterprise</v>
      </c>
      <c r="K632" t="str">
        <f>Deals_Raw!K632</f>
        <v>Yes</v>
      </c>
      <c r="L632">
        <f>Deals_Raw!L632</f>
        <v>44228</v>
      </c>
      <c r="M632">
        <f>Deals_Raw!M632</f>
        <v>78</v>
      </c>
      <c r="N632" t="str">
        <f>Deals_Raw!N632</f>
        <v>Nexus Compliance</v>
      </c>
      <c r="O632" t="str">
        <f>Deals_Raw!O632</f>
        <v>Renewal</v>
      </c>
      <c r="P632">
        <f>Deals_Raw!P632</f>
        <v>0</v>
      </c>
      <c r="Q632">
        <f>Deals_Raw!Q632</f>
        <v>1</v>
      </c>
      <c r="R632">
        <f>Deals_Raw!R632</f>
        <v>412</v>
      </c>
      <c r="S632" t="str">
        <f>Deals_Raw!S632</f>
        <v>S. Rivera</v>
      </c>
      <c r="T632" s="6">
        <f>Deals_Raw!T632</f>
        <v>389642.14446826105</v>
      </c>
      <c r="U632" s="8">
        <f>Deals_Raw!V632</f>
        <v>0.108</v>
      </c>
      <c r="V632" s="8">
        <f>Deals_Raw!W632</f>
        <v>8.7999999999999995E-2</v>
      </c>
      <c r="W632" s="8">
        <f>Deals_Raw!X632</f>
        <v>-1.7999999999999999E-2</v>
      </c>
      <c r="X632" t="str">
        <f>Deals_Raw!Y632</f>
        <v>Expansion opportunity</v>
      </c>
      <c r="Y632" t="str">
        <f>Deals_Raw!Z632</f>
        <v>Sales Manager</v>
      </c>
      <c r="Z632" s="6">
        <f>Deals_Raw!AA632</f>
        <v>355196.70394361432</v>
      </c>
      <c r="AA632" s="6">
        <f>Deals_Raw!AC632</f>
        <v>136778.38939760806</v>
      </c>
      <c r="AB632" s="6">
        <f>Deals_Raw!AD632</f>
        <v>218418.31454600627</v>
      </c>
      <c r="AC632" s="8">
        <f>Deals_Raw!AE632</f>
        <v>0.61492213221854408</v>
      </c>
      <c r="AD632" t="str">
        <f>Deals_Raw!AF632</f>
        <v>Won</v>
      </c>
      <c r="AE632" t="str">
        <f>Deals_Raw!AG632</f>
        <v>Yes</v>
      </c>
      <c r="AF632">
        <f>Deals_Raw!AH632</f>
        <v>0</v>
      </c>
      <c r="AG632" t="str">
        <f>Deals_Raw!AI632</f>
        <v>No</v>
      </c>
      <c r="AH632" s="6">
        <f>Deals_Raw!AJ632</f>
        <v>355196.70394361432</v>
      </c>
      <c r="AI632" s="6">
        <f>Deals_Raw!AK632</f>
        <v>218418.31454600627</v>
      </c>
      <c r="AJ632" t="str">
        <f>Deals_Raw!AL632</f>
        <v>Renewal of existing active contract</v>
      </c>
      <c r="AK632" s="9">
        <f t="shared" si="63"/>
        <v>4.7694444444444448</v>
      </c>
      <c r="AL632" s="8">
        <f t="shared" si="64"/>
        <v>0.91159724117714758</v>
      </c>
      <c r="AM632" s="8">
        <f t="shared" si="65"/>
        <v>2.0000000000000004E-2</v>
      </c>
      <c r="AN632" t="str">
        <f>IF(AC632&lt;Pricing_Policy!$C$10,"Below Floor","Pass")</f>
        <v>Pass</v>
      </c>
      <c r="AO632" t="str">
        <f>IF(V632&gt;Pricing_Policy!$C$7,"Exception","Standard")</f>
        <v>Standard</v>
      </c>
      <c r="AP632" t="str">
        <f t="shared" si="66"/>
        <v>Pass</v>
      </c>
      <c r="AQ632">
        <f t="shared" si="67"/>
        <v>1</v>
      </c>
      <c r="AR632" s="8">
        <f t="shared" si="68"/>
        <v>0.61492213221854408</v>
      </c>
      <c r="AS632">
        <f t="shared" si="69"/>
        <v>4</v>
      </c>
    </row>
    <row r="633" spans="1:45">
      <c r="A633" t="str">
        <f>Deals_Raw!A633</f>
        <v>D00713</v>
      </c>
      <c r="B633">
        <f>Deals_Raw!B633</f>
        <v>45578</v>
      </c>
      <c r="C633" t="str">
        <f>Deals_Raw!C633</f>
        <v>C0175</v>
      </c>
      <c r="D633" t="str">
        <f>Deals_Raw!D633</f>
        <v>HEA-0175</v>
      </c>
      <c r="E633" t="str">
        <f>Deals_Raw!E633</f>
        <v>CT00391</v>
      </c>
      <c r="F633" t="str">
        <f>Deals_Raw!F633</f>
        <v>Sales</v>
      </c>
      <c r="G633" t="str">
        <f>Deals_Raw!G633</f>
        <v>Healthcare</v>
      </c>
      <c r="H633" t="str">
        <f>Deals_Raw!H633</f>
        <v>West</v>
      </c>
      <c r="I633" t="str">
        <f>Deals_Raw!I633</f>
        <v>West Enterprise</v>
      </c>
      <c r="J633" t="str">
        <f>Deals_Raw!J633</f>
        <v>Enterprise</v>
      </c>
      <c r="K633" t="str">
        <f>Deals_Raw!K633</f>
        <v>Yes</v>
      </c>
      <c r="L633">
        <f>Deals_Raw!L633</f>
        <v>44228</v>
      </c>
      <c r="M633">
        <f>Deals_Raw!M633</f>
        <v>78</v>
      </c>
      <c r="N633" t="str">
        <f>Deals_Raw!N633</f>
        <v>Nexus Compliance</v>
      </c>
      <c r="O633" t="str">
        <f>Deals_Raw!O633</f>
        <v>New Business</v>
      </c>
      <c r="P633">
        <f>Deals_Raw!P633</f>
        <v>0</v>
      </c>
      <c r="Q633">
        <f>Deals_Raw!Q633</f>
        <v>1</v>
      </c>
      <c r="R633">
        <f>Deals_Raw!R633</f>
        <v>769</v>
      </c>
      <c r="S633" t="str">
        <f>Deals_Raw!S633</f>
        <v>L. Williams</v>
      </c>
      <c r="T633" s="6">
        <f>Deals_Raw!T633</f>
        <v>370917.99211613234</v>
      </c>
      <c r="U633" s="8">
        <f>Deals_Raw!V633</f>
        <v>0.187</v>
      </c>
      <c r="V633" s="8">
        <f>Deals_Raw!W633</f>
        <v>0.186</v>
      </c>
      <c r="W633" s="8">
        <f>Deals_Raw!X633</f>
        <v>-0.153</v>
      </c>
      <c r="X633" t="str">
        <f>Deals_Raw!Y633</f>
        <v>Volume purchase</v>
      </c>
      <c r="Y633" t="str">
        <f>Deals_Raw!Z633</f>
        <v>Pricing Analyst</v>
      </c>
      <c r="Z633" s="6">
        <f>Deals_Raw!AA633</f>
        <v>302053.07299047423</v>
      </c>
      <c r="AA633" s="6">
        <f>Deals_Raw!AC633</f>
        <v>143189.62884160792</v>
      </c>
      <c r="AB633" s="6">
        <f>Deals_Raw!AD633</f>
        <v>158863.44414886631</v>
      </c>
      <c r="AC633" s="8">
        <f>Deals_Raw!AE633</f>
        <v>0.52594546572905199</v>
      </c>
      <c r="AD633" t="str">
        <f>Deals_Raw!AF633</f>
        <v>Won</v>
      </c>
      <c r="AE633">
        <f>Deals_Raw!AG633</f>
        <v>0</v>
      </c>
      <c r="AF633">
        <f>Deals_Raw!AH633</f>
        <v>0</v>
      </c>
      <c r="AG633" t="str">
        <f>Deals_Raw!AI633</f>
        <v>No</v>
      </c>
      <c r="AH633" s="6">
        <f>Deals_Raw!AJ633</f>
        <v>302053.07299047423</v>
      </c>
      <c r="AI633" s="6">
        <f>Deals_Raw!AK633</f>
        <v>158863.44414886631</v>
      </c>
      <c r="AJ633" t="str">
        <f>Deals_Raw!AL633</f>
        <v>First purchase under this contract</v>
      </c>
      <c r="AK633" s="9">
        <f t="shared" si="63"/>
        <v>3.7</v>
      </c>
      <c r="AL633" s="8">
        <f t="shared" si="64"/>
        <v>0.81433923241961015</v>
      </c>
      <c r="AM633" s="8">
        <f t="shared" si="65"/>
        <v>1.0000000000000009E-3</v>
      </c>
      <c r="AN633" t="str">
        <f>IF(AC633&lt;Pricing_Policy!$C$10,"Below Floor","Pass")</f>
        <v>Pass</v>
      </c>
      <c r="AO633" t="str">
        <f>IF(V633&gt;Pricing_Policy!$C$7,"Exception","Standard")</f>
        <v>Standard</v>
      </c>
      <c r="AP633" t="str">
        <f t="shared" si="66"/>
        <v>Pass</v>
      </c>
      <c r="AQ633">
        <f t="shared" si="67"/>
        <v>1</v>
      </c>
      <c r="AR633" s="8">
        <f t="shared" si="68"/>
        <v>0.52594546572905199</v>
      </c>
      <c r="AS633">
        <f t="shared" si="69"/>
        <v>4</v>
      </c>
    </row>
    <row r="634" spans="1:45">
      <c r="A634" t="str">
        <f>Deals_Raw!A634</f>
        <v>D00714</v>
      </c>
      <c r="B634">
        <f>Deals_Raw!B634</f>
        <v>45943</v>
      </c>
      <c r="C634" t="str">
        <f>Deals_Raw!C634</f>
        <v>C0175</v>
      </c>
      <c r="D634" t="str">
        <f>Deals_Raw!D634</f>
        <v>HEA-0175</v>
      </c>
      <c r="E634" t="str">
        <f>Deals_Raw!E634</f>
        <v>CT00391</v>
      </c>
      <c r="F634" t="str">
        <f>Deals_Raw!F634</f>
        <v>Sales</v>
      </c>
      <c r="G634" t="str">
        <f>Deals_Raw!G634</f>
        <v>Healthcare</v>
      </c>
      <c r="H634" t="str">
        <f>Deals_Raw!H634</f>
        <v>West</v>
      </c>
      <c r="I634" t="str">
        <f>Deals_Raw!I634</f>
        <v>West Enterprise</v>
      </c>
      <c r="J634" t="str">
        <f>Deals_Raw!J634</f>
        <v>Enterprise</v>
      </c>
      <c r="K634" t="str">
        <f>Deals_Raw!K634</f>
        <v>Yes</v>
      </c>
      <c r="L634">
        <f>Deals_Raw!L634</f>
        <v>44228</v>
      </c>
      <c r="M634">
        <f>Deals_Raw!M634</f>
        <v>78</v>
      </c>
      <c r="N634" t="str">
        <f>Deals_Raw!N634</f>
        <v>Nexus Compliance</v>
      </c>
      <c r="O634" t="str">
        <f>Deals_Raw!O634</f>
        <v>Renewal</v>
      </c>
      <c r="P634">
        <f>Deals_Raw!P634</f>
        <v>0</v>
      </c>
      <c r="Q634">
        <f>Deals_Raw!Q634</f>
        <v>1</v>
      </c>
      <c r="R634">
        <f>Deals_Raw!R634</f>
        <v>769</v>
      </c>
      <c r="S634" t="str">
        <f>Deals_Raw!S634</f>
        <v>L. Williams</v>
      </c>
      <c r="T634" s="6">
        <f>Deals_Raw!T634</f>
        <v>389246.53225774283</v>
      </c>
      <c r="U634" s="8">
        <f>Deals_Raw!V634</f>
        <v>8.7999999999999995E-2</v>
      </c>
      <c r="V634" s="8">
        <f>Deals_Raw!W634</f>
        <v>7.3999999999999996E-2</v>
      </c>
      <c r="W634" s="8">
        <f>Deals_Raw!X634</f>
        <v>5.0000000000000001E-3</v>
      </c>
      <c r="X634" t="str">
        <f>Deals_Raw!Y634</f>
        <v>Volume purchase</v>
      </c>
      <c r="Y634" t="str">
        <f>Deals_Raw!Z634</f>
        <v>Sales Manager</v>
      </c>
      <c r="Z634" s="6">
        <f>Deals_Raw!AA634</f>
        <v>360265.21238723106</v>
      </c>
      <c r="AA634" s="6">
        <f>Deals_Raw!AC634</f>
        <v>127984.25679967177</v>
      </c>
      <c r="AB634" s="6">
        <f>Deals_Raw!AD634</f>
        <v>232280.95558755929</v>
      </c>
      <c r="AC634" s="8">
        <f>Deals_Raw!AE634</f>
        <v>0.64474988869558714</v>
      </c>
      <c r="AD634" t="str">
        <f>Deals_Raw!AF634</f>
        <v>Lost</v>
      </c>
      <c r="AE634" t="str">
        <f>Deals_Raw!AG634</f>
        <v>No</v>
      </c>
      <c r="AF634">
        <f>Deals_Raw!AH634</f>
        <v>0</v>
      </c>
      <c r="AG634" t="str">
        <f>Deals_Raw!AI634</f>
        <v>No</v>
      </c>
      <c r="AH634" s="6">
        <f>Deals_Raw!AJ634</f>
        <v>0</v>
      </c>
      <c r="AI634" s="6">
        <f>Deals_Raw!AK634</f>
        <v>0</v>
      </c>
      <c r="AJ634" t="str">
        <f>Deals_Raw!AL634</f>
        <v>Renewal of existing active contract</v>
      </c>
      <c r="AK634" s="9">
        <f t="shared" si="63"/>
        <v>4.7</v>
      </c>
      <c r="AL634" s="8">
        <f t="shared" si="64"/>
        <v>0.92554507884139214</v>
      </c>
      <c r="AM634" s="8">
        <f t="shared" si="65"/>
        <v>1.3999999999999999E-2</v>
      </c>
      <c r="AN634" t="str">
        <f>IF(AC634&lt;Pricing_Policy!$C$10,"Below Floor","Pass")</f>
        <v>Pass</v>
      </c>
      <c r="AO634" t="str">
        <f>IF(V634&gt;Pricing_Policy!$C$7,"Exception","Standard")</f>
        <v>Standard</v>
      </c>
      <c r="AP634" t="str">
        <f t="shared" si="66"/>
        <v>Pass</v>
      </c>
      <c r="AQ634">
        <f t="shared" si="67"/>
        <v>0</v>
      </c>
      <c r="AR634" s="8">
        <f t="shared" si="68"/>
        <v>0</v>
      </c>
      <c r="AS634">
        <f t="shared" si="69"/>
        <v>4</v>
      </c>
    </row>
    <row r="635" spans="1:45">
      <c r="A635" t="str">
        <f>Deals_Raw!A635</f>
        <v>D00715</v>
      </c>
      <c r="B635">
        <f>Deals_Raw!B635</f>
        <v>45697</v>
      </c>
      <c r="C635" t="str">
        <f>Deals_Raw!C635</f>
        <v>C0176</v>
      </c>
      <c r="D635" t="str">
        <f>Deals_Raw!D635</f>
        <v>MAN-0176</v>
      </c>
      <c r="E635" t="str">
        <f>Deals_Raw!E635</f>
        <v>CT00392</v>
      </c>
      <c r="F635" t="str">
        <f>Deals_Raw!F635</f>
        <v>Operations</v>
      </c>
      <c r="G635" t="str">
        <f>Deals_Raw!G635</f>
        <v>Manufacturing</v>
      </c>
      <c r="H635" t="str">
        <f>Deals_Raw!H635</f>
        <v>Midwest</v>
      </c>
      <c r="I635" t="str">
        <f>Deals_Raw!I635</f>
        <v>Midwest Commercial</v>
      </c>
      <c r="J635" t="str">
        <f>Deals_Raw!J635</f>
        <v>Mid-Market</v>
      </c>
      <c r="K635" t="str">
        <f>Deals_Raw!K635</f>
        <v>No</v>
      </c>
      <c r="L635">
        <f>Deals_Raw!L635</f>
        <v>43313</v>
      </c>
      <c r="M635">
        <f>Deals_Raw!M635</f>
        <v>74</v>
      </c>
      <c r="N635" t="str">
        <f>Deals_Raw!N635</f>
        <v>Nexus Analytics</v>
      </c>
      <c r="O635" t="str">
        <f>Deals_Raw!O635</f>
        <v>Renewal</v>
      </c>
      <c r="P635">
        <f>Deals_Raw!P635</f>
        <v>0</v>
      </c>
      <c r="Q635">
        <f>Deals_Raw!Q635</f>
        <v>3</v>
      </c>
      <c r="R635">
        <f>Deals_Raw!R635</f>
        <v>204</v>
      </c>
      <c r="S635" t="str">
        <f>Deals_Raw!S635</f>
        <v>L. Williams</v>
      </c>
      <c r="T635" s="6">
        <f>Deals_Raw!T635</f>
        <v>94878.445410071159</v>
      </c>
      <c r="U635" s="8">
        <f>Deals_Raw!V635</f>
        <v>0.20599999999999999</v>
      </c>
      <c r="V635" s="8">
        <f>Deals_Raw!W635</f>
        <v>0.17199999999999999</v>
      </c>
      <c r="W635" s="8">
        <f>Deals_Raw!X635</f>
        <v>-0.06</v>
      </c>
      <c r="X635" t="str">
        <f>Deals_Raw!Y635</f>
        <v>Expansion opportunity</v>
      </c>
      <c r="Y635" t="str">
        <f>Deals_Raw!Z635</f>
        <v>Pricing Analyst</v>
      </c>
      <c r="Z635" s="6">
        <f>Deals_Raw!AA635</f>
        <v>78559.592314994516</v>
      </c>
      <c r="AA635" s="6">
        <f>Deals_Raw!AC635</f>
        <v>27668.77154362424</v>
      </c>
      <c r="AB635" s="6">
        <f>Deals_Raw!AD635</f>
        <v>50890.820771370272</v>
      </c>
      <c r="AC635" s="8">
        <f>Deals_Raw!AE635</f>
        <v>0.64779894181880626</v>
      </c>
      <c r="AD635" t="str">
        <f>Deals_Raw!AF635</f>
        <v>Won</v>
      </c>
      <c r="AE635" t="str">
        <f>Deals_Raw!AG635</f>
        <v>Yes</v>
      </c>
      <c r="AF635">
        <f>Deals_Raw!AH635</f>
        <v>0</v>
      </c>
      <c r="AG635" t="str">
        <f>Deals_Raw!AI635</f>
        <v>No</v>
      </c>
      <c r="AH635" s="6">
        <f>Deals_Raw!AJ635</f>
        <v>78559.592314994516</v>
      </c>
      <c r="AI635" s="6">
        <f>Deals_Raw!AK635</f>
        <v>50890.820771370272</v>
      </c>
      <c r="AJ635" t="str">
        <f>Deals_Raw!AL635</f>
        <v>Renewal of existing active contract</v>
      </c>
      <c r="AK635" s="9">
        <f t="shared" si="63"/>
        <v>6.5222222222222221</v>
      </c>
      <c r="AL635" s="8">
        <f t="shared" si="64"/>
        <v>0.82800252444540545</v>
      </c>
      <c r="AM635" s="8">
        <f t="shared" si="65"/>
        <v>3.4000000000000002E-2</v>
      </c>
      <c r="AN635" t="str">
        <f>IF(AC635&lt;Pricing_Policy!$C$10,"Below Floor","Pass")</f>
        <v>Pass</v>
      </c>
      <c r="AO635" t="str">
        <f>IF(V635&gt;Pricing_Policy!$C$7,"Exception","Standard")</f>
        <v>Standard</v>
      </c>
      <c r="AP635" t="str">
        <f t="shared" si="66"/>
        <v>Pass</v>
      </c>
      <c r="AQ635">
        <f t="shared" si="67"/>
        <v>1</v>
      </c>
      <c r="AR635" s="8">
        <f t="shared" si="68"/>
        <v>0.64779894181880626</v>
      </c>
      <c r="AS635">
        <f t="shared" si="69"/>
        <v>1</v>
      </c>
    </row>
    <row r="636" spans="1:45">
      <c r="A636" t="str">
        <f>Deals_Raw!A636</f>
        <v>D00717</v>
      </c>
      <c r="B636">
        <f>Deals_Raw!B636</f>
        <v>45467</v>
      </c>
      <c r="C636" t="str">
        <f>Deals_Raw!C636</f>
        <v>C0177</v>
      </c>
      <c r="D636" t="str">
        <f>Deals_Raw!D636</f>
        <v>HEA-0177</v>
      </c>
      <c r="E636" t="str">
        <f>Deals_Raw!E636</f>
        <v>CT00393</v>
      </c>
      <c r="F636" t="str">
        <f>Deals_Raw!F636</f>
        <v>Operations</v>
      </c>
      <c r="G636" t="str">
        <f>Deals_Raw!G636</f>
        <v>Healthcare</v>
      </c>
      <c r="H636" t="str">
        <f>Deals_Raw!H636</f>
        <v>West</v>
      </c>
      <c r="I636" t="str">
        <f>Deals_Raw!I636</f>
        <v>West Enterprise</v>
      </c>
      <c r="J636" t="str">
        <f>Deals_Raw!J636</f>
        <v>Enterprise</v>
      </c>
      <c r="K636" t="str">
        <f>Deals_Raw!K636</f>
        <v>No</v>
      </c>
      <c r="L636">
        <f>Deals_Raw!L636</f>
        <v>44621</v>
      </c>
      <c r="M636">
        <f>Deals_Raw!M636</f>
        <v>79</v>
      </c>
      <c r="N636" t="str">
        <f>Deals_Raw!N636</f>
        <v>Nexus Compliance</v>
      </c>
      <c r="O636" t="str">
        <f>Deals_Raw!O636</f>
        <v>Renewal</v>
      </c>
      <c r="P636">
        <f>Deals_Raw!P636</f>
        <v>0</v>
      </c>
      <c r="Q636">
        <f>Deals_Raw!Q636</f>
        <v>1</v>
      </c>
      <c r="R636">
        <f>Deals_Raw!R636</f>
        <v>312</v>
      </c>
      <c r="S636" t="str">
        <f>Deals_Raw!S636</f>
        <v>R. Singh</v>
      </c>
      <c r="T636" s="6">
        <f>Deals_Raw!T636</f>
        <v>372075.19986271684</v>
      </c>
      <c r="U636" s="8">
        <f>Deals_Raw!V636</f>
        <v>0.106</v>
      </c>
      <c r="V636" s="8">
        <f>Deals_Raw!W636</f>
        <v>9.9000000000000005E-2</v>
      </c>
      <c r="W636" s="8">
        <f>Deals_Raw!X636</f>
        <v>-1.7000000000000001E-2</v>
      </c>
      <c r="X636" t="str">
        <f>Deals_Raw!Y636</f>
        <v>Budget constraint</v>
      </c>
      <c r="Y636" t="str">
        <f>Deals_Raw!Z636</f>
        <v>Sales Manager</v>
      </c>
      <c r="Z636" s="6">
        <f>Deals_Raw!AA636</f>
        <v>335127.75813309749</v>
      </c>
      <c r="AA636" s="6">
        <f>Deals_Raw!AC636</f>
        <v>119806.6867443495</v>
      </c>
      <c r="AB636" s="6">
        <f>Deals_Raw!AD636</f>
        <v>215321.07138874801</v>
      </c>
      <c r="AC636" s="8">
        <f>Deals_Raw!AE636</f>
        <v>0.64250443648189914</v>
      </c>
      <c r="AD636" t="str">
        <f>Deals_Raw!AF636</f>
        <v>Lost</v>
      </c>
      <c r="AE636" t="str">
        <f>Deals_Raw!AG636</f>
        <v>No</v>
      </c>
      <c r="AF636">
        <f>Deals_Raw!AH636</f>
        <v>0</v>
      </c>
      <c r="AG636" t="str">
        <f>Deals_Raw!AI636</f>
        <v>No</v>
      </c>
      <c r="AH636" s="6">
        <f>Deals_Raw!AJ636</f>
        <v>0</v>
      </c>
      <c r="AI636" s="6">
        <f>Deals_Raw!AK636</f>
        <v>0</v>
      </c>
      <c r="AJ636" t="str">
        <f>Deals_Raw!AL636</f>
        <v>Renewal of existing active contract</v>
      </c>
      <c r="AK636" s="9">
        <f t="shared" si="63"/>
        <v>2.3138888888888891</v>
      </c>
      <c r="AL636" s="8">
        <f t="shared" si="64"/>
        <v>0.90069899379681395</v>
      </c>
      <c r="AM636" s="8">
        <f t="shared" si="65"/>
        <v>6.9999999999999923E-3</v>
      </c>
      <c r="AN636" t="str">
        <f>IF(AC636&lt;Pricing_Policy!$C$10,"Below Floor","Pass")</f>
        <v>Pass</v>
      </c>
      <c r="AO636" t="str">
        <f>IF(V636&gt;Pricing_Policy!$C$7,"Exception","Standard")</f>
        <v>Standard</v>
      </c>
      <c r="AP636" t="str">
        <f t="shared" si="66"/>
        <v>Pass</v>
      </c>
      <c r="AQ636">
        <f t="shared" si="67"/>
        <v>0</v>
      </c>
      <c r="AR636" s="8">
        <f t="shared" si="68"/>
        <v>0</v>
      </c>
      <c r="AS636">
        <f t="shared" si="69"/>
        <v>2</v>
      </c>
    </row>
    <row r="637" spans="1:45">
      <c r="A637" t="str">
        <f>Deals_Raw!A637</f>
        <v>D00718</v>
      </c>
      <c r="B637">
        <f>Deals_Raw!B637</f>
        <v>45641</v>
      </c>
      <c r="C637" t="str">
        <f>Deals_Raw!C637</f>
        <v>C0177</v>
      </c>
      <c r="D637" t="str">
        <f>Deals_Raw!D637</f>
        <v>HEA-0177</v>
      </c>
      <c r="E637" t="str">
        <f>Deals_Raw!E637</f>
        <v>CT00393</v>
      </c>
      <c r="F637" t="str">
        <f>Deals_Raw!F637</f>
        <v>Operations</v>
      </c>
      <c r="G637" t="str">
        <f>Deals_Raw!G637</f>
        <v>Healthcare</v>
      </c>
      <c r="H637" t="str">
        <f>Deals_Raw!H637</f>
        <v>West</v>
      </c>
      <c r="I637" t="str">
        <f>Deals_Raw!I637</f>
        <v>West Enterprise</v>
      </c>
      <c r="J637" t="str">
        <f>Deals_Raw!J637</f>
        <v>Enterprise</v>
      </c>
      <c r="K637" t="str">
        <f>Deals_Raw!K637</f>
        <v>No</v>
      </c>
      <c r="L637">
        <f>Deals_Raw!L637</f>
        <v>44621</v>
      </c>
      <c r="M637">
        <f>Deals_Raw!M637</f>
        <v>79</v>
      </c>
      <c r="N637" t="str">
        <f>Deals_Raw!N637</f>
        <v>Nexus Compliance</v>
      </c>
      <c r="O637" t="str">
        <f>Deals_Raw!O637</f>
        <v>Win-back</v>
      </c>
      <c r="P637">
        <f>Deals_Raw!P637</f>
        <v>0</v>
      </c>
      <c r="Q637">
        <f>Deals_Raw!Q637</f>
        <v>1</v>
      </c>
      <c r="R637">
        <f>Deals_Raw!R637</f>
        <v>312</v>
      </c>
      <c r="S637" t="str">
        <f>Deals_Raw!S637</f>
        <v>K. Nguyen</v>
      </c>
      <c r="T637" s="6">
        <f>Deals_Raw!T637</f>
        <v>372075.19986271684</v>
      </c>
      <c r="U637" s="8">
        <f>Deals_Raw!V637</f>
        <v>0.27400000000000002</v>
      </c>
      <c r="V637" s="8">
        <f>Deals_Raw!W637</f>
        <v>0.253</v>
      </c>
      <c r="W637" s="8">
        <f>Deals_Raw!X637</f>
        <v>-0.151</v>
      </c>
      <c r="X637" t="str">
        <f>Deals_Raw!Y637</f>
        <v>Renewal retention risk</v>
      </c>
      <c r="Y637" t="str">
        <f>Deals_Raw!Z637</f>
        <v>Business Manager</v>
      </c>
      <c r="Z637" s="6">
        <f>Deals_Raw!AA637</f>
        <v>277829.58188621438</v>
      </c>
      <c r="AA637" s="6">
        <f>Deals_Raw!AC637</f>
        <v>122360.82781342439</v>
      </c>
      <c r="AB637" s="6">
        <f>Deals_Raw!AD637</f>
        <v>155468.75407278998</v>
      </c>
      <c r="AC637" s="8">
        <f>Deals_Raw!AE637</f>
        <v>0.55958315531879721</v>
      </c>
      <c r="AD637" t="str">
        <f>Deals_Raw!AF637</f>
        <v>Lost</v>
      </c>
      <c r="AE637">
        <f>Deals_Raw!AG637</f>
        <v>0</v>
      </c>
      <c r="AF637">
        <f>Deals_Raw!AH637</f>
        <v>0</v>
      </c>
      <c r="AG637" t="str">
        <f>Deals_Raw!AI637</f>
        <v>Yes</v>
      </c>
      <c r="AH637" s="6">
        <f>Deals_Raw!AJ637</f>
        <v>0</v>
      </c>
      <c r="AI637" s="6">
        <f>Deals_Raw!AK637</f>
        <v>0</v>
      </c>
      <c r="AJ637" t="str">
        <f>Deals_Raw!AL637</f>
        <v>Customer returned after lost renewal</v>
      </c>
      <c r="AK637" s="9">
        <f t="shared" si="63"/>
        <v>2.7888888888888888</v>
      </c>
      <c r="AL637" s="8">
        <f t="shared" si="64"/>
        <v>0.74670276865731466</v>
      </c>
      <c r="AM637" s="8">
        <f t="shared" si="65"/>
        <v>2.1000000000000019E-2</v>
      </c>
      <c r="AN637" t="str">
        <f>IF(AC637&lt;Pricing_Policy!$C$10,"Below Floor","Pass")</f>
        <v>Pass</v>
      </c>
      <c r="AO637" t="str">
        <f>IF(V637&gt;Pricing_Policy!$C$7,"Exception","Standard")</f>
        <v>Standard</v>
      </c>
      <c r="AP637" t="str">
        <f t="shared" si="66"/>
        <v>Pass</v>
      </c>
      <c r="AQ637">
        <f t="shared" si="67"/>
        <v>0</v>
      </c>
      <c r="AR637" s="8">
        <f t="shared" si="68"/>
        <v>0</v>
      </c>
      <c r="AS637">
        <f t="shared" si="69"/>
        <v>2</v>
      </c>
    </row>
    <row r="638" spans="1:45">
      <c r="A638" t="str">
        <f>Deals_Raw!A638</f>
        <v>D00719</v>
      </c>
      <c r="B638">
        <f>Deals_Raw!B638</f>
        <v>45401</v>
      </c>
      <c r="C638" t="str">
        <f>Deals_Raw!C638</f>
        <v>C0178</v>
      </c>
      <c r="D638" t="str">
        <f>Deals_Raw!D638</f>
        <v>FIN-0178</v>
      </c>
      <c r="E638" t="str">
        <f>Deals_Raw!E638</f>
        <v>CT00394</v>
      </c>
      <c r="F638" t="str">
        <f>Deals_Raw!F638</f>
        <v>Operations</v>
      </c>
      <c r="G638" t="str">
        <f>Deals_Raw!G638</f>
        <v>Financial Services</v>
      </c>
      <c r="H638" t="str">
        <f>Deals_Raw!H638</f>
        <v>Northeast</v>
      </c>
      <c r="I638" t="str">
        <f>Deals_Raw!I638</f>
        <v>Northeast Commercial</v>
      </c>
      <c r="J638" t="str">
        <f>Deals_Raw!J638</f>
        <v>SMB</v>
      </c>
      <c r="K638" t="str">
        <f>Deals_Raw!K638</f>
        <v>No</v>
      </c>
      <c r="L638">
        <f>Deals_Raw!L638</f>
        <v>43344</v>
      </c>
      <c r="M638">
        <f>Deals_Raw!M638</f>
        <v>71</v>
      </c>
      <c r="N638" t="str">
        <f>Deals_Raw!N638</f>
        <v>Nexus Enterprise Suite</v>
      </c>
      <c r="O638" t="str">
        <f>Deals_Raw!O638</f>
        <v>Renewal</v>
      </c>
      <c r="P638">
        <f>Deals_Raw!P638</f>
        <v>0</v>
      </c>
      <c r="Q638">
        <f>Deals_Raw!Q638</f>
        <v>2</v>
      </c>
      <c r="R638">
        <f>Deals_Raw!R638</f>
        <v>33</v>
      </c>
      <c r="S638" t="str">
        <f>Deals_Raw!S638</f>
        <v>A. Patel</v>
      </c>
      <c r="T638" s="6">
        <f>Deals_Raw!T638</f>
        <v>196828.54959547959</v>
      </c>
      <c r="U638" s="8">
        <f>Deals_Raw!V638</f>
        <v>0.17</v>
      </c>
      <c r="V638" s="8">
        <f>Deals_Raw!W638</f>
        <v>0.153</v>
      </c>
      <c r="W638" s="8">
        <f>Deals_Raw!X638</f>
        <v>-6.9000000000000006E-2</v>
      </c>
      <c r="X638" t="str">
        <f>Deals_Raw!Y638</f>
        <v>Strategic logo opportunity</v>
      </c>
      <c r="Y638" t="str">
        <f>Deals_Raw!Z638</f>
        <v>Pricing Analyst</v>
      </c>
      <c r="Z638" s="6">
        <f>Deals_Raw!AA638</f>
        <v>166691.66702453382</v>
      </c>
      <c r="AA638" s="6">
        <f>Deals_Raw!AC638</f>
        <v>67786.475551610929</v>
      </c>
      <c r="AB638" s="6">
        <f>Deals_Raw!AD638</f>
        <v>98905.191472922888</v>
      </c>
      <c r="AC638" s="8">
        <f>Deals_Raw!AE638</f>
        <v>0.59334214624157511</v>
      </c>
      <c r="AD638" t="str">
        <f>Deals_Raw!AF638</f>
        <v>Lost</v>
      </c>
      <c r="AE638" t="str">
        <f>Deals_Raw!AG638</f>
        <v>No</v>
      </c>
      <c r="AF638">
        <f>Deals_Raw!AH638</f>
        <v>0</v>
      </c>
      <c r="AG638" t="str">
        <f>Deals_Raw!AI638</f>
        <v>No</v>
      </c>
      <c r="AH638" s="6">
        <f>Deals_Raw!AJ638</f>
        <v>0</v>
      </c>
      <c r="AI638" s="6">
        <f>Deals_Raw!AK638</f>
        <v>0</v>
      </c>
      <c r="AJ638" t="str">
        <f>Deals_Raw!AL638</f>
        <v>Renewal of existing active contract</v>
      </c>
      <c r="AK638" s="9">
        <f t="shared" si="63"/>
        <v>5.6333333333333337</v>
      </c>
      <c r="AL638" s="8">
        <f t="shared" si="64"/>
        <v>0.84688764595947663</v>
      </c>
      <c r="AM638" s="8">
        <f t="shared" si="65"/>
        <v>1.7000000000000015E-2</v>
      </c>
      <c r="AN638" t="str">
        <f>IF(AC638&lt;Pricing_Policy!$C$10,"Below Floor","Pass")</f>
        <v>Pass</v>
      </c>
      <c r="AO638" t="str">
        <f>IF(V638&gt;Pricing_Policy!$C$7,"Exception","Standard")</f>
        <v>Standard</v>
      </c>
      <c r="AP638" t="str">
        <f t="shared" si="66"/>
        <v>Pass</v>
      </c>
      <c r="AQ638">
        <f t="shared" si="67"/>
        <v>0</v>
      </c>
      <c r="AR638" s="8">
        <f t="shared" si="68"/>
        <v>0</v>
      </c>
      <c r="AS638">
        <f t="shared" si="69"/>
        <v>2</v>
      </c>
    </row>
    <row r="639" spans="1:45">
      <c r="A639" t="str">
        <f>Deals_Raw!A639</f>
        <v>D00720</v>
      </c>
      <c r="B639">
        <f>Deals_Raw!B639</f>
        <v>45647</v>
      </c>
      <c r="C639" t="str">
        <f>Deals_Raw!C639</f>
        <v>C0178</v>
      </c>
      <c r="D639" t="str">
        <f>Deals_Raw!D639</f>
        <v>FIN-0178</v>
      </c>
      <c r="E639" t="str">
        <f>Deals_Raw!E639</f>
        <v>CT00394</v>
      </c>
      <c r="F639" t="str">
        <f>Deals_Raw!F639</f>
        <v>Operations</v>
      </c>
      <c r="G639" t="str">
        <f>Deals_Raw!G639</f>
        <v>Financial Services</v>
      </c>
      <c r="H639" t="str">
        <f>Deals_Raw!H639</f>
        <v>Northeast</v>
      </c>
      <c r="I639" t="str">
        <f>Deals_Raw!I639</f>
        <v>Northeast Commercial</v>
      </c>
      <c r="J639" t="str">
        <f>Deals_Raw!J639</f>
        <v>SMB</v>
      </c>
      <c r="K639" t="str">
        <f>Deals_Raw!K639</f>
        <v>No</v>
      </c>
      <c r="L639">
        <f>Deals_Raw!L639</f>
        <v>43344</v>
      </c>
      <c r="M639">
        <f>Deals_Raw!M639</f>
        <v>71</v>
      </c>
      <c r="N639" t="str">
        <f>Deals_Raw!N639</f>
        <v>Nexus Enterprise Suite</v>
      </c>
      <c r="O639" t="str">
        <f>Deals_Raw!O639</f>
        <v>Win-back</v>
      </c>
      <c r="P639">
        <f>Deals_Raw!P639</f>
        <v>0</v>
      </c>
      <c r="Q639">
        <f>Deals_Raw!Q639</f>
        <v>2</v>
      </c>
      <c r="R639">
        <f>Deals_Raw!R639</f>
        <v>33</v>
      </c>
      <c r="S639" t="str">
        <f>Deals_Raw!S639</f>
        <v>S. Rivera</v>
      </c>
      <c r="T639" s="6">
        <f>Deals_Raw!T639</f>
        <v>196828.54959547959</v>
      </c>
      <c r="U639" s="8">
        <f>Deals_Raw!V639</f>
        <v>0.26400000000000001</v>
      </c>
      <c r="V639" s="8">
        <f>Deals_Raw!W639</f>
        <v>0.22600000000000001</v>
      </c>
      <c r="W639" s="8">
        <f>Deals_Raw!X639</f>
        <v>7.0000000000000001E-3</v>
      </c>
      <c r="X639" t="str">
        <f>Deals_Raw!Y639</f>
        <v>Renewal retention risk</v>
      </c>
      <c r="Y639" t="str">
        <f>Deals_Raw!Z639</f>
        <v>Business Manager</v>
      </c>
      <c r="Z639" s="6">
        <f>Deals_Raw!AA639</f>
        <v>152335.31647213074</v>
      </c>
      <c r="AA639" s="6">
        <f>Deals_Raw!AC639</f>
        <v>79723.675100057488</v>
      </c>
      <c r="AB639" s="6">
        <f>Deals_Raw!AD639</f>
        <v>72611.641372073253</v>
      </c>
      <c r="AC639" s="8">
        <f>Deals_Raw!AE639</f>
        <v>0.47665664833116567</v>
      </c>
      <c r="AD639" t="str">
        <f>Deals_Raw!AF639</f>
        <v>Won</v>
      </c>
      <c r="AE639">
        <f>Deals_Raw!AG639</f>
        <v>0</v>
      </c>
      <c r="AF639">
        <f>Deals_Raw!AH639</f>
        <v>0</v>
      </c>
      <c r="AG639" t="str">
        <f>Deals_Raw!AI639</f>
        <v>Yes</v>
      </c>
      <c r="AH639" s="6">
        <f>Deals_Raw!AJ639</f>
        <v>152335.31647213074</v>
      </c>
      <c r="AI639" s="6">
        <f>Deals_Raw!AK639</f>
        <v>72611.641372073253</v>
      </c>
      <c r="AJ639" t="str">
        <f>Deals_Raw!AL639</f>
        <v>Customer returned after lost renewal</v>
      </c>
      <c r="AK639" s="9">
        <f t="shared" si="63"/>
        <v>6.3055555555555554</v>
      </c>
      <c r="AL639" s="8">
        <f t="shared" si="64"/>
        <v>0.77394929132592316</v>
      </c>
      <c r="AM639" s="8">
        <f t="shared" si="65"/>
        <v>3.8000000000000006E-2</v>
      </c>
      <c r="AN639" t="str">
        <f>IF(AC639&lt;Pricing_Policy!$C$10,"Below Floor","Pass")</f>
        <v>Pass</v>
      </c>
      <c r="AO639" t="str">
        <f>IF(V639&gt;Pricing_Policy!$C$7,"Exception","Standard")</f>
        <v>Standard</v>
      </c>
      <c r="AP639" t="str">
        <f t="shared" si="66"/>
        <v>Pass</v>
      </c>
      <c r="AQ639">
        <f t="shared" si="67"/>
        <v>1</v>
      </c>
      <c r="AR639" s="8">
        <f t="shared" si="68"/>
        <v>0.47665664833116567</v>
      </c>
      <c r="AS639">
        <f t="shared" si="69"/>
        <v>2</v>
      </c>
    </row>
    <row r="640" spans="1:45">
      <c r="A640" t="str">
        <f>Deals_Raw!A640</f>
        <v>D00721</v>
      </c>
      <c r="B640">
        <f>Deals_Raw!B640</f>
        <v>45765</v>
      </c>
      <c r="C640" t="str">
        <f>Deals_Raw!C640</f>
        <v>C0179</v>
      </c>
      <c r="D640" t="str">
        <f>Deals_Raw!D640</f>
        <v>LEG-0179</v>
      </c>
      <c r="E640" t="str">
        <f>Deals_Raw!E640</f>
        <v>CT00395</v>
      </c>
      <c r="F640" t="str">
        <f>Deals_Raw!F640</f>
        <v>Sales</v>
      </c>
      <c r="G640" t="str">
        <f>Deals_Raw!G640</f>
        <v>Legal</v>
      </c>
      <c r="H640" t="str">
        <f>Deals_Raw!H640</f>
        <v>South</v>
      </c>
      <c r="I640" t="str">
        <f>Deals_Raw!I640</f>
        <v>South Commercial</v>
      </c>
      <c r="J640" t="str">
        <f>Deals_Raw!J640</f>
        <v>SMB</v>
      </c>
      <c r="K640" t="str">
        <f>Deals_Raw!K640</f>
        <v>No</v>
      </c>
      <c r="L640">
        <f>Deals_Raw!L640</f>
        <v>45383</v>
      </c>
      <c r="M640">
        <f>Deals_Raw!M640</f>
        <v>78</v>
      </c>
      <c r="N640" t="str">
        <f>Deals_Raw!N640</f>
        <v>Nexus Compliance</v>
      </c>
      <c r="O640" t="str">
        <f>Deals_Raw!O640</f>
        <v>New Business</v>
      </c>
      <c r="P640">
        <f>Deals_Raw!P640</f>
        <v>0</v>
      </c>
      <c r="Q640">
        <f>Deals_Raw!Q640</f>
        <v>1</v>
      </c>
      <c r="R640">
        <f>Deals_Raw!R640</f>
        <v>10</v>
      </c>
      <c r="S640" t="str">
        <f>Deals_Raw!S640</f>
        <v>L. Williams</v>
      </c>
      <c r="T640" s="6">
        <f>Deals_Raw!T640</f>
        <v>88808.881694914991</v>
      </c>
      <c r="U640" s="8">
        <f>Deals_Raw!V640</f>
        <v>9.7000000000000003E-2</v>
      </c>
      <c r="V640" s="8">
        <f>Deals_Raw!W640</f>
        <v>7.3999999999999996E-2</v>
      </c>
      <c r="W640" s="8">
        <f>Deals_Raw!X640</f>
        <v>0.10100000000000001</v>
      </c>
      <c r="X640" t="str">
        <f>Deals_Raw!Y640</f>
        <v>Multi-year commitment</v>
      </c>
      <c r="Y640" t="str">
        <f>Deals_Raw!Z640</f>
        <v>Sales Manager</v>
      </c>
      <c r="Z640" s="6">
        <f>Deals_Raw!AA640</f>
        <v>82214.338042711359</v>
      </c>
      <c r="AA640" s="6">
        <f>Deals_Raw!AC640</f>
        <v>31967.300147264508</v>
      </c>
      <c r="AB640" s="6">
        <f>Deals_Raw!AD640</f>
        <v>50247.037895446847</v>
      </c>
      <c r="AC640" s="8">
        <f>Deals_Raw!AE640</f>
        <v>0.61117122744870722</v>
      </c>
      <c r="AD640" t="str">
        <f>Deals_Raw!AF640</f>
        <v>Lost</v>
      </c>
      <c r="AE640">
        <f>Deals_Raw!AG640</f>
        <v>0</v>
      </c>
      <c r="AF640">
        <f>Deals_Raw!AH640</f>
        <v>0</v>
      </c>
      <c r="AG640" t="str">
        <f>Deals_Raw!AI640</f>
        <v>No</v>
      </c>
      <c r="AH640" s="6">
        <f>Deals_Raw!AJ640</f>
        <v>0</v>
      </c>
      <c r="AI640" s="6">
        <f>Deals_Raw!AK640</f>
        <v>0</v>
      </c>
      <c r="AJ640" t="str">
        <f>Deals_Raw!AL640</f>
        <v>First purchase under this contract</v>
      </c>
      <c r="AK640" s="9">
        <f t="shared" si="63"/>
        <v>1.0472222222222223</v>
      </c>
      <c r="AL640" s="8">
        <f t="shared" si="64"/>
        <v>0.92574454799624817</v>
      </c>
      <c r="AM640" s="8">
        <f t="shared" si="65"/>
        <v>2.3000000000000007E-2</v>
      </c>
      <c r="AN640" t="str">
        <f>IF(AC640&lt;Pricing_Policy!$C$10,"Below Floor","Pass")</f>
        <v>Pass</v>
      </c>
      <c r="AO640" t="str">
        <f>IF(V640&gt;Pricing_Policy!$C$7,"Exception","Standard")</f>
        <v>Standard</v>
      </c>
      <c r="AP640" t="str">
        <f t="shared" si="66"/>
        <v>Pass</v>
      </c>
      <c r="AQ640">
        <f t="shared" si="67"/>
        <v>0</v>
      </c>
      <c r="AR640" s="8">
        <f t="shared" si="68"/>
        <v>0</v>
      </c>
      <c r="AS640">
        <f t="shared" si="69"/>
        <v>1</v>
      </c>
    </row>
    <row r="641" spans="1:45">
      <c r="A641" t="str">
        <f>Deals_Raw!A641</f>
        <v>D00723</v>
      </c>
      <c r="B641">
        <f>Deals_Raw!B641</f>
        <v>45940</v>
      </c>
      <c r="C641" t="str">
        <f>Deals_Raw!C641</f>
        <v>C0180</v>
      </c>
      <c r="D641" t="str">
        <f>Deals_Raw!D641</f>
        <v>TEC-0180</v>
      </c>
      <c r="E641" t="str">
        <f>Deals_Raw!E641</f>
        <v>CT00397</v>
      </c>
      <c r="F641" t="str">
        <f>Deals_Raw!F641</f>
        <v>Operations</v>
      </c>
      <c r="G641" t="str">
        <f>Deals_Raw!G641</f>
        <v>Technology</v>
      </c>
      <c r="H641" t="str">
        <f>Deals_Raw!H641</f>
        <v>West</v>
      </c>
      <c r="I641" t="str">
        <f>Deals_Raw!I641</f>
        <v>West Commercial</v>
      </c>
      <c r="J641" t="str">
        <f>Deals_Raw!J641</f>
        <v>SMB</v>
      </c>
      <c r="K641" t="str">
        <f>Deals_Raw!K641</f>
        <v>No</v>
      </c>
      <c r="L641">
        <f>Deals_Raw!L641</f>
        <v>43344</v>
      </c>
      <c r="M641">
        <f>Deals_Raw!M641</f>
        <v>71</v>
      </c>
      <c r="N641" t="str">
        <f>Deals_Raw!N641</f>
        <v>Nexus Compliance</v>
      </c>
      <c r="O641" t="str">
        <f>Deals_Raw!O641</f>
        <v>Renewal</v>
      </c>
      <c r="P641">
        <f>Deals_Raw!P641</f>
        <v>0</v>
      </c>
      <c r="Q641">
        <f>Deals_Raw!Q641</f>
        <v>3</v>
      </c>
      <c r="R641">
        <f>Deals_Raw!R641</f>
        <v>28</v>
      </c>
      <c r="S641" t="str">
        <f>Deals_Raw!S641</f>
        <v>D. Chen</v>
      </c>
      <c r="T641" s="6">
        <f>Deals_Raw!T641</f>
        <v>64120.821558653653</v>
      </c>
      <c r="U641" s="8">
        <f>Deals_Raw!V641</f>
        <v>1.7000000000000001E-2</v>
      </c>
      <c r="V641" s="8">
        <f>Deals_Raw!W641</f>
        <v>0</v>
      </c>
      <c r="W641" s="8">
        <f>Deals_Raw!X641</f>
        <v>-0.10100000000000001</v>
      </c>
      <c r="X641" t="str">
        <f>Deals_Raw!Y641</f>
        <v>Budget constraint</v>
      </c>
      <c r="Y641" t="str">
        <f>Deals_Raw!Z641</f>
        <v>Sales Manager</v>
      </c>
      <c r="Z641" s="6">
        <f>Deals_Raw!AA641</f>
        <v>64120.821558653653</v>
      </c>
      <c r="AA641" s="6">
        <f>Deals_Raw!AC641</f>
        <v>23753.701848529367</v>
      </c>
      <c r="AB641" s="6">
        <f>Deals_Raw!AD641</f>
        <v>40367.119710124287</v>
      </c>
      <c r="AC641" s="8">
        <f>Deals_Raw!AE641</f>
        <v>0.62954776200425022</v>
      </c>
      <c r="AD641" t="str">
        <f>Deals_Raw!AF641</f>
        <v>Won</v>
      </c>
      <c r="AE641" t="str">
        <f>Deals_Raw!AG641</f>
        <v>Yes</v>
      </c>
      <c r="AF641">
        <f>Deals_Raw!AH641</f>
        <v>0</v>
      </c>
      <c r="AG641" t="str">
        <f>Deals_Raw!AI641</f>
        <v>No</v>
      </c>
      <c r="AH641" s="6">
        <f>Deals_Raw!AJ641</f>
        <v>64120.821558653653</v>
      </c>
      <c r="AI641" s="6">
        <f>Deals_Raw!AK641</f>
        <v>40367.119710124287</v>
      </c>
      <c r="AJ641" t="str">
        <f>Deals_Raw!AL641</f>
        <v>Renewal of existing active contract</v>
      </c>
      <c r="AK641" s="9">
        <f t="shared" si="63"/>
        <v>7.1083333333333334</v>
      </c>
      <c r="AL641" s="8">
        <f t="shared" si="64"/>
        <v>1</v>
      </c>
      <c r="AM641" s="8">
        <f t="shared" si="65"/>
        <v>1.7000000000000001E-2</v>
      </c>
      <c r="AN641" t="str">
        <f>IF(AC641&lt;Pricing_Policy!$C$10,"Below Floor","Pass")</f>
        <v>Pass</v>
      </c>
      <c r="AO641" t="str">
        <f>IF(V641&gt;Pricing_Policy!$C$7,"Exception","Standard")</f>
        <v>Standard</v>
      </c>
      <c r="AP641" t="str">
        <f t="shared" si="66"/>
        <v>Pass</v>
      </c>
      <c r="AQ641">
        <f t="shared" si="67"/>
        <v>1</v>
      </c>
      <c r="AR641" s="8">
        <f t="shared" si="68"/>
        <v>0.62954776200425022</v>
      </c>
      <c r="AS641">
        <f t="shared" si="69"/>
        <v>1</v>
      </c>
    </row>
    <row r="642" spans="1:45">
      <c r="A642" t="str">
        <f>Deals_Raw!A642</f>
        <v>D00724</v>
      </c>
      <c r="B642">
        <f>Deals_Raw!B642</f>
        <v>45831</v>
      </c>
      <c r="C642" t="str">
        <f>Deals_Raw!C642</f>
        <v>C0180</v>
      </c>
      <c r="D642" t="str">
        <f>Deals_Raw!D642</f>
        <v>TEC-0180</v>
      </c>
      <c r="E642" t="str">
        <f>Deals_Raw!E642</f>
        <v>CT00398</v>
      </c>
      <c r="F642" t="str">
        <f>Deals_Raw!F642</f>
        <v>Legal</v>
      </c>
      <c r="G642" t="str">
        <f>Deals_Raw!G642</f>
        <v>Technology</v>
      </c>
      <c r="H642" t="str">
        <f>Deals_Raw!H642</f>
        <v>West</v>
      </c>
      <c r="I642" t="str">
        <f>Deals_Raw!I642</f>
        <v>West Commercial</v>
      </c>
      <c r="J642" t="str">
        <f>Deals_Raw!J642</f>
        <v>SMB</v>
      </c>
      <c r="K642" t="str">
        <f>Deals_Raw!K642</f>
        <v>No</v>
      </c>
      <c r="L642">
        <f>Deals_Raw!L642</f>
        <v>43344</v>
      </c>
      <c r="M642">
        <f>Deals_Raw!M642</f>
        <v>71</v>
      </c>
      <c r="N642" t="str">
        <f>Deals_Raw!N642</f>
        <v>Nexus Analytics</v>
      </c>
      <c r="O642" t="str">
        <f>Deals_Raw!O642</f>
        <v>New Business</v>
      </c>
      <c r="P642">
        <f>Deals_Raw!P642</f>
        <v>0</v>
      </c>
      <c r="Q642">
        <f>Deals_Raw!Q642</f>
        <v>1</v>
      </c>
      <c r="R642">
        <f>Deals_Raw!R642</f>
        <v>65</v>
      </c>
      <c r="S642" t="str">
        <f>Deals_Raw!S642</f>
        <v>S. Rivera</v>
      </c>
      <c r="T642" s="6">
        <f>Deals_Raw!T642</f>
        <v>56101.805522188988</v>
      </c>
      <c r="U642" s="8">
        <f>Deals_Raw!V642</f>
        <v>0.16200000000000001</v>
      </c>
      <c r="V642" s="8">
        <f>Deals_Raw!W642</f>
        <v>0.129</v>
      </c>
      <c r="W642" s="8">
        <f>Deals_Raw!X642</f>
        <v>-8.5999999999999993E-2</v>
      </c>
      <c r="X642" t="str">
        <f>Deals_Raw!Y642</f>
        <v>Verified competitor pressure</v>
      </c>
      <c r="Y642" t="str">
        <f>Deals_Raw!Z642</f>
        <v>Pricing Analyst</v>
      </c>
      <c r="Z642" s="6">
        <f>Deals_Raw!AA642</f>
        <v>48886.278876651748</v>
      </c>
      <c r="AA642" s="6">
        <f>Deals_Raw!AC642</f>
        <v>18811.986893512418</v>
      </c>
      <c r="AB642" s="6">
        <f>Deals_Raw!AD642</f>
        <v>30074.29198313933</v>
      </c>
      <c r="AC642" s="8">
        <f>Deals_Raw!AE642</f>
        <v>0.61518881523017521</v>
      </c>
      <c r="AD642" t="str">
        <f>Deals_Raw!AF642</f>
        <v>Lost</v>
      </c>
      <c r="AE642">
        <f>Deals_Raw!AG642</f>
        <v>0</v>
      </c>
      <c r="AF642">
        <f>Deals_Raw!AH642</f>
        <v>0</v>
      </c>
      <c r="AG642" t="str">
        <f>Deals_Raw!AI642</f>
        <v>No</v>
      </c>
      <c r="AH642" s="6">
        <f>Deals_Raw!AJ642</f>
        <v>0</v>
      </c>
      <c r="AI642" s="6">
        <f>Deals_Raw!AK642</f>
        <v>0</v>
      </c>
      <c r="AJ642" t="str">
        <f>Deals_Raw!AL642</f>
        <v>First purchase under this contract</v>
      </c>
      <c r="AK642" s="9">
        <f t="shared" si="63"/>
        <v>6.8111111111111109</v>
      </c>
      <c r="AL642" s="8">
        <f t="shared" si="64"/>
        <v>0.87138512605118557</v>
      </c>
      <c r="AM642" s="8">
        <f t="shared" si="65"/>
        <v>3.3000000000000002E-2</v>
      </c>
      <c r="AN642" t="str">
        <f>IF(AC642&lt;Pricing_Policy!$C$10,"Below Floor","Pass")</f>
        <v>Pass</v>
      </c>
      <c r="AO642" t="str">
        <f>IF(V642&gt;Pricing_Policy!$C$7,"Exception","Standard")</f>
        <v>Standard</v>
      </c>
      <c r="AP642" t="str">
        <f t="shared" si="66"/>
        <v>Pass</v>
      </c>
      <c r="AQ642">
        <f t="shared" si="67"/>
        <v>0</v>
      </c>
      <c r="AR642" s="8">
        <f t="shared" si="68"/>
        <v>0</v>
      </c>
      <c r="AS642">
        <f t="shared" si="69"/>
        <v>1</v>
      </c>
    </row>
  </sheetData>
  <mergeCells count="1">
    <mergeCell ref="A1:AS2"/>
  </mergeCells>
  <conditionalFormatting sqref="AN5:AP642">
    <cfRule type="expression" dxfId="1" priority="1">
      <formula>OR(AN5="Below Floor",AP5="Review")</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election sqref="A1:F2"/>
    </sheetView>
  </sheetViews>
  <sheetFormatPr defaultRowHeight="14.25"/>
  <cols>
    <col min="1" max="2" width="24" customWidth="1"/>
    <col min="3" max="6" width="38" customWidth="1"/>
  </cols>
  <sheetData>
    <row r="1" spans="1:6">
      <c r="A1" s="20" t="s">
        <v>1587</v>
      </c>
      <c r="B1" s="20"/>
      <c r="C1" s="20"/>
      <c r="D1" s="20"/>
      <c r="E1" s="20"/>
      <c r="F1" s="20"/>
    </row>
    <row r="2" spans="1:6">
      <c r="A2" s="20"/>
      <c r="B2" s="20"/>
      <c r="C2" s="20"/>
      <c r="D2" s="20"/>
      <c r="E2" s="20"/>
      <c r="F2" s="20"/>
    </row>
    <row r="3" spans="1:6">
      <c r="A3" s="2"/>
      <c r="B3" s="2"/>
      <c r="C3" s="2"/>
      <c r="D3" s="2"/>
      <c r="E3" s="2"/>
      <c r="F3" s="2"/>
    </row>
    <row r="4" spans="1:6" ht="15">
      <c r="A4" s="3" t="s">
        <v>1588</v>
      </c>
      <c r="B4" s="3" t="s">
        <v>1589</v>
      </c>
      <c r="C4" s="3" t="s">
        <v>1590</v>
      </c>
      <c r="D4" s="3" t="s">
        <v>1591</v>
      </c>
      <c r="E4" s="3" t="s">
        <v>1592</v>
      </c>
      <c r="F4" s="3" t="s">
        <v>1593</v>
      </c>
    </row>
    <row r="5" spans="1:6">
      <c r="A5" s="2" t="s">
        <v>22</v>
      </c>
      <c r="B5" s="2" t="s">
        <v>23</v>
      </c>
      <c r="C5" s="2" t="s">
        <v>1594</v>
      </c>
      <c r="D5" s="2" t="s">
        <v>32</v>
      </c>
      <c r="E5" s="2" t="s">
        <v>1595</v>
      </c>
      <c r="F5" s="2" t="s">
        <v>1596</v>
      </c>
    </row>
    <row r="6" spans="1:6">
      <c r="A6" s="2" t="s">
        <v>436</v>
      </c>
      <c r="B6" s="2" t="s">
        <v>1597</v>
      </c>
      <c r="C6" s="2" t="s">
        <v>1598</v>
      </c>
      <c r="D6" s="2" t="s">
        <v>444</v>
      </c>
      <c r="E6" s="2" t="s">
        <v>1599</v>
      </c>
      <c r="F6" s="2" t="s">
        <v>1596</v>
      </c>
    </row>
    <row r="7" spans="1:6">
      <c r="A7" s="2" t="s">
        <v>851</v>
      </c>
      <c r="B7" s="2" t="s">
        <v>1600</v>
      </c>
      <c r="C7" s="2" t="s">
        <v>1601</v>
      </c>
      <c r="D7" s="2" t="s">
        <v>1602</v>
      </c>
      <c r="E7" s="2" t="s">
        <v>1603</v>
      </c>
      <c r="F7" s="2" t="s">
        <v>1596</v>
      </c>
    </row>
    <row r="8" spans="1:6">
      <c r="A8" s="2" t="s">
        <v>29</v>
      </c>
      <c r="B8" s="2" t="s">
        <v>23</v>
      </c>
      <c r="C8" s="2" t="s">
        <v>1604</v>
      </c>
      <c r="D8" s="2" t="s">
        <v>1605</v>
      </c>
      <c r="E8" s="2" t="s">
        <v>1606</v>
      </c>
      <c r="F8" s="2" t="s">
        <v>1596</v>
      </c>
    </row>
    <row r="9" spans="1:6">
      <c r="A9" s="2" t="s">
        <v>1578</v>
      </c>
      <c r="B9" s="2" t="s">
        <v>1607</v>
      </c>
      <c r="C9" s="2" t="s">
        <v>1608</v>
      </c>
      <c r="D9" s="2" t="s">
        <v>1609</v>
      </c>
      <c r="E9" s="2" t="s">
        <v>1610</v>
      </c>
      <c r="F9" s="2" t="s">
        <v>1611</v>
      </c>
    </row>
    <row r="10" spans="1:6">
      <c r="A10" s="2" t="s">
        <v>855</v>
      </c>
      <c r="B10" s="2" t="s">
        <v>1612</v>
      </c>
      <c r="C10" s="2" t="s">
        <v>1613</v>
      </c>
      <c r="D10" s="2" t="s">
        <v>1614</v>
      </c>
      <c r="E10" s="2" t="s">
        <v>1615</v>
      </c>
      <c r="F10" s="2" t="s">
        <v>1596</v>
      </c>
    </row>
    <row r="11" spans="1:6" ht="28.5">
      <c r="A11" s="2" t="s">
        <v>853</v>
      </c>
      <c r="B11" s="2" t="s">
        <v>1600</v>
      </c>
      <c r="C11" s="2" t="s">
        <v>1616</v>
      </c>
      <c r="D11" s="2" t="s">
        <v>883</v>
      </c>
      <c r="E11" s="2" t="s">
        <v>1617</v>
      </c>
      <c r="F11" s="2" t="s">
        <v>1596</v>
      </c>
    </row>
    <row r="12" spans="1:6">
      <c r="A12" s="2" t="s">
        <v>854</v>
      </c>
      <c r="B12" s="2" t="s">
        <v>1600</v>
      </c>
      <c r="C12" s="2" t="s">
        <v>1618</v>
      </c>
      <c r="D12" s="2" t="s">
        <v>985</v>
      </c>
      <c r="E12" s="2" t="s">
        <v>1619</v>
      </c>
      <c r="F12" s="2" t="s">
        <v>1596</v>
      </c>
    </row>
    <row r="13" spans="1:6">
      <c r="A13" s="2" t="s">
        <v>1579</v>
      </c>
      <c r="B13" s="2" t="s">
        <v>1607</v>
      </c>
      <c r="C13" s="2" t="s">
        <v>1620</v>
      </c>
      <c r="D13" s="2" t="s">
        <v>1621</v>
      </c>
      <c r="E13" s="2" t="s">
        <v>1622</v>
      </c>
      <c r="F13" s="2" t="s">
        <v>1611</v>
      </c>
    </row>
    <row r="14" spans="1:6" ht="28.5">
      <c r="A14" s="2" t="s">
        <v>1586</v>
      </c>
      <c r="B14" s="2" t="s">
        <v>1607</v>
      </c>
      <c r="C14" s="2" t="s">
        <v>1623</v>
      </c>
      <c r="D14" s="2" t="s">
        <v>1624</v>
      </c>
      <c r="E14" s="2" t="s">
        <v>1625</v>
      </c>
      <c r="F14" s="2" t="s">
        <v>1611</v>
      </c>
    </row>
    <row r="15" spans="1:6" ht="28.5">
      <c r="A15" s="2" t="s">
        <v>871</v>
      </c>
      <c r="B15" s="2" t="s">
        <v>1600</v>
      </c>
      <c r="C15" s="2" t="s">
        <v>1626</v>
      </c>
      <c r="D15" s="2" t="s">
        <v>44</v>
      </c>
      <c r="E15" s="2" t="s">
        <v>1627</v>
      </c>
      <c r="F15" s="2" t="s">
        <v>1596</v>
      </c>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sheetData>
  <mergeCells count="1">
    <mergeCell ref="A1:F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F9" sqref="F9"/>
    </sheetView>
  </sheetViews>
  <sheetFormatPr defaultRowHeight="14.25"/>
  <cols>
    <col min="1" max="3" width="27" customWidth="1"/>
    <col min="4" max="6" width="38" customWidth="1"/>
  </cols>
  <sheetData>
    <row r="1" spans="1:6">
      <c r="A1" s="20" t="s">
        <v>1628</v>
      </c>
      <c r="B1" s="20"/>
      <c r="C1" s="20"/>
      <c r="D1" s="20"/>
      <c r="E1" s="20"/>
      <c r="F1" s="20"/>
    </row>
    <row r="2" spans="1:6">
      <c r="A2" s="20"/>
      <c r="B2" s="20"/>
      <c r="C2" s="20"/>
      <c r="D2" s="20"/>
      <c r="E2" s="20"/>
      <c r="F2" s="20"/>
    </row>
    <row r="3" spans="1:6">
      <c r="A3" s="2"/>
      <c r="B3" s="2"/>
      <c r="C3" s="2"/>
      <c r="D3" s="2"/>
      <c r="E3" s="2"/>
      <c r="F3" s="2"/>
    </row>
    <row r="4" spans="1:6" ht="15">
      <c r="A4" s="3" t="s">
        <v>1629</v>
      </c>
      <c r="B4" s="3" t="s">
        <v>1630</v>
      </c>
      <c r="C4" s="3" t="s">
        <v>1631</v>
      </c>
      <c r="D4" s="3" t="s">
        <v>1632</v>
      </c>
      <c r="E4" s="3" t="s">
        <v>1633</v>
      </c>
      <c r="F4" s="3" t="s">
        <v>1591</v>
      </c>
    </row>
    <row r="5" spans="1:6">
      <c r="A5" s="2" t="s">
        <v>1634</v>
      </c>
      <c r="B5" s="2" t="s">
        <v>891</v>
      </c>
      <c r="C5" s="2" t="s">
        <v>44</v>
      </c>
      <c r="D5" s="2" t="s">
        <v>1635</v>
      </c>
      <c r="E5" s="2" t="s">
        <v>1636</v>
      </c>
      <c r="F5" s="2" t="s">
        <v>1637</v>
      </c>
    </row>
    <row r="6" spans="1:6">
      <c r="A6" s="2" t="s">
        <v>1638</v>
      </c>
      <c r="B6" s="2" t="s">
        <v>876</v>
      </c>
      <c r="C6" s="2" t="s">
        <v>44</v>
      </c>
      <c r="D6" s="2" t="s">
        <v>1639</v>
      </c>
      <c r="E6" s="2" t="s">
        <v>1640</v>
      </c>
      <c r="F6" s="2" t="s">
        <v>1641</v>
      </c>
    </row>
    <row r="7" spans="1:6">
      <c r="A7" s="2" t="s">
        <v>1638</v>
      </c>
      <c r="B7" s="2" t="s">
        <v>883</v>
      </c>
      <c r="C7" s="2" t="s">
        <v>44</v>
      </c>
      <c r="D7" s="2" t="s">
        <v>1642</v>
      </c>
      <c r="E7" s="2" t="s">
        <v>1643</v>
      </c>
      <c r="F7" s="2" t="s">
        <v>1644</v>
      </c>
    </row>
    <row r="8" spans="1:6">
      <c r="A8" s="2" t="s">
        <v>1645</v>
      </c>
      <c r="B8" s="2" t="s">
        <v>915</v>
      </c>
      <c r="C8" s="2" t="s">
        <v>44</v>
      </c>
      <c r="D8" s="2" t="s">
        <v>1646</v>
      </c>
      <c r="E8" s="2" t="s">
        <v>1647</v>
      </c>
      <c r="F8" s="2" t="s">
        <v>1648</v>
      </c>
    </row>
    <row r="9" spans="1:6">
      <c r="A9" s="2" t="s">
        <v>1638</v>
      </c>
      <c r="B9" s="2" t="s">
        <v>891</v>
      </c>
      <c r="C9" s="2" t="s">
        <v>1649</v>
      </c>
      <c r="D9" s="2" t="s">
        <v>1650</v>
      </c>
      <c r="E9" s="2" t="s">
        <v>1651</v>
      </c>
      <c r="F9" s="2" t="s">
        <v>1652</v>
      </c>
    </row>
    <row r="10" spans="1:6">
      <c r="A10" s="2" t="s">
        <v>1653</v>
      </c>
      <c r="B10" s="2" t="s">
        <v>883</v>
      </c>
      <c r="C10" s="2" t="s">
        <v>38</v>
      </c>
      <c r="D10" s="2" t="s">
        <v>1654</v>
      </c>
      <c r="E10" s="2" t="s">
        <v>1655</v>
      </c>
      <c r="F10" s="2" t="s">
        <v>1656</v>
      </c>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sheetData>
  <mergeCells count="1">
    <mergeCell ref="A1:F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selection activeCell="F7" sqref="F7"/>
    </sheetView>
  </sheetViews>
  <sheetFormatPr defaultRowHeight="14.25"/>
  <cols>
    <col min="1" max="1" width="24" customWidth="1"/>
    <col min="2" max="12" width="16" customWidth="1"/>
  </cols>
  <sheetData>
    <row r="1" spans="1:12">
      <c r="A1" s="18" t="s">
        <v>1657</v>
      </c>
      <c r="B1" s="18"/>
      <c r="C1" s="18"/>
      <c r="D1" s="18"/>
      <c r="E1" s="18"/>
      <c r="F1" s="18"/>
      <c r="G1" s="18"/>
      <c r="H1" s="18"/>
      <c r="I1" s="18"/>
      <c r="J1" s="18"/>
      <c r="K1" s="18"/>
      <c r="L1" s="18"/>
    </row>
    <row r="2" spans="1:12">
      <c r="A2" s="18"/>
      <c r="B2" s="18"/>
      <c r="C2" s="18"/>
      <c r="D2" s="18"/>
      <c r="E2" s="18"/>
      <c r="F2" s="18"/>
      <c r="G2" s="18"/>
      <c r="H2" s="18"/>
      <c r="I2" s="18"/>
      <c r="J2" s="18"/>
      <c r="K2" s="18"/>
      <c r="L2" s="18"/>
    </row>
    <row r="4" spans="1:12" ht="15">
      <c r="A4" s="3" t="s">
        <v>1658</v>
      </c>
      <c r="B4" s="3" t="s">
        <v>1659</v>
      </c>
      <c r="D4" s="3" t="s">
        <v>1660</v>
      </c>
      <c r="E4" s="3" t="s">
        <v>1661</v>
      </c>
      <c r="F4" s="3" t="s">
        <v>880</v>
      </c>
      <c r="G4" s="3" t="s">
        <v>1662</v>
      </c>
      <c r="H4" s="3" t="s">
        <v>1663</v>
      </c>
      <c r="I4" s="3" t="s">
        <v>1664</v>
      </c>
    </row>
    <row r="5" spans="1:12">
      <c r="A5" t="s">
        <v>1665</v>
      </c>
      <c r="B5">
        <f>COUNTA(Customer_Master!A5:A184)</f>
        <v>180</v>
      </c>
      <c r="D5" t="s">
        <v>891</v>
      </c>
      <c r="E5">
        <f>COUNTIF(Deals_Raw!O5:O642,D5)</f>
        <v>202</v>
      </c>
      <c r="F5">
        <f>COUNTIFS(Deals_Raw!O5:O642,D5,Deals_Raw!AF5:AF642,"Won")</f>
        <v>103</v>
      </c>
      <c r="G5" s="8">
        <f>IFERROR(F5/E5,0)</f>
        <v>0.50990099009900991</v>
      </c>
      <c r="H5" s="8">
        <f>IFERROR(SUMIFS(Deals_Raw!W5:W642,Deals_Raw!O5:O642,D5)/E5,0)</f>
        <v>0.11766831683168322</v>
      </c>
      <c r="I5" s="8">
        <f>IFERROR(SUMIFS(Deals_Raw!AE5:AE642,Deals_Raw!O5:O642,D5)/E5,0)</f>
        <v>0.58033474209000924</v>
      </c>
    </row>
    <row r="6" spans="1:12">
      <c r="A6" t="s">
        <v>1666</v>
      </c>
      <c r="B6">
        <f>COUNTA(Contract_Master!A5:A402)</f>
        <v>398</v>
      </c>
      <c r="D6" t="s">
        <v>876</v>
      </c>
      <c r="E6">
        <f>COUNTIF(Deals_Raw!O5:O642,D6)</f>
        <v>303</v>
      </c>
      <c r="F6">
        <f>COUNTIFS(Deals_Raw!O5:O642,D6,Deals_Raw!AF5:AF642,"Won")</f>
        <v>223</v>
      </c>
      <c r="G6" s="8">
        <f>IFERROR(F6/E6,0)</f>
        <v>0.735973597359736</v>
      </c>
      <c r="H6" s="8">
        <f>IFERROR(SUMIFS(Deals_Raw!W5:W642,Deals_Raw!O5:O642,D6)/E6,0)</f>
        <v>0.11780198019801971</v>
      </c>
      <c r="I6" s="8">
        <f>IFERROR(SUMIFS(Deals_Raw!AE5:AE642,Deals_Raw!O5:O642,D6)/E6,0)</f>
        <v>0.62205755795259943</v>
      </c>
    </row>
    <row r="7" spans="1:12">
      <c r="A7" t="s">
        <v>1661</v>
      </c>
      <c r="B7">
        <f>COUNTA(Deals_Raw!A5:A642)</f>
        <v>638</v>
      </c>
      <c r="D7" t="s">
        <v>883</v>
      </c>
      <c r="E7">
        <f>COUNTIF(Deals_Raw!O5:O642,D7)</f>
        <v>89</v>
      </c>
      <c r="F7">
        <f>COUNTIFS(Deals_Raw!O5:O642,D7,Deals_Raw!AF5:AF642,"Won")</f>
        <v>71</v>
      </c>
      <c r="G7" s="8">
        <f>IFERROR(F7/E7,0)</f>
        <v>0.797752808988764</v>
      </c>
      <c r="H7" s="8">
        <f>IFERROR(SUMIFS(Deals_Raw!W5:W642,Deals_Raw!O5:O642,D7)/E7,0)</f>
        <v>8.7494382022471923E-2</v>
      </c>
      <c r="I7" s="8">
        <f>IFERROR(SUMIFS(Deals_Raw!AE5:AE642,Deals_Raw!O5:O642,D7)/E7,0)</f>
        <v>0.63031902684386532</v>
      </c>
    </row>
    <row r="8" spans="1:12">
      <c r="A8" t="s">
        <v>1667</v>
      </c>
      <c r="B8">
        <f>COUNTIF(Deals_Raw!AF5:AF642,"Won")</f>
        <v>427</v>
      </c>
      <c r="D8" t="s">
        <v>915</v>
      </c>
      <c r="E8">
        <f>COUNTIF(Deals_Raw!O5:O642,D8)</f>
        <v>44</v>
      </c>
      <c r="F8">
        <f>COUNTIFS(Deals_Raw!O5:O642,D8,Deals_Raw!AF5:AF642,"Won")</f>
        <v>30</v>
      </c>
      <c r="G8" s="8">
        <f>IFERROR(F8/E8,0)</f>
        <v>0.68181818181818177</v>
      </c>
      <c r="H8" s="8">
        <f>IFERROR(SUMIFS(Deals_Raw!W5:W642,Deals_Raw!O5:O642,D8)/E8,0)</f>
        <v>0.19236363636363638</v>
      </c>
      <c r="I8" s="8">
        <f>IFERROR(SUMIFS(Deals_Raw!AE5:AE642,Deals_Raw!O5:O642,D8)/E8,0)</f>
        <v>0.55946560577996474</v>
      </c>
    </row>
    <row r="9" spans="1:12">
      <c r="A9" t="s">
        <v>1662</v>
      </c>
      <c r="B9" s="8">
        <f>B8/B7</f>
        <v>0.66927899686520376</v>
      </c>
    </row>
    <row r="10" spans="1:12">
      <c r="A10" t="s">
        <v>1668</v>
      </c>
      <c r="B10" s="6">
        <f>SUM(Deals_Raw!AJ5:AJ642)</f>
        <v>79197171.503802165</v>
      </c>
    </row>
    <row r="11" spans="1:12">
      <c r="A11" t="s">
        <v>1669</v>
      </c>
      <c r="B11" s="6">
        <f>B10/B8</f>
        <v>185473.46956393949</v>
      </c>
    </row>
    <row r="12" spans="1:12">
      <c r="A12" t="s">
        <v>1670</v>
      </c>
      <c r="B12" s="8">
        <f>SUM(Deals_Raw!AK5:AK642)/SUM(Deals_Raw!AJ5:AJ642)</f>
        <v>0.60260509035392673</v>
      </c>
    </row>
  </sheetData>
  <mergeCells count="1">
    <mergeCell ref="A1:L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38"/>
  <sheetViews>
    <sheetView workbookViewId="0">
      <selection activeCell="E38" sqref="E38"/>
    </sheetView>
  </sheetViews>
  <sheetFormatPr defaultColWidth="27.125" defaultRowHeight="14.25"/>
  <sheetData>
    <row r="1" spans="1:10" ht="15">
      <c r="A1" t="s">
        <v>1671</v>
      </c>
      <c r="B1" s="10" t="s">
        <v>1672</v>
      </c>
      <c r="C1" s="10" t="s">
        <v>1673</v>
      </c>
      <c r="D1" s="10" t="s">
        <v>1674</v>
      </c>
      <c r="E1" s="10" t="s">
        <v>1675</v>
      </c>
      <c r="F1" s="10" t="s">
        <v>1676</v>
      </c>
      <c r="G1" s="10" t="s">
        <v>1677</v>
      </c>
      <c r="J1" s="10"/>
    </row>
    <row r="2" spans="1:10" ht="15">
      <c r="A2" s="11">
        <v>1</v>
      </c>
      <c r="B2" s="11" t="s">
        <v>1681</v>
      </c>
      <c r="C2" t="s">
        <v>1679</v>
      </c>
      <c r="D2" t="s">
        <v>1682</v>
      </c>
      <c r="E2">
        <v>0</v>
      </c>
      <c r="F2" t="s">
        <v>1680</v>
      </c>
      <c r="G2" t="s">
        <v>1683</v>
      </c>
      <c r="J2" s="10"/>
    </row>
    <row r="3" spans="1:10" ht="15">
      <c r="A3" s="11">
        <v>2</v>
      </c>
      <c r="B3" s="11" t="s">
        <v>436</v>
      </c>
      <c r="C3" t="s">
        <v>1685</v>
      </c>
      <c r="D3" t="s">
        <v>1686</v>
      </c>
      <c r="E3">
        <v>0</v>
      </c>
      <c r="F3" t="s">
        <v>1680</v>
      </c>
      <c r="G3" t="s">
        <v>1683</v>
      </c>
      <c r="J3" s="10"/>
    </row>
    <row r="4" spans="1:10" ht="20.25" customHeight="1">
      <c r="A4" s="11">
        <v>3</v>
      </c>
      <c r="B4" s="11" t="s">
        <v>1697</v>
      </c>
      <c r="C4" s="14" t="s">
        <v>1695</v>
      </c>
      <c r="D4" t="s">
        <v>1696</v>
      </c>
      <c r="E4">
        <v>638</v>
      </c>
      <c r="G4" s="14" t="s">
        <v>1700</v>
      </c>
      <c r="J4" s="10"/>
    </row>
    <row r="5" spans="1:10" ht="15">
      <c r="A5" s="13">
        <v>4</v>
      </c>
      <c r="B5" t="s">
        <v>1707</v>
      </c>
      <c r="C5" t="s">
        <v>1708</v>
      </c>
      <c r="D5" t="s">
        <v>1709</v>
      </c>
      <c r="E5" t="s">
        <v>1710</v>
      </c>
      <c r="G5" t="s">
        <v>1711</v>
      </c>
      <c r="J5" s="10"/>
    </row>
    <row r="6" spans="1:10" ht="15">
      <c r="A6" s="11">
        <v>5</v>
      </c>
      <c r="B6" t="s">
        <v>1714</v>
      </c>
      <c r="C6" t="s">
        <v>1715</v>
      </c>
      <c r="D6" t="s">
        <v>1716</v>
      </c>
      <c r="E6" t="s">
        <v>1717</v>
      </c>
      <c r="F6" t="s">
        <v>1719</v>
      </c>
      <c r="G6" t="s">
        <v>1718</v>
      </c>
      <c r="J6" s="10"/>
    </row>
    <row r="7" spans="1:10" ht="15">
      <c r="A7" s="11">
        <v>6</v>
      </c>
      <c r="B7" s="11" t="s">
        <v>1723</v>
      </c>
      <c r="C7" t="s">
        <v>1724</v>
      </c>
      <c r="D7" t="s">
        <v>1725</v>
      </c>
      <c r="E7" t="s">
        <v>1726</v>
      </c>
      <c r="F7" t="s">
        <v>1728</v>
      </c>
      <c r="G7" t="s">
        <v>1727</v>
      </c>
      <c r="J7" s="10"/>
    </row>
    <row r="8" spans="1:10" ht="15">
      <c r="A8" s="11">
        <v>7</v>
      </c>
      <c r="B8" s="11"/>
      <c r="J8" s="10"/>
    </row>
    <row r="9" spans="1:10" ht="15">
      <c r="J9" s="10"/>
    </row>
    <row r="10" spans="1:10" ht="15">
      <c r="J10" s="10"/>
    </row>
    <row r="11" spans="1:10" ht="15">
      <c r="J11" s="10"/>
    </row>
    <row r="12" spans="1:10" ht="15">
      <c r="J12" s="10"/>
    </row>
    <row r="13" spans="1:10" ht="15">
      <c r="J13" s="10"/>
    </row>
    <row r="14" spans="1:10" ht="15">
      <c r="J14" s="10"/>
    </row>
    <row r="15" spans="1:10" ht="15">
      <c r="J15" s="10"/>
    </row>
    <row r="16" spans="1:10" ht="15">
      <c r="J16" s="10"/>
    </row>
    <row r="17" spans="10:10" ht="15">
      <c r="J17" s="10"/>
    </row>
    <row r="18" spans="10:10" ht="15">
      <c r="J18" s="10"/>
    </row>
    <row r="19" spans="10:10" ht="15">
      <c r="J19" s="10"/>
    </row>
    <row r="20" spans="10:10" ht="15">
      <c r="J20" s="10"/>
    </row>
    <row r="21" spans="10:10" ht="15">
      <c r="J21" s="10"/>
    </row>
    <row r="22" spans="10:10" ht="15">
      <c r="J22" s="10"/>
    </row>
    <row r="23" spans="10:10" ht="15">
      <c r="J23" s="10"/>
    </row>
    <row r="24" spans="10:10" ht="15">
      <c r="J24" s="10"/>
    </row>
    <row r="25" spans="10:10" ht="15">
      <c r="J25" s="10"/>
    </row>
    <row r="26" spans="10:10" ht="15">
      <c r="J26" s="10"/>
    </row>
    <row r="27" spans="10:10" ht="15">
      <c r="J27" s="10"/>
    </row>
    <row r="28" spans="10:10" ht="15">
      <c r="J28" s="10"/>
    </row>
    <row r="29" spans="10:10" ht="15">
      <c r="J29" s="10"/>
    </row>
    <row r="30" spans="10:10" ht="15">
      <c r="J30" s="10"/>
    </row>
    <row r="31" spans="10:10" ht="15">
      <c r="J31" s="10"/>
    </row>
    <row r="32" spans="10:10" ht="15">
      <c r="J32" s="10"/>
    </row>
    <row r="33" spans="10:10" ht="15">
      <c r="J33" s="10"/>
    </row>
    <row r="34" spans="10:10" ht="15">
      <c r="J34" s="10"/>
    </row>
    <row r="35" spans="10:10" ht="15">
      <c r="J35" s="10"/>
    </row>
    <row r="36" spans="10:10" ht="15">
      <c r="J36" s="10"/>
    </row>
    <row r="37" spans="10:10" ht="15">
      <c r="J37" s="10"/>
    </row>
    <row r="38" spans="10:10" ht="15">
      <c r="J38" s="10"/>
    </row>
    <row r="39" spans="10:10" ht="15">
      <c r="J39" s="10"/>
    </row>
    <row r="40" spans="10:10" ht="15">
      <c r="J40" s="10"/>
    </row>
    <row r="41" spans="10:10" ht="15">
      <c r="J41" s="10"/>
    </row>
    <row r="42" spans="10:10" ht="15">
      <c r="J42" s="10"/>
    </row>
    <row r="43" spans="10:10" ht="15">
      <c r="J43" s="10"/>
    </row>
    <row r="44" spans="10:10" ht="15">
      <c r="J44" s="10"/>
    </row>
    <row r="45" spans="10:10" ht="15">
      <c r="J45" s="10"/>
    </row>
    <row r="46" spans="10:10" ht="15">
      <c r="J46" s="10"/>
    </row>
    <row r="47" spans="10:10" ht="15">
      <c r="J47" s="10"/>
    </row>
    <row r="48" spans="10:10" ht="15">
      <c r="J48" s="10"/>
    </row>
    <row r="49" spans="10:10" ht="15">
      <c r="J49" s="10"/>
    </row>
    <row r="50" spans="10:10" ht="15">
      <c r="J50" s="10"/>
    </row>
    <row r="51" spans="10:10" ht="15">
      <c r="J51" s="10"/>
    </row>
    <row r="52" spans="10:10" ht="15">
      <c r="J52" s="10"/>
    </row>
    <row r="53" spans="10:10" ht="15">
      <c r="J53" s="10"/>
    </row>
    <row r="54" spans="10:10" ht="15">
      <c r="J54" s="10"/>
    </row>
    <row r="55" spans="10:10" ht="15">
      <c r="J55" s="10"/>
    </row>
    <row r="56" spans="10:10" ht="15">
      <c r="J56" s="10"/>
    </row>
    <row r="57" spans="10:10" ht="15">
      <c r="J57" s="10"/>
    </row>
    <row r="58" spans="10:10" ht="15">
      <c r="J58" s="10"/>
    </row>
    <row r="59" spans="10:10" ht="15">
      <c r="J59" s="10"/>
    </row>
    <row r="60" spans="10:10" ht="15">
      <c r="J60" s="10"/>
    </row>
    <row r="61" spans="10:10" ht="15">
      <c r="J61" s="10"/>
    </row>
    <row r="62" spans="10:10" ht="15">
      <c r="J62" s="10"/>
    </row>
    <row r="63" spans="10:10" ht="15">
      <c r="J63" s="10"/>
    </row>
    <row r="64" spans="10:10" ht="15">
      <c r="J64" s="10"/>
    </row>
    <row r="65" spans="10:10" ht="15">
      <c r="J65" s="10"/>
    </row>
    <row r="66" spans="10:10" ht="15">
      <c r="J66" s="10"/>
    </row>
    <row r="67" spans="10:10" ht="15">
      <c r="J67" s="10"/>
    </row>
    <row r="68" spans="10:10" ht="15">
      <c r="J68" s="10"/>
    </row>
    <row r="69" spans="10:10" ht="15">
      <c r="J69" s="10"/>
    </row>
    <row r="70" spans="10:10" ht="15">
      <c r="J70" s="10"/>
    </row>
    <row r="71" spans="10:10" ht="15">
      <c r="J71" s="10"/>
    </row>
    <row r="72" spans="10:10" ht="15">
      <c r="J72" s="10"/>
    </row>
    <row r="73" spans="10:10" ht="15">
      <c r="J73" s="10"/>
    </row>
    <row r="74" spans="10:10" ht="15">
      <c r="J74" s="10"/>
    </row>
    <row r="75" spans="10:10" ht="15">
      <c r="J75" s="10"/>
    </row>
    <row r="76" spans="10:10" ht="15">
      <c r="J76" s="10"/>
    </row>
    <row r="77" spans="10:10" ht="15">
      <c r="J77" s="10"/>
    </row>
    <row r="78" spans="10:10" ht="15">
      <c r="J78" s="10"/>
    </row>
    <row r="79" spans="10:10" ht="15">
      <c r="J79" s="10"/>
    </row>
    <row r="80" spans="10:10" ht="15">
      <c r="J80" s="10"/>
    </row>
    <row r="81" spans="10:10" ht="15">
      <c r="J81" s="10"/>
    </row>
    <row r="82" spans="10:10" ht="15">
      <c r="J82" s="10"/>
    </row>
    <row r="83" spans="10:10" ht="15">
      <c r="J83" s="10"/>
    </row>
    <row r="84" spans="10:10" ht="15">
      <c r="J84" s="10"/>
    </row>
    <row r="85" spans="10:10" ht="15">
      <c r="J85" s="10"/>
    </row>
    <row r="86" spans="10:10" ht="15">
      <c r="J86" s="10"/>
    </row>
    <row r="87" spans="10:10" ht="15">
      <c r="J87" s="10"/>
    </row>
    <row r="88" spans="10:10" ht="15">
      <c r="J88" s="10"/>
    </row>
    <row r="89" spans="10:10" ht="15">
      <c r="J89" s="10"/>
    </row>
    <row r="90" spans="10:10" ht="15">
      <c r="J90" s="10"/>
    </row>
    <row r="91" spans="10:10" ht="15">
      <c r="J91" s="10"/>
    </row>
    <row r="92" spans="10:10" ht="15">
      <c r="J92" s="10"/>
    </row>
    <row r="93" spans="10:10" ht="15">
      <c r="J93" s="10"/>
    </row>
    <row r="94" spans="10:10" ht="15">
      <c r="J94" s="10"/>
    </row>
    <row r="95" spans="10:10" ht="15">
      <c r="J95" s="10"/>
    </row>
    <row r="96" spans="10:10" ht="15">
      <c r="J96" s="10"/>
    </row>
    <row r="97" spans="10:10" ht="15">
      <c r="J97" s="10"/>
    </row>
    <row r="98" spans="10:10" ht="15">
      <c r="J98" s="10"/>
    </row>
    <row r="99" spans="10:10" ht="15">
      <c r="J99" s="10"/>
    </row>
    <row r="100" spans="10:10" ht="15">
      <c r="J100" s="10"/>
    </row>
    <row r="101" spans="10:10" ht="15">
      <c r="J101" s="10"/>
    </row>
    <row r="102" spans="10:10" ht="15">
      <c r="J102" s="10"/>
    </row>
    <row r="103" spans="10:10" ht="15">
      <c r="J103" s="10"/>
    </row>
    <row r="104" spans="10:10" ht="15">
      <c r="J104" s="10"/>
    </row>
    <row r="105" spans="10:10" ht="15">
      <c r="J105" s="10"/>
    </row>
    <row r="106" spans="10:10" ht="15">
      <c r="J106" s="10"/>
    </row>
    <row r="107" spans="10:10" ht="15">
      <c r="J107" s="10"/>
    </row>
    <row r="108" spans="10:10" ht="15">
      <c r="J108" s="10"/>
    </row>
    <row r="109" spans="10:10" ht="15">
      <c r="J109" s="10"/>
    </row>
    <row r="110" spans="10:10" ht="15">
      <c r="J110" s="10"/>
    </row>
    <row r="111" spans="10:10" ht="15">
      <c r="J111" s="10"/>
    </row>
    <row r="112" spans="10:10" ht="15">
      <c r="J112" s="10"/>
    </row>
    <row r="113" spans="10:10" ht="15">
      <c r="J113" s="10"/>
    </row>
    <row r="114" spans="10:10" ht="15">
      <c r="J114" s="10"/>
    </row>
    <row r="115" spans="10:10" ht="15">
      <c r="J115" s="10"/>
    </row>
    <row r="116" spans="10:10" ht="15">
      <c r="J116" s="10"/>
    </row>
    <row r="117" spans="10:10" ht="15">
      <c r="J117" s="10"/>
    </row>
    <row r="118" spans="10:10" ht="15">
      <c r="J118" s="10"/>
    </row>
    <row r="119" spans="10:10" ht="15">
      <c r="J119" s="10"/>
    </row>
    <row r="120" spans="10:10" ht="15">
      <c r="J120" s="10"/>
    </row>
    <row r="121" spans="10:10" ht="15">
      <c r="J121" s="10"/>
    </row>
    <row r="122" spans="10:10" ht="15">
      <c r="J122" s="10"/>
    </row>
    <row r="123" spans="10:10" ht="15">
      <c r="J123" s="10"/>
    </row>
    <row r="124" spans="10:10" ht="15">
      <c r="J124" s="10"/>
    </row>
    <row r="125" spans="10:10" ht="15">
      <c r="J125" s="10"/>
    </row>
    <row r="126" spans="10:10" ht="15">
      <c r="J126" s="10"/>
    </row>
    <row r="127" spans="10:10" ht="15">
      <c r="J127" s="10"/>
    </row>
    <row r="128" spans="10:10" ht="15">
      <c r="J128" s="10"/>
    </row>
    <row r="129" spans="10:10" ht="15">
      <c r="J129" s="10"/>
    </row>
    <row r="130" spans="10:10" ht="15">
      <c r="J130" s="10"/>
    </row>
    <row r="131" spans="10:10" ht="15">
      <c r="J131" s="10"/>
    </row>
    <row r="132" spans="10:10" ht="15">
      <c r="J132" s="10"/>
    </row>
    <row r="133" spans="10:10" ht="15">
      <c r="J133" s="10"/>
    </row>
    <row r="134" spans="10:10" ht="15">
      <c r="J134" s="10"/>
    </row>
    <row r="135" spans="10:10" ht="15">
      <c r="J135" s="10"/>
    </row>
    <row r="136" spans="10:10" ht="15">
      <c r="J136" s="10"/>
    </row>
    <row r="137" spans="10:10" ht="15">
      <c r="J137" s="10"/>
    </row>
    <row r="138" spans="10:10" ht="15">
      <c r="J138" s="10"/>
    </row>
    <row r="139" spans="10:10" ht="15">
      <c r="J139" s="10"/>
    </row>
    <row r="140" spans="10:10" ht="15">
      <c r="J140" s="10"/>
    </row>
    <row r="141" spans="10:10" ht="15">
      <c r="J141" s="10"/>
    </row>
    <row r="142" spans="10:10" ht="15">
      <c r="J142" s="10"/>
    </row>
    <row r="143" spans="10:10" ht="15">
      <c r="J143" s="10"/>
    </row>
    <row r="144" spans="10:10" ht="15">
      <c r="J144" s="10"/>
    </row>
    <row r="145" spans="10:10" ht="15">
      <c r="J145" s="10"/>
    </row>
    <row r="146" spans="10:10" ht="15">
      <c r="J146" s="10"/>
    </row>
    <row r="147" spans="10:10" ht="15">
      <c r="J147" s="10"/>
    </row>
    <row r="148" spans="10:10" ht="15">
      <c r="J148" s="10"/>
    </row>
    <row r="149" spans="10:10" ht="15">
      <c r="J149" s="10"/>
    </row>
    <row r="150" spans="10:10" ht="15">
      <c r="J150" s="10"/>
    </row>
    <row r="151" spans="10:10" ht="15">
      <c r="J151" s="10"/>
    </row>
    <row r="152" spans="10:10" ht="15">
      <c r="J152" s="10"/>
    </row>
    <row r="153" spans="10:10" ht="15">
      <c r="J153" s="10"/>
    </row>
    <row r="154" spans="10:10" ht="15">
      <c r="J154" s="10"/>
    </row>
    <row r="155" spans="10:10" ht="15">
      <c r="J155" s="10"/>
    </row>
    <row r="156" spans="10:10" ht="15">
      <c r="J156" s="10"/>
    </row>
    <row r="157" spans="10:10" ht="15">
      <c r="J157" s="10"/>
    </row>
    <row r="158" spans="10:10" ht="15">
      <c r="J158" s="10"/>
    </row>
    <row r="159" spans="10:10" ht="15">
      <c r="J159" s="10"/>
    </row>
    <row r="160" spans="10:10" ht="15">
      <c r="J160" s="10"/>
    </row>
    <row r="161" spans="10:10" ht="15">
      <c r="J161" s="10"/>
    </row>
    <row r="162" spans="10:10" ht="15">
      <c r="J162" s="10"/>
    </row>
    <row r="163" spans="10:10" ht="15">
      <c r="J163" s="10"/>
    </row>
    <row r="164" spans="10:10" ht="15">
      <c r="J164" s="10"/>
    </row>
    <row r="165" spans="10:10" ht="15">
      <c r="J165" s="10"/>
    </row>
    <row r="166" spans="10:10" ht="15">
      <c r="J166" s="10"/>
    </row>
    <row r="167" spans="10:10" ht="15">
      <c r="J167" s="10"/>
    </row>
    <row r="168" spans="10:10" ht="15">
      <c r="J168" s="10"/>
    </row>
    <row r="169" spans="10:10" ht="15">
      <c r="J169" s="10"/>
    </row>
    <row r="170" spans="10:10" ht="15">
      <c r="J170" s="10"/>
    </row>
    <row r="171" spans="10:10" ht="15">
      <c r="J171" s="10"/>
    </row>
    <row r="172" spans="10:10" ht="15">
      <c r="J172" s="10"/>
    </row>
    <row r="173" spans="10:10" ht="15">
      <c r="J173" s="10"/>
    </row>
    <row r="174" spans="10:10" ht="15">
      <c r="J174" s="10"/>
    </row>
    <row r="175" spans="10:10" ht="15">
      <c r="J175" s="10"/>
    </row>
    <row r="176" spans="10:10" ht="15">
      <c r="J176" s="10"/>
    </row>
    <row r="177" spans="10:10" ht="15">
      <c r="J177" s="10"/>
    </row>
    <row r="178" spans="10:10" ht="15">
      <c r="J178" s="10"/>
    </row>
    <row r="179" spans="10:10" ht="15">
      <c r="J179" s="10"/>
    </row>
    <row r="180" spans="10:10" ht="15">
      <c r="J180" s="10"/>
    </row>
    <row r="181" spans="10:10" ht="15">
      <c r="J181" s="10"/>
    </row>
    <row r="182" spans="10:10" ht="15">
      <c r="J182" s="10"/>
    </row>
    <row r="183" spans="10:10" ht="15">
      <c r="J183" s="10"/>
    </row>
    <row r="184" spans="10:10" ht="15">
      <c r="J184" s="10"/>
    </row>
    <row r="185" spans="10:10" ht="15">
      <c r="J185" s="10"/>
    </row>
    <row r="186" spans="10:10" ht="15">
      <c r="J186" s="10"/>
    </row>
    <row r="187" spans="10:10" ht="15">
      <c r="J187" s="10"/>
    </row>
    <row r="188" spans="10:10" ht="15">
      <c r="J188" s="10"/>
    </row>
    <row r="189" spans="10:10" ht="15">
      <c r="J189" s="10"/>
    </row>
    <row r="190" spans="10:10" ht="15">
      <c r="J190" s="10"/>
    </row>
    <row r="191" spans="10:10" ht="15">
      <c r="J191" s="10"/>
    </row>
    <row r="192" spans="10:10" ht="15">
      <c r="J192" s="10"/>
    </row>
    <row r="193" spans="10:10" ht="15">
      <c r="J193" s="10"/>
    </row>
    <row r="194" spans="10:10" ht="15">
      <c r="J194" s="10"/>
    </row>
    <row r="195" spans="10:10" ht="15">
      <c r="J195" s="10"/>
    </row>
    <row r="196" spans="10:10" ht="15">
      <c r="J196" s="10"/>
    </row>
    <row r="197" spans="10:10" ht="15">
      <c r="J197" s="10"/>
    </row>
    <row r="198" spans="10:10" ht="15">
      <c r="J198" s="10"/>
    </row>
    <row r="199" spans="10:10" ht="15">
      <c r="J199" s="10"/>
    </row>
    <row r="200" spans="10:10" ht="15">
      <c r="J200" s="10"/>
    </row>
    <row r="201" spans="10:10" ht="15">
      <c r="J201" s="10"/>
    </row>
    <row r="202" spans="10:10" ht="15">
      <c r="J202" s="10"/>
    </row>
    <row r="203" spans="10:10" ht="15">
      <c r="J203" s="10"/>
    </row>
    <row r="204" spans="10:10" ht="15">
      <c r="J204" s="10"/>
    </row>
    <row r="205" spans="10:10" ht="15">
      <c r="J205" s="10"/>
    </row>
    <row r="206" spans="10:10" ht="15">
      <c r="J206" s="10"/>
    </row>
    <row r="207" spans="10:10" ht="15">
      <c r="J207" s="10"/>
    </row>
    <row r="208" spans="10:10" ht="15">
      <c r="J208" s="10"/>
    </row>
    <row r="209" spans="10:10" ht="15">
      <c r="J209" s="10"/>
    </row>
    <row r="210" spans="10:10" ht="15">
      <c r="J210" s="10"/>
    </row>
    <row r="211" spans="10:10" ht="15">
      <c r="J211" s="10"/>
    </row>
    <row r="212" spans="10:10" ht="15">
      <c r="J212" s="10"/>
    </row>
    <row r="213" spans="10:10" ht="15">
      <c r="J213" s="10"/>
    </row>
    <row r="214" spans="10:10" ht="15">
      <c r="J214" s="10"/>
    </row>
    <row r="215" spans="10:10" ht="15">
      <c r="J215" s="10"/>
    </row>
    <row r="216" spans="10:10" ht="15">
      <c r="J216" s="10"/>
    </row>
    <row r="217" spans="10:10" ht="15">
      <c r="J217" s="10"/>
    </row>
    <row r="218" spans="10:10" ht="15">
      <c r="J218" s="10"/>
    </row>
    <row r="219" spans="10:10" ht="15">
      <c r="J219" s="10"/>
    </row>
    <row r="220" spans="10:10" ht="15">
      <c r="J220" s="10"/>
    </row>
    <row r="221" spans="10:10" ht="15">
      <c r="J221" s="10"/>
    </row>
    <row r="222" spans="10:10" ht="15">
      <c r="J222" s="10"/>
    </row>
    <row r="223" spans="10:10" ht="15">
      <c r="J223" s="10"/>
    </row>
    <row r="224" spans="10:10" ht="15">
      <c r="J224" s="10"/>
    </row>
    <row r="225" spans="10:10" ht="15">
      <c r="J225" s="10"/>
    </row>
    <row r="226" spans="10:10" ht="15">
      <c r="J226" s="10"/>
    </row>
    <row r="227" spans="10:10" ht="15">
      <c r="J227" s="10"/>
    </row>
    <row r="228" spans="10:10" ht="15">
      <c r="J228" s="10"/>
    </row>
    <row r="229" spans="10:10" ht="15">
      <c r="J229" s="10"/>
    </row>
    <row r="230" spans="10:10" ht="15">
      <c r="J230" s="10"/>
    </row>
    <row r="231" spans="10:10" ht="15">
      <c r="J231" s="10"/>
    </row>
    <row r="232" spans="10:10" ht="15">
      <c r="J232" s="10"/>
    </row>
    <row r="233" spans="10:10" ht="15">
      <c r="J233" s="10"/>
    </row>
    <row r="234" spans="10:10" ht="15">
      <c r="J234" s="10"/>
    </row>
    <row r="235" spans="10:10" ht="15">
      <c r="J235" s="10"/>
    </row>
    <row r="236" spans="10:10" ht="15">
      <c r="J236" s="10"/>
    </row>
    <row r="237" spans="10:10" ht="15">
      <c r="J237" s="10"/>
    </row>
    <row r="238" spans="10:10" ht="15">
      <c r="J238" s="10"/>
    </row>
    <row r="239" spans="10:10" ht="15">
      <c r="J239" s="10"/>
    </row>
    <row r="240" spans="10:10" ht="15">
      <c r="J240" s="10"/>
    </row>
    <row r="241" spans="10:10" ht="15">
      <c r="J241" s="10"/>
    </row>
    <row r="242" spans="10:10" ht="15">
      <c r="J242" s="10"/>
    </row>
    <row r="243" spans="10:10" ht="15">
      <c r="J243" s="10"/>
    </row>
    <row r="244" spans="10:10" ht="15">
      <c r="J244" s="10"/>
    </row>
    <row r="245" spans="10:10" ht="15">
      <c r="J245" s="10"/>
    </row>
    <row r="246" spans="10:10" ht="15">
      <c r="J246" s="10"/>
    </row>
    <row r="247" spans="10:10" ht="15">
      <c r="J247" s="10"/>
    </row>
    <row r="248" spans="10:10" ht="15">
      <c r="J248" s="10"/>
    </row>
    <row r="249" spans="10:10" ht="15">
      <c r="J249" s="10"/>
    </row>
    <row r="250" spans="10:10" ht="15">
      <c r="J250" s="10"/>
    </row>
    <row r="251" spans="10:10" ht="15">
      <c r="J251" s="10"/>
    </row>
    <row r="252" spans="10:10" ht="15">
      <c r="J252" s="10"/>
    </row>
    <row r="253" spans="10:10" ht="15">
      <c r="J253" s="10"/>
    </row>
    <row r="254" spans="10:10" ht="15">
      <c r="J254" s="10"/>
    </row>
    <row r="255" spans="10:10" ht="15">
      <c r="J255" s="10"/>
    </row>
    <row r="256" spans="10:10" ht="15">
      <c r="J256" s="10"/>
    </row>
    <row r="257" spans="10:10" ht="15">
      <c r="J257" s="10"/>
    </row>
    <row r="258" spans="10:10" ht="15">
      <c r="J258" s="10"/>
    </row>
    <row r="259" spans="10:10" ht="15">
      <c r="J259" s="10"/>
    </row>
    <row r="260" spans="10:10" ht="15">
      <c r="J260" s="10"/>
    </row>
    <row r="261" spans="10:10" ht="15">
      <c r="J261" s="10"/>
    </row>
    <row r="262" spans="10:10" ht="15">
      <c r="J262" s="10"/>
    </row>
    <row r="263" spans="10:10" ht="15">
      <c r="J263" s="10"/>
    </row>
    <row r="264" spans="10:10" ht="15">
      <c r="J264" s="10"/>
    </row>
    <row r="265" spans="10:10" ht="15">
      <c r="J265" s="10"/>
    </row>
    <row r="266" spans="10:10" ht="15">
      <c r="J266" s="10"/>
    </row>
    <row r="267" spans="10:10" ht="15">
      <c r="J267" s="10"/>
    </row>
    <row r="268" spans="10:10" ht="15">
      <c r="J268" s="10"/>
    </row>
    <row r="269" spans="10:10" ht="15">
      <c r="J269" s="10"/>
    </row>
    <row r="270" spans="10:10" ht="15">
      <c r="J270" s="10"/>
    </row>
    <row r="271" spans="10:10" ht="15">
      <c r="J271" s="10"/>
    </row>
    <row r="272" spans="10:10" ht="15">
      <c r="J272" s="10"/>
    </row>
    <row r="273" spans="10:10" ht="15">
      <c r="J273" s="10"/>
    </row>
    <row r="274" spans="10:10" ht="15">
      <c r="J274" s="10"/>
    </row>
    <row r="275" spans="10:10" ht="15">
      <c r="J275" s="10"/>
    </row>
    <row r="276" spans="10:10" ht="15">
      <c r="J276" s="10"/>
    </row>
    <row r="277" spans="10:10" ht="15">
      <c r="J277" s="10"/>
    </row>
    <row r="278" spans="10:10" ht="15">
      <c r="J278" s="10"/>
    </row>
    <row r="279" spans="10:10" ht="15">
      <c r="J279" s="10"/>
    </row>
    <row r="280" spans="10:10" ht="15">
      <c r="J280" s="10"/>
    </row>
    <row r="281" spans="10:10" ht="15">
      <c r="J281" s="10"/>
    </row>
    <row r="282" spans="10:10" ht="15">
      <c r="J282" s="10"/>
    </row>
    <row r="283" spans="10:10" ht="15">
      <c r="J283" s="10"/>
    </row>
    <row r="284" spans="10:10" ht="15">
      <c r="J284" s="10"/>
    </row>
    <row r="285" spans="10:10" ht="15">
      <c r="J285" s="10"/>
    </row>
    <row r="286" spans="10:10" ht="15">
      <c r="J286" s="10"/>
    </row>
    <row r="287" spans="10:10" ht="15">
      <c r="J287" s="10"/>
    </row>
    <row r="288" spans="10:10" ht="15">
      <c r="J288" s="10"/>
    </row>
    <row r="289" spans="10:10" ht="15">
      <c r="J289" s="10"/>
    </row>
    <row r="290" spans="10:10" ht="15">
      <c r="J290" s="10"/>
    </row>
    <row r="291" spans="10:10" ht="15">
      <c r="J291" s="10"/>
    </row>
    <row r="292" spans="10:10" ht="15">
      <c r="J292" s="10"/>
    </row>
    <row r="293" spans="10:10" ht="15">
      <c r="J293" s="10"/>
    </row>
    <row r="294" spans="10:10" ht="15">
      <c r="J294" s="10"/>
    </row>
    <row r="295" spans="10:10" ht="15">
      <c r="J295" s="10"/>
    </row>
    <row r="296" spans="10:10" ht="15">
      <c r="J296" s="10"/>
    </row>
    <row r="297" spans="10:10" ht="15">
      <c r="J297" s="10"/>
    </row>
    <row r="298" spans="10:10" ht="15">
      <c r="J298" s="10"/>
    </row>
    <row r="299" spans="10:10" ht="15">
      <c r="J299" s="10"/>
    </row>
    <row r="300" spans="10:10" ht="15">
      <c r="J300" s="10"/>
    </row>
    <row r="301" spans="10:10" ht="15">
      <c r="J301" s="10"/>
    </row>
    <row r="302" spans="10:10" ht="15">
      <c r="J302" s="10"/>
    </row>
    <row r="303" spans="10:10" ht="15">
      <c r="J303" s="10"/>
    </row>
    <row r="304" spans="10:10" ht="15">
      <c r="J304" s="10"/>
    </row>
    <row r="305" spans="10:10" ht="15">
      <c r="J305" s="10"/>
    </row>
    <row r="306" spans="10:10" ht="15">
      <c r="J306" s="10"/>
    </row>
    <row r="307" spans="10:10" ht="15">
      <c r="J307" s="10"/>
    </row>
    <row r="308" spans="10:10" ht="15">
      <c r="J308" s="10"/>
    </row>
    <row r="309" spans="10:10" ht="15">
      <c r="J309" s="10"/>
    </row>
    <row r="310" spans="10:10" ht="15">
      <c r="J310" s="10"/>
    </row>
    <row r="311" spans="10:10" ht="15">
      <c r="J311" s="10"/>
    </row>
    <row r="312" spans="10:10" ht="15">
      <c r="J312" s="10"/>
    </row>
    <row r="313" spans="10:10" ht="15">
      <c r="J313" s="10"/>
    </row>
    <row r="314" spans="10:10" ht="15">
      <c r="J314" s="10"/>
    </row>
    <row r="315" spans="10:10" ht="15">
      <c r="J315" s="10"/>
    </row>
    <row r="316" spans="10:10" ht="15">
      <c r="J316" s="10"/>
    </row>
    <row r="317" spans="10:10" ht="15">
      <c r="J317" s="10"/>
    </row>
    <row r="318" spans="10:10" ht="15">
      <c r="J318" s="10"/>
    </row>
    <row r="319" spans="10:10" ht="15">
      <c r="J319" s="10"/>
    </row>
    <row r="320" spans="10:10" ht="15">
      <c r="J320" s="10"/>
    </row>
    <row r="321" spans="10:10" ht="15">
      <c r="J321" s="10"/>
    </row>
    <row r="322" spans="10:10" ht="15">
      <c r="J322" s="10"/>
    </row>
    <row r="323" spans="10:10" ht="15">
      <c r="J323" s="10"/>
    </row>
    <row r="324" spans="10:10" ht="15">
      <c r="J324" s="10"/>
    </row>
    <row r="325" spans="10:10" ht="15">
      <c r="J325" s="10"/>
    </row>
    <row r="326" spans="10:10" ht="15">
      <c r="J326" s="10"/>
    </row>
    <row r="327" spans="10:10" ht="15">
      <c r="J327" s="10"/>
    </row>
    <row r="328" spans="10:10" ht="15">
      <c r="J328" s="10"/>
    </row>
    <row r="329" spans="10:10" ht="15">
      <c r="J329" s="10"/>
    </row>
    <row r="330" spans="10:10" ht="15">
      <c r="J330" s="10"/>
    </row>
    <row r="331" spans="10:10" ht="15">
      <c r="J331" s="10"/>
    </row>
    <row r="332" spans="10:10" ht="15">
      <c r="J332" s="10"/>
    </row>
    <row r="333" spans="10:10" ht="15">
      <c r="J333" s="10"/>
    </row>
    <row r="334" spans="10:10" ht="15">
      <c r="J334" s="10"/>
    </row>
    <row r="335" spans="10:10" ht="15">
      <c r="J335" s="10"/>
    </row>
    <row r="336" spans="10:10" ht="15">
      <c r="J336" s="10"/>
    </row>
    <row r="337" spans="10:10" ht="15">
      <c r="J337" s="10"/>
    </row>
    <row r="338" spans="10:10" ht="15">
      <c r="J338" s="10"/>
    </row>
    <row r="339" spans="10:10" ht="15">
      <c r="J339" s="10"/>
    </row>
    <row r="340" spans="10:10" ht="15">
      <c r="J340" s="10"/>
    </row>
    <row r="341" spans="10:10" ht="15">
      <c r="J341" s="10"/>
    </row>
    <row r="342" spans="10:10" ht="15">
      <c r="J342" s="10"/>
    </row>
    <row r="343" spans="10:10" ht="15">
      <c r="J343" s="10"/>
    </row>
    <row r="344" spans="10:10" ht="15">
      <c r="J344" s="10"/>
    </row>
    <row r="345" spans="10:10" ht="15">
      <c r="J345" s="10"/>
    </row>
    <row r="346" spans="10:10" ht="15">
      <c r="J346" s="10"/>
    </row>
    <row r="347" spans="10:10" ht="15">
      <c r="J347" s="10"/>
    </row>
    <row r="348" spans="10:10" ht="15">
      <c r="J348" s="10"/>
    </row>
    <row r="349" spans="10:10" ht="15">
      <c r="J349" s="10"/>
    </row>
    <row r="350" spans="10:10" ht="15">
      <c r="J350" s="10"/>
    </row>
    <row r="351" spans="10:10" ht="15">
      <c r="J351" s="10"/>
    </row>
    <row r="352" spans="10:10" ht="15">
      <c r="J352" s="10"/>
    </row>
    <row r="353" spans="10:10" ht="15">
      <c r="J353" s="10"/>
    </row>
    <row r="354" spans="10:10" ht="15">
      <c r="J354" s="10"/>
    </row>
    <row r="355" spans="10:10" ht="15">
      <c r="J355" s="10"/>
    </row>
    <row r="356" spans="10:10" ht="15">
      <c r="J356" s="10"/>
    </row>
    <row r="357" spans="10:10" ht="15">
      <c r="J357" s="10"/>
    </row>
    <row r="358" spans="10:10" ht="15">
      <c r="J358" s="10"/>
    </row>
    <row r="359" spans="10:10" ht="15">
      <c r="J359" s="10"/>
    </row>
    <row r="360" spans="10:10" ht="15">
      <c r="J360" s="10"/>
    </row>
    <row r="361" spans="10:10" ht="15">
      <c r="J361" s="10"/>
    </row>
    <row r="362" spans="10:10" ht="15">
      <c r="J362" s="10"/>
    </row>
    <row r="363" spans="10:10" ht="15">
      <c r="J363" s="10"/>
    </row>
    <row r="364" spans="10:10" ht="15">
      <c r="J364" s="10"/>
    </row>
    <row r="365" spans="10:10" ht="15">
      <c r="J365" s="10"/>
    </row>
    <row r="366" spans="10:10" ht="15">
      <c r="J366" s="10"/>
    </row>
    <row r="367" spans="10:10" ht="15">
      <c r="J367" s="10"/>
    </row>
    <row r="368" spans="10:10" ht="15">
      <c r="J368" s="10"/>
    </row>
    <row r="369" spans="10:10" ht="15">
      <c r="J369" s="10"/>
    </row>
    <row r="370" spans="10:10" ht="15">
      <c r="J370" s="10"/>
    </row>
    <row r="371" spans="10:10" ht="15">
      <c r="J371" s="10"/>
    </row>
    <row r="372" spans="10:10" ht="15">
      <c r="J372" s="10"/>
    </row>
    <row r="373" spans="10:10" ht="15">
      <c r="J373" s="10"/>
    </row>
    <row r="374" spans="10:10" ht="15">
      <c r="J374" s="10"/>
    </row>
    <row r="375" spans="10:10" ht="15">
      <c r="J375" s="10"/>
    </row>
    <row r="376" spans="10:10" ht="15">
      <c r="J376" s="10"/>
    </row>
    <row r="377" spans="10:10" ht="15">
      <c r="J377" s="10"/>
    </row>
    <row r="378" spans="10:10" ht="15">
      <c r="J378" s="10"/>
    </row>
    <row r="379" spans="10:10" ht="15">
      <c r="J379" s="10"/>
    </row>
    <row r="380" spans="10:10" ht="15">
      <c r="J380" s="10"/>
    </row>
    <row r="381" spans="10:10" ht="15">
      <c r="J381" s="10"/>
    </row>
    <row r="382" spans="10:10" ht="15">
      <c r="J382" s="10"/>
    </row>
    <row r="383" spans="10:10" ht="15">
      <c r="J383" s="10"/>
    </row>
    <row r="384" spans="10:10" ht="15">
      <c r="J384" s="10"/>
    </row>
    <row r="385" spans="10:10" ht="15">
      <c r="J385" s="10"/>
    </row>
    <row r="386" spans="10:10" ht="15">
      <c r="J386" s="10"/>
    </row>
    <row r="387" spans="10:10" ht="15">
      <c r="J387" s="10"/>
    </row>
    <row r="388" spans="10:10" ht="15">
      <c r="J388" s="10"/>
    </row>
    <row r="389" spans="10:10" ht="15">
      <c r="J389" s="10"/>
    </row>
    <row r="390" spans="10:10" ht="15">
      <c r="J390" s="10"/>
    </row>
    <row r="391" spans="10:10" ht="15">
      <c r="J391" s="10"/>
    </row>
    <row r="392" spans="10:10" ht="15">
      <c r="J392" s="10"/>
    </row>
    <row r="393" spans="10:10" ht="15">
      <c r="J393" s="10"/>
    </row>
    <row r="394" spans="10:10" ht="15">
      <c r="J394" s="10"/>
    </row>
    <row r="395" spans="10:10" ht="15">
      <c r="J395" s="10"/>
    </row>
    <row r="396" spans="10:10" ht="15">
      <c r="J396" s="10"/>
    </row>
    <row r="397" spans="10:10" ht="15">
      <c r="J397" s="10"/>
    </row>
    <row r="398" spans="10:10" ht="15">
      <c r="J398" s="10"/>
    </row>
    <row r="399" spans="10:10" ht="15">
      <c r="J399" s="10"/>
    </row>
    <row r="400" spans="10:10" ht="15">
      <c r="J400" s="10"/>
    </row>
    <row r="401" spans="10:10" ht="15">
      <c r="J401" s="10"/>
    </row>
    <row r="402" spans="10:10" ht="15">
      <c r="J402" s="10"/>
    </row>
    <row r="403" spans="10:10" ht="15">
      <c r="J403" s="10"/>
    </row>
    <row r="404" spans="10:10" ht="15">
      <c r="J404" s="10"/>
    </row>
    <row r="405" spans="10:10" ht="15">
      <c r="J405" s="10"/>
    </row>
    <row r="406" spans="10:10" ht="15">
      <c r="J406" s="10"/>
    </row>
    <row r="407" spans="10:10" ht="15">
      <c r="J407" s="10"/>
    </row>
    <row r="408" spans="10:10" ht="15">
      <c r="J408" s="10"/>
    </row>
    <row r="409" spans="10:10" ht="15">
      <c r="J409" s="10"/>
    </row>
    <row r="410" spans="10:10" ht="15">
      <c r="J410" s="10"/>
    </row>
    <row r="411" spans="10:10" ht="15">
      <c r="J411" s="10"/>
    </row>
    <row r="412" spans="10:10" ht="15">
      <c r="J412" s="10"/>
    </row>
    <row r="413" spans="10:10" ht="15">
      <c r="J413" s="10"/>
    </row>
    <row r="414" spans="10:10" ht="15">
      <c r="J414" s="10"/>
    </row>
    <row r="415" spans="10:10" ht="15">
      <c r="J415" s="10"/>
    </row>
    <row r="416" spans="10:10" ht="15">
      <c r="J416" s="10"/>
    </row>
    <row r="417" spans="10:10" ht="15">
      <c r="J417" s="10"/>
    </row>
    <row r="418" spans="10:10" ht="15">
      <c r="J418" s="10"/>
    </row>
    <row r="419" spans="10:10" ht="15">
      <c r="J419" s="10"/>
    </row>
    <row r="420" spans="10:10" ht="15">
      <c r="J420" s="10"/>
    </row>
    <row r="421" spans="10:10" ht="15">
      <c r="J421" s="10"/>
    </row>
    <row r="422" spans="10:10" ht="15">
      <c r="J422" s="10"/>
    </row>
    <row r="423" spans="10:10" ht="15">
      <c r="J423" s="10"/>
    </row>
    <row r="424" spans="10:10" ht="15">
      <c r="J424" s="10"/>
    </row>
    <row r="425" spans="10:10" ht="15">
      <c r="J425" s="10"/>
    </row>
    <row r="426" spans="10:10" ht="15">
      <c r="J426" s="10"/>
    </row>
    <row r="427" spans="10:10" ht="15">
      <c r="J427" s="10"/>
    </row>
    <row r="428" spans="10:10" ht="15">
      <c r="J428" s="10"/>
    </row>
    <row r="429" spans="10:10" ht="15">
      <c r="J429" s="10"/>
    </row>
    <row r="430" spans="10:10" ht="15">
      <c r="J430" s="10"/>
    </row>
    <row r="431" spans="10:10" ht="15">
      <c r="J431" s="10"/>
    </row>
    <row r="432" spans="10:10" ht="15">
      <c r="J432" s="10"/>
    </row>
    <row r="433" spans="10:10" ht="15">
      <c r="J433" s="10"/>
    </row>
    <row r="434" spans="10:10" ht="15">
      <c r="J434" s="10"/>
    </row>
    <row r="435" spans="10:10" ht="15">
      <c r="J435" s="10"/>
    </row>
    <row r="436" spans="10:10" ht="15">
      <c r="J436" s="10"/>
    </row>
    <row r="437" spans="10:10" ht="15">
      <c r="J437" s="10"/>
    </row>
    <row r="438" spans="10:10" ht="15">
      <c r="J438" s="10"/>
    </row>
    <row r="439" spans="10:10" ht="15">
      <c r="J439" s="10"/>
    </row>
    <row r="440" spans="10:10" ht="15">
      <c r="J440" s="10"/>
    </row>
    <row r="441" spans="10:10" ht="15">
      <c r="J441" s="10"/>
    </row>
    <row r="442" spans="10:10" ht="15">
      <c r="J442" s="10"/>
    </row>
    <row r="443" spans="10:10" ht="15">
      <c r="J443" s="10"/>
    </row>
    <row r="444" spans="10:10" ht="15">
      <c r="J444" s="10"/>
    </row>
    <row r="445" spans="10:10" ht="15">
      <c r="J445" s="10"/>
    </row>
    <row r="446" spans="10:10" ht="15">
      <c r="J446" s="10"/>
    </row>
    <row r="447" spans="10:10" ht="15">
      <c r="J447" s="10"/>
    </row>
    <row r="448" spans="10:10" ht="15">
      <c r="J448" s="10"/>
    </row>
    <row r="449" spans="10:10" ht="15">
      <c r="J449" s="10"/>
    </row>
    <row r="450" spans="10:10" ht="15">
      <c r="J450" s="10"/>
    </row>
    <row r="451" spans="10:10" ht="15">
      <c r="J451" s="10"/>
    </row>
    <row r="452" spans="10:10" ht="15">
      <c r="J452" s="10"/>
    </row>
    <row r="453" spans="10:10" ht="15">
      <c r="J453" s="10"/>
    </row>
    <row r="454" spans="10:10" ht="15">
      <c r="J454" s="10"/>
    </row>
    <row r="455" spans="10:10" ht="15">
      <c r="J455" s="10"/>
    </row>
    <row r="456" spans="10:10" ht="15">
      <c r="J456" s="10"/>
    </row>
    <row r="457" spans="10:10" ht="15">
      <c r="J457" s="10"/>
    </row>
    <row r="458" spans="10:10" ht="15">
      <c r="J458" s="10"/>
    </row>
    <row r="459" spans="10:10" ht="15">
      <c r="J459" s="10"/>
    </row>
    <row r="460" spans="10:10" ht="15">
      <c r="J460" s="10"/>
    </row>
    <row r="461" spans="10:10" ht="15">
      <c r="J461" s="10"/>
    </row>
    <row r="462" spans="10:10" ht="15">
      <c r="J462" s="10"/>
    </row>
    <row r="463" spans="10:10" ht="15">
      <c r="J463" s="10"/>
    </row>
    <row r="464" spans="10:10" ht="15">
      <c r="J464" s="10"/>
    </row>
    <row r="465" spans="10:10" ht="15">
      <c r="J465" s="10"/>
    </row>
    <row r="466" spans="10:10" ht="15">
      <c r="J466" s="10"/>
    </row>
    <row r="467" spans="10:10" ht="15">
      <c r="J467" s="10"/>
    </row>
    <row r="468" spans="10:10" ht="15">
      <c r="J468" s="10"/>
    </row>
    <row r="469" spans="10:10" ht="15">
      <c r="J469" s="10"/>
    </row>
    <row r="470" spans="10:10" ht="15">
      <c r="J470" s="10"/>
    </row>
    <row r="471" spans="10:10" ht="15">
      <c r="J471" s="10"/>
    </row>
    <row r="472" spans="10:10" ht="15">
      <c r="J472" s="10"/>
    </row>
    <row r="473" spans="10:10" ht="15">
      <c r="J473" s="10"/>
    </row>
    <row r="474" spans="10:10" ht="15">
      <c r="J474" s="10"/>
    </row>
    <row r="475" spans="10:10" ht="15">
      <c r="J475" s="10"/>
    </row>
    <row r="476" spans="10:10" ht="15">
      <c r="J476" s="10"/>
    </row>
    <row r="477" spans="10:10" ht="15">
      <c r="J477" s="10"/>
    </row>
    <row r="478" spans="10:10" ht="15">
      <c r="J478" s="10"/>
    </row>
    <row r="479" spans="10:10" ht="15">
      <c r="J479" s="10"/>
    </row>
    <row r="480" spans="10:10" ht="15">
      <c r="J480" s="10"/>
    </row>
    <row r="481" spans="10:10" ht="15">
      <c r="J481" s="10"/>
    </row>
    <row r="482" spans="10:10" ht="15">
      <c r="J482" s="10"/>
    </row>
    <row r="483" spans="10:10" ht="15">
      <c r="J483" s="10"/>
    </row>
    <row r="484" spans="10:10" ht="15">
      <c r="J484" s="10"/>
    </row>
    <row r="485" spans="10:10" ht="15">
      <c r="J485" s="10"/>
    </row>
    <row r="486" spans="10:10" ht="15">
      <c r="J486" s="10"/>
    </row>
    <row r="487" spans="10:10" ht="15">
      <c r="J487" s="10"/>
    </row>
    <row r="488" spans="10:10" ht="15">
      <c r="J488" s="10"/>
    </row>
    <row r="489" spans="10:10" ht="15">
      <c r="J489" s="10"/>
    </row>
    <row r="490" spans="10:10" ht="15">
      <c r="J490" s="10"/>
    </row>
    <row r="491" spans="10:10" ht="15">
      <c r="J491" s="10"/>
    </row>
    <row r="492" spans="10:10" ht="15">
      <c r="J492" s="10"/>
    </row>
    <row r="493" spans="10:10" ht="15">
      <c r="J493" s="10"/>
    </row>
    <row r="494" spans="10:10" ht="15">
      <c r="J494" s="10"/>
    </row>
    <row r="495" spans="10:10" ht="15">
      <c r="J495" s="10"/>
    </row>
    <row r="496" spans="10:10" ht="15">
      <c r="J496" s="10"/>
    </row>
    <row r="497" spans="10:10" ht="15">
      <c r="J497" s="10"/>
    </row>
    <row r="498" spans="10:10" ht="15">
      <c r="J498" s="10"/>
    </row>
    <row r="499" spans="10:10" ht="15">
      <c r="J499" s="10"/>
    </row>
    <row r="500" spans="10:10" ht="15">
      <c r="J500" s="10"/>
    </row>
    <row r="501" spans="10:10" ht="15">
      <c r="J501" s="10"/>
    </row>
    <row r="502" spans="10:10" ht="15">
      <c r="J502" s="10"/>
    </row>
    <row r="503" spans="10:10" ht="15">
      <c r="J503" s="10"/>
    </row>
    <row r="504" spans="10:10" ht="15">
      <c r="J504" s="10"/>
    </row>
    <row r="505" spans="10:10" ht="15">
      <c r="J505" s="10"/>
    </row>
    <row r="506" spans="10:10" ht="15">
      <c r="J506" s="10"/>
    </row>
    <row r="507" spans="10:10" ht="15">
      <c r="J507" s="10"/>
    </row>
    <row r="508" spans="10:10" ht="15">
      <c r="J508" s="10"/>
    </row>
    <row r="509" spans="10:10" ht="15">
      <c r="J509" s="10"/>
    </row>
    <row r="510" spans="10:10" ht="15">
      <c r="J510" s="10"/>
    </row>
    <row r="511" spans="10:10" ht="15">
      <c r="J511" s="10"/>
    </row>
    <row r="512" spans="10:10" ht="15">
      <c r="J512" s="10"/>
    </row>
    <row r="513" spans="10:10" ht="15">
      <c r="J513" s="10"/>
    </row>
    <row r="514" spans="10:10" ht="15">
      <c r="J514" s="10"/>
    </row>
    <row r="515" spans="10:10" ht="15">
      <c r="J515" s="10"/>
    </row>
    <row r="516" spans="10:10" ht="15">
      <c r="J516" s="10"/>
    </row>
    <row r="517" spans="10:10" ht="15">
      <c r="J517" s="10"/>
    </row>
    <row r="518" spans="10:10" ht="15">
      <c r="J518" s="10"/>
    </row>
    <row r="519" spans="10:10" ht="15">
      <c r="J519" s="10"/>
    </row>
    <row r="520" spans="10:10" ht="15">
      <c r="J520" s="10"/>
    </row>
    <row r="521" spans="10:10" ht="15">
      <c r="J521" s="10"/>
    </row>
    <row r="522" spans="10:10" ht="15">
      <c r="J522" s="10"/>
    </row>
    <row r="523" spans="10:10" ht="15">
      <c r="J523" s="10"/>
    </row>
    <row r="524" spans="10:10" ht="15">
      <c r="J524" s="10"/>
    </row>
    <row r="525" spans="10:10" ht="15">
      <c r="J525" s="10"/>
    </row>
    <row r="526" spans="10:10" ht="15">
      <c r="J526" s="10"/>
    </row>
    <row r="527" spans="10:10" ht="15">
      <c r="J527" s="10"/>
    </row>
    <row r="528" spans="10:10" ht="15">
      <c r="J528" s="10"/>
    </row>
    <row r="529" spans="10:10" ht="15">
      <c r="J529" s="10"/>
    </row>
    <row r="530" spans="10:10" ht="15">
      <c r="J530" s="10"/>
    </row>
    <row r="531" spans="10:10" ht="15">
      <c r="J531" s="10"/>
    </row>
    <row r="532" spans="10:10" ht="15">
      <c r="J532" s="10"/>
    </row>
    <row r="533" spans="10:10" ht="15">
      <c r="J533" s="10"/>
    </row>
    <row r="534" spans="10:10" ht="15">
      <c r="J534" s="10"/>
    </row>
    <row r="535" spans="10:10" ht="15">
      <c r="J535" s="10"/>
    </row>
    <row r="536" spans="10:10" ht="15">
      <c r="J536" s="10"/>
    </row>
    <row r="537" spans="10:10" ht="15">
      <c r="J537" s="10"/>
    </row>
    <row r="538" spans="10:10" ht="15">
      <c r="J538" s="10"/>
    </row>
    <row r="539" spans="10:10" ht="15">
      <c r="J539" s="10"/>
    </row>
    <row r="540" spans="10:10" ht="15">
      <c r="J540" s="10"/>
    </row>
    <row r="541" spans="10:10" ht="15">
      <c r="J541" s="10"/>
    </row>
    <row r="542" spans="10:10" ht="15">
      <c r="J542" s="10"/>
    </row>
    <row r="543" spans="10:10" ht="15">
      <c r="J543" s="10"/>
    </row>
    <row r="544" spans="10:10" ht="15">
      <c r="J544" s="10"/>
    </row>
    <row r="545" spans="10:10" ht="15">
      <c r="J545" s="10"/>
    </row>
    <row r="546" spans="10:10" ht="15">
      <c r="J546" s="10"/>
    </row>
    <row r="547" spans="10:10" ht="15">
      <c r="J547" s="10"/>
    </row>
    <row r="548" spans="10:10" ht="15">
      <c r="J548" s="10"/>
    </row>
    <row r="549" spans="10:10" ht="15">
      <c r="J549" s="10"/>
    </row>
    <row r="550" spans="10:10" ht="15">
      <c r="J550" s="10"/>
    </row>
    <row r="551" spans="10:10" ht="15">
      <c r="J551" s="10"/>
    </row>
    <row r="552" spans="10:10" ht="15">
      <c r="J552" s="10"/>
    </row>
    <row r="553" spans="10:10" ht="15">
      <c r="J553" s="10"/>
    </row>
    <row r="554" spans="10:10" ht="15">
      <c r="J554" s="10"/>
    </row>
    <row r="555" spans="10:10" ht="15">
      <c r="J555" s="10"/>
    </row>
    <row r="556" spans="10:10" ht="15">
      <c r="J556" s="10"/>
    </row>
    <row r="557" spans="10:10" ht="15">
      <c r="J557" s="10"/>
    </row>
    <row r="558" spans="10:10" ht="15">
      <c r="J558" s="10"/>
    </row>
    <row r="559" spans="10:10" ht="15">
      <c r="J559" s="10"/>
    </row>
    <row r="560" spans="10:10" ht="15">
      <c r="J560" s="10"/>
    </row>
    <row r="561" spans="10:10" ht="15">
      <c r="J561" s="10"/>
    </row>
    <row r="562" spans="10:10" ht="15">
      <c r="J562" s="10"/>
    </row>
    <row r="563" spans="10:10" ht="15">
      <c r="J563" s="10"/>
    </row>
    <row r="564" spans="10:10" ht="15">
      <c r="J564" s="10"/>
    </row>
    <row r="565" spans="10:10" ht="15">
      <c r="J565" s="10"/>
    </row>
    <row r="566" spans="10:10" ht="15">
      <c r="J566" s="10"/>
    </row>
    <row r="567" spans="10:10" ht="15">
      <c r="J567" s="10"/>
    </row>
    <row r="568" spans="10:10" ht="15">
      <c r="J568" s="10"/>
    </row>
    <row r="569" spans="10:10" ht="15">
      <c r="J569" s="10"/>
    </row>
    <row r="570" spans="10:10" ht="15">
      <c r="J570" s="10"/>
    </row>
    <row r="571" spans="10:10" ht="15">
      <c r="J571" s="10"/>
    </row>
    <row r="572" spans="10:10" ht="15">
      <c r="J572" s="10"/>
    </row>
    <row r="573" spans="10:10" ht="15">
      <c r="J573" s="10"/>
    </row>
    <row r="574" spans="10:10" ht="15">
      <c r="J574" s="10"/>
    </row>
    <row r="575" spans="10:10" ht="15">
      <c r="J575" s="10"/>
    </row>
    <row r="576" spans="10:10" ht="15">
      <c r="J576" s="10"/>
    </row>
    <row r="577" spans="10:10" ht="15">
      <c r="J577" s="10"/>
    </row>
    <row r="578" spans="10:10" ht="15">
      <c r="J578" s="10"/>
    </row>
    <row r="579" spans="10:10" ht="15">
      <c r="J579" s="10"/>
    </row>
    <row r="580" spans="10:10" ht="15">
      <c r="J580" s="10"/>
    </row>
    <row r="581" spans="10:10" ht="15">
      <c r="J581" s="10"/>
    </row>
    <row r="582" spans="10:10" ht="15">
      <c r="J582" s="10"/>
    </row>
    <row r="583" spans="10:10" ht="15">
      <c r="J583" s="10"/>
    </row>
    <row r="584" spans="10:10" ht="15">
      <c r="J584" s="10"/>
    </row>
    <row r="585" spans="10:10" ht="15">
      <c r="J585" s="10"/>
    </row>
    <row r="586" spans="10:10" ht="15">
      <c r="J586" s="10"/>
    </row>
    <row r="587" spans="10:10" ht="15">
      <c r="J587" s="10"/>
    </row>
    <row r="588" spans="10:10" ht="15">
      <c r="J588" s="10"/>
    </row>
    <row r="589" spans="10:10" ht="15">
      <c r="J589" s="10"/>
    </row>
    <row r="590" spans="10:10" ht="15">
      <c r="J590" s="10"/>
    </row>
    <row r="591" spans="10:10" ht="15">
      <c r="J591" s="10"/>
    </row>
    <row r="592" spans="10:10" ht="15">
      <c r="J592" s="10"/>
    </row>
    <row r="593" spans="10:10" ht="15">
      <c r="J593" s="10"/>
    </row>
    <row r="594" spans="10:10" ht="15">
      <c r="J594" s="10"/>
    </row>
    <row r="595" spans="10:10" ht="15">
      <c r="J595" s="10"/>
    </row>
    <row r="596" spans="10:10" ht="15">
      <c r="J596" s="10"/>
    </row>
    <row r="597" spans="10:10" ht="15">
      <c r="J597" s="10"/>
    </row>
    <row r="598" spans="10:10" ht="15">
      <c r="J598" s="10"/>
    </row>
    <row r="599" spans="10:10" ht="15">
      <c r="J599" s="10"/>
    </row>
    <row r="600" spans="10:10" ht="15">
      <c r="J600" s="10"/>
    </row>
    <row r="601" spans="10:10" ht="15">
      <c r="J601" s="10"/>
    </row>
    <row r="602" spans="10:10" ht="15">
      <c r="J602" s="10"/>
    </row>
    <row r="603" spans="10:10" ht="15">
      <c r="J603" s="10"/>
    </row>
    <row r="604" spans="10:10" ht="15">
      <c r="J604" s="10"/>
    </row>
    <row r="605" spans="10:10" ht="15">
      <c r="J605" s="10"/>
    </row>
    <row r="606" spans="10:10" ht="15">
      <c r="J606" s="10"/>
    </row>
    <row r="607" spans="10:10" ht="15">
      <c r="J607" s="10"/>
    </row>
    <row r="608" spans="10:10" ht="15">
      <c r="J608" s="10"/>
    </row>
    <row r="609" spans="10:10" ht="15">
      <c r="J609" s="10"/>
    </row>
    <row r="610" spans="10:10" ht="15">
      <c r="J610" s="10"/>
    </row>
    <row r="611" spans="10:10" ht="15">
      <c r="J611" s="10"/>
    </row>
    <row r="612" spans="10:10" ht="15">
      <c r="J612" s="10"/>
    </row>
    <row r="613" spans="10:10" ht="15">
      <c r="J613" s="10"/>
    </row>
    <row r="614" spans="10:10" ht="15">
      <c r="J614" s="10"/>
    </row>
    <row r="615" spans="10:10" ht="15">
      <c r="J615" s="10"/>
    </row>
    <row r="616" spans="10:10" ht="15">
      <c r="J616" s="10"/>
    </row>
    <row r="617" spans="10:10" ht="15">
      <c r="J617" s="10"/>
    </row>
    <row r="618" spans="10:10" ht="15">
      <c r="J618" s="10"/>
    </row>
    <row r="619" spans="10:10" ht="15">
      <c r="J619" s="10"/>
    </row>
    <row r="620" spans="10:10" ht="15">
      <c r="J620" s="10"/>
    </row>
    <row r="621" spans="10:10" ht="15">
      <c r="J621" s="10"/>
    </row>
    <row r="622" spans="10:10" ht="15">
      <c r="J622" s="10"/>
    </row>
    <row r="623" spans="10:10" ht="15">
      <c r="J623" s="10"/>
    </row>
    <row r="624" spans="10:10" ht="15">
      <c r="J624" s="10"/>
    </row>
    <row r="625" spans="10:10" ht="15">
      <c r="J625" s="10"/>
    </row>
    <row r="626" spans="10:10" ht="15">
      <c r="J626" s="10"/>
    </row>
    <row r="627" spans="10:10" ht="15">
      <c r="J627" s="10"/>
    </row>
    <row r="628" spans="10:10" ht="15">
      <c r="J628" s="10"/>
    </row>
    <row r="629" spans="10:10" ht="15">
      <c r="J629" s="10"/>
    </row>
    <row r="630" spans="10:10" ht="15">
      <c r="J630" s="10"/>
    </row>
    <row r="631" spans="10:10" ht="15">
      <c r="J631" s="10"/>
    </row>
    <row r="632" spans="10:10" ht="15">
      <c r="J632" s="10"/>
    </row>
    <row r="633" spans="10:10" ht="15">
      <c r="J633" s="10"/>
    </row>
    <row r="634" spans="10:10" ht="15">
      <c r="J634" s="10"/>
    </row>
    <row r="635" spans="10:10" ht="15">
      <c r="J635" s="10"/>
    </row>
    <row r="636" spans="10:10" ht="15">
      <c r="J636" s="10"/>
    </row>
    <row r="637" spans="10:10" ht="15">
      <c r="J637" s="10"/>
    </row>
    <row r="638" spans="10:10" ht="15">
      <c r="J638" s="10"/>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election activeCell="G12" sqref="G12"/>
    </sheetView>
  </sheetViews>
  <sheetFormatPr defaultColWidth="58.875" defaultRowHeight="14.25"/>
  <sheetData>
    <row r="1" spans="1:9" ht="15">
      <c r="A1" t="s">
        <v>1671</v>
      </c>
      <c r="B1" s="10" t="s">
        <v>1748</v>
      </c>
      <c r="C1" s="10" t="s">
        <v>1749</v>
      </c>
      <c r="D1" s="10" t="s">
        <v>1750</v>
      </c>
      <c r="E1" s="10" t="s">
        <v>1751</v>
      </c>
      <c r="F1" s="10" t="s">
        <v>1752</v>
      </c>
      <c r="G1" s="10" t="s">
        <v>423</v>
      </c>
      <c r="I1" s="10"/>
    </row>
    <row r="2" spans="1:9" ht="20.25" customHeight="1">
      <c r="A2">
        <v>1</v>
      </c>
      <c r="B2" s="11" t="s">
        <v>1742</v>
      </c>
      <c r="C2" t="s">
        <v>1743</v>
      </c>
      <c r="D2" t="s">
        <v>1744</v>
      </c>
      <c r="F2" s="14" t="s">
        <v>1741</v>
      </c>
    </row>
    <row r="3" spans="1:9" ht="114">
      <c r="A3">
        <v>2</v>
      </c>
      <c r="B3" t="s">
        <v>1745</v>
      </c>
      <c r="C3" t="s">
        <v>1746</v>
      </c>
      <c r="D3" t="s">
        <v>1747</v>
      </c>
      <c r="E3" t="s">
        <v>1753</v>
      </c>
      <c r="F3" t="s">
        <v>1754</v>
      </c>
      <c r="G3" s="14" t="s">
        <v>1755</v>
      </c>
    </row>
    <row r="4" spans="1:9" ht="15">
      <c r="A4">
        <v>3</v>
      </c>
      <c r="B4" s="21" t="s">
        <v>1762</v>
      </c>
      <c r="C4" t="s">
        <v>1763</v>
      </c>
      <c r="D4" t="s">
        <v>1764</v>
      </c>
      <c r="E4" t="s">
        <v>1765</v>
      </c>
      <c r="F4" t="s">
        <v>1766</v>
      </c>
      <c r="G4" t="s">
        <v>1767</v>
      </c>
    </row>
    <row r="5" spans="1:9" ht="15">
      <c r="A5">
        <v>4</v>
      </c>
      <c r="B5" t="s">
        <v>1769</v>
      </c>
      <c r="C5" t="s">
        <v>1770</v>
      </c>
      <c r="D5" t="s">
        <v>1771</v>
      </c>
      <c r="E5" t="s">
        <v>1772</v>
      </c>
      <c r="F5" t="s">
        <v>1773</v>
      </c>
      <c r="G5" t="s">
        <v>1774</v>
      </c>
    </row>
    <row r="6" spans="1:9" ht="15">
      <c r="A6">
        <v>5</v>
      </c>
      <c r="B6" t="s">
        <v>1780</v>
      </c>
      <c r="C6" t="s">
        <v>1781</v>
      </c>
      <c r="D6" t="s">
        <v>1782</v>
      </c>
      <c r="E6" t="s">
        <v>1783</v>
      </c>
      <c r="F6" t="s">
        <v>1784</v>
      </c>
      <c r="G6" t="s">
        <v>1785</v>
      </c>
    </row>
    <row r="7" spans="1:9" ht="101.25">
      <c r="A7">
        <v>6</v>
      </c>
      <c r="B7" t="s">
        <v>1791</v>
      </c>
      <c r="C7" t="s">
        <v>1792</v>
      </c>
      <c r="D7" t="s">
        <v>1793</v>
      </c>
      <c r="E7" s="24" t="s">
        <v>1794</v>
      </c>
      <c r="F7" t="s">
        <v>1795</v>
      </c>
      <c r="G7" s="11" t="s">
        <v>1796</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tabSelected="1" workbookViewId="0">
      <selection activeCell="D15" sqref="D15"/>
    </sheetView>
  </sheetViews>
  <sheetFormatPr defaultColWidth="14.375" defaultRowHeight="14.25"/>
  <sheetData>
    <row r="1" spans="1:6" ht="45">
      <c r="A1" s="10" t="s">
        <v>419</v>
      </c>
      <c r="B1" s="10" t="s">
        <v>1663</v>
      </c>
      <c r="C1" s="10" t="s">
        <v>1662</v>
      </c>
      <c r="D1" s="10" t="s">
        <v>1759</v>
      </c>
      <c r="E1" s="10" t="s">
        <v>1760</v>
      </c>
      <c r="F1" s="10" t="s">
        <v>1786</v>
      </c>
    </row>
    <row r="2" spans="1:6" ht="28.5">
      <c r="A2" s="11" t="s">
        <v>431</v>
      </c>
      <c r="B2" s="25">
        <f>AVERAGEIFS(Deals_Raw!$W$5:$W$643, Deals_Raw!$N$5:$N$643,A2, Deals_Raw!$AF$5:$AF$643,"Won")</f>
        <v>0.12409859154929574</v>
      </c>
      <c r="C2" s="25">
        <v>0.62831858407079644</v>
      </c>
      <c r="D2" s="25">
        <v>0.55163563619962452</v>
      </c>
      <c r="E2" s="25">
        <v>8.0835761062541131E-2</v>
      </c>
      <c r="F2" s="25" t="s">
        <v>1790</v>
      </c>
    </row>
    <row r="3" spans="1:6" ht="28.5">
      <c r="A3" s="11" t="s">
        <v>427</v>
      </c>
      <c r="B3" s="25">
        <f>AVERAGEIFS(Deals_Raw!$W$5:$W$643, Deals_Raw!$N$5:$N$643,A3, Deals_Raw!$AF$5:$AF$643,"Won")</f>
        <v>0.13048275862068967</v>
      </c>
      <c r="C3" s="25">
        <v>0.63503649635036497</v>
      </c>
      <c r="D3" s="25">
        <v>0.63293818416783165</v>
      </c>
      <c r="E3" s="26">
        <v>0.14947947558861396</v>
      </c>
      <c r="F3" s="11" t="s">
        <v>1788</v>
      </c>
    </row>
    <row r="4" spans="1:6" ht="42.75">
      <c r="A4" s="11" t="s">
        <v>429</v>
      </c>
      <c r="B4" s="25">
        <f>AVERAGEIFS(Deals_Raw!$W$5:$W$643, Deals_Raw!$N$5:$N$643,A4, Deals_Raw!$AF$5:$AF$643,"Won")</f>
        <v>0.1162371134020619</v>
      </c>
      <c r="C4" s="25">
        <v>0.65540540540540537</v>
      </c>
      <c r="D4" s="25">
        <v>0.60025382489542967</v>
      </c>
      <c r="E4" s="26">
        <v>0.23016033190527152</v>
      </c>
      <c r="F4" s="11" t="s">
        <v>1787</v>
      </c>
    </row>
    <row r="5" spans="1:6" ht="42.75">
      <c r="A5" s="11" t="s">
        <v>433</v>
      </c>
      <c r="B5" s="25">
        <f>AVERAGEIFS(Deals_Raw!$W$5:$W$643, Deals_Raw!$N$5:$N$643,A5, Deals_Raw!$AF$5:$AF$643,"Won")</f>
        <v>0.10421978021978026</v>
      </c>
      <c r="C5" s="25">
        <v>0.68939393939393945</v>
      </c>
      <c r="D5" s="25">
        <v>0.58677050804004205</v>
      </c>
      <c r="E5" s="26">
        <v>0.48269735832815736</v>
      </c>
      <c r="F5" s="11" t="s">
        <v>1789</v>
      </c>
    </row>
    <row r="6" spans="1:6" ht="28.5">
      <c r="A6" s="11" t="s">
        <v>424</v>
      </c>
      <c r="B6" s="25">
        <f>AVERAGEIFS(Deals_Raw!$W$5:$W$643, Deals_Raw!$N$5:$N$643,A6, Deals_Raw!$AF$5:$AF$643,"Won")</f>
        <v>0.13058024691358019</v>
      </c>
      <c r="C6" s="25">
        <v>0.75</v>
      </c>
      <c r="D6" s="25">
        <v>0.67031138089774656</v>
      </c>
      <c r="E6" s="26">
        <v>5.6827073115415967E-2</v>
      </c>
      <c r="F6" s="11" t="s">
        <v>1787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election activeCell="K1" sqref="K1:K1048576"/>
    </sheetView>
  </sheetViews>
  <sheetFormatPr defaultRowHeight="14.25"/>
  <cols>
    <col min="9" max="9" width="31.375" customWidth="1"/>
    <col min="10" max="10" width="15.125" customWidth="1"/>
  </cols>
  <sheetData>
    <row r="1" spans="1:11" ht="60">
      <c r="A1" s="10" t="s">
        <v>419</v>
      </c>
      <c r="B1" s="10" t="s">
        <v>1737</v>
      </c>
      <c r="C1" s="10" t="s">
        <v>1667</v>
      </c>
      <c r="D1" s="10" t="s">
        <v>1662</v>
      </c>
      <c r="E1" s="10" t="s">
        <v>1756</v>
      </c>
      <c r="F1" s="10" t="s">
        <v>1757</v>
      </c>
      <c r="G1" s="10" t="s">
        <v>1758</v>
      </c>
      <c r="H1" s="10" t="s">
        <v>1759</v>
      </c>
      <c r="I1" s="10" t="s">
        <v>1735</v>
      </c>
      <c r="J1" s="10" t="s">
        <v>1761</v>
      </c>
      <c r="K1" s="10" t="s">
        <v>1760</v>
      </c>
    </row>
    <row r="2" spans="1:11" ht="28.5">
      <c r="A2" s="11" t="s">
        <v>431</v>
      </c>
      <c r="B2">
        <f>COUNTIF(Deals_Raw!$N$5:$N$643,A2)</f>
        <v>113</v>
      </c>
      <c r="C2">
        <f>COUNTIFS(Deals_Raw!$N$5:$N$643,A2, Deals_Raw!$AF$5:$AF$643,"Won")</f>
        <v>71</v>
      </c>
      <c r="D2">
        <f>C2/B2</f>
        <v>0.62831858407079644</v>
      </c>
      <c r="E2">
        <f>AVERAGEIFS(Deals_Raw!$W$5:$W$643, Deals_Raw!$N$5:$N$643,A2, Deals_Raw!$AF$5:$AF$643,"Won")</f>
        <v>0.12409859154929574</v>
      </c>
      <c r="F2">
        <f>AVERAGEIFS(Deals_Raw!$AQ$5:$AQ$643, Deals_Raw!$N$5:$N$643,A2, Deals_Raw!$AF$5:$AF$643,"Won")</f>
        <v>90168.004084507018</v>
      </c>
      <c r="G2">
        <f>SUMIFS(Deals_Raw!$AQ$5:$AQ$643, Deals_Raw!$N$5:$N$643,A2, Deals_Raw!$AF$5:$AF$643,"Won")</f>
        <v>6401928.2899999982</v>
      </c>
      <c r="H2">
        <f>AVERAGEIFS(Deals_Raw!$AT$5:$AT$643, Deals_Raw!$N$5:$N$643,A2, Deals_Raw!$AF$5:$AF$643,"Won")</f>
        <v>0.55163563619962452</v>
      </c>
      <c r="I2">
        <f>SUMIFS(Deals_Raw!$AS$5:$AS$643, Deals_Raw!$N$5:$N$643,A2, Deals_Raw!$AF$5:$AF$643,"Won")</f>
        <v>3524941.1621836368</v>
      </c>
      <c r="J2" s="22">
        <v>79196734.290000007</v>
      </c>
      <c r="K2" s="23">
        <f>G2/$J$2</f>
        <v>8.0835761062541131E-2</v>
      </c>
    </row>
    <row r="3" spans="1:11" ht="28.5">
      <c r="A3" s="11" t="s">
        <v>427</v>
      </c>
      <c r="B3">
        <f>COUNTIF(Deals_Raw!$N$5:$N$643,A3)</f>
        <v>137</v>
      </c>
      <c r="C3">
        <f>COUNTIFS(Deals_Raw!$N$5:$N$643,A3, Deals_Raw!$AF$5:$AF$643,"Won")</f>
        <v>87</v>
      </c>
      <c r="D3">
        <f t="shared" ref="D3:D6" si="0">C3/B3</f>
        <v>0.63503649635036497</v>
      </c>
      <c r="E3">
        <f>AVERAGEIFS(Deals_Raw!$W$5:$W$643,
Deals_Raw!$N$5:$N$643,A3,
Deals_Raw!$AF$5:$AF$643,"Won")</f>
        <v>0.13048275862068967</v>
      </c>
      <c r="F3">
        <f>AVERAGEIFS(Deals_Raw!$AQ$5:$AQ$643, Deals_Raw!$N$5:$N$643,A3, Deals_Raw!$AF$5:$AF$643,"Won")</f>
        <v>136072.25643678164</v>
      </c>
      <c r="G3">
        <f>SUMIFS(Deals_Raw!$AQ$5:$AQ$643, Deals_Raw!$N$5:$N$643,A3, Deals_Raw!$AF$5:$AF$643,"Won")</f>
        <v>11838286.310000002</v>
      </c>
      <c r="H3">
        <f>AVERAGEIFS(Deals_Raw!$AT$5:$AT$643, Deals_Raw!$N$5:$N$643,A3, Deals_Raw!$AF$5:$AF$643,"Won")</f>
        <v>0.63293818416783165</v>
      </c>
      <c r="I3">
        <f>SUMIFS(Deals_Raw!$AS$5:$AS$643, Deals_Raw!$N$5:$N$643,A3, Deals_Raw!$AF$5:$AF$643,"Won")</f>
        <v>7530063.0136493705</v>
      </c>
      <c r="K3" s="23">
        <f t="shared" ref="K3:K6" si="1">G3/$J$2</f>
        <v>0.14947947558861396</v>
      </c>
    </row>
    <row r="4" spans="1:11" ht="42.75">
      <c r="A4" s="11" t="s">
        <v>429</v>
      </c>
      <c r="B4">
        <f>COUNTIF(Deals_Raw!$N$5:$N$643,A4)</f>
        <v>148</v>
      </c>
      <c r="C4">
        <f>COUNTIFS(Deals_Raw!$N$5:$N$643,A4, Deals_Raw!$AF$5:$AF$643,"Won")</f>
        <v>97</v>
      </c>
      <c r="D4">
        <f t="shared" si="0"/>
        <v>0.65540540540540537</v>
      </c>
      <c r="E4">
        <f>AVERAGEIFS(Deals_Raw!$W$5:$W$643,
Deals_Raw!$N$5:$N$643,A4,
Deals_Raw!$AF$5:$AF$643,"Won")</f>
        <v>0.1162371134020619</v>
      </c>
      <c r="F4">
        <f>AVERAGEIFS(Deals_Raw!$AQ$5:$AQ$643, Deals_Raw!$N$5:$N$643,A4, Deals_Raw!$AF$5:$AF$643,"Won")</f>
        <v>187916.97577319585</v>
      </c>
      <c r="G4">
        <f>SUMIFS(Deals_Raw!$AQ$5:$AQ$643, Deals_Raw!$N$5:$N$643,A4, Deals_Raw!$AF$5:$AF$643,"Won")</f>
        <v>18227946.649999999</v>
      </c>
      <c r="H4">
        <f>AVERAGEIFS(Deals_Raw!$AT$5:$AT$643, Deals_Raw!$N$5:$N$643,A4, Deals_Raw!$AF$5:$AF$643,"Won")</f>
        <v>0.60025382489542967</v>
      </c>
      <c r="I4">
        <f>SUMIFS(Deals_Raw!$AS$5:$AS$643, Deals_Raw!$N$5:$N$643,A4, Deals_Raw!$AF$5:$AF$643,"Won")</f>
        <v>11001066.577478271</v>
      </c>
      <c r="K4" s="23">
        <f t="shared" si="1"/>
        <v>0.23016033190527152</v>
      </c>
    </row>
    <row r="5" spans="1:11" ht="42.75">
      <c r="A5" s="11" t="s">
        <v>433</v>
      </c>
      <c r="B5">
        <f>COUNTIF(Deals_Raw!$N$5:$N$643,A5)</f>
        <v>132</v>
      </c>
      <c r="C5">
        <f>COUNTIFS(Deals_Raw!$N$5:$N$643,A5, Deals_Raw!$AF$5:$AF$643,"Won")</f>
        <v>91</v>
      </c>
      <c r="D5">
        <f t="shared" si="0"/>
        <v>0.68939393939393945</v>
      </c>
      <c r="E5">
        <f>AVERAGEIFS(Deals_Raw!$W$5:$W$643,
Deals_Raw!$N$5:$N$643,A5,
Deals_Raw!$AF$5:$AF$643,"Won")</f>
        <v>0.10421978021978026</v>
      </c>
      <c r="F5">
        <f>AVERAGEIFS(Deals_Raw!$AQ$5:$AQ$643, Deals_Raw!$N$5:$N$643,A5, Deals_Raw!$AF$5:$AF$643,"Won")</f>
        <v>420088.5102197802</v>
      </c>
      <c r="G5">
        <f>SUMIFS(Deals_Raw!$AQ$5:$AQ$643, Deals_Raw!$N$5:$N$643,A5, Deals_Raw!$AF$5:$AF$643,"Won")</f>
        <v>38228054.43</v>
      </c>
      <c r="H5">
        <f>AVERAGEIFS(Deals_Raw!$AT$5:$AT$643, Deals_Raw!$N$5:$N$643,A5, Deals_Raw!$AF$5:$AF$643,"Won")</f>
        <v>0.58677050804004205</v>
      </c>
      <c r="I5">
        <f>SUMIFS(Deals_Raw!$AS$5:$AS$643, Deals_Raw!$N$5:$N$643,A5, Deals_Raw!$AF$5:$AF$643,"Won")</f>
        <v>22661686.243024927</v>
      </c>
      <c r="K5" s="23">
        <f t="shared" si="1"/>
        <v>0.48269735832815736</v>
      </c>
    </row>
    <row r="6" spans="1:11" ht="28.5">
      <c r="A6" s="11" t="s">
        <v>424</v>
      </c>
      <c r="B6">
        <f>COUNTIF(Deals_Raw!$N$5:$N$643,A6)</f>
        <v>108</v>
      </c>
      <c r="C6">
        <f>COUNTIFS(Deals_Raw!$N$5:$N$643,A6, Deals_Raw!$AF$5:$AF$643,"Won")</f>
        <v>81</v>
      </c>
      <c r="D6">
        <f t="shared" si="0"/>
        <v>0.75</v>
      </c>
      <c r="E6">
        <f>AVERAGEIFS(Deals_Raw!$W$5:$W$643,
Deals_Raw!$N$5:$N$643,A6,
Deals_Raw!$AF$5:$AF$643,"Won")</f>
        <v>0.13058024691358019</v>
      </c>
      <c r="F6">
        <f>AVERAGEIFS(Deals_Raw!$AQ$5:$AQ$643, Deals_Raw!$N$5:$N$643,A6, Deals_Raw!$AF$5:$AF$643,"Won")</f>
        <v>55561.958148148165</v>
      </c>
      <c r="G6">
        <f>SUMIFS(Deals_Raw!$AQ$5:$AQ$643, Deals_Raw!$N$5:$N$643,A6, Deals_Raw!$AF$5:$AF$643,"Won")</f>
        <v>4500518.6100000013</v>
      </c>
      <c r="H6">
        <f>AVERAGEIFS(Deals_Raw!$AT$5:$AT$643, Deals_Raw!$N$5:$N$643,A6, Deals_Raw!$AF$5:$AF$643,"Won")</f>
        <v>0.67031138089774656</v>
      </c>
      <c r="I6">
        <f>SUMIFS(Deals_Raw!$AS$5:$AS$643, Deals_Raw!$N$5:$N$643,A6, Deals_Raw!$AF$5:$AF$643,"Won")</f>
        <v>3006424.4796857587</v>
      </c>
      <c r="K6" s="23">
        <f t="shared" si="1"/>
        <v>5.6827073115415967E-2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workbookViewId="0">
      <selection activeCell="F2" sqref="F2"/>
    </sheetView>
  </sheetViews>
  <sheetFormatPr defaultRowHeight="14.25"/>
  <cols>
    <col min="5" max="5" width="11.375" bestFit="1" customWidth="1"/>
    <col min="10" max="10" width="31.375" customWidth="1"/>
    <col min="11" max="11" width="15.125" customWidth="1"/>
  </cols>
  <sheetData>
    <row r="1" spans="1:12" ht="60">
      <c r="A1" s="10" t="s">
        <v>419</v>
      </c>
      <c r="B1" s="10" t="s">
        <v>1660</v>
      </c>
      <c r="C1" s="10" t="s">
        <v>1768</v>
      </c>
      <c r="D1" s="10" t="s">
        <v>1667</v>
      </c>
      <c r="E1" s="10" t="s">
        <v>1662</v>
      </c>
      <c r="F1" s="10" t="s">
        <v>1756</v>
      </c>
      <c r="G1" s="10" t="s">
        <v>1757</v>
      </c>
      <c r="H1" s="10" t="s">
        <v>1758</v>
      </c>
      <c r="I1" s="10" t="s">
        <v>1759</v>
      </c>
      <c r="J1" s="10" t="s">
        <v>1735</v>
      </c>
      <c r="K1" s="10" t="s">
        <v>1761</v>
      </c>
      <c r="L1" s="10" t="s">
        <v>1760</v>
      </c>
    </row>
    <row r="2" spans="1:12" ht="28.5">
      <c r="A2" s="11" t="s">
        <v>431</v>
      </c>
      <c r="B2" s="10" t="s">
        <v>915</v>
      </c>
      <c r="C2" s="10">
        <f>COUNTIFS(Deals_Raw!$N$5:$N$643,A2, Deals_Raw!$O$5:$O$643,B2)</f>
        <v>11</v>
      </c>
      <c r="D2" s="10">
        <f>COUNTIFS(Deals_Raw!$N$5:$N$643,A2, Deals_Raw!$O$5:$O$643,B2, Deals_Raw!$AF$5:$AF$643,"Won")</f>
        <v>8</v>
      </c>
      <c r="E2" s="10">
        <f>D2/C2</f>
        <v>0.72727272727272729</v>
      </c>
      <c r="F2" s="10">
        <f>AVERAGEIFS(Deals_Raw!$W$5:$W$643, Deals_Raw!$N$5:$N$643,A2, Deals_Raw!$O$5:$O$643,B2, Deals_Raw!$AF$5:$AF$643,"Won")</f>
        <v>0.18149999999999999</v>
      </c>
      <c r="G2">
        <f>AVERAGEIFS(Deals_Raw!$AQ$5:$AQ$643, Deals_Raw!$N$5:$N$643,A2, Deals_Raw!$O$5:$O$643,B2, Deals_Raw!$AF$5:$AF$643,"Won")</f>
        <v>100285.39749999999</v>
      </c>
      <c r="H2">
        <f>SUMIFS(Deals_Raw!$AQ$5:$AQ$643, Deals_Raw!$N$5:$N$643,A2,Deals_Raw!$O$5:$O$643,B2, Deals_Raw!$AF$5:$AF$643,"Won")</f>
        <v>802283.17999999993</v>
      </c>
      <c r="I2">
        <f>AVERAGEIFS(Deals_Raw!$AT$5:$AT$643, Deals_Raw!$N$5:$N$643,A2, Deals_Raw!$O$5:$O$643,B2, Deals_Raw!$AF$5:$AF$643,"Won")</f>
        <v>0.51341165139883549</v>
      </c>
      <c r="J2">
        <f>SUMIFS(Deals_Raw!$AS$5:$AS$643, Deals_Raw!$N$5:$N$643,A2, Deals_Raw!$O$5:$O$643,B2, Deals_Raw!$AF$5:$AF$643,"Won")</f>
        <v>404096.62514327734</v>
      </c>
      <c r="K2" s="10"/>
      <c r="L2" s="23">
        <f t="shared" ref="L2:L21" si="0">H2/$K$5</f>
        <v>1.0130255839366125E-2</v>
      </c>
    </row>
    <row r="3" spans="1:12" ht="45">
      <c r="A3" s="11" t="s">
        <v>431</v>
      </c>
      <c r="B3" s="10" t="s">
        <v>891</v>
      </c>
      <c r="C3" s="10">
        <f>COUNTIFS(Deals_Raw!$N$5:$N$643,A3, Deals_Raw!$O$5:$O$643,B3)</f>
        <v>37</v>
      </c>
      <c r="D3" s="10">
        <f>COUNTIFS(Deals_Raw!$N$5:$N$643,A3, Deals_Raw!$O$5:$O$643,B3, Deals_Raw!$AF$5:$AF$643,"Won")</f>
        <v>20</v>
      </c>
      <c r="E3" s="10">
        <f t="shared" ref="E3:E21" si="1">D3/C3</f>
        <v>0.54054054054054057</v>
      </c>
      <c r="F3" s="10">
        <f>AVERAGEIFS(Deals_Raw!$W$5:$W$643, Deals_Raw!$N$5:$N$643,A3, Deals_Raw!$O$5:$O$643,B3, Deals_Raw!$AF$5:$AF$643,"Won")</f>
        <v>0.12430000000000004</v>
      </c>
      <c r="G3">
        <f>AVERAGEIFS(Deals_Raw!$AQ$5:$AQ$643, Deals_Raw!$N$5:$N$643,A3, Deals_Raw!$O$5:$O$643,B3, Deals_Raw!$AF$5:$AF$643,"Won")</f>
        <v>82901.256999999983</v>
      </c>
      <c r="H3">
        <f>SUMIFS(Deals_Raw!$AQ$5:$AQ$643, Deals_Raw!$N$5:$N$643,A3,Deals_Raw!$O$5:$O$643,B3, Deals_Raw!$AF$5:$AF$643,"Won")</f>
        <v>1658025.1399999997</v>
      </c>
      <c r="I3">
        <f>AVERAGEIFS(Deals_Raw!$AT$5:$AT$643, Deals_Raw!$N$5:$N$643,A3, Deals_Raw!$O$5:$O$643,B3, Deals_Raw!$AF$5:$AF$643,"Won")</f>
        <v>0.52944987178830905</v>
      </c>
      <c r="J3">
        <f>SUMIFS(Deals_Raw!$AS$5:$AS$643, Deals_Raw!$N$5:$N$643,A3, Deals_Raw!$O$5:$O$643,B3, Deals_Raw!$AF$5:$AF$643,"Won")</f>
        <v>868527.58336128062</v>
      </c>
      <c r="K3" s="10"/>
      <c r="L3" s="23">
        <f t="shared" si="0"/>
        <v>2.0935524107960027E-2</v>
      </c>
    </row>
    <row r="4" spans="1:12" ht="28.5">
      <c r="A4" s="11" t="s">
        <v>431</v>
      </c>
      <c r="B4" s="10" t="s">
        <v>876</v>
      </c>
      <c r="C4" s="10">
        <f>COUNTIFS(Deals_Raw!$N$5:$N$643,A4, Deals_Raw!$O$5:$O$643,B4)</f>
        <v>49</v>
      </c>
      <c r="D4" s="10">
        <f>COUNTIFS(Deals_Raw!$N$5:$N$643,A4, Deals_Raw!$O$5:$O$643,B4, Deals_Raw!$AF$5:$AF$643,"Won")</f>
        <v>30</v>
      </c>
      <c r="E4" s="10">
        <f t="shared" si="1"/>
        <v>0.61224489795918369</v>
      </c>
      <c r="F4" s="10">
        <f>AVERAGEIFS(Deals_Raw!$W$5:$W$643, Deals_Raw!$N$5:$N$643,A4, Deals_Raw!$O$5:$O$643,B4, Deals_Raw!$AF$5:$AF$643,"Won")</f>
        <v>0.12413333333333333</v>
      </c>
      <c r="G4">
        <f>AVERAGEIFS(Deals_Raw!$AQ$5:$AQ$643, Deals_Raw!$N$5:$N$643,A4, Deals_Raw!$O$5:$O$643,B4, Deals_Raw!$AF$5:$AF$643,"Won")</f>
        <v>89794.604000000007</v>
      </c>
      <c r="H4">
        <f>SUMIFS(Deals_Raw!$AQ$5:$AQ$643, Deals_Raw!$N$5:$N$643,A4,Deals_Raw!$O$5:$O$643,B4, Deals_Raw!$AF$5:$AF$643,"Won")</f>
        <v>2693838.12</v>
      </c>
      <c r="I4">
        <f>AVERAGEIFS(Deals_Raw!$AT$5:$AT$643, Deals_Raw!$N$5:$N$643,A4, Deals_Raw!$O$5:$O$643,B4, Deals_Raw!$AF$5:$AF$643,"Won")</f>
        <v>0.56319543693836072</v>
      </c>
      <c r="J4">
        <f>SUMIFS(Deals_Raw!$AS$5:$AS$643, Deals_Raw!$N$5:$N$643,A4, Deals_Raw!$O$5:$O$643,B4, Deals_Raw!$AF$5:$AF$643,"Won")</f>
        <v>1527621.1272625946</v>
      </c>
      <c r="K4" s="10"/>
      <c r="L4" s="23">
        <f t="shared" si="0"/>
        <v>3.4014510120275815E-2</v>
      </c>
    </row>
    <row r="5" spans="1:12" ht="132" customHeight="1">
      <c r="A5" s="11" t="s">
        <v>431</v>
      </c>
      <c r="B5" s="11" t="s">
        <v>883</v>
      </c>
      <c r="C5" s="10">
        <f>COUNTIFS(Deals_Raw!$N$5:$N$643,A5, Deals_Raw!$O$5:$O$643,B5)</f>
        <v>16</v>
      </c>
      <c r="D5" s="10">
        <f>COUNTIFS(Deals_Raw!$N$5:$N$643,A5, Deals_Raw!$O$5:$O$643,B5, Deals_Raw!$AF$5:$AF$643,"Won")</f>
        <v>13</v>
      </c>
      <c r="E5" s="10">
        <f t="shared" si="1"/>
        <v>0.8125</v>
      </c>
      <c r="F5" s="10">
        <f>AVERAGEIFS(Deals_Raw!$W$5:$W$643, Deals_Raw!$N$5:$N$643,A5, Deals_Raw!$O$5:$O$643,B5, Deals_Raw!$AF$5:$AF$643,"Won")</f>
        <v>8.8384615384615381E-2</v>
      </c>
      <c r="G5">
        <f>AVERAGEIFS(Deals_Raw!$AQ$5:$AQ$643, Deals_Raw!$N$5:$N$643,A5, Deals_Raw!$O$5:$O$643,B5, Deals_Raw!$AF$5:$AF$643,"Won")</f>
        <v>95983.219230769217</v>
      </c>
      <c r="H5">
        <f>SUMIFS(Deals_Raw!$AQ$5:$AQ$643, Deals_Raw!$N$5:$N$643,A5,Deals_Raw!$O$5:$O$643,B5, Deals_Raw!$AF$5:$AF$643,"Won")</f>
        <v>1247781.8499999999</v>
      </c>
      <c r="I5">
        <f>AVERAGEIFS(Deals_Raw!$AT$5:$AT$643, Deals_Raw!$N$5:$N$643,A5, Deals_Raw!$O$5:$O$643,B5, Deals_Raw!$AF$5:$AF$643,"Won")</f>
        <v>0.58261357038966621</v>
      </c>
      <c r="J5">
        <f>SUMIFS(Deals_Raw!$AS$5:$AS$643, Deals_Raw!$N$5:$N$643,A5, Deals_Raw!$O$5:$O$643,B5, Deals_Raw!$AF$5:$AF$643,"Won")</f>
        <v>724695.8264164828</v>
      </c>
      <c r="K5" s="22">
        <v>79196734.290000007</v>
      </c>
      <c r="L5" s="23">
        <f>H5/$K$5</f>
        <v>1.5755470994939173E-2</v>
      </c>
    </row>
    <row r="6" spans="1:12" ht="45">
      <c r="A6" s="11" t="s">
        <v>427</v>
      </c>
      <c r="B6" s="10" t="s">
        <v>891</v>
      </c>
      <c r="C6" s="10">
        <f>COUNTIFS(Deals_Raw!$N$5:$N$643,A6, Deals_Raw!$O$5:$O$643,B6)</f>
        <v>45</v>
      </c>
      <c r="D6" s="10">
        <f>COUNTIFS(Deals_Raw!$N$5:$N$643,A6, Deals_Raw!$O$5:$O$643,B6, Deals_Raw!$AF$5:$AF$643,"Won")</f>
        <v>18</v>
      </c>
      <c r="E6" s="10">
        <f t="shared" si="1"/>
        <v>0.4</v>
      </c>
      <c r="F6" s="10">
        <f>AVERAGEIFS(Deals_Raw!$W$5:$W$643, Deals_Raw!$N$5:$N$643,A6, Deals_Raw!$O$5:$O$643,B6, Deals_Raw!$AF$5:$AF$643,"Won")</f>
        <v>0.12444444444444445</v>
      </c>
      <c r="G6">
        <f>AVERAGEIFS(Deals_Raw!$AQ$5:$AQ$643, Deals_Raw!$N$5:$N$643,A6, Deals_Raw!$O$5:$O$643,B6, Deals_Raw!$AF$5:$AF$643,"Won")</f>
        <v>149937.36333333331</v>
      </c>
      <c r="H6">
        <f>SUMIFS(Deals_Raw!$AQ$5:$AQ$643, Deals_Raw!$N$5:$N$643,A6,Deals_Raw!$O$5:$O$643,B6, Deals_Raw!$AF$5:$AF$643,"Won")</f>
        <v>2698872.5399999996</v>
      </c>
      <c r="I6">
        <f>AVERAGEIFS(Deals_Raw!$AT$5:$AT$643, Deals_Raw!$N$5:$N$643,A6, Deals_Raw!$O$5:$O$643,B6, Deals_Raw!$AF$5:$AF$643,"Won")</f>
        <v>0.59911420955665484</v>
      </c>
      <c r="J6">
        <f>SUMIFS(Deals_Raw!$AS$5:$AS$643, Deals_Raw!$N$5:$N$643,A6, Deals_Raw!$O$5:$O$643,B6, Deals_Raw!$AF$5:$AF$643,"Won")</f>
        <v>1587950.6559969753</v>
      </c>
      <c r="K6" s="22"/>
      <c r="L6" s="23">
        <f t="shared" si="0"/>
        <v>3.4078078650533195E-2</v>
      </c>
    </row>
    <row r="7" spans="1:12" ht="28.5">
      <c r="A7" s="11" t="s">
        <v>427</v>
      </c>
      <c r="B7" s="10" t="s">
        <v>915</v>
      </c>
      <c r="C7" s="10">
        <f>COUNTIFS(Deals_Raw!$N$5:$N$643,A7, Deals_Raw!$O$5:$O$643,B7)</f>
        <v>10</v>
      </c>
      <c r="D7" s="10">
        <f>COUNTIFS(Deals_Raw!$N$5:$N$643,A7, Deals_Raw!$O$5:$O$643,B7, Deals_Raw!$AF$5:$AF$643,"Won")</f>
        <v>7</v>
      </c>
      <c r="E7" s="10">
        <f t="shared" si="1"/>
        <v>0.7</v>
      </c>
      <c r="F7" s="10">
        <f>AVERAGEIFS(Deals_Raw!$W$5:$W$643, Deals_Raw!$N$5:$N$643,A7, Deals_Raw!$O$5:$O$643,B7, Deals_Raw!$AF$5:$AF$643,"Won")</f>
        <v>0.20885714285714288</v>
      </c>
      <c r="G7">
        <f>AVERAGEIFS(Deals_Raw!$AQ$5:$AQ$643, Deals_Raw!$N$5:$N$643,A7, Deals_Raw!$O$5:$O$643,B7, Deals_Raw!$AF$5:$AF$643,"Won")</f>
        <v>106059.2557142857</v>
      </c>
      <c r="H7">
        <f>SUMIFS(Deals_Raw!$AQ$5:$AQ$643, Deals_Raw!$N$5:$N$643,A7,Deals_Raw!$O$5:$O$643,B7, Deals_Raw!$AF$5:$AF$643,"Won")</f>
        <v>742414.78999999992</v>
      </c>
      <c r="I7">
        <f>AVERAGEIFS(Deals_Raw!$AT$5:$AT$643, Deals_Raw!$N$5:$N$643,A7, Deals_Raw!$O$5:$O$643,B7, Deals_Raw!$AF$5:$AF$643,"Won")</f>
        <v>0.57023828368638496</v>
      </c>
      <c r="J7">
        <f>SUMIFS(Deals_Raw!$AS$5:$AS$643, Deals_Raw!$N$5:$N$643,A7, Deals_Raw!$O$5:$O$643,B7, Deals_Raw!$AF$5:$AF$643,"Won")</f>
        <v>424292.99669311929</v>
      </c>
      <c r="K7" s="22"/>
      <c r="L7" s="23">
        <f t="shared" si="0"/>
        <v>9.3743106537884473E-3</v>
      </c>
    </row>
    <row r="8" spans="1:12" ht="28.5">
      <c r="A8" s="11" t="s">
        <v>427</v>
      </c>
      <c r="B8" s="10" t="s">
        <v>876</v>
      </c>
      <c r="C8" s="10">
        <f>COUNTIFS(Deals_Raw!$N$5:$N$643,A8, Deals_Raw!$O$5:$O$643,B8)</f>
        <v>66</v>
      </c>
      <c r="D8" s="10">
        <f>COUNTIFS(Deals_Raw!$N$5:$N$643,A8, Deals_Raw!$O$5:$O$643,B8, Deals_Raw!$AF$5:$AF$643,"Won")</f>
        <v>50</v>
      </c>
      <c r="E8" s="10">
        <f t="shared" si="1"/>
        <v>0.75757575757575757</v>
      </c>
      <c r="F8" s="10">
        <f>AVERAGEIFS(Deals_Raw!$W$5:$W$643, Deals_Raw!$N$5:$N$643,A8, Deals_Raw!$O$5:$O$643,B8, Deals_Raw!$AF$5:$AF$643,"Won")</f>
        <v>0.13233999999999996</v>
      </c>
      <c r="G8">
        <f>AVERAGEIFS(Deals_Raw!$AQ$5:$AQ$643, Deals_Raw!$N$5:$N$643,A8, Deals_Raw!$O$5:$O$643,B8, Deals_Raw!$AF$5:$AF$643,"Won")</f>
        <v>135359.96580000001</v>
      </c>
      <c r="H8">
        <f>SUMIFS(Deals_Raw!$AQ$5:$AQ$643, Deals_Raw!$N$5:$N$643,A8,Deals_Raw!$O$5:$O$643,B8, Deals_Raw!$AF$5:$AF$643,"Won")</f>
        <v>6767998.29</v>
      </c>
      <c r="I8">
        <f>AVERAGEIFS(Deals_Raw!$AT$5:$AT$643, Deals_Raw!$N$5:$N$643,A8, Deals_Raw!$O$5:$O$643,B8, Deals_Raw!$AF$5:$AF$643,"Won")</f>
        <v>0.64755620723473517</v>
      </c>
      <c r="J8">
        <f>SUMIFS(Deals_Raw!$AS$5:$AS$643, Deals_Raw!$N$5:$N$643,A8, Deals_Raw!$O$5:$O$643,B8, Deals_Raw!$AF$5:$AF$643,"Won")</f>
        <v>4434369.1332884617</v>
      </c>
      <c r="K8" s="22"/>
      <c r="L8" s="23">
        <f t="shared" si="0"/>
        <v>8.5458047616170207E-2</v>
      </c>
    </row>
    <row r="9" spans="1:12" ht="28.5">
      <c r="A9" s="11" t="s">
        <v>427</v>
      </c>
      <c r="B9" s="11" t="s">
        <v>883</v>
      </c>
      <c r="C9" s="10">
        <f>COUNTIFS(Deals_Raw!$N$5:$N$643,A9, Deals_Raw!$O$5:$O$643,B9)</f>
        <v>16</v>
      </c>
      <c r="D9" s="10">
        <f>COUNTIFS(Deals_Raw!$N$5:$N$643,A9, Deals_Raw!$O$5:$O$643,B9, Deals_Raw!$AF$5:$AF$643,"Won")</f>
        <v>12</v>
      </c>
      <c r="E9" s="10">
        <f t="shared" si="1"/>
        <v>0.75</v>
      </c>
      <c r="F9" s="10">
        <f>AVERAGEIFS(Deals_Raw!$W$5:$W$643, Deals_Raw!$N$5:$N$643,A9, Deals_Raw!$O$5:$O$643,B9, Deals_Raw!$AF$5:$AF$643,"Won")</f>
        <v>8.6083333333333331E-2</v>
      </c>
      <c r="G9">
        <f>AVERAGEIFS(Deals_Raw!$AQ$5:$AQ$643, Deals_Raw!$N$5:$N$643,A9, Deals_Raw!$O$5:$O$643,B9, Deals_Raw!$AF$5:$AF$643,"Won")</f>
        <v>135750.0575</v>
      </c>
      <c r="H9">
        <f>SUMIFS(Deals_Raw!$AQ$5:$AQ$643, Deals_Raw!$N$5:$N$643,A9,Deals_Raw!$O$5:$O$643,B9, Deals_Raw!$AF$5:$AF$643,"Won")</f>
        <v>1629000.69</v>
      </c>
      <c r="I9">
        <f>AVERAGEIFS(Deals_Raw!$AT$5:$AT$643, Deals_Raw!$N$5:$N$643,A9, Deals_Raw!$O$5:$O$643,B9, Deals_Raw!$AF$5:$AF$643,"Won")</f>
        <v>0.65934065858667423</v>
      </c>
      <c r="J9">
        <f>SUMIFS(Deals_Raw!$AS$5:$AS$643, Deals_Raw!$N$5:$N$643,A9, Deals_Raw!$O$5:$O$643,B9, Deals_Raw!$AF$5:$AF$643,"Won")</f>
        <v>1083450.2276708155</v>
      </c>
      <c r="L9" s="23">
        <f t="shared" si="0"/>
        <v>2.056903866812208E-2</v>
      </c>
    </row>
    <row r="10" spans="1:12" ht="42.75">
      <c r="A10" s="11" t="s">
        <v>429</v>
      </c>
      <c r="B10" s="10" t="s">
        <v>915</v>
      </c>
      <c r="C10" s="10">
        <f>COUNTIFS(Deals_Raw!$N$5:$N$643,A10, Deals_Raw!$O$5:$O$643,B10)</f>
        <v>11</v>
      </c>
      <c r="D10" s="10">
        <f>COUNTIFS(Deals_Raw!$N$5:$N$643,A10, Deals_Raw!$O$5:$O$643,B10, Deals_Raw!$AF$5:$AF$643,"Won")</f>
        <v>8</v>
      </c>
      <c r="E10" s="10">
        <f t="shared" si="1"/>
        <v>0.72727272727272729</v>
      </c>
      <c r="F10" s="10">
        <f>AVERAGEIFS(Deals_Raw!$W$5:$W$643, Deals_Raw!$N$5:$N$643,A10, Deals_Raw!$O$5:$O$643,B10, Deals_Raw!$AF$5:$AF$643,"Won")</f>
        <v>0.20475000000000004</v>
      </c>
      <c r="G10">
        <f>AVERAGEIFS(Deals_Raw!$AQ$5:$AQ$643, Deals_Raw!$N$5:$N$643,A10, Deals_Raw!$O$5:$O$643,B10, Deals_Raw!$AF$5:$AF$643,"Won")</f>
        <v>134524.45624999999</v>
      </c>
      <c r="H10">
        <f>SUMIFS(Deals_Raw!$AQ$5:$AQ$643, Deals_Raw!$N$5:$N$643,A10,Deals_Raw!$O$5:$O$643,B10, Deals_Raw!$AF$5:$AF$643,"Won")</f>
        <v>1076195.6499999999</v>
      </c>
      <c r="I10">
        <f>AVERAGEIFS(Deals_Raw!$AT$5:$AT$643, Deals_Raw!$N$5:$N$643,A10, Deals_Raw!$O$5:$O$643,B10, Deals_Raw!$AF$5:$AF$643,"Won")</f>
        <v>0.56402605748768653</v>
      </c>
      <c r="J10">
        <f>SUMIFS(Deals_Raw!$AS$5:$AS$643, Deals_Raw!$N$5:$N$643,A10, Deals_Raw!$O$5:$O$643,B10, Deals_Raw!$AF$5:$AF$643,"Won")</f>
        <v>605527.98668022314</v>
      </c>
      <c r="L10" s="23">
        <f t="shared" si="0"/>
        <v>1.3588889234488154E-2</v>
      </c>
    </row>
    <row r="11" spans="1:12" ht="45">
      <c r="A11" s="11" t="s">
        <v>429</v>
      </c>
      <c r="B11" s="10" t="s">
        <v>891</v>
      </c>
      <c r="C11" s="10">
        <f>COUNTIFS(Deals_Raw!$N$5:$N$643,A11, Deals_Raw!$O$5:$O$643,B11)</f>
        <v>52</v>
      </c>
      <c r="D11" s="10">
        <f>COUNTIFS(Deals_Raw!$N$5:$N$643,A11, Deals_Raw!$O$5:$O$643,B11, Deals_Raw!$AF$5:$AF$643,"Won")</f>
        <v>29</v>
      </c>
      <c r="E11" s="10">
        <f t="shared" si="1"/>
        <v>0.55769230769230771</v>
      </c>
      <c r="F11" s="10">
        <f>AVERAGEIFS(Deals_Raw!$W$5:$W$643, Deals_Raw!$N$5:$N$643,A11, Deals_Raw!$O$5:$O$643,B11, Deals_Raw!$AF$5:$AF$643,"Won")</f>
        <v>0.10482758620689657</v>
      </c>
      <c r="G11">
        <f>AVERAGEIFS(Deals_Raw!$AQ$5:$AQ$643, Deals_Raw!$N$5:$N$643,A11, Deals_Raw!$O$5:$O$643,B11, Deals_Raw!$AF$5:$AF$643,"Won")</f>
        <v>161002.60896551723</v>
      </c>
      <c r="H11">
        <f>SUMIFS(Deals_Raw!$AQ$5:$AQ$643, Deals_Raw!$N$5:$N$643,A11,Deals_Raw!$O$5:$O$643,B11, Deals_Raw!$AF$5:$AF$643,"Won")</f>
        <v>4669075.6599999992</v>
      </c>
      <c r="I11">
        <f>AVERAGEIFS(Deals_Raw!$AT$5:$AT$643, Deals_Raw!$N$5:$N$643,A11, Deals_Raw!$O$5:$O$643,B11, Deals_Raw!$AF$5:$AF$643,"Won")</f>
        <v>0.59280215013782933</v>
      </c>
      <c r="J11">
        <f>SUMIFS(Deals_Raw!$AS$5:$AS$643, Deals_Raw!$N$5:$N$643,A11, Deals_Raw!$O$5:$O$643,B11, Deals_Raw!$AF$5:$AF$643,"Won")</f>
        <v>2729818.1167603061</v>
      </c>
      <c r="L11" s="23">
        <f t="shared" si="0"/>
        <v>5.8955406455308258E-2</v>
      </c>
    </row>
    <row r="12" spans="1:12" ht="42.75">
      <c r="A12" s="11" t="s">
        <v>429</v>
      </c>
      <c r="B12" s="10" t="s">
        <v>876</v>
      </c>
      <c r="C12" s="10">
        <f>COUNTIFS(Deals_Raw!$N$5:$N$643,A12, Deals_Raw!$O$5:$O$643,B12)</f>
        <v>68</v>
      </c>
      <c r="D12" s="10">
        <f>COUNTIFS(Deals_Raw!$N$5:$N$643,A12, Deals_Raw!$O$5:$O$643,B12, Deals_Raw!$AF$5:$AF$643,"Won")</f>
        <v>47</v>
      </c>
      <c r="E12" s="10">
        <f t="shared" si="1"/>
        <v>0.69117647058823528</v>
      </c>
      <c r="F12" s="10">
        <f>AVERAGEIFS(Deals_Raw!$W$5:$W$643, Deals_Raw!$N$5:$N$643,A12, Deals_Raw!$O$5:$O$643,B12, Deals_Raw!$AF$5:$AF$643,"Won")</f>
        <v>0.11410638297872341</v>
      </c>
      <c r="G12">
        <f>AVERAGEIFS(Deals_Raw!$AQ$5:$AQ$643, Deals_Raw!$N$5:$N$643,A12, Deals_Raw!$O$5:$O$643,B12, Deals_Raw!$AF$5:$AF$643,"Won")</f>
        <v>185171.18042553196</v>
      </c>
      <c r="H12">
        <f>SUMIFS(Deals_Raw!$AQ$5:$AQ$643, Deals_Raw!$N$5:$N$643,A12,Deals_Raw!$O$5:$O$643,B12, Deals_Raw!$AF$5:$AF$643,"Won")</f>
        <v>8703045.4800000023</v>
      </c>
      <c r="I12">
        <f>AVERAGEIFS(Deals_Raw!$AT$5:$AT$643, Deals_Raw!$N$5:$N$643,A12, Deals_Raw!$O$5:$O$643,B12, Deals_Raw!$AF$5:$AF$643,"Won")</f>
        <v>0.6060662598292279</v>
      </c>
      <c r="J12">
        <f>SUMIFS(Deals_Raw!$AS$5:$AS$643, Deals_Raw!$N$5:$N$643,A12, Deals_Raw!$O$5:$O$643,B12, Deals_Raw!$AF$5:$AF$643,"Won")</f>
        <v>5312609.99610152</v>
      </c>
      <c r="L12" s="23">
        <f t="shared" si="0"/>
        <v>0.10989146911198984</v>
      </c>
    </row>
    <row r="13" spans="1:12" ht="42.75">
      <c r="A13" s="11" t="s">
        <v>429</v>
      </c>
      <c r="B13" s="11" t="s">
        <v>883</v>
      </c>
      <c r="C13" s="10">
        <f>COUNTIFS(Deals_Raw!$N$5:$N$643,A13, Deals_Raw!$O$5:$O$643,B13)</f>
        <v>17</v>
      </c>
      <c r="D13" s="10">
        <f>COUNTIFS(Deals_Raw!$N$5:$N$643,A13, Deals_Raw!$O$5:$O$643,B13, Deals_Raw!$AF$5:$AF$643,"Won")</f>
        <v>13</v>
      </c>
      <c r="E13" s="10">
        <f t="shared" si="1"/>
        <v>0.76470588235294112</v>
      </c>
      <c r="F13" s="10">
        <f>AVERAGEIFS(Deals_Raw!$W$5:$W$643, Deals_Raw!$N$5:$N$643,A13, Deals_Raw!$O$5:$O$643,B13, Deals_Raw!$AF$5:$AF$643,"Won")</f>
        <v>9.4923076923076902E-2</v>
      </c>
      <c r="G13">
        <f>AVERAGEIFS(Deals_Raw!$AQ$5:$AQ$643, Deals_Raw!$N$5:$N$643,A13, Deals_Raw!$O$5:$O$643,B13, Deals_Raw!$AF$5:$AF$643,"Won")</f>
        <v>290740.75846153841</v>
      </c>
      <c r="H13">
        <f>SUMIFS(Deals_Raw!$AQ$5:$AQ$643, Deals_Raw!$N$5:$N$643,A13,Deals_Raw!$O$5:$O$643,B13, Deals_Raw!$AF$5:$AF$643,"Won")</f>
        <v>3779629.8599999994</v>
      </c>
      <c r="I13">
        <f>AVERAGEIFS(Deals_Raw!$AT$5:$AT$643, Deals_Raw!$N$5:$N$643,A13, Deals_Raw!$O$5:$O$643,B13, Deals_Raw!$AF$5:$AF$643,"Won")</f>
        <v>0.61815661453726267</v>
      </c>
      <c r="J13">
        <f>SUMIFS(Deals_Raw!$AS$5:$AS$643, Deals_Raw!$N$5:$N$643,A13, Deals_Raw!$O$5:$O$643,B13, Deals_Raw!$AF$5:$AF$643,"Won")</f>
        <v>2353110.477936225</v>
      </c>
      <c r="L13" s="23">
        <f t="shared" si="0"/>
        <v>4.7724567103485285E-2</v>
      </c>
    </row>
    <row r="14" spans="1:12" ht="42.75">
      <c r="A14" s="11" t="s">
        <v>433</v>
      </c>
      <c r="B14" s="10" t="s">
        <v>915</v>
      </c>
      <c r="C14" s="10">
        <f>COUNTIFS(Deals_Raw!$N$5:$N$643,A14, Deals_Raw!$O$5:$O$643,B14)</f>
        <v>6</v>
      </c>
      <c r="D14" s="10">
        <f>COUNTIFS(Deals_Raw!$N$5:$N$643,A14, Deals_Raw!$O$5:$O$643,B14, Deals_Raw!$AF$5:$AF$643,"Won")</f>
        <v>3</v>
      </c>
      <c r="E14" s="10">
        <f t="shared" si="1"/>
        <v>0.5</v>
      </c>
      <c r="F14" s="10">
        <f>AVERAGEIFS(Deals_Raw!$W$5:$W$643, Deals_Raw!$N$5:$N$643,A14, Deals_Raw!$O$5:$O$643,B14, Deals_Raw!$AF$5:$AF$643,"Won")</f>
        <v>0.18566666666666667</v>
      </c>
      <c r="G14">
        <f>AVERAGEIFS(Deals_Raw!$AQ$5:$AQ$643, Deals_Raw!$N$5:$N$643,A14, Deals_Raw!$O$5:$O$643,B14, Deals_Raw!$AF$5:$AF$643,"Won")</f>
        <v>404714.02666666667</v>
      </c>
      <c r="H14">
        <f>SUMIFS(Deals_Raw!$AQ$5:$AQ$643, Deals_Raw!$N$5:$N$643,A14,Deals_Raw!$O$5:$O$643,B14, Deals_Raw!$AF$5:$AF$643,"Won")</f>
        <v>1214142.08</v>
      </c>
      <c r="I14">
        <f>AVERAGEIFS(Deals_Raw!$AT$5:$AT$643, Deals_Raw!$N$5:$N$643,A14, Deals_Raw!$O$5:$O$643,B14, Deals_Raw!$AF$5:$AF$643,"Won")</f>
        <v>0.53309981640729198</v>
      </c>
      <c r="J14">
        <f>SUMIFS(Deals_Raw!$AS$5:$AS$643, Deals_Raw!$N$5:$N$643,A14, Deals_Raw!$O$5:$O$643,B14, Deals_Raw!$AF$5:$AF$643,"Won")</f>
        <v>673467.45516087301</v>
      </c>
      <c r="L14" s="23">
        <f t="shared" si="0"/>
        <v>1.5330708909714564E-2</v>
      </c>
    </row>
    <row r="15" spans="1:12" ht="45">
      <c r="A15" s="11" t="s">
        <v>433</v>
      </c>
      <c r="B15" s="10" t="s">
        <v>891</v>
      </c>
      <c r="C15" s="10">
        <f>COUNTIFS(Deals_Raw!$N$5:$N$643,A15, Deals_Raw!$O$5:$O$643,B15)</f>
        <v>43</v>
      </c>
      <c r="D15" s="10">
        <f>COUNTIFS(Deals_Raw!$N$5:$N$643,A15, Deals_Raw!$O$5:$O$643,B15, Deals_Raw!$AF$5:$AF$643,"Won")</f>
        <v>21</v>
      </c>
      <c r="E15" s="10">
        <f>D15/C15</f>
        <v>0.48837209302325579</v>
      </c>
      <c r="F15" s="10">
        <f>AVERAGEIFS(Deals_Raw!$W$5:$W$643, Deals_Raw!$N$5:$N$643,A15, Deals_Raw!$O$5:$O$643,B15, Deals_Raw!$AF$5:$AF$643,"Won")</f>
        <v>9.6333333333333312E-2</v>
      </c>
      <c r="G15">
        <f>AVERAGEIFS(Deals_Raw!$AQ$5:$AQ$643, Deals_Raw!$N$5:$N$643,A15, Deals_Raw!$O$5:$O$643,B15, Deals_Raw!$AF$5:$AF$643,"Won")</f>
        <v>303414.24047619052</v>
      </c>
      <c r="H15">
        <f>SUMIFS(Deals_Raw!$AQ$5:$AQ$643, Deals_Raw!$N$5:$N$643,A15,Deals_Raw!$O$5:$O$643,B15, Deals_Raw!$AF$5:$AF$643,"Won")</f>
        <v>6371699.0500000007</v>
      </c>
      <c r="I15">
        <f>AVERAGEIFS(Deals_Raw!$AT$5:$AT$643, Deals_Raw!$N$5:$N$643,A15, Deals_Raw!$O$5:$O$643,B15, Deals_Raw!$AF$5:$AF$643,"Won")</f>
        <v>0.56322724802113522</v>
      </c>
      <c r="J15">
        <f>SUMIFS(Deals_Raw!$AS$5:$AS$643, Deals_Raw!$N$5:$N$643,A15, Deals_Raw!$O$5:$O$643,B15, Deals_Raw!$AF$5:$AF$643,"Won")</f>
        <v>3566473.1734279976</v>
      </c>
      <c r="L15" s="23">
        <f t="shared" si="0"/>
        <v>8.045406300048083E-2</v>
      </c>
    </row>
    <row r="16" spans="1:12" ht="42.75">
      <c r="A16" s="11" t="s">
        <v>433</v>
      </c>
      <c r="B16" s="10" t="s">
        <v>876</v>
      </c>
      <c r="C16" s="10">
        <f>COUNTIFS(Deals_Raw!$N$5:$N$643,A16, Deals_Raw!$O$5:$O$643,B16)</f>
        <v>62</v>
      </c>
      <c r="D16" s="10">
        <f>COUNTIFS(Deals_Raw!$N$5:$N$643,A16, Deals_Raw!$O$5:$O$643,B16, Deals_Raw!$AF$5:$AF$643,"Won")</f>
        <v>49</v>
      </c>
      <c r="E16" s="10">
        <f t="shared" si="1"/>
        <v>0.79032258064516125</v>
      </c>
      <c r="F16" s="10">
        <f>AVERAGEIFS(Deals_Raw!$W$5:$W$643, Deals_Raw!$N$5:$N$643,A16, Deals_Raw!$O$5:$O$643,B16, Deals_Raw!$AF$5:$AF$643,"Won")</f>
        <v>0.112</v>
      </c>
      <c r="G16">
        <f>AVERAGEIFS(Deals_Raw!$AQ$5:$AQ$643, Deals_Raw!$N$5:$N$643,A16, Deals_Raw!$O$5:$O$643,B16, Deals_Raw!$AF$5:$AF$643,"Won")</f>
        <v>465466.82979591814</v>
      </c>
      <c r="H16">
        <f>SUMIFS(Deals_Raw!$AQ$5:$AQ$643, Deals_Raw!$N$5:$N$643,A16,Deals_Raw!$O$5:$O$643,B16, Deals_Raw!$AF$5:$AF$643,"Won")</f>
        <v>22807874.659999989</v>
      </c>
      <c r="I16">
        <f>AVERAGEIFS(Deals_Raw!$AT$5:$AT$643, Deals_Raw!$N$5:$N$643,A16, Deals_Raw!$O$5:$O$643,B16, Deals_Raw!$AF$5:$AF$643,"Won")</f>
        <v>0.59355208912729673</v>
      </c>
      <c r="J16">
        <f>SUMIFS(Deals_Raw!$AS$5:$AS$643, Deals_Raw!$N$5:$N$643,A16, Deals_Raw!$O$5:$O$643,B16, Deals_Raw!$AF$5:$AF$643,"Won")</f>
        <v>13742792.88022029</v>
      </c>
      <c r="L16" s="23">
        <f t="shared" si="0"/>
        <v>0.28799009030451761</v>
      </c>
    </row>
    <row r="17" spans="1:12" ht="42.75">
      <c r="A17" s="11" t="s">
        <v>433</v>
      </c>
      <c r="B17" s="11" t="s">
        <v>883</v>
      </c>
      <c r="C17" s="10">
        <f>COUNTIFS(Deals_Raw!$N$5:$N$643,A17, Deals_Raw!$O$5:$O$643,B17)</f>
        <v>21</v>
      </c>
      <c r="D17" s="10">
        <f>COUNTIFS(Deals_Raw!$N$5:$N$643,A17, Deals_Raw!$O$5:$O$643,B17, Deals_Raw!$AF$5:$AF$643,"Won")</f>
        <v>18</v>
      </c>
      <c r="E17" s="10">
        <f t="shared" si="1"/>
        <v>0.8571428571428571</v>
      </c>
      <c r="F17" s="10">
        <f>AVERAGEIFS(Deals_Raw!$W$5:$W$643, Deals_Raw!$N$5:$N$643,A17, Deals_Raw!$O$5:$O$643,B17, Deals_Raw!$AF$5:$AF$643,"Won")</f>
        <v>7.8666666666666649E-2</v>
      </c>
      <c r="G17">
        <f>AVERAGEIFS(Deals_Raw!$AQ$5:$AQ$643, Deals_Raw!$N$5:$N$643,A17, Deals_Raw!$O$5:$O$643,B17, Deals_Raw!$AF$5:$AF$643,"Won")</f>
        <v>435241.0355555556</v>
      </c>
      <c r="H17">
        <f>SUMIFS(Deals_Raw!$AQ$5:$AQ$643, Deals_Raw!$N$5:$N$643,A17,Deals_Raw!$O$5:$O$643,B17, Deals_Raw!$AF$5:$AF$643,"Won")</f>
        <v>7834338.6400000006</v>
      </c>
      <c r="I17">
        <f>AVERAGEIFS(Deals_Raw!$AT$5:$AT$643, Deals_Raw!$N$5:$N$643,A17, Deals_Raw!$O$5:$O$643,B17, Deals_Raw!$AF$5:$AF$643,"Won")</f>
        <v>0.60472178926336628</v>
      </c>
      <c r="J17">
        <f>SUMIFS(Deals_Raw!$AS$5:$AS$643, Deals_Raw!$N$5:$N$643,A17, Deals_Raw!$O$5:$O$643,B17, Deals_Raw!$AF$5:$AF$643,"Won")</f>
        <v>4678952.7342157615</v>
      </c>
      <c r="L17" s="23">
        <f t="shared" si="0"/>
        <v>9.8922496113444225E-2</v>
      </c>
    </row>
    <row r="18" spans="1:12" ht="28.5">
      <c r="A18" s="11" t="s">
        <v>424</v>
      </c>
      <c r="B18" s="10" t="s">
        <v>915</v>
      </c>
      <c r="C18" s="10">
        <f>COUNTIFS(Deals_Raw!$N$5:$N$643,A18, Deals_Raw!$O$5:$O$643,B18)</f>
        <v>6</v>
      </c>
      <c r="D18" s="10">
        <f>COUNTIFS(Deals_Raw!$N$5:$N$643,A18, Deals_Raw!$O$5:$O$643,B18, Deals_Raw!$AF$5:$AF$643,"Won")</f>
        <v>4</v>
      </c>
      <c r="E18" s="10">
        <f t="shared" si="1"/>
        <v>0.66666666666666663</v>
      </c>
      <c r="F18" s="10">
        <f>AVERAGEIFS(Deals_Raw!$W$5:$W$643, Deals_Raw!$N$5:$N$643,A18, Deals_Raw!$O$5:$O$643,B18, Deals_Raw!$AF$5:$AF$643,"Won")</f>
        <v>0.21675</v>
      </c>
      <c r="G18">
        <f>AVERAGEIFS(Deals_Raw!$AQ$5:$AQ$643, Deals_Raw!$N$5:$N$643,A18, Deals_Raw!$O$5:$O$643,B18, Deals_Raw!$AF$5:$AF$643,"Won")</f>
        <v>67788.33</v>
      </c>
      <c r="H18">
        <f>SUMIFS(Deals_Raw!$AQ$5:$AQ$643, Deals_Raw!$N$5:$N$643,A18,Deals_Raw!$O$5:$O$643,B18, Deals_Raw!$AF$5:$AF$643,"Won")</f>
        <v>271153.32</v>
      </c>
      <c r="I18">
        <f>AVERAGEIFS(Deals_Raw!$AT$5:$AT$643, Deals_Raw!$N$5:$N$643,A18, Deals_Raw!$O$5:$O$643,B18, Deals_Raw!$AF$5:$AF$643,"Won")</f>
        <v>0.60757126313965615</v>
      </c>
      <c r="J18">
        <f>SUMIFS(Deals_Raw!$AS$5:$AS$643, Deals_Raw!$N$5:$N$643,A18, Deals_Raw!$O$5:$O$643,B18, Deals_Raw!$AF$5:$AF$643,"Won")</f>
        <v>163400.36155812914</v>
      </c>
      <c r="L18" s="23">
        <f t="shared" si="0"/>
        <v>3.4237942060476845E-3</v>
      </c>
    </row>
    <row r="19" spans="1:12" ht="45">
      <c r="A19" s="11" t="s">
        <v>424</v>
      </c>
      <c r="B19" s="10" t="s">
        <v>891</v>
      </c>
      <c r="C19" s="10">
        <f>COUNTIFS(Deals_Raw!$N$5:$N$643,A19, Deals_Raw!$O$5:$O$643,B19)</f>
        <v>25</v>
      </c>
      <c r="D19" s="10">
        <f>COUNTIFS(Deals_Raw!$N$5:$N$643,A19, Deals_Raw!$O$5:$O$643,B19, Deals_Raw!$AF$5:$AF$643,"Won")</f>
        <v>15</v>
      </c>
      <c r="E19" s="10">
        <f>D19/C19</f>
        <v>0.6</v>
      </c>
      <c r="F19" s="10">
        <f>AVERAGEIFS(Deals_Raw!$W$5:$W$643, Deals_Raw!$N$5:$N$643,A19, Deals_Raw!$O$5:$O$643,B19, Deals_Raw!$AF$5:$AF$643,"Won")</f>
        <v>0.13040000000000002</v>
      </c>
      <c r="G19">
        <f>AVERAGEIFS(Deals_Raw!$AQ$5:$AQ$643, Deals_Raw!$N$5:$N$643,A19, Deals_Raw!$O$5:$O$643,B19, Deals_Raw!$AF$5:$AF$643,"Won")</f>
        <v>75979.262000000002</v>
      </c>
      <c r="H19">
        <f>SUMIFS(Deals_Raw!$AQ$5:$AQ$643, Deals_Raw!$N$5:$N$643,A19,Deals_Raw!$O$5:$O$643,B19, Deals_Raw!$AF$5:$AF$643,"Won")</f>
        <v>1139688.93</v>
      </c>
      <c r="I19">
        <f>AVERAGEIFS(Deals_Raw!$AT$5:$AT$643, Deals_Raw!$N$5:$N$643,A19, Deals_Raw!$O$5:$O$643,B19, Deals_Raw!$AF$5:$AF$643,"Won")</f>
        <v>0.64078433274266888</v>
      </c>
      <c r="J19">
        <f>SUMIFS(Deals_Raw!$AS$5:$AS$643, Deals_Raw!$N$5:$N$643,A19, Deals_Raw!$O$5:$O$643,B19, Deals_Raw!$AF$5:$AF$643,"Won")</f>
        <v>730628.18618954741</v>
      </c>
      <c r="L19" s="23">
        <f t="shared" si="0"/>
        <v>1.439060512049303E-2</v>
      </c>
    </row>
    <row r="20" spans="1:12" ht="28.5">
      <c r="A20" s="11" t="s">
        <v>424</v>
      </c>
      <c r="B20" s="10" t="s">
        <v>876</v>
      </c>
      <c r="C20" s="10">
        <f>COUNTIFS(Deals_Raw!$N$5:$N$643,A20, Deals_Raw!$O$5:$O$643,B20)</f>
        <v>58</v>
      </c>
      <c r="D20" s="10">
        <f>COUNTIFS(Deals_Raw!$N$5:$N$643,A20, Deals_Raw!$O$5:$O$643,B20, Deals_Raw!$AF$5:$AF$643,"Won")</f>
        <v>47</v>
      </c>
      <c r="E20" s="10">
        <f t="shared" si="1"/>
        <v>0.81034482758620685</v>
      </c>
      <c r="F20" s="10">
        <f>AVERAGEIFS(Deals_Raw!$W$5:$W$643, Deals_Raw!$N$5:$N$643,A20, Deals_Raw!$O$5:$O$643,B20, Deals_Raw!$AF$5:$AF$643,"Won")</f>
        <v>0.12972340425531909</v>
      </c>
      <c r="G20">
        <f>AVERAGEIFS(Deals_Raw!$AQ$5:$AQ$643, Deals_Raw!$N$5:$N$643,A20, Deals_Raw!$O$5:$O$643,B20, Deals_Raw!$AF$5:$AF$643,"Won")</f>
        <v>47966.011276595738</v>
      </c>
      <c r="H20">
        <f>SUMIFS(Deals_Raw!$AQ$5:$AQ$643, Deals_Raw!$N$5:$N$643,A20,Deals_Raw!$O$5:$O$643,B20, Deals_Raw!$AF$5:$AF$643,"Won")</f>
        <v>2254402.5299999998</v>
      </c>
      <c r="I20">
        <f>AVERAGEIFS(Deals_Raw!$AT$5:$AT$643, Deals_Raw!$N$5:$N$643,A20, Deals_Raw!$O$5:$O$643,B20, Deals_Raw!$AF$5:$AF$643,"Won")</f>
        <v>0.68442286749340076</v>
      </c>
      <c r="J20">
        <f>SUMIFS(Deals_Raw!$AS$5:$AS$643, Deals_Raw!$N$5:$N$643,A20, Deals_Raw!$O$5:$O$643,B20, Deals_Raw!$AF$5:$AF$643,"Won")</f>
        <v>1548891.1287478749</v>
      </c>
      <c r="L20" s="23">
        <f t="shared" si="0"/>
        <v>2.8465852161844232E-2</v>
      </c>
    </row>
    <row r="21" spans="1:12" ht="28.5">
      <c r="A21" s="11" t="s">
        <v>424</v>
      </c>
      <c r="B21" s="11" t="s">
        <v>883</v>
      </c>
      <c r="C21" s="10">
        <f>COUNTIFS(Deals_Raw!$N$5:$N$643,A21, Deals_Raw!$O$5:$O$643,B21)</f>
        <v>19</v>
      </c>
      <c r="D21" s="10">
        <f>COUNTIFS(Deals_Raw!$N$5:$N$643,A21, Deals_Raw!$O$5:$O$643,B21, Deals_Raw!$AF$5:$AF$643,"Won")</f>
        <v>15</v>
      </c>
      <c r="E21" s="10">
        <f t="shared" si="1"/>
        <v>0.78947368421052633</v>
      </c>
      <c r="F21" s="10">
        <f>AVERAGEIFS(Deals_Raw!$W$5:$W$643, Deals_Raw!$N$5:$N$643,A21, Deals_Raw!$O$5:$O$643,B21, Deals_Raw!$AF$5:$AF$643,"Won")</f>
        <v>0.11046666666666667</v>
      </c>
      <c r="G21">
        <f>AVERAGEIFS(Deals_Raw!$AQ$5:$AQ$643, Deals_Raw!$N$5:$N$643,A21, Deals_Raw!$O$5:$O$643,B21, Deals_Raw!$AF$5:$AF$643,"Won")</f>
        <v>55684.921999999999</v>
      </c>
      <c r="H21">
        <f>SUMIFS(Deals_Raw!$AQ$5:$AQ$643, Deals_Raw!$N$5:$N$643,A21,Deals_Raw!$O$5:$O$643,B21, Deals_Raw!$AF$5:$AF$643,"Won")</f>
        <v>835273.83</v>
      </c>
      <c r="I21">
        <f>AVERAGEIFS(Deals_Raw!$AT$5:$AT$643, Deals_Raw!$N$5:$N$643,A21, Deals_Raw!$O$5:$O$643,B21, Deals_Raw!$AF$5:$AF$643,"Won")</f>
        <v>0.67235313578859845</v>
      </c>
      <c r="J21">
        <f>SUMIFS(Deals_Raw!$AS$5:$AS$643, Deals_Raw!$N$5:$N$643,A21, Deals_Raw!$O$5:$O$643,B21, Deals_Raw!$AF$5:$AF$643,"Won")</f>
        <v>563504.80319020629</v>
      </c>
      <c r="L21" s="23">
        <f t="shared" si="0"/>
        <v>1.0546821627031003E-2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39"/>
  <sheetViews>
    <sheetView topLeftCell="U1" zoomScale="91" workbookViewId="0">
      <selection activeCell="Y1" sqref="Y1"/>
    </sheetView>
  </sheetViews>
  <sheetFormatPr defaultColWidth="31.75" defaultRowHeight="14.25"/>
  <sheetData>
    <row r="1" spans="1:26" ht="15">
      <c r="A1" t="s">
        <v>851</v>
      </c>
      <c r="B1" t="s">
        <v>1678</v>
      </c>
      <c r="C1" t="s">
        <v>1684</v>
      </c>
      <c r="E1" t="s">
        <v>1687</v>
      </c>
      <c r="F1" t="s">
        <v>1688</v>
      </c>
      <c r="G1" t="s">
        <v>1689</v>
      </c>
      <c r="I1" t="s">
        <v>1701</v>
      </c>
      <c r="J1" t="s">
        <v>1702</v>
      </c>
      <c r="K1" t="s">
        <v>1703</v>
      </c>
      <c r="L1" t="s">
        <v>1704</v>
      </c>
      <c r="O1" t="s">
        <v>1720</v>
      </c>
      <c r="P1" t="s">
        <v>1721</v>
      </c>
      <c r="R1" t="s">
        <v>1729</v>
      </c>
      <c r="S1" t="s">
        <v>1730</v>
      </c>
      <c r="T1" s="16" t="s">
        <v>1698</v>
      </c>
      <c r="U1" s="16" t="s">
        <v>1731</v>
      </c>
      <c r="V1" s="16" t="s">
        <v>1699</v>
      </c>
      <c r="W1" s="16" t="s">
        <v>1732</v>
      </c>
      <c r="X1" s="16" t="s">
        <v>1712</v>
      </c>
      <c r="Y1" s="16" t="s">
        <v>1733</v>
      </c>
      <c r="Z1" s="15" t="s">
        <v>1713</v>
      </c>
    </row>
    <row r="2" spans="1:26">
      <c r="A2" t="str">
        <f>Deals_Raw!A5</f>
        <v>D00003</v>
      </c>
      <c r="B2">
        <f>COUNTIF(Deals_Raw!$A$5:$A$643,A2)</f>
        <v>1</v>
      </c>
      <c r="C2" s="12" t="str">
        <f>Deals_Raw!E5</f>
        <v>CT00001</v>
      </c>
      <c r="E2">
        <f>Deals_Raw!AA5</f>
        <v>148139.39204154958</v>
      </c>
      <c r="F2">
        <f>ROUND(Deals_Raw!T5*(1-Deals_Raw!W5),2)</f>
        <v>148203.34</v>
      </c>
      <c r="G2">
        <f>F2-E2</f>
        <v>63.947958450415172</v>
      </c>
      <c r="I2">
        <f>Deals_Raw!V5</f>
        <v>6.6000000000000003E-2</v>
      </c>
      <c r="J2">
        <f>Deals_Raw!W5</f>
        <v>0.06</v>
      </c>
      <c r="K2" t="str">
        <f>Deals_Raw!Z5</f>
        <v>Sales Manager</v>
      </c>
      <c r="L2" t="str">
        <f>IF(J2&lt;=I2, "yes", "no")</f>
        <v>yes</v>
      </c>
      <c r="M2" t="str">
        <f>IF(AND(J2&lt;=0.1,K2="Sales Manager"),"Pass",
 IF(AND(J2&gt;0.1,J2&lt;=0.2,K2="Pricing Analyst"),"Pass",
 IF(AND(J2&gt;0.2,K2="Business Manager"),"Pass","Review")))</f>
        <v>Pass</v>
      </c>
      <c r="O2">
        <f>Deals_Raw!AP5</f>
        <v>0.5868949287656835</v>
      </c>
      <c r="P2" t="str">
        <f>IF(O2&lt;=0.45, "True", "False")</f>
        <v>False</v>
      </c>
      <c r="R2" t="str">
        <f>Deals_Raw!AF5</f>
        <v>Won</v>
      </c>
      <c r="S2">
        <f>IF($R2="Lost",0,T2)</f>
        <v>148203.34</v>
      </c>
      <c r="T2">
        <f>Deals_Raw!AM5</f>
        <v>148203.34</v>
      </c>
      <c r="U2">
        <f>IF($R2="Lost",0,V2)</f>
        <v>148203.34</v>
      </c>
      <c r="V2">
        <f>Deals_Raw!AN5</f>
        <v>148203.34</v>
      </c>
      <c r="W2">
        <f>IF($R2="Lost",0,X2)</f>
        <v>86979.788672136376</v>
      </c>
      <c r="X2">
        <f>Deals_Raw!AO5</f>
        <v>86979.788672136376</v>
      </c>
      <c r="Y2">
        <f>IF($R2="Lost",0,Z2)</f>
        <v>0.5868949287656835</v>
      </c>
      <c r="Z2">
        <f>Deals_Raw!AP5</f>
        <v>0.5868949287656835</v>
      </c>
    </row>
    <row r="3" spans="1:26">
      <c r="A3" t="str">
        <f>Deals_Raw!A6</f>
        <v>D00004</v>
      </c>
      <c r="B3">
        <f>COUNTIF(Deals_Raw!$A$5:$A$643,A3)</f>
        <v>1</v>
      </c>
      <c r="C3" s="12" t="str">
        <f>Deals_Raw!E6</f>
        <v>CT00001</v>
      </c>
      <c r="E3">
        <f>Deals_Raw!AA6</f>
        <v>169511.0573968</v>
      </c>
      <c r="F3">
        <f>ROUND(Deals_Raw!T6*(1-Deals_Raw!W6),2)</f>
        <v>169498.23</v>
      </c>
      <c r="G3">
        <f t="shared" ref="G3:G66" si="0">F3-E3</f>
        <v>-12.827396799984854</v>
      </c>
      <c r="I3">
        <f>Deals_Raw!V6</f>
        <v>1.2E-2</v>
      </c>
      <c r="J3">
        <f>Deals_Raw!W6</f>
        <v>1.2E-2</v>
      </c>
      <c r="K3" t="str">
        <f>Deals_Raw!Z6</f>
        <v>Sales Manager</v>
      </c>
      <c r="L3" t="str">
        <f t="shared" ref="L3:L66" si="1">IF(J3&lt;=I3, "yes", "no")</f>
        <v>yes</v>
      </c>
      <c r="M3" t="str">
        <f t="shared" ref="M3:M66" si="2">IF(AND(J3&lt;=0.1,K3="Sales Manager"),"Pass",
 IF(AND(J3&gt;0.1,J3&lt;=0.2,K3="Pricing Analyst"),"Pass",
 IF(AND(J3&gt;0.2,K3="Business Manager"),"Pass","Review")))</f>
        <v>Pass</v>
      </c>
      <c r="O3">
        <f>Deals_Raw!AP6</f>
        <v>0.65104206257606623</v>
      </c>
      <c r="P3" t="str">
        <f t="shared" ref="P3:P66" si="3">IF(O3&lt;=0.45, "True", "False")</f>
        <v>False</v>
      </c>
      <c r="R3" t="str">
        <f>Deals_Raw!AF6</f>
        <v>Won</v>
      </c>
      <c r="S3">
        <f t="shared" ref="S3:S66" si="4">IF($R3="Lost",0,T3)</f>
        <v>169498.23</v>
      </c>
      <c r="T3">
        <f>Deals_Raw!AM6</f>
        <v>169498.23</v>
      </c>
      <c r="U3">
        <f t="shared" ref="U3:U66" si="5">IF($R3="Lost",0,V3)</f>
        <v>169498.23</v>
      </c>
      <c r="V3">
        <f>Deals_Raw!AN6</f>
        <v>169498.23</v>
      </c>
      <c r="W3">
        <f t="shared" ref="W3:W66" si="6">IF($R3="Lost",0,X3)</f>
        <v>110350.47726219246</v>
      </c>
      <c r="X3">
        <f>Deals_Raw!AO6</f>
        <v>110350.47726219246</v>
      </c>
      <c r="Y3">
        <f t="shared" ref="Y3:Y66" si="7">IF($R3="Lost",0,Z3)</f>
        <v>0.65104206257606623</v>
      </c>
      <c r="Z3">
        <f>Deals_Raw!AP6</f>
        <v>0.65104206257606623</v>
      </c>
    </row>
    <row r="4" spans="1:26">
      <c r="A4" t="str">
        <f>Deals_Raw!A7</f>
        <v>D00005</v>
      </c>
      <c r="B4">
        <f>COUNTIF(Deals_Raw!$A$5:$A$643,A4)</f>
        <v>1</v>
      </c>
      <c r="C4" s="12" t="str">
        <f>Deals_Raw!E7</f>
        <v>CT00001</v>
      </c>
      <c r="E4">
        <f>Deals_Raw!AA7</f>
        <v>155982.6312272042</v>
      </c>
      <c r="F4">
        <f>ROUND(Deals_Raw!T7*(1-Deals_Raw!W7),2)</f>
        <v>156043.04</v>
      </c>
      <c r="G4">
        <f t="shared" si="0"/>
        <v>60.408772795810364</v>
      </c>
      <c r="I4">
        <f>Deals_Raw!V7</f>
        <v>0.16700000000000001</v>
      </c>
      <c r="J4">
        <f>Deals_Raw!W7</f>
        <v>0.14799999999999999</v>
      </c>
      <c r="K4" t="str">
        <f>Deals_Raw!Z7</f>
        <v>Pricing Analyst</v>
      </c>
      <c r="L4" t="str">
        <f t="shared" si="1"/>
        <v>yes</v>
      </c>
      <c r="M4" t="str">
        <f t="shared" si="2"/>
        <v>Pass</v>
      </c>
      <c r="O4">
        <f>Deals_Raw!AP7</f>
        <v>0.58722575026283741</v>
      </c>
      <c r="P4" t="str">
        <f t="shared" si="3"/>
        <v>False</v>
      </c>
      <c r="R4" t="str">
        <f>Deals_Raw!AF7</f>
        <v>Won</v>
      </c>
      <c r="S4">
        <f t="shared" si="4"/>
        <v>156043.04</v>
      </c>
      <c r="T4">
        <f>Deals_Raw!AM7</f>
        <v>156043.04</v>
      </c>
      <c r="U4">
        <f t="shared" si="5"/>
        <v>156043.04</v>
      </c>
      <c r="V4">
        <f>Deals_Raw!AN7</f>
        <v>156043.04</v>
      </c>
      <c r="W4">
        <f t="shared" si="6"/>
        <v>91632.491237293958</v>
      </c>
      <c r="X4">
        <f>Deals_Raw!AO7</f>
        <v>91632.491237293958</v>
      </c>
      <c r="Y4">
        <f t="shared" si="7"/>
        <v>0.58722575026283741</v>
      </c>
      <c r="Z4">
        <f>Deals_Raw!AP7</f>
        <v>0.58722575026283741</v>
      </c>
    </row>
    <row r="5" spans="1:26">
      <c r="A5" t="str">
        <f>Deals_Raw!A8</f>
        <v>D00006</v>
      </c>
      <c r="B5">
        <f>COUNTIF(Deals_Raw!$A$5:$A$643,A5)</f>
        <v>1</v>
      </c>
      <c r="C5" s="12" t="str">
        <f>Deals_Raw!E8</f>
        <v>CT00002</v>
      </c>
      <c r="E5">
        <f>Deals_Raw!AA8</f>
        <v>358284.32269580435</v>
      </c>
      <c r="F5">
        <f>ROUND(Deals_Raw!T8*(1-Deals_Raw!W8),2)</f>
        <v>358473.18</v>
      </c>
      <c r="G5">
        <f t="shared" si="0"/>
        <v>188.85730419564061</v>
      </c>
      <c r="I5">
        <f>Deals_Raw!V8</f>
        <v>0.21099999999999999</v>
      </c>
      <c r="J5">
        <f>Deals_Raw!W8</f>
        <v>0.2</v>
      </c>
      <c r="K5" t="str">
        <f>Deals_Raw!Z8</f>
        <v>Business Manager</v>
      </c>
      <c r="L5" t="str">
        <f t="shared" si="1"/>
        <v>yes</v>
      </c>
      <c r="M5" t="str">
        <f t="shared" si="2"/>
        <v>Review</v>
      </c>
      <c r="O5">
        <f>Deals_Raw!AP8</f>
        <v>0.49579033783120047</v>
      </c>
      <c r="P5" t="str">
        <f t="shared" si="3"/>
        <v>False</v>
      </c>
      <c r="R5" t="str">
        <f>Deals_Raw!AF8</f>
        <v>Won</v>
      </c>
      <c r="S5">
        <f t="shared" si="4"/>
        <v>358473.18</v>
      </c>
      <c r="T5">
        <f>Deals_Raw!AM8</f>
        <v>358473.18</v>
      </c>
      <c r="U5">
        <f t="shared" si="5"/>
        <v>358473.18</v>
      </c>
      <c r="V5">
        <f>Deals_Raw!AN8</f>
        <v>358473.18</v>
      </c>
      <c r="W5">
        <f t="shared" si="6"/>
        <v>177727.53901562473</v>
      </c>
      <c r="X5">
        <f>Deals_Raw!AO8</f>
        <v>177727.53901562473</v>
      </c>
      <c r="Y5">
        <f t="shared" si="7"/>
        <v>0.49579033783120047</v>
      </c>
      <c r="Z5">
        <f>Deals_Raw!AP8</f>
        <v>0.49579033783120047</v>
      </c>
    </row>
    <row r="6" spans="1:26">
      <c r="A6" t="str">
        <f>Deals_Raw!A9</f>
        <v>D00007</v>
      </c>
      <c r="B6">
        <f>COUNTIF(Deals_Raw!$A$5:$A$643,A6)</f>
        <v>1</v>
      </c>
      <c r="C6" s="12" t="str">
        <f>Deals_Raw!E9</f>
        <v>CT00002</v>
      </c>
      <c r="E6">
        <f>Deals_Raw!AA9</f>
        <v>428472.21491252095</v>
      </c>
      <c r="F6">
        <f>ROUND(Deals_Raw!T9*(1-Deals_Raw!W9),2)</f>
        <v>428371.3</v>
      </c>
      <c r="G6">
        <f t="shared" si="0"/>
        <v>-100.91491252096603</v>
      </c>
      <c r="I6">
        <f>Deals_Raw!V9</f>
        <v>0.14699999999999999</v>
      </c>
      <c r="J6">
        <f>Deals_Raw!W9</f>
        <v>8.8999999999999996E-2</v>
      </c>
      <c r="K6" t="str">
        <f>Deals_Raw!Z9</f>
        <v>Sales Manager</v>
      </c>
      <c r="L6" t="str">
        <f t="shared" si="1"/>
        <v>yes</v>
      </c>
      <c r="M6" t="str">
        <f t="shared" si="2"/>
        <v>Pass</v>
      </c>
      <c r="O6">
        <f>Deals_Raw!AP9</f>
        <v>0.61910337744795985</v>
      </c>
      <c r="P6" t="str">
        <f t="shared" si="3"/>
        <v>False</v>
      </c>
      <c r="R6" t="str">
        <f>Deals_Raw!AF9</f>
        <v>Won</v>
      </c>
      <c r="S6">
        <f t="shared" si="4"/>
        <v>428371.3</v>
      </c>
      <c r="T6">
        <f>Deals_Raw!AM9</f>
        <v>428371.3</v>
      </c>
      <c r="U6">
        <f t="shared" si="5"/>
        <v>428371.3</v>
      </c>
      <c r="V6">
        <f>Deals_Raw!AN9</f>
        <v>428371.3</v>
      </c>
      <c r="W6">
        <f t="shared" si="6"/>
        <v>265206.11863177322</v>
      </c>
      <c r="X6">
        <f>Deals_Raw!AO9</f>
        <v>265206.11863177322</v>
      </c>
      <c r="Y6">
        <f t="shared" si="7"/>
        <v>0.61910337744795985</v>
      </c>
      <c r="Z6">
        <f>Deals_Raw!AP9</f>
        <v>0.61910337744795985</v>
      </c>
    </row>
    <row r="7" spans="1:26">
      <c r="A7" t="str">
        <f>Deals_Raw!A10</f>
        <v>D00008</v>
      </c>
      <c r="B7">
        <f>COUNTIF(Deals_Raw!$A$5:$A$643,A7)</f>
        <v>1</v>
      </c>
      <c r="C7" s="12" t="str">
        <f>Deals_Raw!E10</f>
        <v>CT00004</v>
      </c>
      <c r="E7">
        <f>Deals_Raw!AA10</f>
        <v>26446.113398962745</v>
      </c>
      <c r="F7">
        <f>ROUND(Deals_Raw!T10*(1-Deals_Raw!W10),2)</f>
        <v>26436.25</v>
      </c>
      <c r="G7">
        <f t="shared" si="0"/>
        <v>-9.8633989627451228</v>
      </c>
      <c r="I7">
        <f>Deals_Raw!V10</f>
        <v>0.14799999999999999</v>
      </c>
      <c r="J7">
        <f>Deals_Raw!W10</f>
        <v>0.13700000000000001</v>
      </c>
      <c r="K7" t="str">
        <f>Deals_Raw!Z10</f>
        <v>Pricing Analyst</v>
      </c>
      <c r="L7" t="str">
        <f t="shared" si="1"/>
        <v>yes</v>
      </c>
      <c r="M7" t="str">
        <f t="shared" si="2"/>
        <v>Pass</v>
      </c>
      <c r="O7">
        <f>Deals_Raw!AP10</f>
        <v>0.6957391646491663</v>
      </c>
      <c r="P7" t="str">
        <f t="shared" si="3"/>
        <v>False</v>
      </c>
      <c r="R7" t="str">
        <f>Deals_Raw!AF10</f>
        <v>Won</v>
      </c>
      <c r="S7">
        <f t="shared" si="4"/>
        <v>26436.25</v>
      </c>
      <c r="T7">
        <f>Deals_Raw!AM10</f>
        <v>26436.25</v>
      </c>
      <c r="U7">
        <f t="shared" si="5"/>
        <v>79308.75</v>
      </c>
      <c r="V7">
        <f>Deals_Raw!AN10</f>
        <v>79308.75</v>
      </c>
      <c r="W7">
        <f t="shared" si="6"/>
        <v>18392.734491456522</v>
      </c>
      <c r="X7">
        <f>Deals_Raw!AO10</f>
        <v>18392.734491456522</v>
      </c>
      <c r="Y7">
        <f t="shared" si="7"/>
        <v>0.6957391646491663</v>
      </c>
      <c r="Z7">
        <f>Deals_Raw!AP10</f>
        <v>0.6957391646491663</v>
      </c>
    </row>
    <row r="8" spans="1:26">
      <c r="A8" t="str">
        <f>Deals_Raw!A11</f>
        <v>D00009</v>
      </c>
      <c r="B8">
        <f>COUNTIF(Deals_Raw!$A$5:$A$643,A8)</f>
        <v>1</v>
      </c>
      <c r="C8" s="12" t="str">
        <f>Deals_Raw!E11</f>
        <v>CT00004</v>
      </c>
      <c r="E8">
        <f>Deals_Raw!AA11</f>
        <v>29083.189948800449</v>
      </c>
      <c r="F8">
        <f>ROUND(Deals_Raw!T11*(1-Deals_Raw!W11),2)</f>
        <v>29088.91</v>
      </c>
      <c r="G8">
        <f t="shared" si="0"/>
        <v>5.7200511995506531</v>
      </c>
      <c r="I8">
        <f>Deals_Raw!V11</f>
        <v>0.154</v>
      </c>
      <c r="J8">
        <f>Deals_Raw!W11</f>
        <v>0.12</v>
      </c>
      <c r="K8" t="str">
        <f>Deals_Raw!Z11</f>
        <v>Pricing Analyst</v>
      </c>
      <c r="L8" t="str">
        <f t="shared" si="1"/>
        <v>yes</v>
      </c>
      <c r="M8" t="str">
        <f t="shared" si="2"/>
        <v>Pass</v>
      </c>
      <c r="O8">
        <f>Deals_Raw!AP11</f>
        <v>0.7068308573221368</v>
      </c>
      <c r="P8" t="str">
        <f t="shared" si="3"/>
        <v>False</v>
      </c>
      <c r="R8" t="str">
        <f>Deals_Raw!AF11</f>
        <v>Won</v>
      </c>
      <c r="S8">
        <f t="shared" si="4"/>
        <v>29088.91</v>
      </c>
      <c r="T8">
        <f>Deals_Raw!AM11</f>
        <v>29088.91</v>
      </c>
      <c r="U8">
        <f t="shared" si="5"/>
        <v>87266.73</v>
      </c>
      <c r="V8">
        <f>Deals_Raw!AN11</f>
        <v>87266.73</v>
      </c>
      <c r="W8">
        <f t="shared" si="6"/>
        <v>20560.939193866478</v>
      </c>
      <c r="X8">
        <f>Deals_Raw!AO11</f>
        <v>20560.939193866478</v>
      </c>
      <c r="Y8">
        <f t="shared" si="7"/>
        <v>0.7068308573221368</v>
      </c>
      <c r="Z8">
        <f>Deals_Raw!AP11</f>
        <v>0.7068308573221368</v>
      </c>
    </row>
    <row r="9" spans="1:26">
      <c r="A9" t="str">
        <f>Deals_Raw!A12</f>
        <v>D00010</v>
      </c>
      <c r="B9">
        <f>COUNTIF(Deals_Raw!$A$5:$A$643,A9)</f>
        <v>1</v>
      </c>
      <c r="C9" s="12" t="str">
        <f>Deals_Raw!E12</f>
        <v>CT00005</v>
      </c>
      <c r="E9">
        <f>Deals_Raw!AA12</f>
        <v>52095.758017692533</v>
      </c>
      <c r="F9">
        <f>ROUND(Deals_Raw!T12*(1-Deals_Raw!W12),2)</f>
        <v>52088.21</v>
      </c>
      <c r="G9">
        <f t="shared" si="0"/>
        <v>-7.5480176925339038</v>
      </c>
      <c r="I9">
        <f>Deals_Raw!V12</f>
        <v>0.189</v>
      </c>
      <c r="J9">
        <f>Deals_Raw!W12</f>
        <v>0.188</v>
      </c>
      <c r="K9" t="str">
        <f>Deals_Raw!Z12</f>
        <v>Pricing Analyst</v>
      </c>
      <c r="L9" t="str">
        <f t="shared" si="1"/>
        <v>yes</v>
      </c>
      <c r="M9" t="str">
        <f t="shared" si="2"/>
        <v>Pass</v>
      </c>
      <c r="O9">
        <f>Deals_Raw!AP12</f>
        <v>0.47926341717057719</v>
      </c>
      <c r="P9" t="str">
        <f t="shared" si="3"/>
        <v>False</v>
      </c>
      <c r="R9" t="str">
        <f>Deals_Raw!AF12</f>
        <v>Won</v>
      </c>
      <c r="S9">
        <f t="shared" si="4"/>
        <v>52088.21</v>
      </c>
      <c r="T9">
        <f>Deals_Raw!AM12</f>
        <v>52088.21</v>
      </c>
      <c r="U9">
        <f t="shared" si="5"/>
        <v>156264.63</v>
      </c>
      <c r="V9">
        <f>Deals_Raw!AN12</f>
        <v>156264.63</v>
      </c>
      <c r="W9">
        <f t="shared" si="6"/>
        <v>24963.973518898631</v>
      </c>
      <c r="X9">
        <f>Deals_Raw!AO12</f>
        <v>24963.973518898631</v>
      </c>
      <c r="Y9">
        <f t="shared" si="7"/>
        <v>0.47926341717057719</v>
      </c>
      <c r="Z9">
        <f>Deals_Raw!AP12</f>
        <v>0.47926341717057719</v>
      </c>
    </row>
    <row r="10" spans="1:26">
      <c r="A10" t="str">
        <f>Deals_Raw!A13</f>
        <v>D00011</v>
      </c>
      <c r="B10">
        <f>COUNTIF(Deals_Raw!$A$5:$A$643,A10)</f>
        <v>1</v>
      </c>
      <c r="C10" s="12" t="str">
        <f>Deals_Raw!E13</f>
        <v>CT00006</v>
      </c>
      <c r="E10">
        <f>Deals_Raw!AA13</f>
        <v>197151.9264884225</v>
      </c>
      <c r="F10">
        <f>ROUND(Deals_Raw!T13*(1-Deals_Raw!W13),2)</f>
        <v>197219.1</v>
      </c>
      <c r="G10">
        <f t="shared" si="0"/>
        <v>67.173511577508179</v>
      </c>
      <c r="I10">
        <f>Deals_Raw!V13</f>
        <v>0.16700000000000001</v>
      </c>
      <c r="J10">
        <f>Deals_Raw!W13</f>
        <v>0.11899999999999999</v>
      </c>
      <c r="K10" t="str">
        <f>Deals_Raw!Z13</f>
        <v>Pricing Analyst</v>
      </c>
      <c r="L10" t="str">
        <f t="shared" si="1"/>
        <v>yes</v>
      </c>
      <c r="M10" t="str">
        <f t="shared" si="2"/>
        <v>Pass</v>
      </c>
      <c r="O10">
        <f>Deals_Raw!AP13</f>
        <v>0.52242463588153298</v>
      </c>
      <c r="P10" t="str">
        <f t="shared" si="3"/>
        <v>False</v>
      </c>
      <c r="R10" t="str">
        <f>Deals_Raw!AF13</f>
        <v>Won</v>
      </c>
      <c r="S10">
        <f t="shared" si="4"/>
        <v>197219.1</v>
      </c>
      <c r="T10">
        <f>Deals_Raw!AM13</f>
        <v>197219.1</v>
      </c>
      <c r="U10">
        <f t="shared" si="5"/>
        <v>197219.1</v>
      </c>
      <c r="V10">
        <f>Deals_Raw!AN13</f>
        <v>197219.1</v>
      </c>
      <c r="W10">
        <f t="shared" si="6"/>
        <v>103032.11650638364</v>
      </c>
      <c r="X10">
        <f>Deals_Raw!AO13</f>
        <v>103032.11650638364</v>
      </c>
      <c r="Y10">
        <f t="shared" si="7"/>
        <v>0.52242463588153298</v>
      </c>
      <c r="Z10">
        <f>Deals_Raw!AP13</f>
        <v>0.52242463588153298</v>
      </c>
    </row>
    <row r="11" spans="1:26">
      <c r="A11" t="str">
        <f>Deals_Raw!A14</f>
        <v>D00012</v>
      </c>
      <c r="B11">
        <f>COUNTIF(Deals_Raw!$A$5:$A$643,A11)</f>
        <v>1</v>
      </c>
      <c r="C11" s="12" t="str">
        <f>Deals_Raw!E14</f>
        <v>CT00007</v>
      </c>
      <c r="E11">
        <f>Deals_Raw!AA14</f>
        <v>296123.32635319157</v>
      </c>
      <c r="F11">
        <f>ROUND(Deals_Raw!T14*(1-Deals_Raw!W14),2)</f>
        <v>296215.33</v>
      </c>
      <c r="G11">
        <f t="shared" si="0"/>
        <v>92.003646808443591</v>
      </c>
      <c r="I11">
        <f>Deals_Raw!V14</f>
        <v>0.159</v>
      </c>
      <c r="J11">
        <f>Deals_Raw!W14</f>
        <v>0.13</v>
      </c>
      <c r="K11" t="str">
        <f>Deals_Raw!Z14</f>
        <v>Pricing Analyst</v>
      </c>
      <c r="L11" t="str">
        <f t="shared" si="1"/>
        <v>yes</v>
      </c>
      <c r="M11" t="str">
        <f t="shared" si="2"/>
        <v>Pass</v>
      </c>
      <c r="O11">
        <f>Deals_Raw!AP14</f>
        <v>0.54725259769353318</v>
      </c>
      <c r="P11" t="str">
        <f t="shared" si="3"/>
        <v>False</v>
      </c>
      <c r="R11" t="str">
        <f>Deals_Raw!AF14</f>
        <v>Lost</v>
      </c>
      <c r="S11">
        <f t="shared" si="4"/>
        <v>0</v>
      </c>
      <c r="T11">
        <v>0</v>
      </c>
      <c r="U11">
        <f t="shared" si="5"/>
        <v>0</v>
      </c>
      <c r="V11">
        <v>0</v>
      </c>
      <c r="W11">
        <f t="shared" si="6"/>
        <v>0</v>
      </c>
      <c r="X11">
        <v>0</v>
      </c>
      <c r="Y11">
        <f t="shared" si="7"/>
        <v>0</v>
      </c>
      <c r="Z11">
        <v>0</v>
      </c>
    </row>
    <row r="12" spans="1:26">
      <c r="A12" t="str">
        <f>Deals_Raw!A15</f>
        <v>D00013</v>
      </c>
      <c r="B12">
        <f>COUNTIF(Deals_Raw!$A$5:$A$643,A12)</f>
        <v>1</v>
      </c>
      <c r="C12" s="12" t="str">
        <f>Deals_Raw!E15</f>
        <v>CT00008</v>
      </c>
      <c r="E12">
        <f>Deals_Raw!AA15</f>
        <v>260342.59850538964</v>
      </c>
      <c r="F12">
        <f>ROUND(Deals_Raw!T15*(1-Deals_Raw!W15),2)</f>
        <v>260325.1</v>
      </c>
      <c r="G12">
        <f t="shared" si="0"/>
        <v>-17.498505389638012</v>
      </c>
      <c r="I12">
        <f>Deals_Raw!V15</f>
        <v>0.191</v>
      </c>
      <c r="J12">
        <f>Deals_Raw!W15</f>
        <v>0.188</v>
      </c>
      <c r="K12" t="str">
        <f>Deals_Raw!Z15</f>
        <v>Pricing Analyst</v>
      </c>
      <c r="L12" t="str">
        <f t="shared" si="1"/>
        <v>yes</v>
      </c>
      <c r="M12" t="str">
        <f t="shared" si="2"/>
        <v>Pass</v>
      </c>
      <c r="O12">
        <f>Deals_Raw!AP15</f>
        <v>0.51436618221081443</v>
      </c>
      <c r="P12" t="str">
        <f t="shared" si="3"/>
        <v>False</v>
      </c>
      <c r="R12" t="str">
        <f>Deals_Raw!AF15</f>
        <v>Lost</v>
      </c>
      <c r="S12">
        <f t="shared" si="4"/>
        <v>0</v>
      </c>
      <c r="T12">
        <v>0</v>
      </c>
      <c r="U12">
        <f t="shared" si="5"/>
        <v>0</v>
      </c>
      <c r="V12">
        <v>0</v>
      </c>
      <c r="W12">
        <f t="shared" si="6"/>
        <v>0</v>
      </c>
      <c r="X12">
        <v>0</v>
      </c>
      <c r="Y12">
        <f t="shared" si="7"/>
        <v>0</v>
      </c>
      <c r="Z12">
        <v>0</v>
      </c>
    </row>
    <row r="13" spans="1:26">
      <c r="A13" t="str">
        <f>Deals_Raw!A16</f>
        <v>D00014</v>
      </c>
      <c r="B13">
        <f>COUNTIF(Deals_Raw!$A$5:$A$643,A13)</f>
        <v>1</v>
      </c>
      <c r="C13" s="12" t="str">
        <f>Deals_Raw!E16</f>
        <v>CT00009</v>
      </c>
      <c r="E13">
        <f>Deals_Raw!AA16</f>
        <v>92186.507436883607</v>
      </c>
      <c r="F13">
        <f>ROUND(Deals_Raw!T16*(1-Deals_Raw!W16),2)</f>
        <v>92221.22</v>
      </c>
      <c r="G13">
        <f t="shared" si="0"/>
        <v>34.712563116394449</v>
      </c>
      <c r="I13">
        <f>Deals_Raw!V16</f>
        <v>0.185</v>
      </c>
      <c r="J13">
        <f>Deals_Raw!W16</f>
        <v>0.16800000000000001</v>
      </c>
      <c r="K13" t="str">
        <f>Deals_Raw!Z16</f>
        <v>Pricing Analyst</v>
      </c>
      <c r="L13" t="str">
        <f t="shared" si="1"/>
        <v>yes</v>
      </c>
      <c r="M13" t="str">
        <f t="shared" si="2"/>
        <v>Pass</v>
      </c>
      <c r="O13">
        <f>Deals_Raw!AP16</f>
        <v>0.56344690817517584</v>
      </c>
      <c r="P13" t="str">
        <f t="shared" si="3"/>
        <v>False</v>
      </c>
      <c r="R13" t="str">
        <f>Deals_Raw!AF16</f>
        <v>Lost</v>
      </c>
      <c r="S13">
        <f t="shared" si="4"/>
        <v>0</v>
      </c>
      <c r="T13">
        <v>0</v>
      </c>
      <c r="U13">
        <f t="shared" si="5"/>
        <v>0</v>
      </c>
      <c r="V13">
        <v>0</v>
      </c>
      <c r="W13">
        <f t="shared" si="6"/>
        <v>0</v>
      </c>
      <c r="X13">
        <v>0</v>
      </c>
      <c r="Y13">
        <f t="shared" si="7"/>
        <v>0</v>
      </c>
      <c r="Z13">
        <v>0</v>
      </c>
    </row>
    <row r="14" spans="1:26">
      <c r="A14" t="str">
        <f>Deals_Raw!A17</f>
        <v>D00017</v>
      </c>
      <c r="B14">
        <f>COUNTIF(Deals_Raw!$A$5:$A$643,A14)</f>
        <v>1</v>
      </c>
      <c r="C14" s="12" t="str">
        <f>Deals_Raw!E17</f>
        <v>CT00010</v>
      </c>
      <c r="E14">
        <f>Deals_Raw!AA17</f>
        <v>97591.584522071469</v>
      </c>
      <c r="F14">
        <f>ROUND(Deals_Raw!T17*(1-Deals_Raw!W17),2)</f>
        <v>97629.05</v>
      </c>
      <c r="G14">
        <f t="shared" si="0"/>
        <v>37.465477928533801</v>
      </c>
      <c r="I14">
        <f>Deals_Raw!V17</f>
        <v>0.13700000000000001</v>
      </c>
      <c r="J14">
        <f>Deals_Raw!W17</f>
        <v>0.115</v>
      </c>
      <c r="K14" t="str">
        <f>Deals_Raw!Z17</f>
        <v>Pricing Analyst</v>
      </c>
      <c r="L14" t="str">
        <f t="shared" si="1"/>
        <v>yes</v>
      </c>
      <c r="M14" t="str">
        <f t="shared" si="2"/>
        <v>Pass</v>
      </c>
      <c r="O14">
        <f>Deals_Raw!AP17</f>
        <v>0.61277658748926667</v>
      </c>
      <c r="P14" t="str">
        <f t="shared" si="3"/>
        <v>False</v>
      </c>
      <c r="R14" t="str">
        <f>Deals_Raw!AF17</f>
        <v>Won</v>
      </c>
      <c r="S14">
        <f t="shared" si="4"/>
        <v>97629.05</v>
      </c>
      <c r="T14">
        <f>Deals_Raw!AM17</f>
        <v>97629.05</v>
      </c>
      <c r="U14">
        <f t="shared" si="5"/>
        <v>97629.05</v>
      </c>
      <c r="V14">
        <f>Deals_Raw!AN17</f>
        <v>97629.05</v>
      </c>
      <c r="W14">
        <f t="shared" si="6"/>
        <v>59824.796098818988</v>
      </c>
      <c r="X14">
        <f>Deals_Raw!AO17</f>
        <v>59824.796098818988</v>
      </c>
      <c r="Y14">
        <f t="shared" si="7"/>
        <v>0.61277658748926667</v>
      </c>
      <c r="Z14">
        <f>Deals_Raw!AP17</f>
        <v>0.61277658748926667</v>
      </c>
    </row>
    <row r="15" spans="1:26">
      <c r="A15" t="str">
        <f>Deals_Raw!A18</f>
        <v>D00018</v>
      </c>
      <c r="B15">
        <f>COUNTIF(Deals_Raw!$A$5:$A$643,A15)</f>
        <v>1</v>
      </c>
      <c r="C15" s="12" t="str">
        <f>Deals_Raw!E18</f>
        <v>CT00010</v>
      </c>
      <c r="E15">
        <f>Deals_Raw!AA18</f>
        <v>92239.590813589384</v>
      </c>
      <c r="F15">
        <f>ROUND(Deals_Raw!T18*(1-Deals_Raw!W18),2)</f>
        <v>92224.24</v>
      </c>
      <c r="G15">
        <f t="shared" si="0"/>
        <v>-15.350813589378959</v>
      </c>
      <c r="I15">
        <f>Deals_Raw!V18</f>
        <v>0.21299999999999999</v>
      </c>
      <c r="J15">
        <f>Deals_Raw!W18</f>
        <v>0.21199999999999999</v>
      </c>
      <c r="K15" t="str">
        <f>Deals_Raw!Z18</f>
        <v>Business Manager</v>
      </c>
      <c r="L15" t="str">
        <f t="shared" si="1"/>
        <v>yes</v>
      </c>
      <c r="M15" t="str">
        <f t="shared" si="2"/>
        <v>Pass</v>
      </c>
      <c r="O15">
        <f>Deals_Raw!AP18</f>
        <v>0.51151862872733633</v>
      </c>
      <c r="P15" t="str">
        <f t="shared" si="3"/>
        <v>False</v>
      </c>
      <c r="R15" t="str">
        <f>Deals_Raw!AF18</f>
        <v>Lost</v>
      </c>
      <c r="S15">
        <f t="shared" si="4"/>
        <v>0</v>
      </c>
      <c r="T15">
        <v>0</v>
      </c>
      <c r="U15">
        <f t="shared" si="5"/>
        <v>0</v>
      </c>
      <c r="V15">
        <v>0</v>
      </c>
      <c r="W15">
        <f t="shared" si="6"/>
        <v>0</v>
      </c>
      <c r="X15">
        <v>0</v>
      </c>
      <c r="Y15">
        <f t="shared" si="7"/>
        <v>0</v>
      </c>
      <c r="Z15">
        <v>0</v>
      </c>
    </row>
    <row r="16" spans="1:26">
      <c r="A16" t="str">
        <f>Deals_Raw!A19</f>
        <v>D00019</v>
      </c>
      <c r="B16">
        <f>COUNTIF(Deals_Raw!$A$5:$A$643,A16)</f>
        <v>1</v>
      </c>
      <c r="C16" s="12" t="str">
        <f>Deals_Raw!E19</f>
        <v>CT00010</v>
      </c>
      <c r="E16">
        <f>Deals_Raw!AA19</f>
        <v>86133.571058483954</v>
      </c>
      <c r="F16">
        <f>ROUND(Deals_Raw!T19*(1-Deals_Raw!W19),2)</f>
        <v>86138.37</v>
      </c>
      <c r="G16">
        <f t="shared" si="0"/>
        <v>4.7989415160409408</v>
      </c>
      <c r="I16">
        <f>Deals_Raw!V19</f>
        <v>0.27400000000000002</v>
      </c>
      <c r="J16">
        <f>Deals_Raw!W19</f>
        <v>0.26400000000000001</v>
      </c>
      <c r="K16" t="str">
        <f>Deals_Raw!Z19</f>
        <v>Business Manager</v>
      </c>
      <c r="L16" t="str">
        <f t="shared" si="1"/>
        <v>yes</v>
      </c>
      <c r="M16" t="str">
        <f t="shared" si="2"/>
        <v>Pass</v>
      </c>
      <c r="O16">
        <f>Deals_Raw!AP19</f>
        <v>0.55595577185831213</v>
      </c>
      <c r="P16" t="str">
        <f t="shared" si="3"/>
        <v>False</v>
      </c>
      <c r="R16" t="str">
        <f>Deals_Raw!AF19</f>
        <v>Won</v>
      </c>
      <c r="S16">
        <f t="shared" si="4"/>
        <v>86138.37</v>
      </c>
      <c r="T16">
        <f>Deals_Raw!AM19</f>
        <v>86138.37</v>
      </c>
      <c r="U16">
        <f t="shared" si="5"/>
        <v>86138.37</v>
      </c>
      <c r="V16">
        <f>Deals_Raw!AN19</f>
        <v>86138.37</v>
      </c>
      <c r="W16">
        <f t="shared" si="6"/>
        <v>47889.123979966877</v>
      </c>
      <c r="X16">
        <f>Deals_Raw!AO19</f>
        <v>47889.123979966877</v>
      </c>
      <c r="Y16">
        <f t="shared" si="7"/>
        <v>0.55595577185831213</v>
      </c>
      <c r="Z16">
        <f>Deals_Raw!AP19</f>
        <v>0.55595577185831213</v>
      </c>
    </row>
    <row r="17" spans="1:26">
      <c r="A17" t="str">
        <f>Deals_Raw!A20</f>
        <v>D00020</v>
      </c>
      <c r="B17">
        <f>COUNTIF(Deals_Raw!$A$5:$A$643,A17)</f>
        <v>1</v>
      </c>
      <c r="C17" s="12" t="str">
        <f>Deals_Raw!E20</f>
        <v>CT00011</v>
      </c>
      <c r="E17">
        <f>Deals_Raw!AA20</f>
        <v>166516.73221357822</v>
      </c>
      <c r="F17">
        <f>ROUND(Deals_Raw!T20*(1-Deals_Raw!W20),2)</f>
        <v>166438.43</v>
      </c>
      <c r="G17">
        <f t="shared" si="0"/>
        <v>-78.302213578223018</v>
      </c>
      <c r="I17">
        <f>Deals_Raw!V20</f>
        <v>0.127</v>
      </c>
      <c r="J17">
        <f>Deals_Raw!W20</f>
        <v>9.9000000000000005E-2</v>
      </c>
      <c r="K17" t="str">
        <f>Deals_Raw!Z20</f>
        <v>Sales Manager</v>
      </c>
      <c r="L17" t="str">
        <f t="shared" si="1"/>
        <v>yes</v>
      </c>
      <c r="M17" t="str">
        <f t="shared" si="2"/>
        <v>Pass</v>
      </c>
      <c r="O17">
        <f>Deals_Raw!AP20</f>
        <v>0.6490288237573808</v>
      </c>
      <c r="P17" t="str">
        <f t="shared" si="3"/>
        <v>False</v>
      </c>
      <c r="R17" t="str">
        <f>Deals_Raw!AF20</f>
        <v>Lost</v>
      </c>
      <c r="S17">
        <f t="shared" si="4"/>
        <v>0</v>
      </c>
      <c r="T17">
        <v>0</v>
      </c>
      <c r="U17">
        <f t="shared" si="5"/>
        <v>0</v>
      </c>
      <c r="V17">
        <v>0</v>
      </c>
      <c r="W17">
        <f t="shared" si="6"/>
        <v>0</v>
      </c>
      <c r="X17">
        <v>0</v>
      </c>
      <c r="Y17">
        <f t="shared" si="7"/>
        <v>0</v>
      </c>
      <c r="Z17">
        <v>0</v>
      </c>
    </row>
    <row r="18" spans="1:26">
      <c r="A18" t="str">
        <f>Deals_Raw!A21</f>
        <v>D00021</v>
      </c>
      <c r="B18">
        <f>COUNTIF(Deals_Raw!$A$5:$A$643,A18)</f>
        <v>1</v>
      </c>
      <c r="C18" s="12" t="str">
        <f>Deals_Raw!E21</f>
        <v>CT00012</v>
      </c>
      <c r="E18">
        <f>Deals_Raw!AA21</f>
        <v>232470.33258930541</v>
      </c>
      <c r="F18">
        <f>ROUND(Deals_Raw!T21*(1-Deals_Raw!W21),2)</f>
        <v>232432.11</v>
      </c>
      <c r="G18">
        <f t="shared" si="0"/>
        <v>-38.222589305427391</v>
      </c>
      <c r="I18">
        <f>Deals_Raw!V21</f>
        <v>0.13800000000000001</v>
      </c>
      <c r="J18">
        <f>Deals_Raw!W21</f>
        <v>0.10299999999999999</v>
      </c>
      <c r="K18" t="str">
        <f>Deals_Raw!Z21</f>
        <v>Pricing Analyst</v>
      </c>
      <c r="L18" t="str">
        <f t="shared" si="1"/>
        <v>yes</v>
      </c>
      <c r="M18" t="str">
        <f t="shared" si="2"/>
        <v>Pass</v>
      </c>
      <c r="O18">
        <f>Deals_Raw!AP21</f>
        <v>0.60073689688244147</v>
      </c>
      <c r="P18" t="str">
        <f t="shared" si="3"/>
        <v>False</v>
      </c>
      <c r="R18" t="str">
        <f>Deals_Raw!AF21</f>
        <v>Lost</v>
      </c>
      <c r="S18">
        <f t="shared" si="4"/>
        <v>0</v>
      </c>
      <c r="T18">
        <v>0</v>
      </c>
      <c r="U18">
        <f t="shared" si="5"/>
        <v>0</v>
      </c>
      <c r="V18">
        <v>0</v>
      </c>
      <c r="W18">
        <f t="shared" si="6"/>
        <v>0</v>
      </c>
      <c r="X18">
        <v>0</v>
      </c>
      <c r="Y18">
        <f t="shared" si="7"/>
        <v>0</v>
      </c>
      <c r="Z18">
        <v>0</v>
      </c>
    </row>
    <row r="19" spans="1:26">
      <c r="A19" t="str">
        <f>Deals_Raw!A22</f>
        <v>D00022</v>
      </c>
      <c r="B19">
        <f>COUNTIF(Deals_Raw!$A$5:$A$643,A19)</f>
        <v>1</v>
      </c>
      <c r="C19" s="12" t="str">
        <f>Deals_Raw!E22</f>
        <v>CT00013</v>
      </c>
      <c r="E19">
        <f>Deals_Raw!AA22</f>
        <v>190467.74724976684</v>
      </c>
      <c r="F19">
        <f>ROUND(Deals_Raw!T22*(1-Deals_Raw!W22),2)</f>
        <v>190376.68</v>
      </c>
      <c r="G19">
        <f t="shared" si="0"/>
        <v>-91.067249766841996</v>
      </c>
      <c r="I19">
        <f>Deals_Raw!V22</f>
        <v>6.9000000000000006E-2</v>
      </c>
      <c r="J19">
        <f>Deals_Raw!W22</f>
        <v>3.3000000000000002E-2</v>
      </c>
      <c r="K19" t="str">
        <f>Deals_Raw!Z22</f>
        <v>Sales Manager</v>
      </c>
      <c r="L19" t="str">
        <f t="shared" si="1"/>
        <v>yes</v>
      </c>
      <c r="M19" t="str">
        <f t="shared" si="2"/>
        <v>Pass</v>
      </c>
      <c r="O19">
        <f>Deals_Raw!AP22</f>
        <v>0.62801170640347403</v>
      </c>
      <c r="P19" t="str">
        <f t="shared" si="3"/>
        <v>False</v>
      </c>
      <c r="R19" t="str">
        <f>Deals_Raw!AF22</f>
        <v>Won</v>
      </c>
      <c r="S19">
        <f t="shared" si="4"/>
        <v>190376.68</v>
      </c>
      <c r="T19">
        <f>Deals_Raw!AM22</f>
        <v>190376.68</v>
      </c>
      <c r="U19">
        <f t="shared" si="5"/>
        <v>571130.04</v>
      </c>
      <c r="V19">
        <f>Deals_Raw!AN22</f>
        <v>571130.04</v>
      </c>
      <c r="W19">
        <f t="shared" si="6"/>
        <v>119558.78366622812</v>
      </c>
      <c r="X19">
        <f>Deals_Raw!AO22</f>
        <v>119558.78366622812</v>
      </c>
      <c r="Y19">
        <f t="shared" si="7"/>
        <v>0.62801170640347403</v>
      </c>
      <c r="Z19">
        <f>Deals_Raw!AP22</f>
        <v>0.62801170640347403</v>
      </c>
    </row>
    <row r="20" spans="1:26">
      <c r="A20" t="str">
        <f>Deals_Raw!A23</f>
        <v>D00023</v>
      </c>
      <c r="B20">
        <f>COUNTIF(Deals_Raw!$A$5:$A$643,A20)</f>
        <v>1</v>
      </c>
      <c r="C20" s="12" t="str">
        <f>Deals_Raw!E23</f>
        <v>CT00014</v>
      </c>
      <c r="E20">
        <f>Deals_Raw!AA23</f>
        <v>90720.722491375025</v>
      </c>
      <c r="F20">
        <f>ROUND(Deals_Raw!T23*(1-Deals_Raw!W23),2)</f>
        <v>90720.74</v>
      </c>
      <c r="G20">
        <f t="shared" si="0"/>
        <v>1.7508624980109744E-2</v>
      </c>
      <c r="I20">
        <f>Deals_Raw!V23</f>
        <v>0.218</v>
      </c>
      <c r="J20">
        <f>Deals_Raw!W23</f>
        <v>0.19500000000000001</v>
      </c>
      <c r="K20" t="str">
        <f>Deals_Raw!Z23</f>
        <v>Pricing Analyst</v>
      </c>
      <c r="L20" t="str">
        <f t="shared" si="1"/>
        <v>yes</v>
      </c>
      <c r="M20" t="str">
        <f t="shared" si="2"/>
        <v>Pass</v>
      </c>
      <c r="O20">
        <f>Deals_Raw!AP23</f>
        <v>0.55702045291635682</v>
      </c>
      <c r="P20" t="str">
        <f t="shared" si="3"/>
        <v>False</v>
      </c>
      <c r="R20" t="str">
        <f>Deals_Raw!AF23</f>
        <v>Lost</v>
      </c>
      <c r="S20">
        <f t="shared" si="4"/>
        <v>0</v>
      </c>
      <c r="T20">
        <v>0</v>
      </c>
      <c r="U20">
        <f t="shared" si="5"/>
        <v>0</v>
      </c>
      <c r="V20">
        <v>0</v>
      </c>
      <c r="W20">
        <f t="shared" si="6"/>
        <v>0</v>
      </c>
      <c r="X20">
        <v>0</v>
      </c>
      <c r="Y20">
        <f t="shared" si="7"/>
        <v>0</v>
      </c>
      <c r="Z20">
        <v>0</v>
      </c>
    </row>
    <row r="21" spans="1:26">
      <c r="A21" t="str">
        <f>Deals_Raw!A24</f>
        <v>D00026</v>
      </c>
      <c r="B21">
        <f>COUNTIF(Deals_Raw!$A$5:$A$643,A21)</f>
        <v>1</v>
      </c>
      <c r="C21" s="12" t="str">
        <f>Deals_Raw!E24</f>
        <v>CT00015</v>
      </c>
      <c r="E21">
        <f>Deals_Raw!AA24</f>
        <v>55639.639669748693</v>
      </c>
      <c r="F21">
        <f>ROUND(Deals_Raw!T24*(1-Deals_Raw!W24),2)</f>
        <v>55667.78</v>
      </c>
      <c r="G21">
        <f t="shared" si="0"/>
        <v>28.140330251306295</v>
      </c>
      <c r="I21">
        <f>Deals_Raw!V24</f>
        <v>0.16300000000000001</v>
      </c>
      <c r="J21">
        <f>Deals_Raw!W24</f>
        <v>0.14899999999999999</v>
      </c>
      <c r="K21" t="str">
        <f>Deals_Raw!Z24</f>
        <v>Pricing Analyst</v>
      </c>
      <c r="L21" t="str">
        <f t="shared" si="1"/>
        <v>yes</v>
      </c>
      <c r="M21" t="str">
        <f t="shared" si="2"/>
        <v>Pass</v>
      </c>
      <c r="O21">
        <f>Deals_Raw!AP24</f>
        <v>0.64242786415747044</v>
      </c>
      <c r="P21" t="str">
        <f t="shared" si="3"/>
        <v>False</v>
      </c>
      <c r="R21" t="str">
        <f>Deals_Raw!AF24</f>
        <v>Lost</v>
      </c>
      <c r="S21">
        <f t="shared" si="4"/>
        <v>0</v>
      </c>
      <c r="T21">
        <v>0</v>
      </c>
      <c r="U21">
        <f t="shared" si="5"/>
        <v>0</v>
      </c>
      <c r="V21">
        <v>0</v>
      </c>
      <c r="W21">
        <f t="shared" si="6"/>
        <v>0</v>
      </c>
      <c r="X21">
        <v>0</v>
      </c>
      <c r="Y21">
        <f t="shared" si="7"/>
        <v>0</v>
      </c>
      <c r="Z21">
        <v>0</v>
      </c>
    </row>
    <row r="22" spans="1:26">
      <c r="A22" t="str">
        <f>Deals_Raw!A25</f>
        <v>D00027</v>
      </c>
      <c r="B22">
        <f>COUNTIF(Deals_Raw!$A$5:$A$643,A22)</f>
        <v>1</v>
      </c>
      <c r="C22" s="12" t="str">
        <f>Deals_Raw!E25</f>
        <v>CT00016</v>
      </c>
      <c r="E22">
        <f>Deals_Raw!AA25</f>
        <v>74619.853473984156</v>
      </c>
      <c r="F22">
        <f>ROUND(Deals_Raw!T25*(1-Deals_Raw!W25),2)</f>
        <v>74638.070000000007</v>
      </c>
      <c r="G22">
        <f t="shared" si="0"/>
        <v>18.216526015850832</v>
      </c>
      <c r="I22">
        <f>Deals_Raw!V25</f>
        <v>0.19700000000000001</v>
      </c>
      <c r="J22">
        <f>Deals_Raw!W25</f>
        <v>0.19500000000000001</v>
      </c>
      <c r="K22" t="str">
        <f>Deals_Raw!Z25</f>
        <v>Pricing Analyst</v>
      </c>
      <c r="L22" t="str">
        <f t="shared" si="1"/>
        <v>yes</v>
      </c>
      <c r="M22" t="str">
        <f t="shared" si="2"/>
        <v>Pass</v>
      </c>
      <c r="O22">
        <f>Deals_Raw!AP25</f>
        <v>0.52526110405485127</v>
      </c>
      <c r="P22" t="str">
        <f t="shared" si="3"/>
        <v>False</v>
      </c>
      <c r="R22" t="str">
        <f>Deals_Raw!AF25</f>
        <v>Won</v>
      </c>
      <c r="S22">
        <f t="shared" si="4"/>
        <v>74638.070000000007</v>
      </c>
      <c r="T22">
        <f>Deals_Raw!AM25</f>
        <v>74638.070000000007</v>
      </c>
      <c r="U22">
        <f t="shared" si="5"/>
        <v>74638.070000000007</v>
      </c>
      <c r="V22">
        <f>Deals_Raw!AN25</f>
        <v>74638.070000000007</v>
      </c>
      <c r="W22">
        <f t="shared" si="6"/>
        <v>39204.475052723275</v>
      </c>
      <c r="X22">
        <f>Deals_Raw!AO25</f>
        <v>39204.475052723275</v>
      </c>
      <c r="Y22">
        <f t="shared" si="7"/>
        <v>0.52526110405485127</v>
      </c>
      <c r="Z22">
        <f>Deals_Raw!AP25</f>
        <v>0.52526110405485127</v>
      </c>
    </row>
    <row r="23" spans="1:26">
      <c r="A23" t="str">
        <f>Deals_Raw!A26</f>
        <v>D00028</v>
      </c>
      <c r="B23">
        <f>COUNTIF(Deals_Raw!$A$5:$A$643,A23)</f>
        <v>1</v>
      </c>
      <c r="C23" s="12" t="str">
        <f>Deals_Raw!E26</f>
        <v>CT00016</v>
      </c>
      <c r="E23">
        <f>Deals_Raw!AA26</f>
        <v>82087.56100594037</v>
      </c>
      <c r="F23">
        <f>ROUND(Deals_Raw!T26*(1-Deals_Raw!W26),2)</f>
        <v>82057.83</v>
      </c>
      <c r="G23">
        <f t="shared" si="0"/>
        <v>-29.73100594036805</v>
      </c>
      <c r="I23">
        <f>Deals_Raw!V26</f>
        <v>0.20899999999999999</v>
      </c>
      <c r="J23">
        <f>Deals_Raw!W26</f>
        <v>0.17699999999999999</v>
      </c>
      <c r="K23" t="str">
        <f>Deals_Raw!Z26</f>
        <v>Pricing Analyst</v>
      </c>
      <c r="L23" t="str">
        <f t="shared" si="1"/>
        <v>yes</v>
      </c>
      <c r="M23" t="str">
        <f t="shared" si="2"/>
        <v>Pass</v>
      </c>
      <c r="O23">
        <f>Deals_Raw!AP26</f>
        <v>0.5427050557159433</v>
      </c>
      <c r="P23" t="str">
        <f t="shared" si="3"/>
        <v>False</v>
      </c>
      <c r="R23" t="str">
        <f>Deals_Raw!AF26</f>
        <v>Won</v>
      </c>
      <c r="S23">
        <f t="shared" si="4"/>
        <v>82057.83</v>
      </c>
      <c r="T23">
        <f>Deals_Raw!AM26</f>
        <v>82057.83</v>
      </c>
      <c r="U23">
        <f t="shared" si="5"/>
        <v>82057.83</v>
      </c>
      <c r="V23">
        <f>Deals_Raw!AN26</f>
        <v>82057.83</v>
      </c>
      <c r="W23">
        <f t="shared" si="6"/>
        <v>44533.199202079406</v>
      </c>
      <c r="X23">
        <f>Deals_Raw!AO26</f>
        <v>44533.199202079406</v>
      </c>
      <c r="Y23">
        <f t="shared" si="7"/>
        <v>0.5427050557159433</v>
      </c>
      <c r="Z23">
        <f>Deals_Raw!AP26</f>
        <v>0.5427050557159433</v>
      </c>
    </row>
    <row r="24" spans="1:26">
      <c r="A24" t="str">
        <f>Deals_Raw!A27</f>
        <v>D00029</v>
      </c>
      <c r="B24">
        <f>COUNTIF(Deals_Raw!$A$5:$A$643,A24)</f>
        <v>1</v>
      </c>
      <c r="C24" s="12" t="str">
        <f>Deals_Raw!E27</f>
        <v>CT00017</v>
      </c>
      <c r="E24">
        <f>Deals_Raw!AA27</f>
        <v>322206.15675560193</v>
      </c>
      <c r="F24">
        <f>ROUND(Deals_Raw!T27*(1-Deals_Raw!W27),2)</f>
        <v>322255.68</v>
      </c>
      <c r="G24">
        <f t="shared" si="0"/>
        <v>49.52324439806398</v>
      </c>
      <c r="I24">
        <f>Deals_Raw!V27</f>
        <v>0.14699999999999999</v>
      </c>
      <c r="J24">
        <f>Deals_Raw!W27</f>
        <v>0.112</v>
      </c>
      <c r="K24" t="str">
        <f>Deals_Raw!Z27</f>
        <v>Pricing Analyst</v>
      </c>
      <c r="L24" t="str">
        <f t="shared" si="1"/>
        <v>yes</v>
      </c>
      <c r="M24" t="str">
        <f t="shared" si="2"/>
        <v>Pass</v>
      </c>
      <c r="O24">
        <f>Deals_Raw!AP27</f>
        <v>0.57292448371456772</v>
      </c>
      <c r="P24" t="str">
        <f t="shared" si="3"/>
        <v>False</v>
      </c>
      <c r="R24" t="str">
        <f>Deals_Raw!AF27</f>
        <v>Lost</v>
      </c>
      <c r="S24">
        <f t="shared" si="4"/>
        <v>0</v>
      </c>
      <c r="T24">
        <v>0</v>
      </c>
      <c r="U24">
        <f t="shared" si="5"/>
        <v>0</v>
      </c>
      <c r="V24">
        <v>0</v>
      </c>
      <c r="W24">
        <f t="shared" si="6"/>
        <v>0</v>
      </c>
      <c r="X24">
        <v>0</v>
      </c>
      <c r="Y24">
        <f t="shared" si="7"/>
        <v>0</v>
      </c>
      <c r="Z24">
        <v>0</v>
      </c>
    </row>
    <row r="25" spans="1:26">
      <c r="A25" t="str">
        <f>Deals_Raw!A28</f>
        <v>D00030</v>
      </c>
      <c r="B25">
        <f>COUNTIF(Deals_Raw!$A$5:$A$643,A25)</f>
        <v>1</v>
      </c>
      <c r="C25" s="12" t="str">
        <f>Deals_Raw!E28</f>
        <v>CT00018</v>
      </c>
      <c r="E25">
        <f>Deals_Raw!AA28</f>
        <v>138635.96416842093</v>
      </c>
      <c r="F25">
        <f>ROUND(Deals_Raw!T28*(1-Deals_Raw!W28),2)</f>
        <v>138651.82</v>
      </c>
      <c r="G25">
        <f t="shared" si="0"/>
        <v>15.855831579072401</v>
      </c>
      <c r="I25">
        <f>Deals_Raw!V28</f>
        <v>0.25</v>
      </c>
      <c r="J25">
        <f>Deals_Raw!W28</f>
        <v>0.23400000000000001</v>
      </c>
      <c r="K25" t="str">
        <f>Deals_Raw!Z28</f>
        <v>Business Manager</v>
      </c>
      <c r="L25" t="str">
        <f t="shared" si="1"/>
        <v>yes</v>
      </c>
      <c r="M25" t="str">
        <f t="shared" si="2"/>
        <v>Pass</v>
      </c>
      <c r="O25">
        <f>Deals_Raw!AP28</f>
        <v>0.51705137274627844</v>
      </c>
      <c r="P25" t="str">
        <f t="shared" si="3"/>
        <v>False</v>
      </c>
      <c r="R25" t="str">
        <f>Deals_Raw!AF28</f>
        <v>Lost</v>
      </c>
      <c r="S25">
        <f t="shared" si="4"/>
        <v>0</v>
      </c>
      <c r="T25">
        <v>0</v>
      </c>
      <c r="U25">
        <f t="shared" si="5"/>
        <v>0</v>
      </c>
      <c r="V25">
        <v>0</v>
      </c>
      <c r="W25">
        <f t="shared" si="6"/>
        <v>0</v>
      </c>
      <c r="X25">
        <v>0</v>
      </c>
      <c r="Y25">
        <f t="shared" si="7"/>
        <v>0</v>
      </c>
      <c r="Z25">
        <v>0</v>
      </c>
    </row>
    <row r="26" spans="1:26">
      <c r="A26" t="str">
        <f>Deals_Raw!A29</f>
        <v>D00031</v>
      </c>
      <c r="B26">
        <f>COUNTIF(Deals_Raw!$A$5:$A$643,A26)</f>
        <v>1</v>
      </c>
      <c r="C26" s="12" t="str">
        <f>Deals_Raw!E29</f>
        <v>CT00019</v>
      </c>
      <c r="E26">
        <f>Deals_Raw!AA29</f>
        <v>214135.77996422813</v>
      </c>
      <c r="F26">
        <f>ROUND(Deals_Raw!T29*(1-Deals_Raw!W29),2)</f>
        <v>214178.78</v>
      </c>
      <c r="G26">
        <f t="shared" si="0"/>
        <v>43.00003577186726</v>
      </c>
      <c r="I26">
        <f>Deals_Raw!V29</f>
        <v>0.105</v>
      </c>
      <c r="J26">
        <f>Deals_Raw!W29</f>
        <v>0.1</v>
      </c>
      <c r="K26" t="str">
        <f>Deals_Raw!Z29</f>
        <v>Pricing Analyst</v>
      </c>
      <c r="L26" t="str">
        <f t="shared" si="1"/>
        <v>yes</v>
      </c>
      <c r="M26" t="str">
        <f t="shared" si="2"/>
        <v>Review</v>
      </c>
      <c r="O26">
        <f>Deals_Raw!AP29</f>
        <v>0.6074039900849002</v>
      </c>
      <c r="P26" t="str">
        <f t="shared" si="3"/>
        <v>False</v>
      </c>
      <c r="R26" t="str">
        <f>Deals_Raw!AF29</f>
        <v>Lost</v>
      </c>
      <c r="S26">
        <f t="shared" si="4"/>
        <v>0</v>
      </c>
      <c r="T26">
        <v>0</v>
      </c>
      <c r="U26">
        <f t="shared" si="5"/>
        <v>0</v>
      </c>
      <c r="V26">
        <v>0</v>
      </c>
      <c r="W26">
        <f t="shared" si="6"/>
        <v>0</v>
      </c>
      <c r="X26">
        <v>0</v>
      </c>
      <c r="Y26">
        <f t="shared" si="7"/>
        <v>0</v>
      </c>
      <c r="Z26">
        <v>0</v>
      </c>
    </row>
    <row r="27" spans="1:26">
      <c r="A27" t="str">
        <f>Deals_Raw!A30</f>
        <v>D00032</v>
      </c>
      <c r="B27">
        <f>COUNTIF(Deals_Raw!$A$5:$A$643,A27)</f>
        <v>1</v>
      </c>
      <c r="C27" s="12" t="str">
        <f>Deals_Raw!E30</f>
        <v>CT00020</v>
      </c>
      <c r="E27">
        <f>Deals_Raw!AA30</f>
        <v>33993.638276106052</v>
      </c>
      <c r="F27">
        <f>ROUND(Deals_Raw!T30*(1-Deals_Raw!W30),2)</f>
        <v>33990.519999999997</v>
      </c>
      <c r="G27">
        <f t="shared" si="0"/>
        <v>-3.1182761060554185</v>
      </c>
      <c r="I27">
        <f>Deals_Raw!V30</f>
        <v>0.22600000000000001</v>
      </c>
      <c r="J27">
        <f>Deals_Raw!W30</f>
        <v>0.184</v>
      </c>
      <c r="K27" t="str">
        <f>Deals_Raw!Z30</f>
        <v>Pricing Analyst</v>
      </c>
      <c r="L27" t="str">
        <f t="shared" si="1"/>
        <v>yes</v>
      </c>
      <c r="M27" t="str">
        <f t="shared" si="2"/>
        <v>Pass</v>
      </c>
      <c r="O27">
        <f>Deals_Raw!AP30</f>
        <v>0.47383451268273746</v>
      </c>
      <c r="P27" t="str">
        <f t="shared" si="3"/>
        <v>False</v>
      </c>
      <c r="R27" t="str">
        <f>Deals_Raw!AF30</f>
        <v>Lost</v>
      </c>
      <c r="S27">
        <f t="shared" si="4"/>
        <v>0</v>
      </c>
      <c r="T27">
        <v>0</v>
      </c>
      <c r="U27">
        <f t="shared" si="5"/>
        <v>0</v>
      </c>
      <c r="V27">
        <v>0</v>
      </c>
      <c r="W27">
        <f t="shared" si="6"/>
        <v>0</v>
      </c>
      <c r="X27">
        <v>0</v>
      </c>
      <c r="Y27">
        <f t="shared" si="7"/>
        <v>0</v>
      </c>
      <c r="Z27">
        <v>0</v>
      </c>
    </row>
    <row r="28" spans="1:26">
      <c r="A28" t="str">
        <f>Deals_Raw!A31</f>
        <v>D00033</v>
      </c>
      <c r="B28">
        <f>COUNTIF(Deals_Raw!$A$5:$A$643,A28)</f>
        <v>1</v>
      </c>
      <c r="C28" s="12" t="str">
        <f>Deals_Raw!E31</f>
        <v>CT00021</v>
      </c>
      <c r="E28">
        <f>Deals_Raw!AA31</f>
        <v>118066.05037244645</v>
      </c>
      <c r="F28">
        <f>ROUND(Deals_Raw!T31*(1-Deals_Raw!W31),2)</f>
        <v>118126.35</v>
      </c>
      <c r="G28">
        <f t="shared" si="0"/>
        <v>60.299627553555183</v>
      </c>
      <c r="I28">
        <f>Deals_Raw!V31</f>
        <v>0.20399999999999999</v>
      </c>
      <c r="J28">
        <f>Deals_Raw!W31</f>
        <v>0.156</v>
      </c>
      <c r="K28" t="str">
        <f>Deals_Raw!Z31</f>
        <v>Pricing Analyst</v>
      </c>
      <c r="L28" t="str">
        <f t="shared" si="1"/>
        <v>yes</v>
      </c>
      <c r="M28" t="str">
        <f t="shared" si="2"/>
        <v>Pass</v>
      </c>
      <c r="O28">
        <f>Deals_Raw!AP31</f>
        <v>0.6358923319430293</v>
      </c>
      <c r="P28" t="str">
        <f t="shared" si="3"/>
        <v>False</v>
      </c>
      <c r="R28" t="str">
        <f>Deals_Raw!AF31</f>
        <v>Lost</v>
      </c>
      <c r="S28">
        <f t="shared" si="4"/>
        <v>0</v>
      </c>
      <c r="T28">
        <v>0</v>
      </c>
      <c r="U28">
        <f t="shared" si="5"/>
        <v>0</v>
      </c>
      <c r="V28">
        <v>0</v>
      </c>
      <c r="W28">
        <f t="shared" si="6"/>
        <v>0</v>
      </c>
      <c r="X28">
        <v>0</v>
      </c>
      <c r="Y28">
        <f t="shared" si="7"/>
        <v>0</v>
      </c>
      <c r="Z28">
        <v>0</v>
      </c>
    </row>
    <row r="29" spans="1:26">
      <c r="A29" t="str">
        <f>Deals_Raw!A32</f>
        <v>D00034</v>
      </c>
      <c r="B29">
        <f>COUNTIF(Deals_Raw!$A$5:$A$643,A29)</f>
        <v>1</v>
      </c>
      <c r="C29" s="12" t="str">
        <f>Deals_Raw!E32</f>
        <v>CT00022</v>
      </c>
      <c r="E29">
        <f>Deals_Raw!AA32</f>
        <v>219611.37895489178</v>
      </c>
      <c r="F29">
        <f>ROUND(Deals_Raw!T32*(1-Deals_Raw!W32),2)</f>
        <v>219598.35</v>
      </c>
      <c r="G29">
        <f t="shared" si="0"/>
        <v>-13.028954891778994</v>
      </c>
      <c r="I29">
        <f>Deals_Raw!V32</f>
        <v>0.17100000000000001</v>
      </c>
      <c r="J29">
        <f>Deals_Raw!W32</f>
        <v>0.13400000000000001</v>
      </c>
      <c r="K29" t="str">
        <f>Deals_Raw!Z32</f>
        <v>Pricing Analyst</v>
      </c>
      <c r="L29" t="str">
        <f t="shared" si="1"/>
        <v>yes</v>
      </c>
      <c r="M29" t="str">
        <f t="shared" si="2"/>
        <v>Pass</v>
      </c>
      <c r="O29">
        <f>Deals_Raw!AP32</f>
        <v>0.51301022179226907</v>
      </c>
      <c r="P29" t="str">
        <f t="shared" si="3"/>
        <v>False</v>
      </c>
      <c r="R29" t="str">
        <f>Deals_Raw!AF32</f>
        <v>Lost</v>
      </c>
      <c r="S29">
        <f t="shared" si="4"/>
        <v>0</v>
      </c>
      <c r="T29">
        <v>0</v>
      </c>
      <c r="U29">
        <f t="shared" si="5"/>
        <v>0</v>
      </c>
      <c r="V29">
        <v>0</v>
      </c>
      <c r="W29">
        <f t="shared" si="6"/>
        <v>0</v>
      </c>
      <c r="X29">
        <v>0</v>
      </c>
      <c r="Y29">
        <f t="shared" si="7"/>
        <v>0</v>
      </c>
      <c r="Z29">
        <v>0</v>
      </c>
    </row>
    <row r="30" spans="1:26">
      <c r="A30" t="str">
        <f>Deals_Raw!A33</f>
        <v>D00035</v>
      </c>
      <c r="B30">
        <f>COUNTIF(Deals_Raw!$A$5:$A$643,A30)</f>
        <v>1</v>
      </c>
      <c r="C30" s="12" t="str">
        <f>Deals_Raw!E33</f>
        <v>CT00023</v>
      </c>
      <c r="E30">
        <f>Deals_Raw!AA33</f>
        <v>396827.14668511221</v>
      </c>
      <c r="F30">
        <f>ROUND(Deals_Raw!T33*(1-Deals_Raw!W33),2)</f>
        <v>396932.56</v>
      </c>
      <c r="G30">
        <f t="shared" si="0"/>
        <v>105.41331488778815</v>
      </c>
      <c r="I30">
        <f>Deals_Raw!V33</f>
        <v>0.184</v>
      </c>
      <c r="J30">
        <f>Deals_Raw!W33</f>
        <v>0.152</v>
      </c>
      <c r="K30" t="str">
        <f>Deals_Raw!Z33</f>
        <v>Pricing Analyst</v>
      </c>
      <c r="L30" t="str">
        <f t="shared" si="1"/>
        <v>yes</v>
      </c>
      <c r="M30" t="str">
        <f t="shared" si="2"/>
        <v>Pass</v>
      </c>
      <c r="O30">
        <f>Deals_Raw!AP33</f>
        <v>0.55335606487627753</v>
      </c>
      <c r="P30" t="str">
        <f t="shared" si="3"/>
        <v>False</v>
      </c>
      <c r="R30" t="str">
        <f>Deals_Raw!AF33</f>
        <v>Lost</v>
      </c>
      <c r="S30">
        <f t="shared" si="4"/>
        <v>0</v>
      </c>
      <c r="T30">
        <v>0</v>
      </c>
      <c r="U30">
        <f t="shared" si="5"/>
        <v>0</v>
      </c>
      <c r="V30">
        <v>0</v>
      </c>
      <c r="W30">
        <f t="shared" si="6"/>
        <v>0</v>
      </c>
      <c r="X30">
        <v>0</v>
      </c>
      <c r="Y30">
        <f t="shared" si="7"/>
        <v>0</v>
      </c>
      <c r="Z30">
        <v>0</v>
      </c>
    </row>
    <row r="31" spans="1:26">
      <c r="A31" t="str">
        <f>Deals_Raw!A34</f>
        <v>D00036</v>
      </c>
      <c r="B31">
        <f>COUNTIF(Deals_Raw!$A$5:$A$643,A31)</f>
        <v>1</v>
      </c>
      <c r="C31" s="12" t="str">
        <f>Deals_Raw!E34</f>
        <v>CT00023</v>
      </c>
      <c r="E31">
        <f>Deals_Raw!AA34</f>
        <v>387889.10276917927</v>
      </c>
      <c r="F31">
        <f>ROUND(Deals_Raw!T34*(1-Deals_Raw!W34),2)</f>
        <v>388039.03</v>
      </c>
      <c r="G31">
        <f t="shared" si="0"/>
        <v>149.92723082075827</v>
      </c>
      <c r="I31">
        <f>Deals_Raw!V34</f>
        <v>0.182</v>
      </c>
      <c r="J31">
        <f>Deals_Raw!W34</f>
        <v>0.17100000000000001</v>
      </c>
      <c r="K31" t="str">
        <f>Deals_Raw!Z34</f>
        <v>Pricing Analyst</v>
      </c>
      <c r="L31" t="str">
        <f t="shared" si="1"/>
        <v>yes</v>
      </c>
      <c r="M31" t="str">
        <f t="shared" si="2"/>
        <v>Pass</v>
      </c>
      <c r="O31">
        <f>Deals_Raw!AP34</f>
        <v>0.56851357472995445</v>
      </c>
      <c r="P31" t="str">
        <f t="shared" si="3"/>
        <v>False</v>
      </c>
      <c r="R31" t="str">
        <f>Deals_Raw!AF34</f>
        <v>Won</v>
      </c>
      <c r="S31">
        <f t="shared" si="4"/>
        <v>388039.03</v>
      </c>
      <c r="T31">
        <f>Deals_Raw!AM34</f>
        <v>388039.03</v>
      </c>
      <c r="U31">
        <f t="shared" si="5"/>
        <v>1164117.0900000001</v>
      </c>
      <c r="V31">
        <f>Deals_Raw!AN34</f>
        <v>1164117.0900000001</v>
      </c>
      <c r="W31">
        <f t="shared" si="6"/>
        <v>220605.45608004404</v>
      </c>
      <c r="X31">
        <f>Deals_Raw!AO34</f>
        <v>220605.45608004404</v>
      </c>
      <c r="Y31">
        <f t="shared" si="7"/>
        <v>0.56851357472995445</v>
      </c>
      <c r="Z31">
        <f>Deals_Raw!AP34</f>
        <v>0.56851357472995445</v>
      </c>
    </row>
    <row r="32" spans="1:26">
      <c r="A32" t="str">
        <f>Deals_Raw!A35</f>
        <v>D00037</v>
      </c>
      <c r="B32">
        <f>COUNTIF(Deals_Raw!$A$5:$A$643,A32)</f>
        <v>1</v>
      </c>
      <c r="C32" s="12" t="str">
        <f>Deals_Raw!E35</f>
        <v>CT00024</v>
      </c>
      <c r="E32">
        <f>Deals_Raw!AA35</f>
        <v>159491.64409505556</v>
      </c>
      <c r="F32">
        <f>ROUND(Deals_Raw!T35*(1-Deals_Raw!W35),2)</f>
        <v>159422.66</v>
      </c>
      <c r="G32">
        <f t="shared" si="0"/>
        <v>-68.984095055551734</v>
      </c>
      <c r="I32">
        <f>Deals_Raw!V35</f>
        <v>0.124</v>
      </c>
      <c r="J32">
        <f>Deals_Raw!W35</f>
        <v>7.9000000000000001E-2</v>
      </c>
      <c r="K32" t="str">
        <f>Deals_Raw!Z35</f>
        <v>Sales Manager</v>
      </c>
      <c r="L32" t="str">
        <f t="shared" si="1"/>
        <v>yes</v>
      </c>
      <c r="M32" t="str">
        <f t="shared" si="2"/>
        <v>Pass</v>
      </c>
      <c r="O32">
        <f>Deals_Raw!AP35</f>
        <v>0.61239353940618635</v>
      </c>
      <c r="P32" t="str">
        <f t="shared" si="3"/>
        <v>False</v>
      </c>
      <c r="R32" t="str">
        <f>Deals_Raw!AF35</f>
        <v>Won</v>
      </c>
      <c r="S32">
        <f t="shared" si="4"/>
        <v>159422.66</v>
      </c>
      <c r="T32">
        <f>Deals_Raw!AM35</f>
        <v>159422.66</v>
      </c>
      <c r="U32">
        <f t="shared" si="5"/>
        <v>159422.66</v>
      </c>
      <c r="V32">
        <f>Deals_Raw!AN35</f>
        <v>159422.66</v>
      </c>
      <c r="W32">
        <f t="shared" si="6"/>
        <v>97629.407018949045</v>
      </c>
      <c r="X32">
        <f>Deals_Raw!AO35</f>
        <v>97629.407018949045</v>
      </c>
      <c r="Y32">
        <f t="shared" si="7"/>
        <v>0.61239353940618635</v>
      </c>
      <c r="Z32">
        <f>Deals_Raw!AP35</f>
        <v>0.61239353940618635</v>
      </c>
    </row>
    <row r="33" spans="1:26">
      <c r="A33" t="str">
        <f>Deals_Raw!A36</f>
        <v>D00038</v>
      </c>
      <c r="B33">
        <f>COUNTIF(Deals_Raw!$A$5:$A$643,A33)</f>
        <v>1</v>
      </c>
      <c r="C33" s="12" t="str">
        <f>Deals_Raw!E36</f>
        <v>CT00025</v>
      </c>
      <c r="E33">
        <f>Deals_Raw!AA36</f>
        <v>113266.1200032303</v>
      </c>
      <c r="F33">
        <f>ROUND(Deals_Raw!T36*(1-Deals_Raw!W36),2)</f>
        <v>113282.7</v>
      </c>
      <c r="G33">
        <f t="shared" si="0"/>
        <v>16.579996769694844</v>
      </c>
      <c r="I33">
        <f>Deals_Raw!V36</f>
        <v>6.9000000000000006E-2</v>
      </c>
      <c r="J33">
        <f>Deals_Raw!W36</f>
        <v>5.6000000000000001E-2</v>
      </c>
      <c r="K33" t="str">
        <f>Deals_Raw!Z36</f>
        <v>Sales Manager</v>
      </c>
      <c r="L33" t="str">
        <f t="shared" si="1"/>
        <v>yes</v>
      </c>
      <c r="M33" t="str">
        <f t="shared" si="2"/>
        <v>Pass</v>
      </c>
      <c r="O33">
        <f>Deals_Raw!AP36</f>
        <v>0.65969763115867497</v>
      </c>
      <c r="P33" t="str">
        <f t="shared" si="3"/>
        <v>False</v>
      </c>
      <c r="R33" t="str">
        <f>Deals_Raw!AF36</f>
        <v>Won</v>
      </c>
      <c r="S33">
        <f t="shared" si="4"/>
        <v>113282.7</v>
      </c>
      <c r="T33">
        <f>Deals_Raw!AM36</f>
        <v>113282.7</v>
      </c>
      <c r="U33">
        <f t="shared" si="5"/>
        <v>339848.1</v>
      </c>
      <c r="V33">
        <f>Deals_Raw!AN36</f>
        <v>339848.1</v>
      </c>
      <c r="W33">
        <f t="shared" si="6"/>
        <v>74732.32884125883</v>
      </c>
      <c r="X33">
        <f>Deals_Raw!AO36</f>
        <v>74732.32884125883</v>
      </c>
      <c r="Y33">
        <f t="shared" si="7"/>
        <v>0.65969763115867497</v>
      </c>
      <c r="Z33">
        <f>Deals_Raw!AP36</f>
        <v>0.65969763115867497</v>
      </c>
    </row>
    <row r="34" spans="1:26">
      <c r="A34" t="str">
        <f>Deals_Raw!A37</f>
        <v>D00039</v>
      </c>
      <c r="B34">
        <f>COUNTIF(Deals_Raw!$A$5:$A$643,A34)</f>
        <v>1</v>
      </c>
      <c r="C34" s="12" t="str">
        <f>Deals_Raw!E37</f>
        <v>CT00027</v>
      </c>
      <c r="E34">
        <f>Deals_Raw!AA37</f>
        <v>45368.134815524143</v>
      </c>
      <c r="F34">
        <f>ROUND(Deals_Raw!T37*(1-Deals_Raw!W37),2)</f>
        <v>45363.54</v>
      </c>
      <c r="G34">
        <f t="shared" si="0"/>
        <v>-4.5948155241421773</v>
      </c>
      <c r="I34">
        <f>Deals_Raw!V37</f>
        <v>0.2</v>
      </c>
      <c r="J34">
        <f>Deals_Raw!W37</f>
        <v>0.17799999999999999</v>
      </c>
      <c r="K34" t="str">
        <f>Deals_Raw!Z37</f>
        <v>Pricing Analyst</v>
      </c>
      <c r="L34" t="str">
        <f t="shared" si="1"/>
        <v>yes</v>
      </c>
      <c r="M34" t="str">
        <f t="shared" si="2"/>
        <v>Pass</v>
      </c>
      <c r="O34">
        <f>Deals_Raw!AP37</f>
        <v>0.51920182245307667</v>
      </c>
      <c r="P34" t="str">
        <f t="shared" si="3"/>
        <v>False</v>
      </c>
      <c r="R34" t="str">
        <f>Deals_Raw!AF37</f>
        <v>Won</v>
      </c>
      <c r="S34">
        <f t="shared" si="4"/>
        <v>45363.54</v>
      </c>
      <c r="T34">
        <f>Deals_Raw!AM37</f>
        <v>45363.54</v>
      </c>
      <c r="U34">
        <f t="shared" si="5"/>
        <v>45363.54</v>
      </c>
      <c r="V34">
        <f>Deals_Raw!AN37</f>
        <v>45363.54</v>
      </c>
      <c r="W34">
        <f t="shared" si="6"/>
        <v>23552.832640923043</v>
      </c>
      <c r="X34">
        <f>Deals_Raw!AO37</f>
        <v>23552.832640923043</v>
      </c>
      <c r="Y34">
        <f t="shared" si="7"/>
        <v>0.51920182245307667</v>
      </c>
      <c r="Z34">
        <f>Deals_Raw!AP37</f>
        <v>0.51920182245307667</v>
      </c>
    </row>
    <row r="35" spans="1:26">
      <c r="A35" t="str">
        <f>Deals_Raw!A38</f>
        <v>D00040</v>
      </c>
      <c r="B35">
        <f>COUNTIF(Deals_Raw!$A$5:$A$643,A35)</f>
        <v>1</v>
      </c>
      <c r="C35" s="12" t="str">
        <f>Deals_Raw!E38</f>
        <v>CT00027</v>
      </c>
      <c r="E35">
        <f>Deals_Raw!AA38</f>
        <v>55225.688310959304</v>
      </c>
      <c r="F35">
        <f>ROUND(Deals_Raw!T38*(1-Deals_Raw!W38),2)</f>
        <v>55219.31</v>
      </c>
      <c r="G35">
        <f t="shared" si="0"/>
        <v>-6.3783109593059635</v>
      </c>
      <c r="I35">
        <f>Deals_Raw!V38</f>
        <v>0.187</v>
      </c>
      <c r="J35">
        <f>Deals_Raw!W38</f>
        <v>0.16500000000000001</v>
      </c>
      <c r="K35" t="str">
        <f>Deals_Raw!Z38</f>
        <v>Pricing Analyst</v>
      </c>
      <c r="L35" t="str">
        <f t="shared" si="1"/>
        <v>yes</v>
      </c>
      <c r="M35" t="str">
        <f t="shared" si="2"/>
        <v>Pass</v>
      </c>
      <c r="O35">
        <f>Deals_Raw!AP38</f>
        <v>0.54076915057361696</v>
      </c>
      <c r="P35" t="str">
        <f t="shared" si="3"/>
        <v>False</v>
      </c>
      <c r="R35" t="str">
        <f>Deals_Raw!AF38</f>
        <v>Won</v>
      </c>
      <c r="S35">
        <f t="shared" si="4"/>
        <v>55219.31</v>
      </c>
      <c r="T35">
        <f>Deals_Raw!AM38</f>
        <v>55219.31</v>
      </c>
      <c r="U35">
        <f t="shared" si="5"/>
        <v>55219.31</v>
      </c>
      <c r="V35">
        <f>Deals_Raw!AN38</f>
        <v>55219.31</v>
      </c>
      <c r="W35">
        <f t="shared" si="6"/>
        <v>29860.899363961231</v>
      </c>
      <c r="X35">
        <f>Deals_Raw!AO38</f>
        <v>29860.899363961231</v>
      </c>
      <c r="Y35">
        <f t="shared" si="7"/>
        <v>0.54076915057361696</v>
      </c>
      <c r="Z35">
        <f>Deals_Raw!AP38</f>
        <v>0.54076915057361696</v>
      </c>
    </row>
    <row r="36" spans="1:26">
      <c r="A36" t="str">
        <f>Deals_Raw!A39</f>
        <v>D00041</v>
      </c>
      <c r="B36">
        <f>COUNTIF(Deals_Raw!$A$5:$A$643,A36)</f>
        <v>1</v>
      </c>
      <c r="C36" s="12" t="str">
        <f>Deals_Raw!E39</f>
        <v>CT00027</v>
      </c>
      <c r="E36">
        <f>Deals_Raw!AA39</f>
        <v>65189.490557432808</v>
      </c>
      <c r="F36">
        <f>ROUND(Deals_Raw!T39*(1-Deals_Raw!W39),2)</f>
        <v>65175.09</v>
      </c>
      <c r="G36">
        <f t="shared" si="0"/>
        <v>-14.400557432811183</v>
      </c>
      <c r="I36">
        <f>Deals_Raw!V39</f>
        <v>7.6999999999999999E-2</v>
      </c>
      <c r="J36">
        <f>Deals_Raw!W39</f>
        <v>3.4000000000000002E-2</v>
      </c>
      <c r="K36" t="str">
        <f>Deals_Raw!Z39</f>
        <v>Sales Manager</v>
      </c>
      <c r="L36" t="str">
        <f t="shared" si="1"/>
        <v>yes</v>
      </c>
      <c r="M36" t="str">
        <f t="shared" si="2"/>
        <v>Pass</v>
      </c>
      <c r="O36">
        <f>Deals_Raw!AP39</f>
        <v>0.60339678439781885</v>
      </c>
      <c r="P36" t="str">
        <f t="shared" si="3"/>
        <v>False</v>
      </c>
      <c r="R36" t="str">
        <f>Deals_Raw!AF39</f>
        <v>Won</v>
      </c>
      <c r="S36">
        <f t="shared" si="4"/>
        <v>65175.09</v>
      </c>
      <c r="T36">
        <f>Deals_Raw!AM39</f>
        <v>65175.09</v>
      </c>
      <c r="U36">
        <f t="shared" si="5"/>
        <v>65175.09</v>
      </c>
      <c r="V36">
        <f>Deals_Raw!AN39</f>
        <v>65175.09</v>
      </c>
      <c r="W36">
        <f t="shared" si="6"/>
        <v>39326.439728838435</v>
      </c>
      <c r="X36">
        <f>Deals_Raw!AO39</f>
        <v>39326.439728838435</v>
      </c>
      <c r="Y36">
        <f t="shared" si="7"/>
        <v>0.60339678439781885</v>
      </c>
      <c r="Z36">
        <f>Deals_Raw!AP39</f>
        <v>0.60339678439781885</v>
      </c>
    </row>
    <row r="37" spans="1:26">
      <c r="A37" t="str">
        <f>Deals_Raw!A40</f>
        <v>D00042</v>
      </c>
      <c r="B37">
        <f>COUNTIF(Deals_Raw!$A$5:$A$643,A37)</f>
        <v>1</v>
      </c>
      <c r="C37" s="12" t="str">
        <f>Deals_Raw!E40</f>
        <v>CT00028</v>
      </c>
      <c r="E37">
        <f>Deals_Raw!AA40</f>
        <v>97031.657896035671</v>
      </c>
      <c r="F37">
        <f>ROUND(Deals_Raw!T40*(1-Deals_Raw!W40),2)</f>
        <v>96986.63</v>
      </c>
      <c r="G37">
        <f t="shared" si="0"/>
        <v>-45.027896035666345</v>
      </c>
      <c r="I37">
        <f>Deals_Raw!V40</f>
        <v>6.9000000000000006E-2</v>
      </c>
      <c r="J37">
        <f>Deals_Raw!W40</f>
        <v>5.0999999999999997E-2</v>
      </c>
      <c r="K37" t="str">
        <f>Deals_Raw!Z40</f>
        <v>Sales Manager</v>
      </c>
      <c r="L37" t="str">
        <f t="shared" si="1"/>
        <v>yes</v>
      </c>
      <c r="M37" t="str">
        <f t="shared" si="2"/>
        <v>Pass</v>
      </c>
      <c r="O37">
        <f>Deals_Raw!AP40</f>
        <v>0.63245014027474966</v>
      </c>
      <c r="P37" t="str">
        <f t="shared" si="3"/>
        <v>False</v>
      </c>
      <c r="R37" t="str">
        <f>Deals_Raw!AF40</f>
        <v>Won</v>
      </c>
      <c r="S37">
        <f t="shared" si="4"/>
        <v>96986.63</v>
      </c>
      <c r="T37">
        <f>Deals_Raw!AM40</f>
        <v>96986.63</v>
      </c>
      <c r="U37">
        <f t="shared" si="5"/>
        <v>290959.89</v>
      </c>
      <c r="V37">
        <f>Deals_Raw!AN40</f>
        <v>290959.89</v>
      </c>
      <c r="W37">
        <f t="shared" si="6"/>
        <v>61339.20774827525</v>
      </c>
      <c r="X37">
        <f>Deals_Raw!AO40</f>
        <v>61339.20774827525</v>
      </c>
      <c r="Y37">
        <f t="shared" si="7"/>
        <v>0.63245014027474966</v>
      </c>
      <c r="Z37">
        <f>Deals_Raw!AP40</f>
        <v>0.63245014027474966</v>
      </c>
    </row>
    <row r="38" spans="1:26">
      <c r="A38" t="str">
        <f>Deals_Raw!A41</f>
        <v>D00043</v>
      </c>
      <c r="B38">
        <f>COUNTIF(Deals_Raw!$A$5:$A$643,A38)</f>
        <v>1</v>
      </c>
      <c r="C38" s="12" t="str">
        <f>Deals_Raw!E41</f>
        <v>CT00029</v>
      </c>
      <c r="E38">
        <f>Deals_Raw!AA41</f>
        <v>88180.621625383646</v>
      </c>
      <c r="F38">
        <f>ROUND(Deals_Raw!T41*(1-Deals_Raw!W41),2)</f>
        <v>88208.69</v>
      </c>
      <c r="G38">
        <f t="shared" si="0"/>
        <v>28.068374616355868</v>
      </c>
      <c r="I38">
        <f>Deals_Raw!V41</f>
        <v>0.2</v>
      </c>
      <c r="J38">
        <f>Deals_Raw!W41</f>
        <v>0.19700000000000001</v>
      </c>
      <c r="K38" t="str">
        <f>Deals_Raw!Z41</f>
        <v>Pricing Analyst</v>
      </c>
      <c r="L38" t="str">
        <f t="shared" si="1"/>
        <v>yes</v>
      </c>
      <c r="M38" t="str">
        <f t="shared" si="2"/>
        <v>Pass</v>
      </c>
      <c r="O38">
        <f>Deals_Raw!AP41</f>
        <v>0.65448214533870441</v>
      </c>
      <c r="P38" t="str">
        <f t="shared" si="3"/>
        <v>False</v>
      </c>
      <c r="R38" t="str">
        <f>Deals_Raw!AF41</f>
        <v>Won</v>
      </c>
      <c r="S38">
        <f t="shared" si="4"/>
        <v>88208.69</v>
      </c>
      <c r="T38">
        <f>Deals_Raw!AM41</f>
        <v>88208.69</v>
      </c>
      <c r="U38">
        <f t="shared" si="5"/>
        <v>88208.69</v>
      </c>
      <c r="V38">
        <f>Deals_Raw!AN41</f>
        <v>88208.69</v>
      </c>
      <c r="W38">
        <f t="shared" si="6"/>
        <v>57731.012668716721</v>
      </c>
      <c r="X38">
        <f>Deals_Raw!AO41</f>
        <v>57731.012668716721</v>
      </c>
      <c r="Y38">
        <f t="shared" si="7"/>
        <v>0.65448214533870441</v>
      </c>
      <c r="Z38">
        <f>Deals_Raw!AP41</f>
        <v>0.65448214533870441</v>
      </c>
    </row>
    <row r="39" spans="1:26">
      <c r="A39" t="str">
        <f>Deals_Raw!A42</f>
        <v>D00044</v>
      </c>
      <c r="B39">
        <f>COUNTIF(Deals_Raw!$A$5:$A$643,A39)</f>
        <v>1</v>
      </c>
      <c r="C39" s="12" t="str">
        <f>Deals_Raw!E42</f>
        <v>CT00029</v>
      </c>
      <c r="E39">
        <f>Deals_Raw!AA42</f>
        <v>104820.09140975786</v>
      </c>
      <c r="F39">
        <f>ROUND(Deals_Raw!T42*(1-Deals_Raw!W42),2)</f>
        <v>104863.44</v>
      </c>
      <c r="G39">
        <f t="shared" si="0"/>
        <v>43.348590242138016</v>
      </c>
      <c r="I39">
        <f>Deals_Raw!V42</f>
        <v>8.5999999999999993E-2</v>
      </c>
      <c r="J39">
        <f>Deals_Raw!W42</f>
        <v>6.7000000000000004E-2</v>
      </c>
      <c r="K39" t="str">
        <f>Deals_Raw!Z42</f>
        <v>Sales Manager</v>
      </c>
      <c r="L39" t="str">
        <f t="shared" si="1"/>
        <v>yes</v>
      </c>
      <c r="M39" t="str">
        <f t="shared" si="2"/>
        <v>Pass</v>
      </c>
      <c r="O39">
        <f>Deals_Raw!AP42</f>
        <v>0.65278220623257532</v>
      </c>
      <c r="P39" t="str">
        <f t="shared" si="3"/>
        <v>False</v>
      </c>
      <c r="R39" t="str">
        <f>Deals_Raw!AF42</f>
        <v>Lost</v>
      </c>
      <c r="S39">
        <f t="shared" si="4"/>
        <v>0</v>
      </c>
      <c r="T39">
        <v>0</v>
      </c>
      <c r="U39">
        <f t="shared" si="5"/>
        <v>0</v>
      </c>
      <c r="V39">
        <v>0</v>
      </c>
      <c r="W39">
        <f t="shared" si="6"/>
        <v>0</v>
      </c>
      <c r="X39">
        <v>0</v>
      </c>
      <c r="Y39">
        <f t="shared" si="7"/>
        <v>0</v>
      </c>
      <c r="Z39">
        <v>0</v>
      </c>
    </row>
    <row r="40" spans="1:26">
      <c r="A40" t="str">
        <f>Deals_Raw!A43</f>
        <v>D00045</v>
      </c>
      <c r="B40">
        <f>COUNTIF(Deals_Raw!$A$5:$A$643,A40)</f>
        <v>1</v>
      </c>
      <c r="C40" s="12" t="str">
        <f>Deals_Raw!E43</f>
        <v>CT00030</v>
      </c>
      <c r="E40">
        <f>Deals_Raw!AA43</f>
        <v>177720.63122071169</v>
      </c>
      <c r="F40">
        <f>ROUND(Deals_Raw!T43*(1-Deals_Raw!W43),2)</f>
        <v>177634.19</v>
      </c>
      <c r="G40">
        <f t="shared" si="0"/>
        <v>-86.441220711683854</v>
      </c>
      <c r="I40">
        <f>Deals_Raw!V43</f>
        <v>4.2999999999999997E-2</v>
      </c>
      <c r="J40">
        <f>Deals_Raw!W43</f>
        <v>7.0000000000000001E-3</v>
      </c>
      <c r="K40" t="str">
        <f>Deals_Raw!Z43</f>
        <v>Sales Manager</v>
      </c>
      <c r="L40" t="str">
        <f t="shared" si="1"/>
        <v>yes</v>
      </c>
      <c r="M40" t="str">
        <f t="shared" si="2"/>
        <v>Pass</v>
      </c>
      <c r="O40">
        <f>Deals_Raw!AP43</f>
        <v>0.63034113671526393</v>
      </c>
      <c r="P40" t="str">
        <f t="shared" si="3"/>
        <v>False</v>
      </c>
      <c r="R40" t="str">
        <f>Deals_Raw!AF43</f>
        <v>Won</v>
      </c>
      <c r="S40">
        <f t="shared" si="4"/>
        <v>177634.19</v>
      </c>
      <c r="T40">
        <f>Deals_Raw!AM43</f>
        <v>177634.19</v>
      </c>
      <c r="U40">
        <f t="shared" si="5"/>
        <v>177634.19</v>
      </c>
      <c r="V40">
        <f>Deals_Raw!AN43</f>
        <v>177634.19</v>
      </c>
      <c r="W40">
        <f t="shared" si="6"/>
        <v>111970.13724409517</v>
      </c>
      <c r="X40">
        <f>Deals_Raw!AO43</f>
        <v>111970.13724409517</v>
      </c>
      <c r="Y40">
        <f t="shared" si="7"/>
        <v>0.63034113671526393</v>
      </c>
      <c r="Z40">
        <f>Deals_Raw!AP43</f>
        <v>0.63034113671526393</v>
      </c>
    </row>
    <row r="41" spans="1:26">
      <c r="A41" t="str">
        <f>Deals_Raw!A44</f>
        <v>D00046</v>
      </c>
      <c r="B41">
        <f>COUNTIF(Deals_Raw!$A$5:$A$643,A41)</f>
        <v>1</v>
      </c>
      <c r="C41" s="12" t="str">
        <f>Deals_Raw!E44</f>
        <v>CT00030</v>
      </c>
      <c r="E41">
        <f>Deals_Raw!AA44</f>
        <v>168366.76449982187</v>
      </c>
      <c r="F41">
        <f>ROUND(Deals_Raw!T44*(1-Deals_Raw!W44),2)</f>
        <v>168362.84</v>
      </c>
      <c r="G41">
        <f t="shared" si="0"/>
        <v>-3.9244998218782712</v>
      </c>
      <c r="I41">
        <f>Deals_Raw!V44</f>
        <v>0.10299999999999999</v>
      </c>
      <c r="J41">
        <f>Deals_Raw!W44</f>
        <v>8.2000000000000003E-2</v>
      </c>
      <c r="K41" t="str">
        <f>Deals_Raw!Z44</f>
        <v>Sales Manager</v>
      </c>
      <c r="L41" t="str">
        <f t="shared" si="1"/>
        <v>yes</v>
      </c>
      <c r="M41" t="str">
        <f t="shared" si="2"/>
        <v>Pass</v>
      </c>
      <c r="O41">
        <f>Deals_Raw!AP44</f>
        <v>0.61278425547133109</v>
      </c>
      <c r="P41" t="str">
        <f t="shared" si="3"/>
        <v>False</v>
      </c>
      <c r="R41" t="str">
        <f>Deals_Raw!AF44</f>
        <v>Won</v>
      </c>
      <c r="S41">
        <f t="shared" si="4"/>
        <v>168362.84</v>
      </c>
      <c r="T41">
        <f>Deals_Raw!AM44</f>
        <v>168362.84</v>
      </c>
      <c r="U41">
        <f t="shared" si="5"/>
        <v>168362.84</v>
      </c>
      <c r="V41">
        <f>Deals_Raw!AN44</f>
        <v>168362.84</v>
      </c>
      <c r="W41">
        <f t="shared" si="6"/>
        <v>103170.09755843884</v>
      </c>
      <c r="X41">
        <f>Deals_Raw!AO44</f>
        <v>103170.09755843884</v>
      </c>
      <c r="Y41">
        <f t="shared" si="7"/>
        <v>0.61278425547133109</v>
      </c>
      <c r="Z41">
        <f>Deals_Raw!AP44</f>
        <v>0.61278425547133109</v>
      </c>
    </row>
    <row r="42" spans="1:26">
      <c r="A42" t="str">
        <f>Deals_Raw!A45</f>
        <v>D00047</v>
      </c>
      <c r="B42">
        <f>COUNTIF(Deals_Raw!$A$5:$A$643,A42)</f>
        <v>1</v>
      </c>
      <c r="C42" s="12" t="str">
        <f>Deals_Raw!E45</f>
        <v>CT00030</v>
      </c>
      <c r="E42">
        <f>Deals_Raw!AA45</f>
        <v>238605.31554552613</v>
      </c>
      <c r="F42">
        <f>ROUND(Deals_Raw!T45*(1-Deals_Raw!W45),2)</f>
        <v>238548.21</v>
      </c>
      <c r="G42">
        <f t="shared" si="0"/>
        <v>-57.105545526137576</v>
      </c>
      <c r="I42">
        <f>Deals_Raw!V45</f>
        <v>6.6000000000000003E-2</v>
      </c>
      <c r="J42">
        <f>Deals_Raw!W45</f>
        <v>3.5999999999999997E-2</v>
      </c>
      <c r="K42" t="str">
        <f>Deals_Raw!Z45</f>
        <v>Sales Manager</v>
      </c>
      <c r="L42" t="str">
        <f t="shared" si="1"/>
        <v>yes</v>
      </c>
      <c r="M42" t="str">
        <f t="shared" si="2"/>
        <v>Pass</v>
      </c>
      <c r="O42">
        <f>Deals_Raw!AP45</f>
        <v>0.59280107344751443</v>
      </c>
      <c r="P42" t="str">
        <f t="shared" si="3"/>
        <v>False</v>
      </c>
      <c r="R42" t="str">
        <f>Deals_Raw!AF45</f>
        <v>Won</v>
      </c>
      <c r="S42">
        <f t="shared" si="4"/>
        <v>238548.21</v>
      </c>
      <c r="T42">
        <f>Deals_Raw!AM45</f>
        <v>238548.21</v>
      </c>
      <c r="U42">
        <f t="shared" si="5"/>
        <v>238548.21</v>
      </c>
      <c r="V42">
        <f>Deals_Raw!AN45</f>
        <v>238548.21</v>
      </c>
      <c r="W42">
        <f t="shared" si="6"/>
        <v>141411.63495698309</v>
      </c>
      <c r="X42">
        <f>Deals_Raw!AO45</f>
        <v>141411.63495698309</v>
      </c>
      <c r="Y42">
        <f t="shared" si="7"/>
        <v>0.59280107344751443</v>
      </c>
      <c r="Z42">
        <f>Deals_Raw!AP45</f>
        <v>0.59280107344751443</v>
      </c>
    </row>
    <row r="43" spans="1:26">
      <c r="A43" t="str">
        <f>Deals_Raw!A46</f>
        <v>D00048</v>
      </c>
      <c r="B43">
        <f>COUNTIF(Deals_Raw!$A$5:$A$643,A43)</f>
        <v>1</v>
      </c>
      <c r="C43" s="12" t="str">
        <f>Deals_Raw!E46</f>
        <v>CT00030</v>
      </c>
      <c r="E43">
        <f>Deals_Raw!AA46</f>
        <v>256502.02173111713</v>
      </c>
      <c r="F43">
        <f>ROUND(Deals_Raw!T46*(1-Deals_Raw!W46),2)</f>
        <v>256530.91</v>
      </c>
      <c r="G43">
        <f t="shared" si="0"/>
        <v>28.888268882874399</v>
      </c>
      <c r="I43">
        <f>Deals_Raw!V46</f>
        <v>4.8000000000000001E-2</v>
      </c>
      <c r="J43">
        <f>Deals_Raw!W46</f>
        <v>3.1E-2</v>
      </c>
      <c r="K43" t="str">
        <f>Deals_Raw!Z46</f>
        <v>Sales Manager</v>
      </c>
      <c r="L43" t="str">
        <f t="shared" si="1"/>
        <v>yes</v>
      </c>
      <c r="M43" t="str">
        <f t="shared" si="2"/>
        <v>Pass</v>
      </c>
      <c r="O43">
        <f>Deals_Raw!AP46</f>
        <v>0.66907020358736258</v>
      </c>
      <c r="P43" t="str">
        <f t="shared" si="3"/>
        <v>False</v>
      </c>
      <c r="R43" t="str">
        <f>Deals_Raw!AF46</f>
        <v>Lost</v>
      </c>
      <c r="S43">
        <f t="shared" si="4"/>
        <v>0</v>
      </c>
      <c r="T43">
        <v>0</v>
      </c>
      <c r="U43">
        <f t="shared" si="5"/>
        <v>0</v>
      </c>
      <c r="V43">
        <v>0</v>
      </c>
      <c r="W43">
        <f t="shared" si="6"/>
        <v>0</v>
      </c>
      <c r="X43">
        <v>0</v>
      </c>
      <c r="Y43">
        <f t="shared" si="7"/>
        <v>0</v>
      </c>
      <c r="Z43">
        <v>0</v>
      </c>
    </row>
    <row r="44" spans="1:26">
      <c r="A44" t="str">
        <f>Deals_Raw!A47</f>
        <v>D00049</v>
      </c>
      <c r="B44">
        <f>COUNTIF(Deals_Raw!$A$5:$A$643,A44)</f>
        <v>1</v>
      </c>
      <c r="C44" s="12" t="str">
        <f>Deals_Raw!E47</f>
        <v>CT00031</v>
      </c>
      <c r="E44">
        <f>Deals_Raw!AA47</f>
        <v>54213.499229660614</v>
      </c>
      <c r="F44">
        <f>ROUND(Deals_Raw!T47*(1-Deals_Raw!W47),2)</f>
        <v>54231.58</v>
      </c>
      <c r="G44">
        <f t="shared" si="0"/>
        <v>18.080770339387527</v>
      </c>
      <c r="I44">
        <f>Deals_Raw!V47</f>
        <v>0.19600000000000001</v>
      </c>
      <c r="J44">
        <f>Deals_Raw!W47</f>
        <v>0.13300000000000001</v>
      </c>
      <c r="K44" t="str">
        <f>Deals_Raw!Z47</f>
        <v>Pricing Analyst</v>
      </c>
      <c r="L44" t="str">
        <f t="shared" si="1"/>
        <v>yes</v>
      </c>
      <c r="M44" t="str">
        <f t="shared" si="2"/>
        <v>Pass</v>
      </c>
      <c r="O44">
        <f>Deals_Raw!AP47</f>
        <v>0.63652276760490945</v>
      </c>
      <c r="P44" t="str">
        <f t="shared" si="3"/>
        <v>False</v>
      </c>
      <c r="R44" t="str">
        <f>Deals_Raw!AF47</f>
        <v>Won</v>
      </c>
      <c r="S44">
        <f t="shared" si="4"/>
        <v>54231.58</v>
      </c>
      <c r="T44">
        <f>Deals_Raw!AM47</f>
        <v>54231.58</v>
      </c>
      <c r="U44">
        <f t="shared" si="5"/>
        <v>54231.58</v>
      </c>
      <c r="V44">
        <f>Deals_Raw!AN47</f>
        <v>54231.58</v>
      </c>
      <c r="W44">
        <f t="shared" si="6"/>
        <v>34519.635393187054</v>
      </c>
      <c r="X44">
        <f>Deals_Raw!AO47</f>
        <v>34519.635393187054</v>
      </c>
      <c r="Y44">
        <f t="shared" si="7"/>
        <v>0.63652276760490945</v>
      </c>
      <c r="Z44">
        <f>Deals_Raw!AP47</f>
        <v>0.63652276760490945</v>
      </c>
    </row>
    <row r="45" spans="1:26">
      <c r="A45" t="str">
        <f>Deals_Raw!A48</f>
        <v>D00050</v>
      </c>
      <c r="B45">
        <f>COUNTIF(Deals_Raw!$A$5:$A$643,A45)</f>
        <v>1</v>
      </c>
      <c r="C45" s="12" t="str">
        <f>Deals_Raw!E48</f>
        <v>CT00031</v>
      </c>
      <c r="E45">
        <f>Deals_Raw!AA48</f>
        <v>64753.210256389182</v>
      </c>
      <c r="F45">
        <f>ROUND(Deals_Raw!T48*(1-Deals_Raw!W48),2)</f>
        <v>64785.440000000002</v>
      </c>
      <c r="G45">
        <f t="shared" si="0"/>
        <v>32.229743610820151</v>
      </c>
      <c r="I45">
        <f>Deals_Raw!V48</f>
        <v>0.14199999999999999</v>
      </c>
      <c r="J45">
        <f>Deals_Raw!W48</f>
        <v>0.127</v>
      </c>
      <c r="K45" t="str">
        <f>Deals_Raw!Z48</f>
        <v>Pricing Analyst</v>
      </c>
      <c r="L45" t="str">
        <f t="shared" si="1"/>
        <v>yes</v>
      </c>
      <c r="M45" t="str">
        <f t="shared" si="2"/>
        <v>Pass</v>
      </c>
      <c r="O45">
        <f>Deals_Raw!AP48</f>
        <v>0.66837295925237994</v>
      </c>
      <c r="P45" t="str">
        <f t="shared" si="3"/>
        <v>False</v>
      </c>
      <c r="R45" t="str">
        <f>Deals_Raw!AF48</f>
        <v>Won</v>
      </c>
      <c r="S45">
        <f t="shared" si="4"/>
        <v>64785.440000000002</v>
      </c>
      <c r="T45">
        <f>Deals_Raw!AM48</f>
        <v>64785.440000000002</v>
      </c>
      <c r="U45">
        <f t="shared" si="5"/>
        <v>64785.440000000002</v>
      </c>
      <c r="V45">
        <f>Deals_Raw!AN48</f>
        <v>64785.440000000002</v>
      </c>
      <c r="W45">
        <f t="shared" si="6"/>
        <v>43300.836249267508</v>
      </c>
      <c r="X45">
        <f>Deals_Raw!AO48</f>
        <v>43300.836249267508</v>
      </c>
      <c r="Y45">
        <f t="shared" si="7"/>
        <v>0.66837295925237994</v>
      </c>
      <c r="Z45">
        <f>Deals_Raw!AP48</f>
        <v>0.66837295925237994</v>
      </c>
    </row>
    <row r="46" spans="1:26">
      <c r="A46" t="str">
        <f>Deals_Raw!A49</f>
        <v>D00051</v>
      </c>
      <c r="B46">
        <f>COUNTIF(Deals_Raw!$A$5:$A$643,A46)</f>
        <v>1</v>
      </c>
      <c r="C46" s="12" t="str">
        <f>Deals_Raw!E49</f>
        <v>CT00031</v>
      </c>
      <c r="E46">
        <f>Deals_Raw!AA49</f>
        <v>65107.556505032524</v>
      </c>
      <c r="F46">
        <f>ROUND(Deals_Raw!T49*(1-Deals_Raw!W49),2)</f>
        <v>65123.37</v>
      </c>
      <c r="G46">
        <f t="shared" si="0"/>
        <v>15.813494967478618</v>
      </c>
      <c r="I46">
        <f>Deals_Raw!V49</f>
        <v>0.16800000000000001</v>
      </c>
      <c r="J46">
        <f>Deals_Raw!W49</f>
        <v>0.158</v>
      </c>
      <c r="K46" t="str">
        <f>Deals_Raw!Z49</f>
        <v>Pricing Analyst</v>
      </c>
      <c r="L46" t="str">
        <f t="shared" si="1"/>
        <v>yes</v>
      </c>
      <c r="M46" t="str">
        <f t="shared" si="2"/>
        <v>Pass</v>
      </c>
      <c r="O46">
        <f>Deals_Raw!AP49</f>
        <v>0.59141685993606818</v>
      </c>
      <c r="P46" t="str">
        <f t="shared" si="3"/>
        <v>False</v>
      </c>
      <c r="R46" t="str">
        <f>Deals_Raw!AF49</f>
        <v>Won</v>
      </c>
      <c r="S46">
        <f t="shared" si="4"/>
        <v>65123.37</v>
      </c>
      <c r="T46">
        <f>Deals_Raw!AM49</f>
        <v>65123.37</v>
      </c>
      <c r="U46">
        <f t="shared" si="5"/>
        <v>65123.37</v>
      </c>
      <c r="V46">
        <f>Deals_Raw!AN49</f>
        <v>65123.37</v>
      </c>
      <c r="W46">
        <f t="shared" si="6"/>
        <v>38515.058993854749</v>
      </c>
      <c r="X46">
        <f>Deals_Raw!AO49</f>
        <v>38515.058993854749</v>
      </c>
      <c r="Y46">
        <f t="shared" si="7"/>
        <v>0.59141685993606818</v>
      </c>
      <c r="Z46">
        <f>Deals_Raw!AP49</f>
        <v>0.59141685993606818</v>
      </c>
    </row>
    <row r="47" spans="1:26">
      <c r="A47" t="str">
        <f>Deals_Raw!A50</f>
        <v>D00052</v>
      </c>
      <c r="B47">
        <f>COUNTIF(Deals_Raw!$A$5:$A$643,A47)</f>
        <v>1</v>
      </c>
      <c r="C47" s="12" t="str">
        <f>Deals_Raw!E50</f>
        <v>CT00032</v>
      </c>
      <c r="E47">
        <f>Deals_Raw!AA50</f>
        <v>69942.781279672257</v>
      </c>
      <c r="F47">
        <f>ROUND(Deals_Raw!T50*(1-Deals_Raw!W50),2)</f>
        <v>69951.16</v>
      </c>
      <c r="G47">
        <f t="shared" si="0"/>
        <v>8.3787203277461231</v>
      </c>
      <c r="I47">
        <f>Deals_Raw!V50</f>
        <v>0.255</v>
      </c>
      <c r="J47">
        <f>Deals_Raw!W50</f>
        <v>0.218</v>
      </c>
      <c r="K47" t="str">
        <f>Deals_Raw!Z50</f>
        <v>Business Manager</v>
      </c>
      <c r="L47" t="str">
        <f t="shared" si="1"/>
        <v>yes</v>
      </c>
      <c r="M47" t="str">
        <f t="shared" si="2"/>
        <v>Pass</v>
      </c>
      <c r="O47">
        <f>Deals_Raw!AP50</f>
        <v>0.55675319581293536</v>
      </c>
      <c r="P47" t="str">
        <f t="shared" si="3"/>
        <v>False</v>
      </c>
      <c r="R47" t="str">
        <f>Deals_Raw!AF50</f>
        <v>Lost</v>
      </c>
      <c r="S47">
        <f t="shared" si="4"/>
        <v>0</v>
      </c>
      <c r="T47">
        <v>0</v>
      </c>
      <c r="U47">
        <f t="shared" si="5"/>
        <v>0</v>
      </c>
      <c r="V47">
        <v>0</v>
      </c>
      <c r="W47">
        <f t="shared" si="6"/>
        <v>0</v>
      </c>
      <c r="X47">
        <v>0</v>
      </c>
      <c r="Y47">
        <f t="shared" si="7"/>
        <v>0</v>
      </c>
      <c r="Z47">
        <v>0</v>
      </c>
    </row>
    <row r="48" spans="1:26">
      <c r="A48" t="str">
        <f>Deals_Raw!A51</f>
        <v>D00056</v>
      </c>
      <c r="B48">
        <f>COUNTIF(Deals_Raw!$A$5:$A$643,A48)</f>
        <v>1</v>
      </c>
      <c r="C48" s="12" t="str">
        <f>Deals_Raw!E51</f>
        <v>CT00034</v>
      </c>
      <c r="E48">
        <f>Deals_Raw!AA51</f>
        <v>63514.511795704464</v>
      </c>
      <c r="F48">
        <f>ROUND(Deals_Raw!T51*(1-Deals_Raw!W51),2)</f>
        <v>63522.49</v>
      </c>
      <c r="G48">
        <f t="shared" si="0"/>
        <v>7.9782042955339421</v>
      </c>
      <c r="I48">
        <f>Deals_Raw!V51</f>
        <v>0.189</v>
      </c>
      <c r="J48">
        <f>Deals_Raw!W51</f>
        <v>0.16900000000000001</v>
      </c>
      <c r="K48" t="str">
        <f>Deals_Raw!Z51</f>
        <v>Pricing Analyst</v>
      </c>
      <c r="L48" t="str">
        <f t="shared" si="1"/>
        <v>yes</v>
      </c>
      <c r="M48" t="str">
        <f t="shared" si="2"/>
        <v>Pass</v>
      </c>
      <c r="O48">
        <f>Deals_Raw!AP51</f>
        <v>0.58835776144077645</v>
      </c>
      <c r="P48" t="str">
        <f t="shared" si="3"/>
        <v>False</v>
      </c>
      <c r="R48" t="str">
        <f>Deals_Raw!AF51</f>
        <v>Won</v>
      </c>
      <c r="S48">
        <f t="shared" si="4"/>
        <v>63522.49</v>
      </c>
      <c r="T48">
        <f>Deals_Raw!AM51</f>
        <v>63522.49</v>
      </c>
      <c r="U48">
        <f t="shared" si="5"/>
        <v>63522.49</v>
      </c>
      <c r="V48">
        <f>Deals_Raw!AN51</f>
        <v>63522.49</v>
      </c>
      <c r="W48">
        <f t="shared" si="6"/>
        <v>37373.950017544106</v>
      </c>
      <c r="X48">
        <f>Deals_Raw!AO51</f>
        <v>37373.950017544106</v>
      </c>
      <c r="Y48">
        <f t="shared" si="7"/>
        <v>0.58835776144077645</v>
      </c>
      <c r="Z48">
        <f>Deals_Raw!AP51</f>
        <v>0.58835776144077645</v>
      </c>
    </row>
    <row r="49" spans="1:26">
      <c r="A49" t="str">
        <f>Deals_Raw!A52</f>
        <v>D00057</v>
      </c>
      <c r="B49">
        <f>COUNTIF(Deals_Raw!$A$5:$A$643,A49)</f>
        <v>1</v>
      </c>
      <c r="C49" s="12" t="str">
        <f>Deals_Raw!E52</f>
        <v>CT00034</v>
      </c>
      <c r="E49">
        <f>Deals_Raw!AA52</f>
        <v>79240.897110602295</v>
      </c>
      <c r="F49">
        <f>ROUND(Deals_Raw!T52*(1-Deals_Raw!W52),2)</f>
        <v>79223.070000000007</v>
      </c>
      <c r="G49">
        <f t="shared" si="0"/>
        <v>-17.827110602287576</v>
      </c>
      <c r="I49">
        <f>Deals_Raw!V52</f>
        <v>2.1999999999999999E-2</v>
      </c>
      <c r="J49">
        <f>Deals_Raw!W52</f>
        <v>2.1000000000000001E-2</v>
      </c>
      <c r="K49" t="str">
        <f>Deals_Raw!Z52</f>
        <v>Sales Manager</v>
      </c>
      <c r="L49" t="str">
        <f t="shared" si="1"/>
        <v>yes</v>
      </c>
      <c r="M49" t="str">
        <f t="shared" si="2"/>
        <v>Pass</v>
      </c>
      <c r="O49">
        <f>Deals_Raw!AP52</f>
        <v>0.66462671565617326</v>
      </c>
      <c r="P49" t="str">
        <f t="shared" si="3"/>
        <v>False</v>
      </c>
      <c r="R49" t="str">
        <f>Deals_Raw!AF52</f>
        <v>Won</v>
      </c>
      <c r="S49">
        <f t="shared" si="4"/>
        <v>79223.070000000007</v>
      </c>
      <c r="T49">
        <f>Deals_Raw!AM52</f>
        <v>79223.070000000007</v>
      </c>
      <c r="U49">
        <f t="shared" si="5"/>
        <v>79223.070000000007</v>
      </c>
      <c r="V49">
        <f>Deals_Raw!AN52</f>
        <v>79223.070000000007</v>
      </c>
      <c r="W49">
        <f t="shared" si="6"/>
        <v>52653.768818299119</v>
      </c>
      <c r="X49">
        <f>Deals_Raw!AO52</f>
        <v>52653.768818299119</v>
      </c>
      <c r="Y49">
        <f t="shared" si="7"/>
        <v>0.66462671565617326</v>
      </c>
      <c r="Z49">
        <f>Deals_Raw!AP52</f>
        <v>0.66462671565617326</v>
      </c>
    </row>
    <row r="50" spans="1:26">
      <c r="A50" t="str">
        <f>Deals_Raw!A53</f>
        <v>D00059</v>
      </c>
      <c r="B50">
        <f>COUNTIF(Deals_Raw!$A$5:$A$643,A50)</f>
        <v>1</v>
      </c>
      <c r="C50" s="12" t="str">
        <f>Deals_Raw!E53</f>
        <v>CT00035</v>
      </c>
      <c r="E50">
        <f>Deals_Raw!AA53</f>
        <v>1099091.5398195924</v>
      </c>
      <c r="F50">
        <f>ROUND(Deals_Raw!T53*(1-Deals_Raw!W53),2)</f>
        <v>1099585.05</v>
      </c>
      <c r="G50">
        <f t="shared" si="0"/>
        <v>493.5101804076694</v>
      </c>
      <c r="I50">
        <f>Deals_Raw!V53</f>
        <v>6.4000000000000001E-2</v>
      </c>
      <c r="J50">
        <f>Deals_Raw!W53</f>
        <v>0.05</v>
      </c>
      <c r="K50" t="str">
        <f>Deals_Raw!Z53</f>
        <v>Sales Manager</v>
      </c>
      <c r="L50" t="str">
        <f t="shared" si="1"/>
        <v>yes</v>
      </c>
      <c r="M50" t="str">
        <f t="shared" si="2"/>
        <v>Pass</v>
      </c>
      <c r="O50">
        <f>Deals_Raw!AP53</f>
        <v>0.62066212985372238</v>
      </c>
      <c r="P50" t="str">
        <f t="shared" si="3"/>
        <v>False</v>
      </c>
      <c r="R50" t="str">
        <f>Deals_Raw!AF53</f>
        <v>Won</v>
      </c>
      <c r="S50">
        <f t="shared" si="4"/>
        <v>1099585.05</v>
      </c>
      <c r="T50">
        <f>Deals_Raw!AM53</f>
        <v>1099585.05</v>
      </c>
      <c r="U50">
        <f t="shared" si="5"/>
        <v>1099585.05</v>
      </c>
      <c r="V50">
        <f>Deals_Raw!AN53</f>
        <v>1099585.05</v>
      </c>
      <c r="W50">
        <f t="shared" si="6"/>
        <v>682470.79908831185</v>
      </c>
      <c r="X50">
        <f>Deals_Raw!AO53</f>
        <v>682470.79908831185</v>
      </c>
      <c r="Y50">
        <f t="shared" si="7"/>
        <v>0.62066212985372238</v>
      </c>
      <c r="Z50">
        <f>Deals_Raw!AP53</f>
        <v>0.62066212985372238</v>
      </c>
    </row>
    <row r="51" spans="1:26">
      <c r="A51" t="str">
        <f>Deals_Raw!A54</f>
        <v>D00060</v>
      </c>
      <c r="B51">
        <f>COUNTIF(Deals_Raw!$A$5:$A$643,A51)</f>
        <v>1</v>
      </c>
      <c r="C51" s="12" t="str">
        <f>Deals_Raw!E54</f>
        <v>CT00035</v>
      </c>
      <c r="E51">
        <f>Deals_Raw!AA54</f>
        <v>1139777.1409114096</v>
      </c>
      <c r="F51">
        <f>ROUND(Deals_Raw!T54*(1-Deals_Raw!W54),2)</f>
        <v>1139761.02</v>
      </c>
      <c r="G51">
        <f t="shared" si="0"/>
        <v>-16.120911409612745</v>
      </c>
      <c r="I51">
        <f>Deals_Raw!V54</f>
        <v>5.8999999999999997E-2</v>
      </c>
      <c r="J51">
        <f>Deals_Raw!W54</f>
        <v>3.7999999999999999E-2</v>
      </c>
      <c r="K51" t="str">
        <f>Deals_Raw!Z54</f>
        <v>Sales Manager</v>
      </c>
      <c r="L51" t="str">
        <f t="shared" si="1"/>
        <v>yes</v>
      </c>
      <c r="M51" t="str">
        <f t="shared" si="2"/>
        <v>Pass</v>
      </c>
      <c r="O51">
        <f>Deals_Raw!AP54</f>
        <v>0.65061109992999822</v>
      </c>
      <c r="P51" t="str">
        <f t="shared" si="3"/>
        <v>False</v>
      </c>
      <c r="R51" t="str">
        <f>Deals_Raw!AF54</f>
        <v>Won</v>
      </c>
      <c r="S51">
        <f t="shared" si="4"/>
        <v>1139761.02</v>
      </c>
      <c r="T51">
        <f>Deals_Raw!AM54</f>
        <v>1139761.02</v>
      </c>
      <c r="U51">
        <f t="shared" si="5"/>
        <v>1139761.02</v>
      </c>
      <c r="V51">
        <f>Deals_Raw!AN54</f>
        <v>1139761.02</v>
      </c>
      <c r="W51">
        <f t="shared" si="6"/>
        <v>741541.17087953666</v>
      </c>
      <c r="X51">
        <f>Deals_Raw!AO54</f>
        <v>741541.17087953666</v>
      </c>
      <c r="Y51">
        <f t="shared" si="7"/>
        <v>0.65061109992999822</v>
      </c>
      <c r="Z51">
        <f>Deals_Raw!AP54</f>
        <v>0.65061109992999822</v>
      </c>
    </row>
    <row r="52" spans="1:26">
      <c r="A52" t="str">
        <f>Deals_Raw!A55</f>
        <v>D00061</v>
      </c>
      <c r="B52">
        <f>COUNTIF(Deals_Raw!$A$5:$A$643,A52)</f>
        <v>1</v>
      </c>
      <c r="C52" s="12" t="str">
        <f>Deals_Raw!E55</f>
        <v>CT00035</v>
      </c>
      <c r="E52">
        <f>Deals_Raw!AA55</f>
        <v>1200751.2043398533</v>
      </c>
      <c r="F52">
        <f>ROUND(Deals_Raw!T55*(1-Deals_Raw!W55),2)</f>
        <v>1201337.55</v>
      </c>
      <c r="G52">
        <f t="shared" si="0"/>
        <v>586.34566014679149</v>
      </c>
      <c r="I52">
        <f>Deals_Raw!V55</f>
        <v>6.5000000000000002E-2</v>
      </c>
      <c r="J52">
        <f>Deals_Raw!W55</f>
        <v>3.1E-2</v>
      </c>
      <c r="K52" t="str">
        <f>Deals_Raw!Z55</f>
        <v>Sales Manager</v>
      </c>
      <c r="L52" t="str">
        <f t="shared" si="1"/>
        <v>yes</v>
      </c>
      <c r="M52" t="str">
        <f t="shared" si="2"/>
        <v>Pass</v>
      </c>
      <c r="O52">
        <f>Deals_Raw!AP55</f>
        <v>0.63797790878516991</v>
      </c>
      <c r="P52" t="str">
        <f t="shared" si="3"/>
        <v>False</v>
      </c>
      <c r="R52" t="str">
        <f>Deals_Raw!AF55</f>
        <v>Won</v>
      </c>
      <c r="S52">
        <f t="shared" si="4"/>
        <v>1201337.55</v>
      </c>
      <c r="T52">
        <f>Deals_Raw!AM55</f>
        <v>1201337.55</v>
      </c>
      <c r="U52">
        <f t="shared" si="5"/>
        <v>1201337.55</v>
      </c>
      <c r="V52">
        <f>Deals_Raw!AN55</f>
        <v>1201337.55</v>
      </c>
      <c r="W52">
        <f t="shared" si="6"/>
        <v>766426.81789409951</v>
      </c>
      <c r="X52">
        <f>Deals_Raw!AO55</f>
        <v>766426.81789409951</v>
      </c>
      <c r="Y52">
        <f t="shared" si="7"/>
        <v>0.63797790878516991</v>
      </c>
      <c r="Z52">
        <f>Deals_Raw!AP55</f>
        <v>0.63797790878516991</v>
      </c>
    </row>
    <row r="53" spans="1:26">
      <c r="A53" t="str">
        <f>Deals_Raw!A56</f>
        <v>D00062</v>
      </c>
      <c r="B53">
        <f>COUNTIF(Deals_Raw!$A$5:$A$643,A53)</f>
        <v>1</v>
      </c>
      <c r="C53" s="12" t="str">
        <f>Deals_Raw!E56</f>
        <v>CT00038</v>
      </c>
      <c r="E53">
        <f>Deals_Raw!AA56</f>
        <v>336527.78014903475</v>
      </c>
      <c r="F53">
        <f>ROUND(Deals_Raw!T56*(1-Deals_Raw!W56),2)</f>
        <v>336527.78</v>
      </c>
      <c r="G53">
        <f t="shared" si="0"/>
        <v>-1.4903472037985921E-4</v>
      </c>
      <c r="I53">
        <f>Deals_Raw!V56</f>
        <v>8.9999999999999993E-3</v>
      </c>
      <c r="J53">
        <f>Deals_Raw!W56</f>
        <v>0</v>
      </c>
      <c r="K53" t="str">
        <f>Deals_Raw!Z56</f>
        <v>Sales Manager</v>
      </c>
      <c r="L53" t="str">
        <f t="shared" si="1"/>
        <v>yes</v>
      </c>
      <c r="M53" t="str">
        <f t="shared" si="2"/>
        <v>Pass</v>
      </c>
      <c r="O53">
        <f>Deals_Raw!AP56</f>
        <v>0.58659905517197386</v>
      </c>
      <c r="P53" t="str">
        <f t="shared" si="3"/>
        <v>False</v>
      </c>
      <c r="R53" t="str">
        <f>Deals_Raw!AF56</f>
        <v>Won</v>
      </c>
      <c r="S53">
        <f t="shared" si="4"/>
        <v>336527.78</v>
      </c>
      <c r="T53">
        <f>Deals_Raw!AM56</f>
        <v>336527.78</v>
      </c>
      <c r="U53">
        <f t="shared" si="5"/>
        <v>336527.78</v>
      </c>
      <c r="V53">
        <f>Deals_Raw!AN56</f>
        <v>336527.78</v>
      </c>
      <c r="W53">
        <f t="shared" si="6"/>
        <v>197406.87778712189</v>
      </c>
      <c r="X53">
        <f>Deals_Raw!AO56</f>
        <v>197406.87778712189</v>
      </c>
      <c r="Y53">
        <f t="shared" si="7"/>
        <v>0.58659905517197386</v>
      </c>
      <c r="Z53">
        <f>Deals_Raw!AP56</f>
        <v>0.58659905517197386</v>
      </c>
    </row>
    <row r="54" spans="1:26">
      <c r="A54" t="str">
        <f>Deals_Raw!A57</f>
        <v>D00063</v>
      </c>
      <c r="B54">
        <f>COUNTIF(Deals_Raw!$A$5:$A$643,A54)</f>
        <v>1</v>
      </c>
      <c r="C54" s="12" t="str">
        <f>Deals_Raw!E57</f>
        <v>CT00038</v>
      </c>
      <c r="E54">
        <f>Deals_Raw!AA57</f>
        <v>282013.06125455344</v>
      </c>
      <c r="F54">
        <f>ROUND(Deals_Raw!T57*(1-Deals_Raw!W57),2)</f>
        <v>281899.61</v>
      </c>
      <c r="G54">
        <f t="shared" si="0"/>
        <v>-113.4512545534526</v>
      </c>
      <c r="I54">
        <f>Deals_Raw!V57</f>
        <v>0.215</v>
      </c>
      <c r="J54">
        <f>Deals_Raw!W57</f>
        <v>0.19700000000000001</v>
      </c>
      <c r="K54" t="str">
        <f>Deals_Raw!Z57</f>
        <v>Pricing Analyst</v>
      </c>
      <c r="L54" t="str">
        <f t="shared" si="1"/>
        <v>yes</v>
      </c>
      <c r="M54" t="str">
        <f t="shared" si="2"/>
        <v>Pass</v>
      </c>
      <c r="O54">
        <f>Deals_Raw!AP57</f>
        <v>0.56975380870737347</v>
      </c>
      <c r="P54" t="str">
        <f t="shared" si="3"/>
        <v>False</v>
      </c>
      <c r="R54" t="str">
        <f>Deals_Raw!AF57</f>
        <v>Lost</v>
      </c>
      <c r="S54">
        <f t="shared" si="4"/>
        <v>0</v>
      </c>
      <c r="T54">
        <v>0</v>
      </c>
      <c r="U54">
        <f t="shared" si="5"/>
        <v>0</v>
      </c>
      <c r="V54">
        <v>0</v>
      </c>
      <c r="W54">
        <f t="shared" si="6"/>
        <v>0</v>
      </c>
      <c r="X54">
        <v>0</v>
      </c>
      <c r="Y54">
        <f t="shared" si="7"/>
        <v>0</v>
      </c>
      <c r="Z54">
        <v>0</v>
      </c>
    </row>
    <row r="55" spans="1:26">
      <c r="A55" t="str">
        <f>Deals_Raw!A58</f>
        <v>D00064</v>
      </c>
      <c r="B55">
        <f>COUNTIF(Deals_Raw!$A$5:$A$643,A55)</f>
        <v>1</v>
      </c>
      <c r="C55" s="12" t="str">
        <f>Deals_Raw!E58</f>
        <v>CT00040</v>
      </c>
      <c r="E55">
        <f>Deals_Raw!AA58</f>
        <v>42645.880259383201</v>
      </c>
      <c r="F55">
        <f>ROUND(Deals_Raw!T58*(1-Deals_Raw!W58),2)</f>
        <v>42626.31</v>
      </c>
      <c r="G55">
        <f t="shared" si="0"/>
        <v>-19.570259383202938</v>
      </c>
      <c r="I55">
        <f>Deals_Raw!V58</f>
        <v>0.16700000000000001</v>
      </c>
      <c r="J55">
        <f>Deals_Raw!W58</f>
        <v>0.13400000000000001</v>
      </c>
      <c r="K55" t="str">
        <f>Deals_Raw!Z58</f>
        <v>Pricing Analyst</v>
      </c>
      <c r="L55" t="str">
        <f t="shared" si="1"/>
        <v>yes</v>
      </c>
      <c r="M55" t="str">
        <f t="shared" si="2"/>
        <v>Pass</v>
      </c>
      <c r="O55">
        <f>Deals_Raw!AP58</f>
        <v>0.5694116898183027</v>
      </c>
      <c r="P55" t="str">
        <f t="shared" si="3"/>
        <v>False</v>
      </c>
      <c r="R55" t="str">
        <f>Deals_Raw!AF58</f>
        <v>Won</v>
      </c>
      <c r="S55">
        <f t="shared" si="4"/>
        <v>42626.31</v>
      </c>
      <c r="T55">
        <f>Deals_Raw!AM58</f>
        <v>42626.31</v>
      </c>
      <c r="U55">
        <f t="shared" si="5"/>
        <v>85252.62</v>
      </c>
      <c r="V55">
        <f>Deals_Raw!AN58</f>
        <v>85252.62</v>
      </c>
      <c r="W55">
        <f t="shared" si="6"/>
        <v>24271.919207818813</v>
      </c>
      <c r="X55">
        <f>Deals_Raw!AO58</f>
        <v>24271.919207818813</v>
      </c>
      <c r="Y55">
        <f t="shared" si="7"/>
        <v>0.5694116898183027</v>
      </c>
      <c r="Z55">
        <f>Deals_Raw!AP58</f>
        <v>0.5694116898183027</v>
      </c>
    </row>
    <row r="56" spans="1:26">
      <c r="A56" t="str">
        <f>Deals_Raw!A59</f>
        <v>D00065</v>
      </c>
      <c r="B56">
        <f>COUNTIF(Deals_Raw!$A$5:$A$643,A56)</f>
        <v>1</v>
      </c>
      <c r="C56" s="12" t="str">
        <f>Deals_Raw!E59</f>
        <v>CT00041</v>
      </c>
      <c r="E56">
        <f>Deals_Raw!AA59</f>
        <v>280672.97182075906</v>
      </c>
      <c r="F56">
        <f>ROUND(Deals_Raw!T59*(1-Deals_Raw!W59),2)</f>
        <v>280764.52</v>
      </c>
      <c r="G56">
        <f t="shared" si="0"/>
        <v>91.548179240955506</v>
      </c>
      <c r="I56">
        <f>Deals_Raw!V59</f>
        <v>0.06</v>
      </c>
      <c r="J56">
        <f>Deals_Raw!W59</f>
        <v>0.03</v>
      </c>
      <c r="K56" t="str">
        <f>Deals_Raw!Z59</f>
        <v>Sales Manager</v>
      </c>
      <c r="L56" t="str">
        <f t="shared" si="1"/>
        <v>yes</v>
      </c>
      <c r="M56" t="str">
        <f t="shared" si="2"/>
        <v>Pass</v>
      </c>
      <c r="O56">
        <f>Deals_Raw!AP59</f>
        <v>0.63833615637402619</v>
      </c>
      <c r="P56" t="str">
        <f t="shared" si="3"/>
        <v>False</v>
      </c>
      <c r="R56" t="str">
        <f>Deals_Raw!AF59</f>
        <v>Lost</v>
      </c>
      <c r="S56">
        <f t="shared" si="4"/>
        <v>0</v>
      </c>
      <c r="T56">
        <v>0</v>
      </c>
      <c r="U56">
        <f t="shared" si="5"/>
        <v>0</v>
      </c>
      <c r="V56">
        <v>0</v>
      </c>
      <c r="W56">
        <f t="shared" si="6"/>
        <v>0</v>
      </c>
      <c r="X56">
        <v>0</v>
      </c>
      <c r="Y56">
        <f t="shared" si="7"/>
        <v>0</v>
      </c>
      <c r="Z56">
        <v>0</v>
      </c>
    </row>
    <row r="57" spans="1:26">
      <c r="A57" t="str">
        <f>Deals_Raw!A60</f>
        <v>D00066</v>
      </c>
      <c r="B57">
        <f>COUNTIF(Deals_Raw!$A$5:$A$643,A57)</f>
        <v>1</v>
      </c>
      <c r="C57" s="12" t="str">
        <f>Deals_Raw!E60</f>
        <v>CT00041</v>
      </c>
      <c r="E57">
        <f>Deals_Raw!AA60</f>
        <v>225488.3887525766</v>
      </c>
      <c r="F57">
        <f>ROUND(Deals_Raw!T60*(1-Deals_Raw!W60),2)</f>
        <v>225388.71</v>
      </c>
      <c r="G57">
        <f t="shared" si="0"/>
        <v>-99.678752576612169</v>
      </c>
      <c r="I57">
        <f>Deals_Raw!V60</f>
        <v>0.21099999999999999</v>
      </c>
      <c r="J57">
        <f>Deals_Raw!W60</f>
        <v>0.17699999999999999</v>
      </c>
      <c r="K57" t="str">
        <f>Deals_Raw!Z60</f>
        <v>Pricing Analyst</v>
      </c>
      <c r="L57" t="str">
        <f t="shared" si="1"/>
        <v>yes</v>
      </c>
      <c r="M57" t="str">
        <f t="shared" si="2"/>
        <v>Pass</v>
      </c>
      <c r="O57">
        <f>Deals_Raw!AP60</f>
        <v>0.66778293698606606</v>
      </c>
      <c r="P57" t="str">
        <f t="shared" si="3"/>
        <v>False</v>
      </c>
      <c r="R57" t="str">
        <f>Deals_Raw!AF60</f>
        <v>Won</v>
      </c>
      <c r="S57">
        <f t="shared" si="4"/>
        <v>225388.71</v>
      </c>
      <c r="T57">
        <f>Deals_Raw!AM60</f>
        <v>225388.71</v>
      </c>
      <c r="U57">
        <f t="shared" si="5"/>
        <v>676166.13</v>
      </c>
      <c r="V57">
        <f>Deals_Raw!AN60</f>
        <v>676166.13</v>
      </c>
      <c r="W57">
        <f t="shared" si="6"/>
        <v>150510.7347273007</v>
      </c>
      <c r="X57">
        <f>Deals_Raw!AO60</f>
        <v>150510.7347273007</v>
      </c>
      <c r="Y57">
        <f t="shared" si="7"/>
        <v>0.66778293698606606</v>
      </c>
      <c r="Z57">
        <f>Deals_Raw!AP60</f>
        <v>0.66778293698606606</v>
      </c>
    </row>
    <row r="58" spans="1:26">
      <c r="A58" t="str">
        <f>Deals_Raw!A61</f>
        <v>D00067</v>
      </c>
      <c r="B58">
        <f>COUNTIF(Deals_Raw!$A$5:$A$643,A58)</f>
        <v>1</v>
      </c>
      <c r="C58" s="12" t="str">
        <f>Deals_Raw!E61</f>
        <v>CT00042</v>
      </c>
      <c r="E58">
        <f>Deals_Raw!AA61</f>
        <v>114993.43147735474</v>
      </c>
      <c r="F58">
        <f>ROUND(Deals_Raw!T61*(1-Deals_Raw!W61),2)</f>
        <v>114989.64</v>
      </c>
      <c r="G58">
        <f t="shared" si="0"/>
        <v>-3.7914773547381628</v>
      </c>
      <c r="I58">
        <f>Deals_Raw!V61</f>
        <v>0.21</v>
      </c>
      <c r="J58">
        <f>Deals_Raw!W61</f>
        <v>0.16600000000000001</v>
      </c>
      <c r="K58" t="str">
        <f>Deals_Raw!Z61</f>
        <v>Pricing Analyst</v>
      </c>
      <c r="L58" t="str">
        <f t="shared" si="1"/>
        <v>yes</v>
      </c>
      <c r="M58" t="str">
        <f t="shared" si="2"/>
        <v>Pass</v>
      </c>
      <c r="O58">
        <f>Deals_Raw!AP61</f>
        <v>0.59378984031163651</v>
      </c>
      <c r="P58" t="str">
        <f t="shared" si="3"/>
        <v>False</v>
      </c>
      <c r="R58" t="str">
        <f>Deals_Raw!AF61</f>
        <v>Lost</v>
      </c>
      <c r="S58">
        <f t="shared" si="4"/>
        <v>0</v>
      </c>
      <c r="T58">
        <v>0</v>
      </c>
      <c r="U58">
        <f t="shared" si="5"/>
        <v>0</v>
      </c>
      <c r="V58">
        <v>0</v>
      </c>
      <c r="W58">
        <f t="shared" si="6"/>
        <v>0</v>
      </c>
      <c r="X58">
        <v>0</v>
      </c>
      <c r="Y58">
        <f t="shared" si="7"/>
        <v>0</v>
      </c>
      <c r="Z58">
        <v>0</v>
      </c>
    </row>
    <row r="59" spans="1:26">
      <c r="A59" t="str">
        <f>Deals_Raw!A62</f>
        <v>D00070</v>
      </c>
      <c r="B59">
        <f>COUNTIF(Deals_Raw!$A$5:$A$643,A59)</f>
        <v>1</v>
      </c>
      <c r="C59" s="12" t="str">
        <f>Deals_Raw!E62</f>
        <v>CT00043</v>
      </c>
      <c r="E59">
        <f>Deals_Raw!AA62</f>
        <v>545559.11696049012</v>
      </c>
      <c r="F59">
        <f>ROUND(Deals_Raw!T62*(1-Deals_Raw!W62),2)</f>
        <v>545513.31999999995</v>
      </c>
      <c r="G59">
        <f t="shared" si="0"/>
        <v>-45.79696049017366</v>
      </c>
      <c r="I59">
        <f>Deals_Raw!V62</f>
        <v>0.14000000000000001</v>
      </c>
      <c r="J59">
        <f>Deals_Raw!W62</f>
        <v>0.121</v>
      </c>
      <c r="K59" t="str">
        <f>Deals_Raw!Z62</f>
        <v>Pricing Analyst</v>
      </c>
      <c r="L59" t="str">
        <f t="shared" si="1"/>
        <v>yes</v>
      </c>
      <c r="M59" t="str">
        <f t="shared" si="2"/>
        <v>Pass</v>
      </c>
      <c r="O59">
        <f>Deals_Raw!AP62</f>
        <v>0.60995255986758889</v>
      </c>
      <c r="P59" t="str">
        <f t="shared" si="3"/>
        <v>False</v>
      </c>
      <c r="R59" t="str">
        <f>Deals_Raw!AF62</f>
        <v>Won</v>
      </c>
      <c r="S59">
        <f t="shared" si="4"/>
        <v>545513.31999999995</v>
      </c>
      <c r="T59">
        <f>Deals_Raw!AM62</f>
        <v>545513.31999999995</v>
      </c>
      <c r="U59">
        <f t="shared" si="5"/>
        <v>545513.31999999995</v>
      </c>
      <c r="V59">
        <f>Deals_Raw!AN62</f>
        <v>545513.31999999995</v>
      </c>
      <c r="W59">
        <f t="shared" si="6"/>
        <v>332737.24597586715</v>
      </c>
      <c r="X59">
        <f>Deals_Raw!AO62</f>
        <v>332737.24597586715</v>
      </c>
      <c r="Y59">
        <f t="shared" si="7"/>
        <v>0.60995255986758889</v>
      </c>
      <c r="Z59">
        <f>Deals_Raw!AP62</f>
        <v>0.60995255986758889</v>
      </c>
    </row>
    <row r="60" spans="1:26">
      <c r="A60" t="str">
        <f>Deals_Raw!A63</f>
        <v>D00071</v>
      </c>
      <c r="B60">
        <f>COUNTIF(Deals_Raw!$A$5:$A$643,A60)</f>
        <v>1</v>
      </c>
      <c r="C60" s="12" t="str">
        <f>Deals_Raw!E63</f>
        <v>CT00043</v>
      </c>
      <c r="E60">
        <f>Deals_Raw!AA63</f>
        <v>574726.13565761002</v>
      </c>
      <c r="F60">
        <f>ROUND(Deals_Raw!T63*(1-Deals_Raw!W63),2)</f>
        <v>574688.68999999994</v>
      </c>
      <c r="G60">
        <f t="shared" si="0"/>
        <v>-37.445657610078342</v>
      </c>
      <c r="I60">
        <f>Deals_Raw!V63</f>
        <v>0.13900000000000001</v>
      </c>
      <c r="J60">
        <f>Deals_Raw!W63</f>
        <v>0.10199999999999999</v>
      </c>
      <c r="K60" t="str">
        <f>Deals_Raw!Z63</f>
        <v>Pricing Analyst</v>
      </c>
      <c r="L60" t="str">
        <f t="shared" si="1"/>
        <v>yes</v>
      </c>
      <c r="M60" t="str">
        <f t="shared" si="2"/>
        <v>Pass</v>
      </c>
      <c r="O60">
        <f>Deals_Raw!AP63</f>
        <v>0.60274821867247153</v>
      </c>
      <c r="P60" t="str">
        <f t="shared" si="3"/>
        <v>False</v>
      </c>
      <c r="R60" t="str">
        <f>Deals_Raw!AF63</f>
        <v>Won</v>
      </c>
      <c r="S60">
        <f t="shared" si="4"/>
        <v>574688.68999999994</v>
      </c>
      <c r="T60">
        <f>Deals_Raw!AM63</f>
        <v>574688.68999999994</v>
      </c>
      <c r="U60">
        <f t="shared" si="5"/>
        <v>574688.68999999994</v>
      </c>
      <c r="V60">
        <f>Deals_Raw!AN63</f>
        <v>574688.68999999994</v>
      </c>
      <c r="W60">
        <f t="shared" si="6"/>
        <v>346392.58418871614</v>
      </c>
      <c r="X60">
        <f>Deals_Raw!AO63</f>
        <v>346392.58418871614</v>
      </c>
      <c r="Y60">
        <f t="shared" si="7"/>
        <v>0.60274821867247153</v>
      </c>
      <c r="Z60">
        <f>Deals_Raw!AP63</f>
        <v>0.60274821867247153</v>
      </c>
    </row>
    <row r="61" spans="1:26">
      <c r="A61" t="str">
        <f>Deals_Raw!A64</f>
        <v>D00072</v>
      </c>
      <c r="B61">
        <f>COUNTIF(Deals_Raw!$A$5:$A$643,A61)</f>
        <v>1</v>
      </c>
      <c r="C61" s="12" t="str">
        <f>Deals_Raw!E64</f>
        <v>CT00044</v>
      </c>
      <c r="E61">
        <f>Deals_Raw!AA64</f>
        <v>186664.2495379922</v>
      </c>
      <c r="F61">
        <f>ROUND(Deals_Raw!T64*(1-Deals_Raw!W64),2)</f>
        <v>186627.87</v>
      </c>
      <c r="G61">
        <f t="shared" si="0"/>
        <v>-36.379537992208498</v>
      </c>
      <c r="I61">
        <f>Deals_Raw!V64</f>
        <v>0.13500000000000001</v>
      </c>
      <c r="J61">
        <f>Deals_Raw!W64</f>
        <v>9.8000000000000004E-2</v>
      </c>
      <c r="K61" t="str">
        <f>Deals_Raw!Z64</f>
        <v>Sales Manager</v>
      </c>
      <c r="L61" t="str">
        <f t="shared" si="1"/>
        <v>yes</v>
      </c>
      <c r="M61" t="str">
        <f t="shared" si="2"/>
        <v>Pass</v>
      </c>
      <c r="O61">
        <f>Deals_Raw!AP64</f>
        <v>0.55619014441126335</v>
      </c>
      <c r="P61" t="str">
        <f t="shared" si="3"/>
        <v>False</v>
      </c>
      <c r="R61" t="str">
        <f>Deals_Raw!AF64</f>
        <v>Lost</v>
      </c>
      <c r="S61">
        <f t="shared" si="4"/>
        <v>0</v>
      </c>
      <c r="T61">
        <v>0</v>
      </c>
      <c r="U61">
        <f t="shared" si="5"/>
        <v>0</v>
      </c>
      <c r="V61">
        <v>0</v>
      </c>
      <c r="W61">
        <f t="shared" si="6"/>
        <v>0</v>
      </c>
      <c r="X61">
        <v>0</v>
      </c>
      <c r="Y61">
        <f t="shared" si="7"/>
        <v>0</v>
      </c>
      <c r="Z61">
        <v>0</v>
      </c>
    </row>
    <row r="62" spans="1:26">
      <c r="A62" t="str">
        <f>Deals_Raw!A65</f>
        <v>D00073</v>
      </c>
      <c r="B62">
        <f>COUNTIF(Deals_Raw!$A$5:$A$643,A62)</f>
        <v>1</v>
      </c>
      <c r="C62" s="12" t="str">
        <f>Deals_Raw!E65</f>
        <v>CT00045</v>
      </c>
      <c r="E62">
        <f>Deals_Raw!AA65</f>
        <v>43200.501500495549</v>
      </c>
      <c r="F62">
        <f>ROUND(Deals_Raw!T65*(1-Deals_Raw!W65),2)</f>
        <v>43200.63</v>
      </c>
      <c r="G62">
        <f t="shared" si="0"/>
        <v>0.12849950444797287</v>
      </c>
      <c r="I62">
        <f>Deals_Raw!V65</f>
        <v>9.1999999999999998E-2</v>
      </c>
      <c r="J62">
        <f>Deals_Raw!W65</f>
        <v>7.8E-2</v>
      </c>
      <c r="K62" t="str">
        <f>Deals_Raw!Z65</f>
        <v>Sales Manager</v>
      </c>
      <c r="L62" t="str">
        <f t="shared" si="1"/>
        <v>yes</v>
      </c>
      <c r="M62" t="str">
        <f t="shared" si="2"/>
        <v>Pass</v>
      </c>
      <c r="O62">
        <f>Deals_Raw!AP65</f>
        <v>0.66691130436064039</v>
      </c>
      <c r="P62" t="str">
        <f t="shared" si="3"/>
        <v>False</v>
      </c>
      <c r="R62" t="str">
        <f>Deals_Raw!AF65</f>
        <v>Lost</v>
      </c>
      <c r="S62">
        <f t="shared" si="4"/>
        <v>0</v>
      </c>
      <c r="T62">
        <v>0</v>
      </c>
      <c r="U62">
        <f t="shared" si="5"/>
        <v>0</v>
      </c>
      <c r="V62">
        <v>0</v>
      </c>
      <c r="W62">
        <f t="shared" si="6"/>
        <v>0</v>
      </c>
      <c r="X62">
        <v>0</v>
      </c>
      <c r="Y62">
        <f t="shared" si="7"/>
        <v>0</v>
      </c>
      <c r="Z62">
        <v>0</v>
      </c>
    </row>
    <row r="63" spans="1:26">
      <c r="A63" t="str">
        <f>Deals_Raw!A66</f>
        <v>D00074</v>
      </c>
      <c r="B63">
        <f>COUNTIF(Deals_Raw!$A$5:$A$643,A63)</f>
        <v>1</v>
      </c>
      <c r="C63" s="12" t="str">
        <f>Deals_Raw!E66</f>
        <v>CT00045</v>
      </c>
      <c r="E63">
        <f>Deals_Raw!AA66</f>
        <v>36972.627621215193</v>
      </c>
      <c r="F63">
        <f>ROUND(Deals_Raw!T66*(1-Deals_Raw!W66),2)</f>
        <v>36968.870000000003</v>
      </c>
      <c r="G63">
        <f t="shared" si="0"/>
        <v>-3.7576212151907384</v>
      </c>
      <c r="I63">
        <f>Deals_Raw!V66</f>
        <v>0.22600000000000001</v>
      </c>
      <c r="J63">
        <f>Deals_Raw!W66</f>
        <v>0.21099999999999999</v>
      </c>
      <c r="K63" t="str">
        <f>Deals_Raw!Z66</f>
        <v>Business Manager</v>
      </c>
      <c r="L63" t="str">
        <f t="shared" si="1"/>
        <v>yes</v>
      </c>
      <c r="M63" t="str">
        <f t="shared" si="2"/>
        <v>Pass</v>
      </c>
      <c r="O63">
        <f>Deals_Raw!AP66</f>
        <v>0.55713147019647857</v>
      </c>
      <c r="P63" t="str">
        <f t="shared" si="3"/>
        <v>False</v>
      </c>
      <c r="R63" t="str">
        <f>Deals_Raw!AF66</f>
        <v>Won</v>
      </c>
      <c r="S63">
        <f t="shared" si="4"/>
        <v>36968.870000000003</v>
      </c>
      <c r="T63">
        <f>Deals_Raw!AM66</f>
        <v>36968.870000000003</v>
      </c>
      <c r="U63">
        <f t="shared" si="5"/>
        <v>36968.870000000003</v>
      </c>
      <c r="V63">
        <f>Deals_Raw!AN66</f>
        <v>36968.870000000003</v>
      </c>
      <c r="W63">
        <f t="shared" si="6"/>
        <v>20596.520894602494</v>
      </c>
      <c r="X63">
        <f>Deals_Raw!AO66</f>
        <v>20596.520894602494</v>
      </c>
      <c r="Y63">
        <f t="shared" si="7"/>
        <v>0.55713147019647857</v>
      </c>
      <c r="Z63">
        <f>Deals_Raw!AP66</f>
        <v>0.55713147019647857</v>
      </c>
    </row>
    <row r="64" spans="1:26">
      <c r="A64" t="str">
        <f>Deals_Raw!A67</f>
        <v>D00075</v>
      </c>
      <c r="B64">
        <f>COUNTIF(Deals_Raw!$A$5:$A$643,A64)</f>
        <v>1</v>
      </c>
      <c r="C64" s="12" t="str">
        <f>Deals_Raw!E67</f>
        <v>CT00046</v>
      </c>
      <c r="E64">
        <f>Deals_Raw!AA67</f>
        <v>69441.091228456993</v>
      </c>
      <c r="F64">
        <f>ROUND(Deals_Raw!T67*(1-Deals_Raw!W67),2)</f>
        <v>69442.009999999995</v>
      </c>
      <c r="G64">
        <f t="shared" si="0"/>
        <v>0.91877154300163966</v>
      </c>
      <c r="I64">
        <f>Deals_Raw!V67</f>
        <v>8.8999999999999996E-2</v>
      </c>
      <c r="J64">
        <f>Deals_Raw!W67</f>
        <v>0.08</v>
      </c>
      <c r="K64" t="str">
        <f>Deals_Raw!Z67</f>
        <v>Sales Manager</v>
      </c>
      <c r="L64" t="str">
        <f t="shared" si="1"/>
        <v>yes</v>
      </c>
      <c r="M64" t="str">
        <f t="shared" si="2"/>
        <v>Pass</v>
      </c>
      <c r="O64">
        <f>Deals_Raw!AP67</f>
        <v>0.60583297680009551</v>
      </c>
      <c r="P64" t="str">
        <f t="shared" si="3"/>
        <v>False</v>
      </c>
      <c r="R64" t="str">
        <f>Deals_Raw!AF67</f>
        <v>Won</v>
      </c>
      <c r="S64">
        <f t="shared" si="4"/>
        <v>69442.009999999995</v>
      </c>
      <c r="T64">
        <f>Deals_Raw!AM67</f>
        <v>69442.009999999995</v>
      </c>
      <c r="U64">
        <f t="shared" si="5"/>
        <v>138884.01999999999</v>
      </c>
      <c r="V64">
        <f>Deals_Raw!AN67</f>
        <v>138884.01999999999</v>
      </c>
      <c r="W64">
        <f t="shared" si="6"/>
        <v>42070.259633281996</v>
      </c>
      <c r="X64">
        <f>Deals_Raw!AO67</f>
        <v>42070.259633281996</v>
      </c>
      <c r="Y64">
        <f t="shared" si="7"/>
        <v>0.60583297680009551</v>
      </c>
      <c r="Z64">
        <f>Deals_Raw!AP67</f>
        <v>0.60583297680009551</v>
      </c>
    </row>
    <row r="65" spans="1:26">
      <c r="A65" t="str">
        <f>Deals_Raw!A68</f>
        <v>D00076</v>
      </c>
      <c r="B65">
        <f>COUNTIF(Deals_Raw!$A$5:$A$643,A65)</f>
        <v>1</v>
      </c>
      <c r="C65" s="12" t="str">
        <f>Deals_Raw!E68</f>
        <v>CT00047</v>
      </c>
      <c r="E65">
        <f>Deals_Raw!AA68</f>
        <v>74238.652806820726</v>
      </c>
      <c r="F65">
        <f>ROUND(Deals_Raw!T68*(1-Deals_Raw!W68),2)</f>
        <v>74224.479999999996</v>
      </c>
      <c r="G65">
        <f t="shared" si="0"/>
        <v>-14.172806820730329</v>
      </c>
      <c r="I65">
        <f>Deals_Raw!V68</f>
        <v>0.20399999999999999</v>
      </c>
      <c r="J65">
        <f>Deals_Raw!W68</f>
        <v>0.19800000000000001</v>
      </c>
      <c r="K65" t="str">
        <f>Deals_Raw!Z68</f>
        <v>Pricing Analyst</v>
      </c>
      <c r="L65" t="str">
        <f t="shared" si="1"/>
        <v>yes</v>
      </c>
      <c r="M65" t="str">
        <f t="shared" si="2"/>
        <v>Pass</v>
      </c>
      <c r="O65">
        <f>Deals_Raw!AP68</f>
        <v>0.5252123238513724</v>
      </c>
      <c r="P65" t="str">
        <f t="shared" si="3"/>
        <v>False</v>
      </c>
      <c r="R65" t="str">
        <f>Deals_Raw!AF68</f>
        <v>Lost</v>
      </c>
      <c r="S65">
        <f t="shared" si="4"/>
        <v>0</v>
      </c>
      <c r="T65">
        <v>0</v>
      </c>
      <c r="U65">
        <f t="shared" si="5"/>
        <v>0</v>
      </c>
      <c r="V65">
        <v>0</v>
      </c>
      <c r="W65">
        <f t="shared" si="6"/>
        <v>0</v>
      </c>
      <c r="X65">
        <v>0</v>
      </c>
      <c r="Y65">
        <f t="shared" si="7"/>
        <v>0</v>
      </c>
      <c r="Z65">
        <v>0</v>
      </c>
    </row>
    <row r="66" spans="1:26">
      <c r="A66" t="str">
        <f>Deals_Raw!A69</f>
        <v>D00077</v>
      </c>
      <c r="B66">
        <f>COUNTIF(Deals_Raw!$A$5:$A$643,A66)</f>
        <v>1</v>
      </c>
      <c r="C66" s="12" t="str">
        <f>Deals_Raw!E69</f>
        <v>CT00048</v>
      </c>
      <c r="E66">
        <f>Deals_Raw!AA69</f>
        <v>70946.785065395452</v>
      </c>
      <c r="F66">
        <f>ROUND(Deals_Raw!T69*(1-Deals_Raw!W69),2)</f>
        <v>70948.17</v>
      </c>
      <c r="G66">
        <f t="shared" si="0"/>
        <v>1.384934604546288</v>
      </c>
      <c r="I66">
        <f>Deals_Raw!V69</f>
        <v>0.185</v>
      </c>
      <c r="J66">
        <f>Deals_Raw!W69</f>
        <v>0.18</v>
      </c>
      <c r="K66" t="str">
        <f>Deals_Raw!Z69</f>
        <v>Pricing Analyst</v>
      </c>
      <c r="L66" t="str">
        <f t="shared" si="1"/>
        <v>yes</v>
      </c>
      <c r="M66" t="str">
        <f t="shared" si="2"/>
        <v>Pass</v>
      </c>
      <c r="O66">
        <f>Deals_Raw!AP69</f>
        <v>0.62575458510322945</v>
      </c>
      <c r="P66" t="str">
        <f t="shared" si="3"/>
        <v>False</v>
      </c>
      <c r="R66" t="str">
        <f>Deals_Raw!AF69</f>
        <v>Won</v>
      </c>
      <c r="S66">
        <f t="shared" si="4"/>
        <v>70948.17</v>
      </c>
      <c r="T66">
        <f>Deals_Raw!AM69</f>
        <v>70948.17</v>
      </c>
      <c r="U66">
        <f t="shared" si="5"/>
        <v>70948.17</v>
      </c>
      <c r="V66">
        <f>Deals_Raw!AN69</f>
        <v>70948.17</v>
      </c>
      <c r="W66">
        <f t="shared" si="6"/>
        <v>44396.142682183388</v>
      </c>
      <c r="X66">
        <f>Deals_Raw!AO69</f>
        <v>44396.142682183388</v>
      </c>
      <c r="Y66">
        <f t="shared" si="7"/>
        <v>0.62575458510322945</v>
      </c>
      <c r="Z66">
        <f>Deals_Raw!AP69</f>
        <v>0.62575458510322945</v>
      </c>
    </row>
    <row r="67" spans="1:26">
      <c r="A67" t="str">
        <f>Deals_Raw!A70</f>
        <v>D00078</v>
      </c>
      <c r="B67">
        <f>COUNTIF(Deals_Raw!$A$5:$A$643,A67)</f>
        <v>1</v>
      </c>
      <c r="C67" s="12" t="str">
        <f>Deals_Raw!E70</f>
        <v>CT00048</v>
      </c>
      <c r="E67">
        <f>Deals_Raw!AA70</f>
        <v>82825.087789610247</v>
      </c>
      <c r="F67">
        <f>ROUND(Deals_Raw!T70*(1-Deals_Raw!W70),2)</f>
        <v>82814.38</v>
      </c>
      <c r="G67">
        <f t="shared" ref="G67:G130" si="8">F67-E67</f>
        <v>-10.707789610241889</v>
      </c>
      <c r="I67">
        <f>Deals_Raw!V70</f>
        <v>0.13300000000000001</v>
      </c>
      <c r="J67">
        <f>Deals_Raw!W70</f>
        <v>0.1</v>
      </c>
      <c r="K67" t="str">
        <f>Deals_Raw!Z70</f>
        <v>Sales Manager</v>
      </c>
      <c r="L67" t="str">
        <f t="shared" ref="L67:L130" si="9">IF(J67&lt;=I67, "yes", "no")</f>
        <v>yes</v>
      </c>
      <c r="M67" t="str">
        <f t="shared" ref="M67:M130" si="10">IF(AND(J67&lt;=0.1,K67="Sales Manager"),"Pass",
 IF(AND(J67&gt;0.1,J67&lt;=0.2,K67="Pricing Analyst"),"Pass",
 IF(AND(J67&gt;0.2,K67="Business Manager"),"Pass","Review")))</f>
        <v>Pass</v>
      </c>
      <c r="O67">
        <f>Deals_Raw!AP70</f>
        <v>0.66615259948653294</v>
      </c>
      <c r="P67" t="str">
        <f t="shared" ref="P67:P130" si="11">IF(O67&lt;=0.45, "True", "False")</f>
        <v>False</v>
      </c>
      <c r="R67" t="str">
        <f>Deals_Raw!AF70</f>
        <v>Lost</v>
      </c>
      <c r="S67">
        <f t="shared" ref="S67:S130" si="12">IF($R67="Lost",0,T67)</f>
        <v>0</v>
      </c>
      <c r="T67">
        <v>0</v>
      </c>
      <c r="U67">
        <f t="shared" ref="U67:U130" si="13">IF($R67="Lost",0,V67)</f>
        <v>0</v>
      </c>
      <c r="V67">
        <v>0</v>
      </c>
      <c r="W67">
        <f t="shared" ref="W67:W130" si="14">IF($R67="Lost",0,X67)</f>
        <v>0</v>
      </c>
      <c r="X67">
        <v>0</v>
      </c>
      <c r="Y67">
        <f t="shared" ref="Y67:Y130" si="15">IF($R67="Lost",0,Z67)</f>
        <v>0</v>
      </c>
      <c r="Z67">
        <v>0</v>
      </c>
    </row>
    <row r="68" spans="1:26">
      <c r="A68" t="str">
        <f>Deals_Raw!A71</f>
        <v>D00079</v>
      </c>
      <c r="B68">
        <f>COUNTIF(Deals_Raw!$A$5:$A$643,A68)</f>
        <v>1</v>
      </c>
      <c r="C68" s="12" t="str">
        <f>Deals_Raw!E71</f>
        <v>CT00049</v>
      </c>
      <c r="E68">
        <f>Deals_Raw!AA71</f>
        <v>50202.62392588293</v>
      </c>
      <c r="F68">
        <f>ROUND(Deals_Raw!T71*(1-Deals_Raw!W71),2)</f>
        <v>50204.19</v>
      </c>
      <c r="G68">
        <f t="shared" si="8"/>
        <v>1.5660741170722758</v>
      </c>
      <c r="I68">
        <f>Deals_Raw!V71</f>
        <v>0.11700000000000001</v>
      </c>
      <c r="J68">
        <f>Deals_Raw!W71</f>
        <v>9.8000000000000004E-2</v>
      </c>
      <c r="K68" t="str">
        <f>Deals_Raw!Z71</f>
        <v>Sales Manager</v>
      </c>
      <c r="L68" t="str">
        <f t="shared" si="9"/>
        <v>yes</v>
      </c>
      <c r="M68" t="str">
        <f t="shared" si="10"/>
        <v>Pass</v>
      </c>
      <c r="O68">
        <f>Deals_Raw!AP71</f>
        <v>0.60100955833845093</v>
      </c>
      <c r="P68" t="str">
        <f t="shared" si="11"/>
        <v>False</v>
      </c>
      <c r="R68" t="str">
        <f>Deals_Raw!AF71</f>
        <v>Won</v>
      </c>
      <c r="S68">
        <f t="shared" si="12"/>
        <v>50204.19</v>
      </c>
      <c r="T68">
        <f>Deals_Raw!AM71</f>
        <v>50204.19</v>
      </c>
      <c r="U68">
        <f t="shared" si="13"/>
        <v>100408.38</v>
      </c>
      <c r="V68">
        <f>Deals_Raw!AN71</f>
        <v>100408.38</v>
      </c>
      <c r="W68">
        <f t="shared" si="14"/>
        <v>30173.198058639675</v>
      </c>
      <c r="X68">
        <f>Deals_Raw!AO71</f>
        <v>30173.198058639675</v>
      </c>
      <c r="Y68">
        <f t="shared" si="15"/>
        <v>0.60100955833845093</v>
      </c>
      <c r="Z68">
        <f>Deals_Raw!AP71</f>
        <v>0.60100955833845093</v>
      </c>
    </row>
    <row r="69" spans="1:26">
      <c r="A69" t="str">
        <f>Deals_Raw!A72</f>
        <v>D00080</v>
      </c>
      <c r="B69">
        <f>COUNTIF(Deals_Raw!$A$5:$A$643,A69)</f>
        <v>1</v>
      </c>
      <c r="C69" s="12" t="str">
        <f>Deals_Raw!E72</f>
        <v>CT00049</v>
      </c>
      <c r="E69">
        <f>Deals_Raw!AA72</f>
        <v>53461.192088342694</v>
      </c>
      <c r="F69">
        <f>ROUND(Deals_Raw!T72*(1-Deals_Raw!W72),2)</f>
        <v>53451.98</v>
      </c>
      <c r="G69">
        <f t="shared" si="8"/>
        <v>-9.2120883426905493</v>
      </c>
      <c r="I69">
        <f>Deals_Raw!V72</f>
        <v>8.6999999999999994E-2</v>
      </c>
      <c r="J69">
        <f>Deals_Raw!W72</f>
        <v>7.0000000000000007E-2</v>
      </c>
      <c r="K69" t="str">
        <f>Deals_Raw!Z72</f>
        <v>Sales Manager</v>
      </c>
      <c r="L69" t="str">
        <f t="shared" si="9"/>
        <v>yes</v>
      </c>
      <c r="M69" t="str">
        <f t="shared" si="10"/>
        <v>Pass</v>
      </c>
      <c r="O69">
        <f>Deals_Raw!AP72</f>
        <v>0.60199673284531185</v>
      </c>
      <c r="P69" t="str">
        <f t="shared" si="11"/>
        <v>False</v>
      </c>
      <c r="R69" t="str">
        <f>Deals_Raw!AF72</f>
        <v>Lost</v>
      </c>
      <c r="S69">
        <f t="shared" si="12"/>
        <v>0</v>
      </c>
      <c r="T69">
        <v>0</v>
      </c>
      <c r="U69">
        <f t="shared" si="13"/>
        <v>0</v>
      </c>
      <c r="V69">
        <v>0</v>
      </c>
      <c r="W69">
        <f t="shared" si="14"/>
        <v>0</v>
      </c>
      <c r="X69">
        <v>0</v>
      </c>
      <c r="Y69">
        <f t="shared" si="15"/>
        <v>0</v>
      </c>
      <c r="Z69">
        <v>0</v>
      </c>
    </row>
    <row r="70" spans="1:26">
      <c r="A70" t="str">
        <f>Deals_Raw!A73</f>
        <v>D00081</v>
      </c>
      <c r="B70">
        <f>COUNTIF(Deals_Raw!$A$5:$A$643,A70)</f>
        <v>1</v>
      </c>
      <c r="C70" s="12" t="str">
        <f>Deals_Raw!E73</f>
        <v>CT00050</v>
      </c>
      <c r="E70">
        <f>Deals_Raw!AA73</f>
        <v>115858.19019260952</v>
      </c>
      <c r="F70">
        <f>ROUND(Deals_Raw!T73*(1-Deals_Raw!W73),2)</f>
        <v>115856.96000000001</v>
      </c>
      <c r="G70">
        <f t="shared" si="8"/>
        <v>-1.230192609509686</v>
      </c>
      <c r="I70">
        <f>Deals_Raw!V73</f>
        <v>8.4000000000000005E-2</v>
      </c>
      <c r="J70">
        <f>Deals_Raw!W73</f>
        <v>6.8000000000000005E-2</v>
      </c>
      <c r="K70" t="str">
        <f>Deals_Raw!Z73</f>
        <v>Sales Manager</v>
      </c>
      <c r="L70" t="str">
        <f t="shared" si="9"/>
        <v>yes</v>
      </c>
      <c r="M70" t="str">
        <f t="shared" si="10"/>
        <v>Pass</v>
      </c>
      <c r="O70">
        <f>Deals_Raw!AP73</f>
        <v>0.60320770156609482</v>
      </c>
      <c r="P70" t="str">
        <f t="shared" si="11"/>
        <v>False</v>
      </c>
      <c r="R70" t="str">
        <f>Deals_Raw!AF73</f>
        <v>Won</v>
      </c>
      <c r="S70">
        <f t="shared" si="12"/>
        <v>115856.96000000001</v>
      </c>
      <c r="T70">
        <f>Deals_Raw!AM73</f>
        <v>115856.96000000001</v>
      </c>
      <c r="U70">
        <f t="shared" si="13"/>
        <v>115856.96000000001</v>
      </c>
      <c r="V70">
        <f>Deals_Raw!AN73</f>
        <v>115856.96000000001</v>
      </c>
      <c r="W70">
        <f t="shared" si="14"/>
        <v>69885.810552034993</v>
      </c>
      <c r="X70">
        <f>Deals_Raw!AO73</f>
        <v>69885.810552034993</v>
      </c>
      <c r="Y70">
        <f t="shared" si="15"/>
        <v>0.60320770156609482</v>
      </c>
      <c r="Z70">
        <f>Deals_Raw!AP73</f>
        <v>0.60320770156609482</v>
      </c>
    </row>
    <row r="71" spans="1:26">
      <c r="A71" t="str">
        <f>Deals_Raw!A74</f>
        <v>D00082</v>
      </c>
      <c r="B71">
        <f>COUNTIF(Deals_Raw!$A$5:$A$643,A71)</f>
        <v>1</v>
      </c>
      <c r="C71" s="12" t="str">
        <f>Deals_Raw!E74</f>
        <v>CT00050</v>
      </c>
      <c r="E71">
        <f>Deals_Raw!AA74</f>
        <v>123307.68931423355</v>
      </c>
      <c r="F71">
        <f>ROUND(Deals_Raw!T74*(1-Deals_Raw!W74),2)</f>
        <v>123275.01</v>
      </c>
      <c r="G71">
        <f t="shared" si="8"/>
        <v>-32.67931423355185</v>
      </c>
      <c r="I71">
        <f>Deals_Raw!V74</f>
        <v>8.8999999999999996E-2</v>
      </c>
      <c r="J71">
        <f>Deals_Raw!W74</f>
        <v>8.6999999999999994E-2</v>
      </c>
      <c r="K71" t="str">
        <f>Deals_Raw!Z74</f>
        <v>Sales Manager</v>
      </c>
      <c r="L71" t="str">
        <f t="shared" si="9"/>
        <v>yes</v>
      </c>
      <c r="M71" t="str">
        <f t="shared" si="10"/>
        <v>Pass</v>
      </c>
      <c r="O71">
        <f>Deals_Raw!AP74</f>
        <v>0.60740979182107946</v>
      </c>
      <c r="P71" t="str">
        <f t="shared" si="11"/>
        <v>False</v>
      </c>
      <c r="R71" t="str">
        <f>Deals_Raw!AF74</f>
        <v>Won</v>
      </c>
      <c r="S71">
        <f t="shared" si="12"/>
        <v>123275.01</v>
      </c>
      <c r="T71">
        <f>Deals_Raw!AM74</f>
        <v>123275.01</v>
      </c>
      <c r="U71">
        <f t="shared" si="13"/>
        <v>123275.01</v>
      </c>
      <c r="V71">
        <f>Deals_Raw!AN74</f>
        <v>123275.01</v>
      </c>
      <c r="W71">
        <f t="shared" si="14"/>
        <v>74878.448160841479</v>
      </c>
      <c r="X71">
        <f>Deals_Raw!AO74</f>
        <v>74878.448160841479</v>
      </c>
      <c r="Y71">
        <f t="shared" si="15"/>
        <v>0.60740979182107946</v>
      </c>
      <c r="Z71">
        <f>Deals_Raw!AP74</f>
        <v>0.60740979182107946</v>
      </c>
    </row>
    <row r="72" spans="1:26">
      <c r="A72" t="str">
        <f>Deals_Raw!A75</f>
        <v>D00083</v>
      </c>
      <c r="B72">
        <f>COUNTIF(Deals_Raw!$A$5:$A$643,A72)</f>
        <v>1</v>
      </c>
      <c r="C72" s="12" t="str">
        <f>Deals_Raw!E75</f>
        <v>CT00050</v>
      </c>
      <c r="E72">
        <f>Deals_Raw!AA75</f>
        <v>129150.82942532747</v>
      </c>
      <c r="F72">
        <f>ROUND(Deals_Raw!T75*(1-Deals_Raw!W75),2)</f>
        <v>129182.73</v>
      </c>
      <c r="G72">
        <f t="shared" si="8"/>
        <v>31.900574672530638</v>
      </c>
      <c r="I72">
        <f>Deals_Raw!V75</f>
        <v>0.12</v>
      </c>
      <c r="J72">
        <f>Deals_Raw!W75</f>
        <v>7.6999999999999999E-2</v>
      </c>
      <c r="K72" t="str">
        <f>Deals_Raw!Z75</f>
        <v>Sales Manager</v>
      </c>
      <c r="L72" t="str">
        <f t="shared" si="9"/>
        <v>yes</v>
      </c>
      <c r="M72" t="str">
        <f t="shared" si="10"/>
        <v>Pass</v>
      </c>
      <c r="O72">
        <f>Deals_Raw!AP75</f>
        <v>0.6783681641879955</v>
      </c>
      <c r="P72" t="str">
        <f t="shared" si="11"/>
        <v>False</v>
      </c>
      <c r="R72" t="str">
        <f>Deals_Raw!AF75</f>
        <v>Lost</v>
      </c>
      <c r="S72">
        <f t="shared" si="12"/>
        <v>0</v>
      </c>
      <c r="T72">
        <f>Deals_Raw!AM75</f>
        <v>129182.73</v>
      </c>
      <c r="U72">
        <f t="shared" si="13"/>
        <v>0</v>
      </c>
      <c r="V72">
        <f>Deals_Raw!AN75</f>
        <v>129182.73</v>
      </c>
      <c r="W72">
        <f t="shared" si="14"/>
        <v>0</v>
      </c>
      <c r="X72">
        <f>Deals_Raw!AO75</f>
        <v>87633.451394893491</v>
      </c>
      <c r="Y72">
        <f t="shared" si="15"/>
        <v>0</v>
      </c>
      <c r="Z72">
        <f>Deals_Raw!AP75</f>
        <v>0.6783681641879955</v>
      </c>
    </row>
    <row r="73" spans="1:26">
      <c r="A73" t="str">
        <f>Deals_Raw!A76</f>
        <v>D00084</v>
      </c>
      <c r="B73">
        <f>COUNTIF(Deals_Raw!$A$5:$A$643,A73)</f>
        <v>1</v>
      </c>
      <c r="C73" s="12" t="str">
        <f>Deals_Raw!E76</f>
        <v>CT00051</v>
      </c>
      <c r="E73">
        <f>Deals_Raw!AA76</f>
        <v>95492.103192150855</v>
      </c>
      <c r="F73">
        <f>ROUND(Deals_Raw!T76*(1-Deals_Raw!W76),2)</f>
        <v>95512.59</v>
      </c>
      <c r="G73">
        <f t="shared" si="8"/>
        <v>20.486807849141769</v>
      </c>
      <c r="I73">
        <f>Deals_Raw!V76</f>
        <v>0.20200000000000001</v>
      </c>
      <c r="J73">
        <f>Deals_Raw!W76</f>
        <v>0.17899999999999999</v>
      </c>
      <c r="K73" t="str">
        <f>Deals_Raw!Z76</f>
        <v>Pricing Analyst</v>
      </c>
      <c r="L73" t="str">
        <f t="shared" si="9"/>
        <v>yes</v>
      </c>
      <c r="M73" t="str">
        <f t="shared" si="10"/>
        <v>Pass</v>
      </c>
      <c r="O73">
        <f>Deals_Raw!AP76</f>
        <v>0.57912926536150355</v>
      </c>
      <c r="P73" t="str">
        <f t="shared" si="11"/>
        <v>False</v>
      </c>
      <c r="R73" t="str">
        <f>Deals_Raw!AF76</f>
        <v>Won</v>
      </c>
      <c r="S73">
        <f t="shared" si="12"/>
        <v>95512.59</v>
      </c>
      <c r="T73">
        <f>Deals_Raw!AM76</f>
        <v>95512.59</v>
      </c>
      <c r="U73">
        <f t="shared" si="13"/>
        <v>95512.59</v>
      </c>
      <c r="V73">
        <f>Deals_Raw!AN76</f>
        <v>95512.59</v>
      </c>
      <c r="W73">
        <f t="shared" si="14"/>
        <v>55314.136079474491</v>
      </c>
      <c r="X73">
        <f>Deals_Raw!AO76</f>
        <v>55314.136079474491</v>
      </c>
      <c r="Y73">
        <f t="shared" si="15"/>
        <v>0.57912926536150355</v>
      </c>
      <c r="Z73">
        <f>Deals_Raw!AP76</f>
        <v>0.57912926536150355</v>
      </c>
    </row>
    <row r="74" spans="1:26">
      <c r="A74" t="str">
        <f>Deals_Raw!A77</f>
        <v>D00085</v>
      </c>
      <c r="B74">
        <f>COUNTIF(Deals_Raw!$A$5:$A$643,A74)</f>
        <v>1</v>
      </c>
      <c r="C74" s="12" t="str">
        <f>Deals_Raw!E77</f>
        <v>CT00051</v>
      </c>
      <c r="E74">
        <f>Deals_Raw!AA77</f>
        <v>131923.92404642116</v>
      </c>
      <c r="F74">
        <f>ROUND(Deals_Raw!T77*(1-Deals_Raw!W77),2)</f>
        <v>131958.38</v>
      </c>
      <c r="G74">
        <f t="shared" si="8"/>
        <v>34.455953578843037</v>
      </c>
      <c r="I74">
        <f>Deals_Raw!V77</f>
        <v>7.9000000000000001E-2</v>
      </c>
      <c r="J74">
        <f>Deals_Raw!W77</f>
        <v>6.9000000000000006E-2</v>
      </c>
      <c r="K74" t="str">
        <f>Deals_Raw!Z77</f>
        <v>Sales Manager</v>
      </c>
      <c r="L74" t="str">
        <f t="shared" si="9"/>
        <v>yes</v>
      </c>
      <c r="M74" t="str">
        <f t="shared" si="10"/>
        <v>Pass</v>
      </c>
      <c r="O74">
        <f>Deals_Raw!AP77</f>
        <v>0.63628452331358776</v>
      </c>
      <c r="P74" t="str">
        <f t="shared" si="11"/>
        <v>False</v>
      </c>
      <c r="R74" t="str">
        <f>Deals_Raw!AF77</f>
        <v>Lost</v>
      </c>
      <c r="S74">
        <f t="shared" si="12"/>
        <v>0</v>
      </c>
      <c r="T74">
        <f>Deals_Raw!AM77</f>
        <v>131958.38</v>
      </c>
      <c r="U74">
        <f t="shared" si="13"/>
        <v>0</v>
      </c>
      <c r="V74">
        <f>Deals_Raw!AN77</f>
        <v>131958.38</v>
      </c>
      <c r="W74">
        <f t="shared" si="14"/>
        <v>0</v>
      </c>
      <c r="X74">
        <f>Deals_Raw!AO77</f>
        <v>83963.074915533274</v>
      </c>
      <c r="Y74">
        <f t="shared" si="15"/>
        <v>0</v>
      </c>
      <c r="Z74">
        <f>Deals_Raw!AP77</f>
        <v>0.63628452331358776</v>
      </c>
    </row>
    <row r="75" spans="1:26">
      <c r="A75" t="str">
        <f>Deals_Raw!A78</f>
        <v>D00086</v>
      </c>
      <c r="B75">
        <f>COUNTIF(Deals_Raw!$A$5:$A$643,A75)</f>
        <v>1</v>
      </c>
      <c r="C75" s="12" t="str">
        <f>Deals_Raw!E78</f>
        <v>CT00051</v>
      </c>
      <c r="E75">
        <f>Deals_Raw!AA78</f>
        <v>110572.03249867282</v>
      </c>
      <c r="F75">
        <f>ROUND(Deals_Raw!T78*(1-Deals_Raw!W78),2)</f>
        <v>110577.52</v>
      </c>
      <c r="G75">
        <f t="shared" si="8"/>
        <v>5.487501327181235</v>
      </c>
      <c r="I75">
        <f>Deals_Raw!V78</f>
        <v>0.113</v>
      </c>
      <c r="J75">
        <f>Deals_Raw!W78</f>
        <v>0.1</v>
      </c>
      <c r="K75" t="str">
        <f>Deals_Raw!Z78</f>
        <v>Pricing Analyst</v>
      </c>
      <c r="L75" t="str">
        <f t="shared" si="9"/>
        <v>yes</v>
      </c>
      <c r="M75" t="str">
        <f t="shared" si="10"/>
        <v>Review</v>
      </c>
      <c r="O75">
        <f>Deals_Raw!AP78</f>
        <v>0.6494738858225666</v>
      </c>
      <c r="P75" t="str">
        <f t="shared" si="11"/>
        <v>False</v>
      </c>
      <c r="R75" t="str">
        <f>Deals_Raw!AF78</f>
        <v>Lost</v>
      </c>
      <c r="S75">
        <f t="shared" si="12"/>
        <v>0</v>
      </c>
      <c r="T75">
        <f>Deals_Raw!AM78</f>
        <v>110577.52</v>
      </c>
      <c r="U75">
        <f t="shared" si="13"/>
        <v>0</v>
      </c>
      <c r="V75">
        <f>Deals_Raw!AN78</f>
        <v>110577.52</v>
      </c>
      <c r="W75">
        <f t="shared" si="14"/>
        <v>0</v>
      </c>
      <c r="X75">
        <f>Deals_Raw!AO78</f>
        <v>71817.211599022572</v>
      </c>
      <c r="Y75">
        <f t="shared" si="15"/>
        <v>0</v>
      </c>
      <c r="Z75">
        <f>Deals_Raw!AP78</f>
        <v>0.6494738858225666</v>
      </c>
    </row>
    <row r="76" spans="1:26">
      <c r="A76" t="str">
        <f>Deals_Raw!A79</f>
        <v>D00087</v>
      </c>
      <c r="B76">
        <f>COUNTIF(Deals_Raw!$A$5:$A$643,A76)</f>
        <v>1</v>
      </c>
      <c r="C76" s="12" t="str">
        <f>Deals_Raw!E79</f>
        <v>CT00052</v>
      </c>
      <c r="E76">
        <f>Deals_Raw!AA79</f>
        <v>74835.986323559118</v>
      </c>
      <c r="F76">
        <f>ROUND(Deals_Raw!T79*(1-Deals_Raw!W79),2)</f>
        <v>74874.259999999995</v>
      </c>
      <c r="G76">
        <f t="shared" si="8"/>
        <v>38.273676440876443</v>
      </c>
      <c r="I76">
        <f>Deals_Raw!V79</f>
        <v>6.4000000000000001E-2</v>
      </c>
      <c r="J76">
        <f>Deals_Raw!W79</f>
        <v>4.3999999999999997E-2</v>
      </c>
      <c r="K76" t="str">
        <f>Deals_Raw!Z79</f>
        <v>Sales Manager</v>
      </c>
      <c r="L76" t="str">
        <f t="shared" si="9"/>
        <v>yes</v>
      </c>
      <c r="M76" t="str">
        <f t="shared" si="10"/>
        <v>Pass</v>
      </c>
      <c r="O76">
        <f>Deals_Raw!AP79</f>
        <v>0.55718499261726762</v>
      </c>
      <c r="P76" t="str">
        <f t="shared" si="11"/>
        <v>False</v>
      </c>
      <c r="R76" t="str">
        <f>Deals_Raw!AF79</f>
        <v>Won</v>
      </c>
      <c r="S76">
        <f t="shared" si="12"/>
        <v>74874.259999999995</v>
      </c>
      <c r="T76">
        <f>Deals_Raw!AM79</f>
        <v>74874.259999999995</v>
      </c>
      <c r="U76">
        <f t="shared" si="13"/>
        <v>74874.259999999995</v>
      </c>
      <c r="V76">
        <f>Deals_Raw!AN79</f>
        <v>74874.259999999995</v>
      </c>
      <c r="W76">
        <f t="shared" si="14"/>
        <v>41718.814005323373</v>
      </c>
      <c r="X76">
        <f>Deals_Raw!AO79</f>
        <v>41718.814005323373</v>
      </c>
      <c r="Y76">
        <f t="shared" si="15"/>
        <v>0.55718499261726762</v>
      </c>
      <c r="Z76">
        <f>Deals_Raw!AP79</f>
        <v>0.55718499261726762</v>
      </c>
    </row>
    <row r="77" spans="1:26">
      <c r="A77" t="str">
        <f>Deals_Raw!A80</f>
        <v>D00088</v>
      </c>
      <c r="B77">
        <f>COUNTIF(Deals_Raw!$A$5:$A$643,A77)</f>
        <v>1</v>
      </c>
      <c r="C77" s="12" t="str">
        <f>Deals_Raw!E80</f>
        <v>CT00052</v>
      </c>
      <c r="E77">
        <f>Deals_Raw!AA80</f>
        <v>85891.794893412938</v>
      </c>
      <c r="F77">
        <f>ROUND(Deals_Raw!T80*(1-Deals_Raw!W80),2)</f>
        <v>85918.67</v>
      </c>
      <c r="G77">
        <f t="shared" si="8"/>
        <v>26.875106587060145</v>
      </c>
      <c r="I77">
        <f>Deals_Raw!V80</f>
        <v>9.6000000000000002E-2</v>
      </c>
      <c r="J77">
        <f>Deals_Raw!W80</f>
        <v>8.2000000000000003E-2</v>
      </c>
      <c r="K77" t="str">
        <f>Deals_Raw!Z80</f>
        <v>Sales Manager</v>
      </c>
      <c r="L77" t="str">
        <f t="shared" si="9"/>
        <v>yes</v>
      </c>
      <c r="M77" t="str">
        <f t="shared" si="10"/>
        <v>Pass</v>
      </c>
      <c r="O77">
        <f>Deals_Raw!AP80</f>
        <v>0.57344058247328245</v>
      </c>
      <c r="P77" t="str">
        <f t="shared" si="11"/>
        <v>False</v>
      </c>
      <c r="R77" t="str">
        <f>Deals_Raw!AF80</f>
        <v>Won</v>
      </c>
      <c r="S77">
        <f t="shared" si="12"/>
        <v>85918.67</v>
      </c>
      <c r="T77">
        <f>Deals_Raw!AM80</f>
        <v>85918.67</v>
      </c>
      <c r="U77">
        <f t="shared" si="13"/>
        <v>85918.67</v>
      </c>
      <c r="V77">
        <f>Deals_Raw!AN80</f>
        <v>85918.67</v>
      </c>
      <c r="W77">
        <f t="shared" si="14"/>
        <v>49269.252170129737</v>
      </c>
      <c r="X77">
        <f>Deals_Raw!AO80</f>
        <v>49269.252170129737</v>
      </c>
      <c r="Y77">
        <f t="shared" si="15"/>
        <v>0.57344058247328245</v>
      </c>
      <c r="Z77">
        <f>Deals_Raw!AP80</f>
        <v>0.57344058247328245</v>
      </c>
    </row>
    <row r="78" spans="1:26">
      <c r="A78" t="str">
        <f>Deals_Raw!A81</f>
        <v>D00089</v>
      </c>
      <c r="B78">
        <f>COUNTIF(Deals_Raw!$A$5:$A$643,A78)</f>
        <v>1</v>
      </c>
      <c r="C78" s="12" t="str">
        <f>Deals_Raw!E81</f>
        <v>CT00052</v>
      </c>
      <c r="E78">
        <f>Deals_Raw!AA81</f>
        <v>86190.673580923991</v>
      </c>
      <c r="F78">
        <f>ROUND(Deals_Raw!T81*(1-Deals_Raw!W81),2)</f>
        <v>86165.95</v>
      </c>
      <c r="G78">
        <f t="shared" si="8"/>
        <v>-24.723580923993723</v>
      </c>
      <c r="I78">
        <f>Deals_Raw!V81</f>
        <v>0.13800000000000001</v>
      </c>
      <c r="J78">
        <f>Deals_Raw!W81</f>
        <v>0.108</v>
      </c>
      <c r="K78" t="str">
        <f>Deals_Raw!Z81</f>
        <v>Pricing Analyst</v>
      </c>
      <c r="L78" t="str">
        <f t="shared" si="9"/>
        <v>yes</v>
      </c>
      <c r="M78" t="str">
        <f t="shared" si="10"/>
        <v>Pass</v>
      </c>
      <c r="O78">
        <f>Deals_Raw!AP81</f>
        <v>0.58482281181801909</v>
      </c>
      <c r="P78" t="str">
        <f t="shared" si="11"/>
        <v>False</v>
      </c>
      <c r="R78" t="str">
        <f>Deals_Raw!AF81</f>
        <v>Lost</v>
      </c>
      <c r="S78">
        <f t="shared" si="12"/>
        <v>0</v>
      </c>
      <c r="T78">
        <f>Deals_Raw!AM81</f>
        <v>86165.95</v>
      </c>
      <c r="U78">
        <f t="shared" si="13"/>
        <v>0</v>
      </c>
      <c r="V78">
        <f>Deals_Raw!AN81</f>
        <v>86165.95</v>
      </c>
      <c r="W78">
        <f t="shared" si="14"/>
        <v>0</v>
      </c>
      <c r="X78">
        <f>Deals_Raw!AO81</f>
        <v>50391.813161970844</v>
      </c>
      <c r="Y78">
        <f t="shared" si="15"/>
        <v>0</v>
      </c>
      <c r="Z78">
        <f>Deals_Raw!AP81</f>
        <v>0.58482281181801909</v>
      </c>
    </row>
    <row r="79" spans="1:26">
      <c r="A79" t="str">
        <f>Deals_Raw!A82</f>
        <v>D00090</v>
      </c>
      <c r="B79">
        <f>COUNTIF(Deals_Raw!$A$5:$A$643,A79)</f>
        <v>1</v>
      </c>
      <c r="C79" s="12" t="str">
        <f>Deals_Raw!E82</f>
        <v>CT00053</v>
      </c>
      <c r="E79">
        <f>Deals_Raw!AA82</f>
        <v>45992.190055589563</v>
      </c>
      <c r="F79">
        <f>ROUND(Deals_Raw!T82*(1-Deals_Raw!W82),2)</f>
        <v>45990.65</v>
      </c>
      <c r="G79">
        <f t="shared" si="8"/>
        <v>-1.5400555895612342</v>
      </c>
      <c r="I79">
        <f>Deals_Raw!V82</f>
        <v>0.11</v>
      </c>
      <c r="J79">
        <f>Deals_Raw!W82</f>
        <v>0.104</v>
      </c>
      <c r="K79" t="str">
        <f>Deals_Raw!Z82</f>
        <v>Pricing Analyst</v>
      </c>
      <c r="L79" t="str">
        <f t="shared" si="9"/>
        <v>yes</v>
      </c>
      <c r="M79" t="str">
        <f t="shared" si="10"/>
        <v>Pass</v>
      </c>
      <c r="O79">
        <f>Deals_Raw!AP82</f>
        <v>0.64325601036929625</v>
      </c>
      <c r="P79" t="str">
        <f t="shared" si="11"/>
        <v>False</v>
      </c>
      <c r="R79" t="str">
        <f>Deals_Raw!AF82</f>
        <v>Lost</v>
      </c>
      <c r="S79">
        <f t="shared" si="12"/>
        <v>0</v>
      </c>
      <c r="T79">
        <f>Deals_Raw!AM82</f>
        <v>45990.65</v>
      </c>
      <c r="U79">
        <f t="shared" si="13"/>
        <v>0</v>
      </c>
      <c r="V79">
        <f>Deals_Raw!AN82</f>
        <v>137971.95000000001</v>
      </c>
      <c r="W79">
        <f t="shared" si="14"/>
        <v>0</v>
      </c>
      <c r="X79">
        <f>Deals_Raw!AO82</f>
        <v>29583.762033290674</v>
      </c>
      <c r="Y79">
        <f t="shared" si="15"/>
        <v>0</v>
      </c>
      <c r="Z79">
        <f>Deals_Raw!AP82</f>
        <v>0.64325601036929625</v>
      </c>
    </row>
    <row r="80" spans="1:26">
      <c r="A80" t="str">
        <f>Deals_Raw!A83</f>
        <v>D00091</v>
      </c>
      <c r="B80">
        <f>COUNTIF(Deals_Raw!$A$5:$A$643,A80)</f>
        <v>1</v>
      </c>
      <c r="C80" s="12" t="str">
        <f>Deals_Raw!E83</f>
        <v>CT00053</v>
      </c>
      <c r="E80">
        <f>Deals_Raw!AA83</f>
        <v>44343.91067927517</v>
      </c>
      <c r="F80">
        <f>ROUND(Deals_Raw!T83*(1-Deals_Raw!W83),2)</f>
        <v>44348.13</v>
      </c>
      <c r="G80">
        <f t="shared" si="8"/>
        <v>4.2193207248274121</v>
      </c>
      <c r="I80">
        <f>Deals_Raw!V83</f>
        <v>0.183</v>
      </c>
      <c r="J80">
        <f>Deals_Raw!W83</f>
        <v>0.13600000000000001</v>
      </c>
      <c r="K80" t="str">
        <f>Deals_Raw!Z83</f>
        <v>Pricing Analyst</v>
      </c>
      <c r="L80" t="str">
        <f t="shared" si="9"/>
        <v>yes</v>
      </c>
      <c r="M80" t="str">
        <f t="shared" si="10"/>
        <v>Pass</v>
      </c>
      <c r="O80">
        <f>Deals_Raw!AP83</f>
        <v>0.63670662343280937</v>
      </c>
      <c r="P80" t="str">
        <f t="shared" si="11"/>
        <v>False</v>
      </c>
      <c r="R80" t="str">
        <f>Deals_Raw!AF83</f>
        <v>Lost</v>
      </c>
      <c r="S80">
        <f t="shared" si="12"/>
        <v>0</v>
      </c>
      <c r="T80">
        <f>Deals_Raw!AM83</f>
        <v>44348.13</v>
      </c>
      <c r="U80">
        <f t="shared" si="13"/>
        <v>0</v>
      </c>
      <c r="V80">
        <f>Deals_Raw!AN83</f>
        <v>133044.38999999998</v>
      </c>
      <c r="W80">
        <f t="shared" si="14"/>
        <v>0</v>
      </c>
      <c r="X80">
        <f>Deals_Raw!AO83</f>
        <v>28236.748107859275</v>
      </c>
      <c r="Y80">
        <f t="shared" si="15"/>
        <v>0</v>
      </c>
      <c r="Z80">
        <f>Deals_Raw!AP83</f>
        <v>0.63670662343280937</v>
      </c>
    </row>
    <row r="81" spans="1:26">
      <c r="A81" t="str">
        <f>Deals_Raw!A84</f>
        <v>D00092</v>
      </c>
      <c r="B81">
        <f>COUNTIF(Deals_Raw!$A$5:$A$643,A81)</f>
        <v>1</v>
      </c>
      <c r="C81" s="12" t="str">
        <f>Deals_Raw!E84</f>
        <v>CT00054</v>
      </c>
      <c r="E81">
        <f>Deals_Raw!AA84</f>
        <v>66846.671375198799</v>
      </c>
      <c r="F81">
        <f>ROUND(Deals_Raw!T84*(1-Deals_Raw!W84),2)</f>
        <v>66846.87</v>
      </c>
      <c r="G81">
        <f t="shared" si="8"/>
        <v>0.19862480119627435</v>
      </c>
      <c r="I81">
        <f>Deals_Raw!V84</f>
        <v>0.157</v>
      </c>
      <c r="J81">
        <f>Deals_Raw!W84</f>
        <v>0.14099999999999999</v>
      </c>
      <c r="K81" t="str">
        <f>Deals_Raw!Z84</f>
        <v>Pricing Analyst</v>
      </c>
      <c r="L81" t="str">
        <f t="shared" si="9"/>
        <v>yes</v>
      </c>
      <c r="M81" t="str">
        <f t="shared" si="10"/>
        <v>Pass</v>
      </c>
      <c r="O81">
        <f>Deals_Raw!AP84</f>
        <v>0.70095137803003182</v>
      </c>
      <c r="P81" t="str">
        <f t="shared" si="11"/>
        <v>False</v>
      </c>
      <c r="R81" t="str">
        <f>Deals_Raw!AF84</f>
        <v>Won</v>
      </c>
      <c r="S81">
        <f t="shared" si="12"/>
        <v>66846.87</v>
      </c>
      <c r="T81">
        <f>Deals_Raw!AM84</f>
        <v>66846.87</v>
      </c>
      <c r="U81">
        <f t="shared" si="13"/>
        <v>66846.87</v>
      </c>
      <c r="V81">
        <f>Deals_Raw!AN84</f>
        <v>66846.87</v>
      </c>
      <c r="W81">
        <f t="shared" si="14"/>
        <v>46856.405643494392</v>
      </c>
      <c r="X81">
        <f>Deals_Raw!AO84</f>
        <v>46856.405643494392</v>
      </c>
      <c r="Y81">
        <f t="shared" si="15"/>
        <v>0.70095137803003182</v>
      </c>
      <c r="Z81">
        <f>Deals_Raw!AP84</f>
        <v>0.70095137803003182</v>
      </c>
    </row>
    <row r="82" spans="1:26">
      <c r="A82" t="str">
        <f>Deals_Raw!A85</f>
        <v>D00093</v>
      </c>
      <c r="B82">
        <f>COUNTIF(Deals_Raw!$A$5:$A$643,A82)</f>
        <v>1</v>
      </c>
      <c r="C82" s="12" t="str">
        <f>Deals_Raw!E85</f>
        <v>CT00054</v>
      </c>
      <c r="E82">
        <f>Deals_Raw!AA85</f>
        <v>68455.708959175943</v>
      </c>
      <c r="F82">
        <f>ROUND(Deals_Raw!T85*(1-Deals_Raw!W85),2)</f>
        <v>68444.3</v>
      </c>
      <c r="G82">
        <f t="shared" si="8"/>
        <v>-11.408959175940254</v>
      </c>
      <c r="I82">
        <f>Deals_Raw!V85</f>
        <v>0.17599999999999999</v>
      </c>
      <c r="J82">
        <f>Deals_Raw!W85</f>
        <v>0.17299999999999999</v>
      </c>
      <c r="K82" t="str">
        <f>Deals_Raw!Z85</f>
        <v>Pricing Analyst</v>
      </c>
      <c r="L82" t="str">
        <f t="shared" si="9"/>
        <v>yes</v>
      </c>
      <c r="M82" t="str">
        <f t="shared" si="10"/>
        <v>Pass</v>
      </c>
      <c r="O82">
        <f>Deals_Raw!AP85</f>
        <v>0.67883803909710372</v>
      </c>
      <c r="P82" t="str">
        <f t="shared" si="11"/>
        <v>False</v>
      </c>
      <c r="R82" t="str">
        <f>Deals_Raw!AF85</f>
        <v>Won</v>
      </c>
      <c r="S82">
        <f t="shared" si="12"/>
        <v>68444.3</v>
      </c>
      <c r="T82">
        <f>Deals_Raw!AM85</f>
        <v>68444.3</v>
      </c>
      <c r="U82">
        <f t="shared" si="13"/>
        <v>68444.3</v>
      </c>
      <c r="V82">
        <f>Deals_Raw!AN85</f>
        <v>68444.3</v>
      </c>
      <c r="W82">
        <f t="shared" si="14"/>
        <v>46462.594399373898</v>
      </c>
      <c r="X82">
        <f>Deals_Raw!AO85</f>
        <v>46462.594399373898</v>
      </c>
      <c r="Y82">
        <f t="shared" si="15"/>
        <v>0.67883803909710372</v>
      </c>
      <c r="Z82">
        <f>Deals_Raw!AP85</f>
        <v>0.67883803909710372</v>
      </c>
    </row>
    <row r="83" spans="1:26">
      <c r="A83" t="str">
        <f>Deals_Raw!A86</f>
        <v>D00094</v>
      </c>
      <c r="B83">
        <f>COUNTIF(Deals_Raw!$A$5:$A$643,A83)</f>
        <v>1</v>
      </c>
      <c r="C83" s="12" t="str">
        <f>Deals_Raw!E86</f>
        <v>CT00055</v>
      </c>
      <c r="E83">
        <f>Deals_Raw!AA86</f>
        <v>276207.02758687275</v>
      </c>
      <c r="F83">
        <f>ROUND(Deals_Raw!T86*(1-Deals_Raw!W86),2)</f>
        <v>276073.05</v>
      </c>
      <c r="G83">
        <f t="shared" si="8"/>
        <v>-133.97758687275928</v>
      </c>
      <c r="I83">
        <f>Deals_Raw!V86</f>
        <v>0.19</v>
      </c>
      <c r="J83">
        <f>Deals_Raw!W86</f>
        <v>0.16200000000000001</v>
      </c>
      <c r="K83" t="str">
        <f>Deals_Raw!Z86</f>
        <v>Pricing Analyst</v>
      </c>
      <c r="L83" t="str">
        <f t="shared" si="9"/>
        <v>yes</v>
      </c>
      <c r="M83" t="str">
        <f t="shared" si="10"/>
        <v>Pass</v>
      </c>
      <c r="O83">
        <f>Deals_Raw!AP86</f>
        <v>0.57118807711960884</v>
      </c>
      <c r="P83" t="str">
        <f t="shared" si="11"/>
        <v>False</v>
      </c>
      <c r="R83" t="str">
        <f>Deals_Raw!AF86</f>
        <v>Won</v>
      </c>
      <c r="S83">
        <f t="shared" si="12"/>
        <v>276073.05</v>
      </c>
      <c r="T83">
        <f>Deals_Raw!AM86</f>
        <v>276073.05</v>
      </c>
      <c r="U83">
        <f t="shared" si="13"/>
        <v>276073.05</v>
      </c>
      <c r="V83">
        <f>Deals_Raw!AN86</f>
        <v>276073.05</v>
      </c>
      <c r="W83">
        <f t="shared" si="14"/>
        <v>157689.63457404563</v>
      </c>
      <c r="X83">
        <f>Deals_Raw!AO86</f>
        <v>157689.63457404563</v>
      </c>
      <c r="Y83">
        <f t="shared" si="15"/>
        <v>0.57118807711960884</v>
      </c>
      <c r="Z83">
        <f>Deals_Raw!AP86</f>
        <v>0.57118807711960884</v>
      </c>
    </row>
    <row r="84" spans="1:26">
      <c r="A84" t="str">
        <f>Deals_Raw!A87</f>
        <v>D00095</v>
      </c>
      <c r="B84">
        <f>COUNTIF(Deals_Raw!$A$5:$A$643,A84)</f>
        <v>1</v>
      </c>
      <c r="C84" s="12" t="str">
        <f>Deals_Raw!E87</f>
        <v>CT00055</v>
      </c>
      <c r="E84">
        <f>Deals_Raw!AA87</f>
        <v>286525.3530324907</v>
      </c>
      <c r="F84">
        <f>ROUND(Deals_Raw!T87*(1-Deals_Raw!W87),2)</f>
        <v>286397.28000000003</v>
      </c>
      <c r="G84">
        <f t="shared" si="8"/>
        <v>-128.07303249067627</v>
      </c>
      <c r="I84">
        <f>Deals_Raw!V87</f>
        <v>0.188</v>
      </c>
      <c r="J84">
        <f>Deals_Raw!W87</f>
        <v>0.17699999999999999</v>
      </c>
      <c r="K84" t="str">
        <f>Deals_Raw!Z87</f>
        <v>Pricing Analyst</v>
      </c>
      <c r="L84" t="str">
        <f t="shared" si="9"/>
        <v>yes</v>
      </c>
      <c r="M84" t="str">
        <f t="shared" si="10"/>
        <v>Pass</v>
      </c>
      <c r="O84">
        <f>Deals_Raw!AP87</f>
        <v>0.6191802263480517</v>
      </c>
      <c r="P84" t="str">
        <f t="shared" si="11"/>
        <v>False</v>
      </c>
      <c r="R84" t="str">
        <f>Deals_Raw!AF87</f>
        <v>Won</v>
      </c>
      <c r="S84">
        <f t="shared" si="12"/>
        <v>286397.28000000003</v>
      </c>
      <c r="T84">
        <f>Deals_Raw!AM87</f>
        <v>286397.28000000003</v>
      </c>
      <c r="U84">
        <f t="shared" si="13"/>
        <v>286397.28000000003</v>
      </c>
      <c r="V84">
        <f>Deals_Raw!AN87</f>
        <v>286397.28000000003</v>
      </c>
      <c r="W84">
        <f t="shared" si="14"/>
        <v>177331.53265586635</v>
      </c>
      <c r="X84">
        <f>Deals_Raw!AO87</f>
        <v>177331.53265586635</v>
      </c>
      <c r="Y84">
        <f t="shared" si="15"/>
        <v>0.6191802263480517</v>
      </c>
      <c r="Z84">
        <f>Deals_Raw!AP87</f>
        <v>0.6191802263480517</v>
      </c>
    </row>
    <row r="85" spans="1:26">
      <c r="A85" t="str">
        <f>Deals_Raw!A88</f>
        <v>D00096</v>
      </c>
      <c r="B85">
        <f>COUNTIF(Deals_Raw!$A$5:$A$643,A85)</f>
        <v>1</v>
      </c>
      <c r="C85" s="12" t="str">
        <f>Deals_Raw!E88</f>
        <v>CT00056</v>
      </c>
      <c r="E85">
        <f>Deals_Raw!AA88</f>
        <v>42825.233697954354</v>
      </c>
      <c r="F85">
        <f>ROUND(Deals_Raw!T88*(1-Deals_Raw!W88),2)</f>
        <v>42827.8</v>
      </c>
      <c r="G85">
        <f t="shared" si="8"/>
        <v>2.5663020456486265</v>
      </c>
      <c r="I85">
        <f>Deals_Raw!V88</f>
        <v>0.105</v>
      </c>
      <c r="J85">
        <f>Deals_Raw!W88</f>
        <v>9.4E-2</v>
      </c>
      <c r="K85" t="str">
        <f>Deals_Raw!Z88</f>
        <v>Sales Manager</v>
      </c>
      <c r="L85" t="str">
        <f t="shared" si="9"/>
        <v>yes</v>
      </c>
      <c r="M85" t="str">
        <f t="shared" si="10"/>
        <v>Pass</v>
      </c>
      <c r="O85">
        <f>Deals_Raw!AP88</f>
        <v>0.62120260890119627</v>
      </c>
      <c r="P85" t="str">
        <f t="shared" si="11"/>
        <v>False</v>
      </c>
      <c r="R85" t="str">
        <f>Deals_Raw!AF88</f>
        <v>Lost</v>
      </c>
      <c r="S85">
        <f t="shared" si="12"/>
        <v>0</v>
      </c>
      <c r="T85">
        <f>Deals_Raw!AM88</f>
        <v>42827.8</v>
      </c>
      <c r="U85">
        <f t="shared" si="13"/>
        <v>0</v>
      </c>
      <c r="V85">
        <f>Deals_Raw!AN88</f>
        <v>42827.8</v>
      </c>
      <c r="W85">
        <f t="shared" si="14"/>
        <v>0</v>
      </c>
      <c r="X85">
        <f>Deals_Raw!AO88</f>
        <v>26604.741093498655</v>
      </c>
      <c r="Y85">
        <f t="shared" si="15"/>
        <v>0</v>
      </c>
      <c r="Z85">
        <f>Deals_Raw!AP88</f>
        <v>0.62120260890119627</v>
      </c>
    </row>
    <row r="86" spans="1:26">
      <c r="A86" t="str">
        <f>Deals_Raw!A89</f>
        <v>D00097</v>
      </c>
      <c r="B86">
        <f>COUNTIF(Deals_Raw!$A$5:$A$643,A86)</f>
        <v>1</v>
      </c>
      <c r="C86" s="12" t="str">
        <f>Deals_Raw!E89</f>
        <v>CT00057</v>
      </c>
      <c r="E86">
        <f>Deals_Raw!AA89</f>
        <v>53823.128988005577</v>
      </c>
      <c r="F86">
        <f>ROUND(Deals_Raw!T89*(1-Deals_Raw!W89),2)</f>
        <v>53833.26</v>
      </c>
      <c r="G86">
        <f t="shared" si="8"/>
        <v>10.131011994424625</v>
      </c>
      <c r="I86">
        <f>Deals_Raw!V89</f>
        <v>7.4999999999999997E-2</v>
      </c>
      <c r="J86">
        <f>Deals_Raw!W89</f>
        <v>5.8999999999999997E-2</v>
      </c>
      <c r="K86" t="str">
        <f>Deals_Raw!Z89</f>
        <v>Sales Manager</v>
      </c>
      <c r="L86" t="str">
        <f t="shared" si="9"/>
        <v>yes</v>
      </c>
      <c r="M86" t="str">
        <f t="shared" si="10"/>
        <v>Pass</v>
      </c>
      <c r="O86">
        <f>Deals_Raw!AP89</f>
        <v>0.61377059075383311</v>
      </c>
      <c r="P86" t="str">
        <f t="shared" si="11"/>
        <v>False</v>
      </c>
      <c r="R86" t="str">
        <f>Deals_Raw!AF89</f>
        <v>Lost</v>
      </c>
      <c r="S86">
        <f t="shared" si="12"/>
        <v>0</v>
      </c>
      <c r="T86">
        <f>Deals_Raw!AM89</f>
        <v>53833.26</v>
      </c>
      <c r="U86">
        <f t="shared" si="13"/>
        <v>0</v>
      </c>
      <c r="V86">
        <f>Deals_Raw!AN89</f>
        <v>53833.26</v>
      </c>
      <c r="W86">
        <f t="shared" si="14"/>
        <v>0</v>
      </c>
      <c r="X86">
        <f>Deals_Raw!AO89</f>
        <v>33041.271792404696</v>
      </c>
      <c r="Y86">
        <f t="shared" si="15"/>
        <v>0</v>
      </c>
      <c r="Z86">
        <f>Deals_Raw!AP89</f>
        <v>0.61377059075383311</v>
      </c>
    </row>
    <row r="87" spans="1:26">
      <c r="A87" t="str">
        <f>Deals_Raw!A90</f>
        <v>D00098</v>
      </c>
      <c r="B87">
        <f>COUNTIF(Deals_Raw!$A$5:$A$643,A87)</f>
        <v>1</v>
      </c>
      <c r="C87" s="12" t="str">
        <f>Deals_Raw!E90</f>
        <v>CT00058</v>
      </c>
      <c r="E87">
        <f>Deals_Raw!AA90</f>
        <v>116407.15643724783</v>
      </c>
      <c r="F87">
        <f>ROUND(Deals_Raw!T90*(1-Deals_Raw!W90),2)</f>
        <v>116410.73</v>
      </c>
      <c r="G87">
        <f t="shared" si="8"/>
        <v>3.5735627521644346</v>
      </c>
      <c r="I87">
        <f>Deals_Raw!V90</f>
        <v>0.129</v>
      </c>
      <c r="J87">
        <f>Deals_Raw!W90</f>
        <v>9.0999999999999998E-2</v>
      </c>
      <c r="K87" t="str">
        <f>Deals_Raw!Z90</f>
        <v>Sales Manager</v>
      </c>
      <c r="L87" t="str">
        <f t="shared" si="9"/>
        <v>yes</v>
      </c>
      <c r="M87" t="str">
        <f t="shared" si="10"/>
        <v>Pass</v>
      </c>
      <c r="O87">
        <f>Deals_Raw!AP90</f>
        <v>0.59839916494386414</v>
      </c>
      <c r="P87" t="str">
        <f t="shared" si="11"/>
        <v>False</v>
      </c>
      <c r="R87" t="str">
        <f>Deals_Raw!AF90</f>
        <v>Lost</v>
      </c>
      <c r="S87">
        <f t="shared" si="12"/>
        <v>0</v>
      </c>
      <c r="T87">
        <f>Deals_Raw!AM90</f>
        <v>116410.73</v>
      </c>
      <c r="U87">
        <f t="shared" si="13"/>
        <v>0</v>
      </c>
      <c r="V87">
        <f>Deals_Raw!AN90</f>
        <v>116410.73</v>
      </c>
      <c r="W87">
        <f t="shared" si="14"/>
        <v>0</v>
      </c>
      <c r="X87">
        <f>Deals_Raw!AO90</f>
        <v>69660.083622505626</v>
      </c>
      <c r="Y87">
        <f t="shared" si="15"/>
        <v>0</v>
      </c>
      <c r="Z87">
        <f>Deals_Raw!AP90</f>
        <v>0.59839916494386414</v>
      </c>
    </row>
    <row r="88" spans="1:26">
      <c r="A88" t="str">
        <f>Deals_Raw!A91</f>
        <v>D00099</v>
      </c>
      <c r="B88">
        <f>COUNTIF(Deals_Raw!$A$5:$A$643,A88)</f>
        <v>1</v>
      </c>
      <c r="C88" s="12" t="str">
        <f>Deals_Raw!E91</f>
        <v>CT00058</v>
      </c>
      <c r="E88">
        <f>Deals_Raw!AA91</f>
        <v>111213.80337522077</v>
      </c>
      <c r="F88">
        <f>ROUND(Deals_Raw!T91*(1-Deals_Raw!W91),2)</f>
        <v>111160.08</v>
      </c>
      <c r="G88">
        <f t="shared" si="8"/>
        <v>-53.723375220768503</v>
      </c>
      <c r="I88">
        <f>Deals_Raw!V91</f>
        <v>0.13700000000000001</v>
      </c>
      <c r="J88">
        <f>Deals_Raw!W91</f>
        <v>0.13200000000000001</v>
      </c>
      <c r="K88" t="str">
        <f>Deals_Raw!Z91</f>
        <v>Pricing Analyst</v>
      </c>
      <c r="L88" t="str">
        <f t="shared" si="9"/>
        <v>yes</v>
      </c>
      <c r="M88" t="str">
        <f t="shared" si="10"/>
        <v>Pass</v>
      </c>
      <c r="O88">
        <f>Deals_Raw!AP91</f>
        <v>0.57752028557022672</v>
      </c>
      <c r="P88" t="str">
        <f t="shared" si="11"/>
        <v>False</v>
      </c>
      <c r="R88" t="str">
        <f>Deals_Raw!AF91</f>
        <v>Lost</v>
      </c>
      <c r="S88">
        <f t="shared" si="12"/>
        <v>0</v>
      </c>
      <c r="T88">
        <f>Deals_Raw!AM91</f>
        <v>111160.08</v>
      </c>
      <c r="U88">
        <f t="shared" si="13"/>
        <v>0</v>
      </c>
      <c r="V88">
        <f>Deals_Raw!AN91</f>
        <v>111160.08</v>
      </c>
      <c r="W88">
        <f t="shared" si="14"/>
        <v>0</v>
      </c>
      <c r="X88">
        <f>Deals_Raw!AO91</f>
        <v>64197.201145609244</v>
      </c>
      <c r="Y88">
        <f t="shared" si="15"/>
        <v>0</v>
      </c>
      <c r="Z88">
        <f>Deals_Raw!AP91</f>
        <v>0.57752028557022672</v>
      </c>
    </row>
    <row r="89" spans="1:26">
      <c r="A89" t="str">
        <f>Deals_Raw!A92</f>
        <v>D00101</v>
      </c>
      <c r="B89">
        <f>COUNTIF(Deals_Raw!$A$5:$A$643,A89)</f>
        <v>1</v>
      </c>
      <c r="C89" s="12" t="str">
        <f>Deals_Raw!E92</f>
        <v>CT00060</v>
      </c>
      <c r="E89">
        <f>Deals_Raw!AA92</f>
        <v>64107.95279990913</v>
      </c>
      <c r="F89">
        <f>ROUND(Deals_Raw!T92*(1-Deals_Raw!W92),2)</f>
        <v>64111.5</v>
      </c>
      <c r="G89">
        <f t="shared" si="8"/>
        <v>3.5472000908703194</v>
      </c>
      <c r="I89">
        <f>Deals_Raw!V92</f>
        <v>0.14199999999999999</v>
      </c>
      <c r="J89">
        <f>Deals_Raw!W92</f>
        <v>0.14099999999999999</v>
      </c>
      <c r="K89" t="str">
        <f>Deals_Raw!Z92</f>
        <v>Pricing Analyst</v>
      </c>
      <c r="L89" t="str">
        <f t="shared" si="9"/>
        <v>yes</v>
      </c>
      <c r="M89" t="str">
        <f t="shared" si="10"/>
        <v>Pass</v>
      </c>
      <c r="O89">
        <f>Deals_Raw!AP92</f>
        <v>0.6256192084519967</v>
      </c>
      <c r="P89" t="str">
        <f t="shared" si="11"/>
        <v>False</v>
      </c>
      <c r="R89" t="str">
        <f>Deals_Raw!AF92</f>
        <v>Won</v>
      </c>
      <c r="S89">
        <f t="shared" si="12"/>
        <v>64111.5</v>
      </c>
      <c r="T89">
        <f>Deals_Raw!AM92</f>
        <v>64111.5</v>
      </c>
      <c r="U89">
        <f t="shared" si="13"/>
        <v>64111.5</v>
      </c>
      <c r="V89">
        <f>Deals_Raw!AN92</f>
        <v>64111.5</v>
      </c>
      <c r="W89">
        <f t="shared" si="14"/>
        <v>40109.385882670183</v>
      </c>
      <c r="X89">
        <f>Deals_Raw!AO92</f>
        <v>40109.385882670183</v>
      </c>
      <c r="Y89">
        <f t="shared" si="15"/>
        <v>0.6256192084519967</v>
      </c>
      <c r="Z89">
        <f>Deals_Raw!AP92</f>
        <v>0.6256192084519967</v>
      </c>
    </row>
    <row r="90" spans="1:26">
      <c r="A90" t="str">
        <f>Deals_Raw!A93</f>
        <v>D00102</v>
      </c>
      <c r="B90">
        <f>COUNTIF(Deals_Raw!$A$5:$A$643,A90)</f>
        <v>1</v>
      </c>
      <c r="C90" s="12" t="str">
        <f>Deals_Raw!E93</f>
        <v>CT00060</v>
      </c>
      <c r="E90">
        <f>Deals_Raw!AA93</f>
        <v>72314.756611578006</v>
      </c>
      <c r="F90">
        <f>ROUND(Deals_Raw!T93*(1-Deals_Raw!W93),2)</f>
        <v>72321.899999999994</v>
      </c>
      <c r="G90">
        <f t="shared" si="8"/>
        <v>7.1433884219877655</v>
      </c>
      <c r="I90">
        <f>Deals_Raw!V93</f>
        <v>0.10299999999999999</v>
      </c>
      <c r="J90">
        <f>Deals_Raw!W93</f>
        <v>7.0999999999999994E-2</v>
      </c>
      <c r="K90" t="str">
        <f>Deals_Raw!Z93</f>
        <v>Sales Manager</v>
      </c>
      <c r="L90" t="str">
        <f t="shared" si="9"/>
        <v>yes</v>
      </c>
      <c r="M90" t="str">
        <f t="shared" si="10"/>
        <v>Pass</v>
      </c>
      <c r="O90">
        <f>Deals_Raw!AP93</f>
        <v>0.63790741310275256</v>
      </c>
      <c r="P90" t="str">
        <f t="shared" si="11"/>
        <v>False</v>
      </c>
      <c r="R90" t="str">
        <f>Deals_Raw!AF93</f>
        <v>Lost</v>
      </c>
      <c r="S90">
        <f t="shared" si="12"/>
        <v>0</v>
      </c>
      <c r="T90">
        <f>Deals_Raw!AM93</f>
        <v>72321.899999999994</v>
      </c>
      <c r="U90">
        <f t="shared" si="13"/>
        <v>0</v>
      </c>
      <c r="V90">
        <f>Deals_Raw!AN93</f>
        <v>72321.899999999994</v>
      </c>
      <c r="W90">
        <f t="shared" si="14"/>
        <v>0</v>
      </c>
      <c r="X90">
        <f>Deals_Raw!AO93</f>
        <v>46134.676139675954</v>
      </c>
      <c r="Y90">
        <f t="shared" si="15"/>
        <v>0</v>
      </c>
      <c r="Z90">
        <f>Deals_Raw!AP93</f>
        <v>0.63790741310275256</v>
      </c>
    </row>
    <row r="91" spans="1:26">
      <c r="A91" t="str">
        <f>Deals_Raw!A94</f>
        <v>D00103</v>
      </c>
      <c r="B91">
        <f>COUNTIF(Deals_Raw!$A$5:$A$643,A91)</f>
        <v>1</v>
      </c>
      <c r="C91" s="12" t="str">
        <f>Deals_Raw!E94</f>
        <v>CT00060</v>
      </c>
      <c r="E91">
        <f>Deals_Raw!AA94</f>
        <v>62385.967604455196</v>
      </c>
      <c r="F91">
        <f>ROUND(Deals_Raw!T94*(1-Deals_Raw!W94),2)</f>
        <v>62357.2</v>
      </c>
      <c r="G91">
        <f t="shared" si="8"/>
        <v>-28.767604455199034</v>
      </c>
      <c r="I91">
        <f>Deals_Raw!V94</f>
        <v>0.217</v>
      </c>
      <c r="J91">
        <f>Deals_Raw!W94</f>
        <v>0.19900000000000001</v>
      </c>
      <c r="K91" t="str">
        <f>Deals_Raw!Z94</f>
        <v>Pricing Analyst</v>
      </c>
      <c r="L91" t="str">
        <f t="shared" si="9"/>
        <v>yes</v>
      </c>
      <c r="M91" t="str">
        <f t="shared" si="10"/>
        <v>Pass</v>
      </c>
      <c r="O91">
        <f>Deals_Raw!AP94</f>
        <v>0.61327892387803007</v>
      </c>
      <c r="P91" t="str">
        <f t="shared" si="11"/>
        <v>False</v>
      </c>
      <c r="R91" t="str">
        <f>Deals_Raw!AF94</f>
        <v>Won</v>
      </c>
      <c r="S91">
        <f t="shared" si="12"/>
        <v>62357.2</v>
      </c>
      <c r="T91">
        <f>Deals_Raw!AM94</f>
        <v>62357.2</v>
      </c>
      <c r="U91">
        <f t="shared" si="13"/>
        <v>62357.2</v>
      </c>
      <c r="V91">
        <f>Deals_Raw!AN94</f>
        <v>62357.2</v>
      </c>
      <c r="W91">
        <f t="shared" si="14"/>
        <v>38242.356512047096</v>
      </c>
      <c r="X91">
        <f>Deals_Raw!AO94</f>
        <v>38242.356512047096</v>
      </c>
      <c r="Y91">
        <f t="shared" si="15"/>
        <v>0.61327892387803007</v>
      </c>
      <c r="Z91">
        <f>Deals_Raw!AP94</f>
        <v>0.61327892387803007</v>
      </c>
    </row>
    <row r="92" spans="1:26">
      <c r="A92" t="str">
        <f>Deals_Raw!A95</f>
        <v>D00104</v>
      </c>
      <c r="B92">
        <f>COUNTIF(Deals_Raw!$A$5:$A$643,A92)</f>
        <v>1</v>
      </c>
      <c r="C92" s="12" t="str">
        <f>Deals_Raw!E95</f>
        <v>CT00061</v>
      </c>
      <c r="E92">
        <f>Deals_Raw!AA95</f>
        <v>129300.6997514556</v>
      </c>
      <c r="F92">
        <f>ROUND(Deals_Raw!T95*(1-Deals_Raw!W95),2)</f>
        <v>129244.91</v>
      </c>
      <c r="G92">
        <f t="shared" si="8"/>
        <v>-55.789751455595251</v>
      </c>
      <c r="I92">
        <f>Deals_Raw!V95</f>
        <v>0.247</v>
      </c>
      <c r="J92">
        <f>Deals_Raw!W95</f>
        <v>0.187</v>
      </c>
      <c r="K92" t="str">
        <f>Deals_Raw!Z95</f>
        <v>Pricing Analyst</v>
      </c>
      <c r="L92" t="str">
        <f t="shared" si="9"/>
        <v>yes</v>
      </c>
      <c r="M92" t="str">
        <f t="shared" si="10"/>
        <v>Pass</v>
      </c>
      <c r="O92">
        <f>Deals_Raw!AP95</f>
        <v>0.56373667541919659</v>
      </c>
      <c r="P92" t="str">
        <f t="shared" si="11"/>
        <v>False</v>
      </c>
      <c r="R92" t="str">
        <f>Deals_Raw!AF95</f>
        <v>Won</v>
      </c>
      <c r="S92">
        <f t="shared" si="12"/>
        <v>129244.91</v>
      </c>
      <c r="T92">
        <f>Deals_Raw!AM95</f>
        <v>129244.91</v>
      </c>
      <c r="U92">
        <f t="shared" si="13"/>
        <v>387734.73</v>
      </c>
      <c r="V92">
        <f>Deals_Raw!AN95</f>
        <v>387734.73</v>
      </c>
      <c r="W92">
        <f t="shared" si="14"/>
        <v>72860.095878253283</v>
      </c>
      <c r="X92">
        <f>Deals_Raw!AO95</f>
        <v>72860.095878253283</v>
      </c>
      <c r="Y92">
        <f t="shared" si="15"/>
        <v>0.56373667541919659</v>
      </c>
      <c r="Z92">
        <f>Deals_Raw!AP95</f>
        <v>0.56373667541919659</v>
      </c>
    </row>
    <row r="93" spans="1:26">
      <c r="A93" t="str">
        <f>Deals_Raw!A96</f>
        <v>D00105</v>
      </c>
      <c r="B93">
        <f>COUNTIF(Deals_Raw!$A$5:$A$643,A93)</f>
        <v>1</v>
      </c>
      <c r="C93" s="12" t="str">
        <f>Deals_Raw!E96</f>
        <v>CT00062</v>
      </c>
      <c r="E93">
        <f>Deals_Raw!AA96</f>
        <v>109234.02679034932</v>
      </c>
      <c r="F93">
        <f>ROUND(Deals_Raw!T96*(1-Deals_Raw!W96),2)</f>
        <v>109257.2</v>
      </c>
      <c r="G93">
        <f t="shared" si="8"/>
        <v>23.173209650674835</v>
      </c>
      <c r="I93">
        <f>Deals_Raw!V96</f>
        <v>0.17799999999999999</v>
      </c>
      <c r="J93">
        <f>Deals_Raw!W96</f>
        <v>0.14899999999999999</v>
      </c>
      <c r="K93" t="str">
        <f>Deals_Raw!Z96</f>
        <v>Pricing Analyst</v>
      </c>
      <c r="L93" t="str">
        <f t="shared" si="9"/>
        <v>yes</v>
      </c>
      <c r="M93" t="str">
        <f t="shared" si="10"/>
        <v>Pass</v>
      </c>
      <c r="O93">
        <f>Deals_Raw!AP96</f>
        <v>0.57542565999570994</v>
      </c>
      <c r="P93" t="str">
        <f t="shared" si="11"/>
        <v>False</v>
      </c>
      <c r="R93" t="str">
        <f>Deals_Raw!AF96</f>
        <v>Lost</v>
      </c>
      <c r="S93">
        <f t="shared" si="12"/>
        <v>0</v>
      </c>
      <c r="T93">
        <f>Deals_Raw!AM96</f>
        <v>109257.2</v>
      </c>
      <c r="U93">
        <f t="shared" si="13"/>
        <v>0</v>
      </c>
      <c r="V93">
        <f>Deals_Raw!AN96</f>
        <v>109257.2</v>
      </c>
      <c r="W93">
        <f t="shared" si="14"/>
        <v>0</v>
      </c>
      <c r="X93">
        <f>Deals_Raw!AO96</f>
        <v>62869.396419283279</v>
      </c>
      <c r="Y93">
        <f t="shared" si="15"/>
        <v>0</v>
      </c>
      <c r="Z93">
        <f>Deals_Raw!AP96</f>
        <v>0.57542565999570994</v>
      </c>
    </row>
    <row r="94" spans="1:26">
      <c r="A94" t="str">
        <f>Deals_Raw!A97</f>
        <v>D00106</v>
      </c>
      <c r="B94">
        <f>COUNTIF(Deals_Raw!$A$5:$A$643,A94)</f>
        <v>1</v>
      </c>
      <c r="C94" s="12" t="str">
        <f>Deals_Raw!E97</f>
        <v>CT00063</v>
      </c>
      <c r="E94">
        <f>Deals_Raw!AA97</f>
        <v>107440.63149439763</v>
      </c>
      <c r="F94">
        <f>ROUND(Deals_Raw!T97*(1-Deals_Raw!W97),2)</f>
        <v>107401.81</v>
      </c>
      <c r="G94">
        <f t="shared" si="8"/>
        <v>-38.821494397634524</v>
      </c>
      <c r="I94">
        <f>Deals_Raw!V97</f>
        <v>0.184</v>
      </c>
      <c r="J94">
        <f>Deals_Raw!W97</f>
        <v>0.16800000000000001</v>
      </c>
      <c r="K94" t="str">
        <f>Deals_Raw!Z97</f>
        <v>Pricing Analyst</v>
      </c>
      <c r="L94" t="str">
        <f t="shared" si="9"/>
        <v>yes</v>
      </c>
      <c r="M94" t="str">
        <f t="shared" si="10"/>
        <v>Pass</v>
      </c>
      <c r="O94">
        <f>Deals_Raw!AP97</f>
        <v>0.5243770592440109</v>
      </c>
      <c r="P94" t="str">
        <f t="shared" si="11"/>
        <v>False</v>
      </c>
      <c r="R94" t="str">
        <f>Deals_Raw!AF97</f>
        <v>Lost</v>
      </c>
      <c r="S94">
        <f t="shared" si="12"/>
        <v>0</v>
      </c>
      <c r="T94">
        <f>Deals_Raw!AM97</f>
        <v>107401.81</v>
      </c>
      <c r="U94">
        <f t="shared" si="13"/>
        <v>0</v>
      </c>
      <c r="V94">
        <f>Deals_Raw!AN97</f>
        <v>107401.81</v>
      </c>
      <c r="W94">
        <f t="shared" si="14"/>
        <v>0</v>
      </c>
      <c r="X94">
        <f>Deals_Raw!AO97</f>
        <v>56319.045285283995</v>
      </c>
      <c r="Y94">
        <f t="shared" si="15"/>
        <v>0</v>
      </c>
      <c r="Z94">
        <f>Deals_Raw!AP97</f>
        <v>0.5243770592440109</v>
      </c>
    </row>
    <row r="95" spans="1:26">
      <c r="A95" t="str">
        <f>Deals_Raw!A98</f>
        <v>D00107</v>
      </c>
      <c r="B95">
        <f>COUNTIF(Deals_Raw!$A$5:$A$643,A95)</f>
        <v>1</v>
      </c>
      <c r="C95" s="12" t="str">
        <f>Deals_Raw!E98</f>
        <v>CT00064</v>
      </c>
      <c r="E95">
        <f>Deals_Raw!AA98</f>
        <v>160972.31743410538</v>
      </c>
      <c r="F95">
        <f>ROUND(Deals_Raw!T98*(1-Deals_Raw!W98),2)</f>
        <v>160901.17000000001</v>
      </c>
      <c r="G95">
        <f t="shared" si="8"/>
        <v>-71.14743410536903</v>
      </c>
      <c r="I95">
        <f>Deals_Raw!V98</f>
        <v>0.13200000000000001</v>
      </c>
      <c r="J95">
        <f>Deals_Raw!W98</f>
        <v>9.9000000000000005E-2</v>
      </c>
      <c r="K95" t="str">
        <f>Deals_Raw!Z98</f>
        <v>Sales Manager</v>
      </c>
      <c r="L95" t="str">
        <f t="shared" si="9"/>
        <v>yes</v>
      </c>
      <c r="M95" t="str">
        <f t="shared" si="10"/>
        <v>Pass</v>
      </c>
      <c r="O95">
        <f>Deals_Raw!AP98</f>
        <v>0.64837972647418562</v>
      </c>
      <c r="P95" t="str">
        <f t="shared" si="11"/>
        <v>False</v>
      </c>
      <c r="R95" t="str">
        <f>Deals_Raw!AF98</f>
        <v>Won</v>
      </c>
      <c r="S95">
        <f t="shared" si="12"/>
        <v>160901.17000000001</v>
      </c>
      <c r="T95">
        <f>Deals_Raw!AM98</f>
        <v>160901.17000000001</v>
      </c>
      <c r="U95">
        <f t="shared" si="13"/>
        <v>160901.17000000001</v>
      </c>
      <c r="V95">
        <f>Deals_Raw!AN98</f>
        <v>160901.17000000001</v>
      </c>
      <c r="W95">
        <f t="shared" si="14"/>
        <v>104325.05659397645</v>
      </c>
      <c r="X95">
        <f>Deals_Raw!AO98</f>
        <v>104325.05659397645</v>
      </c>
      <c r="Y95">
        <f t="shared" si="15"/>
        <v>0.64837972647418562</v>
      </c>
      <c r="Z95">
        <f>Deals_Raw!AP98</f>
        <v>0.64837972647418562</v>
      </c>
    </row>
    <row r="96" spans="1:26">
      <c r="A96" t="str">
        <f>Deals_Raw!A99</f>
        <v>D00108</v>
      </c>
      <c r="B96">
        <f>COUNTIF(Deals_Raw!$A$5:$A$643,A96)</f>
        <v>1</v>
      </c>
      <c r="C96" s="12" t="str">
        <f>Deals_Raw!E99</f>
        <v>CT00065</v>
      </c>
      <c r="E96">
        <f>Deals_Raw!AA99</f>
        <v>281710.26841463475</v>
      </c>
      <c r="F96">
        <f>ROUND(Deals_Raw!T99*(1-Deals_Raw!W99),2)</f>
        <v>281796.71999999997</v>
      </c>
      <c r="G96">
        <f t="shared" si="8"/>
        <v>86.451585365226492</v>
      </c>
      <c r="I96">
        <f>Deals_Raw!V99</f>
        <v>0.16400000000000001</v>
      </c>
      <c r="J96">
        <f>Deals_Raw!W99</f>
        <v>0.14399999999999999</v>
      </c>
      <c r="K96" t="str">
        <f>Deals_Raw!Z99</f>
        <v>Pricing Analyst</v>
      </c>
      <c r="L96" t="str">
        <f t="shared" si="9"/>
        <v>yes</v>
      </c>
      <c r="M96" t="str">
        <f t="shared" si="10"/>
        <v>Pass</v>
      </c>
      <c r="O96">
        <f>Deals_Raw!AP99</f>
        <v>0.58366331519053405</v>
      </c>
      <c r="P96" t="str">
        <f t="shared" si="11"/>
        <v>False</v>
      </c>
      <c r="R96" t="str">
        <f>Deals_Raw!AF99</f>
        <v>Won</v>
      </c>
      <c r="S96">
        <f t="shared" si="12"/>
        <v>281796.71999999997</v>
      </c>
      <c r="T96">
        <f>Deals_Raw!AM99</f>
        <v>281796.71999999997</v>
      </c>
      <c r="U96">
        <f t="shared" si="13"/>
        <v>563593.43999999994</v>
      </c>
      <c r="V96">
        <f>Deals_Raw!AN99</f>
        <v>563593.43999999994</v>
      </c>
      <c r="W96">
        <f t="shared" si="14"/>
        <v>164474.40780501865</v>
      </c>
      <c r="X96">
        <f>Deals_Raw!AO99</f>
        <v>164474.40780501865</v>
      </c>
      <c r="Y96">
        <f t="shared" si="15"/>
        <v>0.58366331519053405</v>
      </c>
      <c r="Z96">
        <f>Deals_Raw!AP99</f>
        <v>0.58366331519053405</v>
      </c>
    </row>
    <row r="97" spans="1:26">
      <c r="A97" t="str">
        <f>Deals_Raw!A100</f>
        <v>D00109</v>
      </c>
      <c r="B97">
        <f>COUNTIF(Deals_Raw!$A$5:$A$643,A97)</f>
        <v>1</v>
      </c>
      <c r="C97" s="12" t="str">
        <f>Deals_Raw!E100</f>
        <v>CT00066</v>
      </c>
      <c r="E97">
        <f>Deals_Raw!AA100</f>
        <v>46959.85939006925</v>
      </c>
      <c r="F97">
        <f>ROUND(Deals_Raw!T100*(1-Deals_Raw!W100),2)</f>
        <v>46942.19</v>
      </c>
      <c r="G97">
        <f t="shared" si="8"/>
        <v>-17.669390069248038</v>
      </c>
      <c r="I97">
        <f>Deals_Raw!V100</f>
        <v>0.16600000000000001</v>
      </c>
      <c r="J97">
        <f>Deals_Raw!W100</f>
        <v>0.158</v>
      </c>
      <c r="K97" t="str">
        <f>Deals_Raw!Z100</f>
        <v>Pricing Analyst</v>
      </c>
      <c r="L97" t="str">
        <f t="shared" si="9"/>
        <v>yes</v>
      </c>
      <c r="M97" t="str">
        <f t="shared" si="10"/>
        <v>Pass</v>
      </c>
      <c r="O97">
        <f>Deals_Raw!AP100</f>
        <v>0.62851484000190949</v>
      </c>
      <c r="P97" t="str">
        <f t="shared" si="11"/>
        <v>False</v>
      </c>
      <c r="R97" t="str">
        <f>Deals_Raw!AF100</f>
        <v>Won</v>
      </c>
      <c r="S97">
        <f t="shared" si="12"/>
        <v>46942.19</v>
      </c>
      <c r="T97">
        <f>Deals_Raw!AM100</f>
        <v>46942.19</v>
      </c>
      <c r="U97">
        <f t="shared" si="13"/>
        <v>140826.57</v>
      </c>
      <c r="V97">
        <f>Deals_Raw!AN100</f>
        <v>140826.57</v>
      </c>
      <c r="W97">
        <f t="shared" si="14"/>
        <v>29503.863037189236</v>
      </c>
      <c r="X97">
        <f>Deals_Raw!AO100</f>
        <v>29503.863037189236</v>
      </c>
      <c r="Y97">
        <f t="shared" si="15"/>
        <v>0.62851484000190949</v>
      </c>
      <c r="Z97">
        <f>Deals_Raw!AP100</f>
        <v>0.62851484000190949</v>
      </c>
    </row>
    <row r="98" spans="1:26">
      <c r="A98" t="str">
        <f>Deals_Raw!A101</f>
        <v>D00112</v>
      </c>
      <c r="B98">
        <f>COUNTIF(Deals_Raw!$A$5:$A$643,A98)</f>
        <v>1</v>
      </c>
      <c r="C98" s="12" t="str">
        <f>Deals_Raw!E101</f>
        <v>CT00067</v>
      </c>
      <c r="E98">
        <f>Deals_Raw!AA101</f>
        <v>27577.373485041317</v>
      </c>
      <c r="F98">
        <f>ROUND(Deals_Raw!T101*(1-Deals_Raw!W101),2)</f>
        <v>27561.09</v>
      </c>
      <c r="G98">
        <f t="shared" si="8"/>
        <v>-16.283485041316453</v>
      </c>
      <c r="I98">
        <f>Deals_Raw!V101</f>
        <v>0.219</v>
      </c>
      <c r="J98">
        <f>Deals_Raw!W101</f>
        <v>0.20899999999999999</v>
      </c>
      <c r="K98" t="str">
        <f>Deals_Raw!Z101</f>
        <v>Business Manager</v>
      </c>
      <c r="L98" t="str">
        <f t="shared" si="9"/>
        <v>yes</v>
      </c>
      <c r="M98" t="str">
        <f t="shared" si="10"/>
        <v>Pass</v>
      </c>
      <c r="O98">
        <f>Deals_Raw!AP101</f>
        <v>0.66957725543259639</v>
      </c>
      <c r="P98" t="str">
        <f t="shared" si="11"/>
        <v>False</v>
      </c>
      <c r="R98" t="str">
        <f>Deals_Raw!AF101</f>
        <v>Won</v>
      </c>
      <c r="S98">
        <f t="shared" si="12"/>
        <v>27561.09</v>
      </c>
      <c r="T98">
        <f>Deals_Raw!AM101</f>
        <v>27561.09</v>
      </c>
      <c r="U98">
        <f t="shared" si="13"/>
        <v>27561.09</v>
      </c>
      <c r="V98">
        <f>Deals_Raw!AN101</f>
        <v>27561.09</v>
      </c>
      <c r="W98">
        <f t="shared" si="14"/>
        <v>18454.278998930778</v>
      </c>
      <c r="X98">
        <f>Deals_Raw!AO101</f>
        <v>18454.278998930778</v>
      </c>
      <c r="Y98">
        <f t="shared" si="15"/>
        <v>0.66957725543259639</v>
      </c>
      <c r="Z98">
        <f>Deals_Raw!AP101</f>
        <v>0.66957725543259639</v>
      </c>
    </row>
    <row r="99" spans="1:26">
      <c r="A99" t="str">
        <f>Deals_Raw!A102</f>
        <v>D00113</v>
      </c>
      <c r="B99">
        <f>COUNTIF(Deals_Raw!$A$5:$A$643,A99)</f>
        <v>1</v>
      </c>
      <c r="C99" s="12" t="str">
        <f>Deals_Raw!E102</f>
        <v>CT00067</v>
      </c>
      <c r="E99">
        <f>Deals_Raw!AA102</f>
        <v>30768.282492842525</v>
      </c>
      <c r="F99">
        <f>ROUND(Deals_Raw!T102*(1-Deals_Raw!W102),2)</f>
        <v>30774.89</v>
      </c>
      <c r="G99">
        <f t="shared" si="8"/>
        <v>6.6075071574741742</v>
      </c>
      <c r="I99">
        <f>Deals_Raw!V102</f>
        <v>0.185</v>
      </c>
      <c r="J99">
        <f>Deals_Raw!W102</f>
        <v>0.17599999999999999</v>
      </c>
      <c r="K99" t="str">
        <f>Deals_Raw!Z102</f>
        <v>Pricing Analyst</v>
      </c>
      <c r="L99" t="str">
        <f t="shared" si="9"/>
        <v>yes</v>
      </c>
      <c r="M99" t="str">
        <f t="shared" si="10"/>
        <v>Pass</v>
      </c>
      <c r="O99">
        <f>Deals_Raw!AP102</f>
        <v>0.65295189916407792</v>
      </c>
      <c r="P99" t="str">
        <f t="shared" si="11"/>
        <v>False</v>
      </c>
      <c r="R99" t="str">
        <f>Deals_Raw!AF102</f>
        <v>Won</v>
      </c>
      <c r="S99">
        <f t="shared" si="12"/>
        <v>30774.89</v>
      </c>
      <c r="T99">
        <f>Deals_Raw!AM102</f>
        <v>30774.89</v>
      </c>
      <c r="U99">
        <f t="shared" si="13"/>
        <v>30774.89</v>
      </c>
      <c r="V99">
        <f>Deals_Raw!AN102</f>
        <v>30774.89</v>
      </c>
      <c r="W99">
        <f t="shared" si="14"/>
        <v>20094.52287206559</v>
      </c>
      <c r="X99">
        <f>Deals_Raw!AO102</f>
        <v>20094.52287206559</v>
      </c>
      <c r="Y99">
        <f t="shared" si="15"/>
        <v>0.65295189916407792</v>
      </c>
      <c r="Z99">
        <f>Deals_Raw!AP102</f>
        <v>0.65295189916407792</v>
      </c>
    </row>
    <row r="100" spans="1:26">
      <c r="A100" t="str">
        <f>Deals_Raw!A103</f>
        <v>D00116</v>
      </c>
      <c r="B100">
        <f>COUNTIF(Deals_Raw!$A$5:$A$643,A100)</f>
        <v>1</v>
      </c>
      <c r="C100" s="12" t="str">
        <f>Deals_Raw!E103</f>
        <v>CT00068</v>
      </c>
      <c r="E100">
        <f>Deals_Raw!AA103</f>
        <v>134245.4709872627</v>
      </c>
      <c r="F100">
        <f>ROUND(Deals_Raw!T103*(1-Deals_Raw!W103),2)</f>
        <v>134204.26999999999</v>
      </c>
      <c r="G100">
        <f t="shared" si="8"/>
        <v>-41.200987262709532</v>
      </c>
      <c r="I100">
        <f>Deals_Raw!V103</f>
        <v>0.107</v>
      </c>
      <c r="J100">
        <f>Deals_Raw!W103</f>
        <v>9.2999999999999999E-2</v>
      </c>
      <c r="K100" t="str">
        <f>Deals_Raw!Z103</f>
        <v>Sales Manager</v>
      </c>
      <c r="L100" t="str">
        <f t="shared" si="9"/>
        <v>yes</v>
      </c>
      <c r="M100" t="str">
        <f t="shared" si="10"/>
        <v>Pass</v>
      </c>
      <c r="O100">
        <f>Deals_Raw!AP103</f>
        <v>0.57207450682178751</v>
      </c>
      <c r="P100" t="str">
        <f t="shared" si="11"/>
        <v>False</v>
      </c>
      <c r="R100" t="str">
        <f>Deals_Raw!AF103</f>
        <v>Won</v>
      </c>
      <c r="S100">
        <f t="shared" si="12"/>
        <v>134204.26999999999</v>
      </c>
      <c r="T100">
        <f>Deals_Raw!AM103</f>
        <v>134204.26999999999</v>
      </c>
      <c r="U100">
        <f t="shared" si="13"/>
        <v>134204.26999999999</v>
      </c>
      <c r="V100">
        <f>Deals_Raw!AN103</f>
        <v>134204.26999999999</v>
      </c>
      <c r="W100">
        <f t="shared" si="14"/>
        <v>76774.841573628</v>
      </c>
      <c r="X100">
        <f>Deals_Raw!AO103</f>
        <v>76774.841573628</v>
      </c>
      <c r="Y100">
        <f t="shared" si="15"/>
        <v>0.57207450682178751</v>
      </c>
      <c r="Z100">
        <f>Deals_Raw!AP103</f>
        <v>0.57207450682178751</v>
      </c>
    </row>
    <row r="101" spans="1:26">
      <c r="A101" t="str">
        <f>Deals_Raw!A104</f>
        <v>D00117</v>
      </c>
      <c r="B101">
        <f>COUNTIF(Deals_Raw!$A$5:$A$643,A101)</f>
        <v>1</v>
      </c>
      <c r="C101" s="12" t="str">
        <f>Deals_Raw!E104</f>
        <v>CT00068</v>
      </c>
      <c r="E101">
        <f>Deals_Raw!AA104</f>
        <v>127081.12397269894</v>
      </c>
      <c r="F101">
        <f>ROUND(Deals_Raw!T104*(1-Deals_Raw!W104),2)</f>
        <v>127070.8</v>
      </c>
      <c r="G101">
        <f t="shared" si="8"/>
        <v>-10.323972698941361</v>
      </c>
      <c r="I101">
        <f>Deals_Raw!V104</f>
        <v>0.23200000000000001</v>
      </c>
      <c r="J101">
        <f>Deals_Raw!W104</f>
        <v>0.19800000000000001</v>
      </c>
      <c r="K101" t="str">
        <f>Deals_Raw!Z104</f>
        <v>Pricing Analyst</v>
      </c>
      <c r="L101" t="str">
        <f t="shared" si="9"/>
        <v>yes</v>
      </c>
      <c r="M101" t="str">
        <f t="shared" si="10"/>
        <v>Pass</v>
      </c>
      <c r="O101">
        <f>Deals_Raw!AP104</f>
        <v>0.52646960113559027</v>
      </c>
      <c r="P101" t="str">
        <f t="shared" si="11"/>
        <v>False</v>
      </c>
      <c r="R101" t="str">
        <f>Deals_Raw!AF104</f>
        <v>Lost</v>
      </c>
      <c r="S101">
        <f t="shared" si="12"/>
        <v>0</v>
      </c>
      <c r="T101">
        <f>Deals_Raw!AM104</f>
        <v>127070.8</v>
      </c>
      <c r="U101">
        <f t="shared" si="13"/>
        <v>0</v>
      </c>
      <c r="V101">
        <f>Deals_Raw!AN104</f>
        <v>127070.8</v>
      </c>
      <c r="W101">
        <f t="shared" si="14"/>
        <v>0</v>
      </c>
      <c r="X101">
        <f>Deals_Raw!AO104</f>
        <v>66898.913391980372</v>
      </c>
      <c r="Y101">
        <f t="shared" si="15"/>
        <v>0</v>
      </c>
      <c r="Z101">
        <f>Deals_Raw!AP104</f>
        <v>0.52646960113559027</v>
      </c>
    </row>
    <row r="102" spans="1:26">
      <c r="A102" t="str">
        <f>Deals_Raw!A105</f>
        <v>D00118</v>
      </c>
      <c r="B102">
        <f>COUNTIF(Deals_Raw!$A$5:$A$643,A102)</f>
        <v>1</v>
      </c>
      <c r="C102" s="12" t="str">
        <f>Deals_Raw!E105</f>
        <v>CT00068</v>
      </c>
      <c r="E102">
        <f>Deals_Raw!AA105</f>
        <v>129449.27196351325</v>
      </c>
      <c r="F102">
        <f>ROUND(Deals_Raw!T105*(1-Deals_Raw!W105),2)</f>
        <v>129447.44</v>
      </c>
      <c r="G102">
        <f t="shared" si="8"/>
        <v>-1.8319635132502299</v>
      </c>
      <c r="I102">
        <f>Deals_Raw!V105</f>
        <v>0.217</v>
      </c>
      <c r="J102">
        <f>Deals_Raw!W105</f>
        <v>0.183</v>
      </c>
      <c r="K102" t="str">
        <f>Deals_Raw!Z105</f>
        <v>Pricing Analyst</v>
      </c>
      <c r="L102" t="str">
        <f t="shared" si="9"/>
        <v>yes</v>
      </c>
      <c r="M102" t="str">
        <f t="shared" si="10"/>
        <v>Pass</v>
      </c>
      <c r="O102">
        <f>Deals_Raw!AP105</f>
        <v>0.51293373363951988</v>
      </c>
      <c r="P102" t="str">
        <f t="shared" si="11"/>
        <v>False</v>
      </c>
      <c r="R102" t="str">
        <f>Deals_Raw!AF105</f>
        <v>Won</v>
      </c>
      <c r="S102">
        <f t="shared" si="12"/>
        <v>129447.44</v>
      </c>
      <c r="T102">
        <f>Deals_Raw!AM105</f>
        <v>129447.44</v>
      </c>
      <c r="U102">
        <f t="shared" si="13"/>
        <v>129447.44</v>
      </c>
      <c r="V102">
        <f>Deals_Raw!AN105</f>
        <v>129447.44</v>
      </c>
      <c r="W102">
        <f t="shared" si="14"/>
        <v>66397.958709277736</v>
      </c>
      <c r="X102">
        <f>Deals_Raw!AO105</f>
        <v>66397.958709277736</v>
      </c>
      <c r="Y102">
        <f t="shared" si="15"/>
        <v>0.51293373363951988</v>
      </c>
      <c r="Z102">
        <f>Deals_Raw!AP105</f>
        <v>0.51293373363951988</v>
      </c>
    </row>
    <row r="103" spans="1:26">
      <c r="A103" t="str">
        <f>Deals_Raw!A106</f>
        <v>D00120</v>
      </c>
      <c r="B103">
        <f>COUNTIF(Deals_Raw!$A$5:$A$643,A103)</f>
        <v>1</v>
      </c>
      <c r="C103" s="12" t="str">
        <f>Deals_Raw!E106</f>
        <v>CT00069</v>
      </c>
      <c r="E103">
        <f>Deals_Raw!AA106</f>
        <v>100407.10836851354</v>
      </c>
      <c r="F103">
        <f>ROUND(Deals_Raw!T106*(1-Deals_Raw!W106),2)</f>
        <v>100378.48</v>
      </c>
      <c r="G103">
        <f t="shared" si="8"/>
        <v>-28.628368513542227</v>
      </c>
      <c r="I103">
        <f>Deals_Raw!V106</f>
        <v>0.17100000000000001</v>
      </c>
      <c r="J103">
        <f>Deals_Raw!W106</f>
        <v>0.16200000000000001</v>
      </c>
      <c r="K103" t="str">
        <f>Deals_Raw!Z106</f>
        <v>Pricing Analyst</v>
      </c>
      <c r="L103" t="str">
        <f t="shared" si="9"/>
        <v>yes</v>
      </c>
      <c r="M103" t="str">
        <f t="shared" si="10"/>
        <v>Pass</v>
      </c>
      <c r="O103">
        <f>Deals_Raw!AP106</f>
        <v>0.56712863875859121</v>
      </c>
      <c r="P103" t="str">
        <f t="shared" si="11"/>
        <v>False</v>
      </c>
      <c r="R103" t="str">
        <f>Deals_Raw!AF106</f>
        <v>Won</v>
      </c>
      <c r="S103">
        <f t="shared" si="12"/>
        <v>100378.48</v>
      </c>
      <c r="T103">
        <f>Deals_Raw!AM106</f>
        <v>100378.48</v>
      </c>
      <c r="U103">
        <f t="shared" si="13"/>
        <v>200756.96</v>
      </c>
      <c r="V103">
        <f>Deals_Raw!AN106</f>
        <v>200756.96</v>
      </c>
      <c r="W103">
        <f t="shared" si="14"/>
        <v>56927.510723056468</v>
      </c>
      <c r="X103">
        <f>Deals_Raw!AO106</f>
        <v>56927.510723056468</v>
      </c>
      <c r="Y103">
        <f t="shared" si="15"/>
        <v>0.56712863875859121</v>
      </c>
      <c r="Z103">
        <f>Deals_Raw!AP106</f>
        <v>0.56712863875859121</v>
      </c>
    </row>
    <row r="104" spans="1:26">
      <c r="A104" t="str">
        <f>Deals_Raw!A107</f>
        <v>D00121</v>
      </c>
      <c r="B104">
        <f>COUNTIF(Deals_Raw!$A$5:$A$643,A104)</f>
        <v>1</v>
      </c>
      <c r="C104" s="12" t="str">
        <f>Deals_Raw!E107</f>
        <v>CT00070</v>
      </c>
      <c r="E104">
        <f>Deals_Raw!AA107</f>
        <v>54969.461053857987</v>
      </c>
      <c r="F104">
        <f>ROUND(Deals_Raw!T107*(1-Deals_Raw!W107),2)</f>
        <v>54979.42</v>
      </c>
      <c r="G104">
        <f t="shared" si="8"/>
        <v>9.9589461420109728</v>
      </c>
      <c r="I104">
        <f>Deals_Raw!V107</f>
        <v>0.20699999999999999</v>
      </c>
      <c r="J104">
        <f>Deals_Raw!W107</f>
        <v>0.16200000000000001</v>
      </c>
      <c r="K104" t="str">
        <f>Deals_Raw!Z107</f>
        <v>Pricing Analyst</v>
      </c>
      <c r="L104" t="str">
        <f t="shared" si="9"/>
        <v>yes</v>
      </c>
      <c r="M104" t="str">
        <f t="shared" si="10"/>
        <v>Pass</v>
      </c>
      <c r="O104">
        <f>Deals_Raw!AP107</f>
        <v>0.56805993840269897</v>
      </c>
      <c r="P104" t="str">
        <f t="shared" si="11"/>
        <v>False</v>
      </c>
      <c r="R104" t="str">
        <f>Deals_Raw!AF107</f>
        <v>Lost</v>
      </c>
      <c r="S104">
        <f t="shared" si="12"/>
        <v>0</v>
      </c>
      <c r="T104">
        <f>Deals_Raw!AM107</f>
        <v>54979.42</v>
      </c>
      <c r="U104">
        <f t="shared" si="13"/>
        <v>0</v>
      </c>
      <c r="V104">
        <f>Deals_Raw!AN107</f>
        <v>54979.42</v>
      </c>
      <c r="W104">
        <f t="shared" si="14"/>
        <v>0</v>
      </c>
      <c r="X104">
        <f>Deals_Raw!AO107</f>
        <v>31231.605938616114</v>
      </c>
      <c r="Y104">
        <f t="shared" si="15"/>
        <v>0</v>
      </c>
      <c r="Z104">
        <f>Deals_Raw!AP107</f>
        <v>0.56805993840269897</v>
      </c>
    </row>
    <row r="105" spans="1:26">
      <c r="A105" t="str">
        <f>Deals_Raw!A108</f>
        <v>D00122</v>
      </c>
      <c r="B105">
        <f>COUNTIF(Deals_Raw!$A$5:$A$643,A105)</f>
        <v>1</v>
      </c>
      <c r="C105" s="12" t="str">
        <f>Deals_Raw!E108</f>
        <v>CT00071</v>
      </c>
      <c r="E105">
        <f>Deals_Raw!AA108</f>
        <v>41184.884448973826</v>
      </c>
      <c r="F105">
        <f>ROUND(Deals_Raw!T108*(1-Deals_Raw!W108),2)</f>
        <v>41209.11</v>
      </c>
      <c r="G105">
        <f t="shared" si="8"/>
        <v>24.225551026174799</v>
      </c>
      <c r="I105">
        <f>Deals_Raw!V108</f>
        <v>0.188</v>
      </c>
      <c r="J105">
        <f>Deals_Raw!W108</f>
        <v>0.17399999999999999</v>
      </c>
      <c r="K105" t="str">
        <f>Deals_Raw!Z108</f>
        <v>Pricing Analyst</v>
      </c>
      <c r="L105" t="str">
        <f t="shared" si="9"/>
        <v>yes</v>
      </c>
      <c r="M105" t="str">
        <f t="shared" si="10"/>
        <v>Pass</v>
      </c>
      <c r="O105">
        <f>Deals_Raw!AP108</f>
        <v>0.56281981953539761</v>
      </c>
      <c r="P105" t="str">
        <f t="shared" si="11"/>
        <v>False</v>
      </c>
      <c r="R105" t="str">
        <f>Deals_Raw!AF108</f>
        <v>Lost</v>
      </c>
      <c r="S105">
        <f t="shared" si="12"/>
        <v>0</v>
      </c>
      <c r="T105">
        <f>Deals_Raw!AM108</f>
        <v>41209.11</v>
      </c>
      <c r="U105">
        <f t="shared" si="13"/>
        <v>0</v>
      </c>
      <c r="V105">
        <f>Deals_Raw!AN108</f>
        <v>41209.11</v>
      </c>
      <c r="W105">
        <f t="shared" si="14"/>
        <v>0</v>
      </c>
      <c r="X105">
        <f>Deals_Raw!AO108</f>
        <v>23193.303853414349</v>
      </c>
      <c r="Y105">
        <f t="shared" si="15"/>
        <v>0</v>
      </c>
      <c r="Z105">
        <f>Deals_Raw!AP108</f>
        <v>0.56281981953539761</v>
      </c>
    </row>
    <row r="106" spans="1:26">
      <c r="A106" t="str">
        <f>Deals_Raw!A109</f>
        <v>D00123</v>
      </c>
      <c r="B106">
        <f>COUNTIF(Deals_Raw!$A$5:$A$643,A106)</f>
        <v>1</v>
      </c>
      <c r="C106" s="12" t="str">
        <f>Deals_Raw!E109</f>
        <v>CT00071</v>
      </c>
      <c r="E106">
        <f>Deals_Raw!AA109</f>
        <v>39677.351631452206</v>
      </c>
      <c r="F106">
        <f>ROUND(Deals_Raw!T109*(1-Deals_Raw!W109),2)</f>
        <v>39662.519999999997</v>
      </c>
      <c r="G106">
        <f t="shared" si="8"/>
        <v>-14.831631452208967</v>
      </c>
      <c r="I106">
        <f>Deals_Raw!V109</f>
        <v>0.23400000000000001</v>
      </c>
      <c r="J106">
        <f>Deals_Raw!W109</f>
        <v>0.20499999999999999</v>
      </c>
      <c r="K106" t="str">
        <f>Deals_Raw!Z109</f>
        <v>Business Manager</v>
      </c>
      <c r="L106" t="str">
        <f t="shared" si="9"/>
        <v>yes</v>
      </c>
      <c r="M106" t="str">
        <f t="shared" si="10"/>
        <v>Pass</v>
      </c>
      <c r="O106">
        <f>Deals_Raw!AP109</f>
        <v>0.55150739962703121</v>
      </c>
      <c r="P106" t="str">
        <f t="shared" si="11"/>
        <v>False</v>
      </c>
      <c r="R106" t="str">
        <f>Deals_Raw!AF109</f>
        <v>Lost</v>
      </c>
      <c r="S106">
        <f t="shared" si="12"/>
        <v>0</v>
      </c>
      <c r="T106">
        <f>Deals_Raw!AM109</f>
        <v>39662.519999999997</v>
      </c>
      <c r="U106">
        <f t="shared" si="13"/>
        <v>0</v>
      </c>
      <c r="V106">
        <f>Deals_Raw!AN109</f>
        <v>39662.519999999997</v>
      </c>
      <c r="W106">
        <f t="shared" si="14"/>
        <v>0</v>
      </c>
      <c r="X106">
        <f>Deals_Raw!AO109</f>
        <v>21874.173267855116</v>
      </c>
      <c r="Y106">
        <f t="shared" si="15"/>
        <v>0</v>
      </c>
      <c r="Z106">
        <f>Deals_Raw!AP109</f>
        <v>0.55150739962703121</v>
      </c>
    </row>
    <row r="107" spans="1:26">
      <c r="A107" t="str">
        <f>Deals_Raw!A110</f>
        <v>D00124</v>
      </c>
      <c r="B107">
        <f>COUNTIF(Deals_Raw!$A$5:$A$643,A107)</f>
        <v>1</v>
      </c>
      <c r="C107" s="12" t="str">
        <f>Deals_Raw!E110</f>
        <v>CT00072</v>
      </c>
      <c r="E107">
        <f>Deals_Raw!AA110</f>
        <v>207488.17816269211</v>
      </c>
      <c r="F107">
        <f>ROUND(Deals_Raw!T110*(1-Deals_Raw!W110),2)</f>
        <v>207550.57</v>
      </c>
      <c r="G107">
        <f t="shared" si="8"/>
        <v>62.391837307892274</v>
      </c>
      <c r="I107">
        <f>Deals_Raw!V110</f>
        <v>0.158</v>
      </c>
      <c r="J107">
        <f>Deals_Raw!W110</f>
        <v>0.13100000000000001</v>
      </c>
      <c r="K107" t="str">
        <f>Deals_Raw!Z110</f>
        <v>Pricing Analyst</v>
      </c>
      <c r="L107" t="str">
        <f t="shared" si="9"/>
        <v>yes</v>
      </c>
      <c r="M107" t="str">
        <f t="shared" si="10"/>
        <v>Pass</v>
      </c>
      <c r="O107">
        <f>Deals_Raw!AP110</f>
        <v>0.5215322450236114</v>
      </c>
      <c r="P107" t="str">
        <f t="shared" si="11"/>
        <v>False</v>
      </c>
      <c r="R107" t="str">
        <f>Deals_Raw!AF110</f>
        <v>Lost</v>
      </c>
      <c r="S107">
        <f t="shared" si="12"/>
        <v>0</v>
      </c>
      <c r="T107">
        <f>Deals_Raw!AM110</f>
        <v>207550.57</v>
      </c>
      <c r="U107">
        <f t="shared" si="13"/>
        <v>0</v>
      </c>
      <c r="V107">
        <f>Deals_Raw!AN110</f>
        <v>207550.57</v>
      </c>
      <c r="W107">
        <f t="shared" si="14"/>
        <v>0</v>
      </c>
      <c r="X107">
        <f>Deals_Raw!AO110</f>
        <v>108244.31472803022</v>
      </c>
      <c r="Y107">
        <f t="shared" si="15"/>
        <v>0</v>
      </c>
      <c r="Z107">
        <f>Deals_Raw!AP110</f>
        <v>0.5215322450236114</v>
      </c>
    </row>
    <row r="108" spans="1:26">
      <c r="A108" t="str">
        <f>Deals_Raw!A111</f>
        <v>D00125</v>
      </c>
      <c r="B108">
        <f>COUNTIF(Deals_Raw!$A$5:$A$643,A108)</f>
        <v>1</v>
      </c>
      <c r="C108" s="12" t="str">
        <f>Deals_Raw!E111</f>
        <v>CT00073</v>
      </c>
      <c r="E108">
        <f>Deals_Raw!AA111</f>
        <v>220182.1179302377</v>
      </c>
      <c r="F108">
        <f>ROUND(Deals_Raw!T111*(1-Deals_Raw!W111),2)</f>
        <v>220273.2</v>
      </c>
      <c r="G108">
        <f t="shared" si="8"/>
        <v>91.08206976231304</v>
      </c>
      <c r="I108">
        <f>Deals_Raw!V111</f>
        <v>0.129</v>
      </c>
      <c r="J108">
        <f>Deals_Raw!W111</f>
        <v>0.104</v>
      </c>
      <c r="K108" t="str">
        <f>Deals_Raw!Z111</f>
        <v>Pricing Analyst</v>
      </c>
      <c r="L108" t="str">
        <f t="shared" si="9"/>
        <v>yes</v>
      </c>
      <c r="M108" t="str">
        <f t="shared" si="10"/>
        <v>Pass</v>
      </c>
      <c r="O108">
        <f>Deals_Raw!AP111</f>
        <v>0.5743352355446586</v>
      </c>
      <c r="P108" t="str">
        <f t="shared" si="11"/>
        <v>False</v>
      </c>
      <c r="R108" t="str">
        <f>Deals_Raw!AF111</f>
        <v>Won</v>
      </c>
      <c r="S108">
        <f t="shared" si="12"/>
        <v>220273.2</v>
      </c>
      <c r="T108">
        <f>Deals_Raw!AM111</f>
        <v>220273.2</v>
      </c>
      <c r="U108">
        <f t="shared" si="13"/>
        <v>660819.60000000009</v>
      </c>
      <c r="V108">
        <f>Deals_Raw!AN111</f>
        <v>660819.60000000009</v>
      </c>
      <c r="W108">
        <f t="shared" si="14"/>
        <v>126510.6602061757</v>
      </c>
      <c r="X108">
        <f>Deals_Raw!AO111</f>
        <v>126510.6602061757</v>
      </c>
      <c r="Y108">
        <f t="shared" si="15"/>
        <v>0.5743352355446586</v>
      </c>
      <c r="Z108">
        <f>Deals_Raw!AP111</f>
        <v>0.5743352355446586</v>
      </c>
    </row>
    <row r="109" spans="1:26">
      <c r="A109" t="str">
        <f>Deals_Raw!A112</f>
        <v>D00126</v>
      </c>
      <c r="B109">
        <f>COUNTIF(Deals_Raw!$A$5:$A$643,A109)</f>
        <v>1</v>
      </c>
      <c r="C109" s="12" t="str">
        <f>Deals_Raw!E112</f>
        <v>CT00073</v>
      </c>
      <c r="E109">
        <f>Deals_Raw!AA112</f>
        <v>254364.47817631791</v>
      </c>
      <c r="F109">
        <f>ROUND(Deals_Raw!T112*(1-Deals_Raw!W112),2)</f>
        <v>254476.96</v>
      </c>
      <c r="G109">
        <f t="shared" si="8"/>
        <v>112.48182368208654</v>
      </c>
      <c r="I109">
        <f>Deals_Raw!V112</f>
        <v>2.8000000000000001E-2</v>
      </c>
      <c r="J109">
        <f>Deals_Raw!W112</f>
        <v>1.4E-2</v>
      </c>
      <c r="K109" t="str">
        <f>Deals_Raw!Z112</f>
        <v>Sales Manager</v>
      </c>
      <c r="L109" t="str">
        <f t="shared" si="9"/>
        <v>yes</v>
      </c>
      <c r="M109" t="str">
        <f t="shared" si="10"/>
        <v>Pass</v>
      </c>
      <c r="O109">
        <f>Deals_Raw!AP112</f>
        <v>0.60112420981130155</v>
      </c>
      <c r="P109" t="str">
        <f t="shared" si="11"/>
        <v>False</v>
      </c>
      <c r="R109" t="str">
        <f>Deals_Raw!AF112</f>
        <v>Won</v>
      </c>
      <c r="S109">
        <f t="shared" si="12"/>
        <v>254476.96</v>
      </c>
      <c r="T109">
        <f>Deals_Raw!AM112</f>
        <v>254476.96</v>
      </c>
      <c r="U109">
        <f t="shared" si="13"/>
        <v>763430.88</v>
      </c>
      <c r="V109">
        <f>Deals_Raw!AN112</f>
        <v>763430.88</v>
      </c>
      <c r="W109">
        <f t="shared" si="14"/>
        <v>152972.26149518217</v>
      </c>
      <c r="X109">
        <f>Deals_Raw!AO112</f>
        <v>152972.26149518217</v>
      </c>
      <c r="Y109">
        <f t="shared" si="15"/>
        <v>0.60112420981130155</v>
      </c>
      <c r="Z109">
        <f>Deals_Raw!AP112</f>
        <v>0.60112420981130155</v>
      </c>
    </row>
    <row r="110" spans="1:26">
      <c r="A110" t="str">
        <f>Deals_Raw!A113</f>
        <v>D00128</v>
      </c>
      <c r="B110">
        <f>COUNTIF(Deals_Raw!$A$5:$A$643,A110)</f>
        <v>1</v>
      </c>
      <c r="C110" s="12" t="str">
        <f>Deals_Raw!E113</f>
        <v>CT00074</v>
      </c>
      <c r="E110">
        <f>Deals_Raw!AA113</f>
        <v>89344.374617015841</v>
      </c>
      <c r="F110">
        <f>ROUND(Deals_Raw!T113*(1-Deals_Raw!W113),2)</f>
        <v>89388.96</v>
      </c>
      <c r="G110">
        <f t="shared" si="8"/>
        <v>44.585382984165335</v>
      </c>
      <c r="I110">
        <f>Deals_Raw!V113</f>
        <v>0.245</v>
      </c>
      <c r="J110">
        <f>Deals_Raw!W113</f>
        <v>0.222</v>
      </c>
      <c r="K110" t="str">
        <f>Deals_Raw!Z113</f>
        <v>Business Manager</v>
      </c>
      <c r="L110" t="str">
        <f t="shared" si="9"/>
        <v>yes</v>
      </c>
      <c r="M110" t="str">
        <f t="shared" si="10"/>
        <v>Pass</v>
      </c>
      <c r="O110">
        <f>Deals_Raw!AP113</f>
        <v>0.55443807383959809</v>
      </c>
      <c r="P110" t="str">
        <f t="shared" si="11"/>
        <v>False</v>
      </c>
      <c r="R110" t="str">
        <f>Deals_Raw!AF113</f>
        <v>Lost</v>
      </c>
      <c r="S110">
        <f t="shared" si="12"/>
        <v>0</v>
      </c>
      <c r="T110">
        <f>Deals_Raw!AM113</f>
        <v>89388.96</v>
      </c>
      <c r="U110">
        <f t="shared" si="13"/>
        <v>0</v>
      </c>
      <c r="V110">
        <f>Deals_Raw!AN113</f>
        <v>89388.96</v>
      </c>
      <c r="W110">
        <f t="shared" si="14"/>
        <v>0</v>
      </c>
      <c r="X110">
        <f>Deals_Raw!AO113</f>
        <v>49560.642804924879</v>
      </c>
      <c r="Y110">
        <f t="shared" si="15"/>
        <v>0</v>
      </c>
      <c r="Z110">
        <f>Deals_Raw!AP113</f>
        <v>0.55443807383959809</v>
      </c>
    </row>
    <row r="111" spans="1:26">
      <c r="A111" t="str">
        <f>Deals_Raw!A114</f>
        <v>D00129</v>
      </c>
      <c r="B111">
        <f>COUNTIF(Deals_Raw!$A$5:$A$643,A111)</f>
        <v>1</v>
      </c>
      <c r="C111" s="12" t="str">
        <f>Deals_Raw!E114</f>
        <v>CT00074</v>
      </c>
      <c r="E111">
        <f>Deals_Raw!AA114</f>
        <v>86888.416666757665</v>
      </c>
      <c r="F111">
        <f>ROUND(Deals_Raw!T114*(1-Deals_Raw!W114),2)</f>
        <v>86875.33</v>
      </c>
      <c r="G111">
        <f t="shared" si="8"/>
        <v>-13.086666757662897</v>
      </c>
      <c r="I111">
        <f>Deals_Raw!V114</f>
        <v>0.16400000000000001</v>
      </c>
      <c r="J111">
        <f>Deals_Raw!W114</f>
        <v>0.128</v>
      </c>
      <c r="K111" t="str">
        <f>Deals_Raw!Z114</f>
        <v>Pricing Analyst</v>
      </c>
      <c r="L111" t="str">
        <f t="shared" si="9"/>
        <v>yes</v>
      </c>
      <c r="M111" t="str">
        <f t="shared" si="10"/>
        <v>Pass</v>
      </c>
      <c r="O111">
        <f>Deals_Raw!AP114</f>
        <v>0.55089685826768575</v>
      </c>
      <c r="P111" t="str">
        <f t="shared" si="11"/>
        <v>False</v>
      </c>
      <c r="R111" t="str">
        <f>Deals_Raw!AF114</f>
        <v>Won</v>
      </c>
      <c r="S111">
        <f t="shared" si="12"/>
        <v>86875.33</v>
      </c>
      <c r="T111">
        <f>Deals_Raw!AM114</f>
        <v>86875.33</v>
      </c>
      <c r="U111">
        <f t="shared" si="13"/>
        <v>86875.33</v>
      </c>
      <c r="V111">
        <f>Deals_Raw!AN114</f>
        <v>86875.33</v>
      </c>
      <c r="W111">
        <f t="shared" si="14"/>
        <v>47859.346357968432</v>
      </c>
      <c r="X111">
        <f>Deals_Raw!AO114</f>
        <v>47859.346357968432</v>
      </c>
      <c r="Y111">
        <f t="shared" si="15"/>
        <v>0.55089685826768575</v>
      </c>
      <c r="Z111">
        <f>Deals_Raw!AP114</f>
        <v>0.55089685826768575</v>
      </c>
    </row>
    <row r="112" spans="1:26">
      <c r="A112" t="str">
        <f>Deals_Raw!A115</f>
        <v>D00130</v>
      </c>
      <c r="B112">
        <f>COUNTIF(Deals_Raw!$A$5:$A$643,A112)</f>
        <v>1</v>
      </c>
      <c r="C112" s="12" t="str">
        <f>Deals_Raw!E115</f>
        <v>CT00074</v>
      </c>
      <c r="E112">
        <f>Deals_Raw!AA115</f>
        <v>95298.064864385145</v>
      </c>
      <c r="F112">
        <f>ROUND(Deals_Raw!T115*(1-Deals_Raw!W115),2)</f>
        <v>95262.51</v>
      </c>
      <c r="G112">
        <f t="shared" si="8"/>
        <v>-35.554864385150722</v>
      </c>
      <c r="I112">
        <f>Deals_Raw!V115</f>
        <v>0.112</v>
      </c>
      <c r="J112">
        <f>Deals_Raw!W115</f>
        <v>7.1999999999999995E-2</v>
      </c>
      <c r="K112" t="str">
        <f>Deals_Raw!Z115</f>
        <v>Sales Manager</v>
      </c>
      <c r="L112" t="str">
        <f t="shared" si="9"/>
        <v>yes</v>
      </c>
      <c r="M112" t="str">
        <f t="shared" si="10"/>
        <v>Pass</v>
      </c>
      <c r="O112">
        <f>Deals_Raw!AP115</f>
        <v>0.6026419882483296</v>
      </c>
      <c r="P112" t="str">
        <f t="shared" si="11"/>
        <v>False</v>
      </c>
      <c r="R112" t="str">
        <f>Deals_Raw!AF115</f>
        <v>Won</v>
      </c>
      <c r="S112">
        <f t="shared" si="12"/>
        <v>95262.51</v>
      </c>
      <c r="T112">
        <f>Deals_Raw!AM115</f>
        <v>95262.51</v>
      </c>
      <c r="U112">
        <f t="shared" si="13"/>
        <v>95262.51</v>
      </c>
      <c r="V112">
        <f>Deals_Raw!AN115</f>
        <v>95262.51</v>
      </c>
      <c r="W112">
        <f t="shared" si="14"/>
        <v>57409.188431926377</v>
      </c>
      <c r="X112">
        <f>Deals_Raw!AO115</f>
        <v>57409.188431926377</v>
      </c>
      <c r="Y112">
        <f t="shared" si="15"/>
        <v>0.6026419882483296</v>
      </c>
      <c r="Z112">
        <f>Deals_Raw!AP115</f>
        <v>0.6026419882483296</v>
      </c>
    </row>
    <row r="113" spans="1:26">
      <c r="A113" t="str">
        <f>Deals_Raw!A116</f>
        <v>D00131</v>
      </c>
      <c r="B113">
        <f>COUNTIF(Deals_Raw!$A$5:$A$643,A113)</f>
        <v>1</v>
      </c>
      <c r="C113" s="12" t="str">
        <f>Deals_Raw!E116</f>
        <v>CT00075</v>
      </c>
      <c r="E113">
        <f>Deals_Raw!AA116</f>
        <v>63608.333397051814</v>
      </c>
      <c r="F113">
        <f>ROUND(Deals_Raw!T116*(1-Deals_Raw!W116),2)</f>
        <v>63602.78</v>
      </c>
      <c r="G113">
        <f t="shared" si="8"/>
        <v>-5.5533970518154092</v>
      </c>
      <c r="I113">
        <f>Deals_Raw!V116</f>
        <v>0.122</v>
      </c>
      <c r="J113">
        <f>Deals_Raw!W116</f>
        <v>9.0999999999999998E-2</v>
      </c>
      <c r="K113" t="str">
        <f>Deals_Raw!Z116</f>
        <v>Sales Manager</v>
      </c>
      <c r="L113" t="str">
        <f t="shared" si="9"/>
        <v>yes</v>
      </c>
      <c r="M113" t="str">
        <f t="shared" si="10"/>
        <v>Pass</v>
      </c>
      <c r="O113">
        <f>Deals_Raw!AP116</f>
        <v>0.5962110662770167</v>
      </c>
      <c r="P113" t="str">
        <f t="shared" si="11"/>
        <v>False</v>
      </c>
      <c r="R113" t="str">
        <f>Deals_Raw!AF116</f>
        <v>Won</v>
      </c>
      <c r="S113">
        <f t="shared" si="12"/>
        <v>63602.78</v>
      </c>
      <c r="T113">
        <f>Deals_Raw!AM116</f>
        <v>63602.78</v>
      </c>
      <c r="U113">
        <f t="shared" si="13"/>
        <v>127205.56</v>
      </c>
      <c r="V113">
        <f>Deals_Raw!AN116</f>
        <v>127205.56</v>
      </c>
      <c r="W113">
        <f t="shared" si="14"/>
        <v>37920.681281982514</v>
      </c>
      <c r="X113">
        <f>Deals_Raw!AO116</f>
        <v>37920.681281982514</v>
      </c>
      <c r="Y113">
        <f t="shared" si="15"/>
        <v>0.5962110662770167</v>
      </c>
      <c r="Z113">
        <f>Deals_Raw!AP116</f>
        <v>0.5962110662770167</v>
      </c>
    </row>
    <row r="114" spans="1:26">
      <c r="A114" t="str">
        <f>Deals_Raw!A117</f>
        <v>D00132</v>
      </c>
      <c r="B114">
        <f>COUNTIF(Deals_Raw!$A$5:$A$643,A114)</f>
        <v>1</v>
      </c>
      <c r="C114" s="12" t="str">
        <f>Deals_Raw!E117</f>
        <v>CT00077</v>
      </c>
      <c r="E114">
        <f>Deals_Raw!AA117</f>
        <v>99767.791595345276</v>
      </c>
      <c r="F114">
        <f>ROUND(Deals_Raw!T117*(1-Deals_Raw!W117),2)</f>
        <v>99821.26</v>
      </c>
      <c r="G114">
        <f t="shared" si="8"/>
        <v>53.468404654719052</v>
      </c>
      <c r="I114">
        <f>Deals_Raw!V117</f>
        <v>0.249</v>
      </c>
      <c r="J114">
        <f>Deals_Raw!W117</f>
        <v>0.221</v>
      </c>
      <c r="K114" t="str">
        <f>Deals_Raw!Z117</f>
        <v>Business Manager</v>
      </c>
      <c r="L114" t="str">
        <f t="shared" si="9"/>
        <v>yes</v>
      </c>
      <c r="M114" t="str">
        <f t="shared" si="10"/>
        <v>Pass</v>
      </c>
      <c r="O114">
        <f>Deals_Raw!AP117</f>
        <v>0.53710065132383467</v>
      </c>
      <c r="P114" t="str">
        <f t="shared" si="11"/>
        <v>False</v>
      </c>
      <c r="R114" t="str">
        <f>Deals_Raw!AF117</f>
        <v>Lost</v>
      </c>
      <c r="S114">
        <f t="shared" si="12"/>
        <v>0</v>
      </c>
      <c r="T114">
        <f>Deals_Raw!AM117</f>
        <v>99821.26</v>
      </c>
      <c r="U114">
        <f t="shared" si="13"/>
        <v>0</v>
      </c>
      <c r="V114">
        <f>Deals_Raw!AN117</f>
        <v>99821.26</v>
      </c>
      <c r="W114">
        <f t="shared" si="14"/>
        <v>0</v>
      </c>
      <c r="X114">
        <f>Deals_Raw!AO117</f>
        <v>53614.063761965845</v>
      </c>
      <c r="Y114">
        <f t="shared" si="15"/>
        <v>0</v>
      </c>
      <c r="Z114">
        <f>Deals_Raw!AP117</f>
        <v>0.53710065132383467</v>
      </c>
    </row>
    <row r="115" spans="1:26">
      <c r="A115" t="str">
        <f>Deals_Raw!A118</f>
        <v>D00133</v>
      </c>
      <c r="B115">
        <f>COUNTIF(Deals_Raw!$A$5:$A$643,A115)</f>
        <v>1</v>
      </c>
      <c r="C115" s="12" t="str">
        <f>Deals_Raw!E118</f>
        <v>CT00078</v>
      </c>
      <c r="E115">
        <f>Deals_Raw!AA118</f>
        <v>53754.944555690294</v>
      </c>
      <c r="F115">
        <f>ROUND(Deals_Raw!T118*(1-Deals_Raw!W118),2)</f>
        <v>53733.05</v>
      </c>
      <c r="G115">
        <f t="shared" si="8"/>
        <v>-21.894555690290872</v>
      </c>
      <c r="I115">
        <f>Deals_Raw!V118</f>
        <v>9.9000000000000005E-2</v>
      </c>
      <c r="J115">
        <f>Deals_Raw!W118</f>
        <v>6.7000000000000004E-2</v>
      </c>
      <c r="K115" t="str">
        <f>Deals_Raw!Z118</f>
        <v>Sales Manager</v>
      </c>
      <c r="L115" t="str">
        <f t="shared" si="9"/>
        <v>yes</v>
      </c>
      <c r="M115" t="str">
        <f t="shared" si="10"/>
        <v>Pass</v>
      </c>
      <c r="O115">
        <f>Deals_Raw!AP118</f>
        <v>0.70297816743492636</v>
      </c>
      <c r="P115" t="str">
        <f t="shared" si="11"/>
        <v>False</v>
      </c>
      <c r="R115" t="str">
        <f>Deals_Raw!AF118</f>
        <v>Won</v>
      </c>
      <c r="S115">
        <f t="shared" si="12"/>
        <v>53733.05</v>
      </c>
      <c r="T115">
        <f>Deals_Raw!AM118</f>
        <v>53733.05</v>
      </c>
      <c r="U115">
        <f t="shared" si="13"/>
        <v>53733.05</v>
      </c>
      <c r="V115">
        <f>Deals_Raw!AN118</f>
        <v>53733.05</v>
      </c>
      <c r="W115">
        <f t="shared" si="14"/>
        <v>37773.161019689273</v>
      </c>
      <c r="X115">
        <f>Deals_Raw!AO118</f>
        <v>37773.161019689273</v>
      </c>
      <c r="Y115">
        <f t="shared" si="15"/>
        <v>0.70297816743492636</v>
      </c>
      <c r="Z115">
        <f>Deals_Raw!AP118</f>
        <v>0.70297816743492636</v>
      </c>
    </row>
    <row r="116" spans="1:26">
      <c r="A116" t="str">
        <f>Deals_Raw!A119</f>
        <v>D00134</v>
      </c>
      <c r="B116">
        <f>COUNTIF(Deals_Raw!$A$5:$A$643,A116)</f>
        <v>1</v>
      </c>
      <c r="C116" s="12" t="str">
        <f>Deals_Raw!E119</f>
        <v>CT00078</v>
      </c>
      <c r="E116">
        <f>Deals_Raw!AA119</f>
        <v>58754.887218567783</v>
      </c>
      <c r="F116">
        <f>ROUND(Deals_Raw!T119*(1-Deals_Raw!W119),2)</f>
        <v>58724.160000000003</v>
      </c>
      <c r="G116">
        <f t="shared" si="8"/>
        <v>-30.727218567779346</v>
      </c>
      <c r="I116">
        <f>Deals_Raw!V119</f>
        <v>8.3000000000000004E-2</v>
      </c>
      <c r="J116">
        <f>Deals_Raw!W119</f>
        <v>5.0999999999999997E-2</v>
      </c>
      <c r="K116" t="str">
        <f>Deals_Raw!Z119</f>
        <v>Sales Manager</v>
      </c>
      <c r="L116" t="str">
        <f t="shared" si="9"/>
        <v>yes</v>
      </c>
      <c r="M116" t="str">
        <f t="shared" si="10"/>
        <v>Pass</v>
      </c>
      <c r="O116">
        <f>Deals_Raw!AP119</f>
        <v>0.66076531730087928</v>
      </c>
      <c r="P116" t="str">
        <f t="shared" si="11"/>
        <v>False</v>
      </c>
      <c r="R116" t="str">
        <f>Deals_Raw!AF119</f>
        <v>Won</v>
      </c>
      <c r="S116">
        <f t="shared" si="12"/>
        <v>58724.160000000003</v>
      </c>
      <c r="T116">
        <f>Deals_Raw!AM119</f>
        <v>58724.160000000003</v>
      </c>
      <c r="U116">
        <f t="shared" si="13"/>
        <v>58724.160000000003</v>
      </c>
      <c r="V116">
        <f>Deals_Raw!AN119</f>
        <v>58724.160000000003</v>
      </c>
      <c r="W116">
        <f t="shared" si="14"/>
        <v>38802.888215627609</v>
      </c>
      <c r="X116">
        <f>Deals_Raw!AO119</f>
        <v>38802.888215627609</v>
      </c>
      <c r="Y116">
        <f t="shared" si="15"/>
        <v>0.66076531730087928</v>
      </c>
      <c r="Z116">
        <f>Deals_Raw!AP119</f>
        <v>0.66076531730087928</v>
      </c>
    </row>
    <row r="117" spans="1:26">
      <c r="A117" t="str">
        <f>Deals_Raw!A120</f>
        <v>D00135</v>
      </c>
      <c r="B117">
        <f>COUNTIF(Deals_Raw!$A$5:$A$643,A117)</f>
        <v>1</v>
      </c>
      <c r="C117" s="12" t="str">
        <f>Deals_Raw!E120</f>
        <v>CT00078</v>
      </c>
      <c r="E117">
        <f>Deals_Raw!AA120</f>
        <v>64699.831970099382</v>
      </c>
      <c r="F117">
        <f>ROUND(Deals_Raw!T120*(1-Deals_Raw!W120),2)</f>
        <v>64721.18</v>
      </c>
      <c r="G117">
        <f t="shared" si="8"/>
        <v>21.348029900618712</v>
      </c>
      <c r="I117">
        <f>Deals_Raw!V120</f>
        <v>1.6E-2</v>
      </c>
      <c r="J117">
        <f>Deals_Raw!W120</f>
        <v>6.0000000000000001E-3</v>
      </c>
      <c r="K117" t="str">
        <f>Deals_Raw!Z120</f>
        <v>Sales Manager</v>
      </c>
      <c r="L117" t="str">
        <f t="shared" si="9"/>
        <v>yes</v>
      </c>
      <c r="M117" t="str">
        <f t="shared" si="10"/>
        <v>Pass</v>
      </c>
      <c r="O117">
        <f>Deals_Raw!AP120</f>
        <v>0.69410328633363116</v>
      </c>
      <c r="P117" t="str">
        <f t="shared" si="11"/>
        <v>False</v>
      </c>
      <c r="R117" t="str">
        <f>Deals_Raw!AF120</f>
        <v>Lost</v>
      </c>
      <c r="S117">
        <f t="shared" si="12"/>
        <v>0</v>
      </c>
      <c r="T117">
        <f>Deals_Raw!AM120</f>
        <v>64721.18</v>
      </c>
      <c r="U117">
        <f t="shared" si="13"/>
        <v>0</v>
      </c>
      <c r="V117">
        <f>Deals_Raw!AN120</f>
        <v>64721.18</v>
      </c>
      <c r="W117">
        <f t="shared" si="14"/>
        <v>0</v>
      </c>
      <c r="X117">
        <f>Deals_Raw!AO120</f>
        <v>44923.183733390484</v>
      </c>
      <c r="Y117">
        <f t="shared" si="15"/>
        <v>0</v>
      </c>
      <c r="Z117">
        <f>Deals_Raw!AP120</f>
        <v>0.69410328633363116</v>
      </c>
    </row>
    <row r="118" spans="1:26">
      <c r="A118" t="str">
        <f>Deals_Raw!A121</f>
        <v>D00136</v>
      </c>
      <c r="B118">
        <f>COUNTIF(Deals_Raw!$A$5:$A$643,A118)</f>
        <v>1</v>
      </c>
      <c r="C118" s="12" t="str">
        <f>Deals_Raw!E121</f>
        <v>CT00079</v>
      </c>
      <c r="E118">
        <f>Deals_Raw!AA121</f>
        <v>60431.032295362886</v>
      </c>
      <c r="F118">
        <f>ROUND(Deals_Raw!T121*(1-Deals_Raw!W121),2)</f>
        <v>60438.8</v>
      </c>
      <c r="G118">
        <f t="shared" si="8"/>
        <v>7.7677046371172764</v>
      </c>
      <c r="I118">
        <f>Deals_Raw!V121</f>
        <v>6.9000000000000006E-2</v>
      </c>
      <c r="J118">
        <f>Deals_Raw!W121</f>
        <v>5.1999999999999998E-2</v>
      </c>
      <c r="K118" t="str">
        <f>Deals_Raw!Z121</f>
        <v>Sales Manager</v>
      </c>
      <c r="L118" t="str">
        <f t="shared" si="9"/>
        <v>yes</v>
      </c>
      <c r="M118" t="str">
        <f t="shared" si="10"/>
        <v>Pass</v>
      </c>
      <c r="O118">
        <f>Deals_Raw!AP121</f>
        <v>0.61322840392673394</v>
      </c>
      <c r="P118" t="str">
        <f t="shared" si="11"/>
        <v>False</v>
      </c>
      <c r="R118" t="str">
        <f>Deals_Raw!AF121</f>
        <v>Lost</v>
      </c>
      <c r="S118">
        <f t="shared" si="12"/>
        <v>0</v>
      </c>
      <c r="T118">
        <f>Deals_Raw!AM121</f>
        <v>60438.8</v>
      </c>
      <c r="U118">
        <f t="shared" si="13"/>
        <v>0</v>
      </c>
      <c r="V118">
        <f>Deals_Raw!AN121</f>
        <v>60438.8</v>
      </c>
      <c r="W118">
        <f t="shared" si="14"/>
        <v>0</v>
      </c>
      <c r="X118">
        <f>Deals_Raw!AO121</f>
        <v>37062.788859247092</v>
      </c>
      <c r="Y118">
        <f t="shared" si="15"/>
        <v>0</v>
      </c>
      <c r="Z118">
        <f>Deals_Raw!AP121</f>
        <v>0.61322840392673394</v>
      </c>
    </row>
    <row r="119" spans="1:26">
      <c r="A119" t="str">
        <f>Deals_Raw!A122</f>
        <v>D00137</v>
      </c>
      <c r="B119">
        <f>COUNTIF(Deals_Raw!$A$5:$A$643,A119)</f>
        <v>1</v>
      </c>
      <c r="C119" s="12" t="str">
        <f>Deals_Raw!E122</f>
        <v>CT00080</v>
      </c>
      <c r="E119">
        <f>Deals_Raw!AA122</f>
        <v>50689.565298060872</v>
      </c>
      <c r="F119">
        <f>ROUND(Deals_Raw!T122*(1-Deals_Raw!W122),2)</f>
        <v>50703.72</v>
      </c>
      <c r="G119">
        <f t="shared" si="8"/>
        <v>14.154701939129154</v>
      </c>
      <c r="I119">
        <f>Deals_Raw!V122</f>
        <v>0.17799999999999999</v>
      </c>
      <c r="J119">
        <f>Deals_Raw!W122</f>
        <v>0.17399999999999999</v>
      </c>
      <c r="K119" t="str">
        <f>Deals_Raw!Z122</f>
        <v>Pricing Analyst</v>
      </c>
      <c r="L119" t="str">
        <f t="shared" si="9"/>
        <v>yes</v>
      </c>
      <c r="M119" t="str">
        <f t="shared" si="10"/>
        <v>Pass</v>
      </c>
      <c r="O119">
        <f>Deals_Raw!AP122</f>
        <v>0.55739619814746133</v>
      </c>
      <c r="P119" t="str">
        <f t="shared" si="11"/>
        <v>False</v>
      </c>
      <c r="R119" t="str">
        <f>Deals_Raw!AF122</f>
        <v>Won</v>
      </c>
      <c r="S119">
        <f t="shared" si="12"/>
        <v>50703.72</v>
      </c>
      <c r="T119">
        <f>Deals_Raw!AM122</f>
        <v>50703.72</v>
      </c>
      <c r="U119">
        <f t="shared" si="13"/>
        <v>50703.72</v>
      </c>
      <c r="V119">
        <f>Deals_Raw!AN122</f>
        <v>50703.72</v>
      </c>
      <c r="W119">
        <f t="shared" si="14"/>
        <v>28262.0607599334</v>
      </c>
      <c r="X119">
        <f>Deals_Raw!AO122</f>
        <v>28262.0607599334</v>
      </c>
      <c r="Y119">
        <f t="shared" si="15"/>
        <v>0.55739619814746133</v>
      </c>
      <c r="Z119">
        <f>Deals_Raw!AP122</f>
        <v>0.55739619814746133</v>
      </c>
    </row>
    <row r="120" spans="1:26">
      <c r="A120" t="str">
        <f>Deals_Raw!A123</f>
        <v>D00138</v>
      </c>
      <c r="B120">
        <f>COUNTIF(Deals_Raw!$A$5:$A$643,A120)</f>
        <v>1</v>
      </c>
      <c r="C120" s="12" t="str">
        <f>Deals_Raw!E123</f>
        <v>CT00080</v>
      </c>
      <c r="E120">
        <f>Deals_Raw!AA123</f>
        <v>61617.765765932389</v>
      </c>
      <c r="F120">
        <f>ROUND(Deals_Raw!T123*(1-Deals_Raw!W123),2)</f>
        <v>61633.07</v>
      </c>
      <c r="G120">
        <f t="shared" si="8"/>
        <v>15.304234067611105</v>
      </c>
      <c r="I120">
        <f>Deals_Raw!V123</f>
        <v>4.2999999999999997E-2</v>
      </c>
      <c r="J120">
        <f>Deals_Raw!W123</f>
        <v>3.9E-2</v>
      </c>
      <c r="K120" t="str">
        <f>Deals_Raw!Z123</f>
        <v>Sales Manager</v>
      </c>
      <c r="L120" t="str">
        <f t="shared" si="9"/>
        <v>yes</v>
      </c>
      <c r="M120" t="str">
        <f t="shared" si="10"/>
        <v>Pass</v>
      </c>
      <c r="O120">
        <f>Deals_Raw!AP123</f>
        <v>0.64231433225386936</v>
      </c>
      <c r="P120" t="str">
        <f t="shared" si="11"/>
        <v>False</v>
      </c>
      <c r="R120" t="str">
        <f>Deals_Raw!AF123</f>
        <v>Won</v>
      </c>
      <c r="S120">
        <f t="shared" si="12"/>
        <v>61633.07</v>
      </c>
      <c r="T120">
        <f>Deals_Raw!AM123</f>
        <v>61633.07</v>
      </c>
      <c r="U120">
        <f t="shared" si="13"/>
        <v>61633.07</v>
      </c>
      <c r="V120">
        <f>Deals_Raw!AN123</f>
        <v>61633.07</v>
      </c>
      <c r="W120">
        <f t="shared" si="14"/>
        <v>39587.804201805986</v>
      </c>
      <c r="X120">
        <f>Deals_Raw!AO123</f>
        <v>39587.804201805986</v>
      </c>
      <c r="Y120">
        <f t="shared" si="15"/>
        <v>0.64231433225386936</v>
      </c>
      <c r="Z120">
        <f>Deals_Raw!AP123</f>
        <v>0.64231433225386936</v>
      </c>
    </row>
    <row r="121" spans="1:26">
      <c r="A121" t="str">
        <f>Deals_Raw!A124</f>
        <v>D00139</v>
      </c>
      <c r="B121">
        <f>COUNTIF(Deals_Raw!$A$5:$A$643,A121)</f>
        <v>1</v>
      </c>
      <c r="C121" s="12" t="str">
        <f>Deals_Raw!E124</f>
        <v>CT00081</v>
      </c>
      <c r="E121">
        <f>Deals_Raw!AA124</f>
        <v>93788.364885593313</v>
      </c>
      <c r="F121">
        <f>ROUND(Deals_Raw!T124*(1-Deals_Raw!W124),2)</f>
        <v>93769.01</v>
      </c>
      <c r="G121">
        <f t="shared" si="8"/>
        <v>-19.354885593318613</v>
      </c>
      <c r="I121">
        <f>Deals_Raw!V124</f>
        <v>0.14199999999999999</v>
      </c>
      <c r="J121">
        <f>Deals_Raw!W124</f>
        <v>0.10100000000000001</v>
      </c>
      <c r="K121" t="str">
        <f>Deals_Raw!Z124</f>
        <v>Pricing Analyst</v>
      </c>
      <c r="L121" t="str">
        <f t="shared" si="9"/>
        <v>yes</v>
      </c>
      <c r="M121" t="str">
        <f t="shared" si="10"/>
        <v>Pass</v>
      </c>
      <c r="O121">
        <f>Deals_Raw!AP124</f>
        <v>0.64275854924399067</v>
      </c>
      <c r="P121" t="str">
        <f t="shared" si="11"/>
        <v>False</v>
      </c>
      <c r="R121" t="str">
        <f>Deals_Raw!AF124</f>
        <v>Lost</v>
      </c>
      <c r="S121">
        <f t="shared" si="12"/>
        <v>0</v>
      </c>
      <c r="T121">
        <f>Deals_Raw!AM124</f>
        <v>93769.01</v>
      </c>
      <c r="U121">
        <f t="shared" si="13"/>
        <v>0</v>
      </c>
      <c r="V121">
        <f>Deals_Raw!AN124</f>
        <v>93769.01</v>
      </c>
      <c r="W121">
        <f t="shared" si="14"/>
        <v>0</v>
      </c>
      <c r="X121">
        <f>Deals_Raw!AO124</f>
        <v>60270.832831645246</v>
      </c>
      <c r="Y121">
        <f t="shared" si="15"/>
        <v>0</v>
      </c>
      <c r="Z121">
        <f>Deals_Raw!AP124</f>
        <v>0.64275854924399067</v>
      </c>
    </row>
    <row r="122" spans="1:26">
      <c r="A122" t="str">
        <f>Deals_Raw!A125</f>
        <v>D00140</v>
      </c>
      <c r="B122">
        <f>COUNTIF(Deals_Raw!$A$5:$A$643,A122)</f>
        <v>1</v>
      </c>
      <c r="C122" s="12" t="str">
        <f>Deals_Raw!E125</f>
        <v>CT00082</v>
      </c>
      <c r="E122">
        <f>Deals_Raw!AA125</f>
        <v>121239.67157082279</v>
      </c>
      <c r="F122">
        <f>ROUND(Deals_Raw!T125*(1-Deals_Raw!W125),2)</f>
        <v>121286.69</v>
      </c>
      <c r="G122">
        <f t="shared" si="8"/>
        <v>47.018429177216603</v>
      </c>
      <c r="I122">
        <f>Deals_Raw!V125</f>
        <v>0.113</v>
      </c>
      <c r="J122">
        <f>Deals_Raw!W125</f>
        <v>8.2000000000000003E-2</v>
      </c>
      <c r="K122" t="str">
        <f>Deals_Raw!Z125</f>
        <v>Sales Manager</v>
      </c>
      <c r="L122" t="str">
        <f t="shared" si="9"/>
        <v>yes</v>
      </c>
      <c r="M122" t="str">
        <f t="shared" si="10"/>
        <v>Pass</v>
      </c>
      <c r="O122">
        <f>Deals_Raw!AP125</f>
        <v>0.51677447717723723</v>
      </c>
      <c r="P122" t="str">
        <f t="shared" si="11"/>
        <v>False</v>
      </c>
      <c r="R122" t="str">
        <f>Deals_Raw!AF125</f>
        <v>Lost</v>
      </c>
      <c r="S122">
        <f t="shared" si="12"/>
        <v>0</v>
      </c>
      <c r="T122">
        <f>Deals_Raw!AM125</f>
        <v>121286.69</v>
      </c>
      <c r="U122">
        <f t="shared" si="13"/>
        <v>0</v>
      </c>
      <c r="V122">
        <f>Deals_Raw!AN125</f>
        <v>242573.38</v>
      </c>
      <c r="W122">
        <f t="shared" si="14"/>
        <v>0</v>
      </c>
      <c r="X122">
        <f>Deals_Raw!AO125</f>
        <v>62677.865813307653</v>
      </c>
      <c r="Y122">
        <f t="shared" si="15"/>
        <v>0</v>
      </c>
      <c r="Z122">
        <f>Deals_Raw!AP125</f>
        <v>0.51677447717723723</v>
      </c>
    </row>
    <row r="123" spans="1:26">
      <c r="A123" t="str">
        <f>Deals_Raw!A126</f>
        <v>D00141</v>
      </c>
      <c r="B123">
        <f>COUNTIF(Deals_Raw!$A$5:$A$643,A123)</f>
        <v>1</v>
      </c>
      <c r="C123" s="12" t="str">
        <f>Deals_Raw!E126</f>
        <v>CT00083</v>
      </c>
      <c r="E123">
        <f>Deals_Raw!AA126</f>
        <v>253198.12075738836</v>
      </c>
      <c r="F123">
        <f>ROUND(Deals_Raw!T126*(1-Deals_Raw!W126),2)</f>
        <v>253335.91</v>
      </c>
      <c r="G123">
        <f t="shared" si="8"/>
        <v>137.78924261164502</v>
      </c>
      <c r="I123">
        <f>Deals_Raw!V126</f>
        <v>0.16</v>
      </c>
      <c r="J123">
        <f>Deals_Raw!W126</f>
        <v>0.114</v>
      </c>
      <c r="K123" t="str">
        <f>Deals_Raw!Z126</f>
        <v>Pricing Analyst</v>
      </c>
      <c r="L123" t="str">
        <f t="shared" si="9"/>
        <v>yes</v>
      </c>
      <c r="M123" t="str">
        <f t="shared" si="10"/>
        <v>Pass</v>
      </c>
      <c r="O123">
        <f>Deals_Raw!AP126</f>
        <v>0.66001726349176504</v>
      </c>
      <c r="P123" t="str">
        <f t="shared" si="11"/>
        <v>False</v>
      </c>
      <c r="R123" t="str">
        <f>Deals_Raw!AF126</f>
        <v>Won</v>
      </c>
      <c r="S123">
        <f t="shared" si="12"/>
        <v>253335.91</v>
      </c>
      <c r="T123">
        <f>Deals_Raw!AM126</f>
        <v>253335.91</v>
      </c>
      <c r="U123">
        <f t="shared" si="13"/>
        <v>253335.91</v>
      </c>
      <c r="V123">
        <f>Deals_Raw!AN126</f>
        <v>253335.91</v>
      </c>
      <c r="W123">
        <f t="shared" si="14"/>
        <v>167206.07406239607</v>
      </c>
      <c r="X123">
        <f>Deals_Raw!AO126</f>
        <v>167206.07406239607</v>
      </c>
      <c r="Y123">
        <f t="shared" si="15"/>
        <v>0.66001726349176504</v>
      </c>
      <c r="Z123">
        <f>Deals_Raw!AP126</f>
        <v>0.66001726349176504</v>
      </c>
    </row>
    <row r="124" spans="1:26">
      <c r="A124" t="str">
        <f>Deals_Raw!A127</f>
        <v>D00142</v>
      </c>
      <c r="B124">
        <f>COUNTIF(Deals_Raw!$A$5:$A$643,A124)</f>
        <v>1</v>
      </c>
      <c r="C124" s="12" t="str">
        <f>Deals_Raw!E127</f>
        <v>CT00083</v>
      </c>
      <c r="E124">
        <f>Deals_Raw!AA127</f>
        <v>267111.16974269407</v>
      </c>
      <c r="F124">
        <f>ROUND(Deals_Raw!T127*(1-Deals_Raw!W127),2)</f>
        <v>267172.02</v>
      </c>
      <c r="G124">
        <f t="shared" si="8"/>
        <v>60.850257305952255</v>
      </c>
      <c r="I124">
        <f>Deals_Raw!V127</f>
        <v>0.121</v>
      </c>
      <c r="J124">
        <f>Deals_Raw!W127</f>
        <v>9.9000000000000005E-2</v>
      </c>
      <c r="K124" t="str">
        <f>Deals_Raw!Z127</f>
        <v>Sales Manager</v>
      </c>
      <c r="L124" t="str">
        <f t="shared" si="9"/>
        <v>yes</v>
      </c>
      <c r="M124" t="str">
        <f t="shared" si="10"/>
        <v>Pass</v>
      </c>
      <c r="O124">
        <f>Deals_Raw!AP127</f>
        <v>0.67784615306561469</v>
      </c>
      <c r="P124" t="str">
        <f t="shared" si="11"/>
        <v>False</v>
      </c>
      <c r="R124" t="str">
        <f>Deals_Raw!AF127</f>
        <v>Won</v>
      </c>
      <c r="S124">
        <f t="shared" si="12"/>
        <v>267172.02</v>
      </c>
      <c r="T124">
        <f>Deals_Raw!AM127</f>
        <v>267172.02</v>
      </c>
      <c r="U124">
        <f t="shared" si="13"/>
        <v>267172.02</v>
      </c>
      <c r="V124">
        <f>Deals_Raw!AN127</f>
        <v>267172.02</v>
      </c>
      <c r="W124">
        <f t="shared" si="14"/>
        <v>181101.52596376947</v>
      </c>
      <c r="X124">
        <f>Deals_Raw!AO127</f>
        <v>181101.52596376947</v>
      </c>
      <c r="Y124">
        <f t="shared" si="15"/>
        <v>0.67784615306561469</v>
      </c>
      <c r="Z124">
        <f>Deals_Raw!AP127</f>
        <v>0.67784615306561469</v>
      </c>
    </row>
    <row r="125" spans="1:26">
      <c r="A125" t="str">
        <f>Deals_Raw!A128</f>
        <v>D00144</v>
      </c>
      <c r="B125">
        <f>COUNTIF(Deals_Raw!$A$5:$A$643,A125)</f>
        <v>1</v>
      </c>
      <c r="C125" s="12" t="str">
        <f>Deals_Raw!E128</f>
        <v>CT00084</v>
      </c>
      <c r="E125">
        <f>Deals_Raw!AA128</f>
        <v>1360524.6278988195</v>
      </c>
      <c r="F125">
        <f>ROUND(Deals_Raw!T128*(1-Deals_Raw!W128),2)</f>
        <v>1360662.33</v>
      </c>
      <c r="G125">
        <f t="shared" si="8"/>
        <v>137.70210118056275</v>
      </c>
      <c r="I125">
        <f>Deals_Raw!V128</f>
        <v>0.13900000000000001</v>
      </c>
      <c r="J125">
        <f>Deals_Raw!W128</f>
        <v>0.129</v>
      </c>
      <c r="K125" t="str">
        <f>Deals_Raw!Z128</f>
        <v>Pricing Analyst</v>
      </c>
      <c r="L125" t="str">
        <f t="shared" si="9"/>
        <v>yes</v>
      </c>
      <c r="M125" t="str">
        <f t="shared" si="10"/>
        <v>Pass</v>
      </c>
      <c r="O125">
        <f>Deals_Raw!AP128</f>
        <v>0.54495676496061307</v>
      </c>
      <c r="P125" t="str">
        <f t="shared" si="11"/>
        <v>False</v>
      </c>
      <c r="R125" t="str">
        <f>Deals_Raw!AF128</f>
        <v>Won</v>
      </c>
      <c r="S125">
        <f t="shared" si="12"/>
        <v>1360662.33</v>
      </c>
      <c r="T125">
        <f>Deals_Raw!AM128</f>
        <v>1360662.33</v>
      </c>
      <c r="U125">
        <f t="shared" si="13"/>
        <v>1360662.33</v>
      </c>
      <c r="V125">
        <f>Deals_Raw!AN128</f>
        <v>1360662.33</v>
      </c>
      <c r="W125">
        <f t="shared" si="14"/>
        <v>741502.14156057022</v>
      </c>
      <c r="X125">
        <f>Deals_Raw!AO128</f>
        <v>741502.14156057022</v>
      </c>
      <c r="Y125">
        <f t="shared" si="15"/>
        <v>0.54495676496061307</v>
      </c>
      <c r="Z125">
        <f>Deals_Raw!AP128</f>
        <v>0.54495676496061307</v>
      </c>
    </row>
    <row r="126" spans="1:26">
      <c r="A126" t="str">
        <f>Deals_Raw!A129</f>
        <v>D00145</v>
      </c>
      <c r="B126">
        <f>COUNTIF(Deals_Raw!$A$5:$A$643,A126)</f>
        <v>1</v>
      </c>
      <c r="C126" s="12" t="str">
        <f>Deals_Raw!E129</f>
        <v>CT00084</v>
      </c>
      <c r="E126">
        <f>Deals_Raw!AA129</f>
        <v>1637953.8281112479</v>
      </c>
      <c r="F126">
        <f>ROUND(Deals_Raw!T129*(1-Deals_Raw!W129),2)</f>
        <v>1637593.81</v>
      </c>
      <c r="G126">
        <f t="shared" si="8"/>
        <v>-360.01811124780215</v>
      </c>
      <c r="I126">
        <f>Deals_Raw!V129</f>
        <v>5.5E-2</v>
      </c>
      <c r="J126">
        <f>Deals_Raw!W129</f>
        <v>2.9000000000000001E-2</v>
      </c>
      <c r="K126" t="str">
        <f>Deals_Raw!Z129</f>
        <v>Sales Manager</v>
      </c>
      <c r="L126" t="str">
        <f t="shared" si="9"/>
        <v>yes</v>
      </c>
      <c r="M126" t="str">
        <f t="shared" si="10"/>
        <v>Pass</v>
      </c>
      <c r="O126">
        <f>Deals_Raw!AP129</f>
        <v>0.60638704848628666</v>
      </c>
      <c r="P126" t="str">
        <f t="shared" si="11"/>
        <v>False</v>
      </c>
      <c r="R126" t="str">
        <f>Deals_Raw!AF129</f>
        <v>Won</v>
      </c>
      <c r="S126">
        <f t="shared" si="12"/>
        <v>1637593.81</v>
      </c>
      <c r="T126">
        <f>Deals_Raw!AM129</f>
        <v>1637593.81</v>
      </c>
      <c r="U126">
        <f t="shared" si="13"/>
        <v>1637593.81</v>
      </c>
      <c r="V126">
        <f>Deals_Raw!AN129</f>
        <v>1637593.81</v>
      </c>
      <c r="W126">
        <f t="shared" si="14"/>
        <v>993015.67706531298</v>
      </c>
      <c r="X126">
        <f>Deals_Raw!AO129</f>
        <v>993015.67706531298</v>
      </c>
      <c r="Y126">
        <f t="shared" si="15"/>
        <v>0.60638704848628666</v>
      </c>
      <c r="Z126">
        <f>Deals_Raw!AP129</f>
        <v>0.60638704848628666</v>
      </c>
    </row>
    <row r="127" spans="1:26">
      <c r="A127" t="str">
        <f>Deals_Raw!A130</f>
        <v>D00146</v>
      </c>
      <c r="B127">
        <f>COUNTIF(Deals_Raw!$A$5:$A$643,A127)</f>
        <v>1</v>
      </c>
      <c r="C127" s="12" t="str">
        <f>Deals_Raw!E130</f>
        <v>CT00084</v>
      </c>
      <c r="E127">
        <f>Deals_Raw!AA130</f>
        <v>1741237.5919371694</v>
      </c>
      <c r="F127">
        <f>ROUND(Deals_Raw!T130*(1-Deals_Raw!W130),2)</f>
        <v>1740712.85</v>
      </c>
      <c r="G127">
        <f t="shared" si="8"/>
        <v>-524.74193716933951</v>
      </c>
      <c r="I127">
        <f>Deals_Raw!V130</f>
        <v>5.2999999999999999E-2</v>
      </c>
      <c r="J127">
        <f>Deals_Raw!W130</f>
        <v>4.3999999999999997E-2</v>
      </c>
      <c r="K127" t="str">
        <f>Deals_Raw!Z130</f>
        <v>Sales Manager</v>
      </c>
      <c r="L127" t="str">
        <f t="shared" si="9"/>
        <v>yes</v>
      </c>
      <c r="M127" t="str">
        <f t="shared" si="10"/>
        <v>Pass</v>
      </c>
      <c r="O127">
        <f>Deals_Raw!AP130</f>
        <v>0.63314212234282941</v>
      </c>
      <c r="P127" t="str">
        <f t="shared" si="11"/>
        <v>False</v>
      </c>
      <c r="R127" t="str">
        <f>Deals_Raw!AF130</f>
        <v>Won</v>
      </c>
      <c r="S127">
        <f t="shared" si="12"/>
        <v>1740712.85</v>
      </c>
      <c r="T127">
        <f>Deals_Raw!AM130</f>
        <v>1740712.85</v>
      </c>
      <c r="U127">
        <f t="shared" si="13"/>
        <v>1740712.85</v>
      </c>
      <c r="V127">
        <f>Deals_Raw!AN130</f>
        <v>1740712.85</v>
      </c>
      <c r="W127">
        <f t="shared" si="14"/>
        <v>1102118.6282384354</v>
      </c>
      <c r="X127">
        <f>Deals_Raw!AO130</f>
        <v>1102118.6282384354</v>
      </c>
      <c r="Y127">
        <f t="shared" si="15"/>
        <v>0.63314212234282941</v>
      </c>
      <c r="Z127">
        <f>Deals_Raw!AP130</f>
        <v>0.63314212234282941</v>
      </c>
    </row>
    <row r="128" spans="1:26">
      <c r="A128" t="str">
        <f>Deals_Raw!A131</f>
        <v>D00147</v>
      </c>
      <c r="B128">
        <f>COUNTIF(Deals_Raw!$A$5:$A$643,A128)</f>
        <v>1</v>
      </c>
      <c r="C128" s="12" t="str">
        <f>Deals_Raw!E131</f>
        <v>CT00085</v>
      </c>
      <c r="E128">
        <f>Deals_Raw!AA131</f>
        <v>100895.33528878557</v>
      </c>
      <c r="F128">
        <f>ROUND(Deals_Raw!T131*(1-Deals_Raw!W131),2)</f>
        <v>100869.08</v>
      </c>
      <c r="G128">
        <f t="shared" si="8"/>
        <v>-26.255288785570883</v>
      </c>
      <c r="I128">
        <f>Deals_Raw!V131</f>
        <v>0.13800000000000001</v>
      </c>
      <c r="J128">
        <f>Deals_Raw!W131</f>
        <v>0.112</v>
      </c>
      <c r="K128" t="str">
        <f>Deals_Raw!Z131</f>
        <v>Pricing Analyst</v>
      </c>
      <c r="L128" t="str">
        <f t="shared" si="9"/>
        <v>yes</v>
      </c>
      <c r="M128" t="str">
        <f t="shared" si="10"/>
        <v>Pass</v>
      </c>
      <c r="O128">
        <f>Deals_Raw!AP131</f>
        <v>0.54399739435145311</v>
      </c>
      <c r="P128" t="str">
        <f t="shared" si="11"/>
        <v>False</v>
      </c>
      <c r="R128" t="str">
        <f>Deals_Raw!AF131</f>
        <v>Won</v>
      </c>
      <c r="S128">
        <f t="shared" si="12"/>
        <v>100869.08</v>
      </c>
      <c r="T128">
        <f>Deals_Raw!AM131</f>
        <v>100869.08</v>
      </c>
      <c r="U128">
        <f t="shared" si="13"/>
        <v>100869.08</v>
      </c>
      <c r="V128">
        <f>Deals_Raw!AN131</f>
        <v>100869.08</v>
      </c>
      <c r="W128">
        <f t="shared" si="14"/>
        <v>54872.516690628268</v>
      </c>
      <c r="X128">
        <f>Deals_Raw!AO131</f>
        <v>54872.516690628268</v>
      </c>
      <c r="Y128">
        <f t="shared" si="15"/>
        <v>0.54399739435145311</v>
      </c>
      <c r="Z128">
        <f>Deals_Raw!AP131</f>
        <v>0.54399739435145311</v>
      </c>
    </row>
    <row r="129" spans="1:26">
      <c r="A129" t="str">
        <f>Deals_Raw!A132</f>
        <v>D00148</v>
      </c>
      <c r="B129">
        <f>COUNTIF(Deals_Raw!$A$5:$A$643,A129)</f>
        <v>1</v>
      </c>
      <c r="C129" s="12" t="str">
        <f>Deals_Raw!E132</f>
        <v>CT00085</v>
      </c>
      <c r="E129">
        <f>Deals_Raw!AA132</f>
        <v>134553.92038887675</v>
      </c>
      <c r="F129">
        <f>ROUND(Deals_Raw!T132*(1-Deals_Raw!W132),2)</f>
        <v>134518.59</v>
      </c>
      <c r="G129">
        <f t="shared" si="8"/>
        <v>-35.330388876755023</v>
      </c>
      <c r="I129">
        <f>Deals_Raw!V132</f>
        <v>0.121</v>
      </c>
      <c r="J129">
        <f>Deals_Raw!W132</f>
        <v>0.113</v>
      </c>
      <c r="K129" t="str">
        <f>Deals_Raw!Z132</f>
        <v>Pricing Analyst</v>
      </c>
      <c r="L129" t="str">
        <f t="shared" si="9"/>
        <v>yes</v>
      </c>
      <c r="M129" t="str">
        <f t="shared" si="10"/>
        <v>Pass</v>
      </c>
      <c r="O129">
        <f>Deals_Raw!AP132</f>
        <v>0.56435408975603696</v>
      </c>
      <c r="P129" t="str">
        <f t="shared" si="11"/>
        <v>False</v>
      </c>
      <c r="R129" t="str">
        <f>Deals_Raw!AF132</f>
        <v>Won</v>
      </c>
      <c r="S129">
        <f t="shared" si="12"/>
        <v>134518.59</v>
      </c>
      <c r="T129">
        <f>Deals_Raw!AM132</f>
        <v>134518.59</v>
      </c>
      <c r="U129">
        <f t="shared" si="13"/>
        <v>134518.59</v>
      </c>
      <c r="V129">
        <f>Deals_Raw!AN132</f>
        <v>134518.59</v>
      </c>
      <c r="W129">
        <f t="shared" si="14"/>
        <v>75916.116414715536</v>
      </c>
      <c r="X129">
        <f>Deals_Raw!AO132</f>
        <v>75916.116414715536</v>
      </c>
      <c r="Y129">
        <f t="shared" si="15"/>
        <v>0.56435408975603696</v>
      </c>
      <c r="Z129">
        <f>Deals_Raw!AP132</f>
        <v>0.56435408975603696</v>
      </c>
    </row>
    <row r="130" spans="1:26">
      <c r="A130" t="str">
        <f>Deals_Raw!A133</f>
        <v>D00149</v>
      </c>
      <c r="B130">
        <f>COUNTIF(Deals_Raw!$A$5:$A$643,A130)</f>
        <v>1</v>
      </c>
      <c r="C130" s="12" t="str">
        <f>Deals_Raw!E133</f>
        <v>CT00085</v>
      </c>
      <c r="E130">
        <f>Deals_Raw!AA133</f>
        <v>120075.22811729999</v>
      </c>
      <c r="F130">
        <f>ROUND(Deals_Raw!T133*(1-Deals_Raw!W133),2)</f>
        <v>120016.96000000001</v>
      </c>
      <c r="G130">
        <f t="shared" si="8"/>
        <v>-58.268117299987352</v>
      </c>
      <c r="I130">
        <f>Deals_Raw!V133</f>
        <v>0.23499999999999999</v>
      </c>
      <c r="J130">
        <f>Deals_Raw!W133</f>
        <v>0.23</v>
      </c>
      <c r="K130" t="str">
        <f>Deals_Raw!Z133</f>
        <v>Business Manager</v>
      </c>
      <c r="L130" t="str">
        <f t="shared" si="9"/>
        <v>yes</v>
      </c>
      <c r="M130" t="str">
        <f t="shared" si="10"/>
        <v>Pass</v>
      </c>
      <c r="O130">
        <f>Deals_Raw!AP133</f>
        <v>0.5152012283087648</v>
      </c>
      <c r="P130" t="str">
        <f t="shared" si="11"/>
        <v>False</v>
      </c>
      <c r="R130" t="str">
        <f>Deals_Raw!AF133</f>
        <v>Lost</v>
      </c>
      <c r="S130">
        <f t="shared" si="12"/>
        <v>0</v>
      </c>
      <c r="T130">
        <f>Deals_Raw!AM133</f>
        <v>120016.96000000001</v>
      </c>
      <c r="U130">
        <f t="shared" si="13"/>
        <v>0</v>
      </c>
      <c r="V130">
        <f>Deals_Raw!AN133</f>
        <v>120016.96000000001</v>
      </c>
      <c r="W130">
        <f t="shared" si="14"/>
        <v>0</v>
      </c>
      <c r="X130">
        <f>Deals_Raw!AO133</f>
        <v>61832.885209883891</v>
      </c>
      <c r="Y130">
        <f t="shared" si="15"/>
        <v>0</v>
      </c>
      <c r="Z130">
        <f>Deals_Raw!AP133</f>
        <v>0.5152012283087648</v>
      </c>
    </row>
    <row r="131" spans="1:26">
      <c r="A131" t="str">
        <f>Deals_Raw!A134</f>
        <v>D00150</v>
      </c>
      <c r="B131">
        <f>COUNTIF(Deals_Raw!$A$5:$A$643,A131)</f>
        <v>1</v>
      </c>
      <c r="C131" s="12" t="str">
        <f>Deals_Raw!E134</f>
        <v>CT00086</v>
      </c>
      <c r="E131">
        <f>Deals_Raw!AA134</f>
        <v>321425.41935681581</v>
      </c>
      <c r="F131">
        <f>ROUND(Deals_Raw!T134*(1-Deals_Raw!W134),2)</f>
        <v>321406.65999999997</v>
      </c>
      <c r="G131">
        <f t="shared" ref="G131:G194" si="16">F131-E131</f>
        <v>-18.759356815833598</v>
      </c>
      <c r="I131">
        <f>Deals_Raw!V134</f>
        <v>0.152</v>
      </c>
      <c r="J131">
        <f>Deals_Raw!W134</f>
        <v>0.10199999999999999</v>
      </c>
      <c r="K131" t="str">
        <f>Deals_Raw!Z134</f>
        <v>Pricing Analyst</v>
      </c>
      <c r="L131" t="str">
        <f t="shared" ref="L131:L194" si="17">IF(J131&lt;=I131, "yes", "no")</f>
        <v>yes</v>
      </c>
      <c r="M131" t="str">
        <f t="shared" ref="M131:M194" si="18">IF(AND(J131&lt;=0.1,K131="Sales Manager"),"Pass",
 IF(AND(J131&gt;0.1,J131&lt;=0.2,K131="Pricing Analyst"),"Pass",
 IF(AND(J131&gt;0.2,K131="Business Manager"),"Pass","Review")))</f>
        <v>Pass</v>
      </c>
      <c r="O131">
        <f>Deals_Raw!AP134</f>
        <v>0.55811298036601198</v>
      </c>
      <c r="P131" t="str">
        <f t="shared" ref="P131:P194" si="19">IF(O131&lt;=0.45, "True", "False")</f>
        <v>False</v>
      </c>
      <c r="R131" t="str">
        <f>Deals_Raw!AF134</f>
        <v>Won</v>
      </c>
      <c r="S131">
        <f t="shared" ref="S131:S194" si="20">IF($R131="Lost",0,T131)</f>
        <v>321406.65999999997</v>
      </c>
      <c r="T131">
        <f>Deals_Raw!AM134</f>
        <v>321406.65999999997</v>
      </c>
      <c r="U131">
        <f t="shared" ref="U131:U194" si="21">IF($R131="Lost",0,V131)</f>
        <v>964219.98</v>
      </c>
      <c r="V131">
        <f>Deals_Raw!AN134</f>
        <v>964219.98</v>
      </c>
      <c r="W131">
        <f t="shared" ref="W131:W194" si="22">IF($R131="Lost",0,X131)</f>
        <v>179381.22892208549</v>
      </c>
      <c r="X131">
        <f>Deals_Raw!AO134</f>
        <v>179381.22892208549</v>
      </c>
      <c r="Y131">
        <f t="shared" ref="Y131:Y194" si="23">IF($R131="Lost",0,Z131)</f>
        <v>0.55811298036601198</v>
      </c>
      <c r="Z131">
        <f>Deals_Raw!AP134</f>
        <v>0.55811298036601198</v>
      </c>
    </row>
    <row r="132" spans="1:26">
      <c r="A132" t="str">
        <f>Deals_Raw!A135</f>
        <v>D00152</v>
      </c>
      <c r="B132">
        <f>COUNTIF(Deals_Raw!$A$5:$A$643,A132)</f>
        <v>1</v>
      </c>
      <c r="C132" s="12" t="str">
        <f>Deals_Raw!E135</f>
        <v>CT00087</v>
      </c>
      <c r="E132">
        <f>Deals_Raw!AA135</f>
        <v>414750.40475902677</v>
      </c>
      <c r="F132">
        <f>ROUND(Deals_Raw!T135*(1-Deals_Raw!W135),2)</f>
        <v>414763.38</v>
      </c>
      <c r="G132">
        <f t="shared" si="16"/>
        <v>12.975240973231848</v>
      </c>
      <c r="I132">
        <f>Deals_Raw!V135</f>
        <v>0.14299999999999999</v>
      </c>
      <c r="J132">
        <f>Deals_Raw!W135</f>
        <v>7.9000000000000001E-2</v>
      </c>
      <c r="K132" t="str">
        <f>Deals_Raw!Z135</f>
        <v>Sales Manager</v>
      </c>
      <c r="L132" t="str">
        <f t="shared" si="17"/>
        <v>yes</v>
      </c>
      <c r="M132" t="str">
        <f t="shared" si="18"/>
        <v>Pass</v>
      </c>
      <c r="O132">
        <f>Deals_Raw!AP135</f>
        <v>0.58413928477910737</v>
      </c>
      <c r="P132" t="str">
        <f t="shared" si="19"/>
        <v>False</v>
      </c>
      <c r="R132" t="str">
        <f>Deals_Raw!AF135</f>
        <v>Won</v>
      </c>
      <c r="S132">
        <f t="shared" si="20"/>
        <v>414763.38</v>
      </c>
      <c r="T132">
        <f>Deals_Raw!AM135</f>
        <v>414763.38</v>
      </c>
      <c r="U132">
        <f t="shared" si="21"/>
        <v>414763.38</v>
      </c>
      <c r="V132">
        <f>Deals_Raw!AN135</f>
        <v>414763.38</v>
      </c>
      <c r="W132">
        <f t="shared" si="22"/>
        <v>242279.58414576511</v>
      </c>
      <c r="X132">
        <f>Deals_Raw!AO135</f>
        <v>242279.58414576511</v>
      </c>
      <c r="Y132">
        <f t="shared" si="23"/>
        <v>0.58413928477910737</v>
      </c>
      <c r="Z132">
        <f>Deals_Raw!AP135</f>
        <v>0.58413928477910737</v>
      </c>
    </row>
    <row r="133" spans="1:26">
      <c r="A133" t="str">
        <f>Deals_Raw!A136</f>
        <v>D00153</v>
      </c>
      <c r="B133">
        <f>COUNTIF(Deals_Raw!$A$5:$A$643,A133)</f>
        <v>1</v>
      </c>
      <c r="C133" s="12" t="str">
        <f>Deals_Raw!E136</f>
        <v>CT00087</v>
      </c>
      <c r="E133">
        <f>Deals_Raw!AA136</f>
        <v>513498.46302734595</v>
      </c>
      <c r="F133">
        <f>ROUND(Deals_Raw!T136*(1-Deals_Raw!W136),2)</f>
        <v>513747.76</v>
      </c>
      <c r="G133">
        <f t="shared" si="16"/>
        <v>249.29697265406139</v>
      </c>
      <c r="I133">
        <f>Deals_Raw!V136</f>
        <v>0.10199999999999999</v>
      </c>
      <c r="J133">
        <f>Deals_Raw!W136</f>
        <v>9.7000000000000003E-2</v>
      </c>
      <c r="K133" t="str">
        <f>Deals_Raw!Z136</f>
        <v>Sales Manager</v>
      </c>
      <c r="L133" t="str">
        <f t="shared" si="17"/>
        <v>yes</v>
      </c>
      <c r="M133" t="str">
        <f t="shared" si="18"/>
        <v>Pass</v>
      </c>
      <c r="O133">
        <f>Deals_Raw!AP136</f>
        <v>0.65062580042536167</v>
      </c>
      <c r="P133" t="str">
        <f t="shared" si="19"/>
        <v>False</v>
      </c>
      <c r="R133" t="str">
        <f>Deals_Raw!AF136</f>
        <v>Lost</v>
      </c>
      <c r="S133">
        <f t="shared" si="20"/>
        <v>0</v>
      </c>
      <c r="T133">
        <f>Deals_Raw!AM136</f>
        <v>513747.76</v>
      </c>
      <c r="U133">
        <f t="shared" si="21"/>
        <v>0</v>
      </c>
      <c r="V133">
        <f>Deals_Raw!AN136</f>
        <v>513747.76</v>
      </c>
      <c r="W133">
        <f t="shared" si="22"/>
        <v>0</v>
      </c>
      <c r="X133">
        <f>Deals_Raw!AO136</f>
        <v>334257.54756673658</v>
      </c>
      <c r="Y133">
        <f t="shared" si="23"/>
        <v>0</v>
      </c>
      <c r="Z133">
        <f>Deals_Raw!AP136</f>
        <v>0.65062580042536167</v>
      </c>
    </row>
    <row r="134" spans="1:26">
      <c r="A134" t="str">
        <f>Deals_Raw!A137</f>
        <v>D00154</v>
      </c>
      <c r="B134">
        <f>COUNTIF(Deals_Raw!$A$5:$A$643,A134)</f>
        <v>1</v>
      </c>
      <c r="C134" s="12" t="str">
        <f>Deals_Raw!E137</f>
        <v>CT00087</v>
      </c>
      <c r="E134">
        <f>Deals_Raw!AA137</f>
        <v>458199.8346732537</v>
      </c>
      <c r="F134">
        <f>ROUND(Deals_Raw!T137*(1-Deals_Raw!W137),2)</f>
        <v>458202.46</v>
      </c>
      <c r="G134">
        <f t="shared" si="16"/>
        <v>2.6253267463180237</v>
      </c>
      <c r="I134">
        <f>Deals_Raw!V137</f>
        <v>1.6E-2</v>
      </c>
      <c r="J134">
        <f>Deals_Raw!W137</f>
        <v>5.0000000000000001E-3</v>
      </c>
      <c r="K134" t="str">
        <f>Deals_Raw!Z137</f>
        <v>Sales Manager</v>
      </c>
      <c r="L134" t="str">
        <f t="shared" si="17"/>
        <v>yes</v>
      </c>
      <c r="M134" t="str">
        <f t="shared" si="18"/>
        <v>Pass</v>
      </c>
      <c r="O134">
        <f>Deals_Raw!AP137</f>
        <v>0.62108513172818947</v>
      </c>
      <c r="P134" t="str">
        <f t="shared" si="19"/>
        <v>False</v>
      </c>
      <c r="R134" t="str">
        <f>Deals_Raw!AF137</f>
        <v>Lost</v>
      </c>
      <c r="S134">
        <f t="shared" si="20"/>
        <v>0</v>
      </c>
      <c r="T134">
        <f>Deals_Raw!AM137</f>
        <v>458202.46</v>
      </c>
      <c r="U134">
        <f t="shared" si="21"/>
        <v>0</v>
      </c>
      <c r="V134">
        <f>Deals_Raw!AN137</f>
        <v>458202.46</v>
      </c>
      <c r="W134">
        <f t="shared" si="22"/>
        <v>0</v>
      </c>
      <c r="X134">
        <f>Deals_Raw!AO137</f>
        <v>284582.73522728047</v>
      </c>
      <c r="Y134">
        <f t="shared" si="23"/>
        <v>0</v>
      </c>
      <c r="Z134">
        <f>Deals_Raw!AP137</f>
        <v>0.62108513172818947</v>
      </c>
    </row>
    <row r="135" spans="1:26">
      <c r="A135" t="str">
        <f>Deals_Raw!A138</f>
        <v>D00155</v>
      </c>
      <c r="B135">
        <f>COUNTIF(Deals_Raw!$A$5:$A$643,A135)</f>
        <v>1</v>
      </c>
      <c r="C135" s="12" t="str">
        <f>Deals_Raw!E138</f>
        <v>CT00087</v>
      </c>
      <c r="E135">
        <f>Deals_Raw!AA138</f>
        <v>363756.70317116729</v>
      </c>
      <c r="F135">
        <f>ROUND(Deals_Raw!T138*(1-Deals_Raw!W138),2)</f>
        <v>363798.94</v>
      </c>
      <c r="G135">
        <f t="shared" si="16"/>
        <v>42.23682883271249</v>
      </c>
      <c r="I135">
        <f>Deals_Raw!V138</f>
        <v>0.22900000000000001</v>
      </c>
      <c r="J135">
        <f>Deals_Raw!W138</f>
        <v>0.21</v>
      </c>
      <c r="K135" t="str">
        <f>Deals_Raw!Z138</f>
        <v>Business Manager</v>
      </c>
      <c r="L135" t="str">
        <f t="shared" si="17"/>
        <v>yes</v>
      </c>
      <c r="M135" t="str">
        <f t="shared" si="18"/>
        <v>Pass</v>
      </c>
      <c r="O135">
        <f>Deals_Raw!AP138</f>
        <v>0.50543660059812667</v>
      </c>
      <c r="P135" t="str">
        <f t="shared" si="19"/>
        <v>False</v>
      </c>
      <c r="R135" t="str">
        <f>Deals_Raw!AF138</f>
        <v>Lost</v>
      </c>
      <c r="S135">
        <f t="shared" si="20"/>
        <v>0</v>
      </c>
      <c r="T135">
        <f>Deals_Raw!AM138</f>
        <v>363798.94</v>
      </c>
      <c r="U135">
        <f t="shared" si="21"/>
        <v>0</v>
      </c>
      <c r="V135">
        <f>Deals_Raw!AN138</f>
        <v>363798.94</v>
      </c>
      <c r="W135">
        <f t="shared" si="22"/>
        <v>0</v>
      </c>
      <c r="X135">
        <f>Deals_Raw!AO138</f>
        <v>183877.29953480186</v>
      </c>
      <c r="Y135">
        <f t="shared" si="23"/>
        <v>0</v>
      </c>
      <c r="Z135">
        <f>Deals_Raw!AP138</f>
        <v>0.50543660059812667</v>
      </c>
    </row>
    <row r="136" spans="1:26">
      <c r="A136" t="str">
        <f>Deals_Raw!A139</f>
        <v>D00156</v>
      </c>
      <c r="B136">
        <f>COUNTIF(Deals_Raw!$A$5:$A$643,A136)</f>
        <v>1</v>
      </c>
      <c r="C136" s="12" t="str">
        <f>Deals_Raw!E139</f>
        <v>CT00088</v>
      </c>
      <c r="E136">
        <f>Deals_Raw!AA139</f>
        <v>437434.10974016035</v>
      </c>
      <c r="F136">
        <f>ROUND(Deals_Raw!T139*(1-Deals_Raw!W139),2)</f>
        <v>437494.33</v>
      </c>
      <c r="G136">
        <f t="shared" si="16"/>
        <v>60.22025983966887</v>
      </c>
      <c r="I136">
        <f>Deals_Raw!V139</f>
        <v>7.2999999999999995E-2</v>
      </c>
      <c r="J136">
        <f>Deals_Raw!W139</f>
        <v>4.8000000000000001E-2</v>
      </c>
      <c r="K136" t="str">
        <f>Deals_Raw!Z139</f>
        <v>Sales Manager</v>
      </c>
      <c r="L136" t="str">
        <f t="shared" si="17"/>
        <v>yes</v>
      </c>
      <c r="M136" t="str">
        <f t="shared" si="18"/>
        <v>Pass</v>
      </c>
      <c r="O136">
        <f>Deals_Raw!AP139</f>
        <v>0.62448066836872551</v>
      </c>
      <c r="P136" t="str">
        <f t="shared" si="19"/>
        <v>False</v>
      </c>
      <c r="R136" t="str">
        <f>Deals_Raw!AF139</f>
        <v>Won</v>
      </c>
      <c r="S136">
        <f t="shared" si="20"/>
        <v>437494.33</v>
      </c>
      <c r="T136">
        <f>Deals_Raw!AM139</f>
        <v>437494.33</v>
      </c>
      <c r="U136">
        <f t="shared" si="21"/>
        <v>437494.33</v>
      </c>
      <c r="V136">
        <f>Deals_Raw!AN139</f>
        <v>437494.33</v>
      </c>
      <c r="W136">
        <f t="shared" si="22"/>
        <v>273206.75160592777</v>
      </c>
      <c r="X136">
        <f>Deals_Raw!AO139</f>
        <v>273206.75160592777</v>
      </c>
      <c r="Y136">
        <f t="shared" si="23"/>
        <v>0.62448066836872551</v>
      </c>
      <c r="Z136">
        <f>Deals_Raw!AP139</f>
        <v>0.62448066836872551</v>
      </c>
    </row>
    <row r="137" spans="1:26">
      <c r="A137" t="str">
        <f>Deals_Raw!A140</f>
        <v>D00157</v>
      </c>
      <c r="B137">
        <f>COUNTIF(Deals_Raw!$A$5:$A$643,A137)</f>
        <v>1</v>
      </c>
      <c r="C137" s="12" t="str">
        <f>Deals_Raw!E140</f>
        <v>CT00088</v>
      </c>
      <c r="E137">
        <f>Deals_Raw!AA140</f>
        <v>426996.61823163339</v>
      </c>
      <c r="F137">
        <f>ROUND(Deals_Raw!T140*(1-Deals_Raw!W140),2)</f>
        <v>426851.58</v>
      </c>
      <c r="G137">
        <f t="shared" si="16"/>
        <v>-145.03823163337074</v>
      </c>
      <c r="I137">
        <f>Deals_Raw!V140</f>
        <v>0.11700000000000001</v>
      </c>
      <c r="J137">
        <f>Deals_Raw!W140</f>
        <v>0.106</v>
      </c>
      <c r="K137" t="str">
        <f>Deals_Raw!Z140</f>
        <v>Pricing Analyst</v>
      </c>
      <c r="L137" t="str">
        <f t="shared" si="17"/>
        <v>yes</v>
      </c>
      <c r="M137" t="str">
        <f t="shared" si="18"/>
        <v>Pass</v>
      </c>
      <c r="O137">
        <f>Deals_Raw!AP140</f>
        <v>0.6337147280426606</v>
      </c>
      <c r="P137" t="str">
        <f t="shared" si="19"/>
        <v>False</v>
      </c>
      <c r="R137" t="str">
        <f>Deals_Raw!AF140</f>
        <v>Won</v>
      </c>
      <c r="S137">
        <f t="shared" si="20"/>
        <v>426851.58</v>
      </c>
      <c r="T137">
        <f>Deals_Raw!AM140</f>
        <v>426851.58</v>
      </c>
      <c r="U137">
        <f t="shared" si="21"/>
        <v>426851.58</v>
      </c>
      <c r="V137">
        <f>Deals_Raw!AN140</f>
        <v>426851.58</v>
      </c>
      <c r="W137">
        <f t="shared" si="22"/>
        <v>270502.13293427997</v>
      </c>
      <c r="X137">
        <f>Deals_Raw!AO140</f>
        <v>270502.13293427997</v>
      </c>
      <c r="Y137">
        <f t="shared" si="23"/>
        <v>0.6337147280426606</v>
      </c>
      <c r="Z137">
        <f>Deals_Raw!AP140</f>
        <v>0.6337147280426606</v>
      </c>
    </row>
    <row r="138" spans="1:26">
      <c r="A138" t="str">
        <f>Deals_Raw!A141</f>
        <v>D00158</v>
      </c>
      <c r="B138">
        <f>COUNTIF(Deals_Raw!$A$5:$A$643,A138)</f>
        <v>1</v>
      </c>
      <c r="C138" s="12" t="str">
        <f>Deals_Raw!E141</f>
        <v>CT00088</v>
      </c>
      <c r="E138">
        <f>Deals_Raw!AA141</f>
        <v>469779.60737337038</v>
      </c>
      <c r="F138">
        <f>ROUND(Deals_Raw!T141*(1-Deals_Raw!W141),2)</f>
        <v>469656.33</v>
      </c>
      <c r="G138">
        <f t="shared" si="16"/>
        <v>-123.27737337036524</v>
      </c>
      <c r="I138">
        <f>Deals_Raw!V141</f>
        <v>0.15</v>
      </c>
      <c r="J138">
        <f>Deals_Raw!W141</f>
        <v>0.12</v>
      </c>
      <c r="K138" t="str">
        <f>Deals_Raw!Z141</f>
        <v>Pricing Analyst</v>
      </c>
      <c r="L138" t="str">
        <f t="shared" si="17"/>
        <v>yes</v>
      </c>
      <c r="M138" t="str">
        <f t="shared" si="18"/>
        <v>Pass</v>
      </c>
      <c r="O138">
        <f>Deals_Raw!AP141</f>
        <v>0.59955775370639341</v>
      </c>
      <c r="P138" t="str">
        <f t="shared" si="19"/>
        <v>False</v>
      </c>
      <c r="R138" t="str">
        <f>Deals_Raw!AF141</f>
        <v>Won</v>
      </c>
      <c r="S138">
        <f t="shared" si="20"/>
        <v>469656.33</v>
      </c>
      <c r="T138">
        <f>Deals_Raw!AM141</f>
        <v>469656.33</v>
      </c>
      <c r="U138">
        <f t="shared" si="21"/>
        <v>469656.33</v>
      </c>
      <c r="V138">
        <f>Deals_Raw!AN141</f>
        <v>469656.33</v>
      </c>
      <c r="W138">
        <f t="shared" si="22"/>
        <v>281586.09422878863</v>
      </c>
      <c r="X138">
        <f>Deals_Raw!AO141</f>
        <v>281586.09422878863</v>
      </c>
      <c r="Y138">
        <f t="shared" si="23"/>
        <v>0.59955775370639341</v>
      </c>
      <c r="Z138">
        <f>Deals_Raw!AP141</f>
        <v>0.59955775370639341</v>
      </c>
    </row>
    <row r="139" spans="1:26">
      <c r="A139" t="str">
        <f>Deals_Raw!A142</f>
        <v>D00159</v>
      </c>
      <c r="B139">
        <f>COUNTIF(Deals_Raw!$A$5:$A$643,A139)</f>
        <v>1</v>
      </c>
      <c r="C139" s="12" t="str">
        <f>Deals_Raw!E142</f>
        <v>CT00088</v>
      </c>
      <c r="E139">
        <f>Deals_Raw!AA142</f>
        <v>475435.2548284799</v>
      </c>
      <c r="F139">
        <f>ROUND(Deals_Raw!T142*(1-Deals_Raw!W142),2)</f>
        <v>475357.93</v>
      </c>
      <c r="G139">
        <f t="shared" si="16"/>
        <v>-77.324828479904681</v>
      </c>
      <c r="I139">
        <f>Deals_Raw!V142</f>
        <v>0.153</v>
      </c>
      <c r="J139">
        <f>Deals_Raw!W142</f>
        <v>0.14199999999999999</v>
      </c>
      <c r="K139" t="str">
        <f>Deals_Raw!Z142</f>
        <v>Pricing Analyst</v>
      </c>
      <c r="L139" t="str">
        <f t="shared" si="17"/>
        <v>yes</v>
      </c>
      <c r="M139" t="str">
        <f t="shared" si="18"/>
        <v>Pass</v>
      </c>
      <c r="O139">
        <f>Deals_Raw!AP142</f>
        <v>0.62252121039482711</v>
      </c>
      <c r="P139" t="str">
        <f t="shared" si="19"/>
        <v>False</v>
      </c>
      <c r="R139" t="str">
        <f>Deals_Raw!AF142</f>
        <v>Won</v>
      </c>
      <c r="S139">
        <f t="shared" si="20"/>
        <v>475357.93</v>
      </c>
      <c r="T139">
        <f>Deals_Raw!AM142</f>
        <v>475357.93</v>
      </c>
      <c r="U139">
        <f t="shared" si="21"/>
        <v>475357.93</v>
      </c>
      <c r="V139">
        <f>Deals_Raw!AN142</f>
        <v>475357.93</v>
      </c>
      <c r="W139">
        <f t="shared" si="22"/>
        <v>295920.39395437948</v>
      </c>
      <c r="X139">
        <f>Deals_Raw!AO142</f>
        <v>295920.39395437948</v>
      </c>
      <c r="Y139">
        <f t="shared" si="23"/>
        <v>0.62252121039482711</v>
      </c>
      <c r="Z139">
        <f>Deals_Raw!AP142</f>
        <v>0.62252121039482711</v>
      </c>
    </row>
    <row r="140" spans="1:26">
      <c r="A140" t="str">
        <f>Deals_Raw!A143</f>
        <v>D00160</v>
      </c>
      <c r="B140">
        <f>COUNTIF(Deals_Raw!$A$5:$A$643,A140)</f>
        <v>1</v>
      </c>
      <c r="C140" s="12" t="str">
        <f>Deals_Raw!E143</f>
        <v>CT00089</v>
      </c>
      <c r="E140">
        <f>Deals_Raw!AA143</f>
        <v>79436.132357132883</v>
      </c>
      <c r="F140">
        <f>ROUND(Deals_Raw!T143*(1-Deals_Raw!W143),2)</f>
        <v>79459.95</v>
      </c>
      <c r="G140">
        <f t="shared" si="16"/>
        <v>23.817642867114046</v>
      </c>
      <c r="I140">
        <f>Deals_Raw!V143</f>
        <v>0.113</v>
      </c>
      <c r="J140">
        <f>Deals_Raw!W143</f>
        <v>0.11</v>
      </c>
      <c r="K140" t="str">
        <f>Deals_Raw!Z143</f>
        <v>Pricing Analyst</v>
      </c>
      <c r="L140" t="str">
        <f t="shared" si="17"/>
        <v>yes</v>
      </c>
      <c r="M140" t="str">
        <f t="shared" si="18"/>
        <v>Pass</v>
      </c>
      <c r="O140">
        <f>Deals_Raw!AP143</f>
        <v>0.57343558602847899</v>
      </c>
      <c r="P140" t="str">
        <f t="shared" si="19"/>
        <v>False</v>
      </c>
      <c r="R140" t="str">
        <f>Deals_Raw!AF143</f>
        <v>Won</v>
      </c>
      <c r="S140">
        <f t="shared" si="20"/>
        <v>79459.95</v>
      </c>
      <c r="T140">
        <f>Deals_Raw!AM143</f>
        <v>79459.95</v>
      </c>
      <c r="U140">
        <f t="shared" si="21"/>
        <v>158919.9</v>
      </c>
      <c r="V140">
        <f>Deals_Raw!AN143</f>
        <v>158919.9</v>
      </c>
      <c r="W140">
        <f t="shared" si="22"/>
        <v>45565.16299404364</v>
      </c>
      <c r="X140">
        <f>Deals_Raw!AO143</f>
        <v>45565.16299404364</v>
      </c>
      <c r="Y140">
        <f t="shared" si="23"/>
        <v>0.57343558602847899</v>
      </c>
      <c r="Z140">
        <f>Deals_Raw!AP143</f>
        <v>0.57343558602847899</v>
      </c>
    </row>
    <row r="141" spans="1:26">
      <c r="A141" t="str">
        <f>Deals_Raw!A144</f>
        <v>D00162</v>
      </c>
      <c r="B141">
        <f>COUNTIF(Deals_Raw!$A$5:$A$643,A141)</f>
        <v>1</v>
      </c>
      <c r="C141" s="12" t="str">
        <f>Deals_Raw!E144</f>
        <v>CT00090</v>
      </c>
      <c r="E141">
        <f>Deals_Raw!AA144</f>
        <v>52839.142887158167</v>
      </c>
      <c r="F141">
        <f>ROUND(Deals_Raw!T144*(1-Deals_Raw!W144),2)</f>
        <v>52866.69</v>
      </c>
      <c r="G141">
        <f t="shared" si="16"/>
        <v>27.547112841835769</v>
      </c>
      <c r="I141">
        <f>Deals_Raw!V144</f>
        <v>0.17799999999999999</v>
      </c>
      <c r="J141">
        <f>Deals_Raw!W144</f>
        <v>0.17399999999999999</v>
      </c>
      <c r="K141" t="str">
        <f>Deals_Raw!Z144</f>
        <v>Pricing Analyst</v>
      </c>
      <c r="L141" t="str">
        <f t="shared" si="17"/>
        <v>yes</v>
      </c>
      <c r="M141" t="str">
        <f t="shared" si="18"/>
        <v>Pass</v>
      </c>
      <c r="O141">
        <f>Deals_Raw!AP144</f>
        <v>0.60200956184815335</v>
      </c>
      <c r="P141" t="str">
        <f t="shared" si="19"/>
        <v>False</v>
      </c>
      <c r="R141" t="str">
        <f>Deals_Raw!AF144</f>
        <v>Won</v>
      </c>
      <c r="S141">
        <f t="shared" si="20"/>
        <v>52866.69</v>
      </c>
      <c r="T141">
        <f>Deals_Raw!AM144</f>
        <v>52866.69</v>
      </c>
      <c r="U141">
        <f t="shared" si="21"/>
        <v>52866.69</v>
      </c>
      <c r="V141">
        <f>Deals_Raw!AN144</f>
        <v>52866.69</v>
      </c>
      <c r="W141">
        <f t="shared" si="22"/>
        <v>31826.25288326215</v>
      </c>
      <c r="X141">
        <f>Deals_Raw!AO144</f>
        <v>31826.25288326215</v>
      </c>
      <c r="Y141">
        <f t="shared" si="23"/>
        <v>0.60200956184815335</v>
      </c>
      <c r="Z141">
        <f>Deals_Raw!AP144</f>
        <v>0.60200956184815335</v>
      </c>
    </row>
    <row r="142" spans="1:26">
      <c r="A142" t="str">
        <f>Deals_Raw!A145</f>
        <v>D00163</v>
      </c>
      <c r="B142">
        <f>COUNTIF(Deals_Raw!$A$5:$A$643,A142)</f>
        <v>1</v>
      </c>
      <c r="C142" s="12" t="str">
        <f>Deals_Raw!E145</f>
        <v>CT00090</v>
      </c>
      <c r="E142">
        <f>Deals_Raw!AA145</f>
        <v>57781.338392621685</v>
      </c>
      <c r="F142">
        <f>ROUND(Deals_Raw!T145*(1-Deals_Raw!W145),2)</f>
        <v>57796.72</v>
      </c>
      <c r="G142">
        <f t="shared" si="16"/>
        <v>15.381607378316403</v>
      </c>
      <c r="I142">
        <f>Deals_Raw!V145</f>
        <v>0.17</v>
      </c>
      <c r="J142">
        <f>Deals_Raw!W145</f>
        <v>0.158</v>
      </c>
      <c r="K142" t="str">
        <f>Deals_Raw!Z145</f>
        <v>Pricing Analyst</v>
      </c>
      <c r="L142" t="str">
        <f t="shared" si="17"/>
        <v>yes</v>
      </c>
      <c r="M142" t="str">
        <f t="shared" si="18"/>
        <v>Pass</v>
      </c>
      <c r="O142">
        <f>Deals_Raw!AP145</f>
        <v>0.66554101845683122</v>
      </c>
      <c r="P142" t="str">
        <f t="shared" si="19"/>
        <v>False</v>
      </c>
      <c r="R142" t="str">
        <f>Deals_Raw!AF145</f>
        <v>Won</v>
      </c>
      <c r="S142">
        <f t="shared" si="20"/>
        <v>57796.72</v>
      </c>
      <c r="T142">
        <f>Deals_Raw!AM145</f>
        <v>57796.72</v>
      </c>
      <c r="U142">
        <f t="shared" si="21"/>
        <v>57796.72</v>
      </c>
      <c r="V142">
        <f>Deals_Raw!AN145</f>
        <v>57796.72</v>
      </c>
      <c r="W142">
        <f t="shared" si="22"/>
        <v>38466.08789226431</v>
      </c>
      <c r="X142">
        <f>Deals_Raw!AO145</f>
        <v>38466.08789226431</v>
      </c>
      <c r="Y142">
        <f t="shared" si="23"/>
        <v>0.66554101845683122</v>
      </c>
      <c r="Z142">
        <f>Deals_Raw!AP145</f>
        <v>0.66554101845683122</v>
      </c>
    </row>
    <row r="143" spans="1:26">
      <c r="A143" t="str">
        <f>Deals_Raw!A146</f>
        <v>D00164</v>
      </c>
      <c r="B143">
        <f>COUNTIF(Deals_Raw!$A$5:$A$643,A143)</f>
        <v>1</v>
      </c>
      <c r="C143" s="12" t="str">
        <f>Deals_Raw!E146</f>
        <v>CT00091</v>
      </c>
      <c r="E143">
        <f>Deals_Raw!AA146</f>
        <v>333273.69920743624</v>
      </c>
      <c r="F143">
        <f>ROUND(Deals_Raw!T146*(1-Deals_Raw!W146),2)</f>
        <v>333446.73</v>
      </c>
      <c r="G143">
        <f t="shared" si="16"/>
        <v>173.03079256374622</v>
      </c>
      <c r="I143">
        <f>Deals_Raw!V146</f>
        <v>0.17</v>
      </c>
      <c r="J143">
        <f>Deals_Raw!W146</f>
        <v>0.16200000000000001</v>
      </c>
      <c r="K143" t="str">
        <f>Deals_Raw!Z146</f>
        <v>Pricing Analyst</v>
      </c>
      <c r="L143" t="str">
        <f t="shared" si="17"/>
        <v>yes</v>
      </c>
      <c r="M143" t="str">
        <f t="shared" si="18"/>
        <v>Pass</v>
      </c>
      <c r="O143">
        <f>Deals_Raw!AP146</f>
        <v>0.53573431362091273</v>
      </c>
      <c r="P143" t="str">
        <f t="shared" si="19"/>
        <v>False</v>
      </c>
      <c r="R143" t="str">
        <f>Deals_Raw!AF146</f>
        <v>Won</v>
      </c>
      <c r="S143">
        <f t="shared" si="20"/>
        <v>333446.73</v>
      </c>
      <c r="T143">
        <f>Deals_Raw!AM146</f>
        <v>333446.73</v>
      </c>
      <c r="U143">
        <f t="shared" si="21"/>
        <v>333446.73</v>
      </c>
      <c r="V143">
        <f>Deals_Raw!AN146</f>
        <v>333446.73</v>
      </c>
      <c r="W143">
        <f t="shared" si="22"/>
        <v>178638.85502568781</v>
      </c>
      <c r="X143">
        <f>Deals_Raw!AO146</f>
        <v>178638.85502568781</v>
      </c>
      <c r="Y143">
        <f t="shared" si="23"/>
        <v>0.53573431362091273</v>
      </c>
      <c r="Z143">
        <f>Deals_Raw!AP146</f>
        <v>0.53573431362091273</v>
      </c>
    </row>
    <row r="144" spans="1:26">
      <c r="A144" t="str">
        <f>Deals_Raw!A147</f>
        <v>D00165</v>
      </c>
      <c r="B144">
        <f>COUNTIF(Deals_Raw!$A$5:$A$643,A144)</f>
        <v>1</v>
      </c>
      <c r="C144" s="12" t="str">
        <f>Deals_Raw!E147</f>
        <v>CT00091</v>
      </c>
      <c r="E144">
        <f>Deals_Raw!AA147</f>
        <v>352577.77873484162</v>
      </c>
      <c r="F144">
        <f>ROUND(Deals_Raw!T147*(1-Deals_Raw!W147),2)</f>
        <v>352639.13</v>
      </c>
      <c r="G144">
        <f t="shared" si="16"/>
        <v>61.351265158387832</v>
      </c>
      <c r="I144">
        <f>Deals_Raw!V147</f>
        <v>0.20100000000000001</v>
      </c>
      <c r="J144">
        <f>Deals_Raw!W147</f>
        <v>0.16700000000000001</v>
      </c>
      <c r="K144" t="str">
        <f>Deals_Raw!Z147</f>
        <v>Pricing Analyst</v>
      </c>
      <c r="L144" t="str">
        <f t="shared" si="17"/>
        <v>yes</v>
      </c>
      <c r="M144" t="str">
        <f t="shared" si="18"/>
        <v>Pass</v>
      </c>
      <c r="O144">
        <f>Deals_Raw!AP147</f>
        <v>0.58622237220130158</v>
      </c>
      <c r="P144" t="str">
        <f t="shared" si="19"/>
        <v>False</v>
      </c>
      <c r="R144" t="str">
        <f>Deals_Raw!AF147</f>
        <v>Won</v>
      </c>
      <c r="S144">
        <f t="shared" si="20"/>
        <v>352639.13</v>
      </c>
      <c r="T144">
        <f>Deals_Raw!AM147</f>
        <v>352639.13</v>
      </c>
      <c r="U144">
        <f t="shared" si="21"/>
        <v>352639.13</v>
      </c>
      <c r="V144">
        <f>Deals_Raw!AN147</f>
        <v>352639.13</v>
      </c>
      <c r="W144">
        <f t="shared" si="22"/>
        <v>206724.94731960318</v>
      </c>
      <c r="X144">
        <f>Deals_Raw!AO147</f>
        <v>206724.94731960318</v>
      </c>
      <c r="Y144">
        <f t="shared" si="23"/>
        <v>0.58622237220130158</v>
      </c>
      <c r="Z144">
        <f>Deals_Raw!AP147</f>
        <v>0.58622237220130158</v>
      </c>
    </row>
    <row r="145" spans="1:26">
      <c r="A145" t="str">
        <f>Deals_Raw!A148</f>
        <v>D00166</v>
      </c>
      <c r="B145">
        <f>COUNTIF(Deals_Raw!$A$5:$A$643,A145)</f>
        <v>1</v>
      </c>
      <c r="C145" s="12" t="str">
        <f>Deals_Raw!E148</f>
        <v>CT00092</v>
      </c>
      <c r="E145">
        <f>Deals_Raw!AA148</f>
        <v>253600.26197138737</v>
      </c>
      <c r="F145">
        <f>ROUND(Deals_Raw!T148*(1-Deals_Raw!W148),2)</f>
        <v>253669.29</v>
      </c>
      <c r="G145">
        <f t="shared" si="16"/>
        <v>69.028028612636263</v>
      </c>
      <c r="I145">
        <f>Deals_Raw!V148</f>
        <v>0.16</v>
      </c>
      <c r="J145">
        <f>Deals_Raw!W148</f>
        <v>0.112</v>
      </c>
      <c r="K145" t="str">
        <f>Deals_Raw!Z148</f>
        <v>Pricing Analyst</v>
      </c>
      <c r="L145" t="str">
        <f t="shared" si="17"/>
        <v>yes</v>
      </c>
      <c r="M145" t="str">
        <f t="shared" si="18"/>
        <v>Pass</v>
      </c>
      <c r="O145">
        <f>Deals_Raw!AP148</f>
        <v>0.58774172992429208</v>
      </c>
      <c r="P145" t="str">
        <f t="shared" si="19"/>
        <v>False</v>
      </c>
      <c r="R145" t="str">
        <f>Deals_Raw!AF148</f>
        <v>Won</v>
      </c>
      <c r="S145">
        <f t="shared" si="20"/>
        <v>253669.29</v>
      </c>
      <c r="T145">
        <f>Deals_Raw!AM148</f>
        <v>253669.29</v>
      </c>
      <c r="U145">
        <f t="shared" si="21"/>
        <v>253669.29</v>
      </c>
      <c r="V145">
        <f>Deals_Raw!AN148</f>
        <v>253669.29</v>
      </c>
      <c r="W145">
        <f t="shared" si="22"/>
        <v>149092.02733326692</v>
      </c>
      <c r="X145">
        <f>Deals_Raw!AO148</f>
        <v>149092.02733326692</v>
      </c>
      <c r="Y145">
        <f t="shared" si="23"/>
        <v>0.58774172992429208</v>
      </c>
      <c r="Z145">
        <f>Deals_Raw!AP148</f>
        <v>0.58774172992429208</v>
      </c>
    </row>
    <row r="146" spans="1:26">
      <c r="A146" t="str">
        <f>Deals_Raw!A149</f>
        <v>D00167</v>
      </c>
      <c r="B146">
        <f>COUNTIF(Deals_Raw!$A$5:$A$643,A146)</f>
        <v>1</v>
      </c>
      <c r="C146" s="12" t="str">
        <f>Deals_Raw!E149</f>
        <v>CT00092</v>
      </c>
      <c r="E146">
        <f>Deals_Raw!AA149</f>
        <v>329405.46771228081</v>
      </c>
      <c r="F146">
        <f>ROUND(Deals_Raw!T149*(1-Deals_Raw!W149),2)</f>
        <v>329481.87</v>
      </c>
      <c r="G146">
        <f t="shared" si="16"/>
        <v>76.402287719189189</v>
      </c>
      <c r="I146">
        <f>Deals_Raw!V149</f>
        <v>8.7999999999999995E-2</v>
      </c>
      <c r="J146">
        <f>Deals_Raw!W149</f>
        <v>6.8000000000000005E-2</v>
      </c>
      <c r="K146" t="str">
        <f>Deals_Raw!Z149</f>
        <v>Sales Manager</v>
      </c>
      <c r="L146" t="str">
        <f t="shared" si="17"/>
        <v>yes</v>
      </c>
      <c r="M146" t="str">
        <f t="shared" si="18"/>
        <v>Pass</v>
      </c>
      <c r="O146">
        <f>Deals_Raw!AP149</f>
        <v>0.65999761217147812</v>
      </c>
      <c r="P146" t="str">
        <f t="shared" si="19"/>
        <v>False</v>
      </c>
      <c r="R146" t="str">
        <f>Deals_Raw!AF149</f>
        <v>Lost</v>
      </c>
      <c r="S146">
        <f t="shared" si="20"/>
        <v>0</v>
      </c>
      <c r="T146">
        <f>Deals_Raw!AM149</f>
        <v>329481.87</v>
      </c>
      <c r="U146">
        <f t="shared" si="21"/>
        <v>0</v>
      </c>
      <c r="V146">
        <f>Deals_Raw!AN149</f>
        <v>329481.87</v>
      </c>
      <c r="W146">
        <f t="shared" si="22"/>
        <v>0</v>
      </c>
      <c r="X146">
        <f>Deals_Raw!AO149</f>
        <v>217457.24745379336</v>
      </c>
      <c r="Y146">
        <f t="shared" si="23"/>
        <v>0</v>
      </c>
      <c r="Z146">
        <f>Deals_Raw!AP149</f>
        <v>0.65999761217147812</v>
      </c>
    </row>
    <row r="147" spans="1:26">
      <c r="A147" t="str">
        <f>Deals_Raw!A150</f>
        <v>D00168</v>
      </c>
      <c r="B147">
        <f>COUNTIF(Deals_Raw!$A$5:$A$643,A147)</f>
        <v>1</v>
      </c>
      <c r="C147" s="12" t="str">
        <f>Deals_Raw!E150</f>
        <v>CT00092</v>
      </c>
      <c r="E147">
        <f>Deals_Raw!AA150</f>
        <v>243840.33623266581</v>
      </c>
      <c r="F147">
        <f>ROUND(Deals_Raw!T150*(1-Deals_Raw!W150),2)</f>
        <v>243809.46</v>
      </c>
      <c r="G147">
        <f t="shared" si="16"/>
        <v>-30.876232665817952</v>
      </c>
      <c r="I147">
        <f>Deals_Raw!V150</f>
        <v>0.17699999999999999</v>
      </c>
      <c r="J147">
        <f>Deals_Raw!W150</f>
        <v>0.17100000000000001</v>
      </c>
      <c r="K147" t="str">
        <f>Deals_Raw!Z150</f>
        <v>Pricing Analyst</v>
      </c>
      <c r="L147" t="str">
        <f t="shared" si="17"/>
        <v>yes</v>
      </c>
      <c r="M147" t="str">
        <f t="shared" si="18"/>
        <v>Pass</v>
      </c>
      <c r="O147">
        <f>Deals_Raw!AP150</f>
        <v>0.64472168234780258</v>
      </c>
      <c r="P147" t="str">
        <f t="shared" si="19"/>
        <v>False</v>
      </c>
      <c r="R147" t="str">
        <f>Deals_Raw!AF150</f>
        <v>Won</v>
      </c>
      <c r="S147">
        <f t="shared" si="20"/>
        <v>243809.46</v>
      </c>
      <c r="T147">
        <f>Deals_Raw!AM150</f>
        <v>243809.46</v>
      </c>
      <c r="U147">
        <f t="shared" si="21"/>
        <v>243809.46</v>
      </c>
      <c r="V147">
        <f>Deals_Raw!AN150</f>
        <v>243809.46</v>
      </c>
      <c r="W147">
        <f t="shared" si="22"/>
        <v>157189.24522350926</v>
      </c>
      <c r="X147">
        <f>Deals_Raw!AO150</f>
        <v>157189.24522350926</v>
      </c>
      <c r="Y147">
        <f t="shared" si="23"/>
        <v>0.64472168234780258</v>
      </c>
      <c r="Z147">
        <f>Deals_Raw!AP150</f>
        <v>0.64472168234780258</v>
      </c>
    </row>
    <row r="148" spans="1:26">
      <c r="A148" t="str">
        <f>Deals_Raw!A151</f>
        <v>D00169</v>
      </c>
      <c r="B148">
        <f>COUNTIF(Deals_Raw!$A$5:$A$643,A148)</f>
        <v>1</v>
      </c>
      <c r="C148" s="12" t="str">
        <f>Deals_Raw!E151</f>
        <v>CT00093</v>
      </c>
      <c r="E148">
        <f>Deals_Raw!AA151</f>
        <v>150687.1043670557</v>
      </c>
      <c r="F148">
        <f>ROUND(Deals_Raw!T151*(1-Deals_Raw!W151),2)</f>
        <v>150671.71</v>
      </c>
      <c r="G148">
        <f t="shared" si="16"/>
        <v>-15.394367055705516</v>
      </c>
      <c r="I148">
        <f>Deals_Raw!V151</f>
        <v>0.17499999999999999</v>
      </c>
      <c r="J148">
        <f>Deals_Raw!W151</f>
        <v>0.14599999999999999</v>
      </c>
      <c r="K148" t="str">
        <f>Deals_Raw!Z151</f>
        <v>Pricing Analyst</v>
      </c>
      <c r="L148" t="str">
        <f t="shared" si="17"/>
        <v>yes</v>
      </c>
      <c r="M148" t="str">
        <f t="shared" si="18"/>
        <v>Pass</v>
      </c>
      <c r="O148">
        <f>Deals_Raw!AP151</f>
        <v>0.54998370050314016</v>
      </c>
      <c r="P148" t="str">
        <f t="shared" si="19"/>
        <v>False</v>
      </c>
      <c r="R148" t="str">
        <f>Deals_Raw!AF151</f>
        <v>Lost</v>
      </c>
      <c r="S148">
        <f t="shared" si="20"/>
        <v>0</v>
      </c>
      <c r="T148">
        <f>Deals_Raw!AM151</f>
        <v>150671.71</v>
      </c>
      <c r="U148">
        <f t="shared" si="21"/>
        <v>0</v>
      </c>
      <c r="V148">
        <f>Deals_Raw!AN151</f>
        <v>301343.42</v>
      </c>
      <c r="W148">
        <f t="shared" si="22"/>
        <v>0</v>
      </c>
      <c r="X148">
        <f>Deals_Raw!AO151</f>
        <v>82866.984626935984</v>
      </c>
      <c r="Y148">
        <f t="shared" si="23"/>
        <v>0</v>
      </c>
      <c r="Z148">
        <f>Deals_Raw!AP151</f>
        <v>0.54998370050314016</v>
      </c>
    </row>
    <row r="149" spans="1:26">
      <c r="A149" t="str">
        <f>Deals_Raw!A152</f>
        <v>D00170</v>
      </c>
      <c r="B149">
        <f>COUNTIF(Deals_Raw!$A$5:$A$643,A149)</f>
        <v>1</v>
      </c>
      <c r="C149" s="12" t="str">
        <f>Deals_Raw!E152</f>
        <v>CT00094</v>
      </c>
      <c r="E149">
        <f>Deals_Raw!AA152</f>
        <v>273509.61284964456</v>
      </c>
      <c r="F149">
        <f>ROUND(Deals_Raw!T152*(1-Deals_Raw!W152),2)</f>
        <v>273565.68</v>
      </c>
      <c r="G149">
        <f t="shared" si="16"/>
        <v>56.067150355433114</v>
      </c>
      <c r="I149">
        <f>Deals_Raw!V152</f>
        <v>0.16800000000000001</v>
      </c>
      <c r="J149">
        <f>Deals_Raw!W152</f>
        <v>0.153</v>
      </c>
      <c r="K149" t="str">
        <f>Deals_Raw!Z152</f>
        <v>Pricing Analyst</v>
      </c>
      <c r="L149" t="str">
        <f t="shared" si="17"/>
        <v>yes</v>
      </c>
      <c r="M149" t="str">
        <f t="shared" si="18"/>
        <v>Pass</v>
      </c>
      <c r="O149">
        <f>Deals_Raw!AP152</f>
        <v>0.53560386984332287</v>
      </c>
      <c r="P149" t="str">
        <f t="shared" si="19"/>
        <v>False</v>
      </c>
      <c r="R149" t="str">
        <f>Deals_Raw!AF152</f>
        <v>Lost</v>
      </c>
      <c r="S149">
        <f t="shared" si="20"/>
        <v>0</v>
      </c>
      <c r="T149">
        <f>Deals_Raw!AM152</f>
        <v>273565.68</v>
      </c>
      <c r="U149">
        <f t="shared" si="21"/>
        <v>0</v>
      </c>
      <c r="V149">
        <f>Deals_Raw!AN152</f>
        <v>547131.36</v>
      </c>
      <c r="W149">
        <f t="shared" si="22"/>
        <v>0</v>
      </c>
      <c r="X149">
        <f>Deals_Raw!AO152</f>
        <v>146522.83686432012</v>
      </c>
      <c r="Y149">
        <f t="shared" si="23"/>
        <v>0</v>
      </c>
      <c r="Z149">
        <f>Deals_Raw!AP152</f>
        <v>0.53560386984332287</v>
      </c>
    </row>
    <row r="150" spans="1:26">
      <c r="A150" t="str">
        <f>Deals_Raw!A153</f>
        <v>D00171</v>
      </c>
      <c r="B150">
        <f>COUNTIF(Deals_Raw!$A$5:$A$643,A150)</f>
        <v>1</v>
      </c>
      <c r="C150" s="12" t="str">
        <f>Deals_Raw!E153</f>
        <v>CT00094</v>
      </c>
      <c r="E150">
        <f>Deals_Raw!AA153</f>
        <v>257533.37486965401</v>
      </c>
      <c r="F150">
        <f>ROUND(Deals_Raw!T153*(1-Deals_Raw!W153),2)</f>
        <v>257416.58</v>
      </c>
      <c r="G150">
        <f t="shared" si="16"/>
        <v>-116.79486965402612</v>
      </c>
      <c r="I150">
        <f>Deals_Raw!V153</f>
        <v>0.22</v>
      </c>
      <c r="J150">
        <f>Deals_Raw!W153</f>
        <v>0.20300000000000001</v>
      </c>
      <c r="K150" t="str">
        <f>Deals_Raw!Z153</f>
        <v>Business Manager</v>
      </c>
      <c r="L150" t="str">
        <f t="shared" si="17"/>
        <v>yes</v>
      </c>
      <c r="M150" t="str">
        <f t="shared" si="18"/>
        <v>Pass</v>
      </c>
      <c r="O150">
        <f>Deals_Raw!AP153</f>
        <v>0.46937507042554305</v>
      </c>
      <c r="P150" t="str">
        <f t="shared" si="19"/>
        <v>False</v>
      </c>
      <c r="R150" t="str">
        <f>Deals_Raw!AF153</f>
        <v>Won</v>
      </c>
      <c r="S150">
        <f t="shared" si="20"/>
        <v>257416.58</v>
      </c>
      <c r="T150">
        <f>Deals_Raw!AM153</f>
        <v>257416.58</v>
      </c>
      <c r="U150">
        <f t="shared" si="21"/>
        <v>514833.16</v>
      </c>
      <c r="V150">
        <f>Deals_Raw!AN153</f>
        <v>514833.16</v>
      </c>
      <c r="W150">
        <f t="shared" si="22"/>
        <v>120824.92536620243</v>
      </c>
      <c r="X150">
        <f>Deals_Raw!AO153</f>
        <v>120824.92536620243</v>
      </c>
      <c r="Y150">
        <f t="shared" si="23"/>
        <v>0.46937507042554305</v>
      </c>
      <c r="Z150">
        <f>Deals_Raw!AP153</f>
        <v>0.46937507042554305</v>
      </c>
    </row>
    <row r="151" spans="1:26">
      <c r="A151" t="str">
        <f>Deals_Raw!A154</f>
        <v>D00172</v>
      </c>
      <c r="B151">
        <f>COUNTIF(Deals_Raw!$A$5:$A$643,A151)</f>
        <v>1</v>
      </c>
      <c r="C151" s="12" t="str">
        <f>Deals_Raw!E154</f>
        <v>CT00095</v>
      </c>
      <c r="E151">
        <f>Deals_Raw!AA154</f>
        <v>202295.86189575359</v>
      </c>
      <c r="F151">
        <f>ROUND(Deals_Raw!T154*(1-Deals_Raw!W154),2)</f>
        <v>202343.14</v>
      </c>
      <c r="G151">
        <f t="shared" si="16"/>
        <v>47.278104246419389</v>
      </c>
      <c r="I151">
        <f>Deals_Raw!V154</f>
        <v>0.161</v>
      </c>
      <c r="J151">
        <f>Deals_Raw!W154</f>
        <v>9.9000000000000005E-2</v>
      </c>
      <c r="K151" t="str">
        <f>Deals_Raw!Z154</f>
        <v>Sales Manager</v>
      </c>
      <c r="L151" t="str">
        <f t="shared" si="17"/>
        <v>yes</v>
      </c>
      <c r="M151" t="str">
        <f t="shared" si="18"/>
        <v>Pass</v>
      </c>
      <c r="O151">
        <f>Deals_Raw!AP154</f>
        <v>0.61408746560173755</v>
      </c>
      <c r="P151" t="str">
        <f t="shared" si="19"/>
        <v>False</v>
      </c>
      <c r="R151" t="str">
        <f>Deals_Raw!AF154</f>
        <v>Lost</v>
      </c>
      <c r="S151">
        <f t="shared" si="20"/>
        <v>0</v>
      </c>
      <c r="T151">
        <f>Deals_Raw!AM154</f>
        <v>202343.14</v>
      </c>
      <c r="U151">
        <f t="shared" si="21"/>
        <v>0</v>
      </c>
      <c r="V151">
        <f>Deals_Raw!AN154</f>
        <v>607029.42000000004</v>
      </c>
      <c r="W151">
        <f t="shared" si="22"/>
        <v>0</v>
      </c>
      <c r="X151">
        <f>Deals_Raw!AO154</f>
        <v>124256.38602449757</v>
      </c>
      <c r="Y151">
        <f t="shared" si="23"/>
        <v>0</v>
      </c>
      <c r="Z151">
        <f>Deals_Raw!AP154</f>
        <v>0.61408746560173755</v>
      </c>
    </row>
    <row r="152" spans="1:26">
      <c r="A152" t="str">
        <f>Deals_Raw!A155</f>
        <v>D00173</v>
      </c>
      <c r="B152">
        <f>COUNTIF(Deals_Raw!$A$5:$A$643,A152)</f>
        <v>1</v>
      </c>
      <c r="C152" s="12" t="str">
        <f>Deals_Raw!E155</f>
        <v>CT00096</v>
      </c>
      <c r="E152">
        <f>Deals_Raw!AA155</f>
        <v>406200.21966924454</v>
      </c>
      <c r="F152">
        <f>ROUND(Deals_Raw!T155*(1-Deals_Raw!W155),2)</f>
        <v>406123.66</v>
      </c>
      <c r="G152">
        <f t="shared" si="16"/>
        <v>-76.559669244568795</v>
      </c>
      <c r="I152">
        <f>Deals_Raw!V155</f>
        <v>0.152</v>
      </c>
      <c r="J152">
        <f>Deals_Raw!W155</f>
        <v>0.13200000000000001</v>
      </c>
      <c r="K152" t="str">
        <f>Deals_Raw!Z155</f>
        <v>Pricing Analyst</v>
      </c>
      <c r="L152" t="str">
        <f t="shared" si="17"/>
        <v>yes</v>
      </c>
      <c r="M152" t="str">
        <f t="shared" si="18"/>
        <v>Pass</v>
      </c>
      <c r="O152">
        <f>Deals_Raw!AP155</f>
        <v>0.52701314567913315</v>
      </c>
      <c r="P152" t="str">
        <f t="shared" si="19"/>
        <v>False</v>
      </c>
      <c r="R152" t="str">
        <f>Deals_Raw!AF155</f>
        <v>Lost</v>
      </c>
      <c r="S152">
        <f t="shared" si="20"/>
        <v>0</v>
      </c>
      <c r="T152">
        <f>Deals_Raw!AM155</f>
        <v>406123.66</v>
      </c>
      <c r="U152">
        <f t="shared" si="21"/>
        <v>0</v>
      </c>
      <c r="V152">
        <f>Deals_Raw!AN155</f>
        <v>406123.66</v>
      </c>
      <c r="W152">
        <f t="shared" si="22"/>
        <v>0</v>
      </c>
      <c r="X152">
        <f>Deals_Raw!AO155</f>
        <v>214032.50759132273</v>
      </c>
      <c r="Y152">
        <f t="shared" si="23"/>
        <v>0</v>
      </c>
      <c r="Z152">
        <f>Deals_Raw!AP155</f>
        <v>0.52701314567913315</v>
      </c>
    </row>
    <row r="153" spans="1:26">
      <c r="A153" t="str">
        <f>Deals_Raw!A156</f>
        <v>D00176</v>
      </c>
      <c r="B153">
        <f>COUNTIF(Deals_Raw!$A$5:$A$643,A153)</f>
        <v>1</v>
      </c>
      <c r="C153" s="12" t="str">
        <f>Deals_Raw!E156</f>
        <v>CT00097</v>
      </c>
      <c r="E153">
        <f>Deals_Raw!AA156</f>
        <v>90995.75390030726</v>
      </c>
      <c r="F153">
        <f>ROUND(Deals_Raw!T156*(1-Deals_Raw!W156),2)</f>
        <v>91022.03</v>
      </c>
      <c r="G153">
        <f t="shared" si="16"/>
        <v>26.276099692739081</v>
      </c>
      <c r="I153">
        <f>Deals_Raw!V156</f>
        <v>0.09</v>
      </c>
      <c r="J153">
        <f>Deals_Raw!W156</f>
        <v>7.9000000000000001E-2</v>
      </c>
      <c r="K153" t="str">
        <f>Deals_Raw!Z156</f>
        <v>Sales Manager</v>
      </c>
      <c r="L153" t="str">
        <f t="shared" si="17"/>
        <v>yes</v>
      </c>
      <c r="M153" t="str">
        <f t="shared" si="18"/>
        <v>Pass</v>
      </c>
      <c r="O153">
        <f>Deals_Raw!AP156</f>
        <v>0.59245250473419619</v>
      </c>
      <c r="P153" t="str">
        <f t="shared" si="19"/>
        <v>False</v>
      </c>
      <c r="R153" t="str">
        <f>Deals_Raw!AF156</f>
        <v>Won</v>
      </c>
      <c r="S153">
        <f t="shared" si="20"/>
        <v>91022.03</v>
      </c>
      <c r="T153">
        <f>Deals_Raw!AM156</f>
        <v>91022.03</v>
      </c>
      <c r="U153">
        <f t="shared" si="21"/>
        <v>91022.03</v>
      </c>
      <c r="V153">
        <f>Deals_Raw!AN156</f>
        <v>91022.03</v>
      </c>
      <c r="W153">
        <f t="shared" si="22"/>
        <v>53926.229659491146</v>
      </c>
      <c r="X153">
        <f>Deals_Raw!AO156</f>
        <v>53926.229659491146</v>
      </c>
      <c r="Y153">
        <f t="shared" si="23"/>
        <v>0.59245250473419619</v>
      </c>
      <c r="Z153">
        <f>Deals_Raw!AP156</f>
        <v>0.59245250473419619</v>
      </c>
    </row>
    <row r="154" spans="1:26">
      <c r="A154" t="str">
        <f>Deals_Raw!A157</f>
        <v>D00177</v>
      </c>
      <c r="B154">
        <f>COUNTIF(Deals_Raw!$A$5:$A$643,A154)</f>
        <v>1</v>
      </c>
      <c r="C154" s="12" t="str">
        <f>Deals_Raw!E157</f>
        <v>CT00097</v>
      </c>
      <c r="E154">
        <f>Deals_Raw!AA157</f>
        <v>83478.988731028498</v>
      </c>
      <c r="F154">
        <f>ROUND(Deals_Raw!T157*(1-Deals_Raw!W157),2)</f>
        <v>83458.17</v>
      </c>
      <c r="G154">
        <f t="shared" si="16"/>
        <v>-20.818731028499315</v>
      </c>
      <c r="I154">
        <f>Deals_Raw!V157</f>
        <v>0.19600000000000001</v>
      </c>
      <c r="J154">
        <f>Deals_Raw!W157</f>
        <v>0.17599999999999999</v>
      </c>
      <c r="K154" t="str">
        <f>Deals_Raw!Z157</f>
        <v>Pricing Analyst</v>
      </c>
      <c r="L154" t="str">
        <f t="shared" si="17"/>
        <v>yes</v>
      </c>
      <c r="M154" t="str">
        <f t="shared" si="18"/>
        <v>Pass</v>
      </c>
      <c r="O154">
        <f>Deals_Raw!AP157</f>
        <v>0.53470095667803474</v>
      </c>
      <c r="P154" t="str">
        <f t="shared" si="19"/>
        <v>False</v>
      </c>
      <c r="R154" t="str">
        <f>Deals_Raw!AF157</f>
        <v>Won</v>
      </c>
      <c r="S154">
        <f t="shared" si="20"/>
        <v>83458.17</v>
      </c>
      <c r="T154">
        <f>Deals_Raw!AM157</f>
        <v>83458.17</v>
      </c>
      <c r="U154">
        <f t="shared" si="21"/>
        <v>83458.17</v>
      </c>
      <c r="V154">
        <f>Deals_Raw!AN157</f>
        <v>83458.17</v>
      </c>
      <c r="W154">
        <f t="shared" si="22"/>
        <v>44625.163341598061</v>
      </c>
      <c r="X154">
        <f>Deals_Raw!AO157</f>
        <v>44625.163341598061</v>
      </c>
      <c r="Y154">
        <f t="shared" si="23"/>
        <v>0.53470095667803474</v>
      </c>
      <c r="Z154">
        <f>Deals_Raw!AP157</f>
        <v>0.53470095667803474</v>
      </c>
    </row>
    <row r="155" spans="1:26">
      <c r="A155" t="str">
        <f>Deals_Raw!A158</f>
        <v>D00178</v>
      </c>
      <c r="B155">
        <f>COUNTIF(Deals_Raw!$A$5:$A$643,A155)</f>
        <v>1</v>
      </c>
      <c r="C155" s="12" t="str">
        <f>Deals_Raw!E158</f>
        <v>CT00098</v>
      </c>
      <c r="E155">
        <f>Deals_Raw!AA158</f>
        <v>178285.49059966439</v>
      </c>
      <c r="F155">
        <f>ROUND(Deals_Raw!T158*(1-Deals_Raw!W158),2)</f>
        <v>178326.78</v>
      </c>
      <c r="G155">
        <f t="shared" si="16"/>
        <v>41.289400335605023</v>
      </c>
      <c r="I155">
        <f>Deals_Raw!V158</f>
        <v>7.6999999999999999E-2</v>
      </c>
      <c r="J155">
        <f>Deals_Raw!W158</f>
        <v>3.2000000000000001E-2</v>
      </c>
      <c r="K155" t="str">
        <f>Deals_Raw!Z158</f>
        <v>Sales Manager</v>
      </c>
      <c r="L155" t="str">
        <f t="shared" si="17"/>
        <v>yes</v>
      </c>
      <c r="M155" t="str">
        <f t="shared" si="18"/>
        <v>Pass</v>
      </c>
      <c r="O155">
        <f>Deals_Raw!AP158</f>
        <v>0.63589706552802994</v>
      </c>
      <c r="P155" t="str">
        <f t="shared" si="19"/>
        <v>False</v>
      </c>
      <c r="R155" t="str">
        <f>Deals_Raw!AF158</f>
        <v>Won</v>
      </c>
      <c r="S155">
        <f t="shared" si="20"/>
        <v>178326.78</v>
      </c>
      <c r="T155">
        <f>Deals_Raw!AM158</f>
        <v>178326.78</v>
      </c>
      <c r="U155">
        <f t="shared" si="21"/>
        <v>356653.56</v>
      </c>
      <c r="V155">
        <f>Deals_Raw!AN158</f>
        <v>356653.56</v>
      </c>
      <c r="W155">
        <f t="shared" si="22"/>
        <v>113397.47610706257</v>
      </c>
      <c r="X155">
        <f>Deals_Raw!AO158</f>
        <v>113397.47610706257</v>
      </c>
      <c r="Y155">
        <f t="shared" si="23"/>
        <v>0.63589706552802994</v>
      </c>
      <c r="Z155">
        <f>Deals_Raw!AP158</f>
        <v>0.63589706552802994</v>
      </c>
    </row>
    <row r="156" spans="1:26">
      <c r="A156" t="str">
        <f>Deals_Raw!A159</f>
        <v>D00179</v>
      </c>
      <c r="B156">
        <f>COUNTIF(Deals_Raw!$A$5:$A$643,A156)</f>
        <v>1</v>
      </c>
      <c r="C156" s="12" t="str">
        <f>Deals_Raw!E159</f>
        <v>CT00099</v>
      </c>
      <c r="E156">
        <f>Deals_Raw!AA159</f>
        <v>117009.40455359341</v>
      </c>
      <c r="F156">
        <f>ROUND(Deals_Raw!T159*(1-Deals_Raw!W159),2)</f>
        <v>117051.03</v>
      </c>
      <c r="G156">
        <f t="shared" si="16"/>
        <v>41.625446406585979</v>
      </c>
      <c r="I156">
        <f>Deals_Raw!V159</f>
        <v>0.104</v>
      </c>
      <c r="J156">
        <f>Deals_Raw!W159</f>
        <v>6.0999999999999999E-2</v>
      </c>
      <c r="K156" t="str">
        <f>Deals_Raw!Z159</f>
        <v>Sales Manager</v>
      </c>
      <c r="L156" t="str">
        <f t="shared" si="17"/>
        <v>yes</v>
      </c>
      <c r="M156" t="str">
        <f t="shared" si="18"/>
        <v>Pass</v>
      </c>
      <c r="O156">
        <f>Deals_Raw!AP159</f>
        <v>0.55373590893608171</v>
      </c>
      <c r="P156" t="str">
        <f t="shared" si="19"/>
        <v>False</v>
      </c>
      <c r="R156" t="str">
        <f>Deals_Raw!AF159</f>
        <v>Lost</v>
      </c>
      <c r="S156">
        <f t="shared" si="20"/>
        <v>0</v>
      </c>
      <c r="T156">
        <f>Deals_Raw!AM159</f>
        <v>117051.03</v>
      </c>
      <c r="U156">
        <f t="shared" si="21"/>
        <v>0</v>
      </c>
      <c r="V156">
        <f>Deals_Raw!AN159</f>
        <v>117051.03</v>
      </c>
      <c r="W156">
        <f t="shared" si="22"/>
        <v>0</v>
      </c>
      <c r="X156">
        <f>Deals_Raw!AO159</f>
        <v>64815.358488954567</v>
      </c>
      <c r="Y156">
        <f t="shared" si="23"/>
        <v>0</v>
      </c>
      <c r="Z156">
        <f>Deals_Raw!AP159</f>
        <v>0.55373590893608171</v>
      </c>
    </row>
    <row r="157" spans="1:26">
      <c r="A157" t="str">
        <f>Deals_Raw!A160</f>
        <v>D00180</v>
      </c>
      <c r="B157">
        <f>COUNTIF(Deals_Raw!$A$5:$A$643,A157)</f>
        <v>1</v>
      </c>
      <c r="C157" s="12" t="str">
        <f>Deals_Raw!E160</f>
        <v>CT00100</v>
      </c>
      <c r="E157">
        <f>Deals_Raw!AA160</f>
        <v>50428.682080301245</v>
      </c>
      <c r="F157">
        <f>ROUND(Deals_Raw!T160*(1-Deals_Raw!W160),2)</f>
        <v>50401.1</v>
      </c>
      <c r="G157">
        <f t="shared" si="16"/>
        <v>-27.582080301246606</v>
      </c>
      <c r="I157">
        <f>Deals_Raw!V160</f>
        <v>0.14599999999999999</v>
      </c>
      <c r="J157">
        <f>Deals_Raw!W160</f>
        <v>0.107</v>
      </c>
      <c r="K157" t="str">
        <f>Deals_Raw!Z160</f>
        <v>Pricing Analyst</v>
      </c>
      <c r="L157" t="str">
        <f t="shared" si="17"/>
        <v>yes</v>
      </c>
      <c r="M157" t="str">
        <f t="shared" si="18"/>
        <v>Pass</v>
      </c>
      <c r="O157">
        <f>Deals_Raw!AP160</f>
        <v>0.69696826509039433</v>
      </c>
      <c r="P157" t="str">
        <f t="shared" si="19"/>
        <v>False</v>
      </c>
      <c r="R157" t="str">
        <f>Deals_Raw!AF160</f>
        <v>Won</v>
      </c>
      <c r="S157">
        <f t="shared" si="20"/>
        <v>50401.1</v>
      </c>
      <c r="T157">
        <f>Deals_Raw!AM160</f>
        <v>50401.1</v>
      </c>
      <c r="U157">
        <f t="shared" si="21"/>
        <v>151203.29999999999</v>
      </c>
      <c r="V157">
        <f>Deals_Raw!AN160</f>
        <v>151203.29999999999</v>
      </c>
      <c r="W157">
        <f t="shared" si="22"/>
        <v>35127.967225647473</v>
      </c>
      <c r="X157">
        <f>Deals_Raw!AO160</f>
        <v>35127.967225647473</v>
      </c>
      <c r="Y157">
        <f t="shared" si="23"/>
        <v>0.69696826509039433</v>
      </c>
      <c r="Z157">
        <f>Deals_Raw!AP160</f>
        <v>0.69696826509039433</v>
      </c>
    </row>
    <row r="158" spans="1:26">
      <c r="A158" t="str">
        <f>Deals_Raw!A161</f>
        <v>D00181</v>
      </c>
      <c r="B158">
        <f>COUNTIF(Deals_Raw!$A$5:$A$643,A158)</f>
        <v>1</v>
      </c>
      <c r="C158" s="12" t="str">
        <f>Deals_Raw!E161</f>
        <v>CT00101</v>
      </c>
      <c r="E158">
        <f>Deals_Raw!AA161</f>
        <v>55588.875427835235</v>
      </c>
      <c r="F158">
        <f>ROUND(Deals_Raw!T161*(1-Deals_Raw!W161),2)</f>
        <v>55595.08</v>
      </c>
      <c r="G158">
        <f t="shared" si="16"/>
        <v>6.2045721647664323</v>
      </c>
      <c r="I158">
        <f>Deals_Raw!V161</f>
        <v>0.14000000000000001</v>
      </c>
      <c r="J158">
        <f>Deals_Raw!W161</f>
        <v>0.13100000000000001</v>
      </c>
      <c r="K158" t="str">
        <f>Deals_Raw!Z161</f>
        <v>Pricing Analyst</v>
      </c>
      <c r="L158" t="str">
        <f t="shared" si="17"/>
        <v>yes</v>
      </c>
      <c r="M158" t="str">
        <f t="shared" si="18"/>
        <v>Pass</v>
      </c>
      <c r="O158">
        <f>Deals_Raw!AP161</f>
        <v>0.67916090014973085</v>
      </c>
      <c r="P158" t="str">
        <f t="shared" si="19"/>
        <v>False</v>
      </c>
      <c r="R158" t="str">
        <f>Deals_Raw!AF161</f>
        <v>Won</v>
      </c>
      <c r="S158">
        <f t="shared" si="20"/>
        <v>55595.08</v>
      </c>
      <c r="T158">
        <f>Deals_Raw!AM161</f>
        <v>55595.08</v>
      </c>
      <c r="U158">
        <f t="shared" si="21"/>
        <v>55595.08</v>
      </c>
      <c r="V158">
        <f>Deals_Raw!AN161</f>
        <v>55595.08</v>
      </c>
      <c r="W158">
        <f t="shared" si="22"/>
        <v>37758.004576696301</v>
      </c>
      <c r="X158">
        <f>Deals_Raw!AO161</f>
        <v>37758.004576696301</v>
      </c>
      <c r="Y158">
        <f t="shared" si="23"/>
        <v>0.67916090014973085</v>
      </c>
      <c r="Z158">
        <f>Deals_Raw!AP161</f>
        <v>0.67916090014973085</v>
      </c>
    </row>
    <row r="159" spans="1:26">
      <c r="A159" t="str">
        <f>Deals_Raw!A162</f>
        <v>D00182</v>
      </c>
      <c r="B159">
        <f>COUNTIF(Deals_Raw!$A$5:$A$643,A159)</f>
        <v>1</v>
      </c>
      <c r="C159" s="12" t="str">
        <f>Deals_Raw!E162</f>
        <v>CT00101</v>
      </c>
      <c r="E159">
        <f>Deals_Raw!AA162</f>
        <v>64630.142418922682</v>
      </c>
      <c r="F159">
        <f>ROUND(Deals_Raw!T162*(1-Deals_Raw!W162),2)</f>
        <v>64603.64</v>
      </c>
      <c r="G159">
        <f t="shared" si="16"/>
        <v>-26.502418922682409</v>
      </c>
      <c r="I159">
        <f>Deals_Raw!V162</f>
        <v>0.155</v>
      </c>
      <c r="J159">
        <f>Deals_Raw!W162</f>
        <v>0.14199999999999999</v>
      </c>
      <c r="K159" t="str">
        <f>Deals_Raw!Z162</f>
        <v>Pricing Analyst</v>
      </c>
      <c r="L159" t="str">
        <f t="shared" si="17"/>
        <v>yes</v>
      </c>
      <c r="M159" t="str">
        <f t="shared" si="18"/>
        <v>Pass</v>
      </c>
      <c r="O159">
        <f>Deals_Raw!AP162</f>
        <v>0.61421643854402552</v>
      </c>
      <c r="P159" t="str">
        <f t="shared" si="19"/>
        <v>False</v>
      </c>
      <c r="R159" t="str">
        <f>Deals_Raw!AF162</f>
        <v>Won</v>
      </c>
      <c r="S159">
        <f t="shared" si="20"/>
        <v>64603.64</v>
      </c>
      <c r="T159">
        <f>Deals_Raw!AM162</f>
        <v>64603.64</v>
      </c>
      <c r="U159">
        <f t="shared" si="21"/>
        <v>64603.64</v>
      </c>
      <c r="V159">
        <f>Deals_Raw!AN162</f>
        <v>64603.64</v>
      </c>
      <c r="W159">
        <f t="shared" si="22"/>
        <v>39680.617677780348</v>
      </c>
      <c r="X159">
        <f>Deals_Raw!AO162</f>
        <v>39680.617677780348</v>
      </c>
      <c r="Y159">
        <f t="shared" si="23"/>
        <v>0.61421643854402552</v>
      </c>
      <c r="Z159">
        <f>Deals_Raw!AP162</f>
        <v>0.61421643854402552</v>
      </c>
    </row>
    <row r="160" spans="1:26">
      <c r="A160" t="str">
        <f>Deals_Raw!A163</f>
        <v>D00183</v>
      </c>
      <c r="B160">
        <f>COUNTIF(Deals_Raw!$A$5:$A$643,A160)</f>
        <v>1</v>
      </c>
      <c r="C160" s="12" t="str">
        <f>Deals_Raw!E163</f>
        <v>CT00101</v>
      </c>
      <c r="E160">
        <f>Deals_Raw!AA163</f>
        <v>74437.255117224166</v>
      </c>
      <c r="F160">
        <f>ROUND(Deals_Raw!T163*(1-Deals_Raw!W163),2)</f>
        <v>74448.03</v>
      </c>
      <c r="G160">
        <f t="shared" si="16"/>
        <v>10.774882775833248</v>
      </c>
      <c r="I160">
        <f>Deals_Raw!V163</f>
        <v>8.7999999999999995E-2</v>
      </c>
      <c r="J160">
        <f>Deals_Raw!W163</f>
        <v>4.4999999999999998E-2</v>
      </c>
      <c r="K160" t="str">
        <f>Deals_Raw!Z163</f>
        <v>Sales Manager</v>
      </c>
      <c r="L160" t="str">
        <f t="shared" si="17"/>
        <v>yes</v>
      </c>
      <c r="M160" t="str">
        <f t="shared" si="18"/>
        <v>Pass</v>
      </c>
      <c r="O160">
        <f>Deals_Raw!AP163</f>
        <v>0.76071453717866599</v>
      </c>
      <c r="P160" t="str">
        <f t="shared" si="19"/>
        <v>False</v>
      </c>
      <c r="R160" t="str">
        <f>Deals_Raw!AF163</f>
        <v>Won</v>
      </c>
      <c r="S160">
        <f t="shared" si="20"/>
        <v>74448.03</v>
      </c>
      <c r="T160">
        <f>Deals_Raw!AM163</f>
        <v>74448.03</v>
      </c>
      <c r="U160">
        <f t="shared" si="21"/>
        <v>74448.03</v>
      </c>
      <c r="V160">
        <f>Deals_Raw!AN163</f>
        <v>74448.03</v>
      </c>
      <c r="W160">
        <f t="shared" si="22"/>
        <v>56633.698685313444</v>
      </c>
      <c r="X160">
        <f>Deals_Raw!AO163</f>
        <v>56633.698685313444</v>
      </c>
      <c r="Y160">
        <f t="shared" si="23"/>
        <v>0.76071453717866599</v>
      </c>
      <c r="Z160">
        <f>Deals_Raw!AP163</f>
        <v>0.76071453717866599</v>
      </c>
    </row>
    <row r="161" spans="1:26">
      <c r="A161" t="str">
        <f>Deals_Raw!A164</f>
        <v>D00184</v>
      </c>
      <c r="B161">
        <f>COUNTIF(Deals_Raw!$A$5:$A$643,A161)</f>
        <v>1</v>
      </c>
      <c r="C161" s="12" t="str">
        <f>Deals_Raw!E164</f>
        <v>CT00102</v>
      </c>
      <c r="E161">
        <f>Deals_Raw!AA164</f>
        <v>112099.98384088035</v>
      </c>
      <c r="F161">
        <f>ROUND(Deals_Raw!T164*(1-Deals_Raw!W164),2)</f>
        <v>112080.01</v>
      </c>
      <c r="G161">
        <f t="shared" si="16"/>
        <v>-19.973840880353237</v>
      </c>
      <c r="I161">
        <f>Deals_Raw!V164</f>
        <v>8.1000000000000003E-2</v>
      </c>
      <c r="J161">
        <f>Deals_Raw!W164</f>
        <v>6.2E-2</v>
      </c>
      <c r="K161" t="str">
        <f>Deals_Raw!Z164</f>
        <v>Sales Manager</v>
      </c>
      <c r="L161" t="str">
        <f t="shared" si="17"/>
        <v>yes</v>
      </c>
      <c r="M161" t="str">
        <f t="shared" si="18"/>
        <v>Pass</v>
      </c>
      <c r="O161">
        <f>Deals_Raw!AP164</f>
        <v>0.63932815716607372</v>
      </c>
      <c r="P161" t="str">
        <f t="shared" si="19"/>
        <v>False</v>
      </c>
      <c r="R161" t="str">
        <f>Deals_Raw!AF164</f>
        <v>Won</v>
      </c>
      <c r="S161">
        <f t="shared" si="20"/>
        <v>112080.01</v>
      </c>
      <c r="T161">
        <f>Deals_Raw!AM164</f>
        <v>112080.01</v>
      </c>
      <c r="U161">
        <f t="shared" si="21"/>
        <v>336240.02999999997</v>
      </c>
      <c r="V161">
        <f>Deals_Raw!AN164</f>
        <v>336240.02999999997</v>
      </c>
      <c r="W161">
        <f t="shared" si="22"/>
        <v>71655.90624845511</v>
      </c>
      <c r="X161">
        <f>Deals_Raw!AO164</f>
        <v>71655.90624845511</v>
      </c>
      <c r="Y161">
        <f t="shared" si="23"/>
        <v>0.63932815716607372</v>
      </c>
      <c r="Z161">
        <f>Deals_Raw!AP164</f>
        <v>0.63932815716607372</v>
      </c>
    </row>
    <row r="162" spans="1:26">
      <c r="A162" t="str">
        <f>Deals_Raw!A165</f>
        <v>D00185</v>
      </c>
      <c r="B162">
        <f>COUNTIF(Deals_Raw!$A$5:$A$643,A162)</f>
        <v>1</v>
      </c>
      <c r="C162" s="12" t="str">
        <f>Deals_Raw!E165</f>
        <v>CT00103</v>
      </c>
      <c r="E162">
        <f>Deals_Raw!AA165</f>
        <v>42001.266497403536</v>
      </c>
      <c r="F162">
        <f>ROUND(Deals_Raw!T165*(1-Deals_Raw!W165),2)</f>
        <v>42011.33</v>
      </c>
      <c r="G162">
        <f t="shared" si="16"/>
        <v>10.063502596465696</v>
      </c>
      <c r="I162">
        <f>Deals_Raw!V165</f>
        <v>0.17100000000000001</v>
      </c>
      <c r="J162">
        <f>Deals_Raw!W165</f>
        <v>0.16300000000000001</v>
      </c>
      <c r="K162" t="str">
        <f>Deals_Raw!Z165</f>
        <v>Pricing Analyst</v>
      </c>
      <c r="L162" t="str">
        <f t="shared" si="17"/>
        <v>yes</v>
      </c>
      <c r="M162" t="str">
        <f t="shared" si="18"/>
        <v>Pass</v>
      </c>
      <c r="O162">
        <f>Deals_Raw!AP165</f>
        <v>0.58695504109832319</v>
      </c>
      <c r="P162" t="str">
        <f t="shared" si="19"/>
        <v>False</v>
      </c>
      <c r="R162" t="str">
        <f>Deals_Raw!AF165</f>
        <v>Lost</v>
      </c>
      <c r="S162">
        <f t="shared" si="20"/>
        <v>0</v>
      </c>
      <c r="T162">
        <f>Deals_Raw!AM165</f>
        <v>42011.33</v>
      </c>
      <c r="U162">
        <f t="shared" si="21"/>
        <v>0</v>
      </c>
      <c r="V162">
        <f>Deals_Raw!AN165</f>
        <v>126033.99</v>
      </c>
      <c r="W162">
        <f t="shared" si="22"/>
        <v>0</v>
      </c>
      <c r="X162">
        <f>Deals_Raw!AO165</f>
        <v>24658.761926745221</v>
      </c>
      <c r="Y162">
        <f t="shared" si="23"/>
        <v>0</v>
      </c>
      <c r="Z162">
        <f>Deals_Raw!AP165</f>
        <v>0.58695504109832319</v>
      </c>
    </row>
    <row r="163" spans="1:26">
      <c r="A163" t="str">
        <f>Deals_Raw!A166</f>
        <v>D00186</v>
      </c>
      <c r="B163">
        <f>COUNTIF(Deals_Raw!$A$5:$A$643,A163)</f>
        <v>1</v>
      </c>
      <c r="C163" s="12" t="str">
        <f>Deals_Raw!E166</f>
        <v>CT00104</v>
      </c>
      <c r="E163">
        <f>Deals_Raw!AA166</f>
        <v>21011.535292102806</v>
      </c>
      <c r="F163">
        <f>ROUND(Deals_Raw!T166*(1-Deals_Raw!W166),2)</f>
        <v>21006.71</v>
      </c>
      <c r="G163">
        <f t="shared" si="16"/>
        <v>-4.8252921028069977</v>
      </c>
      <c r="I163">
        <f>Deals_Raw!V166</f>
        <v>0.156</v>
      </c>
      <c r="J163">
        <f>Deals_Raw!W166</f>
        <v>0.154</v>
      </c>
      <c r="K163" t="str">
        <f>Deals_Raw!Z166</f>
        <v>Pricing Analyst</v>
      </c>
      <c r="L163" t="str">
        <f t="shared" si="17"/>
        <v>yes</v>
      </c>
      <c r="M163" t="str">
        <f t="shared" si="18"/>
        <v>Pass</v>
      </c>
      <c r="O163">
        <f>Deals_Raw!AP166</f>
        <v>0.69321230655684607</v>
      </c>
      <c r="P163" t="str">
        <f t="shared" si="19"/>
        <v>False</v>
      </c>
      <c r="R163" t="str">
        <f>Deals_Raw!AF166</f>
        <v>Won</v>
      </c>
      <c r="S163">
        <f t="shared" si="20"/>
        <v>21006.71</v>
      </c>
      <c r="T163">
        <f>Deals_Raw!AM166</f>
        <v>21006.71</v>
      </c>
      <c r="U163">
        <f t="shared" si="21"/>
        <v>42013.42</v>
      </c>
      <c r="V163">
        <f>Deals_Raw!AN166</f>
        <v>42013.42</v>
      </c>
      <c r="W163">
        <f t="shared" si="22"/>
        <v>14562.109892270762</v>
      </c>
      <c r="X163">
        <f>Deals_Raw!AO166</f>
        <v>14562.109892270762</v>
      </c>
      <c r="Y163">
        <f t="shared" si="23"/>
        <v>0.69321230655684607</v>
      </c>
      <c r="Z163">
        <f>Deals_Raw!AP166</f>
        <v>0.69321230655684607</v>
      </c>
    </row>
    <row r="164" spans="1:26">
      <c r="A164" t="str">
        <f>Deals_Raw!A167</f>
        <v>D00187</v>
      </c>
      <c r="B164">
        <f>COUNTIF(Deals_Raw!$A$5:$A$643,A164)</f>
        <v>1</v>
      </c>
      <c r="C164" s="12" t="str">
        <f>Deals_Raw!E167</f>
        <v>CT00106</v>
      </c>
      <c r="E164">
        <f>Deals_Raw!AA167</f>
        <v>82778.508137629877</v>
      </c>
      <c r="F164">
        <f>ROUND(Deals_Raw!T167*(1-Deals_Raw!W167),2)</f>
        <v>82814.89</v>
      </c>
      <c r="G164">
        <f t="shared" si="16"/>
        <v>36.38186237012269</v>
      </c>
      <c r="I164">
        <f>Deals_Raw!V167</f>
        <v>9.8000000000000004E-2</v>
      </c>
      <c r="J164">
        <f>Deals_Raw!W167</f>
        <v>7.6999999999999999E-2</v>
      </c>
      <c r="K164" t="str">
        <f>Deals_Raw!Z167</f>
        <v>Sales Manager</v>
      </c>
      <c r="L164" t="str">
        <f t="shared" si="17"/>
        <v>yes</v>
      </c>
      <c r="M164" t="str">
        <f t="shared" si="18"/>
        <v>Pass</v>
      </c>
      <c r="O164">
        <f>Deals_Raw!AP167</f>
        <v>0.6420335243940275</v>
      </c>
      <c r="P164" t="str">
        <f t="shared" si="19"/>
        <v>False</v>
      </c>
      <c r="R164" t="str">
        <f>Deals_Raw!AF167</f>
        <v>Won</v>
      </c>
      <c r="S164">
        <f t="shared" si="20"/>
        <v>82814.89</v>
      </c>
      <c r="T164">
        <f>Deals_Raw!AM167</f>
        <v>82814.89</v>
      </c>
      <c r="U164">
        <f t="shared" si="21"/>
        <v>248444.66999999998</v>
      </c>
      <c r="V164">
        <f>Deals_Raw!AN167</f>
        <v>248444.66999999998</v>
      </c>
      <c r="W164">
        <f t="shared" si="22"/>
        <v>53169.935699003705</v>
      </c>
      <c r="X164">
        <f>Deals_Raw!AO167</f>
        <v>53169.935699003705</v>
      </c>
      <c r="Y164">
        <f t="shared" si="23"/>
        <v>0.6420335243940275</v>
      </c>
      <c r="Z164">
        <f>Deals_Raw!AP167</f>
        <v>0.6420335243940275</v>
      </c>
    </row>
    <row r="165" spans="1:26">
      <c r="A165" t="str">
        <f>Deals_Raw!A168</f>
        <v>D00188</v>
      </c>
      <c r="B165">
        <f>COUNTIF(Deals_Raw!$A$5:$A$643,A165)</f>
        <v>1</v>
      </c>
      <c r="C165" s="12" t="str">
        <f>Deals_Raw!E168</f>
        <v>CT00107</v>
      </c>
      <c r="E165">
        <f>Deals_Raw!AA168</f>
        <v>239746.95446042126</v>
      </c>
      <c r="F165">
        <f>ROUND(Deals_Raw!T168*(1-Deals_Raw!W168),2)</f>
        <v>239716</v>
      </c>
      <c r="G165">
        <f t="shared" si="16"/>
        <v>-30.954460421256954</v>
      </c>
      <c r="I165">
        <f>Deals_Raw!V168</f>
        <v>0.17699999999999999</v>
      </c>
      <c r="J165">
        <f>Deals_Raw!W168</f>
        <v>0.13300000000000001</v>
      </c>
      <c r="K165" t="str">
        <f>Deals_Raw!Z168</f>
        <v>Pricing Analyst</v>
      </c>
      <c r="L165" t="str">
        <f t="shared" si="17"/>
        <v>yes</v>
      </c>
      <c r="M165" t="str">
        <f t="shared" si="18"/>
        <v>Pass</v>
      </c>
      <c r="O165">
        <f>Deals_Raw!AP168</f>
        <v>0.55101511027001182</v>
      </c>
      <c r="P165" t="str">
        <f t="shared" si="19"/>
        <v>False</v>
      </c>
      <c r="R165" t="str">
        <f>Deals_Raw!AF168</f>
        <v>Lost</v>
      </c>
      <c r="S165">
        <f t="shared" si="20"/>
        <v>0</v>
      </c>
      <c r="T165">
        <f>Deals_Raw!AM168</f>
        <v>239716</v>
      </c>
      <c r="U165">
        <f t="shared" si="21"/>
        <v>0</v>
      </c>
      <c r="V165">
        <f>Deals_Raw!AN168</f>
        <v>719148</v>
      </c>
      <c r="W165">
        <f t="shared" si="22"/>
        <v>0</v>
      </c>
      <c r="X165">
        <f>Deals_Raw!AO168</f>
        <v>132087.13817348616</v>
      </c>
      <c r="Y165">
        <f t="shared" si="23"/>
        <v>0</v>
      </c>
      <c r="Z165">
        <f>Deals_Raw!AP168</f>
        <v>0.55101511027001182</v>
      </c>
    </row>
    <row r="166" spans="1:26">
      <c r="A166" t="str">
        <f>Deals_Raw!A169</f>
        <v>D00189</v>
      </c>
      <c r="B166">
        <f>COUNTIF(Deals_Raw!$A$5:$A$643,A166)</f>
        <v>1</v>
      </c>
      <c r="C166" s="12" t="str">
        <f>Deals_Raw!E169</f>
        <v>CT00109</v>
      </c>
      <c r="E166">
        <f>Deals_Raw!AA169</f>
        <v>50399.906622299583</v>
      </c>
      <c r="F166">
        <f>ROUND(Deals_Raw!T169*(1-Deals_Raw!W169),2)</f>
        <v>50408.06</v>
      </c>
      <c r="G166">
        <f t="shared" si="16"/>
        <v>8.1533777004151489</v>
      </c>
      <c r="I166">
        <f>Deals_Raw!V169</f>
        <v>0.151</v>
      </c>
      <c r="J166">
        <f>Deals_Raw!W169</f>
        <v>0.14699999999999999</v>
      </c>
      <c r="K166" t="str">
        <f>Deals_Raw!Z169</f>
        <v>Pricing Analyst</v>
      </c>
      <c r="L166" t="str">
        <f t="shared" si="17"/>
        <v>yes</v>
      </c>
      <c r="M166" t="str">
        <f t="shared" si="18"/>
        <v>Pass</v>
      </c>
      <c r="O166">
        <f>Deals_Raw!AP169</f>
        <v>0.60428980084985362</v>
      </c>
      <c r="P166" t="str">
        <f t="shared" si="19"/>
        <v>False</v>
      </c>
      <c r="R166" t="str">
        <f>Deals_Raw!AF169</f>
        <v>Lost</v>
      </c>
      <c r="S166">
        <f t="shared" si="20"/>
        <v>0</v>
      </c>
      <c r="T166">
        <f>Deals_Raw!AM169</f>
        <v>50408.06</v>
      </c>
      <c r="U166">
        <f t="shared" si="21"/>
        <v>0</v>
      </c>
      <c r="V166">
        <f>Deals_Raw!AN169</f>
        <v>151224.18</v>
      </c>
      <c r="W166">
        <f t="shared" si="22"/>
        <v>0</v>
      </c>
      <c r="X166">
        <f>Deals_Raw!AO169</f>
        <v>30461.076538627472</v>
      </c>
      <c r="Y166">
        <f t="shared" si="23"/>
        <v>0</v>
      </c>
      <c r="Z166">
        <f>Deals_Raw!AP169</f>
        <v>0.60428980084985362</v>
      </c>
    </row>
    <row r="167" spans="1:26">
      <c r="A167" t="str">
        <f>Deals_Raw!A170</f>
        <v>D00190</v>
      </c>
      <c r="B167">
        <f>COUNTIF(Deals_Raw!$A$5:$A$643,A167)</f>
        <v>1</v>
      </c>
      <c r="C167" s="12" t="str">
        <f>Deals_Raw!E170</f>
        <v>CT00110</v>
      </c>
      <c r="E167">
        <f>Deals_Raw!AA170</f>
        <v>113849.67685500553</v>
      </c>
      <c r="F167">
        <f>ROUND(Deals_Raw!T170*(1-Deals_Raw!W170),2)</f>
        <v>113796.44</v>
      </c>
      <c r="G167">
        <f t="shared" si="16"/>
        <v>-53.236855005525285</v>
      </c>
      <c r="I167">
        <f>Deals_Raw!V170</f>
        <v>0.20100000000000001</v>
      </c>
      <c r="J167">
        <f>Deals_Raw!W170</f>
        <v>0.153</v>
      </c>
      <c r="K167" t="str">
        <f>Deals_Raw!Z170</f>
        <v>Pricing Analyst</v>
      </c>
      <c r="L167" t="str">
        <f t="shared" si="17"/>
        <v>yes</v>
      </c>
      <c r="M167" t="str">
        <f t="shared" si="18"/>
        <v>Pass</v>
      </c>
      <c r="O167">
        <f>Deals_Raw!AP170</f>
        <v>0.57931985766994054</v>
      </c>
      <c r="P167" t="str">
        <f t="shared" si="19"/>
        <v>False</v>
      </c>
      <c r="R167" t="str">
        <f>Deals_Raw!AF170</f>
        <v>Won</v>
      </c>
      <c r="S167">
        <f t="shared" si="20"/>
        <v>113796.44</v>
      </c>
      <c r="T167">
        <f>Deals_Raw!AM170</f>
        <v>113796.44</v>
      </c>
      <c r="U167">
        <f t="shared" si="21"/>
        <v>227592.88</v>
      </c>
      <c r="V167">
        <f>Deals_Raw!AN170</f>
        <v>227592.88</v>
      </c>
      <c r="W167">
        <f t="shared" si="22"/>
        <v>65924.537424145936</v>
      </c>
      <c r="X167">
        <f>Deals_Raw!AO170</f>
        <v>65924.537424145936</v>
      </c>
      <c r="Y167">
        <f t="shared" si="23"/>
        <v>0.57931985766994054</v>
      </c>
      <c r="Z167">
        <f>Deals_Raw!AP170</f>
        <v>0.57931985766994054</v>
      </c>
    </row>
    <row r="168" spans="1:26">
      <c r="A168" t="str">
        <f>Deals_Raw!A171</f>
        <v>D00193</v>
      </c>
      <c r="B168">
        <f>COUNTIF(Deals_Raw!$A$5:$A$643,A168)</f>
        <v>1</v>
      </c>
      <c r="C168" s="12" t="str">
        <f>Deals_Raw!E171</f>
        <v>CT00111</v>
      </c>
      <c r="E168">
        <f>Deals_Raw!AA171</f>
        <v>91693.576853474355</v>
      </c>
      <c r="F168">
        <f>ROUND(Deals_Raw!T171*(1-Deals_Raw!W171),2)</f>
        <v>91656.02</v>
      </c>
      <c r="G168">
        <f t="shared" si="16"/>
        <v>-37.556853474350646</v>
      </c>
      <c r="I168">
        <f>Deals_Raw!V171</f>
        <v>0.18</v>
      </c>
      <c r="J168">
        <f>Deals_Raw!W171</f>
        <v>0.155</v>
      </c>
      <c r="K168" t="str">
        <f>Deals_Raw!Z171</f>
        <v>Pricing Analyst</v>
      </c>
      <c r="L168" t="str">
        <f t="shared" si="17"/>
        <v>yes</v>
      </c>
      <c r="M168" t="str">
        <f t="shared" si="18"/>
        <v>Pass</v>
      </c>
      <c r="O168">
        <f>Deals_Raw!AP171</f>
        <v>0.55835954338300742</v>
      </c>
      <c r="P168" t="str">
        <f t="shared" si="19"/>
        <v>False</v>
      </c>
      <c r="R168" t="str">
        <f>Deals_Raw!AF171</f>
        <v>Won</v>
      </c>
      <c r="S168">
        <f t="shared" si="20"/>
        <v>91656.02</v>
      </c>
      <c r="T168">
        <f>Deals_Raw!AM171</f>
        <v>91656.02</v>
      </c>
      <c r="U168">
        <f t="shared" si="21"/>
        <v>91656.02</v>
      </c>
      <c r="V168">
        <f>Deals_Raw!AN171</f>
        <v>91656.02</v>
      </c>
      <c r="W168">
        <f t="shared" si="22"/>
        <v>51177.013475503802</v>
      </c>
      <c r="X168">
        <f>Deals_Raw!AO171</f>
        <v>51177.013475503802</v>
      </c>
      <c r="Y168">
        <f t="shared" si="23"/>
        <v>0.55835954338300742</v>
      </c>
      <c r="Z168">
        <f>Deals_Raw!AP171</f>
        <v>0.55835954338300742</v>
      </c>
    </row>
    <row r="169" spans="1:26">
      <c r="A169" t="str">
        <f>Deals_Raw!A172</f>
        <v>D00194</v>
      </c>
      <c r="B169">
        <f>COUNTIF(Deals_Raw!$A$5:$A$643,A169)</f>
        <v>1</v>
      </c>
      <c r="C169" s="12" t="str">
        <f>Deals_Raw!E172</f>
        <v>CT00111</v>
      </c>
      <c r="E169">
        <f>Deals_Raw!AA172</f>
        <v>100362.22887262399</v>
      </c>
      <c r="F169">
        <f>ROUND(Deals_Raw!T172*(1-Deals_Raw!W172),2)</f>
        <v>100322.17</v>
      </c>
      <c r="G169">
        <f t="shared" si="16"/>
        <v>-40.05887262399483</v>
      </c>
      <c r="I169">
        <f>Deals_Raw!V172</f>
        <v>0.14000000000000001</v>
      </c>
      <c r="J169">
        <f>Deals_Raw!W172</f>
        <v>0.108</v>
      </c>
      <c r="K169" t="str">
        <f>Deals_Raw!Z172</f>
        <v>Pricing Analyst</v>
      </c>
      <c r="L169" t="str">
        <f t="shared" si="17"/>
        <v>yes</v>
      </c>
      <c r="M169" t="str">
        <f t="shared" si="18"/>
        <v>Pass</v>
      </c>
      <c r="O169">
        <f>Deals_Raw!AP172</f>
        <v>0.55479496559351638</v>
      </c>
      <c r="P169" t="str">
        <f t="shared" si="19"/>
        <v>False</v>
      </c>
      <c r="R169" t="str">
        <f>Deals_Raw!AF172</f>
        <v>Won</v>
      </c>
      <c r="S169">
        <f t="shared" si="20"/>
        <v>100322.17</v>
      </c>
      <c r="T169">
        <f>Deals_Raw!AM172</f>
        <v>100322.17</v>
      </c>
      <c r="U169">
        <f t="shared" si="21"/>
        <v>100322.17</v>
      </c>
      <c r="V169">
        <f>Deals_Raw!AN172</f>
        <v>100322.17</v>
      </c>
      <c r="W169">
        <f t="shared" si="22"/>
        <v>55658.2348534169</v>
      </c>
      <c r="X169">
        <f>Deals_Raw!AO172</f>
        <v>55658.2348534169</v>
      </c>
      <c r="Y169">
        <f t="shared" si="23"/>
        <v>0.55479496559351638</v>
      </c>
      <c r="Z169">
        <f>Deals_Raw!AP172</f>
        <v>0.55479496559351638</v>
      </c>
    </row>
    <row r="170" spans="1:26">
      <c r="A170" t="str">
        <f>Deals_Raw!A173</f>
        <v>D00195</v>
      </c>
      <c r="B170">
        <f>COUNTIF(Deals_Raw!$A$5:$A$643,A170)</f>
        <v>1</v>
      </c>
      <c r="C170" s="12" t="str">
        <f>Deals_Raw!E173</f>
        <v>CT00112</v>
      </c>
      <c r="E170">
        <f>Deals_Raw!AA173</f>
        <v>65201.461661404675</v>
      </c>
      <c r="F170">
        <f>ROUND(Deals_Raw!T173*(1-Deals_Raw!W173),2)</f>
        <v>65222.52</v>
      </c>
      <c r="G170">
        <f t="shared" si="16"/>
        <v>21.058338595321402</v>
      </c>
      <c r="I170">
        <f>Deals_Raw!V173</f>
        <v>8.7999999999999995E-2</v>
      </c>
      <c r="J170">
        <f>Deals_Raw!W173</f>
        <v>4.7E-2</v>
      </c>
      <c r="K170" t="str">
        <f>Deals_Raw!Z173</f>
        <v>Sales Manager</v>
      </c>
      <c r="L170" t="str">
        <f t="shared" si="17"/>
        <v>yes</v>
      </c>
      <c r="M170" t="str">
        <f t="shared" si="18"/>
        <v>Pass</v>
      </c>
      <c r="O170">
        <f>Deals_Raw!AP173</f>
        <v>0.75460719567113543</v>
      </c>
      <c r="P170" t="str">
        <f t="shared" si="19"/>
        <v>False</v>
      </c>
      <c r="R170" t="str">
        <f>Deals_Raw!AF173</f>
        <v>Won</v>
      </c>
      <c r="S170">
        <f t="shared" si="20"/>
        <v>65222.52</v>
      </c>
      <c r="T170">
        <f>Deals_Raw!AM173</f>
        <v>65222.52</v>
      </c>
      <c r="U170">
        <f t="shared" si="21"/>
        <v>130445.04</v>
      </c>
      <c r="V170">
        <f>Deals_Raw!AN173</f>
        <v>130445.04</v>
      </c>
      <c r="W170">
        <f t="shared" si="22"/>
        <v>49217.38291180454</v>
      </c>
      <c r="X170">
        <f>Deals_Raw!AO173</f>
        <v>49217.38291180454</v>
      </c>
      <c r="Y170">
        <f t="shared" si="23"/>
        <v>0.75460719567113543</v>
      </c>
      <c r="Z170">
        <f>Deals_Raw!AP173</f>
        <v>0.75460719567113543</v>
      </c>
    </row>
    <row r="171" spans="1:26">
      <c r="A171" t="str">
        <f>Deals_Raw!A174</f>
        <v>D00196</v>
      </c>
      <c r="B171">
        <f>COUNTIF(Deals_Raw!$A$5:$A$643,A171)</f>
        <v>1</v>
      </c>
      <c r="C171" s="12" t="str">
        <f>Deals_Raw!E174</f>
        <v>CT00113</v>
      </c>
      <c r="E171">
        <f>Deals_Raw!AA174</f>
        <v>60753.737918444007</v>
      </c>
      <c r="F171">
        <f>ROUND(Deals_Raw!T174*(1-Deals_Raw!W174),2)</f>
        <v>60730.26</v>
      </c>
      <c r="G171">
        <f t="shared" si="16"/>
        <v>-23.477918444004899</v>
      </c>
      <c r="I171">
        <f>Deals_Raw!V174</f>
        <v>0.16700000000000001</v>
      </c>
      <c r="J171">
        <f>Deals_Raw!W174</f>
        <v>0.128</v>
      </c>
      <c r="K171" t="str">
        <f>Deals_Raw!Z174</f>
        <v>Pricing Analyst</v>
      </c>
      <c r="L171" t="str">
        <f t="shared" si="17"/>
        <v>yes</v>
      </c>
      <c r="M171" t="str">
        <f t="shared" si="18"/>
        <v>Pass</v>
      </c>
      <c r="O171">
        <f>Deals_Raw!AP174</f>
        <v>0.5541817070109204</v>
      </c>
      <c r="P171" t="str">
        <f t="shared" si="19"/>
        <v>False</v>
      </c>
      <c r="R171" t="str">
        <f>Deals_Raw!AF174</f>
        <v>Won</v>
      </c>
      <c r="S171">
        <f t="shared" si="20"/>
        <v>60730.26</v>
      </c>
      <c r="T171">
        <f>Deals_Raw!AM174</f>
        <v>60730.26</v>
      </c>
      <c r="U171">
        <f t="shared" si="21"/>
        <v>60730.26</v>
      </c>
      <c r="V171">
        <f>Deals_Raw!AN174</f>
        <v>60730.26</v>
      </c>
      <c r="W171">
        <f t="shared" si="22"/>
        <v>33655.599154017022</v>
      </c>
      <c r="X171">
        <f>Deals_Raw!AO174</f>
        <v>33655.599154017022</v>
      </c>
      <c r="Y171">
        <f t="shared" si="23"/>
        <v>0.5541817070109204</v>
      </c>
      <c r="Z171">
        <f>Deals_Raw!AP174</f>
        <v>0.5541817070109204</v>
      </c>
    </row>
    <row r="172" spans="1:26">
      <c r="A172" t="str">
        <f>Deals_Raw!A175</f>
        <v>D00197</v>
      </c>
      <c r="B172">
        <f>COUNTIF(Deals_Raw!$A$5:$A$643,A172)</f>
        <v>1</v>
      </c>
      <c r="C172" s="12" t="str">
        <f>Deals_Raw!E175</f>
        <v>CT00115</v>
      </c>
      <c r="E172">
        <f>Deals_Raw!AA175</f>
        <v>203567.5928250518</v>
      </c>
      <c r="F172">
        <f>ROUND(Deals_Raw!T175*(1-Deals_Raw!W175),2)</f>
        <v>203676.27</v>
      </c>
      <c r="G172">
        <f t="shared" si="16"/>
        <v>108.67717494818498</v>
      </c>
      <c r="I172">
        <f>Deals_Raw!V175</f>
        <v>0.123</v>
      </c>
      <c r="J172">
        <f>Deals_Raw!W175</f>
        <v>8.7999999999999995E-2</v>
      </c>
      <c r="K172" t="str">
        <f>Deals_Raw!Z175</f>
        <v>Sales Manager</v>
      </c>
      <c r="L172" t="str">
        <f t="shared" si="17"/>
        <v>yes</v>
      </c>
      <c r="M172" t="str">
        <f t="shared" si="18"/>
        <v>Pass</v>
      </c>
      <c r="O172">
        <f>Deals_Raw!AP175</f>
        <v>0.57224251950246163</v>
      </c>
      <c r="P172" t="str">
        <f t="shared" si="19"/>
        <v>False</v>
      </c>
      <c r="R172" t="str">
        <f>Deals_Raw!AF175</f>
        <v>Lost</v>
      </c>
      <c r="S172">
        <f t="shared" si="20"/>
        <v>0</v>
      </c>
      <c r="T172">
        <f>Deals_Raw!AM175</f>
        <v>203676.27</v>
      </c>
      <c r="U172">
        <f t="shared" si="21"/>
        <v>0</v>
      </c>
      <c r="V172">
        <f>Deals_Raw!AN175</f>
        <v>611028.80999999994</v>
      </c>
      <c r="W172">
        <f t="shared" si="22"/>
        <v>0</v>
      </c>
      <c r="X172">
        <f>Deals_Raw!AO175</f>
        <v>116552.22190766362</v>
      </c>
      <c r="Y172">
        <f t="shared" si="23"/>
        <v>0</v>
      </c>
      <c r="Z172">
        <f>Deals_Raw!AP175</f>
        <v>0.57224251950246163</v>
      </c>
    </row>
    <row r="173" spans="1:26">
      <c r="A173" t="str">
        <f>Deals_Raw!A176</f>
        <v>D00198</v>
      </c>
      <c r="B173">
        <f>COUNTIF(Deals_Raw!$A$5:$A$643,A173)</f>
        <v>1</v>
      </c>
      <c r="C173" s="12" t="str">
        <f>Deals_Raw!E176</f>
        <v>CT00116</v>
      </c>
      <c r="E173">
        <f>Deals_Raw!AA176</f>
        <v>19879.87496705637</v>
      </c>
      <c r="F173">
        <f>ROUND(Deals_Raw!T176*(1-Deals_Raw!W176),2)</f>
        <v>19875.66</v>
      </c>
      <c r="G173">
        <f t="shared" si="16"/>
        <v>-4.2149670563703694</v>
      </c>
      <c r="I173">
        <f>Deals_Raw!V176</f>
        <v>0.17899999999999999</v>
      </c>
      <c r="J173">
        <f>Deals_Raw!W176</f>
        <v>0.17199999999999999</v>
      </c>
      <c r="K173" t="str">
        <f>Deals_Raw!Z176</f>
        <v>Pricing Analyst</v>
      </c>
      <c r="L173" t="str">
        <f t="shared" si="17"/>
        <v>yes</v>
      </c>
      <c r="M173" t="str">
        <f t="shared" si="18"/>
        <v>Pass</v>
      </c>
      <c r="O173">
        <f>Deals_Raw!AP176</f>
        <v>0.63771529549813322</v>
      </c>
      <c r="P173" t="str">
        <f t="shared" si="19"/>
        <v>False</v>
      </c>
      <c r="R173" t="str">
        <f>Deals_Raw!AF176</f>
        <v>Won</v>
      </c>
      <c r="S173">
        <f t="shared" si="20"/>
        <v>19875.66</v>
      </c>
      <c r="T173">
        <f>Deals_Raw!AM176</f>
        <v>19875.66</v>
      </c>
      <c r="U173">
        <f t="shared" si="21"/>
        <v>19875.66</v>
      </c>
      <c r="V173">
        <f>Deals_Raw!AN176</f>
        <v>19875.66</v>
      </c>
      <c r="W173">
        <f t="shared" si="22"/>
        <v>12675.012390120426</v>
      </c>
      <c r="X173">
        <f>Deals_Raw!AO176</f>
        <v>12675.012390120426</v>
      </c>
      <c r="Y173">
        <f t="shared" si="23"/>
        <v>0.63771529549813322</v>
      </c>
      <c r="Z173">
        <f>Deals_Raw!AP176</f>
        <v>0.63771529549813322</v>
      </c>
    </row>
    <row r="174" spans="1:26">
      <c r="A174" t="str">
        <f>Deals_Raw!A177</f>
        <v>D00199</v>
      </c>
      <c r="B174">
        <f>COUNTIF(Deals_Raw!$A$5:$A$643,A174)</f>
        <v>1</v>
      </c>
      <c r="C174" s="12" t="str">
        <f>Deals_Raw!E177</f>
        <v>CT00116</v>
      </c>
      <c r="E174">
        <f>Deals_Raw!AA177</f>
        <v>28859.790385581404</v>
      </c>
      <c r="F174">
        <f>ROUND(Deals_Raw!T177*(1-Deals_Raw!W177),2)</f>
        <v>28851.43</v>
      </c>
      <c r="G174">
        <f t="shared" si="16"/>
        <v>-8.3603855814035342</v>
      </c>
      <c r="I174">
        <f>Deals_Raw!V177</f>
        <v>0.11899999999999999</v>
      </c>
      <c r="J174">
        <f>Deals_Raw!W177</f>
        <v>0.107</v>
      </c>
      <c r="K174" t="str">
        <f>Deals_Raw!Z177</f>
        <v>Pricing Analyst</v>
      </c>
      <c r="L174" t="str">
        <f t="shared" si="17"/>
        <v>yes</v>
      </c>
      <c r="M174" t="str">
        <f t="shared" si="18"/>
        <v>Pass</v>
      </c>
      <c r="O174">
        <f>Deals_Raw!AP177</f>
        <v>0.68170425378849464</v>
      </c>
      <c r="P174" t="str">
        <f t="shared" si="19"/>
        <v>False</v>
      </c>
      <c r="R174" t="str">
        <f>Deals_Raw!AF177</f>
        <v>Won</v>
      </c>
      <c r="S174">
        <f t="shared" si="20"/>
        <v>28851.43</v>
      </c>
      <c r="T174">
        <f>Deals_Raw!AM177</f>
        <v>28851.43</v>
      </c>
      <c r="U174">
        <f t="shared" si="21"/>
        <v>28851.43</v>
      </c>
      <c r="V174">
        <f>Deals_Raw!AN177</f>
        <v>28851.43</v>
      </c>
      <c r="W174">
        <f t="shared" si="22"/>
        <v>19668.142558880987</v>
      </c>
      <c r="X174">
        <f>Deals_Raw!AO177</f>
        <v>19668.142558880987</v>
      </c>
      <c r="Y174">
        <f t="shared" si="23"/>
        <v>0.68170425378849464</v>
      </c>
      <c r="Z174">
        <f>Deals_Raw!AP177</f>
        <v>0.68170425378849464</v>
      </c>
    </row>
    <row r="175" spans="1:26">
      <c r="A175" t="str">
        <f>Deals_Raw!A178</f>
        <v>D00200</v>
      </c>
      <c r="B175">
        <f>COUNTIF(Deals_Raw!$A$5:$A$643,A175)</f>
        <v>1</v>
      </c>
      <c r="C175" s="12" t="str">
        <f>Deals_Raw!E178</f>
        <v>CT00116</v>
      </c>
      <c r="E175">
        <f>Deals_Raw!AA178</f>
        <v>30764.444839968677</v>
      </c>
      <c r="F175">
        <f>ROUND(Deals_Raw!T178*(1-Deals_Raw!W178),2)</f>
        <v>30773.599999999999</v>
      </c>
      <c r="G175">
        <f t="shared" si="16"/>
        <v>9.1551600313214294</v>
      </c>
      <c r="I175">
        <f>Deals_Raw!V178</f>
        <v>0.113</v>
      </c>
      <c r="J175">
        <f>Deals_Raw!W178</f>
        <v>0.108</v>
      </c>
      <c r="K175" t="str">
        <f>Deals_Raw!Z178</f>
        <v>Pricing Analyst</v>
      </c>
      <c r="L175" t="str">
        <f t="shared" si="17"/>
        <v>yes</v>
      </c>
      <c r="M175" t="str">
        <f t="shared" si="18"/>
        <v>Pass</v>
      </c>
      <c r="O175">
        <f>Deals_Raw!AP178</f>
        <v>0.65045304208732202</v>
      </c>
      <c r="P175" t="str">
        <f t="shared" si="19"/>
        <v>False</v>
      </c>
      <c r="R175" t="str">
        <f>Deals_Raw!AF178</f>
        <v>Won</v>
      </c>
      <c r="S175">
        <f t="shared" si="20"/>
        <v>30773.599999999999</v>
      </c>
      <c r="T175">
        <f>Deals_Raw!AM178</f>
        <v>30773.599999999999</v>
      </c>
      <c r="U175">
        <f t="shared" si="21"/>
        <v>30773.599999999999</v>
      </c>
      <c r="V175">
        <f>Deals_Raw!AN178</f>
        <v>30773.599999999999</v>
      </c>
      <c r="W175">
        <f t="shared" si="22"/>
        <v>20016.781735978413</v>
      </c>
      <c r="X175">
        <f>Deals_Raw!AO178</f>
        <v>20016.781735978413</v>
      </c>
      <c r="Y175">
        <f t="shared" si="23"/>
        <v>0.65045304208732202</v>
      </c>
      <c r="Z175">
        <f>Deals_Raw!AP178</f>
        <v>0.65045304208732202</v>
      </c>
    </row>
    <row r="176" spans="1:26">
      <c r="A176" t="str">
        <f>Deals_Raw!A179</f>
        <v>D00201</v>
      </c>
      <c r="B176">
        <f>COUNTIF(Deals_Raw!$A$5:$A$643,A176)</f>
        <v>1</v>
      </c>
      <c r="C176" s="12" t="str">
        <f>Deals_Raw!E179</f>
        <v>CT00117</v>
      </c>
      <c r="E176">
        <f>Deals_Raw!AA179</f>
        <v>70543.012759794641</v>
      </c>
      <c r="F176">
        <f>ROUND(Deals_Raw!T179*(1-Deals_Raw!W179),2)</f>
        <v>70527.17</v>
      </c>
      <c r="G176">
        <f t="shared" si="16"/>
        <v>-15.842759794642916</v>
      </c>
      <c r="I176">
        <f>Deals_Raw!V179</f>
        <v>0.14299999999999999</v>
      </c>
      <c r="J176">
        <f>Deals_Raw!W179</f>
        <v>8.8999999999999996E-2</v>
      </c>
      <c r="K176" t="str">
        <f>Deals_Raw!Z179</f>
        <v>Sales Manager</v>
      </c>
      <c r="L176" t="str">
        <f t="shared" si="17"/>
        <v>yes</v>
      </c>
      <c r="M176" t="str">
        <f t="shared" si="18"/>
        <v>Pass</v>
      </c>
      <c r="O176">
        <f>Deals_Raw!AP179</f>
        <v>0.54473251983172744</v>
      </c>
      <c r="P176" t="str">
        <f t="shared" si="19"/>
        <v>False</v>
      </c>
      <c r="R176" t="str">
        <f>Deals_Raw!AF179</f>
        <v>Lost</v>
      </c>
      <c r="S176">
        <f t="shared" si="20"/>
        <v>0</v>
      </c>
      <c r="T176">
        <f>Deals_Raw!AM179</f>
        <v>70527.17</v>
      </c>
      <c r="U176">
        <f t="shared" si="21"/>
        <v>0</v>
      </c>
      <c r="V176">
        <f>Deals_Raw!AN179</f>
        <v>211581.51</v>
      </c>
      <c r="W176">
        <f t="shared" si="22"/>
        <v>0</v>
      </c>
      <c r="X176">
        <f>Deals_Raw!AO179</f>
        <v>38418.443030700611</v>
      </c>
      <c r="Y176">
        <f t="shared" si="23"/>
        <v>0</v>
      </c>
      <c r="Z176">
        <f>Deals_Raw!AP179</f>
        <v>0.54473251983172744</v>
      </c>
    </row>
    <row r="177" spans="1:26">
      <c r="A177" t="str">
        <f>Deals_Raw!A180</f>
        <v>D00202</v>
      </c>
      <c r="B177">
        <f>COUNTIF(Deals_Raw!$A$5:$A$643,A177)</f>
        <v>1</v>
      </c>
      <c r="C177" s="12" t="str">
        <f>Deals_Raw!E180</f>
        <v>CT00118</v>
      </c>
      <c r="E177">
        <f>Deals_Raw!AA180</f>
        <v>119075.5322801295</v>
      </c>
      <c r="F177">
        <f>ROUND(Deals_Raw!T180*(1-Deals_Raw!W180),2)</f>
        <v>119133.16</v>
      </c>
      <c r="G177">
        <f t="shared" si="16"/>
        <v>57.627719870506553</v>
      </c>
      <c r="I177">
        <f>Deals_Raw!V180</f>
        <v>0.17</v>
      </c>
      <c r="J177">
        <f>Deals_Raw!W180</f>
        <v>0.14000000000000001</v>
      </c>
      <c r="K177" t="str">
        <f>Deals_Raw!Z180</f>
        <v>Pricing Analyst</v>
      </c>
      <c r="L177" t="str">
        <f t="shared" si="17"/>
        <v>yes</v>
      </c>
      <c r="M177" t="str">
        <f t="shared" si="18"/>
        <v>Pass</v>
      </c>
      <c r="O177">
        <f>Deals_Raw!AP180</f>
        <v>0.55374742982144287</v>
      </c>
      <c r="P177" t="str">
        <f t="shared" si="19"/>
        <v>False</v>
      </c>
      <c r="R177" t="str">
        <f>Deals_Raw!AF180</f>
        <v>Won</v>
      </c>
      <c r="S177">
        <f t="shared" si="20"/>
        <v>119133.16</v>
      </c>
      <c r="T177">
        <f>Deals_Raw!AM180</f>
        <v>119133.16</v>
      </c>
      <c r="U177">
        <f t="shared" si="21"/>
        <v>119133.16</v>
      </c>
      <c r="V177">
        <f>Deals_Raw!AN180</f>
        <v>119133.16</v>
      </c>
      <c r="W177">
        <f t="shared" si="22"/>
        <v>65969.681156506733</v>
      </c>
      <c r="X177">
        <f>Deals_Raw!AO180</f>
        <v>65969.681156506733</v>
      </c>
      <c r="Y177">
        <f t="shared" si="23"/>
        <v>0.55374742982144287</v>
      </c>
      <c r="Z177">
        <f>Deals_Raw!AP180</f>
        <v>0.55374742982144287</v>
      </c>
    </row>
    <row r="178" spans="1:26">
      <c r="A178" t="str">
        <f>Deals_Raw!A181</f>
        <v>D00203</v>
      </c>
      <c r="B178">
        <f>COUNTIF(Deals_Raw!$A$5:$A$643,A178)</f>
        <v>1</v>
      </c>
      <c r="C178" s="12" t="str">
        <f>Deals_Raw!E181</f>
        <v>CT00119</v>
      </c>
      <c r="E178">
        <f>Deals_Raw!AA181</f>
        <v>26353.989251912295</v>
      </c>
      <c r="F178">
        <f>ROUND(Deals_Raw!T181*(1-Deals_Raw!W181),2)</f>
        <v>26369.87</v>
      </c>
      <c r="G178">
        <f t="shared" si="16"/>
        <v>15.880748087703978</v>
      </c>
      <c r="I178">
        <f>Deals_Raw!V181</f>
        <v>0.29499999999999998</v>
      </c>
      <c r="J178">
        <f>Deals_Raw!W181</f>
        <v>0.25900000000000001</v>
      </c>
      <c r="K178" t="str">
        <f>Deals_Raw!Z181</f>
        <v>Business Manager</v>
      </c>
      <c r="L178" t="str">
        <f t="shared" si="17"/>
        <v>yes</v>
      </c>
      <c r="M178" t="str">
        <f t="shared" si="18"/>
        <v>Pass</v>
      </c>
      <c r="O178">
        <f>Deals_Raw!AP181</f>
        <v>0.45588977777063211</v>
      </c>
      <c r="P178" t="str">
        <f t="shared" si="19"/>
        <v>False</v>
      </c>
      <c r="R178" t="str">
        <f>Deals_Raw!AF181</f>
        <v>Won</v>
      </c>
      <c r="S178">
        <f t="shared" si="20"/>
        <v>26369.87</v>
      </c>
      <c r="T178">
        <f>Deals_Raw!AM181</f>
        <v>26369.87</v>
      </c>
      <c r="U178">
        <f t="shared" si="21"/>
        <v>26369.87</v>
      </c>
      <c r="V178">
        <f>Deals_Raw!AN181</f>
        <v>26369.87</v>
      </c>
      <c r="W178">
        <f t="shared" si="22"/>
        <v>12021.754174140458</v>
      </c>
      <c r="X178">
        <f>Deals_Raw!AO181</f>
        <v>12021.754174140458</v>
      </c>
      <c r="Y178">
        <f t="shared" si="23"/>
        <v>0.45588977777063211</v>
      </c>
      <c r="Z178">
        <f>Deals_Raw!AP181</f>
        <v>0.45588977777063211</v>
      </c>
    </row>
    <row r="179" spans="1:26">
      <c r="A179" t="str">
        <f>Deals_Raw!A182</f>
        <v>D00204</v>
      </c>
      <c r="B179">
        <f>COUNTIF(Deals_Raw!$A$5:$A$643,A179)</f>
        <v>1</v>
      </c>
      <c r="C179" s="12" t="str">
        <f>Deals_Raw!E182</f>
        <v>CT00119</v>
      </c>
      <c r="E179">
        <f>Deals_Raw!AA182</f>
        <v>37470.586505026768</v>
      </c>
      <c r="F179">
        <f>ROUND(Deals_Raw!T182*(1-Deals_Raw!W182),2)</f>
        <v>37483.019999999997</v>
      </c>
      <c r="G179">
        <f t="shared" si="16"/>
        <v>12.433494973229244</v>
      </c>
      <c r="I179">
        <f>Deals_Raw!V182</f>
        <v>0.04</v>
      </c>
      <c r="J179">
        <f>Deals_Raw!W182</f>
        <v>1.2999999999999999E-2</v>
      </c>
      <c r="K179" t="str">
        <f>Deals_Raw!Z182</f>
        <v>Sales Manager</v>
      </c>
      <c r="L179" t="str">
        <f t="shared" si="17"/>
        <v>yes</v>
      </c>
      <c r="M179" t="str">
        <f t="shared" si="18"/>
        <v>Pass</v>
      </c>
      <c r="O179">
        <f>Deals_Raw!AP182</f>
        <v>0.59918773871045716</v>
      </c>
      <c r="P179" t="str">
        <f t="shared" si="19"/>
        <v>False</v>
      </c>
      <c r="R179" t="str">
        <f>Deals_Raw!AF182</f>
        <v>Lost</v>
      </c>
      <c r="S179">
        <f t="shared" si="20"/>
        <v>0</v>
      </c>
      <c r="T179">
        <f>Deals_Raw!AM182</f>
        <v>37483.019999999997</v>
      </c>
      <c r="U179">
        <f t="shared" si="21"/>
        <v>0</v>
      </c>
      <c r="V179">
        <f>Deals_Raw!AN182</f>
        <v>37483.019999999997</v>
      </c>
      <c r="W179">
        <f t="shared" si="22"/>
        <v>0</v>
      </c>
      <c r="X179">
        <f>Deals_Raw!AO182</f>
        <v>22459.365993838837</v>
      </c>
      <c r="Y179">
        <f t="shared" si="23"/>
        <v>0</v>
      </c>
      <c r="Z179">
        <f>Deals_Raw!AP182</f>
        <v>0.59918773871045716</v>
      </c>
    </row>
    <row r="180" spans="1:26">
      <c r="A180" t="str">
        <f>Deals_Raw!A183</f>
        <v>D00205</v>
      </c>
      <c r="B180">
        <f>COUNTIF(Deals_Raw!$A$5:$A$643,A180)</f>
        <v>1</v>
      </c>
      <c r="C180" s="12" t="str">
        <f>Deals_Raw!E183</f>
        <v>CT00120</v>
      </c>
      <c r="E180">
        <f>Deals_Raw!AA183</f>
        <v>52714.561768685075</v>
      </c>
      <c r="F180">
        <f>ROUND(Deals_Raw!T183*(1-Deals_Raw!W183),2)</f>
        <v>52690.05</v>
      </c>
      <c r="G180">
        <f t="shared" si="16"/>
        <v>-24.511768685071729</v>
      </c>
      <c r="I180">
        <f>Deals_Raw!V183</f>
        <v>0.11799999999999999</v>
      </c>
      <c r="J180">
        <f>Deals_Raw!W183</f>
        <v>9.4E-2</v>
      </c>
      <c r="K180" t="str">
        <f>Deals_Raw!Z183</f>
        <v>Sales Manager</v>
      </c>
      <c r="L180" t="str">
        <f t="shared" si="17"/>
        <v>yes</v>
      </c>
      <c r="M180" t="str">
        <f t="shared" si="18"/>
        <v>Pass</v>
      </c>
      <c r="O180">
        <f>Deals_Raw!AP183</f>
        <v>0.54216709045149725</v>
      </c>
      <c r="P180" t="str">
        <f t="shared" si="19"/>
        <v>False</v>
      </c>
      <c r="R180" t="str">
        <f>Deals_Raw!AF183</f>
        <v>Won</v>
      </c>
      <c r="S180">
        <f t="shared" si="20"/>
        <v>52690.05</v>
      </c>
      <c r="T180">
        <f>Deals_Raw!AM183</f>
        <v>52690.05</v>
      </c>
      <c r="U180">
        <f t="shared" si="21"/>
        <v>52690.05</v>
      </c>
      <c r="V180">
        <f>Deals_Raw!AN183</f>
        <v>52690.05</v>
      </c>
      <c r="W180">
        <f t="shared" si="22"/>
        <v>28566.811104243912</v>
      </c>
      <c r="X180">
        <f>Deals_Raw!AO183</f>
        <v>28566.811104243912</v>
      </c>
      <c r="Y180">
        <f t="shared" si="23"/>
        <v>0.54216709045149725</v>
      </c>
      <c r="Z180">
        <f>Deals_Raw!AP183</f>
        <v>0.54216709045149725</v>
      </c>
    </row>
    <row r="181" spans="1:26">
      <c r="A181" t="str">
        <f>Deals_Raw!A184</f>
        <v>D00206</v>
      </c>
      <c r="B181">
        <f>COUNTIF(Deals_Raw!$A$5:$A$643,A181)</f>
        <v>1</v>
      </c>
      <c r="C181" s="12" t="str">
        <f>Deals_Raw!E184</f>
        <v>CT00120</v>
      </c>
      <c r="E181">
        <f>Deals_Raw!AA184</f>
        <v>55816.30245799679</v>
      </c>
      <c r="F181">
        <f>ROUND(Deals_Raw!T184*(1-Deals_Raw!W184),2)</f>
        <v>55832.54</v>
      </c>
      <c r="G181">
        <f t="shared" si="16"/>
        <v>16.237542003211274</v>
      </c>
      <c r="I181">
        <f>Deals_Raw!V184</f>
        <v>0.109</v>
      </c>
      <c r="J181">
        <f>Deals_Raw!W184</f>
        <v>8.3000000000000004E-2</v>
      </c>
      <c r="K181" t="str">
        <f>Deals_Raw!Z184</f>
        <v>Sales Manager</v>
      </c>
      <c r="L181" t="str">
        <f t="shared" si="17"/>
        <v>yes</v>
      </c>
      <c r="M181" t="str">
        <f t="shared" si="18"/>
        <v>Pass</v>
      </c>
      <c r="O181">
        <f>Deals_Raw!AP184</f>
        <v>0.5671897144542124</v>
      </c>
      <c r="P181" t="str">
        <f t="shared" si="19"/>
        <v>False</v>
      </c>
      <c r="R181" t="str">
        <f>Deals_Raw!AF184</f>
        <v>Lost</v>
      </c>
      <c r="S181">
        <f t="shared" si="20"/>
        <v>0</v>
      </c>
      <c r="T181">
        <f>Deals_Raw!AM184</f>
        <v>55832.54</v>
      </c>
      <c r="U181">
        <f t="shared" si="21"/>
        <v>0</v>
      </c>
      <c r="V181">
        <f>Deals_Raw!AN184</f>
        <v>55832.54</v>
      </c>
      <c r="W181">
        <f t="shared" si="22"/>
        <v>0</v>
      </c>
      <c r="X181">
        <f>Deals_Raw!AO184</f>
        <v>31667.642419853393</v>
      </c>
      <c r="Y181">
        <f t="shared" si="23"/>
        <v>0</v>
      </c>
      <c r="Z181">
        <f>Deals_Raw!AP184</f>
        <v>0.5671897144542124</v>
      </c>
    </row>
    <row r="182" spans="1:26">
      <c r="A182" t="str">
        <f>Deals_Raw!A185</f>
        <v>D00207</v>
      </c>
      <c r="B182">
        <f>COUNTIF(Deals_Raw!$A$5:$A$643,A182)</f>
        <v>1</v>
      </c>
      <c r="C182" s="12" t="str">
        <f>Deals_Raw!E185</f>
        <v>CT00121</v>
      </c>
      <c r="E182">
        <f>Deals_Raw!AA185</f>
        <v>247324.96450244679</v>
      </c>
      <c r="F182">
        <f>ROUND(Deals_Raw!T185*(1-Deals_Raw!W185),2)</f>
        <v>247225.35</v>
      </c>
      <c r="G182">
        <f t="shared" si="16"/>
        <v>-99.614502446784172</v>
      </c>
      <c r="I182">
        <f>Deals_Raw!V185</f>
        <v>0.13</v>
      </c>
      <c r="J182">
        <f>Deals_Raw!W185</f>
        <v>0.123</v>
      </c>
      <c r="K182" t="str">
        <f>Deals_Raw!Z185</f>
        <v>Pricing Analyst</v>
      </c>
      <c r="L182" t="str">
        <f t="shared" si="17"/>
        <v>yes</v>
      </c>
      <c r="M182" t="str">
        <f t="shared" si="18"/>
        <v>Pass</v>
      </c>
      <c r="O182">
        <f>Deals_Raw!AP185</f>
        <v>0.559921239120451</v>
      </c>
      <c r="P182" t="str">
        <f t="shared" si="19"/>
        <v>False</v>
      </c>
      <c r="R182" t="str">
        <f>Deals_Raw!AF185</f>
        <v>Won</v>
      </c>
      <c r="S182">
        <f t="shared" si="20"/>
        <v>247225.35</v>
      </c>
      <c r="T182">
        <f>Deals_Raw!AM185</f>
        <v>247225.35</v>
      </c>
      <c r="U182">
        <f t="shared" si="21"/>
        <v>247225.35</v>
      </c>
      <c r="V182">
        <f>Deals_Raw!AN185</f>
        <v>247225.35</v>
      </c>
      <c r="W182">
        <f t="shared" si="22"/>
        <v>138426.72431398719</v>
      </c>
      <c r="X182">
        <f>Deals_Raw!AO185</f>
        <v>138426.72431398719</v>
      </c>
      <c r="Y182">
        <f t="shared" si="23"/>
        <v>0.559921239120451</v>
      </c>
      <c r="Z182">
        <f>Deals_Raw!AP185</f>
        <v>0.559921239120451</v>
      </c>
    </row>
    <row r="183" spans="1:26">
      <c r="A183" t="str">
        <f>Deals_Raw!A186</f>
        <v>D00208</v>
      </c>
      <c r="B183">
        <f>COUNTIF(Deals_Raw!$A$5:$A$643,A183)</f>
        <v>1</v>
      </c>
      <c r="C183" s="12" t="str">
        <f>Deals_Raw!E186</f>
        <v>CT00121</v>
      </c>
      <c r="E183">
        <f>Deals_Raw!AA186</f>
        <v>285894.68483013532</v>
      </c>
      <c r="F183">
        <f>ROUND(Deals_Raw!T186*(1-Deals_Raw!W186),2)</f>
        <v>285802.21999999997</v>
      </c>
      <c r="G183">
        <f t="shared" si="16"/>
        <v>-92.464830135344528</v>
      </c>
      <c r="I183">
        <f>Deals_Raw!V186</f>
        <v>7.0000000000000007E-2</v>
      </c>
      <c r="J183">
        <f>Deals_Raw!W186</f>
        <v>5.6000000000000001E-2</v>
      </c>
      <c r="K183" t="str">
        <f>Deals_Raw!Z186</f>
        <v>Sales Manager</v>
      </c>
      <c r="L183" t="str">
        <f t="shared" si="17"/>
        <v>yes</v>
      </c>
      <c r="M183" t="str">
        <f t="shared" si="18"/>
        <v>Pass</v>
      </c>
      <c r="O183">
        <f>Deals_Raw!AP186</f>
        <v>0.57750507241612936</v>
      </c>
      <c r="P183" t="str">
        <f t="shared" si="19"/>
        <v>False</v>
      </c>
      <c r="R183" t="str">
        <f>Deals_Raw!AF186</f>
        <v>Won</v>
      </c>
      <c r="S183">
        <f t="shared" si="20"/>
        <v>285802.21999999997</v>
      </c>
      <c r="T183">
        <f>Deals_Raw!AM186</f>
        <v>285802.21999999997</v>
      </c>
      <c r="U183">
        <f t="shared" si="21"/>
        <v>285802.21999999997</v>
      </c>
      <c r="V183">
        <f>Deals_Raw!AN186</f>
        <v>285802.21999999997</v>
      </c>
      <c r="W183">
        <f t="shared" si="22"/>
        <v>165052.23175779052</v>
      </c>
      <c r="X183">
        <f>Deals_Raw!AO186</f>
        <v>165052.23175779052</v>
      </c>
      <c r="Y183">
        <f t="shared" si="23"/>
        <v>0.57750507241612936</v>
      </c>
      <c r="Z183">
        <f>Deals_Raw!AP186</f>
        <v>0.57750507241612936</v>
      </c>
    </row>
    <row r="184" spans="1:26">
      <c r="A184" t="str">
        <f>Deals_Raw!A187</f>
        <v>D00209</v>
      </c>
      <c r="B184">
        <f>COUNTIF(Deals_Raw!$A$5:$A$643,A184)</f>
        <v>1</v>
      </c>
      <c r="C184" s="12" t="str">
        <f>Deals_Raw!E187</f>
        <v>CT00122</v>
      </c>
      <c r="E184">
        <f>Deals_Raw!AA187</f>
        <v>143428.60591466434</v>
      </c>
      <c r="F184">
        <f>ROUND(Deals_Raw!T187*(1-Deals_Raw!W187),2)</f>
        <v>143429.85</v>
      </c>
      <c r="G184">
        <f t="shared" si="16"/>
        <v>1.2440853356674779</v>
      </c>
      <c r="I184">
        <f>Deals_Raw!V187</f>
        <v>0.17699999999999999</v>
      </c>
      <c r="J184">
        <f>Deals_Raw!W187</f>
        <v>0.16400000000000001</v>
      </c>
      <c r="K184" t="str">
        <f>Deals_Raw!Z187</f>
        <v>Pricing Analyst</v>
      </c>
      <c r="L184" t="str">
        <f t="shared" si="17"/>
        <v>yes</v>
      </c>
      <c r="M184" t="str">
        <f t="shared" si="18"/>
        <v>Pass</v>
      </c>
      <c r="O184">
        <f>Deals_Raw!AP187</f>
        <v>0.57955724487856342</v>
      </c>
      <c r="P184" t="str">
        <f t="shared" si="19"/>
        <v>False</v>
      </c>
      <c r="R184" t="str">
        <f>Deals_Raw!AF187</f>
        <v>Won</v>
      </c>
      <c r="S184">
        <f t="shared" si="20"/>
        <v>143429.85</v>
      </c>
      <c r="T184">
        <f>Deals_Raw!AM187</f>
        <v>143429.85</v>
      </c>
      <c r="U184">
        <f t="shared" si="21"/>
        <v>286859.7</v>
      </c>
      <c r="V184">
        <f>Deals_Raw!AN187</f>
        <v>286859.7</v>
      </c>
      <c r="W184">
        <f t="shared" si="22"/>
        <v>83125.808699345624</v>
      </c>
      <c r="X184">
        <f>Deals_Raw!AO187</f>
        <v>83125.808699345624</v>
      </c>
      <c r="Y184">
        <f t="shared" si="23"/>
        <v>0.57955724487856342</v>
      </c>
      <c r="Z184">
        <f>Deals_Raw!AP187</f>
        <v>0.57955724487856342</v>
      </c>
    </row>
    <row r="185" spans="1:26">
      <c r="A185" t="str">
        <f>Deals_Raw!A188</f>
        <v>D00210</v>
      </c>
      <c r="B185">
        <f>COUNTIF(Deals_Raw!$A$5:$A$643,A185)</f>
        <v>1</v>
      </c>
      <c r="C185" s="12" t="str">
        <f>Deals_Raw!E188</f>
        <v>CT00123</v>
      </c>
      <c r="E185">
        <f>Deals_Raw!AA188</f>
        <v>273436.32438937883</v>
      </c>
      <c r="F185">
        <f>ROUND(Deals_Raw!T188*(1-Deals_Raw!W188),2)</f>
        <v>273519.34000000003</v>
      </c>
      <c r="G185">
        <f t="shared" si="16"/>
        <v>83.015610621194355</v>
      </c>
      <c r="I185">
        <f>Deals_Raw!V188</f>
        <v>0.114</v>
      </c>
      <c r="J185">
        <f>Deals_Raw!W188</f>
        <v>7.4999999999999997E-2</v>
      </c>
      <c r="K185" t="str">
        <f>Deals_Raw!Z188</f>
        <v>Sales Manager</v>
      </c>
      <c r="L185" t="str">
        <f t="shared" si="17"/>
        <v>yes</v>
      </c>
      <c r="M185" t="str">
        <f t="shared" si="18"/>
        <v>Pass</v>
      </c>
      <c r="O185">
        <f>Deals_Raw!AP188</f>
        <v>0.57194492810964503</v>
      </c>
      <c r="P185" t="str">
        <f t="shared" si="19"/>
        <v>False</v>
      </c>
      <c r="R185" t="str">
        <f>Deals_Raw!AF188</f>
        <v>Won</v>
      </c>
      <c r="S185">
        <f t="shared" si="20"/>
        <v>273519.34000000003</v>
      </c>
      <c r="T185">
        <f>Deals_Raw!AM188</f>
        <v>273519.34000000003</v>
      </c>
      <c r="U185">
        <f t="shared" si="21"/>
        <v>273519.34000000003</v>
      </c>
      <c r="V185">
        <f>Deals_Raw!AN188</f>
        <v>273519.34000000003</v>
      </c>
      <c r="W185">
        <f t="shared" si="22"/>
        <v>156437.99925289757</v>
      </c>
      <c r="X185">
        <f>Deals_Raw!AO188</f>
        <v>156437.99925289757</v>
      </c>
      <c r="Y185">
        <f t="shared" si="23"/>
        <v>0.57194492810964503</v>
      </c>
      <c r="Z185">
        <f>Deals_Raw!AP188</f>
        <v>0.57194492810964503</v>
      </c>
    </row>
    <row r="186" spans="1:26">
      <c r="A186" t="str">
        <f>Deals_Raw!A189</f>
        <v>D00211</v>
      </c>
      <c r="B186">
        <f>COUNTIF(Deals_Raw!$A$5:$A$643,A186)</f>
        <v>1</v>
      </c>
      <c r="C186" s="12" t="str">
        <f>Deals_Raw!E189</f>
        <v>CT00123</v>
      </c>
      <c r="E186">
        <f>Deals_Raw!AA189</f>
        <v>281038.63786595257</v>
      </c>
      <c r="F186">
        <f>ROUND(Deals_Raw!T189*(1-Deals_Raw!W189),2)</f>
        <v>281051.90999999997</v>
      </c>
      <c r="G186">
        <f t="shared" si="16"/>
        <v>13.272134047409054</v>
      </c>
      <c r="I186">
        <f>Deals_Raw!V189</f>
        <v>0.157</v>
      </c>
      <c r="J186">
        <f>Deals_Raw!W189</f>
        <v>0.11899999999999999</v>
      </c>
      <c r="K186" t="str">
        <f>Deals_Raw!Z189</f>
        <v>Pricing Analyst</v>
      </c>
      <c r="L186" t="str">
        <f t="shared" si="17"/>
        <v>yes</v>
      </c>
      <c r="M186" t="str">
        <f t="shared" si="18"/>
        <v>Pass</v>
      </c>
      <c r="O186">
        <f>Deals_Raw!AP189</f>
        <v>0.59807391017729838</v>
      </c>
      <c r="P186" t="str">
        <f t="shared" si="19"/>
        <v>False</v>
      </c>
      <c r="R186" t="str">
        <f>Deals_Raw!AF189</f>
        <v>Won</v>
      </c>
      <c r="S186">
        <f t="shared" si="20"/>
        <v>281051.90999999997</v>
      </c>
      <c r="T186">
        <f>Deals_Raw!AM189</f>
        <v>281051.90999999997</v>
      </c>
      <c r="U186">
        <f t="shared" si="21"/>
        <v>281051.90999999997</v>
      </c>
      <c r="V186">
        <f>Deals_Raw!AN189</f>
        <v>281051.90999999997</v>
      </c>
      <c r="W186">
        <f t="shared" si="22"/>
        <v>168089.81477649813</v>
      </c>
      <c r="X186">
        <f>Deals_Raw!AO189</f>
        <v>168089.81477649813</v>
      </c>
      <c r="Y186">
        <f t="shared" si="23"/>
        <v>0.59807391017729838</v>
      </c>
      <c r="Z186">
        <f>Deals_Raw!AP189</f>
        <v>0.59807391017729838</v>
      </c>
    </row>
    <row r="187" spans="1:26">
      <c r="A187" t="str">
        <f>Deals_Raw!A190</f>
        <v>D00212</v>
      </c>
      <c r="B187">
        <f>COUNTIF(Deals_Raw!$A$5:$A$643,A187)</f>
        <v>1</v>
      </c>
      <c r="C187" s="12" t="str">
        <f>Deals_Raw!E190</f>
        <v>CT00124</v>
      </c>
      <c r="E187">
        <f>Deals_Raw!AA190</f>
        <v>185832.26856372016</v>
      </c>
      <c r="F187">
        <f>ROUND(Deals_Raw!T190*(1-Deals_Raw!W190),2)</f>
        <v>185783.22</v>
      </c>
      <c r="G187">
        <f t="shared" si="16"/>
        <v>-49.048563720163656</v>
      </c>
      <c r="I187">
        <f>Deals_Raw!V190</f>
        <v>0.21199999999999999</v>
      </c>
      <c r="J187">
        <f>Deals_Raw!W190</f>
        <v>0.17699999999999999</v>
      </c>
      <c r="K187" t="str">
        <f>Deals_Raw!Z190</f>
        <v>Pricing Analyst</v>
      </c>
      <c r="L187" t="str">
        <f t="shared" si="17"/>
        <v>yes</v>
      </c>
      <c r="M187" t="str">
        <f t="shared" si="18"/>
        <v>Pass</v>
      </c>
      <c r="O187">
        <f>Deals_Raw!AP190</f>
        <v>0.52874935550302893</v>
      </c>
      <c r="P187" t="str">
        <f t="shared" si="19"/>
        <v>False</v>
      </c>
      <c r="R187" t="str">
        <f>Deals_Raw!AF190</f>
        <v>Won</v>
      </c>
      <c r="S187">
        <f t="shared" si="20"/>
        <v>185783.22</v>
      </c>
      <c r="T187">
        <f>Deals_Raw!AM190</f>
        <v>185783.22</v>
      </c>
      <c r="U187">
        <f t="shared" si="21"/>
        <v>557349.66</v>
      </c>
      <c r="V187">
        <f>Deals_Raw!AN190</f>
        <v>557349.66</v>
      </c>
      <c r="W187">
        <f t="shared" si="22"/>
        <v>98232.757838277437</v>
      </c>
      <c r="X187">
        <f>Deals_Raw!AO190</f>
        <v>98232.757838277437</v>
      </c>
      <c r="Y187">
        <f t="shared" si="23"/>
        <v>0.52874935550302893</v>
      </c>
      <c r="Z187">
        <f>Deals_Raw!AP190</f>
        <v>0.52874935550302893</v>
      </c>
    </row>
    <row r="188" spans="1:26">
      <c r="A188" t="str">
        <f>Deals_Raw!A191</f>
        <v>D00213</v>
      </c>
      <c r="B188">
        <f>COUNTIF(Deals_Raw!$A$5:$A$643,A188)</f>
        <v>1</v>
      </c>
      <c r="C188" s="12" t="str">
        <f>Deals_Raw!E191</f>
        <v>CT00125</v>
      </c>
      <c r="E188">
        <f>Deals_Raw!AA191</f>
        <v>142861.59508925682</v>
      </c>
      <c r="F188">
        <f>ROUND(Deals_Raw!T191*(1-Deals_Raw!W191),2)</f>
        <v>142895.35</v>
      </c>
      <c r="G188">
        <f t="shared" si="16"/>
        <v>33.754910743184155</v>
      </c>
      <c r="I188">
        <f>Deals_Raw!V191</f>
        <v>0.16700000000000001</v>
      </c>
      <c r="J188">
        <f>Deals_Raw!W191</f>
        <v>0.158</v>
      </c>
      <c r="K188" t="str">
        <f>Deals_Raw!Z191</f>
        <v>Pricing Analyst</v>
      </c>
      <c r="L188" t="str">
        <f t="shared" si="17"/>
        <v>yes</v>
      </c>
      <c r="M188" t="str">
        <f t="shared" si="18"/>
        <v>Pass</v>
      </c>
      <c r="O188">
        <f>Deals_Raw!AP191</f>
        <v>0.64069365171605375</v>
      </c>
      <c r="P188" t="str">
        <f t="shared" si="19"/>
        <v>False</v>
      </c>
      <c r="R188" t="str">
        <f>Deals_Raw!AF191</f>
        <v>Lost</v>
      </c>
      <c r="S188">
        <f t="shared" si="20"/>
        <v>0</v>
      </c>
      <c r="T188">
        <f>Deals_Raw!AM191</f>
        <v>142895.35</v>
      </c>
      <c r="U188">
        <f t="shared" si="21"/>
        <v>0</v>
      </c>
      <c r="V188">
        <f>Deals_Raw!AN191</f>
        <v>428686.05000000005</v>
      </c>
      <c r="W188">
        <f t="shared" si="22"/>
        <v>0</v>
      </c>
      <c r="X188">
        <f>Deals_Raw!AO191</f>
        <v>91552.1436047436</v>
      </c>
      <c r="Y188">
        <f t="shared" si="23"/>
        <v>0</v>
      </c>
      <c r="Z188">
        <f>Deals_Raw!AP191</f>
        <v>0.64069365171605375</v>
      </c>
    </row>
    <row r="189" spans="1:26">
      <c r="A189" t="str">
        <f>Deals_Raw!A192</f>
        <v>D00214</v>
      </c>
      <c r="B189">
        <f>COUNTIF(Deals_Raw!$A$5:$A$643,A189)</f>
        <v>1</v>
      </c>
      <c r="C189" s="12" t="str">
        <f>Deals_Raw!E192</f>
        <v>CT00125</v>
      </c>
      <c r="E189">
        <f>Deals_Raw!AA192</f>
        <v>130626.53231638267</v>
      </c>
      <c r="F189">
        <f>ROUND(Deals_Raw!T192*(1-Deals_Raw!W192),2)</f>
        <v>130676.27</v>
      </c>
      <c r="G189">
        <f t="shared" si="16"/>
        <v>49.737683617335279</v>
      </c>
      <c r="I189">
        <f>Deals_Raw!V192</f>
        <v>0.27200000000000002</v>
      </c>
      <c r="J189">
        <f>Deals_Raw!W192</f>
        <v>0.23</v>
      </c>
      <c r="K189" t="str">
        <f>Deals_Raw!Z192</f>
        <v>Business Manager</v>
      </c>
      <c r="L189" t="str">
        <f t="shared" si="17"/>
        <v>yes</v>
      </c>
      <c r="M189" t="str">
        <f t="shared" si="18"/>
        <v>Pass</v>
      </c>
      <c r="O189">
        <f>Deals_Raw!AP192</f>
        <v>0.58144485126047085</v>
      </c>
      <c r="P189" t="str">
        <f t="shared" si="19"/>
        <v>False</v>
      </c>
      <c r="R189" t="str">
        <f>Deals_Raw!AF192</f>
        <v>Won</v>
      </c>
      <c r="S189">
        <f t="shared" si="20"/>
        <v>130676.27</v>
      </c>
      <c r="T189">
        <f>Deals_Raw!AM192</f>
        <v>130676.27</v>
      </c>
      <c r="U189">
        <f t="shared" si="21"/>
        <v>392028.81</v>
      </c>
      <c r="V189">
        <f>Deals_Raw!AN192</f>
        <v>392028.81</v>
      </c>
      <c r="W189">
        <f t="shared" si="22"/>
        <v>75981.044373423138</v>
      </c>
      <c r="X189">
        <f>Deals_Raw!AO192</f>
        <v>75981.044373423138</v>
      </c>
      <c r="Y189">
        <f t="shared" si="23"/>
        <v>0.58144485126047085</v>
      </c>
      <c r="Z189">
        <f>Deals_Raw!AP192</f>
        <v>0.58144485126047085</v>
      </c>
    </row>
    <row r="190" spans="1:26">
      <c r="A190" t="str">
        <f>Deals_Raw!A193</f>
        <v>D00215</v>
      </c>
      <c r="B190">
        <f>COUNTIF(Deals_Raw!$A$5:$A$643,A190)</f>
        <v>1</v>
      </c>
      <c r="C190" s="12" t="str">
        <f>Deals_Raw!E193</f>
        <v>CT00126</v>
      </c>
      <c r="E190">
        <f>Deals_Raw!AA193</f>
        <v>932826.21537542366</v>
      </c>
      <c r="F190">
        <f>ROUND(Deals_Raw!T193*(1-Deals_Raw!W193),2)</f>
        <v>932961.27</v>
      </c>
      <c r="G190">
        <f t="shared" si="16"/>
        <v>135.0546245763544</v>
      </c>
      <c r="I190">
        <f>Deals_Raw!V193</f>
        <v>0.17299999999999999</v>
      </c>
      <c r="J190">
        <f>Deals_Raw!W193</f>
        <v>0.111</v>
      </c>
      <c r="K190" t="str">
        <f>Deals_Raw!Z193</f>
        <v>Pricing Analyst</v>
      </c>
      <c r="L190" t="str">
        <f t="shared" si="17"/>
        <v>yes</v>
      </c>
      <c r="M190" t="str">
        <f t="shared" si="18"/>
        <v>Pass</v>
      </c>
      <c r="O190">
        <f>Deals_Raw!AP193</f>
        <v>0.53591063276530149</v>
      </c>
      <c r="P190" t="str">
        <f t="shared" si="19"/>
        <v>False</v>
      </c>
      <c r="R190" t="str">
        <f>Deals_Raw!AF193</f>
        <v>Won</v>
      </c>
      <c r="S190">
        <f t="shared" si="20"/>
        <v>932961.27</v>
      </c>
      <c r="T190">
        <f>Deals_Raw!AM193</f>
        <v>932961.27</v>
      </c>
      <c r="U190">
        <f t="shared" si="21"/>
        <v>2798883.81</v>
      </c>
      <c r="V190">
        <f>Deals_Raw!AN193</f>
        <v>2798883.81</v>
      </c>
      <c r="W190">
        <f t="shared" si="22"/>
        <v>499983.86455121927</v>
      </c>
      <c r="X190">
        <f>Deals_Raw!AO193</f>
        <v>499983.86455121927</v>
      </c>
      <c r="Y190">
        <f t="shared" si="23"/>
        <v>0.53591063276530149</v>
      </c>
      <c r="Z190">
        <f>Deals_Raw!AP193</f>
        <v>0.53591063276530149</v>
      </c>
    </row>
    <row r="191" spans="1:26">
      <c r="A191" t="str">
        <f>Deals_Raw!A194</f>
        <v>D00216</v>
      </c>
      <c r="B191">
        <f>COUNTIF(Deals_Raw!$A$5:$A$643,A191)</f>
        <v>1</v>
      </c>
      <c r="C191" s="12" t="str">
        <f>Deals_Raw!E194</f>
        <v>CT00127</v>
      </c>
      <c r="E191">
        <f>Deals_Raw!AA194</f>
        <v>213611.39614932158</v>
      </c>
      <c r="F191">
        <f>ROUND(Deals_Raw!T194*(1-Deals_Raw!W194),2)</f>
        <v>213671.74</v>
      </c>
      <c r="G191">
        <f t="shared" si="16"/>
        <v>60.343850678415038</v>
      </c>
      <c r="I191">
        <f>Deals_Raw!V194</f>
        <v>0.214</v>
      </c>
      <c r="J191">
        <f>Deals_Raw!W194</f>
        <v>0.18099999999999999</v>
      </c>
      <c r="K191" t="str">
        <f>Deals_Raw!Z194</f>
        <v>Pricing Analyst</v>
      </c>
      <c r="L191" t="str">
        <f t="shared" si="17"/>
        <v>yes</v>
      </c>
      <c r="M191" t="str">
        <f t="shared" si="18"/>
        <v>Pass</v>
      </c>
      <c r="O191">
        <f>Deals_Raw!AP194</f>
        <v>0.50571244707865726</v>
      </c>
      <c r="P191" t="str">
        <f t="shared" si="19"/>
        <v>False</v>
      </c>
      <c r="R191" t="str">
        <f>Deals_Raw!AF194</f>
        <v>Won</v>
      </c>
      <c r="S191">
        <f t="shared" si="20"/>
        <v>213671.74</v>
      </c>
      <c r="T191">
        <f>Deals_Raw!AM194</f>
        <v>213671.74</v>
      </c>
      <c r="U191">
        <f t="shared" si="21"/>
        <v>213671.74</v>
      </c>
      <c r="V191">
        <f>Deals_Raw!AN194</f>
        <v>213671.74</v>
      </c>
      <c r="W191">
        <f t="shared" si="22"/>
        <v>108056.45850695462</v>
      </c>
      <c r="X191">
        <f>Deals_Raw!AO194</f>
        <v>108056.45850695462</v>
      </c>
      <c r="Y191">
        <f t="shared" si="23"/>
        <v>0.50571244707865726</v>
      </c>
      <c r="Z191">
        <f>Deals_Raw!AP194</f>
        <v>0.50571244707865726</v>
      </c>
    </row>
    <row r="192" spans="1:26">
      <c r="A192" t="str">
        <f>Deals_Raw!A195</f>
        <v>D00217</v>
      </c>
      <c r="B192">
        <f>COUNTIF(Deals_Raw!$A$5:$A$643,A192)</f>
        <v>1</v>
      </c>
      <c r="C192" s="12" t="str">
        <f>Deals_Raw!E195</f>
        <v>CT00127</v>
      </c>
      <c r="E192">
        <f>Deals_Raw!AA195</f>
        <v>262875.63167713094</v>
      </c>
      <c r="F192">
        <f>ROUND(Deals_Raw!T195*(1-Deals_Raw!W195),2)</f>
        <v>262810.33</v>
      </c>
      <c r="G192">
        <f t="shared" si="16"/>
        <v>-65.301677130919416</v>
      </c>
      <c r="I192">
        <f>Deals_Raw!V195</f>
        <v>7.9000000000000001E-2</v>
      </c>
      <c r="J192">
        <f>Deals_Raw!W195</f>
        <v>5.3999999999999999E-2</v>
      </c>
      <c r="K192" t="str">
        <f>Deals_Raw!Z195</f>
        <v>Sales Manager</v>
      </c>
      <c r="L192" t="str">
        <f t="shared" si="17"/>
        <v>yes</v>
      </c>
      <c r="M192" t="str">
        <f t="shared" si="18"/>
        <v>Pass</v>
      </c>
      <c r="O192">
        <f>Deals_Raw!AP195</f>
        <v>0.61879428339112086</v>
      </c>
      <c r="P192" t="str">
        <f t="shared" si="19"/>
        <v>False</v>
      </c>
      <c r="R192" t="str">
        <f>Deals_Raw!AF195</f>
        <v>Won</v>
      </c>
      <c r="S192">
        <f t="shared" si="20"/>
        <v>262810.33</v>
      </c>
      <c r="T192">
        <f>Deals_Raw!AM195</f>
        <v>262810.33</v>
      </c>
      <c r="U192">
        <f t="shared" si="21"/>
        <v>262810.33</v>
      </c>
      <c r="V192">
        <f>Deals_Raw!AN195</f>
        <v>262810.33</v>
      </c>
      <c r="W192">
        <f t="shared" si="22"/>
        <v>162625.52982013399</v>
      </c>
      <c r="X192">
        <f>Deals_Raw!AO195</f>
        <v>162625.52982013399</v>
      </c>
      <c r="Y192">
        <f t="shared" si="23"/>
        <v>0.61879428339112086</v>
      </c>
      <c r="Z192">
        <f>Deals_Raw!AP195</f>
        <v>0.61879428339112086</v>
      </c>
    </row>
    <row r="193" spans="1:26">
      <c r="A193" t="str">
        <f>Deals_Raw!A196</f>
        <v>D00218</v>
      </c>
      <c r="B193">
        <f>COUNTIF(Deals_Raw!$A$5:$A$643,A193)</f>
        <v>1</v>
      </c>
      <c r="C193" s="12" t="str">
        <f>Deals_Raw!E196</f>
        <v>CT00128</v>
      </c>
      <c r="E193">
        <f>Deals_Raw!AA196</f>
        <v>436643.66028532106</v>
      </c>
      <c r="F193">
        <f>ROUND(Deals_Raw!T196*(1-Deals_Raw!W196),2)</f>
        <v>436540.14</v>
      </c>
      <c r="G193">
        <f t="shared" si="16"/>
        <v>-103.52028532105032</v>
      </c>
      <c r="I193">
        <f>Deals_Raw!V196</f>
        <v>0.17499999999999999</v>
      </c>
      <c r="J193">
        <f>Deals_Raw!W196</f>
        <v>0.15</v>
      </c>
      <c r="K193" t="str">
        <f>Deals_Raw!Z196</f>
        <v>Pricing Analyst</v>
      </c>
      <c r="L193" t="str">
        <f t="shared" si="17"/>
        <v>yes</v>
      </c>
      <c r="M193" t="str">
        <f t="shared" si="18"/>
        <v>Pass</v>
      </c>
      <c r="O193">
        <f>Deals_Raw!AP196</f>
        <v>0.59694198168847468</v>
      </c>
      <c r="P193" t="str">
        <f t="shared" si="19"/>
        <v>False</v>
      </c>
      <c r="R193" t="str">
        <f>Deals_Raw!AF196</f>
        <v>Won</v>
      </c>
      <c r="S193">
        <f t="shared" si="20"/>
        <v>436540.14</v>
      </c>
      <c r="T193">
        <f>Deals_Raw!AM196</f>
        <v>436540.14</v>
      </c>
      <c r="U193">
        <f t="shared" si="21"/>
        <v>436540.14</v>
      </c>
      <c r="V193">
        <f>Deals_Raw!AN196</f>
        <v>436540.14</v>
      </c>
      <c r="W193">
        <f t="shared" si="22"/>
        <v>260589.13625816416</v>
      </c>
      <c r="X193">
        <f>Deals_Raw!AO196</f>
        <v>260589.13625816416</v>
      </c>
      <c r="Y193">
        <f t="shared" si="23"/>
        <v>0.59694198168847468</v>
      </c>
      <c r="Z193">
        <f>Deals_Raw!AP196</f>
        <v>0.59694198168847468</v>
      </c>
    </row>
    <row r="194" spans="1:26">
      <c r="A194" t="str">
        <f>Deals_Raw!A197</f>
        <v>D00219</v>
      </c>
      <c r="B194">
        <f>COUNTIF(Deals_Raw!$A$5:$A$643,A194)</f>
        <v>1</v>
      </c>
      <c r="C194" s="12" t="str">
        <f>Deals_Raw!E197</f>
        <v>CT00128</v>
      </c>
      <c r="E194">
        <f>Deals_Raw!AA197</f>
        <v>432043.64451054437</v>
      </c>
      <c r="F194">
        <f>ROUND(Deals_Raw!T197*(1-Deals_Raw!W197),2)</f>
        <v>432262.96</v>
      </c>
      <c r="G194">
        <f t="shared" si="16"/>
        <v>219.31548945565009</v>
      </c>
      <c r="I194">
        <f>Deals_Raw!V197</f>
        <v>0.20100000000000001</v>
      </c>
      <c r="J194">
        <f>Deals_Raw!W197</f>
        <v>0.189</v>
      </c>
      <c r="K194" t="str">
        <f>Deals_Raw!Z197</f>
        <v>Pricing Analyst</v>
      </c>
      <c r="L194" t="str">
        <f t="shared" si="17"/>
        <v>yes</v>
      </c>
      <c r="M194" t="str">
        <f t="shared" si="18"/>
        <v>Pass</v>
      </c>
      <c r="O194">
        <f>Deals_Raw!AP197</f>
        <v>0.53203637451883834</v>
      </c>
      <c r="P194" t="str">
        <f t="shared" si="19"/>
        <v>False</v>
      </c>
      <c r="R194" t="str">
        <f>Deals_Raw!AF197</f>
        <v>Lost</v>
      </c>
      <c r="S194">
        <f t="shared" si="20"/>
        <v>0</v>
      </c>
      <c r="T194">
        <f>Deals_Raw!AM197</f>
        <v>432262.96</v>
      </c>
      <c r="U194">
        <f t="shared" si="21"/>
        <v>0</v>
      </c>
      <c r="V194">
        <f>Deals_Raw!AN197</f>
        <v>432262.96</v>
      </c>
      <c r="W194">
        <f t="shared" si="22"/>
        <v>0</v>
      </c>
      <c r="X194">
        <f>Deals_Raw!AO197</f>
        <v>229979.61807718163</v>
      </c>
      <c r="Y194">
        <f t="shared" si="23"/>
        <v>0</v>
      </c>
      <c r="Z194">
        <f>Deals_Raw!AP197</f>
        <v>0.53203637451883834</v>
      </c>
    </row>
    <row r="195" spans="1:26">
      <c r="A195" t="str">
        <f>Deals_Raw!A198</f>
        <v>D00220</v>
      </c>
      <c r="B195">
        <f>COUNTIF(Deals_Raw!$A$5:$A$643,A195)</f>
        <v>1</v>
      </c>
      <c r="C195" s="12" t="str">
        <f>Deals_Raw!E198</f>
        <v>CT00129</v>
      </c>
      <c r="E195">
        <f>Deals_Raw!AA198</f>
        <v>265200.94779701688</v>
      </c>
      <c r="F195">
        <f>ROUND(Deals_Raw!T198*(1-Deals_Raw!W198),2)</f>
        <v>265340.38</v>
      </c>
      <c r="G195">
        <f t="shared" ref="G195:G258" si="24">F195-E195</f>
        <v>139.43220298312372</v>
      </c>
      <c r="I195">
        <f>Deals_Raw!V198</f>
        <v>0.108</v>
      </c>
      <c r="J195">
        <f>Deals_Raw!W198</f>
        <v>0.10299999999999999</v>
      </c>
      <c r="K195" t="str">
        <f>Deals_Raw!Z198</f>
        <v>Pricing Analyst</v>
      </c>
      <c r="L195" t="str">
        <f t="shared" ref="L195:L258" si="25">IF(J195&lt;=I195, "yes", "no")</f>
        <v>yes</v>
      </c>
      <c r="M195" t="str">
        <f t="shared" ref="M195:M258" si="26">IF(AND(J195&lt;=0.1,K195="Sales Manager"),"Pass",
 IF(AND(J195&gt;0.1,J195&lt;=0.2,K195="Pricing Analyst"),"Pass",
 IF(AND(J195&gt;0.2,K195="Business Manager"),"Pass","Review")))</f>
        <v>Pass</v>
      </c>
      <c r="O195">
        <f>Deals_Raw!AP198</f>
        <v>0.58976919652344983</v>
      </c>
      <c r="P195" t="str">
        <f t="shared" ref="P195:P258" si="27">IF(O195&lt;=0.45, "True", "False")</f>
        <v>False</v>
      </c>
      <c r="R195" t="str">
        <f>Deals_Raw!AF198</f>
        <v>Won</v>
      </c>
      <c r="S195">
        <f t="shared" ref="S195:S258" si="28">IF($R195="Lost",0,T195)</f>
        <v>265340.38</v>
      </c>
      <c r="T195">
        <f>Deals_Raw!AM198</f>
        <v>265340.38</v>
      </c>
      <c r="U195">
        <f t="shared" ref="U195:U258" si="29">IF($R195="Lost",0,V195)</f>
        <v>265340.38</v>
      </c>
      <c r="V195">
        <f>Deals_Raw!AN198</f>
        <v>265340.38</v>
      </c>
      <c r="W195">
        <f t="shared" ref="W195:W258" si="30">IF($R195="Lost",0,X195)</f>
        <v>156489.58271782685</v>
      </c>
      <c r="X195">
        <f>Deals_Raw!AO198</f>
        <v>156489.58271782685</v>
      </c>
      <c r="Y195">
        <f t="shared" ref="Y195:Y258" si="31">IF($R195="Lost",0,Z195)</f>
        <v>0.58976919652344983</v>
      </c>
      <c r="Z195">
        <f>Deals_Raw!AP198</f>
        <v>0.58976919652344983</v>
      </c>
    </row>
    <row r="196" spans="1:26">
      <c r="A196" t="str">
        <f>Deals_Raw!A199</f>
        <v>D00221</v>
      </c>
      <c r="B196">
        <f>COUNTIF(Deals_Raw!$A$5:$A$643,A196)</f>
        <v>1</v>
      </c>
      <c r="C196" s="12" t="str">
        <f>Deals_Raw!E199</f>
        <v>CT00129</v>
      </c>
      <c r="E196">
        <f>Deals_Raw!AA199</f>
        <v>232193.53187699107</v>
      </c>
      <c r="F196">
        <f>ROUND(Deals_Raw!T199*(1-Deals_Raw!W199),2)</f>
        <v>232169.03</v>
      </c>
      <c r="G196">
        <f t="shared" si="24"/>
        <v>-24.501876991067547</v>
      </c>
      <c r="I196">
        <f>Deals_Raw!V199</f>
        <v>0.28100000000000003</v>
      </c>
      <c r="J196">
        <f>Deals_Raw!W199</f>
        <v>0.25900000000000001</v>
      </c>
      <c r="K196" t="str">
        <f>Deals_Raw!Z199</f>
        <v>Business Manager</v>
      </c>
      <c r="L196" t="str">
        <f t="shared" si="25"/>
        <v>yes</v>
      </c>
      <c r="M196" t="str">
        <f t="shared" si="26"/>
        <v>Pass</v>
      </c>
      <c r="O196">
        <f>Deals_Raw!AP199</f>
        <v>0.54627982711069678</v>
      </c>
      <c r="P196" t="str">
        <f t="shared" si="27"/>
        <v>False</v>
      </c>
      <c r="R196" t="str">
        <f>Deals_Raw!AF199</f>
        <v>Won</v>
      </c>
      <c r="S196">
        <f t="shared" si="28"/>
        <v>232169.03</v>
      </c>
      <c r="T196">
        <f>Deals_Raw!AM199</f>
        <v>232169.03</v>
      </c>
      <c r="U196">
        <f t="shared" si="29"/>
        <v>232169.03</v>
      </c>
      <c r="V196">
        <f>Deals_Raw!AN199</f>
        <v>232169.03</v>
      </c>
      <c r="W196">
        <f t="shared" si="30"/>
        <v>126829.25756885819</v>
      </c>
      <c r="X196">
        <f>Deals_Raw!AO199</f>
        <v>126829.25756885819</v>
      </c>
      <c r="Y196">
        <f t="shared" si="31"/>
        <v>0.54627982711069678</v>
      </c>
      <c r="Z196">
        <f>Deals_Raw!AP199</f>
        <v>0.54627982711069678</v>
      </c>
    </row>
    <row r="197" spans="1:26">
      <c r="A197" t="str">
        <f>Deals_Raw!A200</f>
        <v>D00223</v>
      </c>
      <c r="B197">
        <f>COUNTIF(Deals_Raw!$A$5:$A$643,A197)</f>
        <v>1</v>
      </c>
      <c r="C197" s="12" t="str">
        <f>Deals_Raw!E200</f>
        <v>CT00130</v>
      </c>
      <c r="E197">
        <f>Deals_Raw!AA200</f>
        <v>68404.332248874431</v>
      </c>
      <c r="F197">
        <f>ROUND(Deals_Raw!T200*(1-Deals_Raw!W200),2)</f>
        <v>68389.850000000006</v>
      </c>
      <c r="G197">
        <f t="shared" si="24"/>
        <v>-14.48224887442484</v>
      </c>
      <c r="I197">
        <f>Deals_Raw!V200</f>
        <v>0.17</v>
      </c>
      <c r="J197">
        <f>Deals_Raw!W200</f>
        <v>0.158</v>
      </c>
      <c r="K197" t="str">
        <f>Deals_Raw!Z200</f>
        <v>Pricing Analyst</v>
      </c>
      <c r="L197" t="str">
        <f t="shared" si="25"/>
        <v>yes</v>
      </c>
      <c r="M197" t="str">
        <f t="shared" si="26"/>
        <v>Pass</v>
      </c>
      <c r="O197">
        <f>Deals_Raw!AP200</f>
        <v>0.63075466653448187</v>
      </c>
      <c r="P197" t="str">
        <f t="shared" si="27"/>
        <v>False</v>
      </c>
      <c r="R197" t="str">
        <f>Deals_Raw!AF200</f>
        <v>Won</v>
      </c>
      <c r="S197">
        <f t="shared" si="28"/>
        <v>68389.850000000006</v>
      </c>
      <c r="T197">
        <f>Deals_Raw!AM200</f>
        <v>68389.850000000006</v>
      </c>
      <c r="U197">
        <f t="shared" si="29"/>
        <v>68389.850000000006</v>
      </c>
      <c r="V197">
        <f>Deals_Raw!AN200</f>
        <v>68389.850000000006</v>
      </c>
      <c r="W197">
        <f t="shared" si="30"/>
        <v>43137.217031093242</v>
      </c>
      <c r="X197">
        <f>Deals_Raw!AO200</f>
        <v>43137.217031093242</v>
      </c>
      <c r="Y197">
        <f t="shared" si="31"/>
        <v>0.63075466653448187</v>
      </c>
      <c r="Z197">
        <f>Deals_Raw!AP200</f>
        <v>0.63075466653448187</v>
      </c>
    </row>
    <row r="198" spans="1:26">
      <c r="A198" t="str">
        <f>Deals_Raw!A201</f>
        <v>D00224</v>
      </c>
      <c r="B198">
        <f>COUNTIF(Deals_Raw!$A$5:$A$643,A198)</f>
        <v>1</v>
      </c>
      <c r="C198" s="12" t="str">
        <f>Deals_Raw!E201</f>
        <v>CT00130</v>
      </c>
      <c r="E198">
        <f>Deals_Raw!AA201</f>
        <v>70424.94355478989</v>
      </c>
      <c r="F198">
        <f>ROUND(Deals_Raw!T201*(1-Deals_Raw!W201),2)</f>
        <v>70447.710000000006</v>
      </c>
      <c r="G198">
        <f t="shared" si="24"/>
        <v>22.766445210116217</v>
      </c>
      <c r="I198">
        <f>Deals_Raw!V201</f>
        <v>0.20399999999999999</v>
      </c>
      <c r="J198">
        <f>Deals_Raw!W201</f>
        <v>0.19600000000000001</v>
      </c>
      <c r="K198" t="str">
        <f>Deals_Raw!Z201</f>
        <v>Pricing Analyst</v>
      </c>
      <c r="L198" t="str">
        <f t="shared" si="25"/>
        <v>yes</v>
      </c>
      <c r="M198" t="str">
        <f t="shared" si="26"/>
        <v>Pass</v>
      </c>
      <c r="O198">
        <f>Deals_Raw!AP201</f>
        <v>0.66484157161294</v>
      </c>
      <c r="P198" t="str">
        <f t="shared" si="27"/>
        <v>False</v>
      </c>
      <c r="R198" t="str">
        <f>Deals_Raw!AF201</f>
        <v>Won</v>
      </c>
      <c r="S198">
        <f t="shared" si="28"/>
        <v>70447.710000000006</v>
      </c>
      <c r="T198">
        <f>Deals_Raw!AM201</f>
        <v>70447.710000000006</v>
      </c>
      <c r="U198">
        <f t="shared" si="29"/>
        <v>70447.710000000006</v>
      </c>
      <c r="V198">
        <f>Deals_Raw!AN201</f>
        <v>70447.710000000006</v>
      </c>
      <c r="W198">
        <f t="shared" si="30"/>
        <v>46836.56623293263</v>
      </c>
      <c r="X198">
        <f>Deals_Raw!AO201</f>
        <v>46836.56623293263</v>
      </c>
      <c r="Y198">
        <f t="shared" si="31"/>
        <v>0.66484157161294</v>
      </c>
      <c r="Z198">
        <f>Deals_Raw!AP201</f>
        <v>0.66484157161294</v>
      </c>
    </row>
    <row r="199" spans="1:26">
      <c r="A199" t="str">
        <f>Deals_Raw!A202</f>
        <v>D00225</v>
      </c>
      <c r="B199">
        <f>COUNTIF(Deals_Raw!$A$5:$A$643,A199)</f>
        <v>1</v>
      </c>
      <c r="C199" s="12" t="str">
        <f>Deals_Raw!E202</f>
        <v>CT00131</v>
      </c>
      <c r="E199">
        <f>Deals_Raw!AA202</f>
        <v>140551.04764513831</v>
      </c>
      <c r="F199">
        <f>ROUND(Deals_Raw!T202*(1-Deals_Raw!W202),2)</f>
        <v>140536.74</v>
      </c>
      <c r="G199">
        <f t="shared" si="24"/>
        <v>-14.307645138324006</v>
      </c>
      <c r="I199">
        <f>Deals_Raw!V202</f>
        <v>0.16800000000000001</v>
      </c>
      <c r="J199">
        <f>Deals_Raw!W202</f>
        <v>0.15</v>
      </c>
      <c r="K199" t="str">
        <f>Deals_Raw!Z202</f>
        <v>Pricing Analyst</v>
      </c>
      <c r="L199" t="str">
        <f t="shared" si="25"/>
        <v>yes</v>
      </c>
      <c r="M199" t="str">
        <f t="shared" si="26"/>
        <v>Pass</v>
      </c>
      <c r="O199">
        <f>Deals_Raw!AP202</f>
        <v>0.61116748354719963</v>
      </c>
      <c r="P199" t="str">
        <f t="shared" si="27"/>
        <v>False</v>
      </c>
      <c r="R199" t="str">
        <f>Deals_Raw!AF202</f>
        <v>Lost</v>
      </c>
      <c r="S199">
        <f t="shared" si="28"/>
        <v>0</v>
      </c>
      <c r="T199">
        <f>Deals_Raw!AM202</f>
        <v>140536.74</v>
      </c>
      <c r="U199">
        <f t="shared" si="29"/>
        <v>0</v>
      </c>
      <c r="V199">
        <f>Deals_Raw!AN202</f>
        <v>140536.74</v>
      </c>
      <c r="W199">
        <f t="shared" si="30"/>
        <v>0</v>
      </c>
      <c r="X199">
        <f>Deals_Raw!AO202</f>
        <v>85891.485731727065</v>
      </c>
      <c r="Y199">
        <f t="shared" si="31"/>
        <v>0</v>
      </c>
      <c r="Z199">
        <f>Deals_Raw!AP202</f>
        <v>0.61116748354719963</v>
      </c>
    </row>
    <row r="200" spans="1:26">
      <c r="A200" t="str">
        <f>Deals_Raw!A203</f>
        <v>D00226</v>
      </c>
      <c r="B200">
        <f>COUNTIF(Deals_Raw!$A$5:$A$643,A200)</f>
        <v>1</v>
      </c>
      <c r="C200" s="12" t="str">
        <f>Deals_Raw!E203</f>
        <v>CT00132</v>
      </c>
      <c r="E200">
        <f>Deals_Raw!AA203</f>
        <v>90963.55702190494</v>
      </c>
      <c r="F200">
        <f>ROUND(Deals_Raw!T203*(1-Deals_Raw!W203),2)</f>
        <v>90920.97</v>
      </c>
      <c r="G200">
        <f t="shared" si="24"/>
        <v>-42.58702190493932</v>
      </c>
      <c r="I200">
        <f>Deals_Raw!V203</f>
        <v>0.109</v>
      </c>
      <c r="J200">
        <f>Deals_Raw!W203</f>
        <v>9.5000000000000001E-2</v>
      </c>
      <c r="K200" t="str">
        <f>Deals_Raw!Z203</f>
        <v>Sales Manager</v>
      </c>
      <c r="L200" t="str">
        <f t="shared" si="25"/>
        <v>yes</v>
      </c>
      <c r="M200" t="str">
        <f t="shared" si="26"/>
        <v>Pass</v>
      </c>
      <c r="O200">
        <f>Deals_Raw!AP203</f>
        <v>0.49634768511283334</v>
      </c>
      <c r="P200" t="str">
        <f t="shared" si="27"/>
        <v>False</v>
      </c>
      <c r="R200" t="str">
        <f>Deals_Raw!AF203</f>
        <v>Won</v>
      </c>
      <c r="S200">
        <f t="shared" si="28"/>
        <v>90920.97</v>
      </c>
      <c r="T200">
        <f>Deals_Raw!AM203</f>
        <v>90920.97</v>
      </c>
      <c r="U200">
        <f t="shared" si="29"/>
        <v>90920.97</v>
      </c>
      <c r="V200">
        <f>Deals_Raw!AN203</f>
        <v>90920.97</v>
      </c>
      <c r="W200">
        <f t="shared" si="30"/>
        <v>45128.412987713367</v>
      </c>
      <c r="X200">
        <f>Deals_Raw!AO203</f>
        <v>45128.412987713367</v>
      </c>
      <c r="Y200">
        <f t="shared" si="31"/>
        <v>0.49634768511283334</v>
      </c>
      <c r="Z200">
        <f>Deals_Raw!AP203</f>
        <v>0.49634768511283334</v>
      </c>
    </row>
    <row r="201" spans="1:26">
      <c r="A201" t="str">
        <f>Deals_Raw!A204</f>
        <v>D00227</v>
      </c>
      <c r="B201">
        <f>COUNTIF(Deals_Raw!$A$5:$A$643,A201)</f>
        <v>1</v>
      </c>
      <c r="C201" s="12" t="str">
        <f>Deals_Raw!E204</f>
        <v>CT00132</v>
      </c>
      <c r="E201">
        <f>Deals_Raw!AA204</f>
        <v>115863.13350939096</v>
      </c>
      <c r="F201">
        <f>ROUND(Deals_Raw!T204*(1-Deals_Raw!W204),2)</f>
        <v>115845.61</v>
      </c>
      <c r="G201">
        <f t="shared" si="24"/>
        <v>-17.52350939095777</v>
      </c>
      <c r="I201">
        <f>Deals_Raw!V204</f>
        <v>3.2000000000000001E-2</v>
      </c>
      <c r="J201">
        <f>Deals_Raw!W204</f>
        <v>2.1999999999999999E-2</v>
      </c>
      <c r="K201" t="str">
        <f>Deals_Raw!Z204</f>
        <v>Sales Manager</v>
      </c>
      <c r="L201" t="str">
        <f t="shared" si="25"/>
        <v>yes</v>
      </c>
      <c r="M201" t="str">
        <f t="shared" si="26"/>
        <v>Pass</v>
      </c>
      <c r="O201">
        <f>Deals_Raw!AP204</f>
        <v>0.61353491575309216</v>
      </c>
      <c r="P201" t="str">
        <f t="shared" si="27"/>
        <v>False</v>
      </c>
      <c r="R201" t="str">
        <f>Deals_Raw!AF204</f>
        <v>Won</v>
      </c>
      <c r="S201">
        <f t="shared" si="28"/>
        <v>115845.61</v>
      </c>
      <c r="T201">
        <f>Deals_Raw!AM204</f>
        <v>115845.61</v>
      </c>
      <c r="U201">
        <f t="shared" si="29"/>
        <v>115845.61</v>
      </c>
      <c r="V201">
        <f>Deals_Raw!AN204</f>
        <v>115845.61</v>
      </c>
      <c r="W201">
        <f t="shared" si="30"/>
        <v>71075.326571715574</v>
      </c>
      <c r="X201">
        <f>Deals_Raw!AO204</f>
        <v>71075.326571715574</v>
      </c>
      <c r="Y201">
        <f t="shared" si="31"/>
        <v>0.61353491575309216</v>
      </c>
      <c r="Z201">
        <f>Deals_Raw!AP204</f>
        <v>0.61353491575309216</v>
      </c>
    </row>
    <row r="202" spans="1:26">
      <c r="A202" t="str">
        <f>Deals_Raw!A205</f>
        <v>D00228</v>
      </c>
      <c r="B202">
        <f>COUNTIF(Deals_Raw!$A$5:$A$643,A202)</f>
        <v>1</v>
      </c>
      <c r="C202" s="12" t="str">
        <f>Deals_Raw!E205</f>
        <v>CT00132</v>
      </c>
      <c r="E202">
        <f>Deals_Raw!AA205</f>
        <v>110475.46848135866</v>
      </c>
      <c r="F202">
        <f>ROUND(Deals_Raw!T205*(1-Deals_Raw!W205),2)</f>
        <v>110517.85</v>
      </c>
      <c r="G202">
        <f t="shared" si="24"/>
        <v>42.381518641341245</v>
      </c>
      <c r="I202">
        <f>Deals_Raw!V205</f>
        <v>9.8000000000000004E-2</v>
      </c>
      <c r="J202">
        <f>Deals_Raw!W205</f>
        <v>0.09</v>
      </c>
      <c r="K202" t="str">
        <f>Deals_Raw!Z205</f>
        <v>Sales Manager</v>
      </c>
      <c r="L202" t="str">
        <f t="shared" si="25"/>
        <v>yes</v>
      </c>
      <c r="M202" t="str">
        <f t="shared" si="26"/>
        <v>Pass</v>
      </c>
      <c r="O202">
        <f>Deals_Raw!AP205</f>
        <v>0.57089760635039399</v>
      </c>
      <c r="P202" t="str">
        <f t="shared" si="27"/>
        <v>False</v>
      </c>
      <c r="R202" t="str">
        <f>Deals_Raw!AF205</f>
        <v>Lost</v>
      </c>
      <c r="S202">
        <f t="shared" si="28"/>
        <v>0</v>
      </c>
      <c r="T202">
        <f>Deals_Raw!AM205</f>
        <v>110517.85</v>
      </c>
      <c r="U202">
        <f t="shared" si="29"/>
        <v>0</v>
      </c>
      <c r="V202">
        <f>Deals_Raw!AN205</f>
        <v>110517.85</v>
      </c>
      <c r="W202">
        <f t="shared" si="30"/>
        <v>0</v>
      </c>
      <c r="X202">
        <f>Deals_Raw!AO205</f>
        <v>63094.376023991892</v>
      </c>
      <c r="Y202">
        <f t="shared" si="31"/>
        <v>0</v>
      </c>
      <c r="Z202">
        <f>Deals_Raw!AP205</f>
        <v>0.57089760635039399</v>
      </c>
    </row>
    <row r="203" spans="1:26">
      <c r="A203" t="str">
        <f>Deals_Raw!A206</f>
        <v>D00229</v>
      </c>
      <c r="B203">
        <f>COUNTIF(Deals_Raw!$A$5:$A$643,A203)</f>
        <v>1</v>
      </c>
      <c r="C203" s="12" t="str">
        <f>Deals_Raw!E206</f>
        <v>CT00132</v>
      </c>
      <c r="E203">
        <f>Deals_Raw!AA206</f>
        <v>101519.90139286032</v>
      </c>
      <c r="F203">
        <f>ROUND(Deals_Raw!T206*(1-Deals_Raw!W206),2)</f>
        <v>101530.68</v>
      </c>
      <c r="G203">
        <f t="shared" si="24"/>
        <v>10.778607139669475</v>
      </c>
      <c r="I203">
        <f>Deals_Raw!V206</f>
        <v>0.16500000000000001</v>
      </c>
      <c r="J203">
        <f>Deals_Raw!W206</f>
        <v>0.16400000000000001</v>
      </c>
      <c r="K203" t="str">
        <f>Deals_Raw!Z206</f>
        <v>Pricing Analyst</v>
      </c>
      <c r="L203" t="str">
        <f t="shared" si="25"/>
        <v>yes</v>
      </c>
      <c r="M203" t="str">
        <f t="shared" si="26"/>
        <v>Pass</v>
      </c>
      <c r="O203">
        <f>Deals_Raw!AP206</f>
        <v>0.51646568196493581</v>
      </c>
      <c r="P203" t="str">
        <f t="shared" si="27"/>
        <v>False</v>
      </c>
      <c r="R203" t="str">
        <f>Deals_Raw!AF206</f>
        <v>Won</v>
      </c>
      <c r="S203">
        <f t="shared" si="28"/>
        <v>101530.68</v>
      </c>
      <c r="T203">
        <f>Deals_Raw!AM206</f>
        <v>101530.68</v>
      </c>
      <c r="U203">
        <f t="shared" si="29"/>
        <v>101530.68</v>
      </c>
      <c r="V203">
        <f>Deals_Raw!AN206</f>
        <v>101530.68</v>
      </c>
      <c r="W203">
        <f t="shared" si="30"/>
        <v>52437.11188656366</v>
      </c>
      <c r="X203">
        <f>Deals_Raw!AO206</f>
        <v>52437.11188656366</v>
      </c>
      <c r="Y203">
        <f t="shared" si="31"/>
        <v>0.51646568196493581</v>
      </c>
      <c r="Z203">
        <f>Deals_Raw!AP206</f>
        <v>0.51646568196493581</v>
      </c>
    </row>
    <row r="204" spans="1:26">
      <c r="A204" t="str">
        <f>Deals_Raw!A207</f>
        <v>D00230</v>
      </c>
      <c r="B204">
        <f>COUNTIF(Deals_Raw!$A$5:$A$643,A204)</f>
        <v>1</v>
      </c>
      <c r="C204" s="12" t="str">
        <f>Deals_Raw!E207</f>
        <v>CT00133</v>
      </c>
      <c r="E204">
        <f>Deals_Raw!AA207</f>
        <v>105764.59847918188</v>
      </c>
      <c r="F204">
        <f>ROUND(Deals_Raw!T207*(1-Deals_Raw!W207),2)</f>
        <v>105727.26</v>
      </c>
      <c r="G204">
        <f t="shared" si="24"/>
        <v>-37.338479181882576</v>
      </c>
      <c r="I204">
        <f>Deals_Raw!V207</f>
        <v>0.14099999999999999</v>
      </c>
      <c r="J204">
        <f>Deals_Raw!W207</f>
        <v>0.13700000000000001</v>
      </c>
      <c r="K204" t="str">
        <f>Deals_Raw!Z207</f>
        <v>Pricing Analyst</v>
      </c>
      <c r="L204" t="str">
        <f t="shared" si="25"/>
        <v>yes</v>
      </c>
      <c r="M204" t="str">
        <f t="shared" si="26"/>
        <v>Pass</v>
      </c>
      <c r="O204">
        <f>Deals_Raw!AP207</f>
        <v>0.59672844524143631</v>
      </c>
      <c r="P204" t="str">
        <f t="shared" si="27"/>
        <v>False</v>
      </c>
      <c r="R204" t="str">
        <f>Deals_Raw!AF207</f>
        <v>Lost</v>
      </c>
      <c r="S204">
        <f t="shared" si="28"/>
        <v>0</v>
      </c>
      <c r="T204">
        <f>Deals_Raw!AM207</f>
        <v>105727.26</v>
      </c>
      <c r="U204">
        <f t="shared" si="29"/>
        <v>0</v>
      </c>
      <c r="V204">
        <f>Deals_Raw!AN207</f>
        <v>211454.52</v>
      </c>
      <c r="W204">
        <f t="shared" si="30"/>
        <v>0</v>
      </c>
      <c r="X204">
        <f>Deals_Raw!AO207</f>
        <v>63090.463479437101</v>
      </c>
      <c r="Y204">
        <f t="shared" si="31"/>
        <v>0</v>
      </c>
      <c r="Z204">
        <f>Deals_Raw!AP207</f>
        <v>0.59672844524143631</v>
      </c>
    </row>
    <row r="205" spans="1:26">
      <c r="A205" t="str">
        <f>Deals_Raw!A208</f>
        <v>D00231</v>
      </c>
      <c r="B205">
        <f>COUNTIF(Deals_Raw!$A$5:$A$643,A205)</f>
        <v>1</v>
      </c>
      <c r="C205" s="12" t="str">
        <f>Deals_Raw!E208</f>
        <v>CT00134</v>
      </c>
      <c r="E205">
        <f>Deals_Raw!AA208</f>
        <v>799283.58686107735</v>
      </c>
      <c r="F205">
        <f>ROUND(Deals_Raw!T208*(1-Deals_Raw!W208),2)</f>
        <v>799658.76</v>
      </c>
      <c r="G205">
        <f t="shared" si="24"/>
        <v>375.17313892266247</v>
      </c>
      <c r="I205">
        <f>Deals_Raw!V208</f>
        <v>0.248</v>
      </c>
      <c r="J205">
        <f>Deals_Raw!W208</f>
        <v>0.23899999999999999</v>
      </c>
      <c r="K205" t="str">
        <f>Deals_Raw!Z208</f>
        <v>Business Manager</v>
      </c>
      <c r="L205" t="str">
        <f t="shared" si="25"/>
        <v>yes</v>
      </c>
      <c r="M205" t="str">
        <f t="shared" si="26"/>
        <v>Pass</v>
      </c>
      <c r="O205">
        <f>Deals_Raw!AP208</f>
        <v>0.53401631373415925</v>
      </c>
      <c r="P205" t="str">
        <f t="shared" si="27"/>
        <v>False</v>
      </c>
      <c r="R205" t="str">
        <f>Deals_Raw!AF208</f>
        <v>Won</v>
      </c>
      <c r="S205">
        <f t="shared" si="28"/>
        <v>799658.76</v>
      </c>
      <c r="T205">
        <f>Deals_Raw!AM208</f>
        <v>799658.76</v>
      </c>
      <c r="U205">
        <f t="shared" si="29"/>
        <v>799658.76</v>
      </c>
      <c r="V205">
        <f>Deals_Raw!AN208</f>
        <v>799658.76</v>
      </c>
      <c r="W205">
        <f t="shared" si="30"/>
        <v>427030.82326042873</v>
      </c>
      <c r="X205">
        <f>Deals_Raw!AO208</f>
        <v>427030.82326042873</v>
      </c>
      <c r="Y205">
        <f t="shared" si="31"/>
        <v>0.53401631373415925</v>
      </c>
      <c r="Z205">
        <f>Deals_Raw!AP208</f>
        <v>0.53401631373415925</v>
      </c>
    </row>
    <row r="206" spans="1:26">
      <c r="A206" t="str">
        <f>Deals_Raw!A209</f>
        <v>D00232</v>
      </c>
      <c r="B206">
        <f>COUNTIF(Deals_Raw!$A$5:$A$643,A206)</f>
        <v>1</v>
      </c>
      <c r="C206" s="12" t="str">
        <f>Deals_Raw!E209</f>
        <v>CT00134</v>
      </c>
      <c r="E206">
        <f>Deals_Raw!AA209</f>
        <v>927329.75498612085</v>
      </c>
      <c r="F206">
        <f>ROUND(Deals_Raw!T209*(1-Deals_Raw!W209),2)</f>
        <v>927387.36</v>
      </c>
      <c r="G206">
        <f t="shared" si="24"/>
        <v>57.605013879132457</v>
      </c>
      <c r="I206">
        <f>Deals_Raw!V209</f>
        <v>0.17</v>
      </c>
      <c r="J206">
        <f>Deals_Raw!W209</f>
        <v>0.16800000000000001</v>
      </c>
      <c r="K206" t="str">
        <f>Deals_Raw!Z209</f>
        <v>Pricing Analyst</v>
      </c>
      <c r="L206" t="str">
        <f t="shared" si="25"/>
        <v>yes</v>
      </c>
      <c r="M206" t="str">
        <f t="shared" si="26"/>
        <v>Pass</v>
      </c>
      <c r="O206">
        <f>Deals_Raw!AP209</f>
        <v>0.59821649111620112</v>
      </c>
      <c r="P206" t="str">
        <f t="shared" si="27"/>
        <v>False</v>
      </c>
      <c r="R206" t="str">
        <f>Deals_Raw!AF209</f>
        <v>Lost</v>
      </c>
      <c r="S206">
        <f t="shared" si="28"/>
        <v>0</v>
      </c>
      <c r="T206">
        <f>Deals_Raw!AM209</f>
        <v>927387.36</v>
      </c>
      <c r="U206">
        <f t="shared" si="29"/>
        <v>0</v>
      </c>
      <c r="V206">
        <f>Deals_Raw!AN209</f>
        <v>927387.36</v>
      </c>
      <c r="W206">
        <f t="shared" si="30"/>
        <v>0</v>
      </c>
      <c r="X206">
        <f>Deals_Raw!AO209</f>
        <v>554778.41240471718</v>
      </c>
      <c r="Y206">
        <f t="shared" si="31"/>
        <v>0</v>
      </c>
      <c r="Z206">
        <f>Deals_Raw!AP209</f>
        <v>0.59821649111620112</v>
      </c>
    </row>
    <row r="207" spans="1:26">
      <c r="A207" t="str">
        <f>Deals_Raw!A210</f>
        <v>D00234</v>
      </c>
      <c r="B207">
        <f>COUNTIF(Deals_Raw!$A$5:$A$643,A207)</f>
        <v>1</v>
      </c>
      <c r="C207" s="12" t="str">
        <f>Deals_Raw!E210</f>
        <v>CT00135</v>
      </c>
      <c r="E207">
        <f>Deals_Raw!AA210</f>
        <v>42351.70869757115</v>
      </c>
      <c r="F207">
        <f>ROUND(Deals_Raw!T210*(1-Deals_Raw!W210),2)</f>
        <v>42365.79</v>
      </c>
      <c r="G207">
        <f t="shared" si="24"/>
        <v>14.081302428850904</v>
      </c>
      <c r="I207">
        <f>Deals_Raw!V210</f>
        <v>0.121</v>
      </c>
      <c r="J207">
        <f>Deals_Raw!W210</f>
        <v>0.11799999999999999</v>
      </c>
      <c r="K207" t="str">
        <f>Deals_Raw!Z210</f>
        <v>Pricing Analyst</v>
      </c>
      <c r="L207" t="str">
        <f t="shared" si="25"/>
        <v>yes</v>
      </c>
      <c r="M207" t="str">
        <f t="shared" si="26"/>
        <v>Pass</v>
      </c>
      <c r="O207">
        <f>Deals_Raw!AP210</f>
        <v>0.63554622369490732</v>
      </c>
      <c r="P207" t="str">
        <f t="shared" si="27"/>
        <v>False</v>
      </c>
      <c r="R207" t="str">
        <f>Deals_Raw!AF210</f>
        <v>Won</v>
      </c>
      <c r="S207">
        <f t="shared" si="28"/>
        <v>42365.79</v>
      </c>
      <c r="T207">
        <f>Deals_Raw!AM210</f>
        <v>42365.79</v>
      </c>
      <c r="U207">
        <f t="shared" si="29"/>
        <v>42365.79</v>
      </c>
      <c r="V207">
        <f>Deals_Raw!AN210</f>
        <v>42365.79</v>
      </c>
      <c r="W207">
        <f t="shared" si="30"/>
        <v>26925.41784835147</v>
      </c>
      <c r="X207">
        <f>Deals_Raw!AO210</f>
        <v>26925.41784835147</v>
      </c>
      <c r="Y207">
        <f t="shared" si="31"/>
        <v>0.63554622369490732</v>
      </c>
      <c r="Z207">
        <f>Deals_Raw!AP210</f>
        <v>0.63554622369490732</v>
      </c>
    </row>
    <row r="208" spans="1:26">
      <c r="A208" t="str">
        <f>Deals_Raw!A211</f>
        <v>D00235</v>
      </c>
      <c r="B208">
        <f>COUNTIF(Deals_Raw!$A$5:$A$643,A208)</f>
        <v>1</v>
      </c>
      <c r="C208" s="12" t="str">
        <f>Deals_Raw!E211</f>
        <v>CT00135</v>
      </c>
      <c r="E208">
        <f>Deals_Raw!AA211</f>
        <v>41431.854120656979</v>
      </c>
      <c r="F208">
        <f>ROUND(Deals_Raw!T211*(1-Deals_Raw!W211),2)</f>
        <v>41449.040000000001</v>
      </c>
      <c r="G208">
        <f t="shared" si="24"/>
        <v>17.185879343021952</v>
      </c>
      <c r="I208">
        <f>Deals_Raw!V211</f>
        <v>0.186</v>
      </c>
      <c r="J208">
        <f>Deals_Raw!W211</f>
        <v>0.16800000000000001</v>
      </c>
      <c r="K208" t="str">
        <f>Deals_Raw!Z211</f>
        <v>Pricing Analyst</v>
      </c>
      <c r="L208" t="str">
        <f t="shared" si="25"/>
        <v>yes</v>
      </c>
      <c r="M208" t="str">
        <f t="shared" si="26"/>
        <v>Pass</v>
      </c>
      <c r="O208">
        <f>Deals_Raw!AP211</f>
        <v>0.66673362616399279</v>
      </c>
      <c r="P208" t="str">
        <f t="shared" si="27"/>
        <v>False</v>
      </c>
      <c r="R208" t="str">
        <f>Deals_Raw!AF211</f>
        <v>Won</v>
      </c>
      <c r="S208">
        <f t="shared" si="28"/>
        <v>41449.040000000001</v>
      </c>
      <c r="T208">
        <f>Deals_Raw!AM211</f>
        <v>41449.040000000001</v>
      </c>
      <c r="U208">
        <f t="shared" si="29"/>
        <v>41449.040000000001</v>
      </c>
      <c r="V208">
        <f>Deals_Raw!AN211</f>
        <v>41449.040000000001</v>
      </c>
      <c r="W208">
        <f t="shared" si="30"/>
        <v>27635.468740216384</v>
      </c>
      <c r="X208">
        <f>Deals_Raw!AO211</f>
        <v>27635.468740216384</v>
      </c>
      <c r="Y208">
        <f t="shared" si="31"/>
        <v>0.66673362616399279</v>
      </c>
      <c r="Z208">
        <f>Deals_Raw!AP211</f>
        <v>0.66673362616399279</v>
      </c>
    </row>
    <row r="209" spans="1:26">
      <c r="A209" t="str">
        <f>Deals_Raw!A212</f>
        <v>D00236</v>
      </c>
      <c r="B209">
        <f>COUNTIF(Deals_Raw!$A$5:$A$643,A209)</f>
        <v>1</v>
      </c>
      <c r="C209" s="12" t="str">
        <f>Deals_Raw!E212</f>
        <v>CT00135</v>
      </c>
      <c r="E209">
        <f>Deals_Raw!AA212</f>
        <v>44558.478584936012</v>
      </c>
      <c r="F209">
        <f>ROUND(Deals_Raw!T212*(1-Deals_Raw!W212),2)</f>
        <v>44547.19</v>
      </c>
      <c r="G209">
        <f t="shared" si="24"/>
        <v>-11.288584936010011</v>
      </c>
      <c r="I209">
        <f>Deals_Raw!V212</f>
        <v>0.157</v>
      </c>
      <c r="J209">
        <f>Deals_Raw!W212</f>
        <v>0.13200000000000001</v>
      </c>
      <c r="K209" t="str">
        <f>Deals_Raw!Z212</f>
        <v>Pricing Analyst</v>
      </c>
      <c r="L209" t="str">
        <f t="shared" si="25"/>
        <v>yes</v>
      </c>
      <c r="M209" t="str">
        <f t="shared" si="26"/>
        <v>Pass</v>
      </c>
      <c r="O209">
        <f>Deals_Raw!AP212</f>
        <v>0.68373517638733661</v>
      </c>
      <c r="P209" t="str">
        <f t="shared" si="27"/>
        <v>False</v>
      </c>
      <c r="R209" t="str">
        <f>Deals_Raw!AF212</f>
        <v>Lost</v>
      </c>
      <c r="S209">
        <f t="shared" si="28"/>
        <v>0</v>
      </c>
      <c r="T209">
        <f>Deals_Raw!AM212</f>
        <v>44547.19</v>
      </c>
      <c r="U209">
        <f t="shared" si="29"/>
        <v>0</v>
      </c>
      <c r="V209">
        <f>Deals_Raw!AN212</f>
        <v>44547.19</v>
      </c>
      <c r="W209">
        <f t="shared" si="30"/>
        <v>0</v>
      </c>
      <c r="X209">
        <f>Deals_Raw!AO212</f>
        <v>30458.480812210197</v>
      </c>
      <c r="Y209">
        <f t="shared" si="31"/>
        <v>0</v>
      </c>
      <c r="Z209">
        <f>Deals_Raw!AP212</f>
        <v>0.68373517638733661</v>
      </c>
    </row>
    <row r="210" spans="1:26">
      <c r="A210" t="str">
        <f>Deals_Raw!A213</f>
        <v>D00238</v>
      </c>
      <c r="B210">
        <f>COUNTIF(Deals_Raw!$A$5:$A$643,A210)</f>
        <v>1</v>
      </c>
      <c r="C210" s="12" t="str">
        <f>Deals_Raw!E213</f>
        <v>CT00136</v>
      </c>
      <c r="E210">
        <f>Deals_Raw!AA213</f>
        <v>338789.33425424184</v>
      </c>
      <c r="F210">
        <f>ROUND(Deals_Raw!T213*(1-Deals_Raw!W213),2)</f>
        <v>338957.74</v>
      </c>
      <c r="G210">
        <f t="shared" si="24"/>
        <v>168.40574575815117</v>
      </c>
      <c r="I210">
        <f>Deals_Raw!V213</f>
        <v>0.12</v>
      </c>
      <c r="J210">
        <f>Deals_Raw!W213</f>
        <v>0.113</v>
      </c>
      <c r="K210" t="str">
        <f>Deals_Raw!Z213</f>
        <v>Pricing Analyst</v>
      </c>
      <c r="L210" t="str">
        <f t="shared" si="25"/>
        <v>yes</v>
      </c>
      <c r="M210" t="str">
        <f t="shared" si="26"/>
        <v>Pass</v>
      </c>
      <c r="O210">
        <f>Deals_Raw!AP213</f>
        <v>0.59613609875491547</v>
      </c>
      <c r="P210" t="str">
        <f t="shared" si="27"/>
        <v>False</v>
      </c>
      <c r="R210" t="str">
        <f>Deals_Raw!AF213</f>
        <v>Lost</v>
      </c>
      <c r="S210">
        <f t="shared" si="28"/>
        <v>0</v>
      </c>
      <c r="T210">
        <f>Deals_Raw!AM213</f>
        <v>338957.74</v>
      </c>
      <c r="U210">
        <f t="shared" si="29"/>
        <v>0</v>
      </c>
      <c r="V210">
        <f>Deals_Raw!AN213</f>
        <v>338957.74</v>
      </c>
      <c r="W210">
        <f t="shared" si="30"/>
        <v>0</v>
      </c>
      <c r="X210">
        <f>Deals_Raw!AO213</f>
        <v>202064.94476638295</v>
      </c>
      <c r="Y210">
        <f t="shared" si="31"/>
        <v>0</v>
      </c>
      <c r="Z210">
        <f>Deals_Raw!AP213</f>
        <v>0.59613609875491547</v>
      </c>
    </row>
    <row r="211" spans="1:26">
      <c r="A211" t="str">
        <f>Deals_Raw!A214</f>
        <v>D00239</v>
      </c>
      <c r="B211">
        <f>COUNTIF(Deals_Raw!$A$5:$A$643,A211)</f>
        <v>1</v>
      </c>
      <c r="C211" s="12" t="str">
        <f>Deals_Raw!E214</f>
        <v>CT00136</v>
      </c>
      <c r="E211">
        <f>Deals_Raw!AA214</f>
        <v>287079.84683204978</v>
      </c>
      <c r="F211">
        <f>ROUND(Deals_Raw!T214*(1-Deals_Raw!W214),2)</f>
        <v>286926.87</v>
      </c>
      <c r="G211">
        <f t="shared" si="24"/>
        <v>-152.97683204978239</v>
      </c>
      <c r="I211">
        <f>Deals_Raw!V214</f>
        <v>7.2999999999999995E-2</v>
      </c>
      <c r="J211">
        <f>Deals_Raw!W214</f>
        <v>6.6000000000000003E-2</v>
      </c>
      <c r="K211" t="str">
        <f>Deals_Raw!Z214</f>
        <v>Sales Manager</v>
      </c>
      <c r="L211" t="str">
        <f t="shared" si="25"/>
        <v>yes</v>
      </c>
      <c r="M211" t="str">
        <f t="shared" si="26"/>
        <v>Pass</v>
      </c>
      <c r="O211">
        <f>Deals_Raw!AP214</f>
        <v>0.60092698890913232</v>
      </c>
      <c r="P211" t="str">
        <f t="shared" si="27"/>
        <v>False</v>
      </c>
      <c r="R211" t="str">
        <f>Deals_Raw!AF214</f>
        <v>Lost</v>
      </c>
      <c r="S211">
        <f t="shared" si="28"/>
        <v>0</v>
      </c>
      <c r="T211">
        <f>Deals_Raw!AM214</f>
        <v>286926.87</v>
      </c>
      <c r="U211">
        <f t="shared" si="29"/>
        <v>0</v>
      </c>
      <c r="V211">
        <f>Deals_Raw!AN214</f>
        <v>286926.87</v>
      </c>
      <c r="W211">
        <f t="shared" si="30"/>
        <v>0</v>
      </c>
      <c r="X211">
        <f>Deals_Raw!AO214</f>
        <v>172422.10002622206</v>
      </c>
      <c r="Y211">
        <f t="shared" si="31"/>
        <v>0</v>
      </c>
      <c r="Z211">
        <f>Deals_Raw!AP214</f>
        <v>0.60092698890913232</v>
      </c>
    </row>
    <row r="212" spans="1:26">
      <c r="A212" t="str">
        <f>Deals_Raw!A215</f>
        <v>D00240</v>
      </c>
      <c r="B212">
        <f>COUNTIF(Deals_Raw!$A$5:$A$643,A212)</f>
        <v>1</v>
      </c>
      <c r="C212" s="12" t="str">
        <f>Deals_Raw!E215</f>
        <v>CT00137</v>
      </c>
      <c r="E212">
        <f>Deals_Raw!AA215</f>
        <v>89092.084191075337</v>
      </c>
      <c r="F212">
        <f>ROUND(Deals_Raw!T215*(1-Deals_Raw!W215),2)</f>
        <v>89048.19</v>
      </c>
      <c r="G212">
        <f t="shared" si="24"/>
        <v>-43.894191075334675</v>
      </c>
      <c r="I212">
        <f>Deals_Raw!V215</f>
        <v>0.14099999999999999</v>
      </c>
      <c r="J212">
        <f>Deals_Raw!W215</f>
        <v>9.8000000000000004E-2</v>
      </c>
      <c r="K212" t="str">
        <f>Deals_Raw!Z215</f>
        <v>Sales Manager</v>
      </c>
      <c r="L212" t="str">
        <f t="shared" si="25"/>
        <v>yes</v>
      </c>
      <c r="M212" t="str">
        <f t="shared" si="26"/>
        <v>Pass</v>
      </c>
      <c r="O212">
        <f>Deals_Raw!AP215</f>
        <v>0.61583977620926822</v>
      </c>
      <c r="P212" t="str">
        <f t="shared" si="27"/>
        <v>False</v>
      </c>
      <c r="R212" t="str">
        <f>Deals_Raw!AF215</f>
        <v>Lost</v>
      </c>
      <c r="S212">
        <f t="shared" si="28"/>
        <v>0</v>
      </c>
      <c r="T212">
        <f>Deals_Raw!AM215</f>
        <v>89048.19</v>
      </c>
      <c r="U212">
        <f t="shared" si="29"/>
        <v>0</v>
      </c>
      <c r="V212">
        <f>Deals_Raw!AN215</f>
        <v>89048.19</v>
      </c>
      <c r="W212">
        <f t="shared" si="30"/>
        <v>0</v>
      </c>
      <c r="X212">
        <f>Deals_Raw!AO215</f>
        <v>54839.417401440398</v>
      </c>
      <c r="Y212">
        <f t="shared" si="31"/>
        <v>0</v>
      </c>
      <c r="Z212">
        <f>Deals_Raw!AP215</f>
        <v>0.61583977620926822</v>
      </c>
    </row>
    <row r="213" spans="1:26">
      <c r="A213" t="str">
        <f>Deals_Raw!A216</f>
        <v>D00241</v>
      </c>
      <c r="B213">
        <f>COUNTIF(Deals_Raw!$A$5:$A$643,A213)</f>
        <v>1</v>
      </c>
      <c r="C213" s="12" t="str">
        <f>Deals_Raw!E216</f>
        <v>CT00137</v>
      </c>
      <c r="E213">
        <f>Deals_Raw!AA216</f>
        <v>81012.28681227268</v>
      </c>
      <c r="F213">
        <f>ROUND(Deals_Raw!T216*(1-Deals_Raw!W216),2)</f>
        <v>81051.62</v>
      </c>
      <c r="G213">
        <f t="shared" si="24"/>
        <v>39.333187727315817</v>
      </c>
      <c r="I213">
        <f>Deals_Raw!V216</f>
        <v>0.191</v>
      </c>
      <c r="J213">
        <f>Deals_Raw!W216</f>
        <v>0.17899999999999999</v>
      </c>
      <c r="K213" t="str">
        <f>Deals_Raw!Z216</f>
        <v>Pricing Analyst</v>
      </c>
      <c r="L213" t="str">
        <f t="shared" si="25"/>
        <v>yes</v>
      </c>
      <c r="M213" t="str">
        <f t="shared" si="26"/>
        <v>Pass</v>
      </c>
      <c r="O213">
        <f>Deals_Raw!AP216</f>
        <v>0.55901166080999598</v>
      </c>
      <c r="P213" t="str">
        <f t="shared" si="27"/>
        <v>False</v>
      </c>
      <c r="R213" t="str">
        <f>Deals_Raw!AF216</f>
        <v>Won</v>
      </c>
      <c r="S213">
        <f t="shared" si="28"/>
        <v>81051.62</v>
      </c>
      <c r="T213">
        <f>Deals_Raw!AM216</f>
        <v>81051.62</v>
      </c>
      <c r="U213">
        <f t="shared" si="29"/>
        <v>81051.62</v>
      </c>
      <c r="V213">
        <f>Deals_Raw!AN216</f>
        <v>81051.62</v>
      </c>
      <c r="W213">
        <f t="shared" si="30"/>
        <v>45308.800707540686</v>
      </c>
      <c r="X213">
        <f>Deals_Raw!AO216</f>
        <v>45308.800707540686</v>
      </c>
      <c r="Y213">
        <f t="shared" si="31"/>
        <v>0.55901166080999598</v>
      </c>
      <c r="Z213">
        <f>Deals_Raw!AP216</f>
        <v>0.55901166080999598</v>
      </c>
    </row>
    <row r="214" spans="1:26">
      <c r="A214" t="str">
        <f>Deals_Raw!A217</f>
        <v>D00242</v>
      </c>
      <c r="B214">
        <f>COUNTIF(Deals_Raw!$A$5:$A$643,A214)</f>
        <v>1</v>
      </c>
      <c r="C214" s="12" t="str">
        <f>Deals_Raw!E217</f>
        <v>CT00138</v>
      </c>
      <c r="E214">
        <f>Deals_Raw!AA217</f>
        <v>88986.945934349889</v>
      </c>
      <c r="F214">
        <f>ROUND(Deals_Raw!T217*(1-Deals_Raw!W217),2)</f>
        <v>88992.25</v>
      </c>
      <c r="G214">
        <f t="shared" si="24"/>
        <v>5.3040656501107151</v>
      </c>
      <c r="I214">
        <f>Deals_Raw!V217</f>
        <v>0.16400000000000001</v>
      </c>
      <c r="J214">
        <f>Deals_Raw!W217</f>
        <v>0.14499999999999999</v>
      </c>
      <c r="K214" t="str">
        <f>Deals_Raw!Z217</f>
        <v>Pricing Analyst</v>
      </c>
      <c r="L214" t="str">
        <f t="shared" si="25"/>
        <v>yes</v>
      </c>
      <c r="M214" t="str">
        <f t="shared" si="26"/>
        <v>Pass</v>
      </c>
      <c r="O214">
        <f>Deals_Raw!AP217</f>
        <v>0.55953712291640623</v>
      </c>
      <c r="P214" t="str">
        <f t="shared" si="27"/>
        <v>False</v>
      </c>
      <c r="R214" t="str">
        <f>Deals_Raw!AF217</f>
        <v>Lost</v>
      </c>
      <c r="S214">
        <f t="shared" si="28"/>
        <v>0</v>
      </c>
      <c r="T214">
        <f>Deals_Raw!AM217</f>
        <v>88992.25</v>
      </c>
      <c r="U214">
        <f t="shared" si="29"/>
        <v>0</v>
      </c>
      <c r="V214">
        <f>Deals_Raw!AN217</f>
        <v>266976.75</v>
      </c>
      <c r="W214">
        <f t="shared" si="30"/>
        <v>0</v>
      </c>
      <c r="X214">
        <f>Deals_Raw!AO217</f>
        <v>49794.467526857552</v>
      </c>
      <c r="Y214">
        <f t="shared" si="31"/>
        <v>0</v>
      </c>
      <c r="Z214">
        <f>Deals_Raw!AP217</f>
        <v>0.55953712291640623</v>
      </c>
    </row>
    <row r="215" spans="1:26">
      <c r="A215" t="str">
        <f>Deals_Raw!A218</f>
        <v>D00243</v>
      </c>
      <c r="B215">
        <f>COUNTIF(Deals_Raw!$A$5:$A$643,A215)</f>
        <v>1</v>
      </c>
      <c r="C215" s="12" t="str">
        <f>Deals_Raw!E218</f>
        <v>CT00140</v>
      </c>
      <c r="E215">
        <f>Deals_Raw!AA218</f>
        <v>19891.930272292178</v>
      </c>
      <c r="F215">
        <f>ROUND(Deals_Raw!T218*(1-Deals_Raw!W218),2)</f>
        <v>19882.61</v>
      </c>
      <c r="G215">
        <f t="shared" si="24"/>
        <v>-9.3202722921778332</v>
      </c>
      <c r="I215">
        <f>Deals_Raw!V218</f>
        <v>0.13</v>
      </c>
      <c r="J215">
        <f>Deals_Raw!W218</f>
        <v>0.11</v>
      </c>
      <c r="K215" t="str">
        <f>Deals_Raw!Z218</f>
        <v>Pricing Analyst</v>
      </c>
      <c r="L215" t="str">
        <f t="shared" si="25"/>
        <v>yes</v>
      </c>
      <c r="M215" t="str">
        <f t="shared" si="26"/>
        <v>Pass</v>
      </c>
      <c r="O215">
        <f>Deals_Raw!AP218</f>
        <v>0.73157263997812738</v>
      </c>
      <c r="P215" t="str">
        <f t="shared" si="27"/>
        <v>False</v>
      </c>
      <c r="R215" t="str">
        <f>Deals_Raw!AF218</f>
        <v>Won</v>
      </c>
      <c r="S215">
        <f t="shared" si="28"/>
        <v>19882.61</v>
      </c>
      <c r="T215">
        <f>Deals_Raw!AM218</f>
        <v>19882.61</v>
      </c>
      <c r="U215">
        <f t="shared" si="29"/>
        <v>59647.83</v>
      </c>
      <c r="V215">
        <f>Deals_Raw!AN218</f>
        <v>59647.83</v>
      </c>
      <c r="W215">
        <f t="shared" si="30"/>
        <v>14545.573487355516</v>
      </c>
      <c r="X215">
        <f>Deals_Raw!AO218</f>
        <v>14545.573487355516</v>
      </c>
      <c r="Y215">
        <f t="shared" si="31"/>
        <v>0.73157263997812738</v>
      </c>
      <c r="Z215">
        <f>Deals_Raw!AP218</f>
        <v>0.73157263997812738</v>
      </c>
    </row>
    <row r="216" spans="1:26">
      <c r="A216" t="str">
        <f>Deals_Raw!A219</f>
        <v>D00244</v>
      </c>
      <c r="B216">
        <f>COUNTIF(Deals_Raw!$A$5:$A$643,A216)</f>
        <v>1</v>
      </c>
      <c r="C216" s="12" t="str">
        <f>Deals_Raw!E219</f>
        <v>CT00141</v>
      </c>
      <c r="E216">
        <f>Deals_Raw!AA219</f>
        <v>37168.734620594958</v>
      </c>
      <c r="F216">
        <f>ROUND(Deals_Raw!T219*(1-Deals_Raw!W219),2)</f>
        <v>37168.089999999997</v>
      </c>
      <c r="G216">
        <f t="shared" si="24"/>
        <v>-0.6446205949614523</v>
      </c>
      <c r="I216">
        <f>Deals_Raw!V219</f>
        <v>8.4000000000000005E-2</v>
      </c>
      <c r="J216">
        <f>Deals_Raw!W219</f>
        <v>7.3999999999999996E-2</v>
      </c>
      <c r="K216" t="str">
        <f>Deals_Raw!Z219</f>
        <v>Sales Manager</v>
      </c>
      <c r="L216" t="str">
        <f t="shared" si="25"/>
        <v>yes</v>
      </c>
      <c r="M216" t="str">
        <f t="shared" si="26"/>
        <v>Pass</v>
      </c>
      <c r="O216">
        <f>Deals_Raw!AP219</f>
        <v>0.68622862700306897</v>
      </c>
      <c r="P216" t="str">
        <f t="shared" si="27"/>
        <v>False</v>
      </c>
      <c r="R216" t="str">
        <f>Deals_Raw!AF219</f>
        <v>Won</v>
      </c>
      <c r="S216">
        <f t="shared" si="28"/>
        <v>37168.089999999997</v>
      </c>
      <c r="T216">
        <f>Deals_Raw!AM219</f>
        <v>37168.089999999997</v>
      </c>
      <c r="U216">
        <f t="shared" si="29"/>
        <v>111504.26999999999</v>
      </c>
      <c r="V216">
        <f>Deals_Raw!AN219</f>
        <v>111504.26999999999</v>
      </c>
      <c r="W216">
        <f t="shared" si="30"/>
        <v>25505.807369026497</v>
      </c>
      <c r="X216">
        <f>Deals_Raw!AO219</f>
        <v>25505.807369026497</v>
      </c>
      <c r="Y216">
        <f t="shared" si="31"/>
        <v>0.68622862700306897</v>
      </c>
      <c r="Z216">
        <f>Deals_Raw!AP219</f>
        <v>0.68622862700306897</v>
      </c>
    </row>
    <row r="217" spans="1:26">
      <c r="A217" t="str">
        <f>Deals_Raw!A220</f>
        <v>D00245</v>
      </c>
      <c r="B217">
        <f>COUNTIF(Deals_Raw!$A$5:$A$643,A217)</f>
        <v>1</v>
      </c>
      <c r="C217" s="12" t="str">
        <f>Deals_Raw!E220</f>
        <v>CT00142</v>
      </c>
      <c r="E217">
        <f>Deals_Raw!AA220</f>
        <v>146284.00001394833</v>
      </c>
      <c r="F217">
        <f>ROUND(Deals_Raw!T220*(1-Deals_Raw!W220),2)</f>
        <v>146333.64000000001</v>
      </c>
      <c r="G217">
        <f t="shared" si="24"/>
        <v>49.639986051683081</v>
      </c>
      <c r="I217">
        <f>Deals_Raw!V220</f>
        <v>8.3000000000000004E-2</v>
      </c>
      <c r="J217">
        <f>Deals_Raw!W220</f>
        <v>6.8000000000000005E-2</v>
      </c>
      <c r="K217" t="str">
        <f>Deals_Raw!Z220</f>
        <v>Sales Manager</v>
      </c>
      <c r="L217" t="str">
        <f t="shared" si="25"/>
        <v>yes</v>
      </c>
      <c r="M217" t="str">
        <f t="shared" si="26"/>
        <v>Pass</v>
      </c>
      <c r="O217">
        <f>Deals_Raw!AP220</f>
        <v>0.55381747973164697</v>
      </c>
      <c r="P217" t="str">
        <f t="shared" si="27"/>
        <v>False</v>
      </c>
      <c r="R217" t="str">
        <f>Deals_Raw!AF220</f>
        <v>Lost</v>
      </c>
      <c r="S217">
        <f t="shared" si="28"/>
        <v>0</v>
      </c>
      <c r="T217">
        <f>Deals_Raw!AM220</f>
        <v>146333.64000000001</v>
      </c>
      <c r="U217">
        <f t="shared" si="29"/>
        <v>0</v>
      </c>
      <c r="V217">
        <f>Deals_Raw!AN220</f>
        <v>146333.64000000001</v>
      </c>
      <c r="W217">
        <f t="shared" si="30"/>
        <v>0</v>
      </c>
      <c r="X217">
        <f>Deals_Raw!AO220</f>
        <v>81042.127704758139</v>
      </c>
      <c r="Y217">
        <f t="shared" si="31"/>
        <v>0</v>
      </c>
      <c r="Z217">
        <f>Deals_Raw!AP220</f>
        <v>0.55381747973164697</v>
      </c>
    </row>
    <row r="218" spans="1:26">
      <c r="A218" t="str">
        <f>Deals_Raw!A221</f>
        <v>D00246</v>
      </c>
      <c r="B218">
        <f>COUNTIF(Deals_Raw!$A$5:$A$643,A218)</f>
        <v>1</v>
      </c>
      <c r="C218" s="12" t="str">
        <f>Deals_Raw!E221</f>
        <v>CT00142</v>
      </c>
      <c r="E218">
        <f>Deals_Raw!AA221</f>
        <v>132563.57907817294</v>
      </c>
      <c r="F218">
        <f>ROUND(Deals_Raw!T221*(1-Deals_Raw!W221),2)</f>
        <v>132516.73000000001</v>
      </c>
      <c r="G218">
        <f t="shared" si="24"/>
        <v>-46.849078172934242</v>
      </c>
      <c r="I218">
        <f>Deals_Raw!V221</f>
        <v>0.191</v>
      </c>
      <c r="J218">
        <f>Deals_Raw!W221</f>
        <v>0.156</v>
      </c>
      <c r="K218" t="str">
        <f>Deals_Raw!Z221</f>
        <v>Pricing Analyst</v>
      </c>
      <c r="L218" t="str">
        <f t="shared" si="25"/>
        <v>yes</v>
      </c>
      <c r="M218" t="str">
        <f t="shared" si="26"/>
        <v>Pass</v>
      </c>
      <c r="O218">
        <f>Deals_Raw!AP221</f>
        <v>0.61539463802331096</v>
      </c>
      <c r="P218" t="str">
        <f t="shared" si="27"/>
        <v>False</v>
      </c>
      <c r="R218" t="str">
        <f>Deals_Raw!AF221</f>
        <v>Won</v>
      </c>
      <c r="S218">
        <f t="shared" si="28"/>
        <v>132516.73000000001</v>
      </c>
      <c r="T218">
        <f>Deals_Raw!AM221</f>
        <v>132516.73000000001</v>
      </c>
      <c r="U218">
        <f t="shared" si="29"/>
        <v>132516.73000000001</v>
      </c>
      <c r="V218">
        <f>Deals_Raw!AN221</f>
        <v>132516.73000000001</v>
      </c>
      <c r="W218">
        <f t="shared" si="30"/>
        <v>81550.08509038284</v>
      </c>
      <c r="X218">
        <f>Deals_Raw!AO221</f>
        <v>81550.08509038284</v>
      </c>
      <c r="Y218">
        <f t="shared" si="31"/>
        <v>0.61539463802331096</v>
      </c>
      <c r="Z218">
        <f>Deals_Raw!AP221</f>
        <v>0.61539463802331096</v>
      </c>
    </row>
    <row r="219" spans="1:26">
      <c r="A219" t="str">
        <f>Deals_Raw!A222</f>
        <v>D00247</v>
      </c>
      <c r="B219">
        <f>COUNTIF(Deals_Raw!$A$5:$A$643,A219)</f>
        <v>1</v>
      </c>
      <c r="C219" s="12" t="str">
        <f>Deals_Raw!E222</f>
        <v>CT00142</v>
      </c>
      <c r="E219">
        <f>Deals_Raw!AA222</f>
        <v>138818.14248897388</v>
      </c>
      <c r="F219">
        <f>ROUND(Deals_Raw!T222*(1-Deals_Raw!W222),2)</f>
        <v>138855.07</v>
      </c>
      <c r="G219">
        <f t="shared" si="24"/>
        <v>36.927511026122374</v>
      </c>
      <c r="I219">
        <f>Deals_Raw!V222</f>
        <v>0.19600000000000001</v>
      </c>
      <c r="J219">
        <f>Deals_Raw!W222</f>
        <v>0.186</v>
      </c>
      <c r="K219" t="str">
        <f>Deals_Raw!Z222</f>
        <v>Pricing Analyst</v>
      </c>
      <c r="L219" t="str">
        <f t="shared" si="25"/>
        <v>yes</v>
      </c>
      <c r="M219" t="str">
        <f t="shared" si="26"/>
        <v>Pass</v>
      </c>
      <c r="O219">
        <f>Deals_Raw!AP222</f>
        <v>0.53820950569909687</v>
      </c>
      <c r="P219" t="str">
        <f t="shared" si="27"/>
        <v>False</v>
      </c>
      <c r="R219" t="str">
        <f>Deals_Raw!AF222</f>
        <v>Won</v>
      </c>
      <c r="S219">
        <f t="shared" si="28"/>
        <v>138855.07</v>
      </c>
      <c r="T219">
        <f>Deals_Raw!AM222</f>
        <v>138855.07</v>
      </c>
      <c r="U219">
        <f t="shared" si="29"/>
        <v>138855.07</v>
      </c>
      <c r="V219">
        <f>Deals_Raw!AN222</f>
        <v>138855.07</v>
      </c>
      <c r="W219">
        <f t="shared" si="30"/>
        <v>74733.118588513491</v>
      </c>
      <c r="X219">
        <f>Deals_Raw!AO222</f>
        <v>74733.118588513491</v>
      </c>
      <c r="Y219">
        <f t="shared" si="31"/>
        <v>0.53820950569909687</v>
      </c>
      <c r="Z219">
        <f>Deals_Raw!AP222</f>
        <v>0.53820950569909687</v>
      </c>
    </row>
    <row r="220" spans="1:26">
      <c r="A220" t="str">
        <f>Deals_Raw!A223</f>
        <v>D00248</v>
      </c>
      <c r="B220">
        <f>COUNTIF(Deals_Raw!$A$5:$A$643,A220)</f>
        <v>1</v>
      </c>
      <c r="C220" s="12" t="str">
        <f>Deals_Raw!E223</f>
        <v>CT00142</v>
      </c>
      <c r="E220">
        <f>Deals_Raw!AA223</f>
        <v>158789.58406667152</v>
      </c>
      <c r="F220">
        <f>ROUND(Deals_Raw!T223*(1-Deals_Raw!W223),2)</f>
        <v>158732.93</v>
      </c>
      <c r="G220">
        <f t="shared" si="24"/>
        <v>-56.654066671530018</v>
      </c>
      <c r="I220">
        <f>Deals_Raw!V223</f>
        <v>0.114</v>
      </c>
      <c r="J220">
        <f>Deals_Raw!W223</f>
        <v>0.10299999999999999</v>
      </c>
      <c r="K220" t="str">
        <f>Deals_Raw!Z223</f>
        <v>Pricing Analyst</v>
      </c>
      <c r="L220" t="str">
        <f t="shared" si="25"/>
        <v>yes</v>
      </c>
      <c r="M220" t="str">
        <f t="shared" si="26"/>
        <v>Pass</v>
      </c>
      <c r="O220">
        <f>Deals_Raw!AP223</f>
        <v>0.6569068519535417</v>
      </c>
      <c r="P220" t="str">
        <f t="shared" si="27"/>
        <v>False</v>
      </c>
      <c r="R220" t="str">
        <f>Deals_Raw!AF223</f>
        <v>Won</v>
      </c>
      <c r="S220">
        <f t="shared" si="28"/>
        <v>158732.93</v>
      </c>
      <c r="T220">
        <f>Deals_Raw!AM223</f>
        <v>158732.93</v>
      </c>
      <c r="U220">
        <f t="shared" si="29"/>
        <v>158732.93</v>
      </c>
      <c r="V220">
        <f>Deals_Raw!AN223</f>
        <v>158732.93</v>
      </c>
      <c r="W220">
        <f t="shared" si="30"/>
        <v>104272.7493476619</v>
      </c>
      <c r="X220">
        <f>Deals_Raw!AO223</f>
        <v>104272.7493476619</v>
      </c>
      <c r="Y220">
        <f t="shared" si="31"/>
        <v>0.6569068519535417</v>
      </c>
      <c r="Z220">
        <f>Deals_Raw!AP223</f>
        <v>0.6569068519535417</v>
      </c>
    </row>
    <row r="221" spans="1:26">
      <c r="A221" t="str">
        <f>Deals_Raw!A224</f>
        <v>D00249</v>
      </c>
      <c r="B221">
        <f>COUNTIF(Deals_Raw!$A$5:$A$643,A221)</f>
        <v>1</v>
      </c>
      <c r="C221" s="12" t="str">
        <f>Deals_Raw!E224</f>
        <v>CT00143</v>
      </c>
      <c r="E221">
        <f>Deals_Raw!AA224</f>
        <v>114775.25685658728</v>
      </c>
      <c r="F221">
        <f>ROUND(Deals_Raw!T224*(1-Deals_Raw!W224),2)</f>
        <v>114821.94</v>
      </c>
      <c r="G221">
        <f t="shared" si="24"/>
        <v>46.683143412723439</v>
      </c>
      <c r="I221">
        <f>Deals_Raw!V224</f>
        <v>0.14199999999999999</v>
      </c>
      <c r="J221">
        <f>Deals_Raw!W224</f>
        <v>0.12</v>
      </c>
      <c r="K221" t="str">
        <f>Deals_Raw!Z224</f>
        <v>Pricing Analyst</v>
      </c>
      <c r="L221" t="str">
        <f t="shared" si="25"/>
        <v>yes</v>
      </c>
      <c r="M221" t="str">
        <f t="shared" si="26"/>
        <v>Pass</v>
      </c>
      <c r="O221">
        <f>Deals_Raw!AP224</f>
        <v>0.59616826403533574</v>
      </c>
      <c r="P221" t="str">
        <f t="shared" si="27"/>
        <v>False</v>
      </c>
      <c r="R221" t="str">
        <f>Deals_Raw!AF224</f>
        <v>Won</v>
      </c>
      <c r="S221">
        <f t="shared" si="28"/>
        <v>114821.94</v>
      </c>
      <c r="T221">
        <f>Deals_Raw!AM224</f>
        <v>114821.94</v>
      </c>
      <c r="U221">
        <f t="shared" si="29"/>
        <v>114821.94</v>
      </c>
      <c r="V221">
        <f>Deals_Raw!AN224</f>
        <v>114821.94</v>
      </c>
      <c r="W221">
        <f t="shared" si="30"/>
        <v>68453.196642969473</v>
      </c>
      <c r="X221">
        <f>Deals_Raw!AO224</f>
        <v>68453.196642969473</v>
      </c>
      <c r="Y221">
        <f t="shared" si="31"/>
        <v>0.59616826403533574</v>
      </c>
      <c r="Z221">
        <f>Deals_Raw!AP224</f>
        <v>0.59616826403533574</v>
      </c>
    </row>
    <row r="222" spans="1:26">
      <c r="A222" t="str">
        <f>Deals_Raw!A225</f>
        <v>D00250</v>
      </c>
      <c r="B222">
        <f>COUNTIF(Deals_Raw!$A$5:$A$643,A222)</f>
        <v>1</v>
      </c>
      <c r="C222" s="12" t="str">
        <f>Deals_Raw!E225</f>
        <v>CT00143</v>
      </c>
      <c r="E222">
        <f>Deals_Raw!AA225</f>
        <v>139700.13708891167</v>
      </c>
      <c r="F222">
        <f>ROUND(Deals_Raw!T225*(1-Deals_Raw!W225),2)</f>
        <v>139646.29999999999</v>
      </c>
      <c r="G222">
        <f t="shared" si="24"/>
        <v>-53.837088911677711</v>
      </c>
      <c r="I222">
        <f>Deals_Raw!V225</f>
        <v>7.1999999999999995E-2</v>
      </c>
      <c r="J222">
        <f>Deals_Raw!W225</f>
        <v>5.8999999999999997E-2</v>
      </c>
      <c r="K222" t="str">
        <f>Deals_Raw!Z225</f>
        <v>Sales Manager</v>
      </c>
      <c r="L222" t="str">
        <f t="shared" si="25"/>
        <v>yes</v>
      </c>
      <c r="M222" t="str">
        <f t="shared" si="26"/>
        <v>Pass</v>
      </c>
      <c r="O222">
        <f>Deals_Raw!AP225</f>
        <v>0.6296386291541497</v>
      </c>
      <c r="P222" t="str">
        <f t="shared" si="27"/>
        <v>False</v>
      </c>
      <c r="R222" t="str">
        <f>Deals_Raw!AF225</f>
        <v>Won</v>
      </c>
      <c r="S222">
        <f t="shared" si="28"/>
        <v>139646.29999999999</v>
      </c>
      <c r="T222">
        <f>Deals_Raw!AM225</f>
        <v>139646.29999999999</v>
      </c>
      <c r="U222">
        <f t="shared" si="29"/>
        <v>139646.29999999999</v>
      </c>
      <c r="V222">
        <f>Deals_Raw!AN225</f>
        <v>139646.29999999999</v>
      </c>
      <c r="W222">
        <f t="shared" si="30"/>
        <v>87926.704898449127</v>
      </c>
      <c r="X222">
        <f>Deals_Raw!AO225</f>
        <v>87926.704898449127</v>
      </c>
      <c r="Y222">
        <f t="shared" si="31"/>
        <v>0.6296386291541497</v>
      </c>
      <c r="Z222">
        <f>Deals_Raw!AP225</f>
        <v>0.6296386291541497</v>
      </c>
    </row>
    <row r="223" spans="1:26">
      <c r="A223" t="str">
        <f>Deals_Raw!A226</f>
        <v>D00251</v>
      </c>
      <c r="B223">
        <f>COUNTIF(Deals_Raw!$A$5:$A$643,A223)</f>
        <v>1</v>
      </c>
      <c r="C223" s="12" t="str">
        <f>Deals_Raw!E226</f>
        <v>CT00143</v>
      </c>
      <c r="E223">
        <f>Deals_Raw!AA226</f>
        <v>142875.26178375937</v>
      </c>
      <c r="F223">
        <f>ROUND(Deals_Raw!T226*(1-Deals_Raw!W226),2)</f>
        <v>142945.57</v>
      </c>
      <c r="G223">
        <f t="shared" si="24"/>
        <v>70.308216240635375</v>
      </c>
      <c r="I223">
        <f>Deals_Raw!V226</f>
        <v>8.8999999999999996E-2</v>
      </c>
      <c r="J223">
        <f>Deals_Raw!W226</f>
        <v>6.5000000000000002E-2</v>
      </c>
      <c r="K223" t="str">
        <f>Deals_Raw!Z226</f>
        <v>Sales Manager</v>
      </c>
      <c r="L223" t="str">
        <f t="shared" si="25"/>
        <v>yes</v>
      </c>
      <c r="M223" t="str">
        <f t="shared" si="26"/>
        <v>Pass</v>
      </c>
      <c r="O223">
        <f>Deals_Raw!AP226</f>
        <v>0.63909270299611975</v>
      </c>
      <c r="P223" t="str">
        <f t="shared" si="27"/>
        <v>False</v>
      </c>
      <c r="R223" t="str">
        <f>Deals_Raw!AF226</f>
        <v>Won</v>
      </c>
      <c r="S223">
        <f t="shared" si="28"/>
        <v>142945.57</v>
      </c>
      <c r="T223">
        <f>Deals_Raw!AM226</f>
        <v>142945.57</v>
      </c>
      <c r="U223">
        <f t="shared" si="29"/>
        <v>142945.57</v>
      </c>
      <c r="V223">
        <f>Deals_Raw!AN226</f>
        <v>142945.57</v>
      </c>
      <c r="W223">
        <f t="shared" si="30"/>
        <v>91355.470712621056</v>
      </c>
      <c r="X223">
        <f>Deals_Raw!AO226</f>
        <v>91355.470712621056</v>
      </c>
      <c r="Y223">
        <f t="shared" si="31"/>
        <v>0.63909270299611975</v>
      </c>
      <c r="Z223">
        <f>Deals_Raw!AP226</f>
        <v>0.63909270299611975</v>
      </c>
    </row>
    <row r="224" spans="1:26">
      <c r="A224" t="str">
        <f>Deals_Raw!A227</f>
        <v>D00252</v>
      </c>
      <c r="B224">
        <f>COUNTIF(Deals_Raw!$A$5:$A$643,A224)</f>
        <v>1</v>
      </c>
      <c r="C224" s="12" t="str">
        <f>Deals_Raw!E227</f>
        <v>CT00145</v>
      </c>
      <c r="E224">
        <f>Deals_Raw!AA227</f>
        <v>39341.565756997159</v>
      </c>
      <c r="F224">
        <f>ROUND(Deals_Raw!T227*(1-Deals_Raw!W227),2)</f>
        <v>39324.46</v>
      </c>
      <c r="G224">
        <f t="shared" si="24"/>
        <v>-17.105756997159915</v>
      </c>
      <c r="I224">
        <f>Deals_Raw!V227</f>
        <v>0.08</v>
      </c>
      <c r="J224">
        <f>Deals_Raw!W227</f>
        <v>0.06</v>
      </c>
      <c r="K224" t="str">
        <f>Deals_Raw!Z227</f>
        <v>Sales Manager</v>
      </c>
      <c r="L224" t="str">
        <f t="shared" si="25"/>
        <v>yes</v>
      </c>
      <c r="M224" t="str">
        <f t="shared" si="26"/>
        <v>Pass</v>
      </c>
      <c r="O224">
        <f>Deals_Raw!AP227</f>
        <v>0.69919425871044039</v>
      </c>
      <c r="P224" t="str">
        <f t="shared" si="27"/>
        <v>False</v>
      </c>
      <c r="R224" t="str">
        <f>Deals_Raw!AF227</f>
        <v>Lost</v>
      </c>
      <c r="S224">
        <f t="shared" si="28"/>
        <v>0</v>
      </c>
      <c r="T224">
        <f>Deals_Raw!AM227</f>
        <v>39324.46</v>
      </c>
      <c r="U224">
        <f t="shared" si="29"/>
        <v>0</v>
      </c>
      <c r="V224">
        <f>Deals_Raw!AN227</f>
        <v>78648.92</v>
      </c>
      <c r="W224">
        <f t="shared" si="30"/>
        <v>0</v>
      </c>
      <c r="X224">
        <f>Deals_Raw!AO227</f>
        <v>27495.436658888364</v>
      </c>
      <c r="Y224">
        <f t="shared" si="31"/>
        <v>0</v>
      </c>
      <c r="Z224">
        <f>Deals_Raw!AP227</f>
        <v>0.69919425871044039</v>
      </c>
    </row>
    <row r="225" spans="1:26">
      <c r="A225" t="str">
        <f>Deals_Raw!A228</f>
        <v>D00253</v>
      </c>
      <c r="B225">
        <f>COUNTIF(Deals_Raw!$A$5:$A$643,A225)</f>
        <v>1</v>
      </c>
      <c r="C225" s="12" t="str">
        <f>Deals_Raw!E228</f>
        <v>CT00145</v>
      </c>
      <c r="E225">
        <f>Deals_Raw!AA228</f>
        <v>28019.229490009842</v>
      </c>
      <c r="F225">
        <f>ROUND(Deals_Raw!T228*(1-Deals_Raw!W228),2)</f>
        <v>28021.71</v>
      </c>
      <c r="G225">
        <f t="shared" si="24"/>
        <v>2.480509990156861</v>
      </c>
      <c r="I225">
        <f>Deals_Raw!V228</f>
        <v>0.16200000000000001</v>
      </c>
      <c r="J225">
        <f>Deals_Raw!W228</f>
        <v>0.154</v>
      </c>
      <c r="K225" t="str">
        <f>Deals_Raw!Z228</f>
        <v>Pricing Analyst</v>
      </c>
      <c r="L225" t="str">
        <f t="shared" si="25"/>
        <v>yes</v>
      </c>
      <c r="M225" t="str">
        <f t="shared" si="26"/>
        <v>Pass</v>
      </c>
      <c r="O225">
        <f>Deals_Raw!AP228</f>
        <v>0.65852326310121301</v>
      </c>
      <c r="P225" t="str">
        <f t="shared" si="27"/>
        <v>False</v>
      </c>
      <c r="R225" t="str">
        <f>Deals_Raw!AF228</f>
        <v>Won</v>
      </c>
      <c r="S225">
        <f t="shared" si="28"/>
        <v>28021.71</v>
      </c>
      <c r="T225">
        <f>Deals_Raw!AM228</f>
        <v>28021.71</v>
      </c>
      <c r="U225">
        <f t="shared" si="29"/>
        <v>56043.42</v>
      </c>
      <c r="V225">
        <f>Deals_Raw!AN228</f>
        <v>56043.42</v>
      </c>
      <c r="W225">
        <f t="shared" si="30"/>
        <v>18452.947906875892</v>
      </c>
      <c r="X225">
        <f>Deals_Raw!AO228</f>
        <v>18452.947906875892</v>
      </c>
      <c r="Y225">
        <f t="shared" si="31"/>
        <v>0.65852326310121301</v>
      </c>
      <c r="Z225">
        <f>Deals_Raw!AP228</f>
        <v>0.65852326310121301</v>
      </c>
    </row>
    <row r="226" spans="1:26">
      <c r="A226" t="str">
        <f>Deals_Raw!A229</f>
        <v>D00254</v>
      </c>
      <c r="B226">
        <f>COUNTIF(Deals_Raw!$A$5:$A$643,A226)</f>
        <v>1</v>
      </c>
      <c r="C226" s="12" t="str">
        <f>Deals_Raw!E229</f>
        <v>CT00146</v>
      </c>
      <c r="E226">
        <f>Deals_Raw!AA229</f>
        <v>121737.9362589582</v>
      </c>
      <c r="F226">
        <f>ROUND(Deals_Raw!T229*(1-Deals_Raw!W229),2)</f>
        <v>121733.97</v>
      </c>
      <c r="G226">
        <f t="shared" si="24"/>
        <v>-3.966258958200342</v>
      </c>
      <c r="I226">
        <f>Deals_Raw!V229</f>
        <v>0.191</v>
      </c>
      <c r="J226">
        <f>Deals_Raw!W229</f>
        <v>0.182</v>
      </c>
      <c r="K226" t="str">
        <f>Deals_Raw!Z229</f>
        <v>Pricing Analyst</v>
      </c>
      <c r="L226" t="str">
        <f t="shared" si="25"/>
        <v>yes</v>
      </c>
      <c r="M226" t="str">
        <f t="shared" si="26"/>
        <v>Pass</v>
      </c>
      <c r="O226">
        <f>Deals_Raw!AP229</f>
        <v>0.547998939856158</v>
      </c>
      <c r="P226" t="str">
        <f t="shared" si="27"/>
        <v>False</v>
      </c>
      <c r="R226" t="str">
        <f>Deals_Raw!AF229</f>
        <v>Won</v>
      </c>
      <c r="S226">
        <f t="shared" si="28"/>
        <v>121733.97</v>
      </c>
      <c r="T226">
        <f>Deals_Raw!AM229</f>
        <v>121733.97</v>
      </c>
      <c r="U226">
        <f t="shared" si="29"/>
        <v>121733.97</v>
      </c>
      <c r="V226">
        <f>Deals_Raw!AN229</f>
        <v>121733.97</v>
      </c>
      <c r="W226">
        <f t="shared" si="30"/>
        <v>66710.08650448134</v>
      </c>
      <c r="X226">
        <f>Deals_Raw!AO229</f>
        <v>66710.08650448134</v>
      </c>
      <c r="Y226">
        <f t="shared" si="31"/>
        <v>0.547998939856158</v>
      </c>
      <c r="Z226">
        <f>Deals_Raw!AP229</f>
        <v>0.547998939856158</v>
      </c>
    </row>
    <row r="227" spans="1:26">
      <c r="A227" t="str">
        <f>Deals_Raw!A230</f>
        <v>D00255</v>
      </c>
      <c r="B227">
        <f>COUNTIF(Deals_Raw!$A$5:$A$643,A227)</f>
        <v>1</v>
      </c>
      <c r="C227" s="12" t="str">
        <f>Deals_Raw!E230</f>
        <v>CT00146</v>
      </c>
      <c r="E227">
        <f>Deals_Raw!AA230</f>
        <v>191209.03779262278</v>
      </c>
      <c r="F227">
        <f>ROUND(Deals_Raw!T230*(1-Deals_Raw!W230),2)</f>
        <v>191295.91</v>
      </c>
      <c r="G227">
        <f t="shared" si="24"/>
        <v>86.872207377222367</v>
      </c>
      <c r="I227">
        <f>Deals_Raw!V230</f>
        <v>7.0999999999999994E-2</v>
      </c>
      <c r="J227">
        <f>Deals_Raw!W230</f>
        <v>0.04</v>
      </c>
      <c r="K227" t="str">
        <f>Deals_Raw!Z230</f>
        <v>Sales Manager</v>
      </c>
      <c r="L227" t="str">
        <f t="shared" si="25"/>
        <v>yes</v>
      </c>
      <c r="M227" t="str">
        <f t="shared" si="26"/>
        <v>Pass</v>
      </c>
      <c r="O227">
        <f>Deals_Raw!AP230</f>
        <v>0.61463619745709819</v>
      </c>
      <c r="P227" t="str">
        <f t="shared" si="27"/>
        <v>False</v>
      </c>
      <c r="R227" t="str">
        <f>Deals_Raw!AF230</f>
        <v>Won</v>
      </c>
      <c r="S227">
        <f t="shared" si="28"/>
        <v>191295.91</v>
      </c>
      <c r="T227">
        <f>Deals_Raw!AM230</f>
        <v>191295.91</v>
      </c>
      <c r="U227">
        <f t="shared" si="29"/>
        <v>191295.91</v>
      </c>
      <c r="V227">
        <f>Deals_Raw!AN230</f>
        <v>191295.91</v>
      </c>
      <c r="W227">
        <f t="shared" si="30"/>
        <v>117577.39071149529</v>
      </c>
      <c r="X227">
        <f>Deals_Raw!AO230</f>
        <v>117577.39071149529</v>
      </c>
      <c r="Y227">
        <f t="shared" si="31"/>
        <v>0.61463619745709819</v>
      </c>
      <c r="Z227">
        <f>Deals_Raw!AP230</f>
        <v>0.61463619745709819</v>
      </c>
    </row>
    <row r="228" spans="1:26">
      <c r="A228" t="str">
        <f>Deals_Raw!A231</f>
        <v>D00256</v>
      </c>
      <c r="B228">
        <f>COUNTIF(Deals_Raw!$A$5:$A$643,A228)</f>
        <v>1</v>
      </c>
      <c r="C228" s="12" t="str">
        <f>Deals_Raw!E231</f>
        <v>CT00146</v>
      </c>
      <c r="E228">
        <f>Deals_Raw!AA231</f>
        <v>177023.45412785039</v>
      </c>
      <c r="F228">
        <f>ROUND(Deals_Raw!T231*(1-Deals_Raw!W231),2)</f>
        <v>176924.86</v>
      </c>
      <c r="G228">
        <f t="shared" si="24"/>
        <v>-98.594127850403311</v>
      </c>
      <c r="I228">
        <f>Deals_Raw!V231</f>
        <v>0.20200000000000001</v>
      </c>
      <c r="J228">
        <f>Deals_Raw!W231</f>
        <v>0.16400000000000001</v>
      </c>
      <c r="K228" t="str">
        <f>Deals_Raw!Z231</f>
        <v>Pricing Analyst</v>
      </c>
      <c r="L228" t="str">
        <f t="shared" si="25"/>
        <v>yes</v>
      </c>
      <c r="M228" t="str">
        <f t="shared" si="26"/>
        <v>Pass</v>
      </c>
      <c r="O228">
        <f>Deals_Raw!AP231</f>
        <v>0.62645526837775345</v>
      </c>
      <c r="P228" t="str">
        <f t="shared" si="27"/>
        <v>False</v>
      </c>
      <c r="R228" t="str">
        <f>Deals_Raw!AF231</f>
        <v>Won</v>
      </c>
      <c r="S228">
        <f t="shared" si="28"/>
        <v>176924.86</v>
      </c>
      <c r="T228">
        <f>Deals_Raw!AM231</f>
        <v>176924.86</v>
      </c>
      <c r="U228">
        <f t="shared" si="29"/>
        <v>176924.86</v>
      </c>
      <c r="V228">
        <f>Deals_Raw!AN231</f>
        <v>176924.86</v>
      </c>
      <c r="W228">
        <f t="shared" si="30"/>
        <v>110835.51065399645</v>
      </c>
      <c r="X228">
        <f>Deals_Raw!AO231</f>
        <v>110835.51065399645</v>
      </c>
      <c r="Y228">
        <f t="shared" si="31"/>
        <v>0.62645526837775345</v>
      </c>
      <c r="Z228">
        <f>Deals_Raw!AP231</f>
        <v>0.62645526837775345</v>
      </c>
    </row>
    <row r="229" spans="1:26">
      <c r="A229" t="str">
        <f>Deals_Raw!A232</f>
        <v>D00257</v>
      </c>
      <c r="B229">
        <f>COUNTIF(Deals_Raw!$A$5:$A$643,A229)</f>
        <v>1</v>
      </c>
      <c r="C229" s="12" t="str">
        <f>Deals_Raw!E232</f>
        <v>CT00147</v>
      </c>
      <c r="E229">
        <f>Deals_Raw!AA232</f>
        <v>75114.486078446746</v>
      </c>
      <c r="F229">
        <f>ROUND(Deals_Raw!T232*(1-Deals_Raw!W232),2)</f>
        <v>75135.83</v>
      </c>
      <c r="G229">
        <f t="shared" si="24"/>
        <v>21.343921553256223</v>
      </c>
      <c r="I229">
        <f>Deals_Raw!V232</f>
        <v>0.186</v>
      </c>
      <c r="J229">
        <f>Deals_Raw!W232</f>
        <v>0.14599999999999999</v>
      </c>
      <c r="K229" t="str">
        <f>Deals_Raw!Z232</f>
        <v>Pricing Analyst</v>
      </c>
      <c r="L229" t="str">
        <f t="shared" si="25"/>
        <v>yes</v>
      </c>
      <c r="M229" t="str">
        <f t="shared" si="26"/>
        <v>Pass</v>
      </c>
      <c r="O229">
        <f>Deals_Raw!AP232</f>
        <v>0.58170677205636778</v>
      </c>
      <c r="P229" t="str">
        <f t="shared" si="27"/>
        <v>False</v>
      </c>
      <c r="R229" t="str">
        <f>Deals_Raw!AF232</f>
        <v>Won</v>
      </c>
      <c r="S229">
        <f t="shared" si="28"/>
        <v>75135.83</v>
      </c>
      <c r="T229">
        <f>Deals_Raw!AM232</f>
        <v>75135.83</v>
      </c>
      <c r="U229">
        <f t="shared" si="29"/>
        <v>75135.83</v>
      </c>
      <c r="V229">
        <f>Deals_Raw!AN232</f>
        <v>75135.83</v>
      </c>
      <c r="W229">
        <f t="shared" si="30"/>
        <v>43707.021135076</v>
      </c>
      <c r="X229">
        <f>Deals_Raw!AO232</f>
        <v>43707.021135076</v>
      </c>
      <c r="Y229">
        <f t="shared" si="31"/>
        <v>0.58170677205636778</v>
      </c>
      <c r="Z229">
        <f>Deals_Raw!AP232</f>
        <v>0.58170677205636778</v>
      </c>
    </row>
    <row r="230" spans="1:26">
      <c r="A230" t="str">
        <f>Deals_Raw!A233</f>
        <v>D00258</v>
      </c>
      <c r="B230">
        <f>COUNTIF(Deals_Raw!$A$5:$A$643,A230)</f>
        <v>1</v>
      </c>
      <c r="C230" s="12" t="str">
        <f>Deals_Raw!E233</f>
        <v>CT00147</v>
      </c>
      <c r="E230">
        <f>Deals_Raw!AA233</f>
        <v>103039.32817748682</v>
      </c>
      <c r="F230">
        <f>ROUND(Deals_Raw!T233*(1-Deals_Raw!W233),2)</f>
        <v>103045.73</v>
      </c>
      <c r="G230">
        <f t="shared" si="24"/>
        <v>6.4018225131731015</v>
      </c>
      <c r="I230">
        <f>Deals_Raw!V233</f>
        <v>7.5999999999999998E-2</v>
      </c>
      <c r="J230">
        <f>Deals_Raw!W233</f>
        <v>0.06</v>
      </c>
      <c r="K230" t="str">
        <f>Deals_Raw!Z233</f>
        <v>Sales Manager</v>
      </c>
      <c r="L230" t="str">
        <f t="shared" si="25"/>
        <v>yes</v>
      </c>
      <c r="M230" t="str">
        <f t="shared" si="26"/>
        <v>Pass</v>
      </c>
      <c r="O230">
        <f>Deals_Raw!AP233</f>
        <v>0.66182144434860657</v>
      </c>
      <c r="P230" t="str">
        <f t="shared" si="27"/>
        <v>False</v>
      </c>
      <c r="R230" t="str">
        <f>Deals_Raw!AF233</f>
        <v>Lost</v>
      </c>
      <c r="S230">
        <f t="shared" si="28"/>
        <v>0</v>
      </c>
      <c r="T230">
        <f>Deals_Raw!AM233</f>
        <v>103045.73</v>
      </c>
      <c r="U230">
        <f t="shared" si="29"/>
        <v>0</v>
      </c>
      <c r="V230">
        <f>Deals_Raw!AN233</f>
        <v>103045.73</v>
      </c>
      <c r="W230">
        <f t="shared" si="30"/>
        <v>0</v>
      </c>
      <c r="X230">
        <f>Deals_Raw!AO233</f>
        <v>68197.873862556531</v>
      </c>
      <c r="Y230">
        <f t="shared" si="31"/>
        <v>0</v>
      </c>
      <c r="Z230">
        <f>Deals_Raw!AP233</f>
        <v>0.66182144434860657</v>
      </c>
    </row>
    <row r="231" spans="1:26">
      <c r="A231" t="str">
        <f>Deals_Raw!A234</f>
        <v>D00259</v>
      </c>
      <c r="B231">
        <f>COUNTIF(Deals_Raw!$A$5:$A$643,A231)</f>
        <v>1</v>
      </c>
      <c r="C231" s="12" t="str">
        <f>Deals_Raw!E234</f>
        <v>CT00147</v>
      </c>
      <c r="E231">
        <f>Deals_Raw!AA234</f>
        <v>92732.946399570821</v>
      </c>
      <c r="F231">
        <f>ROUND(Deals_Raw!T234*(1-Deals_Raw!W234),2)</f>
        <v>92709.78</v>
      </c>
      <c r="G231">
        <f t="shared" si="24"/>
        <v>-23.16639957082225</v>
      </c>
      <c r="I231">
        <f>Deals_Raw!V234</f>
        <v>6.0999999999999999E-2</v>
      </c>
      <c r="J231">
        <f>Deals_Raw!W234</f>
        <v>1.7000000000000001E-2</v>
      </c>
      <c r="K231" t="str">
        <f>Deals_Raw!Z234</f>
        <v>Sales Manager</v>
      </c>
      <c r="L231" t="str">
        <f t="shared" si="25"/>
        <v>yes</v>
      </c>
      <c r="M231" t="str">
        <f t="shared" si="26"/>
        <v>Pass</v>
      </c>
      <c r="O231">
        <f>Deals_Raw!AP234</f>
        <v>0.66143692439962687</v>
      </c>
      <c r="P231" t="str">
        <f t="shared" si="27"/>
        <v>False</v>
      </c>
      <c r="R231" t="str">
        <f>Deals_Raw!AF234</f>
        <v>Won</v>
      </c>
      <c r="S231">
        <f t="shared" si="28"/>
        <v>92709.78</v>
      </c>
      <c r="T231">
        <f>Deals_Raw!AM234</f>
        <v>92709.78</v>
      </c>
      <c r="U231">
        <f t="shared" si="29"/>
        <v>92709.78</v>
      </c>
      <c r="V231">
        <f>Deals_Raw!AN234</f>
        <v>92709.78</v>
      </c>
      <c r="W231">
        <f t="shared" si="30"/>
        <v>61321.671744966043</v>
      </c>
      <c r="X231">
        <f>Deals_Raw!AO234</f>
        <v>61321.671744966043</v>
      </c>
      <c r="Y231">
        <f t="shared" si="31"/>
        <v>0.66143692439962687</v>
      </c>
      <c r="Z231">
        <f>Deals_Raw!AP234</f>
        <v>0.66143692439962687</v>
      </c>
    </row>
    <row r="232" spans="1:26">
      <c r="A232" t="str">
        <f>Deals_Raw!A235</f>
        <v>D00260</v>
      </c>
      <c r="B232">
        <f>COUNTIF(Deals_Raw!$A$5:$A$643,A232)</f>
        <v>1</v>
      </c>
      <c r="C232" s="12" t="str">
        <f>Deals_Raw!E235</f>
        <v>CT00148</v>
      </c>
      <c r="E232">
        <f>Deals_Raw!AA235</f>
        <v>55825.998104450147</v>
      </c>
      <c r="F232">
        <f>ROUND(Deals_Raw!T235*(1-Deals_Raw!W235),2)</f>
        <v>55833.99</v>
      </c>
      <c r="G232">
        <f t="shared" si="24"/>
        <v>7.9918955498505966</v>
      </c>
      <c r="I232">
        <f>Deals_Raw!V235</f>
        <v>0.30299999999999999</v>
      </c>
      <c r="J232">
        <f>Deals_Raw!W235</f>
        <v>0.25800000000000001</v>
      </c>
      <c r="K232" t="str">
        <f>Deals_Raw!Z235</f>
        <v>Business Manager</v>
      </c>
      <c r="L232" t="str">
        <f t="shared" si="25"/>
        <v>yes</v>
      </c>
      <c r="M232" t="str">
        <f t="shared" si="26"/>
        <v>Pass</v>
      </c>
      <c r="O232">
        <f>Deals_Raw!AP235</f>
        <v>0.4736362422121822</v>
      </c>
      <c r="P232" t="str">
        <f t="shared" si="27"/>
        <v>False</v>
      </c>
      <c r="R232" t="str">
        <f>Deals_Raw!AF235</f>
        <v>Won</v>
      </c>
      <c r="S232">
        <f t="shared" si="28"/>
        <v>55833.99</v>
      </c>
      <c r="T232">
        <f>Deals_Raw!AM235</f>
        <v>55833.99</v>
      </c>
      <c r="U232">
        <f t="shared" si="29"/>
        <v>167501.97</v>
      </c>
      <c r="V232">
        <f>Deals_Raw!AN235</f>
        <v>167501.97</v>
      </c>
      <c r="W232">
        <f t="shared" si="30"/>
        <v>26445.001211312559</v>
      </c>
      <c r="X232">
        <f>Deals_Raw!AO235</f>
        <v>26445.001211312559</v>
      </c>
      <c r="Y232">
        <f t="shared" si="31"/>
        <v>0.4736362422121822</v>
      </c>
      <c r="Z232">
        <f>Deals_Raw!AP235</f>
        <v>0.4736362422121822</v>
      </c>
    </row>
    <row r="233" spans="1:26">
      <c r="A233" t="str">
        <f>Deals_Raw!A236</f>
        <v>D00262</v>
      </c>
      <c r="B233">
        <f>COUNTIF(Deals_Raw!$A$5:$A$643,A233)</f>
        <v>1</v>
      </c>
      <c r="C233" s="12" t="str">
        <f>Deals_Raw!E236</f>
        <v>CT00149</v>
      </c>
      <c r="E233">
        <f>Deals_Raw!AA236</f>
        <v>65651.771800494316</v>
      </c>
      <c r="F233">
        <f>ROUND(Deals_Raw!T236*(1-Deals_Raw!W236),2)</f>
        <v>65686.649999999994</v>
      </c>
      <c r="G233">
        <f t="shared" si="24"/>
        <v>34.878199505677912</v>
      </c>
      <c r="I233">
        <f>Deals_Raw!V236</f>
        <v>0.16700000000000001</v>
      </c>
      <c r="J233">
        <f>Deals_Raw!W236</f>
        <v>0.14699999999999999</v>
      </c>
      <c r="K233" t="str">
        <f>Deals_Raw!Z236</f>
        <v>Pricing Analyst</v>
      </c>
      <c r="L233" t="str">
        <f t="shared" si="25"/>
        <v>yes</v>
      </c>
      <c r="M233" t="str">
        <f t="shared" si="26"/>
        <v>Pass</v>
      </c>
      <c r="O233">
        <f>Deals_Raw!AP236</f>
        <v>0.68419249787902958</v>
      </c>
      <c r="P233" t="str">
        <f t="shared" si="27"/>
        <v>False</v>
      </c>
      <c r="R233" t="str">
        <f>Deals_Raw!AF236</f>
        <v>Won</v>
      </c>
      <c r="S233">
        <f t="shared" si="28"/>
        <v>65686.649999999994</v>
      </c>
      <c r="T233">
        <f>Deals_Raw!AM236</f>
        <v>65686.649999999994</v>
      </c>
      <c r="U233">
        <f t="shared" si="29"/>
        <v>65686.649999999994</v>
      </c>
      <c r="V233">
        <f>Deals_Raw!AN236</f>
        <v>65686.649999999994</v>
      </c>
      <c r="W233">
        <f t="shared" si="30"/>
        <v>44942.313140805556</v>
      </c>
      <c r="X233">
        <f>Deals_Raw!AO236</f>
        <v>44942.313140805556</v>
      </c>
      <c r="Y233">
        <f t="shared" si="31"/>
        <v>0.68419249787902958</v>
      </c>
      <c r="Z233">
        <f>Deals_Raw!AP236</f>
        <v>0.68419249787902958</v>
      </c>
    </row>
    <row r="234" spans="1:26">
      <c r="A234" t="str">
        <f>Deals_Raw!A237</f>
        <v>D00263</v>
      </c>
      <c r="B234">
        <f>COUNTIF(Deals_Raw!$A$5:$A$643,A234)</f>
        <v>1</v>
      </c>
      <c r="C234" s="12" t="str">
        <f>Deals_Raw!E237</f>
        <v>CT00149</v>
      </c>
      <c r="E234">
        <f>Deals_Raw!AA237</f>
        <v>73594.986070498315</v>
      </c>
      <c r="F234">
        <f>ROUND(Deals_Raw!T237*(1-Deals_Raw!W237),2)</f>
        <v>73611.69</v>
      </c>
      <c r="G234">
        <f t="shared" si="24"/>
        <v>16.703929501687526</v>
      </c>
      <c r="I234">
        <f>Deals_Raw!V237</f>
        <v>8.5999999999999993E-2</v>
      </c>
      <c r="J234">
        <f>Deals_Raw!W237</f>
        <v>8.2000000000000003E-2</v>
      </c>
      <c r="K234" t="str">
        <f>Deals_Raw!Z237</f>
        <v>Sales Manager</v>
      </c>
      <c r="L234" t="str">
        <f t="shared" si="25"/>
        <v>yes</v>
      </c>
      <c r="M234" t="str">
        <f t="shared" si="26"/>
        <v>Pass</v>
      </c>
      <c r="O234">
        <f>Deals_Raw!AP237</f>
        <v>0.69422398865308599</v>
      </c>
      <c r="P234" t="str">
        <f t="shared" si="27"/>
        <v>False</v>
      </c>
      <c r="R234" t="str">
        <f>Deals_Raw!AF237</f>
        <v>Won</v>
      </c>
      <c r="S234">
        <f t="shared" si="28"/>
        <v>73611.69</v>
      </c>
      <c r="T234">
        <f>Deals_Raw!AM237</f>
        <v>73611.69</v>
      </c>
      <c r="U234">
        <f t="shared" si="29"/>
        <v>73611.69</v>
      </c>
      <c r="V234">
        <f>Deals_Raw!AN237</f>
        <v>73611.69</v>
      </c>
      <c r="W234">
        <f t="shared" si="30"/>
        <v>51103.001043294484</v>
      </c>
      <c r="X234">
        <f>Deals_Raw!AO237</f>
        <v>51103.001043294484</v>
      </c>
      <c r="Y234">
        <f t="shared" si="31"/>
        <v>0.69422398865308599</v>
      </c>
      <c r="Z234">
        <f>Deals_Raw!AP237</f>
        <v>0.69422398865308599</v>
      </c>
    </row>
    <row r="235" spans="1:26">
      <c r="A235" t="str">
        <f>Deals_Raw!A238</f>
        <v>D00264</v>
      </c>
      <c r="B235">
        <f>COUNTIF(Deals_Raw!$A$5:$A$643,A235)</f>
        <v>1</v>
      </c>
      <c r="C235" s="12" t="str">
        <f>Deals_Raw!E238</f>
        <v>CT00149</v>
      </c>
      <c r="E235">
        <f>Deals_Raw!AA238</f>
        <v>67680.320691414992</v>
      </c>
      <c r="F235">
        <f>ROUND(Deals_Raw!T238*(1-Deals_Raw!W238),2)</f>
        <v>67720.460000000006</v>
      </c>
      <c r="G235">
        <f t="shared" si="24"/>
        <v>40.139308585014078</v>
      </c>
      <c r="I235">
        <f>Deals_Raw!V238</f>
        <v>0.245</v>
      </c>
      <c r="J235">
        <f>Deals_Raw!W238</f>
        <v>0.189</v>
      </c>
      <c r="K235" t="str">
        <f>Deals_Raw!Z238</f>
        <v>Pricing Analyst</v>
      </c>
      <c r="L235" t="str">
        <f t="shared" si="25"/>
        <v>yes</v>
      </c>
      <c r="M235" t="str">
        <f t="shared" si="26"/>
        <v>Pass</v>
      </c>
      <c r="O235">
        <f>Deals_Raw!AP238</f>
        <v>0.66761459196165818</v>
      </c>
      <c r="P235" t="str">
        <f t="shared" si="27"/>
        <v>False</v>
      </c>
      <c r="R235" t="str">
        <f>Deals_Raw!AF238</f>
        <v>Won</v>
      </c>
      <c r="S235">
        <f t="shared" si="28"/>
        <v>67720.460000000006</v>
      </c>
      <c r="T235">
        <f>Deals_Raw!AM238</f>
        <v>67720.460000000006</v>
      </c>
      <c r="U235">
        <f t="shared" si="29"/>
        <v>67720.460000000006</v>
      </c>
      <c r="V235">
        <f>Deals_Raw!AN238</f>
        <v>67720.460000000006</v>
      </c>
      <c r="W235">
        <f t="shared" si="30"/>
        <v>45211.1672703558</v>
      </c>
      <c r="X235">
        <f>Deals_Raw!AO238</f>
        <v>45211.1672703558</v>
      </c>
      <c r="Y235">
        <f t="shared" si="31"/>
        <v>0.66761459196165818</v>
      </c>
      <c r="Z235">
        <f>Deals_Raw!AP238</f>
        <v>0.66761459196165818</v>
      </c>
    </row>
    <row r="236" spans="1:26">
      <c r="A236" t="str">
        <f>Deals_Raw!A239</f>
        <v>D00265</v>
      </c>
      <c r="B236">
        <f>COUNTIF(Deals_Raw!$A$5:$A$643,A236)</f>
        <v>1</v>
      </c>
      <c r="C236" s="12" t="str">
        <f>Deals_Raw!E239</f>
        <v>CT00150</v>
      </c>
      <c r="E236">
        <f>Deals_Raw!AA239</f>
        <v>162225.43853180212</v>
      </c>
      <c r="F236">
        <f>ROUND(Deals_Raw!T239*(1-Deals_Raw!W239),2)</f>
        <v>162295.13</v>
      </c>
      <c r="G236">
        <f t="shared" si="24"/>
        <v>69.691468197881477</v>
      </c>
      <c r="I236">
        <f>Deals_Raw!V239</f>
        <v>0.16500000000000001</v>
      </c>
      <c r="J236">
        <f>Deals_Raw!W239</f>
        <v>0.14099999999999999</v>
      </c>
      <c r="K236" t="str">
        <f>Deals_Raw!Z239</f>
        <v>Pricing Analyst</v>
      </c>
      <c r="L236" t="str">
        <f t="shared" si="25"/>
        <v>yes</v>
      </c>
      <c r="M236" t="str">
        <f t="shared" si="26"/>
        <v>Pass</v>
      </c>
      <c r="O236">
        <f>Deals_Raw!AP239</f>
        <v>0.59555500881877832</v>
      </c>
      <c r="P236" t="str">
        <f t="shared" si="27"/>
        <v>False</v>
      </c>
      <c r="R236" t="str">
        <f>Deals_Raw!AF239</f>
        <v>Won</v>
      </c>
      <c r="S236">
        <f t="shared" si="28"/>
        <v>162295.13</v>
      </c>
      <c r="T236">
        <f>Deals_Raw!AM239</f>
        <v>162295.13</v>
      </c>
      <c r="U236">
        <f t="shared" si="29"/>
        <v>324590.26</v>
      </c>
      <c r="V236">
        <f>Deals_Raw!AN239</f>
        <v>324590.26</v>
      </c>
      <c r="W236">
        <f t="shared" si="30"/>
        <v>96655.677578394781</v>
      </c>
      <c r="X236">
        <f>Deals_Raw!AO239</f>
        <v>96655.677578394781</v>
      </c>
      <c r="Y236">
        <f t="shared" si="31"/>
        <v>0.59555500881877832</v>
      </c>
      <c r="Z236">
        <f>Deals_Raw!AP239</f>
        <v>0.59555500881877832</v>
      </c>
    </row>
    <row r="237" spans="1:26">
      <c r="A237" t="str">
        <f>Deals_Raw!A240</f>
        <v>D00266</v>
      </c>
      <c r="B237">
        <f>COUNTIF(Deals_Raw!$A$5:$A$643,A237)</f>
        <v>1</v>
      </c>
      <c r="C237" s="12" t="str">
        <f>Deals_Raw!E240</f>
        <v>CT00151</v>
      </c>
      <c r="E237">
        <f>Deals_Raw!AA240</f>
        <v>37546.171741247184</v>
      </c>
      <c r="F237">
        <f>ROUND(Deals_Raw!T240*(1-Deals_Raw!W240),2)</f>
        <v>37529.47</v>
      </c>
      <c r="G237">
        <f t="shared" si="24"/>
        <v>-16.701741247183236</v>
      </c>
      <c r="I237">
        <f>Deals_Raw!V240</f>
        <v>0.17100000000000001</v>
      </c>
      <c r="J237">
        <f>Deals_Raw!W240</f>
        <v>0.158</v>
      </c>
      <c r="K237" t="str">
        <f>Deals_Raw!Z240</f>
        <v>Pricing Analyst</v>
      </c>
      <c r="L237" t="str">
        <f t="shared" si="25"/>
        <v>yes</v>
      </c>
      <c r="M237" t="str">
        <f t="shared" si="26"/>
        <v>Pass</v>
      </c>
      <c r="O237">
        <f>Deals_Raw!AP240</f>
        <v>0.64365412339321959</v>
      </c>
      <c r="P237" t="str">
        <f t="shared" si="27"/>
        <v>False</v>
      </c>
      <c r="R237" t="str">
        <f>Deals_Raw!AF240</f>
        <v>Won</v>
      </c>
      <c r="S237">
        <f t="shared" si="28"/>
        <v>37529.47</v>
      </c>
      <c r="T237">
        <f>Deals_Raw!AM240</f>
        <v>37529.47</v>
      </c>
      <c r="U237">
        <f t="shared" si="29"/>
        <v>112588.41</v>
      </c>
      <c r="V237">
        <f>Deals_Raw!AN240</f>
        <v>112588.41</v>
      </c>
      <c r="W237">
        <f t="shared" si="30"/>
        <v>24155.998114262133</v>
      </c>
      <c r="X237">
        <f>Deals_Raw!AO240</f>
        <v>24155.998114262133</v>
      </c>
      <c r="Y237">
        <f t="shared" si="31"/>
        <v>0.64365412339321959</v>
      </c>
      <c r="Z237">
        <f>Deals_Raw!AP240</f>
        <v>0.64365412339321959</v>
      </c>
    </row>
    <row r="238" spans="1:26">
      <c r="A238" t="str">
        <f>Deals_Raw!A241</f>
        <v>D00267</v>
      </c>
      <c r="B238">
        <f>COUNTIF(Deals_Raw!$A$5:$A$643,A238)</f>
        <v>1</v>
      </c>
      <c r="C238" s="12" t="str">
        <f>Deals_Raw!E241</f>
        <v>CT00152</v>
      </c>
      <c r="E238">
        <f>Deals_Raw!AA241</f>
        <v>67715.361543148727</v>
      </c>
      <c r="F238">
        <f>ROUND(Deals_Raw!T241*(1-Deals_Raw!W241),2)</f>
        <v>67696</v>
      </c>
      <c r="G238">
        <f t="shared" si="24"/>
        <v>-19.361543148726923</v>
      </c>
      <c r="I238">
        <f>Deals_Raw!V241</f>
        <v>4.8000000000000001E-2</v>
      </c>
      <c r="J238">
        <f>Deals_Raw!W241</f>
        <v>1.9E-2</v>
      </c>
      <c r="K238" t="str">
        <f>Deals_Raw!Z241</f>
        <v>Sales Manager</v>
      </c>
      <c r="L238" t="str">
        <f t="shared" si="25"/>
        <v>yes</v>
      </c>
      <c r="M238" t="str">
        <f t="shared" si="26"/>
        <v>Pass</v>
      </c>
      <c r="O238">
        <f>Deals_Raw!AP241</f>
        <v>0.62485083207408088</v>
      </c>
      <c r="P238" t="str">
        <f t="shared" si="27"/>
        <v>False</v>
      </c>
      <c r="R238" t="str">
        <f>Deals_Raw!AF241</f>
        <v>Won</v>
      </c>
      <c r="S238">
        <f t="shared" si="28"/>
        <v>67696</v>
      </c>
      <c r="T238">
        <f>Deals_Raw!AM241</f>
        <v>67696</v>
      </c>
      <c r="U238">
        <f t="shared" si="29"/>
        <v>67696</v>
      </c>
      <c r="V238">
        <f>Deals_Raw!AN241</f>
        <v>67696</v>
      </c>
      <c r="W238">
        <f t="shared" si="30"/>
        <v>42299.901928086976</v>
      </c>
      <c r="X238">
        <f>Deals_Raw!AO241</f>
        <v>42299.901928086976</v>
      </c>
      <c r="Y238">
        <f t="shared" si="31"/>
        <v>0.62485083207408088</v>
      </c>
      <c r="Z238">
        <f>Deals_Raw!AP241</f>
        <v>0.62485083207408088</v>
      </c>
    </row>
    <row r="239" spans="1:26">
      <c r="A239" t="str">
        <f>Deals_Raw!A242</f>
        <v>D00268</v>
      </c>
      <c r="B239">
        <f>COUNTIF(Deals_Raw!$A$5:$A$643,A239)</f>
        <v>1</v>
      </c>
      <c r="C239" s="12" t="str">
        <f>Deals_Raw!E242</f>
        <v>CT00153</v>
      </c>
      <c r="E239">
        <f>Deals_Raw!AA242</f>
        <v>38446.847196104965</v>
      </c>
      <c r="F239">
        <f>ROUND(Deals_Raw!T242*(1-Deals_Raw!W242),2)</f>
        <v>38467.01</v>
      </c>
      <c r="G239">
        <f t="shared" si="24"/>
        <v>20.162803895036632</v>
      </c>
      <c r="I239">
        <f>Deals_Raw!V242</f>
        <v>0.13800000000000001</v>
      </c>
      <c r="J239">
        <f>Deals_Raw!W242</f>
        <v>0.122</v>
      </c>
      <c r="K239" t="str">
        <f>Deals_Raw!Z242</f>
        <v>Pricing Analyst</v>
      </c>
      <c r="L239" t="str">
        <f t="shared" si="25"/>
        <v>yes</v>
      </c>
      <c r="M239" t="str">
        <f t="shared" si="26"/>
        <v>Pass</v>
      </c>
      <c r="O239">
        <f>Deals_Raw!AP242</f>
        <v>0.55249702827863412</v>
      </c>
      <c r="P239" t="str">
        <f t="shared" si="27"/>
        <v>False</v>
      </c>
      <c r="R239" t="str">
        <f>Deals_Raw!AF242</f>
        <v>Won</v>
      </c>
      <c r="S239">
        <f t="shared" si="28"/>
        <v>38467.01</v>
      </c>
      <c r="T239">
        <f>Deals_Raw!AM242</f>
        <v>38467.01</v>
      </c>
      <c r="U239">
        <f t="shared" si="29"/>
        <v>76934.02</v>
      </c>
      <c r="V239">
        <f>Deals_Raw!AN242</f>
        <v>76934.02</v>
      </c>
      <c r="W239">
        <f t="shared" si="30"/>
        <v>21252.908711764503</v>
      </c>
      <c r="X239">
        <f>Deals_Raw!AO242</f>
        <v>21252.908711764503</v>
      </c>
      <c r="Y239">
        <f t="shared" si="31"/>
        <v>0.55249702827863412</v>
      </c>
      <c r="Z239">
        <f>Deals_Raw!AP242</f>
        <v>0.55249702827863412</v>
      </c>
    </row>
    <row r="240" spans="1:26">
      <c r="A240" t="str">
        <f>Deals_Raw!A243</f>
        <v>D00269</v>
      </c>
      <c r="B240">
        <f>COUNTIF(Deals_Raw!$A$5:$A$643,A240)</f>
        <v>1</v>
      </c>
      <c r="C240" s="12" t="str">
        <f>Deals_Raw!E243</f>
        <v>CT00153</v>
      </c>
      <c r="E240">
        <f>Deals_Raw!AA243</f>
        <v>40875.235694458133</v>
      </c>
      <c r="F240">
        <f>ROUND(Deals_Raw!T243*(1-Deals_Raw!W243),2)</f>
        <v>40882.29</v>
      </c>
      <c r="G240">
        <f t="shared" si="24"/>
        <v>7.0543055418675067</v>
      </c>
      <c r="I240">
        <f>Deals_Raw!V243</f>
        <v>0.17599999999999999</v>
      </c>
      <c r="J240">
        <f>Deals_Raw!W243</f>
        <v>0.129</v>
      </c>
      <c r="K240" t="str">
        <f>Deals_Raw!Z243</f>
        <v>Pricing Analyst</v>
      </c>
      <c r="L240" t="str">
        <f t="shared" si="25"/>
        <v>yes</v>
      </c>
      <c r="M240" t="str">
        <f t="shared" si="26"/>
        <v>Pass</v>
      </c>
      <c r="O240">
        <f>Deals_Raw!AP243</f>
        <v>0.56504780655733622</v>
      </c>
      <c r="P240" t="str">
        <f t="shared" si="27"/>
        <v>False</v>
      </c>
      <c r="R240" t="str">
        <f>Deals_Raw!AF243</f>
        <v>Won</v>
      </c>
      <c r="S240">
        <f t="shared" si="28"/>
        <v>40882.29</v>
      </c>
      <c r="T240">
        <f>Deals_Raw!AM243</f>
        <v>40882.29</v>
      </c>
      <c r="U240">
        <f t="shared" si="29"/>
        <v>81764.58</v>
      </c>
      <c r="V240">
        <f>Deals_Raw!AN243</f>
        <v>81764.58</v>
      </c>
      <c r="W240">
        <f t="shared" si="30"/>
        <v>23100.448291540921</v>
      </c>
      <c r="X240">
        <f>Deals_Raw!AO243</f>
        <v>23100.448291540921</v>
      </c>
      <c r="Y240">
        <f t="shared" si="31"/>
        <v>0.56504780655733622</v>
      </c>
      <c r="Z240">
        <f>Deals_Raw!AP243</f>
        <v>0.56504780655733622</v>
      </c>
    </row>
    <row r="241" spans="1:26">
      <c r="A241" t="str">
        <f>Deals_Raw!A244</f>
        <v>D00270</v>
      </c>
      <c r="B241">
        <f>COUNTIF(Deals_Raw!$A$5:$A$643,A241)</f>
        <v>1</v>
      </c>
      <c r="C241" s="12" t="str">
        <f>Deals_Raw!E244</f>
        <v>CT00154</v>
      </c>
      <c r="E241">
        <f>Deals_Raw!AA244</f>
        <v>20800.758164150062</v>
      </c>
      <c r="F241">
        <f>ROUND(Deals_Raw!T244*(1-Deals_Raw!W244),2)</f>
        <v>20792.099999999999</v>
      </c>
      <c r="G241">
        <f t="shared" si="24"/>
        <v>-8.658164150063385</v>
      </c>
      <c r="I241">
        <f>Deals_Raw!V244</f>
        <v>0.17799999999999999</v>
      </c>
      <c r="J241">
        <f>Deals_Raw!W244</f>
        <v>0.115</v>
      </c>
      <c r="K241" t="str">
        <f>Deals_Raw!Z244</f>
        <v>Pricing Analyst</v>
      </c>
      <c r="L241" t="str">
        <f t="shared" si="25"/>
        <v>yes</v>
      </c>
      <c r="M241" t="str">
        <f t="shared" si="26"/>
        <v>Pass</v>
      </c>
      <c r="O241">
        <f>Deals_Raw!AP244</f>
        <v>0.6649779637104829</v>
      </c>
      <c r="P241" t="str">
        <f t="shared" si="27"/>
        <v>False</v>
      </c>
      <c r="R241" t="str">
        <f>Deals_Raw!AF244</f>
        <v>Won</v>
      </c>
      <c r="S241">
        <f t="shared" si="28"/>
        <v>20792.099999999999</v>
      </c>
      <c r="T241">
        <f>Deals_Raw!AM244</f>
        <v>20792.099999999999</v>
      </c>
      <c r="U241">
        <f t="shared" si="29"/>
        <v>20792.099999999999</v>
      </c>
      <c r="V241">
        <f>Deals_Raw!AN244</f>
        <v>20792.099999999999</v>
      </c>
      <c r="W241">
        <f t="shared" si="30"/>
        <v>13826.288319264731</v>
      </c>
      <c r="X241">
        <f>Deals_Raw!AO244</f>
        <v>13826.288319264731</v>
      </c>
      <c r="Y241">
        <f t="shared" si="31"/>
        <v>0.6649779637104829</v>
      </c>
      <c r="Z241">
        <f>Deals_Raw!AP244</f>
        <v>0.6649779637104829</v>
      </c>
    </row>
    <row r="242" spans="1:26">
      <c r="A242" t="str">
        <f>Deals_Raw!A245</f>
        <v>D00271</v>
      </c>
      <c r="B242">
        <f>COUNTIF(Deals_Raw!$A$5:$A$643,A242)</f>
        <v>1</v>
      </c>
      <c r="C242" s="12" t="str">
        <f>Deals_Raw!E245</f>
        <v>CT00154</v>
      </c>
      <c r="E242">
        <f>Deals_Raw!AA245</f>
        <v>21899.634974059882</v>
      </c>
      <c r="F242">
        <f>ROUND(Deals_Raw!T245*(1-Deals_Raw!W245),2)</f>
        <v>21888.31</v>
      </c>
      <c r="G242">
        <f t="shared" si="24"/>
        <v>-11.324974059880333</v>
      </c>
      <c r="I242">
        <f>Deals_Raw!V245</f>
        <v>0.183</v>
      </c>
      <c r="J242">
        <f>Deals_Raw!W245</f>
        <v>0.13300000000000001</v>
      </c>
      <c r="K242" t="str">
        <f>Deals_Raw!Z245</f>
        <v>Pricing Analyst</v>
      </c>
      <c r="L242" t="str">
        <f t="shared" si="25"/>
        <v>yes</v>
      </c>
      <c r="M242" t="str">
        <f t="shared" si="26"/>
        <v>Pass</v>
      </c>
      <c r="O242">
        <f>Deals_Raw!AP245</f>
        <v>0.6813807536476868</v>
      </c>
      <c r="P242" t="str">
        <f t="shared" si="27"/>
        <v>False</v>
      </c>
      <c r="R242" t="str">
        <f>Deals_Raw!AF245</f>
        <v>Won</v>
      </c>
      <c r="S242">
        <f t="shared" si="28"/>
        <v>21888.31</v>
      </c>
      <c r="T242">
        <f>Deals_Raw!AM245</f>
        <v>21888.31</v>
      </c>
      <c r="U242">
        <f t="shared" si="29"/>
        <v>21888.31</v>
      </c>
      <c r="V242">
        <f>Deals_Raw!AN245</f>
        <v>21888.31</v>
      </c>
      <c r="W242">
        <f t="shared" si="30"/>
        <v>14914.273163874201</v>
      </c>
      <c r="X242">
        <f>Deals_Raw!AO245</f>
        <v>14914.273163874201</v>
      </c>
      <c r="Y242">
        <f t="shared" si="31"/>
        <v>0.6813807536476868</v>
      </c>
      <c r="Z242">
        <f>Deals_Raw!AP245</f>
        <v>0.6813807536476868</v>
      </c>
    </row>
    <row r="243" spans="1:26">
      <c r="A243" t="str">
        <f>Deals_Raw!A246</f>
        <v>D00272</v>
      </c>
      <c r="B243">
        <f>COUNTIF(Deals_Raw!$A$5:$A$643,A243)</f>
        <v>1</v>
      </c>
      <c r="C243" s="12" t="str">
        <f>Deals_Raw!E246</f>
        <v>CT00155</v>
      </c>
      <c r="E243">
        <f>Deals_Raw!AA246</f>
        <v>284392.87545581465</v>
      </c>
      <c r="F243">
        <f>ROUND(Deals_Raw!T246*(1-Deals_Raw!W246),2)</f>
        <v>284363.52000000002</v>
      </c>
      <c r="G243">
        <f t="shared" si="24"/>
        <v>-29.355455814627931</v>
      </c>
      <c r="I243">
        <f>Deals_Raw!V246</f>
        <v>4.1000000000000002E-2</v>
      </c>
      <c r="J243">
        <f>Deals_Raw!W246</f>
        <v>3.9E-2</v>
      </c>
      <c r="K243" t="str">
        <f>Deals_Raw!Z246</f>
        <v>Sales Manager</v>
      </c>
      <c r="L243" t="str">
        <f t="shared" si="25"/>
        <v>yes</v>
      </c>
      <c r="M243" t="str">
        <f t="shared" si="26"/>
        <v>Pass</v>
      </c>
      <c r="O243">
        <f>Deals_Raw!AP246</f>
        <v>0.55775293330520859</v>
      </c>
      <c r="P243" t="str">
        <f t="shared" si="27"/>
        <v>False</v>
      </c>
      <c r="R243" t="str">
        <f>Deals_Raw!AF246</f>
        <v>Lost</v>
      </c>
      <c r="S243">
        <f t="shared" si="28"/>
        <v>0</v>
      </c>
      <c r="T243">
        <f>Deals_Raw!AM246</f>
        <v>284363.52000000002</v>
      </c>
      <c r="U243">
        <f t="shared" si="29"/>
        <v>0</v>
      </c>
      <c r="V243">
        <f>Deals_Raw!AN246</f>
        <v>568727.04000000004</v>
      </c>
      <c r="W243">
        <f t="shared" si="30"/>
        <v>0</v>
      </c>
      <c r="X243">
        <f>Deals_Raw!AO246</f>
        <v>158604.58740499435</v>
      </c>
      <c r="Y243">
        <f t="shared" si="31"/>
        <v>0</v>
      </c>
      <c r="Z243">
        <f>Deals_Raw!AP246</f>
        <v>0.55775293330520859</v>
      </c>
    </row>
    <row r="244" spans="1:26">
      <c r="A244" t="str">
        <f>Deals_Raw!A247</f>
        <v>D00273</v>
      </c>
      <c r="B244">
        <f>COUNTIF(Deals_Raw!$A$5:$A$643,A244)</f>
        <v>1</v>
      </c>
      <c r="C244" s="12" t="str">
        <f>Deals_Raw!E247</f>
        <v>CT00155</v>
      </c>
      <c r="E244">
        <f>Deals_Raw!AA247</f>
        <v>234749.35132264459</v>
      </c>
      <c r="F244">
        <f>ROUND(Deals_Raw!T247*(1-Deals_Raw!W247),2)</f>
        <v>234651.69</v>
      </c>
      <c r="G244">
        <f t="shared" si="24"/>
        <v>-97.661322644591564</v>
      </c>
      <c r="I244">
        <f>Deals_Raw!V247</f>
        <v>0.22800000000000001</v>
      </c>
      <c r="J244">
        <f>Deals_Raw!W247</f>
        <v>0.20699999999999999</v>
      </c>
      <c r="K244" t="str">
        <f>Deals_Raw!Z247</f>
        <v>Business Manager</v>
      </c>
      <c r="L244" t="str">
        <f t="shared" si="25"/>
        <v>yes</v>
      </c>
      <c r="M244" t="str">
        <f t="shared" si="26"/>
        <v>Pass</v>
      </c>
      <c r="O244">
        <f>Deals_Raw!AP247</f>
        <v>0.47723297191553493</v>
      </c>
      <c r="P244" t="str">
        <f t="shared" si="27"/>
        <v>False</v>
      </c>
      <c r="R244" t="str">
        <f>Deals_Raw!AF247</f>
        <v>Lost</v>
      </c>
      <c r="S244">
        <f t="shared" si="28"/>
        <v>0</v>
      </c>
      <c r="T244">
        <f>Deals_Raw!AM247</f>
        <v>234651.69</v>
      </c>
      <c r="U244">
        <f t="shared" si="29"/>
        <v>0</v>
      </c>
      <c r="V244">
        <f>Deals_Raw!AN247</f>
        <v>469303.38</v>
      </c>
      <c r="W244">
        <f t="shared" si="30"/>
        <v>0</v>
      </c>
      <c r="X244">
        <f>Deals_Raw!AO247</f>
        <v>111983.52338370281</v>
      </c>
      <c r="Y244">
        <f t="shared" si="31"/>
        <v>0</v>
      </c>
      <c r="Z244">
        <f>Deals_Raw!AP247</f>
        <v>0.47723297191553493</v>
      </c>
    </row>
    <row r="245" spans="1:26">
      <c r="A245" t="str">
        <f>Deals_Raw!A248</f>
        <v>D00274</v>
      </c>
      <c r="B245">
        <f>COUNTIF(Deals_Raw!$A$5:$A$643,A245)</f>
        <v>1</v>
      </c>
      <c r="C245" s="12" t="str">
        <f>Deals_Raw!E248</f>
        <v>CT00156</v>
      </c>
      <c r="E245">
        <f>Deals_Raw!AA248</f>
        <v>125636.17439231835</v>
      </c>
      <c r="F245">
        <f>ROUND(Deals_Raw!T248*(1-Deals_Raw!W248),2)</f>
        <v>125682.21</v>
      </c>
      <c r="G245">
        <f t="shared" si="24"/>
        <v>46.035607681653346</v>
      </c>
      <c r="I245">
        <f>Deals_Raw!V248</f>
        <v>0.1</v>
      </c>
      <c r="J245">
        <f>Deals_Raw!W248</f>
        <v>5.7000000000000002E-2</v>
      </c>
      <c r="K245" t="str">
        <f>Deals_Raw!Z248</f>
        <v>Sales Manager</v>
      </c>
      <c r="L245" t="str">
        <f t="shared" si="25"/>
        <v>yes</v>
      </c>
      <c r="M245" t="str">
        <f t="shared" si="26"/>
        <v>Pass</v>
      </c>
      <c r="O245">
        <f>Deals_Raw!AP248</f>
        <v>0.67420080095659285</v>
      </c>
      <c r="P245" t="str">
        <f t="shared" si="27"/>
        <v>False</v>
      </c>
      <c r="R245" t="str">
        <f>Deals_Raw!AF248</f>
        <v>Lost</v>
      </c>
      <c r="S245">
        <f t="shared" si="28"/>
        <v>0</v>
      </c>
      <c r="T245">
        <f>Deals_Raw!AM248</f>
        <v>125682.21</v>
      </c>
      <c r="U245">
        <f t="shared" si="29"/>
        <v>0</v>
      </c>
      <c r="V245">
        <f>Deals_Raw!AN248</f>
        <v>377046.63</v>
      </c>
      <c r="W245">
        <f t="shared" si="30"/>
        <v>0</v>
      </c>
      <c r="X245">
        <f>Deals_Raw!AO248</f>
        <v>84735.046647994706</v>
      </c>
      <c r="Y245">
        <f t="shared" si="31"/>
        <v>0</v>
      </c>
      <c r="Z245">
        <f>Deals_Raw!AP248</f>
        <v>0.67420080095659285</v>
      </c>
    </row>
    <row r="246" spans="1:26">
      <c r="A246" t="str">
        <f>Deals_Raw!A249</f>
        <v>D00275</v>
      </c>
      <c r="B246">
        <f>COUNTIF(Deals_Raw!$A$5:$A$643,A246)</f>
        <v>1</v>
      </c>
      <c r="C246" s="12" t="str">
        <f>Deals_Raw!E249</f>
        <v>CT00156</v>
      </c>
      <c r="E246">
        <f>Deals_Raw!AA249</f>
        <v>116865.15877809501</v>
      </c>
      <c r="F246">
        <f>ROUND(Deals_Raw!T249*(1-Deals_Raw!W249),2)</f>
        <v>116885.79</v>
      </c>
      <c r="G246">
        <f t="shared" si="24"/>
        <v>20.631221904986887</v>
      </c>
      <c r="I246">
        <f>Deals_Raw!V249</f>
        <v>0.14799999999999999</v>
      </c>
      <c r="J246">
        <f>Deals_Raw!W249</f>
        <v>0.123</v>
      </c>
      <c r="K246" t="str">
        <f>Deals_Raw!Z249</f>
        <v>Pricing Analyst</v>
      </c>
      <c r="L246" t="str">
        <f t="shared" si="25"/>
        <v>yes</v>
      </c>
      <c r="M246" t="str">
        <f t="shared" si="26"/>
        <v>Pass</v>
      </c>
      <c r="O246">
        <f>Deals_Raw!AP249</f>
        <v>0.69735300125314159</v>
      </c>
      <c r="P246" t="str">
        <f t="shared" si="27"/>
        <v>False</v>
      </c>
      <c r="R246" t="str">
        <f>Deals_Raw!AF249</f>
        <v>Lost</v>
      </c>
      <c r="S246">
        <f t="shared" si="28"/>
        <v>0</v>
      </c>
      <c r="T246">
        <f>Deals_Raw!AM249</f>
        <v>116885.79</v>
      </c>
      <c r="U246">
        <f t="shared" si="29"/>
        <v>0</v>
      </c>
      <c r="V246">
        <f>Deals_Raw!AN249</f>
        <v>350657.37</v>
      </c>
      <c r="W246">
        <f t="shared" si="30"/>
        <v>0</v>
      </c>
      <c r="X246">
        <f>Deals_Raw!AO249</f>
        <v>81510.656460344442</v>
      </c>
      <c r="Y246">
        <f t="shared" si="31"/>
        <v>0</v>
      </c>
      <c r="Z246">
        <f>Deals_Raw!AP249</f>
        <v>0.69735300125314159</v>
      </c>
    </row>
    <row r="247" spans="1:26">
      <c r="A247" t="str">
        <f>Deals_Raw!A250</f>
        <v>D00276</v>
      </c>
      <c r="B247">
        <f>COUNTIF(Deals_Raw!$A$5:$A$643,A247)</f>
        <v>1</v>
      </c>
      <c r="C247" s="12" t="str">
        <f>Deals_Raw!E250</f>
        <v>CT00157</v>
      </c>
      <c r="E247">
        <f>Deals_Raw!AA250</f>
        <v>227975.0824488345</v>
      </c>
      <c r="F247">
        <f>ROUND(Deals_Raw!T250*(1-Deals_Raw!W250),2)</f>
        <v>227885</v>
      </c>
      <c r="G247">
        <f t="shared" si="24"/>
        <v>-90.082448834495153</v>
      </c>
      <c r="I247">
        <f>Deals_Raw!V250</f>
        <v>9.8000000000000004E-2</v>
      </c>
      <c r="J247">
        <f>Deals_Raw!W250</f>
        <v>8.5000000000000006E-2</v>
      </c>
      <c r="K247" t="str">
        <f>Deals_Raw!Z250</f>
        <v>Sales Manager</v>
      </c>
      <c r="L247" t="str">
        <f t="shared" si="25"/>
        <v>yes</v>
      </c>
      <c r="M247" t="str">
        <f t="shared" si="26"/>
        <v>Pass</v>
      </c>
      <c r="O247">
        <f>Deals_Raw!AP250</f>
        <v>0.58543742090077788</v>
      </c>
      <c r="P247" t="str">
        <f t="shared" si="27"/>
        <v>False</v>
      </c>
      <c r="R247" t="str">
        <f>Deals_Raw!AF250</f>
        <v>Won</v>
      </c>
      <c r="S247">
        <f t="shared" si="28"/>
        <v>227885</v>
      </c>
      <c r="T247">
        <f>Deals_Raw!AM250</f>
        <v>227885</v>
      </c>
      <c r="U247">
        <f t="shared" si="29"/>
        <v>683655</v>
      </c>
      <c r="V247">
        <f>Deals_Raw!AN250</f>
        <v>683655</v>
      </c>
      <c r="W247">
        <f t="shared" si="30"/>
        <v>133412.40666197377</v>
      </c>
      <c r="X247">
        <f>Deals_Raw!AO250</f>
        <v>133412.40666197377</v>
      </c>
      <c r="Y247">
        <f t="shared" si="31"/>
        <v>0.58543742090077788</v>
      </c>
      <c r="Z247">
        <f>Deals_Raw!AP250</f>
        <v>0.58543742090077788</v>
      </c>
    </row>
    <row r="248" spans="1:26">
      <c r="A248" t="str">
        <f>Deals_Raw!A251</f>
        <v>D00277</v>
      </c>
      <c r="B248">
        <f>COUNTIF(Deals_Raw!$A$5:$A$643,A248)</f>
        <v>1</v>
      </c>
      <c r="C248" s="12" t="str">
        <f>Deals_Raw!E251</f>
        <v>CT00157</v>
      </c>
      <c r="E248">
        <f>Deals_Raw!AA251</f>
        <v>235300.98799609713</v>
      </c>
      <c r="F248">
        <f>ROUND(Deals_Raw!T251*(1-Deals_Raw!W251),2)</f>
        <v>235432.69</v>
      </c>
      <c r="G248">
        <f t="shared" si="24"/>
        <v>131.70200390287209</v>
      </c>
      <c r="I248">
        <f>Deals_Raw!V251</f>
        <v>0.14399999999999999</v>
      </c>
      <c r="J248">
        <f>Deals_Raw!W251</f>
        <v>0.115</v>
      </c>
      <c r="K248" t="str">
        <f>Deals_Raw!Z251</f>
        <v>Pricing Analyst</v>
      </c>
      <c r="L248" t="str">
        <f t="shared" si="25"/>
        <v>yes</v>
      </c>
      <c r="M248" t="str">
        <f t="shared" si="26"/>
        <v>Pass</v>
      </c>
      <c r="O248">
        <f>Deals_Raw!AP251</f>
        <v>0.55516717275541871</v>
      </c>
      <c r="P248" t="str">
        <f t="shared" si="27"/>
        <v>False</v>
      </c>
      <c r="R248" t="str">
        <f>Deals_Raw!AF251</f>
        <v>Won</v>
      </c>
      <c r="S248">
        <f t="shared" si="28"/>
        <v>235432.69</v>
      </c>
      <c r="T248">
        <f>Deals_Raw!AM251</f>
        <v>235432.69</v>
      </c>
      <c r="U248">
        <f t="shared" si="29"/>
        <v>706298.07000000007</v>
      </c>
      <c r="V248">
        <f>Deals_Raw!AN251</f>
        <v>706298.07000000007</v>
      </c>
      <c r="W248">
        <f t="shared" si="30"/>
        <v>130704.50088150293</v>
      </c>
      <c r="X248">
        <f>Deals_Raw!AO251</f>
        <v>130704.50088150293</v>
      </c>
      <c r="Y248">
        <f t="shared" si="31"/>
        <v>0.55516717275541871</v>
      </c>
      <c r="Z248">
        <f>Deals_Raw!AP251</f>
        <v>0.55516717275541871</v>
      </c>
    </row>
    <row r="249" spans="1:26">
      <c r="A249" t="str">
        <f>Deals_Raw!A252</f>
        <v>D00280</v>
      </c>
      <c r="B249">
        <f>COUNTIF(Deals_Raw!$A$5:$A$643,A249)</f>
        <v>1</v>
      </c>
      <c r="C249" s="12" t="str">
        <f>Deals_Raw!E252</f>
        <v>CT00158</v>
      </c>
      <c r="E249">
        <f>Deals_Raw!AA252</f>
        <v>75586.202656634647</v>
      </c>
      <c r="F249">
        <f>ROUND(Deals_Raw!T252*(1-Deals_Raw!W252),2)</f>
        <v>75566.23</v>
      </c>
      <c r="G249">
        <f t="shared" si="24"/>
        <v>-19.972656634650775</v>
      </c>
      <c r="I249">
        <f>Deals_Raw!V252</f>
        <v>0.11600000000000001</v>
      </c>
      <c r="J249">
        <f>Deals_Raw!W252</f>
        <v>0.10199999999999999</v>
      </c>
      <c r="K249" t="str">
        <f>Deals_Raw!Z252</f>
        <v>Pricing Analyst</v>
      </c>
      <c r="L249" t="str">
        <f t="shared" si="25"/>
        <v>yes</v>
      </c>
      <c r="M249" t="str">
        <f t="shared" si="26"/>
        <v>Pass</v>
      </c>
      <c r="O249">
        <f>Deals_Raw!AP252</f>
        <v>0.56016754368389721</v>
      </c>
      <c r="P249" t="str">
        <f t="shared" si="27"/>
        <v>False</v>
      </c>
      <c r="R249" t="str">
        <f>Deals_Raw!AF252</f>
        <v>Lost</v>
      </c>
      <c r="S249">
        <f t="shared" si="28"/>
        <v>0</v>
      </c>
      <c r="T249">
        <f>Deals_Raw!AM252</f>
        <v>75566.23</v>
      </c>
      <c r="U249">
        <f t="shared" si="29"/>
        <v>0</v>
      </c>
      <c r="V249">
        <f>Deals_Raw!AN252</f>
        <v>75566.23</v>
      </c>
      <c r="W249">
        <f t="shared" si="30"/>
        <v>0</v>
      </c>
      <c r="X249">
        <f>Deals_Raw!AO252</f>
        <v>42329.749444552421</v>
      </c>
      <c r="Y249">
        <f t="shared" si="31"/>
        <v>0</v>
      </c>
      <c r="Z249">
        <f>Deals_Raw!AP252</f>
        <v>0.56016754368389721</v>
      </c>
    </row>
    <row r="250" spans="1:26">
      <c r="A250" t="str">
        <f>Deals_Raw!A253</f>
        <v>D00281</v>
      </c>
      <c r="B250">
        <f>COUNTIF(Deals_Raw!$A$5:$A$643,A250)</f>
        <v>1</v>
      </c>
      <c r="C250" s="12" t="str">
        <f>Deals_Raw!E253</f>
        <v>CT00159</v>
      </c>
      <c r="E250">
        <f>Deals_Raw!AA253</f>
        <v>203649.9178677559</v>
      </c>
      <c r="F250">
        <f>ROUND(Deals_Raw!T253*(1-Deals_Raw!W253),2)</f>
        <v>203743.07</v>
      </c>
      <c r="G250">
        <f t="shared" si="24"/>
        <v>93.152132244111272</v>
      </c>
      <c r="I250">
        <f>Deals_Raw!V253</f>
        <v>0.11700000000000001</v>
      </c>
      <c r="J250">
        <f>Deals_Raw!W253</f>
        <v>0.106</v>
      </c>
      <c r="K250" t="str">
        <f>Deals_Raw!Z253</f>
        <v>Pricing Analyst</v>
      </c>
      <c r="L250" t="str">
        <f t="shared" si="25"/>
        <v>yes</v>
      </c>
      <c r="M250" t="str">
        <f t="shared" si="26"/>
        <v>Pass</v>
      </c>
      <c r="O250">
        <f>Deals_Raw!AP253</f>
        <v>0.56684432711332566</v>
      </c>
      <c r="P250" t="str">
        <f t="shared" si="27"/>
        <v>False</v>
      </c>
      <c r="R250" t="str">
        <f>Deals_Raw!AF253</f>
        <v>Won</v>
      </c>
      <c r="S250">
        <f t="shared" si="28"/>
        <v>203743.07</v>
      </c>
      <c r="T250">
        <f>Deals_Raw!AM253</f>
        <v>203743.07</v>
      </c>
      <c r="U250">
        <f t="shared" si="29"/>
        <v>611229.21</v>
      </c>
      <c r="V250">
        <f>Deals_Raw!AN253</f>
        <v>611229.21</v>
      </c>
      <c r="W250">
        <f t="shared" si="30"/>
        <v>115490.60341815322</v>
      </c>
      <c r="X250">
        <f>Deals_Raw!AO253</f>
        <v>115490.60341815322</v>
      </c>
      <c r="Y250">
        <f t="shared" si="31"/>
        <v>0.56684432711332566</v>
      </c>
      <c r="Z250">
        <f>Deals_Raw!AP253</f>
        <v>0.56684432711332566</v>
      </c>
    </row>
    <row r="251" spans="1:26">
      <c r="A251" t="str">
        <f>Deals_Raw!A254</f>
        <v>D00282</v>
      </c>
      <c r="B251">
        <f>COUNTIF(Deals_Raw!$A$5:$A$643,A251)</f>
        <v>1</v>
      </c>
      <c r="C251" s="12" t="str">
        <f>Deals_Raw!E254</f>
        <v>CT00160</v>
      </c>
      <c r="E251">
        <f>Deals_Raw!AA254</f>
        <v>43642.425972931611</v>
      </c>
      <c r="F251">
        <f>ROUND(Deals_Raw!T254*(1-Deals_Raw!W254),2)</f>
        <v>43647.38</v>
      </c>
      <c r="G251">
        <f t="shared" si="24"/>
        <v>4.9540270683864946</v>
      </c>
      <c r="I251">
        <f>Deals_Raw!V254</f>
        <v>0.124</v>
      </c>
      <c r="J251">
        <f>Deals_Raw!W254</f>
        <v>0.111</v>
      </c>
      <c r="K251" t="str">
        <f>Deals_Raw!Z254</f>
        <v>Pricing Analyst</v>
      </c>
      <c r="L251" t="str">
        <f t="shared" si="25"/>
        <v>yes</v>
      </c>
      <c r="M251" t="str">
        <f t="shared" si="26"/>
        <v>Pass</v>
      </c>
      <c r="O251">
        <f>Deals_Raw!AP254</f>
        <v>0.68656312531907038</v>
      </c>
      <c r="P251" t="str">
        <f t="shared" si="27"/>
        <v>False</v>
      </c>
      <c r="R251" t="str">
        <f>Deals_Raw!AF254</f>
        <v>Won</v>
      </c>
      <c r="S251">
        <f t="shared" si="28"/>
        <v>43647.38</v>
      </c>
      <c r="T251">
        <f>Deals_Raw!AM254</f>
        <v>43647.38</v>
      </c>
      <c r="U251">
        <f t="shared" si="29"/>
        <v>130942.13999999998</v>
      </c>
      <c r="V251">
        <f>Deals_Raw!AN254</f>
        <v>130942.13999999998</v>
      </c>
      <c r="W251">
        <f t="shared" si="30"/>
        <v>29966.681624789082</v>
      </c>
      <c r="X251">
        <f>Deals_Raw!AO254</f>
        <v>29966.681624789082</v>
      </c>
      <c r="Y251">
        <f t="shared" si="31"/>
        <v>0.68656312531907038</v>
      </c>
      <c r="Z251">
        <f>Deals_Raw!AP254</f>
        <v>0.68656312531907038</v>
      </c>
    </row>
    <row r="252" spans="1:26">
      <c r="A252" t="str">
        <f>Deals_Raw!A255</f>
        <v>D00283</v>
      </c>
      <c r="B252">
        <f>COUNTIF(Deals_Raw!$A$5:$A$643,A252)</f>
        <v>1</v>
      </c>
      <c r="C252" s="12" t="str">
        <f>Deals_Raw!E255</f>
        <v>CT00161</v>
      </c>
      <c r="E252">
        <f>Deals_Raw!AA255</f>
        <v>695468.68231570011</v>
      </c>
      <c r="F252">
        <f>ROUND(Deals_Raw!T255*(1-Deals_Raw!W255),2)</f>
        <v>695153.97</v>
      </c>
      <c r="G252">
        <f t="shared" si="24"/>
        <v>-314.71231570013333</v>
      </c>
      <c r="I252">
        <f>Deals_Raw!V255</f>
        <v>0.14599999999999999</v>
      </c>
      <c r="J252">
        <f>Deals_Raw!W255</f>
        <v>0.125</v>
      </c>
      <c r="K252" t="str">
        <f>Deals_Raw!Z255</f>
        <v>Pricing Analyst</v>
      </c>
      <c r="L252" t="str">
        <f t="shared" si="25"/>
        <v>yes</v>
      </c>
      <c r="M252" t="str">
        <f t="shared" si="26"/>
        <v>Pass</v>
      </c>
      <c r="O252">
        <f>Deals_Raw!AP255</f>
        <v>0.60337785927130394</v>
      </c>
      <c r="P252" t="str">
        <f t="shared" si="27"/>
        <v>False</v>
      </c>
      <c r="R252" t="str">
        <f>Deals_Raw!AF255</f>
        <v>Won</v>
      </c>
      <c r="S252">
        <f t="shared" si="28"/>
        <v>695153.97</v>
      </c>
      <c r="T252">
        <f>Deals_Raw!AM255</f>
        <v>695153.97</v>
      </c>
      <c r="U252">
        <f t="shared" si="29"/>
        <v>695153.97</v>
      </c>
      <c r="V252">
        <f>Deals_Raw!AN255</f>
        <v>695153.97</v>
      </c>
      <c r="W252">
        <f t="shared" si="30"/>
        <v>419440.51428254822</v>
      </c>
      <c r="X252">
        <f>Deals_Raw!AO255</f>
        <v>419440.51428254822</v>
      </c>
      <c r="Y252">
        <f t="shared" si="31"/>
        <v>0.60337785927130394</v>
      </c>
      <c r="Z252">
        <f>Deals_Raw!AP255</f>
        <v>0.60337785927130394</v>
      </c>
    </row>
    <row r="253" spans="1:26">
      <c r="A253" t="str">
        <f>Deals_Raw!A256</f>
        <v>D00284</v>
      </c>
      <c r="B253">
        <f>COUNTIF(Deals_Raw!$A$5:$A$643,A253)</f>
        <v>1</v>
      </c>
      <c r="C253" s="12" t="str">
        <f>Deals_Raw!E256</f>
        <v>CT00161</v>
      </c>
      <c r="E253">
        <f>Deals_Raw!AA256</f>
        <v>723827.88013782632</v>
      </c>
      <c r="F253">
        <f>ROUND(Deals_Raw!T256*(1-Deals_Raw!W256),2)</f>
        <v>724163.56</v>
      </c>
      <c r="G253">
        <f t="shared" si="24"/>
        <v>335.67986217373982</v>
      </c>
      <c r="I253">
        <f>Deals_Raw!V256</f>
        <v>0.155</v>
      </c>
      <c r="J253">
        <f>Deals_Raw!W256</f>
        <v>0.109</v>
      </c>
      <c r="K253" t="str">
        <f>Deals_Raw!Z256</f>
        <v>Pricing Analyst</v>
      </c>
      <c r="L253" t="str">
        <f t="shared" si="25"/>
        <v>yes</v>
      </c>
      <c r="M253" t="str">
        <f t="shared" si="26"/>
        <v>Pass</v>
      </c>
      <c r="O253">
        <f>Deals_Raw!AP256</f>
        <v>0.6005138352383419</v>
      </c>
      <c r="P253" t="str">
        <f t="shared" si="27"/>
        <v>False</v>
      </c>
      <c r="R253" t="str">
        <f>Deals_Raw!AF256</f>
        <v>Lost</v>
      </c>
      <c r="S253">
        <f t="shared" si="28"/>
        <v>0</v>
      </c>
      <c r="T253">
        <f>Deals_Raw!AM256</f>
        <v>724163.56</v>
      </c>
      <c r="U253">
        <f t="shared" si="29"/>
        <v>0</v>
      </c>
      <c r="V253">
        <f>Deals_Raw!AN256</f>
        <v>724163.56</v>
      </c>
      <c r="W253">
        <f t="shared" si="30"/>
        <v>0</v>
      </c>
      <c r="X253">
        <f>Deals_Raw!AO256</f>
        <v>434870.23675545113</v>
      </c>
      <c r="Y253">
        <f t="shared" si="31"/>
        <v>0</v>
      </c>
      <c r="Z253">
        <f>Deals_Raw!AP256</f>
        <v>0.6005138352383419</v>
      </c>
    </row>
    <row r="254" spans="1:26">
      <c r="A254" t="str">
        <f>Deals_Raw!A257</f>
        <v>D00285</v>
      </c>
      <c r="B254">
        <f>COUNTIF(Deals_Raw!$A$5:$A$643,A254)</f>
        <v>1</v>
      </c>
      <c r="C254" s="12" t="str">
        <f>Deals_Raw!E257</f>
        <v>CT00162</v>
      </c>
      <c r="E254">
        <f>Deals_Raw!AA257</f>
        <v>243227.3859084752</v>
      </c>
      <c r="F254">
        <f>ROUND(Deals_Raw!T257*(1-Deals_Raw!W257),2)</f>
        <v>243371.24</v>
      </c>
      <c r="G254">
        <f t="shared" si="24"/>
        <v>143.85409152478678</v>
      </c>
      <c r="I254">
        <f>Deals_Raw!V257</f>
        <v>0.17199999999999999</v>
      </c>
      <c r="J254">
        <f>Deals_Raw!W257</f>
        <v>0.155</v>
      </c>
      <c r="K254" t="str">
        <f>Deals_Raw!Z257</f>
        <v>Pricing Analyst</v>
      </c>
      <c r="L254" t="str">
        <f t="shared" si="25"/>
        <v>yes</v>
      </c>
      <c r="M254" t="str">
        <f t="shared" si="26"/>
        <v>Pass</v>
      </c>
      <c r="O254">
        <f>Deals_Raw!AP257</f>
        <v>0.57797548635417062</v>
      </c>
      <c r="P254" t="str">
        <f t="shared" si="27"/>
        <v>False</v>
      </c>
      <c r="R254" t="str">
        <f>Deals_Raw!AF257</f>
        <v>Won</v>
      </c>
      <c r="S254">
        <f t="shared" si="28"/>
        <v>243371.24</v>
      </c>
      <c r="T254">
        <f>Deals_Raw!AM257</f>
        <v>243371.24</v>
      </c>
      <c r="U254">
        <f t="shared" si="29"/>
        <v>243371.24</v>
      </c>
      <c r="V254">
        <f>Deals_Raw!AN257</f>
        <v>243371.24</v>
      </c>
      <c r="W254">
        <f t="shared" si="30"/>
        <v>140662.61080361757</v>
      </c>
      <c r="X254">
        <f>Deals_Raw!AO257</f>
        <v>140662.61080361757</v>
      </c>
      <c r="Y254">
        <f t="shared" si="31"/>
        <v>0.57797548635417062</v>
      </c>
      <c r="Z254">
        <f>Deals_Raw!AP257</f>
        <v>0.57797548635417062</v>
      </c>
    </row>
    <row r="255" spans="1:26">
      <c r="A255" t="str">
        <f>Deals_Raw!A258</f>
        <v>D00286</v>
      </c>
      <c r="B255">
        <f>COUNTIF(Deals_Raw!$A$5:$A$643,A255)</f>
        <v>1</v>
      </c>
      <c r="C255" s="12" t="str">
        <f>Deals_Raw!E258</f>
        <v>CT00162</v>
      </c>
      <c r="E255">
        <f>Deals_Raw!AA258</f>
        <v>297012.3845452352</v>
      </c>
      <c r="F255">
        <f>ROUND(Deals_Raw!T258*(1-Deals_Raw!W258),2)</f>
        <v>297012.38</v>
      </c>
      <c r="G255">
        <f t="shared" si="24"/>
        <v>-4.5452351914718747E-3</v>
      </c>
      <c r="I255">
        <f>Deals_Raw!V258</f>
        <v>2.1999999999999999E-2</v>
      </c>
      <c r="J255">
        <f>Deals_Raw!W258</f>
        <v>0</v>
      </c>
      <c r="K255" t="str">
        <f>Deals_Raw!Z258</f>
        <v>Sales Manager</v>
      </c>
      <c r="L255" t="str">
        <f t="shared" si="25"/>
        <v>yes</v>
      </c>
      <c r="M255" t="str">
        <f t="shared" si="26"/>
        <v>Pass</v>
      </c>
      <c r="O255">
        <f>Deals_Raw!AP258</f>
        <v>0.64375620695033509</v>
      </c>
      <c r="P255" t="str">
        <f t="shared" si="27"/>
        <v>False</v>
      </c>
      <c r="R255" t="str">
        <f>Deals_Raw!AF258</f>
        <v>Won</v>
      </c>
      <c r="S255">
        <f t="shared" si="28"/>
        <v>297012.38</v>
      </c>
      <c r="T255">
        <f>Deals_Raw!AM258</f>
        <v>297012.38</v>
      </c>
      <c r="U255">
        <f t="shared" si="29"/>
        <v>297012.38</v>
      </c>
      <c r="V255">
        <f>Deals_Raw!AN258</f>
        <v>297012.38</v>
      </c>
      <c r="W255">
        <f t="shared" si="30"/>
        <v>191203.56316609157</v>
      </c>
      <c r="X255">
        <f>Deals_Raw!AO258</f>
        <v>191203.56316609157</v>
      </c>
      <c r="Y255">
        <f t="shared" si="31"/>
        <v>0.64375620695033509</v>
      </c>
      <c r="Z255">
        <f>Deals_Raw!AP258</f>
        <v>0.64375620695033509</v>
      </c>
    </row>
    <row r="256" spans="1:26">
      <c r="A256" t="str">
        <f>Deals_Raw!A259</f>
        <v>D00287</v>
      </c>
      <c r="B256">
        <f>COUNTIF(Deals_Raw!$A$5:$A$643,A256)</f>
        <v>1</v>
      </c>
      <c r="C256" s="12" t="str">
        <f>Deals_Raw!E259</f>
        <v>CT00163</v>
      </c>
      <c r="E256">
        <f>Deals_Raw!AA259</f>
        <v>379365.36189818237</v>
      </c>
      <c r="F256">
        <f>ROUND(Deals_Raw!T259*(1-Deals_Raw!W259),2)</f>
        <v>379265.98</v>
      </c>
      <c r="G256">
        <f t="shared" si="24"/>
        <v>-99.381898182386067</v>
      </c>
      <c r="I256">
        <f>Deals_Raw!V259</f>
        <v>0.17199999999999999</v>
      </c>
      <c r="J256">
        <f>Deals_Raw!W259</f>
        <v>0.14899999999999999</v>
      </c>
      <c r="K256" t="str">
        <f>Deals_Raw!Z259</f>
        <v>Pricing Analyst</v>
      </c>
      <c r="L256" t="str">
        <f t="shared" si="25"/>
        <v>yes</v>
      </c>
      <c r="M256" t="str">
        <f t="shared" si="26"/>
        <v>Pass</v>
      </c>
      <c r="O256">
        <f>Deals_Raw!AP259</f>
        <v>0.55914196159901419</v>
      </c>
      <c r="P256" t="str">
        <f t="shared" si="27"/>
        <v>False</v>
      </c>
      <c r="R256" t="str">
        <f>Deals_Raw!AF259</f>
        <v>Won</v>
      </c>
      <c r="S256">
        <f t="shared" si="28"/>
        <v>379265.98</v>
      </c>
      <c r="T256">
        <f>Deals_Raw!AM259</f>
        <v>379265.98</v>
      </c>
      <c r="U256">
        <f t="shared" si="29"/>
        <v>379265.98</v>
      </c>
      <c r="V256">
        <f>Deals_Raw!AN259</f>
        <v>379265.98</v>
      </c>
      <c r="W256">
        <f t="shared" si="30"/>
        <v>212063.52402497249</v>
      </c>
      <c r="X256">
        <f>Deals_Raw!AO259</f>
        <v>212063.52402497249</v>
      </c>
      <c r="Y256">
        <f t="shared" si="31"/>
        <v>0.55914196159901419</v>
      </c>
      <c r="Z256">
        <f>Deals_Raw!AP259</f>
        <v>0.55914196159901419</v>
      </c>
    </row>
    <row r="257" spans="1:26">
      <c r="A257" t="str">
        <f>Deals_Raw!A260</f>
        <v>D00288</v>
      </c>
      <c r="B257">
        <f>COUNTIF(Deals_Raw!$A$5:$A$643,A257)</f>
        <v>1</v>
      </c>
      <c r="C257" s="12" t="str">
        <f>Deals_Raw!E260</f>
        <v>CT00163</v>
      </c>
      <c r="E257">
        <f>Deals_Raw!AA260</f>
        <v>410416.02109236497</v>
      </c>
      <c r="F257">
        <f>ROUND(Deals_Raw!T260*(1-Deals_Raw!W260),2)</f>
        <v>410359.61</v>
      </c>
      <c r="G257">
        <f t="shared" si="24"/>
        <v>-56.411092364985961</v>
      </c>
      <c r="I257">
        <f>Deals_Raw!V260</f>
        <v>0.16800000000000001</v>
      </c>
      <c r="J257">
        <f>Deals_Raw!W260</f>
        <v>0.14399999999999999</v>
      </c>
      <c r="K257" t="str">
        <f>Deals_Raw!Z260</f>
        <v>Pricing Analyst</v>
      </c>
      <c r="L257" t="str">
        <f t="shared" si="25"/>
        <v>yes</v>
      </c>
      <c r="M257" t="str">
        <f t="shared" si="26"/>
        <v>Pass</v>
      </c>
      <c r="O257">
        <f>Deals_Raw!AP260</f>
        <v>0.58961962145321734</v>
      </c>
      <c r="P257" t="str">
        <f t="shared" si="27"/>
        <v>False</v>
      </c>
      <c r="R257" t="str">
        <f>Deals_Raw!AF260</f>
        <v>Won</v>
      </c>
      <c r="S257">
        <f t="shared" si="28"/>
        <v>410359.61</v>
      </c>
      <c r="T257">
        <f>Deals_Raw!AM260</f>
        <v>410359.61</v>
      </c>
      <c r="U257">
        <f t="shared" si="29"/>
        <v>410359.61</v>
      </c>
      <c r="V257">
        <f>Deals_Raw!AN260</f>
        <v>410359.61</v>
      </c>
      <c r="W257">
        <f t="shared" si="30"/>
        <v>241956.07790788991</v>
      </c>
      <c r="X257">
        <f>Deals_Raw!AO260</f>
        <v>241956.07790788991</v>
      </c>
      <c r="Y257">
        <f t="shared" si="31"/>
        <v>0.58961962145321734</v>
      </c>
      <c r="Z257">
        <f>Deals_Raw!AP260</f>
        <v>0.58961962145321734</v>
      </c>
    </row>
    <row r="258" spans="1:26">
      <c r="A258" t="str">
        <f>Deals_Raw!A261</f>
        <v>D00289</v>
      </c>
      <c r="B258">
        <f>COUNTIF(Deals_Raw!$A$5:$A$643,A258)</f>
        <v>1</v>
      </c>
      <c r="C258" s="12" t="str">
        <f>Deals_Raw!E261</f>
        <v>CT00163</v>
      </c>
      <c r="E258">
        <f>Deals_Raw!AA261</f>
        <v>400264.50101313216</v>
      </c>
      <c r="F258">
        <f>ROUND(Deals_Raw!T261*(1-Deals_Raw!W261),2)</f>
        <v>400034.12</v>
      </c>
      <c r="G258">
        <f t="shared" si="24"/>
        <v>-230.38101313216612</v>
      </c>
      <c r="I258">
        <f>Deals_Raw!V261</f>
        <v>0.22800000000000001</v>
      </c>
      <c r="J258">
        <f>Deals_Raw!W261</f>
        <v>0.21199999999999999</v>
      </c>
      <c r="K258" t="str">
        <f>Deals_Raw!Z261</f>
        <v>Business Manager</v>
      </c>
      <c r="L258" t="str">
        <f t="shared" si="25"/>
        <v>yes</v>
      </c>
      <c r="M258" t="str">
        <f t="shared" si="26"/>
        <v>Pass</v>
      </c>
      <c r="O258">
        <f>Deals_Raw!AP261</f>
        <v>0.54637152772610587</v>
      </c>
      <c r="P258" t="str">
        <f t="shared" si="27"/>
        <v>False</v>
      </c>
      <c r="R258" t="str">
        <f>Deals_Raw!AF261</f>
        <v>Won</v>
      </c>
      <c r="S258">
        <f t="shared" si="28"/>
        <v>400034.12</v>
      </c>
      <c r="T258">
        <f>Deals_Raw!AM261</f>
        <v>400034.12</v>
      </c>
      <c r="U258">
        <f t="shared" si="29"/>
        <v>400034.12</v>
      </c>
      <c r="V258">
        <f>Deals_Raw!AN261</f>
        <v>400034.12</v>
      </c>
      <c r="W258">
        <f t="shared" si="30"/>
        <v>218567.25328696836</v>
      </c>
      <c r="X258">
        <f>Deals_Raw!AO261</f>
        <v>218567.25328696836</v>
      </c>
      <c r="Y258">
        <f t="shared" si="31"/>
        <v>0.54637152772610587</v>
      </c>
      <c r="Z258">
        <f>Deals_Raw!AP261</f>
        <v>0.54637152772610587</v>
      </c>
    </row>
    <row r="259" spans="1:26">
      <c r="A259" t="str">
        <f>Deals_Raw!A262</f>
        <v>D00291</v>
      </c>
      <c r="B259">
        <f>COUNTIF(Deals_Raw!$A$5:$A$643,A259)</f>
        <v>1</v>
      </c>
      <c r="C259" s="12" t="str">
        <f>Deals_Raw!E262</f>
        <v>CT00164</v>
      </c>
      <c r="E259">
        <f>Deals_Raw!AA262</f>
        <v>65288.852613705574</v>
      </c>
      <c r="F259">
        <f>ROUND(Deals_Raw!T262*(1-Deals_Raw!W262),2)</f>
        <v>65282.84</v>
      </c>
      <c r="G259">
        <f t="shared" ref="G259:G322" si="32">F259-E259</f>
        <v>-6.012613705577678</v>
      </c>
      <c r="I259">
        <f>Deals_Raw!V262</f>
        <v>0.128</v>
      </c>
      <c r="J259">
        <f>Deals_Raw!W262</f>
        <v>0.12</v>
      </c>
      <c r="K259" t="str">
        <f>Deals_Raw!Z262</f>
        <v>Pricing Analyst</v>
      </c>
      <c r="L259" t="str">
        <f t="shared" ref="L259:L322" si="33">IF(J259&lt;=I259, "yes", "no")</f>
        <v>yes</v>
      </c>
      <c r="M259" t="str">
        <f t="shared" ref="M259:M322" si="34">IF(AND(J259&lt;=0.1,K259="Sales Manager"),"Pass",
 IF(AND(J259&gt;0.1,J259&lt;=0.2,K259="Pricing Analyst"),"Pass",
 IF(AND(J259&gt;0.2,K259="Business Manager"),"Pass","Review")))</f>
        <v>Pass</v>
      </c>
      <c r="O259">
        <f>Deals_Raw!AP262</f>
        <v>0.66372620447873709</v>
      </c>
      <c r="P259" t="str">
        <f t="shared" ref="P259:P322" si="35">IF(O259&lt;=0.45, "True", "False")</f>
        <v>False</v>
      </c>
      <c r="R259" t="str">
        <f>Deals_Raw!AF262</f>
        <v>Won</v>
      </c>
      <c r="S259">
        <f t="shared" ref="S259:S322" si="36">IF($R259="Lost",0,T259)</f>
        <v>65282.84</v>
      </c>
      <c r="T259">
        <f>Deals_Raw!AM262</f>
        <v>65282.84</v>
      </c>
      <c r="U259">
        <f t="shared" ref="U259:U322" si="37">IF($R259="Lost",0,V259)</f>
        <v>130565.68</v>
      </c>
      <c r="V259">
        <f>Deals_Raw!AN262</f>
        <v>130565.68</v>
      </c>
      <c r="W259">
        <f t="shared" ref="W259:W322" si="38">IF($R259="Lost",0,X259)</f>
        <v>43329.931610792672</v>
      </c>
      <c r="X259">
        <f>Deals_Raw!AO262</f>
        <v>43329.931610792672</v>
      </c>
      <c r="Y259">
        <f t="shared" ref="Y259:Y322" si="39">IF($R259="Lost",0,Z259)</f>
        <v>0.66372620447873709</v>
      </c>
      <c r="Z259">
        <f>Deals_Raw!AP262</f>
        <v>0.66372620447873709</v>
      </c>
    </row>
    <row r="260" spans="1:26">
      <c r="A260" t="str">
        <f>Deals_Raw!A263</f>
        <v>D00292</v>
      </c>
      <c r="B260">
        <f>COUNTIF(Deals_Raw!$A$5:$A$643,A260)</f>
        <v>1</v>
      </c>
      <c r="C260" s="12" t="str">
        <f>Deals_Raw!E263</f>
        <v>CT00165</v>
      </c>
      <c r="E260">
        <f>Deals_Raw!AA263</f>
        <v>379751.64984180382</v>
      </c>
      <c r="F260">
        <f>ROUND(Deals_Raw!T263*(1-Deals_Raw!W263),2)</f>
        <v>379759.33</v>
      </c>
      <c r="G260">
        <f t="shared" si="32"/>
        <v>7.6801581961917691</v>
      </c>
      <c r="I260">
        <f>Deals_Raw!V263</f>
        <v>6.4000000000000001E-2</v>
      </c>
      <c r="J260">
        <f>Deals_Raw!W263</f>
        <v>5.0999999999999997E-2</v>
      </c>
      <c r="K260" t="str">
        <f>Deals_Raw!Z263</f>
        <v>Sales Manager</v>
      </c>
      <c r="L260" t="str">
        <f t="shared" si="33"/>
        <v>yes</v>
      </c>
      <c r="M260" t="str">
        <f t="shared" si="34"/>
        <v>Pass</v>
      </c>
      <c r="O260">
        <f>Deals_Raw!AP263</f>
        <v>0.61039497925628161</v>
      </c>
      <c r="P260" t="str">
        <f t="shared" si="35"/>
        <v>False</v>
      </c>
      <c r="R260" t="str">
        <f>Deals_Raw!AF263</f>
        <v>Won</v>
      </c>
      <c r="S260">
        <f t="shared" si="36"/>
        <v>379759.33</v>
      </c>
      <c r="T260">
        <f>Deals_Raw!AM263</f>
        <v>379759.33</v>
      </c>
      <c r="U260">
        <f t="shared" si="37"/>
        <v>379759.33</v>
      </c>
      <c r="V260">
        <f>Deals_Raw!AN263</f>
        <v>379759.33</v>
      </c>
      <c r="W260">
        <f t="shared" si="38"/>
        <v>231803.18835772941</v>
      </c>
      <c r="X260">
        <f>Deals_Raw!AO263</f>
        <v>231803.18835772941</v>
      </c>
      <c r="Y260">
        <f t="shared" si="39"/>
        <v>0.61039497925628161</v>
      </c>
      <c r="Z260">
        <f>Deals_Raw!AP263</f>
        <v>0.61039497925628161</v>
      </c>
    </row>
    <row r="261" spans="1:26">
      <c r="A261" t="str">
        <f>Deals_Raw!A264</f>
        <v>D00293</v>
      </c>
      <c r="B261">
        <f>COUNTIF(Deals_Raw!$A$5:$A$643,A261)</f>
        <v>1</v>
      </c>
      <c r="C261" s="12" t="str">
        <f>Deals_Raw!E264</f>
        <v>CT00165</v>
      </c>
      <c r="E261">
        <f>Deals_Raw!AA264</f>
        <v>376347.51664738992</v>
      </c>
      <c r="F261">
        <f>ROUND(Deals_Raw!T264*(1-Deals_Raw!W264),2)</f>
        <v>376532.84</v>
      </c>
      <c r="G261">
        <f t="shared" si="32"/>
        <v>185.32335261011031</v>
      </c>
      <c r="I261">
        <f>Deals_Raw!V264</f>
        <v>8.7999999999999995E-2</v>
      </c>
      <c r="J261">
        <f>Deals_Raw!W264</f>
        <v>8.5999999999999993E-2</v>
      </c>
      <c r="K261" t="str">
        <f>Deals_Raw!Z264</f>
        <v>Sales Manager</v>
      </c>
      <c r="L261" t="str">
        <f t="shared" si="33"/>
        <v>yes</v>
      </c>
      <c r="M261" t="str">
        <f t="shared" si="34"/>
        <v>Pass</v>
      </c>
      <c r="O261">
        <f>Deals_Raw!AP264</f>
        <v>0.61213743283460187</v>
      </c>
      <c r="P261" t="str">
        <f t="shared" si="35"/>
        <v>False</v>
      </c>
      <c r="R261" t="str">
        <f>Deals_Raw!AF264</f>
        <v>Won</v>
      </c>
      <c r="S261">
        <f t="shared" si="36"/>
        <v>376532.84</v>
      </c>
      <c r="T261">
        <f>Deals_Raw!AM264</f>
        <v>376532.84</v>
      </c>
      <c r="U261">
        <f t="shared" si="37"/>
        <v>376532.84</v>
      </c>
      <c r="V261">
        <f>Deals_Raw!AN264</f>
        <v>376532.84</v>
      </c>
      <c r="W261">
        <f t="shared" si="38"/>
        <v>230489.84605552192</v>
      </c>
      <c r="X261">
        <f>Deals_Raw!AO264</f>
        <v>230489.84605552192</v>
      </c>
      <c r="Y261">
        <f t="shared" si="39"/>
        <v>0.61213743283460187</v>
      </c>
      <c r="Z261">
        <f>Deals_Raw!AP264</f>
        <v>0.61213743283460187</v>
      </c>
    </row>
    <row r="262" spans="1:26">
      <c r="A262" t="str">
        <f>Deals_Raw!A265</f>
        <v>D00294</v>
      </c>
      <c r="B262">
        <f>COUNTIF(Deals_Raw!$A$5:$A$643,A262)</f>
        <v>1</v>
      </c>
      <c r="C262" s="12" t="str">
        <f>Deals_Raw!E265</f>
        <v>CT00166</v>
      </c>
      <c r="E262">
        <f>Deals_Raw!AA265</f>
        <v>54102.868509979133</v>
      </c>
      <c r="F262">
        <f>ROUND(Deals_Raw!T265*(1-Deals_Raw!W265),2)</f>
        <v>54106.13</v>
      </c>
      <c r="G262">
        <f t="shared" si="32"/>
        <v>3.2614900208645849</v>
      </c>
      <c r="I262">
        <f>Deals_Raw!V265</f>
        <v>0.20799999999999999</v>
      </c>
      <c r="J262">
        <f>Deals_Raw!W265</f>
        <v>0.17</v>
      </c>
      <c r="K262" t="str">
        <f>Deals_Raw!Z265</f>
        <v>Pricing Analyst</v>
      </c>
      <c r="L262" t="str">
        <f t="shared" si="33"/>
        <v>yes</v>
      </c>
      <c r="M262" t="str">
        <f t="shared" si="34"/>
        <v>Pass</v>
      </c>
      <c r="O262">
        <f>Deals_Raw!AP265</f>
        <v>0.67481412307772604</v>
      </c>
      <c r="P262" t="str">
        <f t="shared" si="35"/>
        <v>False</v>
      </c>
      <c r="R262" t="str">
        <f>Deals_Raw!AF265</f>
        <v>Won</v>
      </c>
      <c r="S262">
        <f t="shared" si="36"/>
        <v>54106.13</v>
      </c>
      <c r="T262">
        <f>Deals_Raw!AM265</f>
        <v>54106.13</v>
      </c>
      <c r="U262">
        <f t="shared" si="37"/>
        <v>54106.13</v>
      </c>
      <c r="V262">
        <f>Deals_Raw!AN265</f>
        <v>54106.13</v>
      </c>
      <c r="W262">
        <f t="shared" si="38"/>
        <v>36511.580669079442</v>
      </c>
      <c r="X262">
        <f>Deals_Raw!AO265</f>
        <v>36511.580669079442</v>
      </c>
      <c r="Y262">
        <f t="shared" si="39"/>
        <v>0.67481412307772604</v>
      </c>
      <c r="Z262">
        <f>Deals_Raw!AP265</f>
        <v>0.67481412307772604</v>
      </c>
    </row>
    <row r="263" spans="1:26">
      <c r="A263" t="str">
        <f>Deals_Raw!A266</f>
        <v>D00295</v>
      </c>
      <c r="B263">
        <f>COUNTIF(Deals_Raw!$A$5:$A$643,A263)</f>
        <v>1</v>
      </c>
      <c r="C263" s="12" t="str">
        <f>Deals_Raw!E266</f>
        <v>CT00166</v>
      </c>
      <c r="E263">
        <f>Deals_Raw!AA266</f>
        <v>76121.378764055858</v>
      </c>
      <c r="F263">
        <f>ROUND(Deals_Raw!T266*(1-Deals_Raw!W266),2)</f>
        <v>76099.97</v>
      </c>
      <c r="G263">
        <f t="shared" si="32"/>
        <v>-21.408764055857318</v>
      </c>
      <c r="I263">
        <f>Deals_Raw!V266</f>
        <v>0.14099999999999999</v>
      </c>
      <c r="J263">
        <f>Deals_Raw!W266</f>
        <v>0.123</v>
      </c>
      <c r="K263" t="str">
        <f>Deals_Raw!Z266</f>
        <v>Pricing Analyst</v>
      </c>
      <c r="L263" t="str">
        <f t="shared" si="33"/>
        <v>yes</v>
      </c>
      <c r="M263" t="str">
        <f t="shared" si="34"/>
        <v>Pass</v>
      </c>
      <c r="O263">
        <f>Deals_Raw!AP266</f>
        <v>0.69612874736123997</v>
      </c>
      <c r="P263" t="str">
        <f t="shared" si="35"/>
        <v>False</v>
      </c>
      <c r="R263" t="str">
        <f>Deals_Raw!AF266</f>
        <v>Won</v>
      </c>
      <c r="S263">
        <f t="shared" si="36"/>
        <v>76099.97</v>
      </c>
      <c r="T263">
        <f>Deals_Raw!AM266</f>
        <v>76099.97</v>
      </c>
      <c r="U263">
        <f t="shared" si="37"/>
        <v>76099.97</v>
      </c>
      <c r="V263">
        <f>Deals_Raw!AN266</f>
        <v>76099.97</v>
      </c>
      <c r="W263">
        <f t="shared" si="38"/>
        <v>52975.376790327944</v>
      </c>
      <c r="X263">
        <f>Deals_Raw!AO266</f>
        <v>52975.376790327944</v>
      </c>
      <c r="Y263">
        <f t="shared" si="39"/>
        <v>0.69612874736123997</v>
      </c>
      <c r="Z263">
        <f>Deals_Raw!AP266</f>
        <v>0.69612874736123997</v>
      </c>
    </row>
    <row r="264" spans="1:26">
      <c r="A264" t="str">
        <f>Deals_Raw!A267</f>
        <v>D00296</v>
      </c>
      <c r="B264">
        <f>COUNTIF(Deals_Raw!$A$5:$A$643,A264)</f>
        <v>1</v>
      </c>
      <c r="C264" s="12" t="str">
        <f>Deals_Raw!E267</f>
        <v>CT00166</v>
      </c>
      <c r="E264">
        <f>Deals_Raw!AA267</f>
        <v>79310.292648009825</v>
      </c>
      <c r="F264">
        <f>ROUND(Deals_Raw!T267*(1-Deals_Raw!W267),2)</f>
        <v>79265.7</v>
      </c>
      <c r="G264">
        <f t="shared" si="32"/>
        <v>-44.592648009827826</v>
      </c>
      <c r="I264">
        <f>Deals_Raw!V267</f>
        <v>0.151</v>
      </c>
      <c r="J264">
        <f>Deals_Raw!W267</f>
        <v>0.122</v>
      </c>
      <c r="K264" t="str">
        <f>Deals_Raw!Z267</f>
        <v>Pricing Analyst</v>
      </c>
      <c r="L264" t="str">
        <f t="shared" si="33"/>
        <v>yes</v>
      </c>
      <c r="M264" t="str">
        <f t="shared" si="34"/>
        <v>Pass</v>
      </c>
      <c r="O264">
        <f>Deals_Raw!AP267</f>
        <v>0.66055527932307567</v>
      </c>
      <c r="P264" t="str">
        <f t="shared" si="35"/>
        <v>False</v>
      </c>
      <c r="R264" t="str">
        <f>Deals_Raw!AF267</f>
        <v>Lost</v>
      </c>
      <c r="S264">
        <f t="shared" si="36"/>
        <v>0</v>
      </c>
      <c r="T264">
        <f>Deals_Raw!AM267</f>
        <v>79265.7</v>
      </c>
      <c r="U264">
        <f t="shared" si="37"/>
        <v>0</v>
      </c>
      <c r="V264">
        <f>Deals_Raw!AN267</f>
        <v>79265.7</v>
      </c>
      <c r="W264">
        <f t="shared" si="38"/>
        <v>0</v>
      </c>
      <c r="X264">
        <f>Deals_Raw!AO267</f>
        <v>52359.376604239122</v>
      </c>
      <c r="Y264">
        <f t="shared" si="39"/>
        <v>0</v>
      </c>
      <c r="Z264">
        <f>Deals_Raw!AP267</f>
        <v>0.66055527932307567</v>
      </c>
    </row>
    <row r="265" spans="1:26">
      <c r="A265" t="str">
        <f>Deals_Raw!A268</f>
        <v>D00299</v>
      </c>
      <c r="B265">
        <f>COUNTIF(Deals_Raw!$A$5:$A$643,A265)</f>
        <v>1</v>
      </c>
      <c r="C265" s="12" t="str">
        <f>Deals_Raw!E268</f>
        <v>CT00167</v>
      </c>
      <c r="E265">
        <f>Deals_Raw!AA268</f>
        <v>544893.35169475758</v>
      </c>
      <c r="F265">
        <f>ROUND(Deals_Raw!T268*(1-Deals_Raw!W268),2)</f>
        <v>544658.18999999994</v>
      </c>
      <c r="G265">
        <f t="shared" si="32"/>
        <v>-235.16169475764036</v>
      </c>
      <c r="I265">
        <f>Deals_Raw!V268</f>
        <v>0.157</v>
      </c>
      <c r="J265">
        <f>Deals_Raw!W268</f>
        <v>0.11799999999999999</v>
      </c>
      <c r="K265" t="str">
        <f>Deals_Raw!Z268</f>
        <v>Pricing Analyst</v>
      </c>
      <c r="L265" t="str">
        <f t="shared" si="33"/>
        <v>yes</v>
      </c>
      <c r="M265" t="str">
        <f t="shared" si="34"/>
        <v>Pass</v>
      </c>
      <c r="O265">
        <f>Deals_Raw!AP268</f>
        <v>0.57525181661613767</v>
      </c>
      <c r="P265" t="str">
        <f t="shared" si="35"/>
        <v>False</v>
      </c>
      <c r="R265" t="str">
        <f>Deals_Raw!AF268</f>
        <v>Won</v>
      </c>
      <c r="S265">
        <f t="shared" si="36"/>
        <v>544658.18999999994</v>
      </c>
      <c r="T265">
        <f>Deals_Raw!AM268</f>
        <v>544658.18999999994</v>
      </c>
      <c r="U265">
        <f t="shared" si="37"/>
        <v>544658.18999999994</v>
      </c>
      <c r="V265">
        <f>Deals_Raw!AN268</f>
        <v>544658.18999999994</v>
      </c>
      <c r="W265">
        <f t="shared" si="38"/>
        <v>313315.61323235743</v>
      </c>
      <c r="X265">
        <f>Deals_Raw!AO268</f>
        <v>313315.61323235743</v>
      </c>
      <c r="Y265">
        <f t="shared" si="39"/>
        <v>0.57525181661613767</v>
      </c>
      <c r="Z265">
        <f>Deals_Raw!AP268</f>
        <v>0.57525181661613767</v>
      </c>
    </row>
    <row r="266" spans="1:26">
      <c r="A266" t="str">
        <f>Deals_Raw!A269</f>
        <v>D00300</v>
      </c>
      <c r="B266">
        <f>COUNTIF(Deals_Raw!$A$5:$A$643,A266)</f>
        <v>1</v>
      </c>
      <c r="C266" s="12" t="str">
        <f>Deals_Raw!E269</f>
        <v>CT00167</v>
      </c>
      <c r="E266">
        <f>Deals_Raw!AA269</f>
        <v>704750.59776241425</v>
      </c>
      <c r="F266">
        <f>ROUND(Deals_Raw!T269*(1-Deals_Raw!W269),2)</f>
        <v>704692.46</v>
      </c>
      <c r="G266">
        <f t="shared" si="32"/>
        <v>-58.137762414291501</v>
      </c>
      <c r="I266">
        <f>Deals_Raw!V269</f>
        <v>0.13300000000000001</v>
      </c>
      <c r="J266">
        <f>Deals_Raw!W269</f>
        <v>9.7000000000000003E-2</v>
      </c>
      <c r="K266" t="str">
        <f>Deals_Raw!Z269</f>
        <v>Sales Manager</v>
      </c>
      <c r="L266" t="str">
        <f t="shared" si="33"/>
        <v>yes</v>
      </c>
      <c r="M266" t="str">
        <f t="shared" si="34"/>
        <v>Pass</v>
      </c>
      <c r="O266">
        <f>Deals_Raw!AP269</f>
        <v>0.64260693956921555</v>
      </c>
      <c r="P266" t="str">
        <f t="shared" si="35"/>
        <v>False</v>
      </c>
      <c r="R266" t="str">
        <f>Deals_Raw!AF269</f>
        <v>Won</v>
      </c>
      <c r="S266">
        <f t="shared" si="36"/>
        <v>704692.46</v>
      </c>
      <c r="T266">
        <f>Deals_Raw!AM269</f>
        <v>704692.46</v>
      </c>
      <c r="U266">
        <f t="shared" si="37"/>
        <v>704692.46</v>
      </c>
      <c r="V266">
        <f>Deals_Raw!AN269</f>
        <v>704692.46</v>
      </c>
      <c r="W266">
        <f t="shared" si="38"/>
        <v>452840.26505810185</v>
      </c>
      <c r="X266">
        <f>Deals_Raw!AO269</f>
        <v>452840.26505810185</v>
      </c>
      <c r="Y266">
        <f t="shared" si="39"/>
        <v>0.64260693956921555</v>
      </c>
      <c r="Z266">
        <f>Deals_Raw!AP269</f>
        <v>0.64260693956921555</v>
      </c>
    </row>
    <row r="267" spans="1:26">
      <c r="A267" t="str">
        <f>Deals_Raw!A270</f>
        <v>D00301</v>
      </c>
      <c r="B267">
        <f>COUNTIF(Deals_Raw!$A$5:$A$643,A267)</f>
        <v>1</v>
      </c>
      <c r="C267" s="12" t="str">
        <f>Deals_Raw!E270</f>
        <v>CT00167</v>
      </c>
      <c r="E267">
        <f>Deals_Raw!AA270</f>
        <v>806376.06088258128</v>
      </c>
      <c r="F267">
        <f>ROUND(Deals_Raw!T270*(1-Deals_Raw!W270),2)</f>
        <v>806376.06</v>
      </c>
      <c r="G267">
        <f t="shared" si="32"/>
        <v>-8.8258122559636831E-4</v>
      </c>
      <c r="I267">
        <f>Deals_Raw!V270</f>
        <v>3.2000000000000001E-2</v>
      </c>
      <c r="J267">
        <f>Deals_Raw!W270</f>
        <v>0</v>
      </c>
      <c r="K267" t="str">
        <f>Deals_Raw!Z270</f>
        <v>Sales Manager</v>
      </c>
      <c r="L267" t="str">
        <f t="shared" si="33"/>
        <v>yes</v>
      </c>
      <c r="M267" t="str">
        <f t="shared" si="34"/>
        <v>Pass</v>
      </c>
      <c r="O267">
        <f>Deals_Raw!AP270</f>
        <v>0.64414786785811728</v>
      </c>
      <c r="P267" t="str">
        <f t="shared" si="35"/>
        <v>False</v>
      </c>
      <c r="R267" t="str">
        <f>Deals_Raw!AF270</f>
        <v>Won</v>
      </c>
      <c r="S267">
        <f t="shared" si="36"/>
        <v>806376.06</v>
      </c>
      <c r="T267">
        <f>Deals_Raw!AM270</f>
        <v>806376.06</v>
      </c>
      <c r="U267">
        <f t="shared" si="37"/>
        <v>806376.06</v>
      </c>
      <c r="V267">
        <f>Deals_Raw!AN270</f>
        <v>806376.06</v>
      </c>
      <c r="W267">
        <f t="shared" si="38"/>
        <v>519425.41974082933</v>
      </c>
      <c r="X267">
        <f>Deals_Raw!AO270</f>
        <v>519425.41974082933</v>
      </c>
      <c r="Y267">
        <f t="shared" si="39"/>
        <v>0.64414786785811728</v>
      </c>
      <c r="Z267">
        <f>Deals_Raw!AP270</f>
        <v>0.64414786785811728</v>
      </c>
    </row>
    <row r="268" spans="1:26">
      <c r="A268" t="str">
        <f>Deals_Raw!A271</f>
        <v>D00302</v>
      </c>
      <c r="B268">
        <f>COUNTIF(Deals_Raw!$A$5:$A$643,A268)</f>
        <v>1</v>
      </c>
      <c r="C268" s="12" t="str">
        <f>Deals_Raw!E271</f>
        <v>CT00168</v>
      </c>
      <c r="E268">
        <f>Deals_Raw!AA271</f>
        <v>462167.3338464023</v>
      </c>
      <c r="F268">
        <f>ROUND(Deals_Raw!T271*(1-Deals_Raw!W271),2)</f>
        <v>462102.89</v>
      </c>
      <c r="G268">
        <f t="shared" si="32"/>
        <v>-64.443846402282361</v>
      </c>
      <c r="I268">
        <f>Deals_Raw!V271</f>
        <v>0.106</v>
      </c>
      <c r="J268">
        <f>Deals_Raw!W271</f>
        <v>7.2999999999999995E-2</v>
      </c>
      <c r="K268" t="str">
        <f>Deals_Raw!Z271</f>
        <v>Sales Manager</v>
      </c>
      <c r="L268" t="str">
        <f t="shared" si="33"/>
        <v>yes</v>
      </c>
      <c r="M268" t="str">
        <f t="shared" si="34"/>
        <v>Pass</v>
      </c>
      <c r="O268">
        <f>Deals_Raw!AP271</f>
        <v>0.62431581283436388</v>
      </c>
      <c r="P268" t="str">
        <f t="shared" si="35"/>
        <v>False</v>
      </c>
      <c r="R268" t="str">
        <f>Deals_Raw!AF271</f>
        <v>Won</v>
      </c>
      <c r="S268">
        <f t="shared" si="36"/>
        <v>462102.89</v>
      </c>
      <c r="T268">
        <f>Deals_Raw!AM271</f>
        <v>462102.89</v>
      </c>
      <c r="U268">
        <f t="shared" si="37"/>
        <v>1386308.67</v>
      </c>
      <c r="V268">
        <f>Deals_Raw!AN271</f>
        <v>1386308.67</v>
      </c>
      <c r="W268">
        <f t="shared" si="38"/>
        <v>288498.14138345863</v>
      </c>
      <c r="X268">
        <f>Deals_Raw!AO271</f>
        <v>288498.14138345863</v>
      </c>
      <c r="Y268">
        <f t="shared" si="39"/>
        <v>0.62431581283436388</v>
      </c>
      <c r="Z268">
        <f>Deals_Raw!AP271</f>
        <v>0.62431581283436388</v>
      </c>
    </row>
    <row r="269" spans="1:26">
      <c r="A269" t="str">
        <f>Deals_Raw!A272</f>
        <v>D00303</v>
      </c>
      <c r="B269">
        <f>COUNTIF(Deals_Raw!$A$5:$A$643,A269)</f>
        <v>1</v>
      </c>
      <c r="C269" s="12" t="str">
        <f>Deals_Raw!E272</f>
        <v>CT00168</v>
      </c>
      <c r="E269">
        <f>Deals_Raw!AA272</f>
        <v>502362.84877951327</v>
      </c>
      <c r="F269">
        <f>ROUND(Deals_Raw!T272*(1-Deals_Raw!W272),2)</f>
        <v>502348.73</v>
      </c>
      <c r="G269">
        <f t="shared" si="32"/>
        <v>-14.118779513286427</v>
      </c>
      <c r="I269">
        <f>Deals_Raw!V272</f>
        <v>4.2000000000000003E-2</v>
      </c>
      <c r="J269">
        <f>Deals_Raw!W272</f>
        <v>3.5000000000000003E-2</v>
      </c>
      <c r="K269" t="str">
        <f>Deals_Raw!Z272</f>
        <v>Sales Manager</v>
      </c>
      <c r="L269" t="str">
        <f t="shared" si="33"/>
        <v>yes</v>
      </c>
      <c r="M269" t="str">
        <f t="shared" si="34"/>
        <v>Pass</v>
      </c>
      <c r="O269">
        <f>Deals_Raw!AP272</f>
        <v>0.63857007864584459</v>
      </c>
      <c r="P269" t="str">
        <f t="shared" si="35"/>
        <v>False</v>
      </c>
      <c r="R269" t="str">
        <f>Deals_Raw!AF272</f>
        <v>Won</v>
      </c>
      <c r="S269">
        <f t="shared" si="36"/>
        <v>502348.73</v>
      </c>
      <c r="T269">
        <f>Deals_Raw!AM272</f>
        <v>502348.73</v>
      </c>
      <c r="U269">
        <f t="shared" si="37"/>
        <v>1507046.19</v>
      </c>
      <c r="V269">
        <f>Deals_Raw!AN272</f>
        <v>1507046.19</v>
      </c>
      <c r="W269">
        <f t="shared" si="38"/>
        <v>320784.86802374013</v>
      </c>
      <c r="X269">
        <f>Deals_Raw!AO272</f>
        <v>320784.86802374013</v>
      </c>
      <c r="Y269">
        <f t="shared" si="39"/>
        <v>0.63857007864584459</v>
      </c>
      <c r="Z269">
        <f>Deals_Raw!AP272</f>
        <v>0.63857007864584459</v>
      </c>
    </row>
    <row r="270" spans="1:26">
      <c r="A270" t="str">
        <f>Deals_Raw!A273</f>
        <v>D00305</v>
      </c>
      <c r="B270">
        <f>COUNTIF(Deals_Raw!$A$5:$A$643,A270)</f>
        <v>1</v>
      </c>
      <c r="C270" s="12" t="str">
        <f>Deals_Raw!E273</f>
        <v>CT00169</v>
      </c>
      <c r="E270">
        <f>Deals_Raw!AA273</f>
        <v>118578.24279021358</v>
      </c>
      <c r="F270">
        <f>ROUND(Deals_Raw!T273*(1-Deals_Raw!W273),2)</f>
        <v>118547.63</v>
      </c>
      <c r="G270">
        <f t="shared" si="32"/>
        <v>-30.612790213577682</v>
      </c>
      <c r="I270">
        <f>Deals_Raw!V273</f>
        <v>0.18099999999999999</v>
      </c>
      <c r="J270">
        <f>Deals_Raw!W273</f>
        <v>0.17</v>
      </c>
      <c r="K270" t="str">
        <f>Deals_Raw!Z273</f>
        <v>Pricing Analyst</v>
      </c>
      <c r="L270" t="str">
        <f t="shared" si="33"/>
        <v>yes</v>
      </c>
      <c r="M270" t="str">
        <f t="shared" si="34"/>
        <v>Pass</v>
      </c>
      <c r="O270">
        <f>Deals_Raw!AP273</f>
        <v>0.56848338676541232</v>
      </c>
      <c r="P270" t="str">
        <f t="shared" si="35"/>
        <v>False</v>
      </c>
      <c r="R270" t="str">
        <f>Deals_Raw!AF273</f>
        <v>Won</v>
      </c>
      <c r="S270">
        <f t="shared" si="36"/>
        <v>118547.63</v>
      </c>
      <c r="T270">
        <f>Deals_Raw!AM273</f>
        <v>118547.63</v>
      </c>
      <c r="U270">
        <f t="shared" si="37"/>
        <v>118547.63</v>
      </c>
      <c r="V270">
        <f>Deals_Raw!AN273</f>
        <v>118547.63</v>
      </c>
      <c r="W270">
        <f t="shared" si="38"/>
        <v>67392.358195413006</v>
      </c>
      <c r="X270">
        <f>Deals_Raw!AO273</f>
        <v>67392.358195413006</v>
      </c>
      <c r="Y270">
        <f t="shared" si="39"/>
        <v>0.56848338676541232</v>
      </c>
      <c r="Z270">
        <f>Deals_Raw!AP273</f>
        <v>0.56848338676541232</v>
      </c>
    </row>
    <row r="271" spans="1:26">
      <c r="A271" t="str">
        <f>Deals_Raw!A274</f>
        <v>D00306</v>
      </c>
      <c r="B271">
        <f>COUNTIF(Deals_Raw!$A$5:$A$643,A271)</f>
        <v>1</v>
      </c>
      <c r="C271" s="12" t="str">
        <f>Deals_Raw!E274</f>
        <v>CT00169</v>
      </c>
      <c r="E271">
        <f>Deals_Raw!AA274</f>
        <v>132004.59589237109</v>
      </c>
      <c r="F271">
        <f>ROUND(Deals_Raw!T274*(1-Deals_Raw!W274),2)</f>
        <v>132002.41</v>
      </c>
      <c r="G271">
        <f t="shared" si="32"/>
        <v>-2.1858923710824456</v>
      </c>
      <c r="I271">
        <f>Deals_Raw!V274</f>
        <v>0.122</v>
      </c>
      <c r="J271">
        <f>Deals_Raw!W274</f>
        <v>0.108</v>
      </c>
      <c r="K271" t="str">
        <f>Deals_Raw!Z274</f>
        <v>Pricing Analyst</v>
      </c>
      <c r="L271" t="str">
        <f t="shared" si="33"/>
        <v>yes</v>
      </c>
      <c r="M271" t="str">
        <f t="shared" si="34"/>
        <v>Pass</v>
      </c>
      <c r="O271">
        <f>Deals_Raw!AP274</f>
        <v>0.61029891895557054</v>
      </c>
      <c r="P271" t="str">
        <f t="shared" si="35"/>
        <v>False</v>
      </c>
      <c r="R271" t="str">
        <f>Deals_Raw!AF274</f>
        <v>Won</v>
      </c>
      <c r="S271">
        <f t="shared" si="36"/>
        <v>132002.41</v>
      </c>
      <c r="T271">
        <f>Deals_Raw!AM274</f>
        <v>132002.41</v>
      </c>
      <c r="U271">
        <f t="shared" si="37"/>
        <v>132002.41</v>
      </c>
      <c r="V271">
        <f>Deals_Raw!AN274</f>
        <v>132002.41</v>
      </c>
      <c r="W271">
        <f t="shared" si="38"/>
        <v>80560.928122529993</v>
      </c>
      <c r="X271">
        <f>Deals_Raw!AO274</f>
        <v>80560.928122529993</v>
      </c>
      <c r="Y271">
        <f t="shared" si="39"/>
        <v>0.61029891895557054</v>
      </c>
      <c r="Z271">
        <f>Deals_Raw!AP274</f>
        <v>0.61029891895557054</v>
      </c>
    </row>
    <row r="272" spans="1:26">
      <c r="A272" t="str">
        <f>Deals_Raw!A275</f>
        <v>D00307</v>
      </c>
      <c r="B272">
        <f>COUNTIF(Deals_Raw!$A$5:$A$643,A272)</f>
        <v>1</v>
      </c>
      <c r="C272" s="12" t="str">
        <f>Deals_Raw!E275</f>
        <v>CT00170</v>
      </c>
      <c r="E272">
        <f>Deals_Raw!AA275</f>
        <v>60264.171190919376</v>
      </c>
      <c r="F272">
        <f>ROUND(Deals_Raw!T275*(1-Deals_Raw!W275),2)</f>
        <v>60261.5</v>
      </c>
      <c r="G272">
        <f t="shared" si="32"/>
        <v>-2.6711909193763859</v>
      </c>
      <c r="I272">
        <f>Deals_Raw!V275</f>
        <v>4.5999999999999999E-2</v>
      </c>
      <c r="J272">
        <f>Deals_Raw!W275</f>
        <v>3.4000000000000002E-2</v>
      </c>
      <c r="K272" t="str">
        <f>Deals_Raw!Z275</f>
        <v>Sales Manager</v>
      </c>
      <c r="L272" t="str">
        <f t="shared" si="33"/>
        <v>yes</v>
      </c>
      <c r="M272" t="str">
        <f t="shared" si="34"/>
        <v>Pass</v>
      </c>
      <c r="O272">
        <f>Deals_Raw!AP275</f>
        <v>0.58930623330681797</v>
      </c>
      <c r="P272" t="str">
        <f t="shared" si="35"/>
        <v>False</v>
      </c>
      <c r="R272" t="str">
        <f>Deals_Raw!AF275</f>
        <v>Won</v>
      </c>
      <c r="S272">
        <f t="shared" si="36"/>
        <v>60261.5</v>
      </c>
      <c r="T272">
        <f>Deals_Raw!AM275</f>
        <v>60261.5</v>
      </c>
      <c r="U272">
        <f t="shared" si="37"/>
        <v>60261.5</v>
      </c>
      <c r="V272">
        <f>Deals_Raw!AN275</f>
        <v>60261.5</v>
      </c>
      <c r="W272">
        <f t="shared" si="38"/>
        <v>35512.47757841881</v>
      </c>
      <c r="X272">
        <f>Deals_Raw!AO275</f>
        <v>35512.47757841881</v>
      </c>
      <c r="Y272">
        <f t="shared" si="39"/>
        <v>0.58930623330681797</v>
      </c>
      <c r="Z272">
        <f>Deals_Raw!AP275</f>
        <v>0.58930623330681797</v>
      </c>
    </row>
    <row r="273" spans="1:26">
      <c r="A273" t="str">
        <f>Deals_Raw!A276</f>
        <v>D00308</v>
      </c>
      <c r="B273">
        <f>COUNTIF(Deals_Raw!$A$5:$A$643,A273)</f>
        <v>1</v>
      </c>
      <c r="C273" s="12" t="str">
        <f>Deals_Raw!E276</f>
        <v>CT00170</v>
      </c>
      <c r="E273">
        <f>Deals_Raw!AA276</f>
        <v>66331.663728830419</v>
      </c>
      <c r="F273">
        <f>ROUND(Deals_Raw!T276*(1-Deals_Raw!W276),2)</f>
        <v>66331.66</v>
      </c>
      <c r="G273">
        <f t="shared" si="32"/>
        <v>-3.728830415639095E-3</v>
      </c>
      <c r="I273">
        <f>Deals_Raw!V276</f>
        <v>3.7999999999999999E-2</v>
      </c>
      <c r="J273">
        <f>Deals_Raw!W276</f>
        <v>0</v>
      </c>
      <c r="K273" t="str">
        <f>Deals_Raw!Z276</f>
        <v>Sales Manager</v>
      </c>
      <c r="L273" t="str">
        <f t="shared" si="33"/>
        <v>yes</v>
      </c>
      <c r="M273" t="str">
        <f t="shared" si="34"/>
        <v>Pass</v>
      </c>
      <c r="O273">
        <f>Deals_Raw!AP276</f>
        <v>0.58297520254239288</v>
      </c>
      <c r="P273" t="str">
        <f t="shared" si="35"/>
        <v>False</v>
      </c>
      <c r="R273" t="str">
        <f>Deals_Raw!AF276</f>
        <v>Lost</v>
      </c>
      <c r="S273">
        <f t="shared" si="36"/>
        <v>0</v>
      </c>
      <c r="T273">
        <f>Deals_Raw!AM276</f>
        <v>66331.66</v>
      </c>
      <c r="U273">
        <f t="shared" si="37"/>
        <v>0</v>
      </c>
      <c r="V273">
        <f>Deals_Raw!AN276</f>
        <v>66331.66</v>
      </c>
      <c r="W273">
        <f t="shared" si="38"/>
        <v>0</v>
      </c>
      <c r="X273">
        <f>Deals_Raw!AO276</f>
        <v>38669.71292347314</v>
      </c>
      <c r="Y273">
        <f t="shared" si="39"/>
        <v>0</v>
      </c>
      <c r="Z273">
        <f>Deals_Raw!AP276</f>
        <v>0.58297520254239288</v>
      </c>
    </row>
    <row r="274" spans="1:26">
      <c r="A274" t="str">
        <f>Deals_Raw!A277</f>
        <v>D00311</v>
      </c>
      <c r="B274">
        <f>COUNTIF(Deals_Raw!$A$5:$A$643,A274)</f>
        <v>1</v>
      </c>
      <c r="C274" s="12" t="str">
        <f>Deals_Raw!E277</f>
        <v>CT00171</v>
      </c>
      <c r="E274">
        <f>Deals_Raw!AA277</f>
        <v>60715.75223500924</v>
      </c>
      <c r="F274">
        <f>ROUND(Deals_Raw!T277*(1-Deals_Raw!W277),2)</f>
        <v>60717.73</v>
      </c>
      <c r="G274">
        <f t="shared" si="32"/>
        <v>1.9777649907628074</v>
      </c>
      <c r="I274">
        <f>Deals_Raw!V277</f>
        <v>0.13100000000000001</v>
      </c>
      <c r="J274">
        <f>Deals_Raw!W277</f>
        <v>0.105</v>
      </c>
      <c r="K274" t="str">
        <f>Deals_Raw!Z277</f>
        <v>Pricing Analyst</v>
      </c>
      <c r="L274" t="str">
        <f t="shared" si="33"/>
        <v>yes</v>
      </c>
      <c r="M274" t="str">
        <f t="shared" si="34"/>
        <v>Pass</v>
      </c>
      <c r="O274">
        <f>Deals_Raw!AP277</f>
        <v>0.66697640852711648</v>
      </c>
      <c r="P274" t="str">
        <f t="shared" si="35"/>
        <v>False</v>
      </c>
      <c r="R274" t="str">
        <f>Deals_Raw!AF277</f>
        <v>Won</v>
      </c>
      <c r="S274">
        <f t="shared" si="36"/>
        <v>60717.73</v>
      </c>
      <c r="T274">
        <f>Deals_Raw!AM277</f>
        <v>60717.73</v>
      </c>
      <c r="U274">
        <f t="shared" si="37"/>
        <v>60717.73</v>
      </c>
      <c r="V274">
        <f>Deals_Raw!AN277</f>
        <v>60717.73</v>
      </c>
      <c r="W274">
        <f t="shared" si="38"/>
        <v>40497.293489319156</v>
      </c>
      <c r="X274">
        <f>Deals_Raw!AO277</f>
        <v>40497.293489319156</v>
      </c>
      <c r="Y274">
        <f t="shared" si="39"/>
        <v>0.66697640852711648</v>
      </c>
      <c r="Z274">
        <f>Deals_Raw!AP277</f>
        <v>0.66697640852711648</v>
      </c>
    </row>
    <row r="275" spans="1:26">
      <c r="A275" t="str">
        <f>Deals_Raw!A278</f>
        <v>D00312</v>
      </c>
      <c r="B275">
        <f>COUNTIF(Deals_Raw!$A$5:$A$643,A275)</f>
        <v>1</v>
      </c>
      <c r="C275" s="12" t="str">
        <f>Deals_Raw!E278</f>
        <v>CT00171</v>
      </c>
      <c r="E275">
        <f>Deals_Raw!AA278</f>
        <v>62024.566684219149</v>
      </c>
      <c r="F275">
        <f>ROUND(Deals_Raw!T278*(1-Deals_Raw!W278),2)</f>
        <v>61995.74</v>
      </c>
      <c r="G275">
        <f t="shared" si="32"/>
        <v>-28.826684219151502</v>
      </c>
      <c r="I275">
        <f>Deals_Raw!V278</f>
        <v>0.14699999999999999</v>
      </c>
      <c r="J275">
        <f>Deals_Raw!W278</f>
        <v>0.115</v>
      </c>
      <c r="K275" t="str">
        <f>Deals_Raw!Z278</f>
        <v>Pricing Analyst</v>
      </c>
      <c r="L275" t="str">
        <f t="shared" si="33"/>
        <v>yes</v>
      </c>
      <c r="M275" t="str">
        <f t="shared" si="34"/>
        <v>Pass</v>
      </c>
      <c r="O275">
        <f>Deals_Raw!AP278</f>
        <v>0.65042215727445363</v>
      </c>
      <c r="P275" t="str">
        <f t="shared" si="35"/>
        <v>False</v>
      </c>
      <c r="R275" t="str">
        <f>Deals_Raw!AF278</f>
        <v>Won</v>
      </c>
      <c r="S275">
        <f t="shared" si="36"/>
        <v>61995.74</v>
      </c>
      <c r="T275">
        <f>Deals_Raw!AM278</f>
        <v>61995.74</v>
      </c>
      <c r="U275">
        <f t="shared" si="37"/>
        <v>61995.74</v>
      </c>
      <c r="V275">
        <f>Deals_Raw!AN278</f>
        <v>61995.74</v>
      </c>
      <c r="W275">
        <f t="shared" si="38"/>
        <v>40323.402952626137</v>
      </c>
      <c r="X275">
        <f>Deals_Raw!AO278</f>
        <v>40323.402952626137</v>
      </c>
      <c r="Y275">
        <f t="shared" si="39"/>
        <v>0.65042215727445363</v>
      </c>
      <c r="Z275">
        <f>Deals_Raw!AP278</f>
        <v>0.65042215727445363</v>
      </c>
    </row>
    <row r="276" spans="1:26">
      <c r="A276" t="str">
        <f>Deals_Raw!A279</f>
        <v>D00313</v>
      </c>
      <c r="B276">
        <f>COUNTIF(Deals_Raw!$A$5:$A$643,A276)</f>
        <v>1</v>
      </c>
      <c r="C276" s="12" t="str">
        <f>Deals_Raw!E279</f>
        <v>CT00171</v>
      </c>
      <c r="E276">
        <f>Deals_Raw!AA279</f>
        <v>63422.638733634674</v>
      </c>
      <c r="F276">
        <f>ROUND(Deals_Raw!T279*(1-Deals_Raw!W279),2)</f>
        <v>63441.72</v>
      </c>
      <c r="G276">
        <f t="shared" si="32"/>
        <v>19.081266365326883</v>
      </c>
      <c r="I276">
        <f>Deals_Raw!V279</f>
        <v>0.19500000000000001</v>
      </c>
      <c r="J276">
        <f>Deals_Raw!W279</f>
        <v>0.159</v>
      </c>
      <c r="K276" t="str">
        <f>Deals_Raw!Z279</f>
        <v>Pricing Analyst</v>
      </c>
      <c r="L276" t="str">
        <f t="shared" si="33"/>
        <v>yes</v>
      </c>
      <c r="M276" t="str">
        <f t="shared" si="34"/>
        <v>Pass</v>
      </c>
      <c r="O276">
        <f>Deals_Raw!AP279</f>
        <v>0.61148081690958889</v>
      </c>
      <c r="P276" t="str">
        <f t="shared" si="35"/>
        <v>False</v>
      </c>
      <c r="R276" t="str">
        <f>Deals_Raw!AF279</f>
        <v>Won</v>
      </c>
      <c r="S276">
        <f t="shared" si="36"/>
        <v>63441.72</v>
      </c>
      <c r="T276">
        <f>Deals_Raw!AM279</f>
        <v>63441.72</v>
      </c>
      <c r="U276">
        <f t="shared" si="37"/>
        <v>63441.72</v>
      </c>
      <c r="V276">
        <f>Deals_Raw!AN279</f>
        <v>63441.72</v>
      </c>
      <c r="W276">
        <f t="shared" si="38"/>
        <v>38793.394771749401</v>
      </c>
      <c r="X276">
        <f>Deals_Raw!AO279</f>
        <v>38793.394771749401</v>
      </c>
      <c r="Y276">
        <f t="shared" si="39"/>
        <v>0.61148081690958889</v>
      </c>
      <c r="Z276">
        <f>Deals_Raw!AP279</f>
        <v>0.61148081690958889</v>
      </c>
    </row>
    <row r="277" spans="1:26">
      <c r="A277" t="str">
        <f>Deals_Raw!A280</f>
        <v>D00315</v>
      </c>
      <c r="B277">
        <f>COUNTIF(Deals_Raw!$A$5:$A$643,A277)</f>
        <v>1</v>
      </c>
      <c r="C277" s="12" t="str">
        <f>Deals_Raw!E280</f>
        <v>CT00172</v>
      </c>
      <c r="E277">
        <f>Deals_Raw!AA280</f>
        <v>158907.9246404591</v>
      </c>
      <c r="F277">
        <f>ROUND(Deals_Raw!T280*(1-Deals_Raw!W280),2)</f>
        <v>158843.45000000001</v>
      </c>
      <c r="G277">
        <f t="shared" si="32"/>
        <v>-64.474640459084185</v>
      </c>
      <c r="I277">
        <f>Deals_Raw!V280</f>
        <v>0.13900000000000001</v>
      </c>
      <c r="J277">
        <f>Deals_Raw!W280</f>
        <v>0.1</v>
      </c>
      <c r="K277" t="str">
        <f>Deals_Raw!Z280</f>
        <v>Sales Manager</v>
      </c>
      <c r="L277" t="str">
        <f t="shared" si="33"/>
        <v>yes</v>
      </c>
      <c r="M277" t="str">
        <f t="shared" si="34"/>
        <v>Pass</v>
      </c>
      <c r="O277">
        <f>Deals_Raw!AP280</f>
        <v>0.6057687489600434</v>
      </c>
      <c r="P277" t="str">
        <f t="shared" si="35"/>
        <v>False</v>
      </c>
      <c r="R277" t="str">
        <f>Deals_Raw!AF280</f>
        <v>Won</v>
      </c>
      <c r="S277">
        <f t="shared" si="36"/>
        <v>158843.45000000001</v>
      </c>
      <c r="T277">
        <f>Deals_Raw!AM280</f>
        <v>158843.45000000001</v>
      </c>
      <c r="U277">
        <f t="shared" si="37"/>
        <v>158843.45000000001</v>
      </c>
      <c r="V277">
        <f>Deals_Raw!AN280</f>
        <v>158843.45000000001</v>
      </c>
      <c r="W277">
        <f t="shared" si="38"/>
        <v>96222.39798699721</v>
      </c>
      <c r="X277">
        <f>Deals_Raw!AO280</f>
        <v>96222.39798699721</v>
      </c>
      <c r="Y277">
        <f t="shared" si="39"/>
        <v>0.6057687489600434</v>
      </c>
      <c r="Z277">
        <f>Deals_Raw!AP280</f>
        <v>0.6057687489600434</v>
      </c>
    </row>
    <row r="278" spans="1:26">
      <c r="A278" t="str">
        <f>Deals_Raw!A281</f>
        <v>D00316</v>
      </c>
      <c r="B278">
        <f>COUNTIF(Deals_Raw!$A$5:$A$643,A278)</f>
        <v>1</v>
      </c>
      <c r="C278" s="12" t="str">
        <f>Deals_Raw!E281</f>
        <v>CT00172</v>
      </c>
      <c r="E278">
        <f>Deals_Raw!AA281</f>
        <v>156004.96528865941</v>
      </c>
      <c r="F278">
        <f>ROUND(Deals_Raw!T281*(1-Deals_Raw!W281),2)</f>
        <v>156004.09</v>
      </c>
      <c r="G278">
        <f t="shared" si="32"/>
        <v>-0.87528865941567346</v>
      </c>
      <c r="I278">
        <f>Deals_Raw!V281</f>
        <v>0.192</v>
      </c>
      <c r="J278">
        <f>Deals_Raw!W281</f>
        <v>0.17599999999999999</v>
      </c>
      <c r="K278" t="str">
        <f>Deals_Raw!Z281</f>
        <v>Pricing Analyst</v>
      </c>
      <c r="L278" t="str">
        <f t="shared" si="33"/>
        <v>yes</v>
      </c>
      <c r="M278" t="str">
        <f t="shared" si="34"/>
        <v>Pass</v>
      </c>
      <c r="O278">
        <f>Deals_Raw!AP281</f>
        <v>0.552492586676397</v>
      </c>
      <c r="P278" t="str">
        <f t="shared" si="35"/>
        <v>False</v>
      </c>
      <c r="R278" t="str">
        <f>Deals_Raw!AF281</f>
        <v>Won</v>
      </c>
      <c r="S278">
        <f t="shared" si="36"/>
        <v>156004.09</v>
      </c>
      <c r="T278">
        <f>Deals_Raw!AM281</f>
        <v>156004.09</v>
      </c>
      <c r="U278">
        <f t="shared" si="37"/>
        <v>156004.09</v>
      </c>
      <c r="V278">
        <f>Deals_Raw!AN281</f>
        <v>156004.09</v>
      </c>
      <c r="W278">
        <f t="shared" si="38"/>
        <v>86191.103216197444</v>
      </c>
      <c r="X278">
        <f>Deals_Raw!AO281</f>
        <v>86191.103216197444</v>
      </c>
      <c r="Y278">
        <f t="shared" si="39"/>
        <v>0.552492586676397</v>
      </c>
      <c r="Z278">
        <f>Deals_Raw!AP281</f>
        <v>0.552492586676397</v>
      </c>
    </row>
    <row r="279" spans="1:26">
      <c r="A279" t="str">
        <f>Deals_Raw!A282</f>
        <v>D00317</v>
      </c>
      <c r="B279">
        <f>COUNTIF(Deals_Raw!$A$5:$A$643,A279)</f>
        <v>1</v>
      </c>
      <c r="C279" s="12" t="str">
        <f>Deals_Raw!E282</f>
        <v>CT00172</v>
      </c>
      <c r="E279">
        <f>Deals_Raw!AA282</f>
        <v>192762.32391479879</v>
      </c>
      <c r="F279">
        <f>ROUND(Deals_Raw!T282*(1-Deals_Raw!W282),2)</f>
        <v>192658.55</v>
      </c>
      <c r="G279">
        <f t="shared" si="32"/>
        <v>-103.77391479880316</v>
      </c>
      <c r="I279">
        <f>Deals_Raw!V282</f>
        <v>0.14199999999999999</v>
      </c>
      <c r="J279">
        <f>Deals_Raw!W282</f>
        <v>0.125</v>
      </c>
      <c r="K279" t="str">
        <f>Deals_Raw!Z282</f>
        <v>Pricing Analyst</v>
      </c>
      <c r="L279" t="str">
        <f t="shared" si="33"/>
        <v>yes</v>
      </c>
      <c r="M279" t="str">
        <f t="shared" si="34"/>
        <v>Pass</v>
      </c>
      <c r="O279">
        <f>Deals_Raw!AP282</f>
        <v>0.59804349300232618</v>
      </c>
      <c r="P279" t="str">
        <f t="shared" si="35"/>
        <v>False</v>
      </c>
      <c r="R279" t="str">
        <f>Deals_Raw!AF282</f>
        <v>Won</v>
      </c>
      <c r="S279">
        <f t="shared" si="36"/>
        <v>192658.55</v>
      </c>
      <c r="T279">
        <f>Deals_Raw!AM282</f>
        <v>192658.55</v>
      </c>
      <c r="U279">
        <f t="shared" si="37"/>
        <v>192658.55</v>
      </c>
      <c r="V279">
        <f>Deals_Raw!AN282</f>
        <v>192658.55</v>
      </c>
      <c r="W279">
        <f t="shared" si="38"/>
        <v>115218.1921987633</v>
      </c>
      <c r="X279">
        <f>Deals_Raw!AO282</f>
        <v>115218.1921987633</v>
      </c>
      <c r="Y279">
        <f t="shared" si="39"/>
        <v>0.59804349300232618</v>
      </c>
      <c r="Z279">
        <f>Deals_Raw!AP282</f>
        <v>0.59804349300232618</v>
      </c>
    </row>
    <row r="280" spans="1:26">
      <c r="A280" t="str">
        <f>Deals_Raw!A283</f>
        <v>D00318</v>
      </c>
      <c r="B280">
        <f>COUNTIF(Deals_Raw!$A$5:$A$643,A280)</f>
        <v>1</v>
      </c>
      <c r="C280" s="12" t="str">
        <f>Deals_Raw!E283</f>
        <v>CT00172</v>
      </c>
      <c r="E280">
        <f>Deals_Raw!AA283</f>
        <v>198108.79693213769</v>
      </c>
      <c r="F280">
        <f>ROUND(Deals_Raw!T283*(1-Deals_Raw!W283),2)</f>
        <v>198118.2</v>
      </c>
      <c r="G280">
        <f t="shared" si="32"/>
        <v>9.403067862323951</v>
      </c>
      <c r="I280">
        <f>Deals_Raw!V283</f>
        <v>0.153</v>
      </c>
      <c r="J280">
        <f>Deals_Raw!W283</f>
        <v>0.13400000000000001</v>
      </c>
      <c r="K280" t="str">
        <f>Deals_Raw!Z283</f>
        <v>Pricing Analyst</v>
      </c>
      <c r="L280" t="str">
        <f t="shared" si="33"/>
        <v>yes</v>
      </c>
      <c r="M280" t="str">
        <f t="shared" si="34"/>
        <v>Pass</v>
      </c>
      <c r="O280">
        <f>Deals_Raw!AP283</f>
        <v>0.61370868172847448</v>
      </c>
      <c r="P280" t="str">
        <f t="shared" si="35"/>
        <v>False</v>
      </c>
      <c r="R280" t="str">
        <f>Deals_Raw!AF283</f>
        <v>Won</v>
      </c>
      <c r="S280">
        <f t="shared" si="36"/>
        <v>198118.2</v>
      </c>
      <c r="T280">
        <f>Deals_Raw!AM283</f>
        <v>198118.2</v>
      </c>
      <c r="U280">
        <f t="shared" si="37"/>
        <v>198118.2</v>
      </c>
      <c r="V280">
        <f>Deals_Raw!AN283</f>
        <v>198118.2</v>
      </c>
      <c r="W280">
        <f t="shared" si="38"/>
        <v>121586.85934841826</v>
      </c>
      <c r="X280">
        <f>Deals_Raw!AO283</f>
        <v>121586.85934841826</v>
      </c>
      <c r="Y280">
        <f t="shared" si="39"/>
        <v>0.61370868172847448</v>
      </c>
      <c r="Z280">
        <f>Deals_Raw!AP283</f>
        <v>0.61370868172847448</v>
      </c>
    </row>
    <row r="281" spans="1:26">
      <c r="A281" t="str">
        <f>Deals_Raw!A284</f>
        <v>D00319</v>
      </c>
      <c r="B281">
        <f>COUNTIF(Deals_Raw!$A$5:$A$643,A281)</f>
        <v>1</v>
      </c>
      <c r="C281" s="12" t="str">
        <f>Deals_Raw!E284</f>
        <v>CT00173</v>
      </c>
      <c r="E281">
        <f>Deals_Raw!AA284</f>
        <v>74831.468005609742</v>
      </c>
      <c r="F281">
        <f>ROUND(Deals_Raw!T284*(1-Deals_Raw!W284),2)</f>
        <v>74820.600000000006</v>
      </c>
      <c r="G281">
        <f t="shared" si="32"/>
        <v>-10.868005609736429</v>
      </c>
      <c r="I281">
        <f>Deals_Raw!V284</f>
        <v>0.17599999999999999</v>
      </c>
      <c r="J281">
        <f>Deals_Raw!W284</f>
        <v>0.115</v>
      </c>
      <c r="K281" t="str">
        <f>Deals_Raw!Z284</f>
        <v>Pricing Analyst</v>
      </c>
      <c r="L281" t="str">
        <f t="shared" si="33"/>
        <v>yes</v>
      </c>
      <c r="M281" t="str">
        <f t="shared" si="34"/>
        <v>Pass</v>
      </c>
      <c r="O281">
        <f>Deals_Raw!AP284</f>
        <v>0.62829508317760263</v>
      </c>
      <c r="P281" t="str">
        <f t="shared" si="35"/>
        <v>False</v>
      </c>
      <c r="R281" t="str">
        <f>Deals_Raw!AF284</f>
        <v>Lost</v>
      </c>
      <c r="S281">
        <f t="shared" si="36"/>
        <v>0</v>
      </c>
      <c r="T281">
        <f>Deals_Raw!AM284</f>
        <v>74820.600000000006</v>
      </c>
      <c r="U281">
        <f t="shared" si="37"/>
        <v>0</v>
      </c>
      <c r="V281">
        <f>Deals_Raw!AN284</f>
        <v>74820.600000000006</v>
      </c>
      <c r="W281">
        <f t="shared" si="38"/>
        <v>0</v>
      </c>
      <c r="X281">
        <f>Deals_Raw!AO284</f>
        <v>47009.415100398139</v>
      </c>
      <c r="Y281">
        <f t="shared" si="39"/>
        <v>0</v>
      </c>
      <c r="Z281">
        <f>Deals_Raw!AP284</f>
        <v>0.62829508317760263</v>
      </c>
    </row>
    <row r="282" spans="1:26">
      <c r="A282" t="str">
        <f>Deals_Raw!A285</f>
        <v>D00320</v>
      </c>
      <c r="B282">
        <f>COUNTIF(Deals_Raw!$A$5:$A$643,A282)</f>
        <v>1</v>
      </c>
      <c r="C282" s="12" t="str">
        <f>Deals_Raw!E285</f>
        <v>CT00174</v>
      </c>
      <c r="E282">
        <f>Deals_Raw!AA285</f>
        <v>101920.39630141809</v>
      </c>
      <c r="F282">
        <f>ROUND(Deals_Raw!T285*(1-Deals_Raw!W285),2)</f>
        <v>101920.88</v>
      </c>
      <c r="G282">
        <f t="shared" si="32"/>
        <v>0.48369858191290405</v>
      </c>
      <c r="I282">
        <f>Deals_Raw!V285</f>
        <v>8.4000000000000005E-2</v>
      </c>
      <c r="J282">
        <f>Deals_Raw!W285</f>
        <v>6.2E-2</v>
      </c>
      <c r="K282" t="str">
        <f>Deals_Raw!Z285</f>
        <v>Sales Manager</v>
      </c>
      <c r="L282" t="str">
        <f t="shared" si="33"/>
        <v>yes</v>
      </c>
      <c r="M282" t="str">
        <f t="shared" si="34"/>
        <v>Pass</v>
      </c>
      <c r="O282">
        <f>Deals_Raw!AP285</f>
        <v>0.61576298843374444</v>
      </c>
      <c r="P282" t="str">
        <f t="shared" si="35"/>
        <v>False</v>
      </c>
      <c r="R282" t="str">
        <f>Deals_Raw!AF285</f>
        <v>Won</v>
      </c>
      <c r="S282">
        <f t="shared" si="36"/>
        <v>101920.88</v>
      </c>
      <c r="T282">
        <f>Deals_Raw!AM285</f>
        <v>101920.88</v>
      </c>
      <c r="U282">
        <f t="shared" si="37"/>
        <v>305762.64</v>
      </c>
      <c r="V282">
        <f>Deals_Raw!AN285</f>
        <v>305762.64</v>
      </c>
      <c r="W282">
        <f t="shared" si="38"/>
        <v>62759.105652597056</v>
      </c>
      <c r="X282">
        <f>Deals_Raw!AO285</f>
        <v>62759.105652597056</v>
      </c>
      <c r="Y282">
        <f t="shared" si="39"/>
        <v>0.61576298843374444</v>
      </c>
      <c r="Z282">
        <f>Deals_Raw!AP285</f>
        <v>0.61576298843374444</v>
      </c>
    </row>
    <row r="283" spans="1:26">
      <c r="A283" t="str">
        <f>Deals_Raw!A286</f>
        <v>D00321</v>
      </c>
      <c r="B283">
        <f>COUNTIF(Deals_Raw!$A$5:$A$643,A283)</f>
        <v>1</v>
      </c>
      <c r="C283" s="12" t="str">
        <f>Deals_Raw!E286</f>
        <v>CT00174</v>
      </c>
      <c r="E283">
        <f>Deals_Raw!AA286</f>
        <v>100828.50616750926</v>
      </c>
      <c r="F283">
        <f>ROUND(Deals_Raw!T286*(1-Deals_Raw!W286),2)</f>
        <v>100778.66</v>
      </c>
      <c r="G283">
        <f t="shared" si="32"/>
        <v>-49.846167509254883</v>
      </c>
      <c r="I283">
        <f>Deals_Raw!V286</f>
        <v>0.151</v>
      </c>
      <c r="J283">
        <f>Deals_Raw!W286</f>
        <v>0.113</v>
      </c>
      <c r="K283" t="str">
        <f>Deals_Raw!Z286</f>
        <v>Pricing Analyst</v>
      </c>
      <c r="L283" t="str">
        <f t="shared" si="33"/>
        <v>yes</v>
      </c>
      <c r="M283" t="str">
        <f t="shared" si="34"/>
        <v>Pass</v>
      </c>
      <c r="O283">
        <f>Deals_Raw!AP286</f>
        <v>0.58434891316930482</v>
      </c>
      <c r="P283" t="str">
        <f t="shared" si="35"/>
        <v>False</v>
      </c>
      <c r="R283" t="str">
        <f>Deals_Raw!AF286</f>
        <v>Lost</v>
      </c>
      <c r="S283">
        <f t="shared" si="36"/>
        <v>0</v>
      </c>
      <c r="T283">
        <f>Deals_Raw!AM286</f>
        <v>100778.66</v>
      </c>
      <c r="U283">
        <f t="shared" si="37"/>
        <v>0</v>
      </c>
      <c r="V283">
        <f>Deals_Raw!AN286</f>
        <v>302335.98</v>
      </c>
      <c r="W283">
        <f t="shared" si="38"/>
        <v>0</v>
      </c>
      <c r="X283">
        <f>Deals_Raw!AO286</f>
        <v>58889.900441658894</v>
      </c>
      <c r="Y283">
        <f t="shared" si="39"/>
        <v>0</v>
      </c>
      <c r="Z283">
        <f>Deals_Raw!AP286</f>
        <v>0.58434891316930482</v>
      </c>
    </row>
    <row r="284" spans="1:26">
      <c r="A284" t="str">
        <f>Deals_Raw!A287</f>
        <v>D00323</v>
      </c>
      <c r="B284">
        <f>COUNTIF(Deals_Raw!$A$5:$A$643,A284)</f>
        <v>1</v>
      </c>
      <c r="C284" s="12" t="str">
        <f>Deals_Raw!E287</f>
        <v>CT00175</v>
      </c>
      <c r="E284">
        <f>Deals_Raw!AA287</f>
        <v>29779.254917722479</v>
      </c>
      <c r="F284">
        <f>ROUND(Deals_Raw!T287*(1-Deals_Raw!W287),2)</f>
        <v>29767.99</v>
      </c>
      <c r="G284">
        <f t="shared" si="32"/>
        <v>-11.264917722477549</v>
      </c>
      <c r="I284">
        <f>Deals_Raw!V287</f>
        <v>0.191</v>
      </c>
      <c r="J284">
        <f>Deals_Raw!W287</f>
        <v>0.155</v>
      </c>
      <c r="K284" t="str">
        <f>Deals_Raw!Z287</f>
        <v>Pricing Analyst</v>
      </c>
      <c r="L284" t="str">
        <f t="shared" si="33"/>
        <v>yes</v>
      </c>
      <c r="M284" t="str">
        <f t="shared" si="34"/>
        <v>Pass</v>
      </c>
      <c r="O284">
        <f>Deals_Raw!AP287</f>
        <v>0.67476556928996545</v>
      </c>
      <c r="P284" t="str">
        <f t="shared" si="35"/>
        <v>False</v>
      </c>
      <c r="R284" t="str">
        <f>Deals_Raw!AF287</f>
        <v>Won</v>
      </c>
      <c r="S284">
        <f t="shared" si="36"/>
        <v>29767.99</v>
      </c>
      <c r="T284">
        <f>Deals_Raw!AM287</f>
        <v>29767.99</v>
      </c>
      <c r="U284">
        <f t="shared" si="37"/>
        <v>29767.99</v>
      </c>
      <c r="V284">
        <f>Deals_Raw!AN287</f>
        <v>29767.99</v>
      </c>
      <c r="W284">
        <f t="shared" si="38"/>
        <v>20086.414718968001</v>
      </c>
      <c r="X284">
        <f>Deals_Raw!AO287</f>
        <v>20086.414718968001</v>
      </c>
      <c r="Y284">
        <f t="shared" si="39"/>
        <v>0.67476556928996545</v>
      </c>
      <c r="Z284">
        <f>Deals_Raw!AP287</f>
        <v>0.67476556928996545</v>
      </c>
    </row>
    <row r="285" spans="1:26">
      <c r="A285" t="str">
        <f>Deals_Raw!A288</f>
        <v>D00324</v>
      </c>
      <c r="B285">
        <f>COUNTIF(Deals_Raw!$A$5:$A$643,A285)</f>
        <v>1</v>
      </c>
      <c r="C285" s="12" t="str">
        <f>Deals_Raw!E288</f>
        <v>CT00175</v>
      </c>
      <c r="E285">
        <f>Deals_Raw!AA288</f>
        <v>30822.443765892232</v>
      </c>
      <c r="F285">
        <f>ROUND(Deals_Raw!T288*(1-Deals_Raw!W288),2)</f>
        <v>30841.06</v>
      </c>
      <c r="G285">
        <f t="shared" si="32"/>
        <v>18.616234107768832</v>
      </c>
      <c r="I285">
        <f>Deals_Raw!V288</f>
        <v>0.19600000000000001</v>
      </c>
      <c r="J285">
        <f>Deals_Raw!W288</f>
        <v>0.183</v>
      </c>
      <c r="K285" t="str">
        <f>Deals_Raw!Z288</f>
        <v>Pricing Analyst</v>
      </c>
      <c r="L285" t="str">
        <f t="shared" si="33"/>
        <v>yes</v>
      </c>
      <c r="M285" t="str">
        <f t="shared" si="34"/>
        <v>Pass</v>
      </c>
      <c r="O285">
        <f>Deals_Raw!AP288</f>
        <v>0.70105175013790866</v>
      </c>
      <c r="P285" t="str">
        <f t="shared" si="35"/>
        <v>False</v>
      </c>
      <c r="R285" t="str">
        <f>Deals_Raw!AF288</f>
        <v>Won</v>
      </c>
      <c r="S285">
        <f t="shared" si="36"/>
        <v>30841.06</v>
      </c>
      <c r="T285">
        <f>Deals_Raw!AM288</f>
        <v>30841.06</v>
      </c>
      <c r="U285">
        <f t="shared" si="37"/>
        <v>30841.06</v>
      </c>
      <c r="V285">
        <f>Deals_Raw!AN288</f>
        <v>30841.06</v>
      </c>
      <c r="W285">
        <f t="shared" si="38"/>
        <v>21621.179089108249</v>
      </c>
      <c r="X285">
        <f>Deals_Raw!AO288</f>
        <v>21621.179089108249</v>
      </c>
      <c r="Y285">
        <f t="shared" si="39"/>
        <v>0.70105175013790866</v>
      </c>
      <c r="Z285">
        <f>Deals_Raw!AP288</f>
        <v>0.70105175013790866</v>
      </c>
    </row>
    <row r="286" spans="1:26">
      <c r="A286" t="str">
        <f>Deals_Raw!A289</f>
        <v>D00325</v>
      </c>
      <c r="B286">
        <f>COUNTIF(Deals_Raw!$A$5:$A$643,A286)</f>
        <v>1</v>
      </c>
      <c r="C286" s="12" t="str">
        <f>Deals_Raw!E289</f>
        <v>CT00176</v>
      </c>
      <c r="E286">
        <f>Deals_Raw!AA289</f>
        <v>33605.263579008657</v>
      </c>
      <c r="F286">
        <f>ROUND(Deals_Raw!T289*(1-Deals_Raw!W289),2)</f>
        <v>33616.43</v>
      </c>
      <c r="G286">
        <f t="shared" si="32"/>
        <v>11.16642099134333</v>
      </c>
      <c r="I286">
        <f>Deals_Raw!V289</f>
        <v>7.0999999999999994E-2</v>
      </c>
      <c r="J286">
        <f>Deals_Raw!W289</f>
        <v>4.9000000000000002E-2</v>
      </c>
      <c r="K286" t="str">
        <f>Deals_Raw!Z289</f>
        <v>Sales Manager</v>
      </c>
      <c r="L286" t="str">
        <f t="shared" si="33"/>
        <v>yes</v>
      </c>
      <c r="M286" t="str">
        <f t="shared" si="34"/>
        <v>Pass</v>
      </c>
      <c r="O286">
        <f>Deals_Raw!AP289</f>
        <v>0.6643544051909106</v>
      </c>
      <c r="P286" t="str">
        <f t="shared" si="35"/>
        <v>False</v>
      </c>
      <c r="R286" t="str">
        <f>Deals_Raw!AF289</f>
        <v>Won</v>
      </c>
      <c r="S286">
        <f t="shared" si="36"/>
        <v>33616.43</v>
      </c>
      <c r="T286">
        <f>Deals_Raw!AM289</f>
        <v>33616.43</v>
      </c>
      <c r="U286">
        <f t="shared" si="37"/>
        <v>33616.43</v>
      </c>
      <c r="V286">
        <f>Deals_Raw!AN289</f>
        <v>33616.43</v>
      </c>
      <c r="W286">
        <f t="shared" si="38"/>
        <v>22333.223357291881</v>
      </c>
      <c r="X286">
        <f>Deals_Raw!AO289</f>
        <v>22333.223357291881</v>
      </c>
      <c r="Y286">
        <f t="shared" si="39"/>
        <v>0.6643544051909106</v>
      </c>
      <c r="Z286">
        <f>Deals_Raw!AP289</f>
        <v>0.6643544051909106</v>
      </c>
    </row>
    <row r="287" spans="1:26">
      <c r="A287" t="str">
        <f>Deals_Raw!A290</f>
        <v>D00326</v>
      </c>
      <c r="B287">
        <f>COUNTIF(Deals_Raw!$A$5:$A$643,A287)</f>
        <v>1</v>
      </c>
      <c r="C287" s="12" t="str">
        <f>Deals_Raw!E290</f>
        <v>CT00176</v>
      </c>
      <c r="E287">
        <f>Deals_Raw!AA290</f>
        <v>35483.731664350147</v>
      </c>
      <c r="F287">
        <f>ROUND(Deals_Raw!T290*(1-Deals_Raw!W290),2)</f>
        <v>35479.370000000003</v>
      </c>
      <c r="G287">
        <f t="shared" si="32"/>
        <v>-4.3616643501445651</v>
      </c>
      <c r="I287">
        <f>Deals_Raw!V290</f>
        <v>9.7000000000000003E-2</v>
      </c>
      <c r="J287">
        <f>Deals_Raw!W290</f>
        <v>0.05</v>
      </c>
      <c r="K287" t="str">
        <f>Deals_Raw!Z290</f>
        <v>Sales Manager</v>
      </c>
      <c r="L287" t="str">
        <f t="shared" si="33"/>
        <v>yes</v>
      </c>
      <c r="M287" t="str">
        <f t="shared" si="34"/>
        <v>Pass</v>
      </c>
      <c r="O287">
        <f>Deals_Raw!AP290</f>
        <v>0.70838835664698585</v>
      </c>
      <c r="P287" t="str">
        <f t="shared" si="35"/>
        <v>False</v>
      </c>
      <c r="R287" t="str">
        <f>Deals_Raw!AF290</f>
        <v>Won</v>
      </c>
      <c r="S287">
        <f t="shared" si="36"/>
        <v>35479.370000000003</v>
      </c>
      <c r="T287">
        <f>Deals_Raw!AM290</f>
        <v>35479.370000000003</v>
      </c>
      <c r="U287">
        <f t="shared" si="37"/>
        <v>35479.370000000003</v>
      </c>
      <c r="V287">
        <f>Deals_Raw!AN290</f>
        <v>35479.370000000003</v>
      </c>
      <c r="W287">
        <f t="shared" si="38"/>
        <v>25133.172609170371</v>
      </c>
      <c r="X287">
        <f>Deals_Raw!AO290</f>
        <v>25133.172609170371</v>
      </c>
      <c r="Y287">
        <f t="shared" si="39"/>
        <v>0.70838835664698585</v>
      </c>
      <c r="Z287">
        <f>Deals_Raw!AP290</f>
        <v>0.70838835664698585</v>
      </c>
    </row>
    <row r="288" spans="1:26">
      <c r="A288" t="str">
        <f>Deals_Raw!A291</f>
        <v>D00327</v>
      </c>
      <c r="B288">
        <f>COUNTIF(Deals_Raw!$A$5:$A$643,A288)</f>
        <v>1</v>
      </c>
      <c r="C288" s="12" t="str">
        <f>Deals_Raw!E291</f>
        <v>CT00176</v>
      </c>
      <c r="E288">
        <f>Deals_Raw!AA291</f>
        <v>35582.131564648625</v>
      </c>
      <c r="F288">
        <f>ROUND(Deals_Raw!T291*(1-Deals_Raw!W291),2)</f>
        <v>35597.42</v>
      </c>
      <c r="G288">
        <f t="shared" si="32"/>
        <v>15.288435351372755</v>
      </c>
      <c r="I288">
        <f>Deals_Raw!V291</f>
        <v>0.13100000000000001</v>
      </c>
      <c r="J288">
        <f>Deals_Raw!W291</f>
        <v>0.10299999999999999</v>
      </c>
      <c r="K288" t="str">
        <f>Deals_Raw!Z291</f>
        <v>Pricing Analyst</v>
      </c>
      <c r="L288" t="str">
        <f t="shared" si="33"/>
        <v>yes</v>
      </c>
      <c r="M288" t="str">
        <f t="shared" si="34"/>
        <v>Pass</v>
      </c>
      <c r="O288">
        <f>Deals_Raw!AP291</f>
        <v>0.69973498427103153</v>
      </c>
      <c r="P288" t="str">
        <f t="shared" si="35"/>
        <v>False</v>
      </c>
      <c r="R288" t="str">
        <f>Deals_Raw!AF291</f>
        <v>Won</v>
      </c>
      <c r="S288">
        <f t="shared" si="36"/>
        <v>35597.42</v>
      </c>
      <c r="T288">
        <f>Deals_Raw!AM291</f>
        <v>35597.42</v>
      </c>
      <c r="U288">
        <f t="shared" si="37"/>
        <v>35597.42</v>
      </c>
      <c r="V288">
        <f>Deals_Raw!AN291</f>
        <v>35597.42</v>
      </c>
      <c r="W288">
        <f t="shared" si="38"/>
        <v>24908.760123789303</v>
      </c>
      <c r="X288">
        <f>Deals_Raw!AO291</f>
        <v>24908.760123789303</v>
      </c>
      <c r="Y288">
        <f t="shared" si="39"/>
        <v>0.69973498427103153</v>
      </c>
      <c r="Z288">
        <f>Deals_Raw!AP291</f>
        <v>0.69973498427103153</v>
      </c>
    </row>
    <row r="289" spans="1:26">
      <c r="A289" t="str">
        <f>Deals_Raw!A292</f>
        <v>D00329</v>
      </c>
      <c r="B289">
        <f>COUNTIF(Deals_Raw!$A$5:$A$643,A289)</f>
        <v>1</v>
      </c>
      <c r="C289" s="12" t="str">
        <f>Deals_Raw!E292</f>
        <v>CT00177</v>
      </c>
      <c r="E289">
        <f>Deals_Raw!AA292</f>
        <v>71612.49262020117</v>
      </c>
      <c r="F289">
        <f>ROUND(Deals_Raw!T292*(1-Deals_Raw!W292),2)</f>
        <v>71629.17</v>
      </c>
      <c r="G289">
        <f t="shared" si="32"/>
        <v>16.677379798828042</v>
      </c>
      <c r="I289">
        <f>Deals_Raw!V292</f>
        <v>0.219</v>
      </c>
      <c r="J289">
        <f>Deals_Raw!W292</f>
        <v>0.20499999999999999</v>
      </c>
      <c r="K289" t="str">
        <f>Deals_Raw!Z292</f>
        <v>Business Manager</v>
      </c>
      <c r="L289" t="str">
        <f t="shared" si="33"/>
        <v>yes</v>
      </c>
      <c r="M289" t="str">
        <f t="shared" si="34"/>
        <v>Pass</v>
      </c>
      <c r="O289">
        <f>Deals_Raw!AP292</f>
        <v>0.57103544632961389</v>
      </c>
      <c r="P289" t="str">
        <f t="shared" si="35"/>
        <v>False</v>
      </c>
      <c r="R289" t="str">
        <f>Deals_Raw!AF292</f>
        <v>Won</v>
      </c>
      <c r="S289">
        <f t="shared" si="36"/>
        <v>71629.17</v>
      </c>
      <c r="T289">
        <f>Deals_Raw!AM292</f>
        <v>71629.17</v>
      </c>
      <c r="U289">
        <f t="shared" si="37"/>
        <v>71629.17</v>
      </c>
      <c r="V289">
        <f>Deals_Raw!AN292</f>
        <v>71629.17</v>
      </c>
      <c r="W289">
        <f t="shared" si="38"/>
        <v>40902.795061169789</v>
      </c>
      <c r="X289">
        <f>Deals_Raw!AO292</f>
        <v>40902.795061169789</v>
      </c>
      <c r="Y289">
        <f t="shared" si="39"/>
        <v>0.57103544632961389</v>
      </c>
      <c r="Z289">
        <f>Deals_Raw!AP292</f>
        <v>0.57103544632961389</v>
      </c>
    </row>
    <row r="290" spans="1:26">
      <c r="A290" t="str">
        <f>Deals_Raw!A293</f>
        <v>D00330</v>
      </c>
      <c r="B290">
        <f>COUNTIF(Deals_Raw!$A$5:$A$643,A290)</f>
        <v>1</v>
      </c>
      <c r="C290" s="12" t="str">
        <f>Deals_Raw!E293</f>
        <v>CT00177</v>
      </c>
      <c r="E290">
        <f>Deals_Raw!AA293</f>
        <v>93735.656116481696</v>
      </c>
      <c r="F290">
        <f>ROUND(Deals_Raw!T293*(1-Deals_Raw!W293),2)</f>
        <v>93729.1</v>
      </c>
      <c r="G290">
        <f t="shared" si="32"/>
        <v>-6.5561164816899691</v>
      </c>
      <c r="I290">
        <f>Deals_Raw!V293</f>
        <v>9.4E-2</v>
      </c>
      <c r="J290">
        <f>Deals_Raw!W293</f>
        <v>7.1999999999999995E-2</v>
      </c>
      <c r="K290" t="str">
        <f>Deals_Raw!Z293</f>
        <v>Sales Manager</v>
      </c>
      <c r="L290" t="str">
        <f t="shared" si="33"/>
        <v>yes</v>
      </c>
      <c r="M290" t="str">
        <f t="shared" si="34"/>
        <v>Pass</v>
      </c>
      <c r="O290">
        <f>Deals_Raw!AP293</f>
        <v>0.62469400760819416</v>
      </c>
      <c r="P290" t="str">
        <f t="shared" si="35"/>
        <v>False</v>
      </c>
      <c r="R290" t="str">
        <f>Deals_Raw!AF293</f>
        <v>Won</v>
      </c>
      <c r="S290">
        <f t="shared" si="36"/>
        <v>93729.1</v>
      </c>
      <c r="T290">
        <f>Deals_Raw!AM293</f>
        <v>93729.1</v>
      </c>
      <c r="U290">
        <f t="shared" si="37"/>
        <v>93729.1</v>
      </c>
      <c r="V290">
        <f>Deals_Raw!AN293</f>
        <v>93729.1</v>
      </c>
      <c r="W290">
        <f t="shared" si="38"/>
        <v>58552.007108509191</v>
      </c>
      <c r="X290">
        <f>Deals_Raw!AO293</f>
        <v>58552.007108509191</v>
      </c>
      <c r="Y290">
        <f t="shared" si="39"/>
        <v>0.62469400760819416</v>
      </c>
      <c r="Z290">
        <f>Deals_Raw!AP293</f>
        <v>0.62469400760819416</v>
      </c>
    </row>
    <row r="291" spans="1:26">
      <c r="A291" t="str">
        <f>Deals_Raw!A294</f>
        <v>D00331</v>
      </c>
      <c r="B291">
        <f>COUNTIF(Deals_Raw!$A$5:$A$643,A291)</f>
        <v>1</v>
      </c>
      <c r="C291" s="12" t="str">
        <f>Deals_Raw!E294</f>
        <v>CT00177</v>
      </c>
      <c r="E291">
        <f>Deals_Raw!AA294</f>
        <v>88092.765772363142</v>
      </c>
      <c r="F291">
        <f>ROUND(Deals_Raw!T294*(1-Deals_Raw!W294),2)</f>
        <v>88085.48</v>
      </c>
      <c r="G291">
        <f t="shared" si="32"/>
        <v>-7.2857723631459521</v>
      </c>
      <c r="I291">
        <f>Deals_Raw!V294</f>
        <v>0.17699999999999999</v>
      </c>
      <c r="J291">
        <f>Deals_Raw!W294</f>
        <v>0.17100000000000001</v>
      </c>
      <c r="K291" t="str">
        <f>Deals_Raw!Z294</f>
        <v>Pricing Analyst</v>
      </c>
      <c r="L291" t="str">
        <f t="shared" si="33"/>
        <v>yes</v>
      </c>
      <c r="M291" t="str">
        <f t="shared" si="34"/>
        <v>Pass</v>
      </c>
      <c r="O291">
        <f>Deals_Raw!AP294</f>
        <v>0.56834768579467043</v>
      </c>
      <c r="P291" t="str">
        <f t="shared" si="35"/>
        <v>False</v>
      </c>
      <c r="R291" t="str">
        <f>Deals_Raw!AF294</f>
        <v>Won</v>
      </c>
      <c r="S291">
        <f t="shared" si="36"/>
        <v>88085.48</v>
      </c>
      <c r="T291">
        <f>Deals_Raw!AM294</f>
        <v>88085.48</v>
      </c>
      <c r="U291">
        <f t="shared" si="37"/>
        <v>88085.48</v>
      </c>
      <c r="V291">
        <f>Deals_Raw!AN294</f>
        <v>88085.48</v>
      </c>
      <c r="W291">
        <f t="shared" si="38"/>
        <v>50063.178710112719</v>
      </c>
      <c r="X291">
        <f>Deals_Raw!AO294</f>
        <v>50063.178710112719</v>
      </c>
      <c r="Y291">
        <f t="shared" si="39"/>
        <v>0.56834768579467043</v>
      </c>
      <c r="Z291">
        <f>Deals_Raw!AP294</f>
        <v>0.56834768579467043</v>
      </c>
    </row>
    <row r="292" spans="1:26">
      <c r="A292" t="str">
        <f>Deals_Raw!A295</f>
        <v>D00332</v>
      </c>
      <c r="B292">
        <f>COUNTIF(Deals_Raw!$A$5:$A$643,A292)</f>
        <v>1</v>
      </c>
      <c r="C292" s="12" t="str">
        <f>Deals_Raw!E295</f>
        <v>CT00178</v>
      </c>
      <c r="E292">
        <f>Deals_Raw!AA295</f>
        <v>168880.6256312698</v>
      </c>
      <c r="F292">
        <f>ROUND(Deals_Raw!T295*(1-Deals_Raw!W295),2)</f>
        <v>168910.48</v>
      </c>
      <c r="G292">
        <f t="shared" si="32"/>
        <v>29.854368730215356</v>
      </c>
      <c r="I292">
        <f>Deals_Raw!V295</f>
        <v>8.8999999999999996E-2</v>
      </c>
      <c r="J292">
        <f>Deals_Raw!W295</f>
        <v>5.3999999999999999E-2</v>
      </c>
      <c r="K292" t="str">
        <f>Deals_Raw!Z295</f>
        <v>Sales Manager</v>
      </c>
      <c r="L292" t="str">
        <f t="shared" si="33"/>
        <v>yes</v>
      </c>
      <c r="M292" t="str">
        <f t="shared" si="34"/>
        <v>Pass</v>
      </c>
      <c r="O292">
        <f>Deals_Raw!AP295</f>
        <v>0.62301561626721491</v>
      </c>
      <c r="P292" t="str">
        <f t="shared" si="35"/>
        <v>False</v>
      </c>
      <c r="R292" t="str">
        <f>Deals_Raw!AF295</f>
        <v>Won</v>
      </c>
      <c r="S292">
        <f t="shared" si="36"/>
        <v>168910.48</v>
      </c>
      <c r="T292">
        <f>Deals_Raw!AM295</f>
        <v>168910.48</v>
      </c>
      <c r="U292">
        <f t="shared" si="37"/>
        <v>506731.44000000006</v>
      </c>
      <c r="V292">
        <f>Deals_Raw!AN295</f>
        <v>506731.44000000006</v>
      </c>
      <c r="W292">
        <f t="shared" si="38"/>
        <v>105233.86679119109</v>
      </c>
      <c r="X292">
        <f>Deals_Raw!AO295</f>
        <v>105233.86679119109</v>
      </c>
      <c r="Y292">
        <f t="shared" si="39"/>
        <v>0.62301561626721491</v>
      </c>
      <c r="Z292">
        <f>Deals_Raw!AP295</f>
        <v>0.62301561626721491</v>
      </c>
    </row>
    <row r="293" spans="1:26">
      <c r="A293" t="str">
        <f>Deals_Raw!A296</f>
        <v>D00333</v>
      </c>
      <c r="B293">
        <f>COUNTIF(Deals_Raw!$A$5:$A$643,A293)</f>
        <v>1</v>
      </c>
      <c r="C293" s="12" t="str">
        <f>Deals_Raw!E296</f>
        <v>CT00178</v>
      </c>
      <c r="E293">
        <f>Deals_Raw!AA296</f>
        <v>171748.59284087023</v>
      </c>
      <c r="F293">
        <f>ROUND(Deals_Raw!T296*(1-Deals_Raw!W296),2)</f>
        <v>171727.46</v>
      </c>
      <c r="G293">
        <f t="shared" si="32"/>
        <v>-21.132840870239306</v>
      </c>
      <c r="I293">
        <f>Deals_Raw!V296</f>
        <v>0.156</v>
      </c>
      <c r="J293">
        <f>Deals_Raw!W296</f>
        <v>8.8999999999999996E-2</v>
      </c>
      <c r="K293" t="str">
        <f>Deals_Raw!Z296</f>
        <v>Sales Manager</v>
      </c>
      <c r="L293" t="str">
        <f t="shared" si="33"/>
        <v>yes</v>
      </c>
      <c r="M293" t="str">
        <f t="shared" si="34"/>
        <v>Pass</v>
      </c>
      <c r="O293">
        <f>Deals_Raw!AP296</f>
        <v>0.5767517603299589</v>
      </c>
      <c r="P293" t="str">
        <f t="shared" si="35"/>
        <v>False</v>
      </c>
      <c r="R293" t="str">
        <f>Deals_Raw!AF296</f>
        <v>Won</v>
      </c>
      <c r="S293">
        <f t="shared" si="36"/>
        <v>171727.46</v>
      </c>
      <c r="T293">
        <f>Deals_Raw!AM296</f>
        <v>171727.46</v>
      </c>
      <c r="U293">
        <f t="shared" si="37"/>
        <v>515182.38</v>
      </c>
      <c r="V293">
        <f>Deals_Raw!AN296</f>
        <v>515182.38</v>
      </c>
      <c r="W293">
        <f t="shared" si="38"/>
        <v>99044.114851992592</v>
      </c>
      <c r="X293">
        <f>Deals_Raw!AO296</f>
        <v>99044.114851992592</v>
      </c>
      <c r="Y293">
        <f t="shared" si="39"/>
        <v>0.5767517603299589</v>
      </c>
      <c r="Z293">
        <f>Deals_Raw!AP296</f>
        <v>0.5767517603299589</v>
      </c>
    </row>
    <row r="294" spans="1:26">
      <c r="A294" t="str">
        <f>Deals_Raw!A297</f>
        <v>D00334</v>
      </c>
      <c r="B294">
        <f>COUNTIF(Deals_Raw!$A$5:$A$643,A294)</f>
        <v>1</v>
      </c>
      <c r="C294" s="12" t="str">
        <f>Deals_Raw!E297</f>
        <v>CT00179</v>
      </c>
      <c r="E294">
        <f>Deals_Raw!AA297</f>
        <v>316862.28714785591</v>
      </c>
      <c r="F294">
        <f>ROUND(Deals_Raw!T297*(1-Deals_Raw!W297),2)</f>
        <v>316838.49</v>
      </c>
      <c r="G294">
        <f t="shared" si="32"/>
        <v>-23.79714785591932</v>
      </c>
      <c r="I294">
        <f>Deals_Raw!V297</f>
        <v>0.17899999999999999</v>
      </c>
      <c r="J294">
        <f>Deals_Raw!W297</f>
        <v>0.14599999999999999</v>
      </c>
      <c r="K294" t="str">
        <f>Deals_Raw!Z297</f>
        <v>Pricing Analyst</v>
      </c>
      <c r="L294" t="str">
        <f t="shared" si="33"/>
        <v>yes</v>
      </c>
      <c r="M294" t="str">
        <f t="shared" si="34"/>
        <v>Pass</v>
      </c>
      <c r="O294">
        <f>Deals_Raw!AP297</f>
        <v>0.577086922669931</v>
      </c>
      <c r="P294" t="str">
        <f t="shared" si="35"/>
        <v>False</v>
      </c>
      <c r="R294" t="str">
        <f>Deals_Raw!AF297</f>
        <v>Won</v>
      </c>
      <c r="S294">
        <f t="shared" si="36"/>
        <v>316838.49</v>
      </c>
      <c r="T294">
        <f>Deals_Raw!AM297</f>
        <v>316838.49</v>
      </c>
      <c r="U294">
        <f t="shared" si="37"/>
        <v>316838.49</v>
      </c>
      <c r="V294">
        <f>Deals_Raw!AN297</f>
        <v>316838.49</v>
      </c>
      <c r="W294">
        <f t="shared" si="38"/>
        <v>182843.34917748769</v>
      </c>
      <c r="X294">
        <f>Deals_Raw!AO297</f>
        <v>182843.34917748769</v>
      </c>
      <c r="Y294">
        <f t="shared" si="39"/>
        <v>0.577086922669931</v>
      </c>
      <c r="Z294">
        <f>Deals_Raw!AP297</f>
        <v>0.577086922669931</v>
      </c>
    </row>
    <row r="295" spans="1:26">
      <c r="A295" t="str">
        <f>Deals_Raw!A298</f>
        <v>D00335</v>
      </c>
      <c r="B295">
        <f>COUNTIF(Deals_Raw!$A$5:$A$643,A295)</f>
        <v>1</v>
      </c>
      <c r="C295" s="12" t="str">
        <f>Deals_Raw!E298</f>
        <v>CT00179</v>
      </c>
      <c r="E295">
        <f>Deals_Raw!AA298</f>
        <v>309079.34148105374</v>
      </c>
      <c r="F295">
        <f>ROUND(Deals_Raw!T298*(1-Deals_Raw!W298),2)</f>
        <v>309242.09000000003</v>
      </c>
      <c r="G295">
        <f t="shared" si="32"/>
        <v>162.74851894628955</v>
      </c>
      <c r="I295">
        <f>Deals_Raw!V298</f>
        <v>0.21099999999999999</v>
      </c>
      <c r="J295">
        <f>Deals_Raw!W298</f>
        <v>0.20499999999999999</v>
      </c>
      <c r="K295" t="str">
        <f>Deals_Raw!Z298</f>
        <v>Business Manager</v>
      </c>
      <c r="L295" t="str">
        <f t="shared" si="33"/>
        <v>yes</v>
      </c>
      <c r="M295" t="str">
        <f t="shared" si="34"/>
        <v>Pass</v>
      </c>
      <c r="O295">
        <f>Deals_Raw!AP298</f>
        <v>0.63525653090892031</v>
      </c>
      <c r="P295" t="str">
        <f t="shared" si="35"/>
        <v>False</v>
      </c>
      <c r="R295" t="str">
        <f>Deals_Raw!AF298</f>
        <v>Won</v>
      </c>
      <c r="S295">
        <f t="shared" si="36"/>
        <v>309242.09000000003</v>
      </c>
      <c r="T295">
        <f>Deals_Raw!AM298</f>
        <v>309242.09000000003</v>
      </c>
      <c r="U295">
        <f t="shared" si="37"/>
        <v>309242.09000000003</v>
      </c>
      <c r="V295">
        <f>Deals_Raw!AN298</f>
        <v>309242.09000000003</v>
      </c>
      <c r="W295">
        <f t="shared" si="38"/>
        <v>196448.05730442412</v>
      </c>
      <c r="X295">
        <f>Deals_Raw!AO298</f>
        <v>196448.05730442412</v>
      </c>
      <c r="Y295">
        <f t="shared" si="39"/>
        <v>0.63525653090892031</v>
      </c>
      <c r="Z295">
        <f>Deals_Raw!AP298</f>
        <v>0.63525653090892031</v>
      </c>
    </row>
    <row r="296" spans="1:26">
      <c r="A296" t="str">
        <f>Deals_Raw!A299</f>
        <v>D00336</v>
      </c>
      <c r="B296">
        <f>COUNTIF(Deals_Raw!$A$5:$A$643,A296)</f>
        <v>1</v>
      </c>
      <c r="C296" s="12" t="str">
        <f>Deals_Raw!E299</f>
        <v>CT00180</v>
      </c>
      <c r="E296">
        <f>Deals_Raw!AA299</f>
        <v>279397.01711428573</v>
      </c>
      <c r="F296">
        <f>ROUND(Deals_Raw!T299*(1-Deals_Raw!W299),2)</f>
        <v>279506.51</v>
      </c>
      <c r="G296">
        <f t="shared" si="32"/>
        <v>109.49288571428042</v>
      </c>
      <c r="I296">
        <f>Deals_Raw!V299</f>
        <v>0.126</v>
      </c>
      <c r="J296">
        <f>Deals_Raw!W299</f>
        <v>0.125</v>
      </c>
      <c r="K296" t="str">
        <f>Deals_Raw!Z299</f>
        <v>Pricing Analyst</v>
      </c>
      <c r="L296" t="str">
        <f t="shared" si="33"/>
        <v>yes</v>
      </c>
      <c r="M296" t="str">
        <f t="shared" si="34"/>
        <v>Pass</v>
      </c>
      <c r="O296">
        <f>Deals_Raw!AP299</f>
        <v>0.61210808417746188</v>
      </c>
      <c r="P296" t="str">
        <f t="shared" si="35"/>
        <v>False</v>
      </c>
      <c r="R296" t="str">
        <f>Deals_Raw!AF299</f>
        <v>Won</v>
      </c>
      <c r="S296">
        <f t="shared" si="36"/>
        <v>279506.51</v>
      </c>
      <c r="T296">
        <f>Deals_Raw!AM299</f>
        <v>279506.51</v>
      </c>
      <c r="U296">
        <f t="shared" si="37"/>
        <v>279506.51</v>
      </c>
      <c r="V296">
        <f>Deals_Raw!AN299</f>
        <v>279506.51</v>
      </c>
      <c r="W296">
        <f t="shared" si="38"/>
        <v>171088.19435122859</v>
      </c>
      <c r="X296">
        <f>Deals_Raw!AO299</f>
        <v>171088.19435122859</v>
      </c>
      <c r="Y296">
        <f t="shared" si="39"/>
        <v>0.61210808417746188</v>
      </c>
      <c r="Z296">
        <f>Deals_Raw!AP299</f>
        <v>0.61210808417746188</v>
      </c>
    </row>
    <row r="297" spans="1:26">
      <c r="A297" t="str">
        <f>Deals_Raw!A300</f>
        <v>D00337</v>
      </c>
      <c r="B297">
        <f>COUNTIF(Deals_Raw!$A$5:$A$643,A297)</f>
        <v>1</v>
      </c>
      <c r="C297" s="12" t="str">
        <f>Deals_Raw!E300</f>
        <v>CT00180</v>
      </c>
      <c r="E297">
        <f>Deals_Raw!AA300</f>
        <v>351846.17766702862</v>
      </c>
      <c r="F297">
        <f>ROUND(Deals_Raw!T300*(1-Deals_Raw!W300),2)</f>
        <v>351776.98</v>
      </c>
      <c r="G297">
        <f t="shared" si="32"/>
        <v>-69.197667028638534</v>
      </c>
      <c r="I297">
        <f>Deals_Raw!V300</f>
        <v>6.6000000000000003E-2</v>
      </c>
      <c r="J297">
        <f>Deals_Raw!W300</f>
        <v>4.1000000000000002E-2</v>
      </c>
      <c r="K297" t="str">
        <f>Deals_Raw!Z300</f>
        <v>Sales Manager</v>
      </c>
      <c r="L297" t="str">
        <f t="shared" si="33"/>
        <v>yes</v>
      </c>
      <c r="M297" t="str">
        <f t="shared" si="34"/>
        <v>Pass</v>
      </c>
      <c r="O297">
        <f>Deals_Raw!AP300</f>
        <v>0.68588120625618776</v>
      </c>
      <c r="P297" t="str">
        <f t="shared" si="35"/>
        <v>False</v>
      </c>
      <c r="R297" t="str">
        <f>Deals_Raw!AF300</f>
        <v>Won</v>
      </c>
      <c r="S297">
        <f t="shared" si="36"/>
        <v>351776.98</v>
      </c>
      <c r="T297">
        <f>Deals_Raw!AM300</f>
        <v>351776.98</v>
      </c>
      <c r="U297">
        <f t="shared" si="37"/>
        <v>351776.98</v>
      </c>
      <c r="V297">
        <f>Deals_Raw!AN300</f>
        <v>351776.98</v>
      </c>
      <c r="W297">
        <f t="shared" si="38"/>
        <v>241277.21937555884</v>
      </c>
      <c r="X297">
        <f>Deals_Raw!AO300</f>
        <v>241277.21937555884</v>
      </c>
      <c r="Y297">
        <f t="shared" si="39"/>
        <v>0.68588120625618776</v>
      </c>
      <c r="Z297">
        <f>Deals_Raw!AP300</f>
        <v>0.68588120625618776</v>
      </c>
    </row>
    <row r="298" spans="1:26">
      <c r="A298" t="str">
        <f>Deals_Raw!A301</f>
        <v>D00338</v>
      </c>
      <c r="B298">
        <f>COUNTIF(Deals_Raw!$A$5:$A$643,A298)</f>
        <v>1</v>
      </c>
      <c r="C298" s="12" t="str">
        <f>Deals_Raw!E301</f>
        <v>CT00180</v>
      </c>
      <c r="E298">
        <f>Deals_Raw!AA301</f>
        <v>382706.8638417442</v>
      </c>
      <c r="F298">
        <f>ROUND(Deals_Raw!T301*(1-Deals_Raw!W301),2)</f>
        <v>382789.14</v>
      </c>
      <c r="G298">
        <f t="shared" si="32"/>
        <v>82.276158255815972</v>
      </c>
      <c r="I298">
        <f>Deals_Raw!V301</f>
        <v>3.6999999999999998E-2</v>
      </c>
      <c r="J298">
        <f>Deals_Raw!W301</f>
        <v>2.8000000000000001E-2</v>
      </c>
      <c r="K298" t="str">
        <f>Deals_Raw!Z301</f>
        <v>Sales Manager</v>
      </c>
      <c r="L298" t="str">
        <f t="shared" si="33"/>
        <v>yes</v>
      </c>
      <c r="M298" t="str">
        <f t="shared" si="34"/>
        <v>Pass</v>
      </c>
      <c r="O298">
        <f>Deals_Raw!AP301</f>
        <v>0.68730320269784007</v>
      </c>
      <c r="P298" t="str">
        <f t="shared" si="35"/>
        <v>False</v>
      </c>
      <c r="R298" t="str">
        <f>Deals_Raw!AF301</f>
        <v>Won</v>
      </c>
      <c r="S298">
        <f t="shared" si="36"/>
        <v>382789.14</v>
      </c>
      <c r="T298">
        <f>Deals_Raw!AM301</f>
        <v>382789.14</v>
      </c>
      <c r="U298">
        <f t="shared" si="37"/>
        <v>382789.14</v>
      </c>
      <c r="V298">
        <f>Deals_Raw!AN301</f>
        <v>382789.14</v>
      </c>
      <c r="W298">
        <f t="shared" si="38"/>
        <v>263092.20187995187</v>
      </c>
      <c r="X298">
        <f>Deals_Raw!AO301</f>
        <v>263092.20187995187</v>
      </c>
      <c r="Y298">
        <f t="shared" si="39"/>
        <v>0.68730320269784007</v>
      </c>
      <c r="Z298">
        <f>Deals_Raw!AP301</f>
        <v>0.68730320269784007</v>
      </c>
    </row>
    <row r="299" spans="1:26">
      <c r="A299" t="str">
        <f>Deals_Raw!A302</f>
        <v>D00339</v>
      </c>
      <c r="B299">
        <f>COUNTIF(Deals_Raw!$A$5:$A$643,A299)</f>
        <v>1</v>
      </c>
      <c r="C299" s="12" t="str">
        <f>Deals_Raw!E302</f>
        <v>CT00181</v>
      </c>
      <c r="E299">
        <f>Deals_Raw!AA302</f>
        <v>349577.02930749865</v>
      </c>
      <c r="F299">
        <f>ROUND(Deals_Raw!T302*(1-Deals_Raw!W302),2)</f>
        <v>349555.97</v>
      </c>
      <c r="G299">
        <f t="shared" si="32"/>
        <v>-21.059307498682756</v>
      </c>
      <c r="I299">
        <f>Deals_Raw!V302</f>
        <v>0.11899999999999999</v>
      </c>
      <c r="J299">
        <f>Deals_Raw!W302</f>
        <v>0.11799999999999999</v>
      </c>
      <c r="K299" t="str">
        <f>Deals_Raw!Z302</f>
        <v>Pricing Analyst</v>
      </c>
      <c r="L299" t="str">
        <f t="shared" si="33"/>
        <v>yes</v>
      </c>
      <c r="M299" t="str">
        <f t="shared" si="34"/>
        <v>Pass</v>
      </c>
      <c r="O299">
        <f>Deals_Raw!AP302</f>
        <v>0.55016779358916079</v>
      </c>
      <c r="P299" t="str">
        <f t="shared" si="35"/>
        <v>False</v>
      </c>
      <c r="R299" t="str">
        <f>Deals_Raw!AF302</f>
        <v>Won</v>
      </c>
      <c r="S299">
        <f t="shared" si="36"/>
        <v>349555.97</v>
      </c>
      <c r="T299">
        <f>Deals_Raw!AM302</f>
        <v>349555.97</v>
      </c>
      <c r="U299">
        <f t="shared" si="37"/>
        <v>349555.97</v>
      </c>
      <c r="V299">
        <f>Deals_Raw!AN302</f>
        <v>349555.97</v>
      </c>
      <c r="W299">
        <f t="shared" si="38"/>
        <v>192314.43675081886</v>
      </c>
      <c r="X299">
        <f>Deals_Raw!AO302</f>
        <v>192314.43675081886</v>
      </c>
      <c r="Y299">
        <f t="shared" si="39"/>
        <v>0.55016779358916079</v>
      </c>
      <c r="Z299">
        <f>Deals_Raw!AP302</f>
        <v>0.55016779358916079</v>
      </c>
    </row>
    <row r="300" spans="1:26">
      <c r="A300" t="str">
        <f>Deals_Raw!A303</f>
        <v>D00340</v>
      </c>
      <c r="B300">
        <f>COUNTIF(Deals_Raw!$A$5:$A$643,A300)</f>
        <v>1</v>
      </c>
      <c r="C300" s="12" t="str">
        <f>Deals_Raw!E303</f>
        <v>CT00181</v>
      </c>
      <c r="E300">
        <f>Deals_Raw!AA303</f>
        <v>362819.94503048342</v>
      </c>
      <c r="F300">
        <f>ROUND(Deals_Raw!T303*(1-Deals_Raw!W303),2)</f>
        <v>362673.14</v>
      </c>
      <c r="G300">
        <f t="shared" si="32"/>
        <v>-146.80503048340324</v>
      </c>
      <c r="I300">
        <f>Deals_Raw!V303</f>
        <v>0.14199999999999999</v>
      </c>
      <c r="J300">
        <f>Deals_Raw!W303</f>
        <v>0.14199999999999999</v>
      </c>
      <c r="K300" t="str">
        <f>Deals_Raw!Z303</f>
        <v>Pricing Analyst</v>
      </c>
      <c r="L300" t="str">
        <f t="shared" si="33"/>
        <v>yes</v>
      </c>
      <c r="M300" t="str">
        <f t="shared" si="34"/>
        <v>Pass</v>
      </c>
      <c r="O300">
        <f>Deals_Raw!AP303</f>
        <v>0.56987757590804422</v>
      </c>
      <c r="P300" t="str">
        <f t="shared" si="35"/>
        <v>False</v>
      </c>
      <c r="R300" t="str">
        <f>Deals_Raw!AF303</f>
        <v>Won</v>
      </c>
      <c r="S300">
        <f t="shared" si="36"/>
        <v>362673.14</v>
      </c>
      <c r="T300">
        <f>Deals_Raw!AM303</f>
        <v>362673.14</v>
      </c>
      <c r="U300">
        <f t="shared" si="37"/>
        <v>362673.14</v>
      </c>
      <c r="V300">
        <f>Deals_Raw!AN303</f>
        <v>362673.14</v>
      </c>
      <c r="W300">
        <f t="shared" si="38"/>
        <v>206679.28987015877</v>
      </c>
      <c r="X300">
        <f>Deals_Raw!AO303</f>
        <v>206679.28987015877</v>
      </c>
      <c r="Y300">
        <f t="shared" si="39"/>
        <v>0.56987757590804422</v>
      </c>
      <c r="Z300">
        <f>Deals_Raw!AP303</f>
        <v>0.56987757590804422</v>
      </c>
    </row>
    <row r="301" spans="1:26">
      <c r="A301" t="str">
        <f>Deals_Raw!A304</f>
        <v>D00341</v>
      </c>
      <c r="B301">
        <f>COUNTIF(Deals_Raw!$A$5:$A$643,A301)</f>
        <v>1</v>
      </c>
      <c r="C301" s="12" t="str">
        <f>Deals_Raw!E304</f>
        <v>CT00182</v>
      </c>
      <c r="E301">
        <f>Deals_Raw!AA304</f>
        <v>184998.21850863067</v>
      </c>
      <c r="F301">
        <f>ROUND(Deals_Raw!T304*(1-Deals_Raw!W304),2)</f>
        <v>184965.72</v>
      </c>
      <c r="G301">
        <f t="shared" si="32"/>
        <v>-32.498508630669676</v>
      </c>
      <c r="I301">
        <f>Deals_Raw!V304</f>
        <v>0.127</v>
      </c>
      <c r="J301">
        <f>Deals_Raw!W304</f>
        <v>6.7000000000000004E-2</v>
      </c>
      <c r="K301" t="str">
        <f>Deals_Raw!Z304</f>
        <v>Sales Manager</v>
      </c>
      <c r="L301" t="str">
        <f t="shared" si="33"/>
        <v>yes</v>
      </c>
      <c r="M301" t="str">
        <f t="shared" si="34"/>
        <v>Pass</v>
      </c>
      <c r="O301">
        <f>Deals_Raw!AP304</f>
        <v>0.65794502951217393</v>
      </c>
      <c r="P301" t="str">
        <f t="shared" si="35"/>
        <v>False</v>
      </c>
      <c r="R301" t="str">
        <f>Deals_Raw!AF304</f>
        <v>Won</v>
      </c>
      <c r="S301">
        <f t="shared" si="36"/>
        <v>184965.72</v>
      </c>
      <c r="T301">
        <f>Deals_Raw!AM304</f>
        <v>184965.72</v>
      </c>
      <c r="U301">
        <f t="shared" si="37"/>
        <v>554897.16</v>
      </c>
      <c r="V301">
        <f>Deals_Raw!AN304</f>
        <v>554897.16</v>
      </c>
      <c r="W301">
        <f t="shared" si="38"/>
        <v>121697.2761041405</v>
      </c>
      <c r="X301">
        <f>Deals_Raw!AO304</f>
        <v>121697.2761041405</v>
      </c>
      <c r="Y301">
        <f t="shared" si="39"/>
        <v>0.65794502951217393</v>
      </c>
      <c r="Z301">
        <f>Deals_Raw!AP304</f>
        <v>0.65794502951217393</v>
      </c>
    </row>
    <row r="302" spans="1:26">
      <c r="A302" t="str">
        <f>Deals_Raw!A305</f>
        <v>D00342</v>
      </c>
      <c r="B302">
        <f>COUNTIF(Deals_Raw!$A$5:$A$643,A302)</f>
        <v>1</v>
      </c>
      <c r="C302" s="12" t="str">
        <f>Deals_Raw!E305</f>
        <v>CT00183</v>
      </c>
      <c r="E302">
        <f>Deals_Raw!AA305</f>
        <v>405599.85096418508</v>
      </c>
      <c r="F302">
        <f>ROUND(Deals_Raw!T305*(1-Deals_Raw!W305),2)</f>
        <v>405749.9</v>
      </c>
      <c r="G302">
        <f t="shared" si="32"/>
        <v>150.04903581494</v>
      </c>
      <c r="I302">
        <f>Deals_Raw!V305</f>
        <v>0.23599999999999999</v>
      </c>
      <c r="J302">
        <f>Deals_Raw!W305</f>
        <v>0.214</v>
      </c>
      <c r="K302" t="str">
        <f>Deals_Raw!Z305</f>
        <v>Business Manager</v>
      </c>
      <c r="L302" t="str">
        <f t="shared" si="33"/>
        <v>yes</v>
      </c>
      <c r="M302" t="str">
        <f t="shared" si="34"/>
        <v>Pass</v>
      </c>
      <c r="O302">
        <f>Deals_Raw!AP305</f>
        <v>0.55741330925615307</v>
      </c>
      <c r="P302" t="str">
        <f t="shared" si="35"/>
        <v>False</v>
      </c>
      <c r="R302" t="str">
        <f>Deals_Raw!AF305</f>
        <v>Lost</v>
      </c>
      <c r="S302">
        <f t="shared" si="36"/>
        <v>0</v>
      </c>
      <c r="T302">
        <f>Deals_Raw!AM305</f>
        <v>405749.9</v>
      </c>
      <c r="U302">
        <f t="shared" si="37"/>
        <v>0</v>
      </c>
      <c r="V302">
        <f>Deals_Raw!AN305</f>
        <v>405749.9</v>
      </c>
      <c r="W302">
        <f t="shared" si="38"/>
        <v>0</v>
      </c>
      <c r="X302">
        <f>Deals_Raw!AO305</f>
        <v>226170.39448935317</v>
      </c>
      <c r="Y302">
        <f t="shared" si="39"/>
        <v>0</v>
      </c>
      <c r="Z302">
        <f>Deals_Raw!AP305</f>
        <v>0.55741330925615307</v>
      </c>
    </row>
    <row r="303" spans="1:26">
      <c r="A303" t="str">
        <f>Deals_Raw!A306</f>
        <v>D00343</v>
      </c>
      <c r="B303">
        <f>COUNTIF(Deals_Raw!$A$5:$A$643,A303)</f>
        <v>1</v>
      </c>
      <c r="C303" s="12" t="str">
        <f>Deals_Raw!E306</f>
        <v>CT00183</v>
      </c>
      <c r="E303">
        <f>Deals_Raw!AA306</f>
        <v>421001.26333770953</v>
      </c>
      <c r="F303">
        <f>ROUND(Deals_Raw!T306*(1-Deals_Raw!W306),2)</f>
        <v>421236.54</v>
      </c>
      <c r="G303">
        <f t="shared" si="32"/>
        <v>235.27666229044553</v>
      </c>
      <c r="I303">
        <f>Deals_Raw!V306</f>
        <v>0.20300000000000001</v>
      </c>
      <c r="J303">
        <f>Deals_Raw!W306</f>
        <v>0.184</v>
      </c>
      <c r="K303" t="str">
        <f>Deals_Raw!Z306</f>
        <v>Pricing Analyst</v>
      </c>
      <c r="L303" t="str">
        <f t="shared" si="33"/>
        <v>yes</v>
      </c>
      <c r="M303" t="str">
        <f t="shared" si="34"/>
        <v>Pass</v>
      </c>
      <c r="O303">
        <f>Deals_Raw!AP306</f>
        <v>0.59164367868391798</v>
      </c>
      <c r="P303" t="str">
        <f t="shared" si="35"/>
        <v>False</v>
      </c>
      <c r="R303" t="str">
        <f>Deals_Raw!AF306</f>
        <v>Lost</v>
      </c>
      <c r="S303">
        <f t="shared" si="36"/>
        <v>0</v>
      </c>
      <c r="T303">
        <f>Deals_Raw!AM306</f>
        <v>421236.54</v>
      </c>
      <c r="U303">
        <f t="shared" si="37"/>
        <v>0</v>
      </c>
      <c r="V303">
        <f>Deals_Raw!AN306</f>
        <v>421236.54</v>
      </c>
      <c r="W303">
        <f t="shared" si="38"/>
        <v>0</v>
      </c>
      <c r="X303">
        <f>Deals_Raw!AO306</f>
        <v>249221.93612168537</v>
      </c>
      <c r="Y303">
        <f t="shared" si="39"/>
        <v>0</v>
      </c>
      <c r="Z303">
        <f>Deals_Raw!AP306</f>
        <v>0.59164367868391798</v>
      </c>
    </row>
    <row r="304" spans="1:26">
      <c r="A304" t="str">
        <f>Deals_Raw!A307</f>
        <v>D00344</v>
      </c>
      <c r="B304">
        <f>COUNTIF(Deals_Raw!$A$5:$A$643,A304)</f>
        <v>1</v>
      </c>
      <c r="C304" s="12" t="str">
        <f>Deals_Raw!E307</f>
        <v>CT00185</v>
      </c>
      <c r="E304">
        <f>Deals_Raw!AA307</f>
        <v>204909.21740838143</v>
      </c>
      <c r="F304">
        <f>ROUND(Deals_Raw!T307*(1-Deals_Raw!W307),2)</f>
        <v>204971.43</v>
      </c>
      <c r="G304">
        <f t="shared" si="32"/>
        <v>62.212591618561419</v>
      </c>
      <c r="I304">
        <f>Deals_Raw!V307</f>
        <v>0.20399999999999999</v>
      </c>
      <c r="J304">
        <f>Deals_Raw!W307</f>
        <v>0.19400000000000001</v>
      </c>
      <c r="K304" t="str">
        <f>Deals_Raw!Z307</f>
        <v>Pricing Analyst</v>
      </c>
      <c r="L304" t="str">
        <f t="shared" si="33"/>
        <v>yes</v>
      </c>
      <c r="M304" t="str">
        <f t="shared" si="34"/>
        <v>Pass</v>
      </c>
      <c r="O304">
        <f>Deals_Raw!AP307</f>
        <v>0.51961359820511321</v>
      </c>
      <c r="P304" t="str">
        <f t="shared" si="35"/>
        <v>False</v>
      </c>
      <c r="R304" t="str">
        <f>Deals_Raw!AF307</f>
        <v>Won</v>
      </c>
      <c r="S304">
        <f t="shared" si="36"/>
        <v>204971.43</v>
      </c>
      <c r="T304">
        <f>Deals_Raw!AM307</f>
        <v>204971.43</v>
      </c>
      <c r="U304">
        <f t="shared" si="37"/>
        <v>204971.43</v>
      </c>
      <c r="V304">
        <f>Deals_Raw!AN307</f>
        <v>204971.43</v>
      </c>
      <c r="W304">
        <f t="shared" si="38"/>
        <v>106505.94227154748</v>
      </c>
      <c r="X304">
        <f>Deals_Raw!AO307</f>
        <v>106505.94227154748</v>
      </c>
      <c r="Y304">
        <f t="shared" si="39"/>
        <v>0.51961359820511321</v>
      </c>
      <c r="Z304">
        <f>Deals_Raw!AP307</f>
        <v>0.51961359820511321</v>
      </c>
    </row>
    <row r="305" spans="1:26">
      <c r="A305" t="str">
        <f>Deals_Raw!A308</f>
        <v>D00345</v>
      </c>
      <c r="B305">
        <f>COUNTIF(Deals_Raw!$A$5:$A$643,A305)</f>
        <v>1</v>
      </c>
      <c r="C305" s="12" t="str">
        <f>Deals_Raw!E308</f>
        <v>CT00185</v>
      </c>
      <c r="E305">
        <f>Deals_Raw!AA308</f>
        <v>250058.43261183472</v>
      </c>
      <c r="F305">
        <f>ROUND(Deals_Raw!T308*(1-Deals_Raw!W308),2)</f>
        <v>250009.77</v>
      </c>
      <c r="G305">
        <f t="shared" si="32"/>
        <v>-48.66261183473398</v>
      </c>
      <c r="I305">
        <f>Deals_Raw!V308</f>
        <v>8.3000000000000004E-2</v>
      </c>
      <c r="J305">
        <f>Deals_Raw!W308</f>
        <v>7.9000000000000001E-2</v>
      </c>
      <c r="K305" t="str">
        <f>Deals_Raw!Z308</f>
        <v>Sales Manager</v>
      </c>
      <c r="L305" t="str">
        <f t="shared" si="33"/>
        <v>yes</v>
      </c>
      <c r="M305" t="str">
        <f t="shared" si="34"/>
        <v>Pass</v>
      </c>
      <c r="O305">
        <f>Deals_Raw!AP308</f>
        <v>0.59697054741867761</v>
      </c>
      <c r="P305" t="str">
        <f t="shared" si="35"/>
        <v>False</v>
      </c>
      <c r="R305" t="str">
        <f>Deals_Raw!AF308</f>
        <v>Lost</v>
      </c>
      <c r="S305">
        <f t="shared" si="36"/>
        <v>0</v>
      </c>
      <c r="T305">
        <f>Deals_Raw!AM308</f>
        <v>250009.77</v>
      </c>
      <c r="U305">
        <f t="shared" si="37"/>
        <v>0</v>
      </c>
      <c r="V305">
        <f>Deals_Raw!AN308</f>
        <v>250009.77</v>
      </c>
      <c r="W305">
        <f t="shared" si="38"/>
        <v>0</v>
      </c>
      <c r="X305">
        <f>Deals_Raw!AO308</f>
        <v>149248.46925691768</v>
      </c>
      <c r="Y305">
        <f t="shared" si="39"/>
        <v>0</v>
      </c>
      <c r="Z305">
        <f>Deals_Raw!AP308</f>
        <v>0.59697054741867761</v>
      </c>
    </row>
    <row r="306" spans="1:26">
      <c r="A306" t="str">
        <f>Deals_Raw!A309</f>
        <v>D00346</v>
      </c>
      <c r="B306">
        <f>COUNTIF(Deals_Raw!$A$5:$A$643,A306)</f>
        <v>1</v>
      </c>
      <c r="C306" s="12" t="str">
        <f>Deals_Raw!E309</f>
        <v>CT00186</v>
      </c>
      <c r="E306">
        <f>Deals_Raw!AA309</f>
        <v>90711.180627595488</v>
      </c>
      <c r="F306">
        <f>ROUND(Deals_Raw!T309*(1-Deals_Raw!W309),2)</f>
        <v>90666.28</v>
      </c>
      <c r="G306">
        <f t="shared" si="32"/>
        <v>-44.900627595488913</v>
      </c>
      <c r="I306">
        <f>Deals_Raw!V309</f>
        <v>0.158</v>
      </c>
      <c r="J306">
        <f>Deals_Raw!W309</f>
        <v>0.128</v>
      </c>
      <c r="K306" t="str">
        <f>Deals_Raw!Z309</f>
        <v>Pricing Analyst</v>
      </c>
      <c r="L306" t="str">
        <f t="shared" si="33"/>
        <v>yes</v>
      </c>
      <c r="M306" t="str">
        <f t="shared" si="34"/>
        <v>Pass</v>
      </c>
      <c r="O306">
        <f>Deals_Raw!AP309</f>
        <v>0.64469546880802664</v>
      </c>
      <c r="P306" t="str">
        <f t="shared" si="35"/>
        <v>False</v>
      </c>
      <c r="R306" t="str">
        <f>Deals_Raw!AF309</f>
        <v>Won</v>
      </c>
      <c r="S306">
        <f t="shared" si="36"/>
        <v>90666.28</v>
      </c>
      <c r="T306">
        <f>Deals_Raw!AM309</f>
        <v>90666.28</v>
      </c>
      <c r="U306">
        <f t="shared" si="37"/>
        <v>181332.56</v>
      </c>
      <c r="V306">
        <f>Deals_Raw!AN309</f>
        <v>181332.56</v>
      </c>
      <c r="W306">
        <f t="shared" si="38"/>
        <v>58452.139889679805</v>
      </c>
      <c r="X306">
        <f>Deals_Raw!AO309</f>
        <v>58452.139889679805</v>
      </c>
      <c r="Y306">
        <f t="shared" si="39"/>
        <v>0.64469546880802664</v>
      </c>
      <c r="Z306">
        <f>Deals_Raw!AP309</f>
        <v>0.64469546880802664</v>
      </c>
    </row>
    <row r="307" spans="1:26">
      <c r="A307" t="str">
        <f>Deals_Raw!A310</f>
        <v>D00347</v>
      </c>
      <c r="B307">
        <f>COUNTIF(Deals_Raw!$A$5:$A$643,A307)</f>
        <v>1</v>
      </c>
      <c r="C307" s="12" t="str">
        <f>Deals_Raw!E310</f>
        <v>CT00187</v>
      </c>
      <c r="E307">
        <f>Deals_Raw!AA310</f>
        <v>24855.929909837127</v>
      </c>
      <c r="F307">
        <f>ROUND(Deals_Raw!T310*(1-Deals_Raw!W310),2)</f>
        <v>24864.82</v>
      </c>
      <c r="G307">
        <f t="shared" si="32"/>
        <v>8.8900901628730935</v>
      </c>
      <c r="I307">
        <f>Deals_Raw!V310</f>
        <v>0.17199999999999999</v>
      </c>
      <c r="J307">
        <f>Deals_Raw!W310</f>
        <v>0.16800000000000001</v>
      </c>
      <c r="K307" t="str">
        <f>Deals_Raw!Z310</f>
        <v>Pricing Analyst</v>
      </c>
      <c r="L307" t="str">
        <f t="shared" si="33"/>
        <v>yes</v>
      </c>
      <c r="M307" t="str">
        <f t="shared" si="34"/>
        <v>Pass</v>
      </c>
      <c r="O307">
        <f>Deals_Raw!AP310</f>
        <v>0.65841005341999848</v>
      </c>
      <c r="P307" t="str">
        <f t="shared" si="35"/>
        <v>False</v>
      </c>
      <c r="R307" t="str">
        <f>Deals_Raw!AF310</f>
        <v>Lost</v>
      </c>
      <c r="S307">
        <f t="shared" si="36"/>
        <v>0</v>
      </c>
      <c r="T307">
        <f>Deals_Raw!AM310</f>
        <v>24864.82</v>
      </c>
      <c r="U307">
        <f t="shared" si="37"/>
        <v>0</v>
      </c>
      <c r="V307">
        <f>Deals_Raw!AN310</f>
        <v>24864.82</v>
      </c>
      <c r="W307">
        <f t="shared" si="38"/>
        <v>0</v>
      </c>
      <c r="X307">
        <f>Deals_Raw!AO310</f>
        <v>16371.247464478647</v>
      </c>
      <c r="Y307">
        <f t="shared" si="39"/>
        <v>0</v>
      </c>
      <c r="Z307">
        <f>Deals_Raw!AP310</f>
        <v>0.65841005341999848</v>
      </c>
    </row>
    <row r="308" spans="1:26">
      <c r="A308" t="str">
        <f>Deals_Raw!A311</f>
        <v>D00348</v>
      </c>
      <c r="B308">
        <f>COUNTIF(Deals_Raw!$A$5:$A$643,A308)</f>
        <v>1</v>
      </c>
      <c r="C308" s="12" t="str">
        <f>Deals_Raw!E311</f>
        <v>CT00188</v>
      </c>
      <c r="E308">
        <f>Deals_Raw!AA311</f>
        <v>22355.162768383059</v>
      </c>
      <c r="F308">
        <f>ROUND(Deals_Raw!T311*(1-Deals_Raw!W311),2)</f>
        <v>22344.65</v>
      </c>
      <c r="G308">
        <f t="shared" si="32"/>
        <v>-10.512768383057846</v>
      </c>
      <c r="I308">
        <f>Deals_Raw!V311</f>
        <v>0.16800000000000001</v>
      </c>
      <c r="J308">
        <f>Deals_Raw!W311</f>
        <v>0.14099999999999999</v>
      </c>
      <c r="K308" t="str">
        <f>Deals_Raw!Z311</f>
        <v>Pricing Analyst</v>
      </c>
      <c r="L308" t="str">
        <f t="shared" si="33"/>
        <v>yes</v>
      </c>
      <c r="M308" t="str">
        <f t="shared" si="34"/>
        <v>Pass</v>
      </c>
      <c r="O308">
        <f>Deals_Raw!AP311</f>
        <v>0.67253558465975205</v>
      </c>
      <c r="P308" t="str">
        <f t="shared" si="35"/>
        <v>False</v>
      </c>
      <c r="R308" t="str">
        <f>Deals_Raw!AF311</f>
        <v>Won</v>
      </c>
      <c r="S308">
        <f t="shared" si="36"/>
        <v>22344.65</v>
      </c>
      <c r="T308">
        <f>Deals_Raw!AM311</f>
        <v>22344.65</v>
      </c>
      <c r="U308">
        <f t="shared" si="37"/>
        <v>22344.65</v>
      </c>
      <c r="V308">
        <f>Deals_Raw!AN311</f>
        <v>22344.65</v>
      </c>
      <c r="W308">
        <f t="shared" si="38"/>
        <v>15027.572251767529</v>
      </c>
      <c r="X308">
        <f>Deals_Raw!AO311</f>
        <v>15027.572251767529</v>
      </c>
      <c r="Y308">
        <f t="shared" si="39"/>
        <v>0.67253558465975205</v>
      </c>
      <c r="Z308">
        <f>Deals_Raw!AP311</f>
        <v>0.67253558465975205</v>
      </c>
    </row>
    <row r="309" spans="1:26">
      <c r="A309" t="str">
        <f>Deals_Raw!A312</f>
        <v>D00349</v>
      </c>
      <c r="B309">
        <f>COUNTIF(Deals_Raw!$A$5:$A$643,A309)</f>
        <v>1</v>
      </c>
      <c r="C309" s="12" t="str">
        <f>Deals_Raw!E312</f>
        <v>CT00188</v>
      </c>
      <c r="E309">
        <f>Deals_Raw!AA312</f>
        <v>22697.117193867001</v>
      </c>
      <c r="F309">
        <f>ROUND(Deals_Raw!T312*(1-Deals_Raw!W312),2)</f>
        <v>22687.41</v>
      </c>
      <c r="G309">
        <f t="shared" si="32"/>
        <v>-9.7071938670014788</v>
      </c>
      <c r="I309">
        <f>Deals_Raw!V312</f>
        <v>0.18</v>
      </c>
      <c r="J309">
        <f>Deals_Raw!W312</f>
        <v>0.17499999999999999</v>
      </c>
      <c r="K309" t="str">
        <f>Deals_Raw!Z312</f>
        <v>Pricing Analyst</v>
      </c>
      <c r="L309" t="str">
        <f t="shared" si="33"/>
        <v>yes</v>
      </c>
      <c r="M309" t="str">
        <f t="shared" si="34"/>
        <v>Pass</v>
      </c>
      <c r="O309">
        <f>Deals_Raw!AP312</f>
        <v>0.63923735835228657</v>
      </c>
      <c r="P309" t="str">
        <f t="shared" si="35"/>
        <v>False</v>
      </c>
      <c r="R309" t="str">
        <f>Deals_Raw!AF312</f>
        <v>Won</v>
      </c>
      <c r="S309">
        <f t="shared" si="36"/>
        <v>22687.41</v>
      </c>
      <c r="T309">
        <f>Deals_Raw!AM312</f>
        <v>22687.41</v>
      </c>
      <c r="U309">
        <f t="shared" si="37"/>
        <v>22687.41</v>
      </c>
      <c r="V309">
        <f>Deals_Raw!AN312</f>
        <v>22687.41</v>
      </c>
      <c r="W309">
        <f t="shared" si="38"/>
        <v>14502.640036255249</v>
      </c>
      <c r="X309">
        <f>Deals_Raw!AO312</f>
        <v>14502.640036255249</v>
      </c>
      <c r="Y309">
        <f t="shared" si="39"/>
        <v>0.63923735835228657</v>
      </c>
      <c r="Z309">
        <f>Deals_Raw!AP312</f>
        <v>0.63923735835228657</v>
      </c>
    </row>
    <row r="310" spans="1:26">
      <c r="A310" t="str">
        <f>Deals_Raw!A313</f>
        <v>D00350</v>
      </c>
      <c r="B310">
        <f>COUNTIF(Deals_Raw!$A$5:$A$643,A310)</f>
        <v>1</v>
      </c>
      <c r="C310" s="12" t="str">
        <f>Deals_Raw!E313</f>
        <v>CT00189</v>
      </c>
      <c r="E310">
        <f>Deals_Raw!AA313</f>
        <v>29524.794277753408</v>
      </c>
      <c r="F310">
        <f>ROUND(Deals_Raw!T313*(1-Deals_Raw!W313),2)</f>
        <v>29516.94</v>
      </c>
      <c r="G310">
        <f t="shared" si="32"/>
        <v>-7.8542777534094057</v>
      </c>
      <c r="I310">
        <f>Deals_Raw!V313</f>
        <v>0.17399999999999999</v>
      </c>
      <c r="J310">
        <f>Deals_Raw!W313</f>
        <v>0.157</v>
      </c>
      <c r="K310" t="str">
        <f>Deals_Raw!Z313</f>
        <v>Pricing Analyst</v>
      </c>
      <c r="L310" t="str">
        <f t="shared" si="33"/>
        <v>yes</v>
      </c>
      <c r="M310" t="str">
        <f t="shared" si="34"/>
        <v>Pass</v>
      </c>
      <c r="O310">
        <f>Deals_Raw!AP313</f>
        <v>0.64496005981404847</v>
      </c>
      <c r="P310" t="str">
        <f t="shared" si="35"/>
        <v>False</v>
      </c>
      <c r="R310" t="str">
        <f>Deals_Raw!AF313</f>
        <v>Won</v>
      </c>
      <c r="S310">
        <f t="shared" si="36"/>
        <v>29516.94</v>
      </c>
      <c r="T310">
        <f>Deals_Raw!AM313</f>
        <v>29516.94</v>
      </c>
      <c r="U310">
        <f t="shared" si="37"/>
        <v>29516.94</v>
      </c>
      <c r="V310">
        <f>Deals_Raw!AN313</f>
        <v>29516.94</v>
      </c>
      <c r="W310">
        <f t="shared" si="38"/>
        <v>19037.24738792768</v>
      </c>
      <c r="X310">
        <f>Deals_Raw!AO313</f>
        <v>19037.24738792768</v>
      </c>
      <c r="Y310">
        <f t="shared" si="39"/>
        <v>0.64496005981404847</v>
      </c>
      <c r="Z310">
        <f>Deals_Raw!AP313</f>
        <v>0.64496005981404847</v>
      </c>
    </row>
    <row r="311" spans="1:26">
      <c r="A311" t="str">
        <f>Deals_Raw!A314</f>
        <v>D00351</v>
      </c>
      <c r="B311">
        <f>COUNTIF(Deals_Raw!$A$5:$A$643,A311)</f>
        <v>1</v>
      </c>
      <c r="C311" s="12" t="str">
        <f>Deals_Raw!E314</f>
        <v>CT00189</v>
      </c>
      <c r="E311">
        <f>Deals_Raw!AA314</f>
        <v>29509.268838742231</v>
      </c>
      <c r="F311">
        <f>ROUND(Deals_Raw!T314*(1-Deals_Raw!W314),2)</f>
        <v>29492.25</v>
      </c>
      <c r="G311">
        <f t="shared" si="32"/>
        <v>-17.01883874223131</v>
      </c>
      <c r="I311">
        <f>Deals_Raw!V314</f>
        <v>0.216</v>
      </c>
      <c r="J311">
        <f>Deals_Raw!W314</f>
        <v>0.215</v>
      </c>
      <c r="K311" t="str">
        <f>Deals_Raw!Z314</f>
        <v>Business Manager</v>
      </c>
      <c r="L311" t="str">
        <f t="shared" si="33"/>
        <v>yes</v>
      </c>
      <c r="M311" t="str">
        <f t="shared" si="34"/>
        <v>Pass</v>
      </c>
      <c r="O311">
        <f>Deals_Raw!AP314</f>
        <v>0.68546306879897156</v>
      </c>
      <c r="P311" t="str">
        <f t="shared" si="35"/>
        <v>False</v>
      </c>
      <c r="R311" t="str">
        <f>Deals_Raw!AF314</f>
        <v>Won</v>
      </c>
      <c r="S311">
        <f t="shared" si="36"/>
        <v>29492.25</v>
      </c>
      <c r="T311">
        <f>Deals_Raw!AM314</f>
        <v>29492.25</v>
      </c>
      <c r="U311">
        <f t="shared" si="37"/>
        <v>29492.25</v>
      </c>
      <c r="V311">
        <f>Deals_Raw!AN314</f>
        <v>29492.25</v>
      </c>
      <c r="W311">
        <f t="shared" si="38"/>
        <v>20215.84819078647</v>
      </c>
      <c r="X311">
        <f>Deals_Raw!AO314</f>
        <v>20215.84819078647</v>
      </c>
      <c r="Y311">
        <f t="shared" si="39"/>
        <v>0.68546306879897156</v>
      </c>
      <c r="Z311">
        <f>Deals_Raw!AP314</f>
        <v>0.68546306879897156</v>
      </c>
    </row>
    <row r="312" spans="1:26">
      <c r="A312" t="str">
        <f>Deals_Raw!A315</f>
        <v>D00352</v>
      </c>
      <c r="B312">
        <f>COUNTIF(Deals_Raw!$A$5:$A$643,A312)</f>
        <v>1</v>
      </c>
      <c r="C312" s="12" t="str">
        <f>Deals_Raw!E315</f>
        <v>CT00189</v>
      </c>
      <c r="E312">
        <f>Deals_Raw!AA315</f>
        <v>42356.184325461058</v>
      </c>
      <c r="F312">
        <f>ROUND(Deals_Raw!T315*(1-Deals_Raw!W315),2)</f>
        <v>42363.91</v>
      </c>
      <c r="G312">
        <f t="shared" si="32"/>
        <v>7.7256745389458956</v>
      </c>
      <c r="I312">
        <f>Deals_Raw!V315</f>
        <v>0.13900000000000001</v>
      </c>
      <c r="J312">
        <f>Deals_Raw!W315</f>
        <v>9.1999999999999998E-2</v>
      </c>
      <c r="K312" t="str">
        <f>Deals_Raw!Z315</f>
        <v>Sales Manager</v>
      </c>
      <c r="L312" t="str">
        <f t="shared" si="33"/>
        <v>yes</v>
      </c>
      <c r="M312" t="str">
        <f t="shared" si="34"/>
        <v>Pass</v>
      </c>
      <c r="O312">
        <f>Deals_Raw!AP315</f>
        <v>0.734861220119018</v>
      </c>
      <c r="P312" t="str">
        <f t="shared" si="35"/>
        <v>False</v>
      </c>
      <c r="R312" t="str">
        <f>Deals_Raw!AF315</f>
        <v>Lost</v>
      </c>
      <c r="S312">
        <f t="shared" si="36"/>
        <v>0</v>
      </c>
      <c r="T312">
        <f>Deals_Raw!AM315</f>
        <v>42363.91</v>
      </c>
      <c r="U312">
        <f t="shared" si="37"/>
        <v>0</v>
      </c>
      <c r="V312">
        <f>Deals_Raw!AN315</f>
        <v>42363.91</v>
      </c>
      <c r="W312">
        <f t="shared" si="38"/>
        <v>0</v>
      </c>
      <c r="X312">
        <f>Deals_Raw!AO315</f>
        <v>31131.594591612269</v>
      </c>
      <c r="Y312">
        <f t="shared" si="39"/>
        <v>0</v>
      </c>
      <c r="Z312">
        <f>Deals_Raw!AP315</f>
        <v>0.734861220119018</v>
      </c>
    </row>
    <row r="313" spans="1:26">
      <c r="A313" t="str">
        <f>Deals_Raw!A316</f>
        <v>D00353</v>
      </c>
      <c r="B313">
        <f>COUNTIF(Deals_Raw!$A$5:$A$643,A313)</f>
        <v>1</v>
      </c>
      <c r="C313" s="12" t="str">
        <f>Deals_Raw!E316</f>
        <v>CT00189</v>
      </c>
      <c r="E313">
        <f>Deals_Raw!AA316</f>
        <v>34442.990554326971</v>
      </c>
      <c r="F313">
        <f>ROUND(Deals_Raw!T316*(1-Deals_Raw!W316),2)</f>
        <v>34447.449999999997</v>
      </c>
      <c r="G313">
        <f t="shared" si="32"/>
        <v>4.4594456730264938</v>
      </c>
      <c r="I313">
        <f>Deals_Raw!V316</f>
        <v>0.17</v>
      </c>
      <c r="J313">
        <f>Deals_Raw!W316</f>
        <v>0.127</v>
      </c>
      <c r="K313" t="str">
        <f>Deals_Raw!Z316</f>
        <v>Pricing Analyst</v>
      </c>
      <c r="L313" t="str">
        <f t="shared" si="33"/>
        <v>yes</v>
      </c>
      <c r="M313" t="str">
        <f t="shared" si="34"/>
        <v>Pass</v>
      </c>
      <c r="O313">
        <f>Deals_Raw!AP316</f>
        <v>0.64904268166402401</v>
      </c>
      <c r="P313" t="str">
        <f t="shared" si="35"/>
        <v>False</v>
      </c>
      <c r="R313" t="str">
        <f>Deals_Raw!AF316</f>
        <v>Won</v>
      </c>
      <c r="S313">
        <f t="shared" si="36"/>
        <v>34447.449999999997</v>
      </c>
      <c r="T313">
        <f>Deals_Raw!AM316</f>
        <v>34447.449999999997</v>
      </c>
      <c r="U313">
        <f t="shared" si="37"/>
        <v>34447.449999999997</v>
      </c>
      <c r="V313">
        <f>Deals_Raw!AN316</f>
        <v>34447.449999999997</v>
      </c>
      <c r="W313">
        <f t="shared" si="38"/>
        <v>22357.865324487382</v>
      </c>
      <c r="X313">
        <f>Deals_Raw!AO316</f>
        <v>22357.865324487382</v>
      </c>
      <c r="Y313">
        <f t="shared" si="39"/>
        <v>0.64904268166402401</v>
      </c>
      <c r="Z313">
        <f>Deals_Raw!AP316</f>
        <v>0.64904268166402401</v>
      </c>
    </row>
    <row r="314" spans="1:26">
      <c r="A314" t="str">
        <f>Deals_Raw!A317</f>
        <v>D00356</v>
      </c>
      <c r="B314">
        <f>COUNTIF(Deals_Raw!$A$5:$A$643,A314)</f>
        <v>1</v>
      </c>
      <c r="C314" s="12" t="str">
        <f>Deals_Raw!E317</f>
        <v>CT00190</v>
      </c>
      <c r="E314">
        <f>Deals_Raw!AA317</f>
        <v>103223.4958111466</v>
      </c>
      <c r="F314">
        <f>ROUND(Deals_Raw!T317*(1-Deals_Raw!W317),2)</f>
        <v>103274.94</v>
      </c>
      <c r="G314">
        <f t="shared" si="32"/>
        <v>51.444188853405649</v>
      </c>
      <c r="I314">
        <f>Deals_Raw!V317</f>
        <v>5.3999999999999999E-2</v>
      </c>
      <c r="J314">
        <f>Deals_Raw!W317</f>
        <v>4.2000000000000003E-2</v>
      </c>
      <c r="K314" t="str">
        <f>Deals_Raw!Z317</f>
        <v>Sales Manager</v>
      </c>
      <c r="L314" t="str">
        <f t="shared" si="33"/>
        <v>yes</v>
      </c>
      <c r="M314" t="str">
        <f t="shared" si="34"/>
        <v>Pass</v>
      </c>
      <c r="O314">
        <f>Deals_Raw!AP317</f>
        <v>0.65153710802283837</v>
      </c>
      <c r="P314" t="str">
        <f t="shared" si="35"/>
        <v>False</v>
      </c>
      <c r="R314" t="str">
        <f>Deals_Raw!AF317</f>
        <v>Won</v>
      </c>
      <c r="S314">
        <f t="shared" si="36"/>
        <v>103274.94</v>
      </c>
      <c r="T314">
        <f>Deals_Raw!AM317</f>
        <v>103274.94</v>
      </c>
      <c r="U314">
        <f t="shared" si="37"/>
        <v>103274.94</v>
      </c>
      <c r="V314">
        <f>Deals_Raw!AN317</f>
        <v>103274.94</v>
      </c>
      <c r="W314">
        <f t="shared" si="38"/>
        <v>67287.455738832155</v>
      </c>
      <c r="X314">
        <f>Deals_Raw!AO317</f>
        <v>67287.455738832155</v>
      </c>
      <c r="Y314">
        <f t="shared" si="39"/>
        <v>0.65153710802283837</v>
      </c>
      <c r="Z314">
        <f>Deals_Raw!AP317</f>
        <v>0.65153710802283837</v>
      </c>
    </row>
    <row r="315" spans="1:26">
      <c r="A315" t="str">
        <f>Deals_Raw!A318</f>
        <v>D00357</v>
      </c>
      <c r="B315">
        <f>COUNTIF(Deals_Raw!$A$5:$A$643,A315)</f>
        <v>1</v>
      </c>
      <c r="C315" s="12" t="str">
        <f>Deals_Raw!E318</f>
        <v>CT00190</v>
      </c>
      <c r="E315">
        <f>Deals_Raw!AA318</f>
        <v>119607.03325946984</v>
      </c>
      <c r="F315">
        <f>ROUND(Deals_Raw!T318*(1-Deals_Raw!W318),2)</f>
        <v>119597.98</v>
      </c>
      <c r="G315">
        <f t="shared" si="32"/>
        <v>-9.0532594698452158</v>
      </c>
      <c r="I315">
        <f>Deals_Raw!V318</f>
        <v>0.122</v>
      </c>
      <c r="J315">
        <f>Deals_Raw!W318</f>
        <v>0.121</v>
      </c>
      <c r="K315" t="str">
        <f>Deals_Raw!Z318</f>
        <v>Pricing Analyst</v>
      </c>
      <c r="L315" t="str">
        <f t="shared" si="33"/>
        <v>yes</v>
      </c>
      <c r="M315" t="str">
        <f t="shared" si="34"/>
        <v>Pass</v>
      </c>
      <c r="O315">
        <f>Deals_Raw!AP318</f>
        <v>0.6556272429063541</v>
      </c>
      <c r="P315" t="str">
        <f t="shared" si="35"/>
        <v>False</v>
      </c>
      <c r="R315" t="str">
        <f>Deals_Raw!AF318</f>
        <v>Won</v>
      </c>
      <c r="S315">
        <f t="shared" si="36"/>
        <v>119597.98</v>
      </c>
      <c r="T315">
        <f>Deals_Raw!AM318</f>
        <v>119597.98</v>
      </c>
      <c r="U315">
        <f t="shared" si="37"/>
        <v>119597.98</v>
      </c>
      <c r="V315">
        <f>Deals_Raw!AN318</f>
        <v>119597.98</v>
      </c>
      <c r="W315">
        <f t="shared" si="38"/>
        <v>78411.693884569278</v>
      </c>
      <c r="X315">
        <f>Deals_Raw!AO318</f>
        <v>78411.693884569278</v>
      </c>
      <c r="Y315">
        <f t="shared" si="39"/>
        <v>0.6556272429063541</v>
      </c>
      <c r="Z315">
        <f>Deals_Raw!AP318</f>
        <v>0.6556272429063541</v>
      </c>
    </row>
    <row r="316" spans="1:26">
      <c r="A316" t="str">
        <f>Deals_Raw!A319</f>
        <v>D00358</v>
      </c>
      <c r="B316">
        <f>COUNTIF(Deals_Raw!$A$5:$A$643,A316)</f>
        <v>1</v>
      </c>
      <c r="C316" s="12" t="str">
        <f>Deals_Raw!E319</f>
        <v>CT00190</v>
      </c>
      <c r="E316">
        <f>Deals_Raw!AA319</f>
        <v>111410.99231825341</v>
      </c>
      <c r="F316">
        <f>ROUND(Deals_Raw!T319*(1-Deals_Raw!W319),2)</f>
        <v>111391.81</v>
      </c>
      <c r="G316">
        <f t="shared" si="32"/>
        <v>-19.182318253413541</v>
      </c>
      <c r="I316">
        <f>Deals_Raw!V319</f>
        <v>0.251</v>
      </c>
      <c r="J316">
        <f>Deals_Raw!W319</f>
        <v>0.23</v>
      </c>
      <c r="K316" t="str">
        <f>Deals_Raw!Z319</f>
        <v>Business Manager</v>
      </c>
      <c r="L316" t="str">
        <f t="shared" si="33"/>
        <v>yes</v>
      </c>
      <c r="M316" t="str">
        <f t="shared" si="34"/>
        <v>Pass</v>
      </c>
      <c r="O316">
        <f>Deals_Raw!AP319</f>
        <v>0.61100456446853912</v>
      </c>
      <c r="P316" t="str">
        <f t="shared" si="35"/>
        <v>False</v>
      </c>
      <c r="R316" t="str">
        <f>Deals_Raw!AF319</f>
        <v>Won</v>
      </c>
      <c r="S316">
        <f t="shared" si="36"/>
        <v>111391.81</v>
      </c>
      <c r="T316">
        <f>Deals_Raw!AM319</f>
        <v>111391.81</v>
      </c>
      <c r="U316">
        <f t="shared" si="37"/>
        <v>111391.81</v>
      </c>
      <c r="V316">
        <f>Deals_Raw!AN319</f>
        <v>111391.81</v>
      </c>
      <c r="W316">
        <f t="shared" si="38"/>
        <v>68060.904354412254</v>
      </c>
      <c r="X316">
        <f>Deals_Raw!AO319</f>
        <v>68060.904354412254</v>
      </c>
      <c r="Y316">
        <f t="shared" si="39"/>
        <v>0.61100456446853912</v>
      </c>
      <c r="Z316">
        <f>Deals_Raw!AP319</f>
        <v>0.61100456446853912</v>
      </c>
    </row>
    <row r="317" spans="1:26">
      <c r="A317" t="str">
        <f>Deals_Raw!A320</f>
        <v>D00359</v>
      </c>
      <c r="B317">
        <f>COUNTIF(Deals_Raw!$A$5:$A$643,A317)</f>
        <v>1</v>
      </c>
      <c r="C317" s="12" t="str">
        <f>Deals_Raw!E320</f>
        <v>CT00191</v>
      </c>
      <c r="E317">
        <f>Deals_Raw!AA320</f>
        <v>29285.04668902557</v>
      </c>
      <c r="F317">
        <f>ROUND(Deals_Raw!T320*(1-Deals_Raw!W320),2)</f>
        <v>29287.07</v>
      </c>
      <c r="G317">
        <f t="shared" si="32"/>
        <v>2.0233109744294779</v>
      </c>
      <c r="I317">
        <f>Deals_Raw!V320</f>
        <v>0.13</v>
      </c>
      <c r="J317">
        <f>Deals_Raw!W320</f>
        <v>8.8999999999999996E-2</v>
      </c>
      <c r="K317" t="str">
        <f>Deals_Raw!Z320</f>
        <v>Sales Manager</v>
      </c>
      <c r="L317" t="str">
        <f t="shared" si="33"/>
        <v>yes</v>
      </c>
      <c r="M317" t="str">
        <f t="shared" si="34"/>
        <v>Pass</v>
      </c>
      <c r="O317">
        <f>Deals_Raw!AP320</f>
        <v>0.70211973308422293</v>
      </c>
      <c r="P317" t="str">
        <f t="shared" si="35"/>
        <v>False</v>
      </c>
      <c r="R317" t="str">
        <f>Deals_Raw!AF320</f>
        <v>Won</v>
      </c>
      <c r="S317">
        <f t="shared" si="36"/>
        <v>29287.07</v>
      </c>
      <c r="T317">
        <f>Deals_Raw!AM320</f>
        <v>29287.07</v>
      </c>
      <c r="U317">
        <f t="shared" si="37"/>
        <v>29287.07</v>
      </c>
      <c r="V317">
        <f>Deals_Raw!AN320</f>
        <v>29287.07</v>
      </c>
      <c r="W317">
        <f t="shared" si="38"/>
        <v>20563.029771218953</v>
      </c>
      <c r="X317">
        <f>Deals_Raw!AO320</f>
        <v>20563.029771218953</v>
      </c>
      <c r="Y317">
        <f t="shared" si="39"/>
        <v>0.70211973308422293</v>
      </c>
      <c r="Z317">
        <f>Deals_Raw!AP320</f>
        <v>0.70211973308422293</v>
      </c>
    </row>
    <row r="318" spans="1:26">
      <c r="A318" t="str">
        <f>Deals_Raw!A321</f>
        <v>D00360</v>
      </c>
      <c r="B318">
        <f>COUNTIF(Deals_Raw!$A$5:$A$643,A318)</f>
        <v>1</v>
      </c>
      <c r="C318" s="12" t="str">
        <f>Deals_Raw!E321</f>
        <v>CT00191</v>
      </c>
      <c r="E318">
        <f>Deals_Raw!AA321</f>
        <v>28294.651660210311</v>
      </c>
      <c r="F318">
        <f>ROUND(Deals_Raw!T321*(1-Deals_Raw!W321),2)</f>
        <v>28291.9</v>
      </c>
      <c r="G318">
        <f t="shared" si="32"/>
        <v>-2.7516602103096375</v>
      </c>
      <c r="I318">
        <f>Deals_Raw!V321</f>
        <v>0.184</v>
      </c>
      <c r="J318">
        <f>Deals_Raw!W321</f>
        <v>0.156</v>
      </c>
      <c r="K318" t="str">
        <f>Deals_Raw!Z321</f>
        <v>Pricing Analyst</v>
      </c>
      <c r="L318" t="str">
        <f t="shared" si="33"/>
        <v>yes</v>
      </c>
      <c r="M318" t="str">
        <f t="shared" si="34"/>
        <v>Pass</v>
      </c>
      <c r="O318">
        <f>Deals_Raw!AP321</f>
        <v>0.67747208001445014</v>
      </c>
      <c r="P318" t="str">
        <f t="shared" si="35"/>
        <v>False</v>
      </c>
      <c r="R318" t="str">
        <f>Deals_Raw!AF321</f>
        <v>Lost</v>
      </c>
      <c r="S318">
        <f t="shared" si="36"/>
        <v>0</v>
      </c>
      <c r="T318">
        <f>Deals_Raw!AM321</f>
        <v>28291.9</v>
      </c>
      <c r="U318">
        <f t="shared" si="37"/>
        <v>0</v>
      </c>
      <c r="V318">
        <f>Deals_Raw!AN321</f>
        <v>28291.9</v>
      </c>
      <c r="W318">
        <f t="shared" si="38"/>
        <v>0</v>
      </c>
      <c r="X318">
        <f>Deals_Raw!AO321</f>
        <v>19166.972340560824</v>
      </c>
      <c r="Y318">
        <f t="shared" si="39"/>
        <v>0</v>
      </c>
      <c r="Z318">
        <f>Deals_Raw!AP321</f>
        <v>0.67747208001445014</v>
      </c>
    </row>
    <row r="319" spans="1:26">
      <c r="A319" t="str">
        <f>Deals_Raw!A322</f>
        <v>D00361</v>
      </c>
      <c r="B319">
        <f>COUNTIF(Deals_Raw!$A$5:$A$643,A319)</f>
        <v>1</v>
      </c>
      <c r="C319" s="12" t="str">
        <f>Deals_Raw!E322</f>
        <v>CT00192</v>
      </c>
      <c r="E319">
        <f>Deals_Raw!AA322</f>
        <v>49116.84240237403</v>
      </c>
      <c r="F319">
        <f>ROUND(Deals_Raw!T322*(1-Deals_Raw!W322),2)</f>
        <v>49130.05</v>
      </c>
      <c r="G319">
        <f t="shared" si="32"/>
        <v>13.207597625972994</v>
      </c>
      <c r="I319">
        <f>Deals_Raw!V322</f>
        <v>0.182</v>
      </c>
      <c r="J319">
        <f>Deals_Raw!W322</f>
        <v>0.16900000000000001</v>
      </c>
      <c r="K319" t="str">
        <f>Deals_Raw!Z322</f>
        <v>Pricing Analyst</v>
      </c>
      <c r="L319" t="str">
        <f t="shared" si="33"/>
        <v>yes</v>
      </c>
      <c r="M319" t="str">
        <f t="shared" si="34"/>
        <v>Pass</v>
      </c>
      <c r="O319">
        <f>Deals_Raw!AP322</f>
        <v>0.63006496933569334</v>
      </c>
      <c r="P319" t="str">
        <f t="shared" si="35"/>
        <v>False</v>
      </c>
      <c r="R319" t="str">
        <f>Deals_Raw!AF322</f>
        <v>Won</v>
      </c>
      <c r="S319">
        <f t="shared" si="36"/>
        <v>49130.05</v>
      </c>
      <c r="T319">
        <f>Deals_Raw!AM322</f>
        <v>49130.05</v>
      </c>
      <c r="U319">
        <f t="shared" si="37"/>
        <v>49130.05</v>
      </c>
      <c r="V319">
        <f>Deals_Raw!AN322</f>
        <v>49130.05</v>
      </c>
      <c r="W319">
        <f t="shared" si="38"/>
        <v>30955.123446711084</v>
      </c>
      <c r="X319">
        <f>Deals_Raw!AO322</f>
        <v>30955.123446711084</v>
      </c>
      <c r="Y319">
        <f t="shared" si="39"/>
        <v>0.63006496933569334</v>
      </c>
      <c r="Z319">
        <f>Deals_Raw!AP322</f>
        <v>0.63006496933569334</v>
      </c>
    </row>
    <row r="320" spans="1:26">
      <c r="A320" t="str">
        <f>Deals_Raw!A323</f>
        <v>D00364</v>
      </c>
      <c r="B320">
        <f>COUNTIF(Deals_Raw!$A$5:$A$643,A320)</f>
        <v>1</v>
      </c>
      <c r="C320" s="12" t="str">
        <f>Deals_Raw!E323</f>
        <v>CT00194</v>
      </c>
      <c r="E320">
        <f>Deals_Raw!AA323</f>
        <v>58607.533131336517</v>
      </c>
      <c r="F320">
        <f>ROUND(Deals_Raw!T323*(1-Deals_Raw!W323),2)</f>
        <v>58591.74</v>
      </c>
      <c r="G320">
        <f t="shared" si="32"/>
        <v>-15.793131336518854</v>
      </c>
      <c r="I320">
        <f>Deals_Raw!V323</f>
        <v>9.8000000000000004E-2</v>
      </c>
      <c r="J320">
        <f>Deals_Raw!W323</f>
        <v>7.5999999999999998E-2</v>
      </c>
      <c r="K320" t="str">
        <f>Deals_Raw!Z323</f>
        <v>Sales Manager</v>
      </c>
      <c r="L320" t="str">
        <f t="shared" si="33"/>
        <v>yes</v>
      </c>
      <c r="M320" t="str">
        <f t="shared" si="34"/>
        <v>Pass</v>
      </c>
      <c r="O320">
        <f>Deals_Raw!AP323</f>
        <v>0.61359963992809741</v>
      </c>
      <c r="P320" t="str">
        <f t="shared" si="35"/>
        <v>False</v>
      </c>
      <c r="R320" t="str">
        <f>Deals_Raw!AF323</f>
        <v>Won</v>
      </c>
      <c r="S320">
        <f t="shared" si="36"/>
        <v>58591.74</v>
      </c>
      <c r="T320">
        <f>Deals_Raw!AM323</f>
        <v>58591.74</v>
      </c>
      <c r="U320">
        <f t="shared" si="37"/>
        <v>58591.74</v>
      </c>
      <c r="V320">
        <f>Deals_Raw!AN323</f>
        <v>58591.74</v>
      </c>
      <c r="W320">
        <f t="shared" si="38"/>
        <v>35951.870566760699</v>
      </c>
      <c r="X320">
        <f>Deals_Raw!AO323</f>
        <v>35951.870566760699</v>
      </c>
      <c r="Y320">
        <f t="shared" si="39"/>
        <v>0.61359963992809741</v>
      </c>
      <c r="Z320">
        <f>Deals_Raw!AP323</f>
        <v>0.61359963992809741</v>
      </c>
    </row>
    <row r="321" spans="1:26">
      <c r="A321" t="str">
        <f>Deals_Raw!A324</f>
        <v>D00365</v>
      </c>
      <c r="B321">
        <f>COUNTIF(Deals_Raw!$A$5:$A$643,A321)</f>
        <v>1</v>
      </c>
      <c r="C321" s="12" t="str">
        <f>Deals_Raw!E324</f>
        <v>CT00194</v>
      </c>
      <c r="E321">
        <f>Deals_Raw!AA324</f>
        <v>50760.426232984151</v>
      </c>
      <c r="F321">
        <f>ROUND(Deals_Raw!T324*(1-Deals_Raw!W324),2)</f>
        <v>50735.09</v>
      </c>
      <c r="G321">
        <f t="shared" si="32"/>
        <v>-25.336232984154776</v>
      </c>
      <c r="I321">
        <f>Deals_Raw!V324</f>
        <v>0.22700000000000001</v>
      </c>
      <c r="J321">
        <f>Deals_Raw!W324</f>
        <v>0.22700000000000001</v>
      </c>
      <c r="K321" t="str">
        <f>Deals_Raw!Z324</f>
        <v>Business Manager</v>
      </c>
      <c r="L321" t="str">
        <f t="shared" si="33"/>
        <v>yes</v>
      </c>
      <c r="M321" t="str">
        <f t="shared" si="34"/>
        <v>Pass</v>
      </c>
      <c r="O321">
        <f>Deals_Raw!AP324</f>
        <v>0.5041211898179897</v>
      </c>
      <c r="P321" t="str">
        <f t="shared" si="35"/>
        <v>False</v>
      </c>
      <c r="R321" t="str">
        <f>Deals_Raw!AF324</f>
        <v>Won</v>
      </c>
      <c r="S321">
        <f t="shared" si="36"/>
        <v>50735.09</v>
      </c>
      <c r="T321">
        <f>Deals_Raw!AM324</f>
        <v>50735.09</v>
      </c>
      <c r="U321">
        <f t="shared" si="37"/>
        <v>50735.09</v>
      </c>
      <c r="V321">
        <f>Deals_Raw!AN324</f>
        <v>50735.09</v>
      </c>
      <c r="W321">
        <f t="shared" si="38"/>
        <v>25576.633936322789</v>
      </c>
      <c r="X321">
        <f>Deals_Raw!AO324</f>
        <v>25576.633936322789</v>
      </c>
      <c r="Y321">
        <f t="shared" si="39"/>
        <v>0.5041211898179897</v>
      </c>
      <c r="Z321">
        <f>Deals_Raw!AP324</f>
        <v>0.5041211898179897</v>
      </c>
    </row>
    <row r="322" spans="1:26">
      <c r="A322" t="str">
        <f>Deals_Raw!A325</f>
        <v>D00366</v>
      </c>
      <c r="B322">
        <f>COUNTIF(Deals_Raw!$A$5:$A$643,A322)</f>
        <v>1</v>
      </c>
      <c r="C322" s="12" t="str">
        <f>Deals_Raw!E325</f>
        <v>CT00194</v>
      </c>
      <c r="E322">
        <f>Deals_Raw!AA325</f>
        <v>62980.286846445539</v>
      </c>
      <c r="F322">
        <f>ROUND(Deals_Raw!T325*(1-Deals_Raw!W325),2)</f>
        <v>62954.36</v>
      </c>
      <c r="G322">
        <f t="shared" si="32"/>
        <v>-25.926846445538104</v>
      </c>
      <c r="I322">
        <f>Deals_Raw!V325</f>
        <v>8.2000000000000003E-2</v>
      </c>
      <c r="J322">
        <f>Deals_Raw!W325</f>
        <v>7.2999999999999995E-2</v>
      </c>
      <c r="K322" t="str">
        <f>Deals_Raw!Z325</f>
        <v>Sales Manager</v>
      </c>
      <c r="L322" t="str">
        <f t="shared" si="33"/>
        <v>yes</v>
      </c>
      <c r="M322" t="str">
        <f t="shared" si="34"/>
        <v>Pass</v>
      </c>
      <c r="O322">
        <f>Deals_Raw!AP325</f>
        <v>0.59619533986333961</v>
      </c>
      <c r="P322" t="str">
        <f t="shared" si="35"/>
        <v>False</v>
      </c>
      <c r="R322" t="str">
        <f>Deals_Raw!AF325</f>
        <v>Won</v>
      </c>
      <c r="S322">
        <f t="shared" si="36"/>
        <v>62954.36</v>
      </c>
      <c r="T322">
        <f>Deals_Raw!AM325</f>
        <v>62954.36</v>
      </c>
      <c r="U322">
        <f t="shared" si="37"/>
        <v>62954.36</v>
      </c>
      <c r="V322">
        <f>Deals_Raw!AN325</f>
        <v>62954.36</v>
      </c>
      <c r="W322">
        <f t="shared" si="38"/>
        <v>37533.096056079034</v>
      </c>
      <c r="X322">
        <f>Deals_Raw!AO325</f>
        <v>37533.096056079034</v>
      </c>
      <c r="Y322">
        <f t="shared" si="39"/>
        <v>0.59619533986333961</v>
      </c>
      <c r="Z322">
        <f>Deals_Raw!AP325</f>
        <v>0.59619533986333961</v>
      </c>
    </row>
    <row r="323" spans="1:26">
      <c r="A323" t="str">
        <f>Deals_Raw!A326</f>
        <v>D00367</v>
      </c>
      <c r="B323">
        <f>COUNTIF(Deals_Raw!$A$5:$A$643,A323)</f>
        <v>1</v>
      </c>
      <c r="C323" s="12" t="str">
        <f>Deals_Raw!E326</f>
        <v>CT00195</v>
      </c>
      <c r="E323">
        <f>Deals_Raw!AA326</f>
        <v>91654.13070180513</v>
      </c>
      <c r="F323">
        <f>ROUND(Deals_Raw!T326*(1-Deals_Raw!W326),2)</f>
        <v>91628.86</v>
      </c>
      <c r="G323">
        <f t="shared" ref="G323:G386" si="40">F323-E323</f>
        <v>-25.270701805129647</v>
      </c>
      <c r="I323">
        <f>Deals_Raw!V326</f>
        <v>0.1</v>
      </c>
      <c r="J323">
        <f>Deals_Raw!W326</f>
        <v>8.2000000000000003E-2</v>
      </c>
      <c r="K323" t="str">
        <f>Deals_Raw!Z326</f>
        <v>Sales Manager</v>
      </c>
      <c r="L323" t="str">
        <f t="shared" ref="L323:L386" si="41">IF(J323&lt;=I323, "yes", "no")</f>
        <v>yes</v>
      </c>
      <c r="M323" t="str">
        <f t="shared" ref="M323:M386" si="42">IF(AND(J323&lt;=0.1,K323="Sales Manager"),"Pass",
 IF(AND(J323&gt;0.1,J323&lt;=0.2,K323="Pricing Analyst"),"Pass",
 IF(AND(J323&gt;0.2,K323="Business Manager"),"Pass","Review")))</f>
        <v>Pass</v>
      </c>
      <c r="O323">
        <f>Deals_Raw!AP326</f>
        <v>0.66771469435990183</v>
      </c>
      <c r="P323" t="str">
        <f t="shared" ref="P323:P386" si="43">IF(O323&lt;=0.45, "True", "False")</f>
        <v>False</v>
      </c>
      <c r="R323" t="str">
        <f>Deals_Raw!AF326</f>
        <v>Won</v>
      </c>
      <c r="S323">
        <f t="shared" ref="S323:S386" si="44">IF($R323="Lost",0,T323)</f>
        <v>91628.86</v>
      </c>
      <c r="T323">
        <f>Deals_Raw!AM326</f>
        <v>91628.86</v>
      </c>
      <c r="U323">
        <f t="shared" ref="U323:U386" si="45">IF($R323="Lost",0,V323)</f>
        <v>183257.72</v>
      </c>
      <c r="V323">
        <f>Deals_Raw!AN326</f>
        <v>183257.72</v>
      </c>
      <c r="W323">
        <f t="shared" ref="W323:W386" si="46">IF($R323="Lost",0,X323)</f>
        <v>61181.936249446233</v>
      </c>
      <c r="X323">
        <f>Deals_Raw!AO326</f>
        <v>61181.936249446233</v>
      </c>
      <c r="Y323">
        <f t="shared" ref="Y323:Y386" si="47">IF($R323="Lost",0,Z323)</f>
        <v>0.66771469435990183</v>
      </c>
      <c r="Z323">
        <f>Deals_Raw!AP326</f>
        <v>0.66771469435990183</v>
      </c>
    </row>
    <row r="324" spans="1:26">
      <c r="A324" t="str">
        <f>Deals_Raw!A327</f>
        <v>D00368</v>
      </c>
      <c r="B324">
        <f>COUNTIF(Deals_Raw!$A$5:$A$643,A324)</f>
        <v>1</v>
      </c>
      <c r="C324" s="12" t="str">
        <f>Deals_Raw!E327</f>
        <v>CT00196</v>
      </c>
      <c r="E324">
        <f>Deals_Raw!AA327</f>
        <v>127705.30928937663</v>
      </c>
      <c r="F324">
        <f>ROUND(Deals_Raw!T327*(1-Deals_Raw!W327),2)</f>
        <v>127643.3</v>
      </c>
      <c r="G324">
        <f t="shared" si="40"/>
        <v>-62.009289376626839</v>
      </c>
      <c r="I324">
        <f>Deals_Raw!V327</f>
        <v>8.3000000000000004E-2</v>
      </c>
      <c r="J324">
        <f>Deals_Raw!W327</f>
        <v>6.6000000000000003E-2</v>
      </c>
      <c r="K324" t="str">
        <f>Deals_Raw!Z327</f>
        <v>Sales Manager</v>
      </c>
      <c r="L324" t="str">
        <f t="shared" si="41"/>
        <v>yes</v>
      </c>
      <c r="M324" t="str">
        <f t="shared" si="42"/>
        <v>Pass</v>
      </c>
      <c r="O324">
        <f>Deals_Raw!AP327</f>
        <v>0.67281873219716248</v>
      </c>
      <c r="P324" t="str">
        <f t="shared" si="43"/>
        <v>False</v>
      </c>
      <c r="R324" t="str">
        <f>Deals_Raw!AF327</f>
        <v>Won</v>
      </c>
      <c r="S324">
        <f t="shared" si="44"/>
        <v>127643.3</v>
      </c>
      <c r="T324">
        <f>Deals_Raw!AM327</f>
        <v>127643.3</v>
      </c>
      <c r="U324">
        <f t="shared" si="45"/>
        <v>127643.3</v>
      </c>
      <c r="V324">
        <f>Deals_Raw!AN327</f>
        <v>127643.3</v>
      </c>
      <c r="W324">
        <f t="shared" si="46"/>
        <v>85880.803279462067</v>
      </c>
      <c r="X324">
        <f>Deals_Raw!AO327</f>
        <v>85880.803279462067</v>
      </c>
      <c r="Y324">
        <f t="shared" si="47"/>
        <v>0.67281873219716248</v>
      </c>
      <c r="Z324">
        <f>Deals_Raw!AP327</f>
        <v>0.67281873219716248</v>
      </c>
    </row>
    <row r="325" spans="1:26">
      <c r="A325" t="str">
        <f>Deals_Raw!A328</f>
        <v>D00369</v>
      </c>
      <c r="B325">
        <f>COUNTIF(Deals_Raw!$A$5:$A$643,A325)</f>
        <v>1</v>
      </c>
      <c r="C325" s="12" t="str">
        <f>Deals_Raw!E328</f>
        <v>CT00196</v>
      </c>
      <c r="E325">
        <f>Deals_Raw!AA328</f>
        <v>125690.35439912163</v>
      </c>
      <c r="F325">
        <f>ROUND(Deals_Raw!T328*(1-Deals_Raw!W328),2)</f>
        <v>125662.09</v>
      </c>
      <c r="G325">
        <f t="shared" si="40"/>
        <v>-28.264399121631868</v>
      </c>
      <c r="I325">
        <f>Deals_Raw!V328</f>
        <v>0.14599999999999999</v>
      </c>
      <c r="J325">
        <f>Deals_Raw!W328</f>
        <v>0.115</v>
      </c>
      <c r="K325" t="str">
        <f>Deals_Raw!Z328</f>
        <v>Pricing Analyst</v>
      </c>
      <c r="L325" t="str">
        <f t="shared" si="41"/>
        <v>yes</v>
      </c>
      <c r="M325" t="str">
        <f t="shared" si="42"/>
        <v>Pass</v>
      </c>
      <c r="O325">
        <f>Deals_Raw!AP328</f>
        <v>0.64879956048209342</v>
      </c>
      <c r="P325" t="str">
        <f t="shared" si="43"/>
        <v>False</v>
      </c>
      <c r="R325" t="str">
        <f>Deals_Raw!AF328</f>
        <v>Won</v>
      </c>
      <c r="S325">
        <f t="shared" si="44"/>
        <v>125662.09</v>
      </c>
      <c r="T325">
        <f>Deals_Raw!AM328</f>
        <v>125662.09</v>
      </c>
      <c r="U325">
        <f t="shared" si="45"/>
        <v>125662.09</v>
      </c>
      <c r="V325">
        <f>Deals_Raw!AN328</f>
        <v>125662.09</v>
      </c>
      <c r="W325">
        <f t="shared" si="46"/>
        <v>81529.50876126127</v>
      </c>
      <c r="X325">
        <f>Deals_Raw!AO328</f>
        <v>81529.50876126127</v>
      </c>
      <c r="Y325">
        <f t="shared" si="47"/>
        <v>0.64879956048209342</v>
      </c>
      <c r="Z325">
        <f>Deals_Raw!AP328</f>
        <v>0.64879956048209342</v>
      </c>
    </row>
    <row r="326" spans="1:26">
      <c r="A326" t="str">
        <f>Deals_Raw!A329</f>
        <v>D00370</v>
      </c>
      <c r="B326">
        <f>COUNTIF(Deals_Raw!$A$5:$A$643,A326)</f>
        <v>1</v>
      </c>
      <c r="C326" s="12" t="str">
        <f>Deals_Raw!E329</f>
        <v>CT00196</v>
      </c>
      <c r="E326">
        <f>Deals_Raw!AA329</f>
        <v>136626.57297209534</v>
      </c>
      <c r="F326">
        <f>ROUND(Deals_Raw!T329*(1-Deals_Raw!W329),2)</f>
        <v>136609.94</v>
      </c>
      <c r="G326">
        <f t="shared" si="40"/>
        <v>-16.632972095336299</v>
      </c>
      <c r="I326">
        <f>Deals_Raw!V329</f>
        <v>0.13</v>
      </c>
      <c r="J326">
        <f>Deals_Raw!W329</f>
        <v>0.1</v>
      </c>
      <c r="K326" t="str">
        <f>Deals_Raw!Z329</f>
        <v>Sales Manager</v>
      </c>
      <c r="L326" t="str">
        <f t="shared" si="41"/>
        <v>yes</v>
      </c>
      <c r="M326" t="str">
        <f t="shared" si="42"/>
        <v>Pass</v>
      </c>
      <c r="O326">
        <f>Deals_Raw!AP329</f>
        <v>0.65966589637572726</v>
      </c>
      <c r="P326" t="str">
        <f t="shared" si="43"/>
        <v>False</v>
      </c>
      <c r="R326" t="str">
        <f>Deals_Raw!AF329</f>
        <v>Won</v>
      </c>
      <c r="S326">
        <f t="shared" si="44"/>
        <v>136609.94</v>
      </c>
      <c r="T326">
        <f>Deals_Raw!AM329</f>
        <v>136609.94</v>
      </c>
      <c r="U326">
        <f t="shared" si="45"/>
        <v>136609.94</v>
      </c>
      <c r="V326">
        <f>Deals_Raw!AN329</f>
        <v>136609.94</v>
      </c>
      <c r="W326">
        <f t="shared" si="46"/>
        <v>90116.918523934321</v>
      </c>
      <c r="X326">
        <f>Deals_Raw!AO329</f>
        <v>90116.918523934321</v>
      </c>
      <c r="Y326">
        <f t="shared" si="47"/>
        <v>0.65966589637572726</v>
      </c>
      <c r="Z326">
        <f>Deals_Raw!AP329</f>
        <v>0.65966589637572726</v>
      </c>
    </row>
    <row r="327" spans="1:26">
      <c r="A327" t="str">
        <f>Deals_Raw!A330</f>
        <v>D00374</v>
      </c>
      <c r="B327">
        <f>COUNTIF(Deals_Raw!$A$5:$A$643,A327)</f>
        <v>1</v>
      </c>
      <c r="C327" s="12" t="str">
        <f>Deals_Raw!E330</f>
        <v>CT00197</v>
      </c>
      <c r="E327">
        <f>Deals_Raw!AA330</f>
        <v>252185.586490246</v>
      </c>
      <c r="F327">
        <f>ROUND(Deals_Raw!T330*(1-Deals_Raw!W330),2)</f>
        <v>252163.21</v>
      </c>
      <c r="G327">
        <f t="shared" si="40"/>
        <v>-22.37649024600978</v>
      </c>
      <c r="I327">
        <f>Deals_Raw!V330</f>
        <v>0.16900000000000001</v>
      </c>
      <c r="J327">
        <f>Deals_Raw!W330</f>
        <v>0.14000000000000001</v>
      </c>
      <c r="K327" t="str">
        <f>Deals_Raw!Z330</f>
        <v>Pricing Analyst</v>
      </c>
      <c r="L327" t="str">
        <f t="shared" si="41"/>
        <v>yes</v>
      </c>
      <c r="M327" t="str">
        <f t="shared" si="42"/>
        <v>Pass</v>
      </c>
      <c r="O327">
        <f>Deals_Raw!AP330</f>
        <v>0.56917876969304859</v>
      </c>
      <c r="P327" t="str">
        <f t="shared" si="43"/>
        <v>False</v>
      </c>
      <c r="R327" t="str">
        <f>Deals_Raw!AF330</f>
        <v>Won</v>
      </c>
      <c r="S327">
        <f t="shared" si="44"/>
        <v>252163.21</v>
      </c>
      <c r="T327">
        <f>Deals_Raw!AM330</f>
        <v>252163.21</v>
      </c>
      <c r="U327">
        <f t="shared" si="45"/>
        <v>252163.21</v>
      </c>
      <c r="V327">
        <f>Deals_Raw!AN330</f>
        <v>252163.21</v>
      </c>
      <c r="W327">
        <f t="shared" si="46"/>
        <v>143525.94562964985</v>
      </c>
      <c r="X327">
        <f>Deals_Raw!AO330</f>
        <v>143525.94562964985</v>
      </c>
      <c r="Y327">
        <f t="shared" si="47"/>
        <v>0.56917876969304859</v>
      </c>
      <c r="Z327">
        <f>Deals_Raw!AP330</f>
        <v>0.56917876969304859</v>
      </c>
    </row>
    <row r="328" spans="1:26">
      <c r="A328" t="str">
        <f>Deals_Raw!A331</f>
        <v>D00375</v>
      </c>
      <c r="B328">
        <f>COUNTIF(Deals_Raw!$A$5:$A$643,A328)</f>
        <v>1</v>
      </c>
      <c r="C328" s="12" t="str">
        <f>Deals_Raw!E331</f>
        <v>CT00197</v>
      </c>
      <c r="E328">
        <f>Deals_Raw!AA331</f>
        <v>263422.09663734323</v>
      </c>
      <c r="F328">
        <f>ROUND(Deals_Raw!T331*(1-Deals_Raw!W331),2)</f>
        <v>263351.69</v>
      </c>
      <c r="G328">
        <f t="shared" si="40"/>
        <v>-70.406637343228795</v>
      </c>
      <c r="I328">
        <f>Deals_Raw!V331</f>
        <v>0.184</v>
      </c>
      <c r="J328">
        <f>Deals_Raw!W331</f>
        <v>0.16200000000000001</v>
      </c>
      <c r="K328" t="str">
        <f>Deals_Raw!Z331</f>
        <v>Pricing Analyst</v>
      </c>
      <c r="L328" t="str">
        <f t="shared" si="41"/>
        <v>yes</v>
      </c>
      <c r="M328" t="str">
        <f t="shared" si="42"/>
        <v>Pass</v>
      </c>
      <c r="O328">
        <f>Deals_Raw!AP331</f>
        <v>0.55517118510414754</v>
      </c>
      <c r="P328" t="str">
        <f t="shared" si="43"/>
        <v>False</v>
      </c>
      <c r="R328" t="str">
        <f>Deals_Raw!AF331</f>
        <v>Won</v>
      </c>
      <c r="S328">
        <f t="shared" si="44"/>
        <v>263351.69</v>
      </c>
      <c r="T328">
        <f>Deals_Raw!AM331</f>
        <v>263351.69</v>
      </c>
      <c r="U328">
        <f t="shared" si="45"/>
        <v>263351.69</v>
      </c>
      <c r="V328">
        <f>Deals_Raw!AN331</f>
        <v>263351.69</v>
      </c>
      <c r="W328">
        <f t="shared" si="46"/>
        <v>146205.26983648009</v>
      </c>
      <c r="X328">
        <f>Deals_Raw!AO331</f>
        <v>146205.26983648009</v>
      </c>
      <c r="Y328">
        <f t="shared" si="47"/>
        <v>0.55517118510414754</v>
      </c>
      <c r="Z328">
        <f>Deals_Raw!AP331</f>
        <v>0.55517118510414754</v>
      </c>
    </row>
    <row r="329" spans="1:26">
      <c r="A329" t="str">
        <f>Deals_Raw!A332</f>
        <v>D00376</v>
      </c>
      <c r="B329">
        <f>COUNTIF(Deals_Raw!$A$5:$A$643,A329)</f>
        <v>1</v>
      </c>
      <c r="C329" s="12" t="str">
        <f>Deals_Raw!E332</f>
        <v>CT00197</v>
      </c>
      <c r="E329">
        <f>Deals_Raw!AA332</f>
        <v>306209.35830869171</v>
      </c>
      <c r="F329">
        <f>ROUND(Deals_Raw!T332*(1-Deals_Raw!W332),2)</f>
        <v>306151.2</v>
      </c>
      <c r="G329">
        <f t="shared" si="40"/>
        <v>-58.158308691694401</v>
      </c>
      <c r="I329">
        <f>Deals_Raw!V332</f>
        <v>0.14499999999999999</v>
      </c>
      <c r="J329">
        <f>Deals_Raw!W332</f>
        <v>9.4E-2</v>
      </c>
      <c r="K329" t="str">
        <f>Deals_Raw!Z332</f>
        <v>Sales Manager</v>
      </c>
      <c r="L329" t="str">
        <f t="shared" si="41"/>
        <v>yes</v>
      </c>
      <c r="M329" t="str">
        <f t="shared" si="42"/>
        <v>Pass</v>
      </c>
      <c r="O329">
        <f>Deals_Raw!AP332</f>
        <v>0.65189789720916347</v>
      </c>
      <c r="P329" t="str">
        <f t="shared" si="43"/>
        <v>False</v>
      </c>
      <c r="R329" t="str">
        <f>Deals_Raw!AF332</f>
        <v>Won</v>
      </c>
      <c r="S329">
        <f t="shared" si="44"/>
        <v>306151.2</v>
      </c>
      <c r="T329">
        <f>Deals_Raw!AM332</f>
        <v>306151.2</v>
      </c>
      <c r="U329">
        <f t="shared" si="45"/>
        <v>306151.2</v>
      </c>
      <c r="V329">
        <f>Deals_Raw!AN332</f>
        <v>306151.2</v>
      </c>
      <c r="W329">
        <f t="shared" si="46"/>
        <v>199579.32350806205</v>
      </c>
      <c r="X329">
        <f>Deals_Raw!AO332</f>
        <v>199579.32350806205</v>
      </c>
      <c r="Y329">
        <f t="shared" si="47"/>
        <v>0.65189789720916347</v>
      </c>
      <c r="Z329">
        <f>Deals_Raw!AP332</f>
        <v>0.65189789720916347</v>
      </c>
    </row>
    <row r="330" spans="1:26">
      <c r="A330" t="str">
        <f>Deals_Raw!A333</f>
        <v>D00378</v>
      </c>
      <c r="B330">
        <f>COUNTIF(Deals_Raw!$A$5:$A$643,A330)</f>
        <v>1</v>
      </c>
      <c r="C330" s="12" t="str">
        <f>Deals_Raw!E333</f>
        <v>CT00198</v>
      </c>
      <c r="E330">
        <f>Deals_Raw!AA333</f>
        <v>917918.35162756324</v>
      </c>
      <c r="F330">
        <f>ROUND(Deals_Raw!T333*(1-Deals_Raw!W333),2)</f>
        <v>917654.02</v>
      </c>
      <c r="G330">
        <f t="shared" si="40"/>
        <v>-264.33162756322417</v>
      </c>
      <c r="I330">
        <f>Deals_Raw!V333</f>
        <v>8.1000000000000003E-2</v>
      </c>
      <c r="J330">
        <f>Deals_Raw!W333</f>
        <v>5.1999999999999998E-2</v>
      </c>
      <c r="K330" t="str">
        <f>Deals_Raw!Z333</f>
        <v>Sales Manager</v>
      </c>
      <c r="L330" t="str">
        <f t="shared" si="41"/>
        <v>yes</v>
      </c>
      <c r="M330" t="str">
        <f t="shared" si="42"/>
        <v>Pass</v>
      </c>
      <c r="O330">
        <f>Deals_Raw!AP333</f>
        <v>0.62688623649773356</v>
      </c>
      <c r="P330" t="str">
        <f t="shared" si="43"/>
        <v>False</v>
      </c>
      <c r="R330" t="str">
        <f>Deals_Raw!AF333</f>
        <v>Lost</v>
      </c>
      <c r="S330">
        <f t="shared" si="44"/>
        <v>0</v>
      </c>
      <c r="T330">
        <f>Deals_Raw!AM333</f>
        <v>917654.02</v>
      </c>
      <c r="U330">
        <f t="shared" si="45"/>
        <v>0</v>
      </c>
      <c r="V330">
        <f>Deals_Raw!AN333</f>
        <v>917654.02</v>
      </c>
      <c r="W330">
        <f t="shared" si="46"/>
        <v>0</v>
      </c>
      <c r="X330">
        <f>Deals_Raw!AO333</f>
        <v>575264.67500481592</v>
      </c>
      <c r="Y330">
        <f t="shared" si="47"/>
        <v>0</v>
      </c>
      <c r="Z330">
        <f>Deals_Raw!AP333</f>
        <v>0.62688623649773356</v>
      </c>
    </row>
    <row r="331" spans="1:26">
      <c r="A331" t="str">
        <f>Deals_Raw!A334</f>
        <v>D00379</v>
      </c>
      <c r="B331">
        <f>COUNTIF(Deals_Raw!$A$5:$A$643,A331)</f>
        <v>1</v>
      </c>
      <c r="C331" s="12" t="str">
        <f>Deals_Raw!E334</f>
        <v>CT00198</v>
      </c>
      <c r="E331">
        <f>Deals_Raw!AA334</f>
        <v>759506.89635424747</v>
      </c>
      <c r="F331">
        <f>ROUND(Deals_Raw!T334*(1-Deals_Raw!W334),2)</f>
        <v>759871.74</v>
      </c>
      <c r="G331">
        <f t="shared" si="40"/>
        <v>364.84364575252403</v>
      </c>
      <c r="I331">
        <f>Deals_Raw!V334</f>
        <v>0.22600000000000001</v>
      </c>
      <c r="J331">
        <f>Deals_Raw!W334</f>
        <v>0.215</v>
      </c>
      <c r="K331" t="str">
        <f>Deals_Raw!Z334</f>
        <v>Business Manager</v>
      </c>
      <c r="L331" t="str">
        <f t="shared" si="41"/>
        <v>yes</v>
      </c>
      <c r="M331" t="str">
        <f t="shared" si="42"/>
        <v>Pass</v>
      </c>
      <c r="O331">
        <f>Deals_Raw!AP334</f>
        <v>0.57190544767525997</v>
      </c>
      <c r="P331" t="str">
        <f t="shared" si="43"/>
        <v>False</v>
      </c>
      <c r="R331" t="str">
        <f>Deals_Raw!AF334</f>
        <v>Won</v>
      </c>
      <c r="S331">
        <f t="shared" si="44"/>
        <v>759871.74</v>
      </c>
      <c r="T331">
        <f>Deals_Raw!AM334</f>
        <v>759871.74</v>
      </c>
      <c r="U331">
        <f t="shared" si="45"/>
        <v>759871.74</v>
      </c>
      <c r="V331">
        <f>Deals_Raw!AN334</f>
        <v>759871.74</v>
      </c>
      <c r="W331">
        <f t="shared" si="46"/>
        <v>434574.78764047875</v>
      </c>
      <c r="X331">
        <f>Deals_Raw!AO334</f>
        <v>434574.78764047875</v>
      </c>
      <c r="Y331">
        <f t="shared" si="47"/>
        <v>0.57190544767525997</v>
      </c>
      <c r="Z331">
        <f>Deals_Raw!AP334</f>
        <v>0.57190544767525997</v>
      </c>
    </row>
    <row r="332" spans="1:26">
      <c r="A332" t="str">
        <f>Deals_Raw!A335</f>
        <v>D00381</v>
      </c>
      <c r="B332">
        <f>COUNTIF(Deals_Raw!$A$5:$A$643,A332)</f>
        <v>1</v>
      </c>
      <c r="C332" s="12" t="str">
        <f>Deals_Raw!E335</f>
        <v>CT00199</v>
      </c>
      <c r="E332">
        <f>Deals_Raw!AA335</f>
        <v>119595.15307153121</v>
      </c>
      <c r="F332">
        <f>ROUND(Deals_Raw!T335*(1-Deals_Raw!W335),2)</f>
        <v>119607.39</v>
      </c>
      <c r="G332">
        <f t="shared" si="40"/>
        <v>12.236928468788392</v>
      </c>
      <c r="I332">
        <f>Deals_Raw!V335</f>
        <v>0.106</v>
      </c>
      <c r="J332">
        <f>Deals_Raw!W335</f>
        <v>9.7000000000000003E-2</v>
      </c>
      <c r="K332" t="str">
        <f>Deals_Raw!Z335</f>
        <v>Sales Manager</v>
      </c>
      <c r="L332" t="str">
        <f t="shared" si="41"/>
        <v>yes</v>
      </c>
      <c r="M332" t="str">
        <f t="shared" si="42"/>
        <v>Pass</v>
      </c>
      <c r="O332">
        <f>Deals_Raw!AP335</f>
        <v>0.65323875498497452</v>
      </c>
      <c r="P332" t="str">
        <f t="shared" si="43"/>
        <v>False</v>
      </c>
      <c r="R332" t="str">
        <f>Deals_Raw!AF335</f>
        <v>Won</v>
      </c>
      <c r="S332">
        <f t="shared" si="44"/>
        <v>119607.39</v>
      </c>
      <c r="T332">
        <f>Deals_Raw!AM335</f>
        <v>119607.39</v>
      </c>
      <c r="U332">
        <f t="shared" si="45"/>
        <v>119607.39</v>
      </c>
      <c r="V332">
        <f>Deals_Raw!AN335</f>
        <v>119607.39</v>
      </c>
      <c r="W332">
        <f t="shared" si="46"/>
        <v>78132.182530602295</v>
      </c>
      <c r="X332">
        <f>Deals_Raw!AO335</f>
        <v>78132.182530602295</v>
      </c>
      <c r="Y332">
        <f t="shared" si="47"/>
        <v>0.65323875498497452</v>
      </c>
      <c r="Z332">
        <f>Deals_Raw!AP335</f>
        <v>0.65323875498497452</v>
      </c>
    </row>
    <row r="333" spans="1:26">
      <c r="A333" t="str">
        <f>Deals_Raw!A336</f>
        <v>D00382</v>
      </c>
      <c r="B333">
        <f>COUNTIF(Deals_Raw!$A$5:$A$643,A333)</f>
        <v>1</v>
      </c>
      <c r="C333" s="12" t="str">
        <f>Deals_Raw!E336</f>
        <v>CT00199</v>
      </c>
      <c r="E333">
        <f>Deals_Raw!AA336</f>
        <v>144084.39005356372</v>
      </c>
      <c r="F333">
        <f>ROUND(Deals_Raw!T336*(1-Deals_Raw!W336),2)</f>
        <v>144133.68</v>
      </c>
      <c r="G333">
        <f t="shared" si="40"/>
        <v>49.289946436270839</v>
      </c>
      <c r="I333">
        <f>Deals_Raw!V336</f>
        <v>0.126</v>
      </c>
      <c r="J333">
        <f>Deals_Raw!W336</f>
        <v>0.11899999999999999</v>
      </c>
      <c r="K333" t="str">
        <f>Deals_Raw!Z336</f>
        <v>Pricing Analyst</v>
      </c>
      <c r="L333" t="str">
        <f t="shared" si="41"/>
        <v>yes</v>
      </c>
      <c r="M333" t="str">
        <f t="shared" si="42"/>
        <v>Pass</v>
      </c>
      <c r="O333">
        <f>Deals_Raw!AP336</f>
        <v>0.67739083649226783</v>
      </c>
      <c r="P333" t="str">
        <f t="shared" si="43"/>
        <v>False</v>
      </c>
      <c r="R333" t="str">
        <f>Deals_Raw!AF336</f>
        <v>Won</v>
      </c>
      <c r="S333">
        <f t="shared" si="44"/>
        <v>144133.68</v>
      </c>
      <c r="T333">
        <f>Deals_Raw!AM336</f>
        <v>144133.68</v>
      </c>
      <c r="U333">
        <f t="shared" si="45"/>
        <v>144133.68</v>
      </c>
      <c r="V333">
        <f>Deals_Raw!AN336</f>
        <v>144133.68</v>
      </c>
      <c r="W333">
        <f t="shared" si="46"/>
        <v>97634.834061908856</v>
      </c>
      <c r="X333">
        <f>Deals_Raw!AO336</f>
        <v>97634.834061908856</v>
      </c>
      <c r="Y333">
        <f t="shared" si="47"/>
        <v>0.67739083649226783</v>
      </c>
      <c r="Z333">
        <f>Deals_Raw!AP336</f>
        <v>0.67739083649226783</v>
      </c>
    </row>
    <row r="334" spans="1:26">
      <c r="A334" t="str">
        <f>Deals_Raw!A337</f>
        <v>D00383</v>
      </c>
      <c r="B334">
        <f>COUNTIF(Deals_Raw!$A$5:$A$643,A334)</f>
        <v>1</v>
      </c>
      <c r="C334" s="12" t="str">
        <f>Deals_Raw!E337</f>
        <v>CT00199</v>
      </c>
      <c r="E334">
        <f>Deals_Raw!AA337</f>
        <v>144729.78791277105</v>
      </c>
      <c r="F334">
        <f>ROUND(Deals_Raw!T337*(1-Deals_Raw!W337),2)</f>
        <v>144688.49</v>
      </c>
      <c r="G334">
        <f t="shared" si="40"/>
        <v>-41.297912771056872</v>
      </c>
      <c r="I334">
        <f>Deals_Raw!V337</f>
        <v>0.16800000000000001</v>
      </c>
      <c r="J334">
        <f>Deals_Raw!W337</f>
        <v>0.15</v>
      </c>
      <c r="K334" t="str">
        <f>Deals_Raw!Z337</f>
        <v>Pricing Analyst</v>
      </c>
      <c r="L334" t="str">
        <f t="shared" si="41"/>
        <v>yes</v>
      </c>
      <c r="M334" t="str">
        <f t="shared" si="42"/>
        <v>Pass</v>
      </c>
      <c r="O334">
        <f>Deals_Raw!AP337</f>
        <v>0.65689417432598785</v>
      </c>
      <c r="P334" t="str">
        <f t="shared" si="43"/>
        <v>False</v>
      </c>
      <c r="R334" t="str">
        <f>Deals_Raw!AF337</f>
        <v>Won</v>
      </c>
      <c r="S334">
        <f t="shared" si="44"/>
        <v>144688.49</v>
      </c>
      <c r="T334">
        <f>Deals_Raw!AM337</f>
        <v>144688.49</v>
      </c>
      <c r="U334">
        <f t="shared" si="45"/>
        <v>144688.49</v>
      </c>
      <c r="V334">
        <f>Deals_Raw!AN337</f>
        <v>144688.49</v>
      </c>
      <c r="W334">
        <f t="shared" si="46"/>
        <v>95045.026173023944</v>
      </c>
      <c r="X334">
        <f>Deals_Raw!AO337</f>
        <v>95045.026173023944</v>
      </c>
      <c r="Y334">
        <f t="shared" si="47"/>
        <v>0.65689417432598785</v>
      </c>
      <c r="Z334">
        <f>Deals_Raw!AP337</f>
        <v>0.65689417432598785</v>
      </c>
    </row>
    <row r="335" spans="1:26">
      <c r="A335" t="str">
        <f>Deals_Raw!A338</f>
        <v>D00384</v>
      </c>
      <c r="B335">
        <f>COUNTIF(Deals_Raw!$A$5:$A$643,A335)</f>
        <v>1</v>
      </c>
      <c r="C335" s="12" t="str">
        <f>Deals_Raw!E338</f>
        <v>CT00200</v>
      </c>
      <c r="E335">
        <f>Deals_Raw!AA338</f>
        <v>293043.55072094279</v>
      </c>
      <c r="F335">
        <f>ROUND(Deals_Raw!T338*(1-Deals_Raw!W338),2)</f>
        <v>293095.34000000003</v>
      </c>
      <c r="G335">
        <f t="shared" si="40"/>
        <v>51.789279057236854</v>
      </c>
      <c r="I335">
        <f>Deals_Raw!V338</f>
        <v>0.09</v>
      </c>
      <c r="J335">
        <f>Deals_Raw!W338</f>
        <v>0.06</v>
      </c>
      <c r="K335" t="str">
        <f>Deals_Raw!Z338</f>
        <v>Sales Manager</v>
      </c>
      <c r="L335" t="str">
        <f t="shared" si="41"/>
        <v>yes</v>
      </c>
      <c r="M335" t="str">
        <f t="shared" si="42"/>
        <v>Pass</v>
      </c>
      <c r="O335">
        <f>Deals_Raw!AP338</f>
        <v>0.64826765843560286</v>
      </c>
      <c r="P335" t="str">
        <f t="shared" si="43"/>
        <v>False</v>
      </c>
      <c r="R335" t="str">
        <f>Deals_Raw!AF338</f>
        <v>Won</v>
      </c>
      <c r="S335">
        <f t="shared" si="44"/>
        <v>293095.34000000003</v>
      </c>
      <c r="T335">
        <f>Deals_Raw!AM338</f>
        <v>293095.34000000003</v>
      </c>
      <c r="U335">
        <f t="shared" si="45"/>
        <v>879286.02</v>
      </c>
      <c r="V335">
        <f>Deals_Raw!AN338</f>
        <v>879286.02</v>
      </c>
      <c r="W335">
        <f t="shared" si="46"/>
        <v>190004.22976018689</v>
      </c>
      <c r="X335">
        <f>Deals_Raw!AO338</f>
        <v>190004.22976018689</v>
      </c>
      <c r="Y335">
        <f t="shared" si="47"/>
        <v>0.64826765843560286</v>
      </c>
      <c r="Z335">
        <f>Deals_Raw!AP338</f>
        <v>0.64826765843560286</v>
      </c>
    </row>
    <row r="336" spans="1:26">
      <c r="A336" t="str">
        <f>Deals_Raw!A339</f>
        <v>D00385</v>
      </c>
      <c r="B336">
        <f>COUNTIF(Deals_Raw!$A$5:$A$643,A336)</f>
        <v>1</v>
      </c>
      <c r="C336" s="12" t="str">
        <f>Deals_Raw!E339</f>
        <v>CT00200</v>
      </c>
      <c r="E336">
        <f>Deals_Raw!AA339</f>
        <v>312020.80747197871</v>
      </c>
      <c r="F336">
        <f>ROUND(Deals_Raw!T339*(1-Deals_Raw!W339),2)</f>
        <v>312124.09000000003</v>
      </c>
      <c r="G336">
        <f t="shared" si="40"/>
        <v>103.28252802131465</v>
      </c>
      <c r="I336">
        <f>Deals_Raw!V339</f>
        <v>0.124</v>
      </c>
      <c r="J336">
        <f>Deals_Raw!W339</f>
        <v>5.7000000000000002E-2</v>
      </c>
      <c r="K336" t="str">
        <f>Deals_Raw!Z339</f>
        <v>Sales Manager</v>
      </c>
      <c r="L336" t="str">
        <f t="shared" si="41"/>
        <v>yes</v>
      </c>
      <c r="M336" t="str">
        <f t="shared" si="42"/>
        <v>Pass</v>
      </c>
      <c r="O336">
        <f>Deals_Raw!AP339</f>
        <v>0.63248658815318026</v>
      </c>
      <c r="P336" t="str">
        <f t="shared" si="43"/>
        <v>False</v>
      </c>
      <c r="R336" t="str">
        <f>Deals_Raw!AF339</f>
        <v>Won</v>
      </c>
      <c r="S336">
        <f t="shared" si="44"/>
        <v>312124.09000000003</v>
      </c>
      <c r="T336">
        <f>Deals_Raw!AM339</f>
        <v>312124.09000000003</v>
      </c>
      <c r="U336">
        <f t="shared" si="45"/>
        <v>936372.27</v>
      </c>
      <c r="V336">
        <f>Deals_Raw!AN339</f>
        <v>936372.27</v>
      </c>
      <c r="W336">
        <f t="shared" si="46"/>
        <v>197414.30076451617</v>
      </c>
      <c r="X336">
        <f>Deals_Raw!AO339</f>
        <v>197414.30076451617</v>
      </c>
      <c r="Y336">
        <f t="shared" si="47"/>
        <v>0.63248658815318026</v>
      </c>
      <c r="Z336">
        <f>Deals_Raw!AP339</f>
        <v>0.63248658815318026</v>
      </c>
    </row>
    <row r="337" spans="1:26">
      <c r="A337" t="str">
        <f>Deals_Raw!A340</f>
        <v>D00386</v>
      </c>
      <c r="B337">
        <f>COUNTIF(Deals_Raw!$A$5:$A$643,A337)</f>
        <v>1</v>
      </c>
      <c r="C337" s="12" t="str">
        <f>Deals_Raw!E340</f>
        <v>CT00201</v>
      </c>
      <c r="E337">
        <f>Deals_Raw!AA340</f>
        <v>40925.211018535832</v>
      </c>
      <c r="F337">
        <f>ROUND(Deals_Raw!T340*(1-Deals_Raw!W340),2)</f>
        <v>40914.480000000003</v>
      </c>
      <c r="G337">
        <f t="shared" si="40"/>
        <v>-10.731018535829207</v>
      </c>
      <c r="I337">
        <f>Deals_Raw!V340</f>
        <v>0.129</v>
      </c>
      <c r="J337">
        <f>Deals_Raw!W340</f>
        <v>0.104</v>
      </c>
      <c r="K337" t="str">
        <f>Deals_Raw!Z340</f>
        <v>Pricing Analyst</v>
      </c>
      <c r="L337" t="str">
        <f t="shared" si="41"/>
        <v>yes</v>
      </c>
      <c r="M337" t="str">
        <f t="shared" si="42"/>
        <v>Pass</v>
      </c>
      <c r="O337">
        <f>Deals_Raw!AP340</f>
        <v>0.64094708526137911</v>
      </c>
      <c r="P337" t="str">
        <f t="shared" si="43"/>
        <v>False</v>
      </c>
      <c r="R337" t="str">
        <f>Deals_Raw!AF340</f>
        <v>Won</v>
      </c>
      <c r="S337">
        <f t="shared" si="44"/>
        <v>40914.480000000003</v>
      </c>
      <c r="T337">
        <f>Deals_Raw!AM340</f>
        <v>40914.480000000003</v>
      </c>
      <c r="U337">
        <f t="shared" si="45"/>
        <v>81828.960000000006</v>
      </c>
      <c r="V337">
        <f>Deals_Raw!AN340</f>
        <v>81828.960000000006</v>
      </c>
      <c r="W337">
        <f t="shared" si="46"/>
        <v>26224.016700984994</v>
      </c>
      <c r="X337">
        <f>Deals_Raw!AO340</f>
        <v>26224.016700984994</v>
      </c>
      <c r="Y337">
        <f t="shared" si="47"/>
        <v>0.64094708526137911</v>
      </c>
      <c r="Z337">
        <f>Deals_Raw!AP340</f>
        <v>0.64094708526137911</v>
      </c>
    </row>
    <row r="338" spans="1:26">
      <c r="A338" t="str">
        <f>Deals_Raw!A341</f>
        <v>D00387</v>
      </c>
      <c r="B338">
        <f>COUNTIF(Deals_Raw!$A$5:$A$643,A338)</f>
        <v>1</v>
      </c>
      <c r="C338" s="12" t="str">
        <f>Deals_Raw!E341</f>
        <v>CT00202</v>
      </c>
      <c r="E338">
        <f>Deals_Raw!AA341</f>
        <v>57456.41759924472</v>
      </c>
      <c r="F338">
        <f>ROUND(Deals_Raw!T341*(1-Deals_Raw!W341),2)</f>
        <v>57457.49</v>
      </c>
      <c r="G338">
        <f t="shared" si="40"/>
        <v>1.0724007552780677</v>
      </c>
      <c r="I338">
        <f>Deals_Raw!V341</f>
        <v>0.16300000000000001</v>
      </c>
      <c r="J338">
        <f>Deals_Raw!W341</f>
        <v>0.129</v>
      </c>
      <c r="K338" t="str">
        <f>Deals_Raw!Z341</f>
        <v>Pricing Analyst</v>
      </c>
      <c r="L338" t="str">
        <f t="shared" si="41"/>
        <v>yes</v>
      </c>
      <c r="M338" t="str">
        <f t="shared" si="42"/>
        <v>Pass</v>
      </c>
      <c r="O338">
        <f>Deals_Raw!AP341</f>
        <v>0.57531241424689006</v>
      </c>
      <c r="P338" t="str">
        <f t="shared" si="43"/>
        <v>False</v>
      </c>
      <c r="R338" t="str">
        <f>Deals_Raw!AF341</f>
        <v>Won</v>
      </c>
      <c r="S338">
        <f t="shared" si="44"/>
        <v>57457.49</v>
      </c>
      <c r="T338">
        <f>Deals_Raw!AM341</f>
        <v>57457.49</v>
      </c>
      <c r="U338">
        <f t="shared" si="45"/>
        <v>57457.49</v>
      </c>
      <c r="V338">
        <f>Deals_Raw!AN341</f>
        <v>57457.49</v>
      </c>
      <c r="W338">
        <f t="shared" si="46"/>
        <v>33056.007288466542</v>
      </c>
      <c r="X338">
        <f>Deals_Raw!AO341</f>
        <v>33056.007288466542</v>
      </c>
      <c r="Y338">
        <f t="shared" si="47"/>
        <v>0.57531241424689006</v>
      </c>
      <c r="Z338">
        <f>Deals_Raw!AP341</f>
        <v>0.57531241424689006</v>
      </c>
    </row>
    <row r="339" spans="1:26">
      <c r="A339" t="str">
        <f>Deals_Raw!A342</f>
        <v>D00388</v>
      </c>
      <c r="B339">
        <f>COUNTIF(Deals_Raw!$A$5:$A$643,A339)</f>
        <v>1</v>
      </c>
      <c r="C339" s="12" t="str">
        <f>Deals_Raw!E342</f>
        <v>CT00202</v>
      </c>
      <c r="E339">
        <f>Deals_Raw!AA342</f>
        <v>62841.323087994533</v>
      </c>
      <c r="F339">
        <f>ROUND(Deals_Raw!T342*(1-Deals_Raw!W342),2)</f>
        <v>62855.86</v>
      </c>
      <c r="G339">
        <f t="shared" si="40"/>
        <v>14.536912005467457</v>
      </c>
      <c r="I339">
        <f>Deals_Raw!V342</f>
        <v>0.115</v>
      </c>
      <c r="J339">
        <f>Deals_Raw!W342</f>
        <v>8.5999999999999993E-2</v>
      </c>
      <c r="K339" t="str">
        <f>Deals_Raw!Z342</f>
        <v>Sales Manager</v>
      </c>
      <c r="L339" t="str">
        <f t="shared" si="41"/>
        <v>yes</v>
      </c>
      <c r="M339" t="str">
        <f t="shared" si="42"/>
        <v>Pass</v>
      </c>
      <c r="O339">
        <f>Deals_Raw!AP342</f>
        <v>0.62674384015421147</v>
      </c>
      <c r="P339" t="str">
        <f t="shared" si="43"/>
        <v>False</v>
      </c>
      <c r="R339" t="str">
        <f>Deals_Raw!AF342</f>
        <v>Won</v>
      </c>
      <c r="S339">
        <f t="shared" si="44"/>
        <v>62855.86</v>
      </c>
      <c r="T339">
        <f>Deals_Raw!AM342</f>
        <v>62855.86</v>
      </c>
      <c r="U339">
        <f t="shared" si="45"/>
        <v>62855.86</v>
      </c>
      <c r="V339">
        <f>Deals_Raw!AN342</f>
        <v>62855.86</v>
      </c>
      <c r="W339">
        <f t="shared" si="46"/>
        <v>39394.523072595497</v>
      </c>
      <c r="X339">
        <f>Deals_Raw!AO342</f>
        <v>39394.523072595497</v>
      </c>
      <c r="Y339">
        <f t="shared" si="47"/>
        <v>0.62674384015421147</v>
      </c>
      <c r="Z339">
        <f>Deals_Raw!AP342</f>
        <v>0.62674384015421147</v>
      </c>
    </row>
    <row r="340" spans="1:26">
      <c r="A340" t="str">
        <f>Deals_Raw!A343</f>
        <v>D00389</v>
      </c>
      <c r="B340">
        <f>COUNTIF(Deals_Raw!$A$5:$A$643,A340)</f>
        <v>1</v>
      </c>
      <c r="C340" s="12" t="str">
        <f>Deals_Raw!E343</f>
        <v>CT00203</v>
      </c>
      <c r="E340">
        <f>Deals_Raw!AA343</f>
        <v>59303.008617851832</v>
      </c>
      <c r="F340">
        <f>ROUND(Deals_Raw!T343*(1-Deals_Raw!W343),2)</f>
        <v>59312.43</v>
      </c>
      <c r="G340">
        <f t="shared" si="40"/>
        <v>9.4213821481680498</v>
      </c>
      <c r="I340">
        <f>Deals_Raw!V343</f>
        <v>3.4000000000000002E-2</v>
      </c>
      <c r="J340">
        <f>Deals_Raw!W343</f>
        <v>1E-3</v>
      </c>
      <c r="K340" t="str">
        <f>Deals_Raw!Z343</f>
        <v>Sales Manager</v>
      </c>
      <c r="L340" t="str">
        <f t="shared" si="41"/>
        <v>yes</v>
      </c>
      <c r="M340" t="str">
        <f t="shared" si="42"/>
        <v>Pass</v>
      </c>
      <c r="O340">
        <f>Deals_Raw!AP343</f>
        <v>0.65665682491045496</v>
      </c>
      <c r="P340" t="str">
        <f t="shared" si="43"/>
        <v>False</v>
      </c>
      <c r="R340" t="str">
        <f>Deals_Raw!AF343</f>
        <v>Won</v>
      </c>
      <c r="S340">
        <f t="shared" si="44"/>
        <v>59312.43</v>
      </c>
      <c r="T340">
        <f>Deals_Raw!AM343</f>
        <v>59312.43</v>
      </c>
      <c r="U340">
        <f t="shared" si="45"/>
        <v>59312.43</v>
      </c>
      <c r="V340">
        <f>Deals_Raw!AN343</f>
        <v>59312.43</v>
      </c>
      <c r="W340">
        <f t="shared" si="46"/>
        <v>38947.91196152362</v>
      </c>
      <c r="X340">
        <f>Deals_Raw!AO343</f>
        <v>38947.91196152362</v>
      </c>
      <c r="Y340">
        <f t="shared" si="47"/>
        <v>0.65665682491045496</v>
      </c>
      <c r="Z340">
        <f>Deals_Raw!AP343</f>
        <v>0.65665682491045496</v>
      </c>
    </row>
    <row r="341" spans="1:26">
      <c r="A341" t="str">
        <f>Deals_Raw!A344</f>
        <v>D00390</v>
      </c>
      <c r="B341">
        <f>COUNTIF(Deals_Raw!$A$5:$A$643,A341)</f>
        <v>1</v>
      </c>
      <c r="C341" s="12" t="str">
        <f>Deals_Raw!E344</f>
        <v>CT00203</v>
      </c>
      <c r="E341">
        <f>Deals_Raw!AA344</f>
        <v>62949.315576403176</v>
      </c>
      <c r="F341">
        <f>ROUND(Deals_Raw!T344*(1-Deals_Raw!W344),2)</f>
        <v>62949.32</v>
      </c>
      <c r="G341">
        <f t="shared" si="40"/>
        <v>4.4235968234715983E-3</v>
      </c>
      <c r="I341">
        <f>Deals_Raw!V344</f>
        <v>7.0000000000000001E-3</v>
      </c>
      <c r="J341">
        <f>Deals_Raw!W344</f>
        <v>0</v>
      </c>
      <c r="K341" t="str">
        <f>Deals_Raw!Z344</f>
        <v>Sales Manager</v>
      </c>
      <c r="L341" t="str">
        <f t="shared" si="41"/>
        <v>yes</v>
      </c>
      <c r="M341" t="str">
        <f t="shared" si="42"/>
        <v>Pass</v>
      </c>
      <c r="O341">
        <f>Deals_Raw!AP344</f>
        <v>0.620761749308815</v>
      </c>
      <c r="P341" t="str">
        <f t="shared" si="43"/>
        <v>False</v>
      </c>
      <c r="R341" t="str">
        <f>Deals_Raw!AF344</f>
        <v>Won</v>
      </c>
      <c r="S341">
        <f t="shared" si="44"/>
        <v>62949.32</v>
      </c>
      <c r="T341">
        <f>Deals_Raw!AM344</f>
        <v>62949.32</v>
      </c>
      <c r="U341">
        <f t="shared" si="45"/>
        <v>62949.32</v>
      </c>
      <c r="V341">
        <f>Deals_Raw!AN344</f>
        <v>62949.32</v>
      </c>
      <c r="W341">
        <f t="shared" si="46"/>
        <v>39076.530001000378</v>
      </c>
      <c r="X341">
        <f>Deals_Raw!AO344</f>
        <v>39076.530001000378</v>
      </c>
      <c r="Y341">
        <f t="shared" si="47"/>
        <v>0.620761749308815</v>
      </c>
      <c r="Z341">
        <f>Deals_Raw!AP344</f>
        <v>0.620761749308815</v>
      </c>
    </row>
    <row r="342" spans="1:26">
      <c r="A342" t="str">
        <f>Deals_Raw!A345</f>
        <v>D00391</v>
      </c>
      <c r="B342">
        <f>COUNTIF(Deals_Raw!$A$5:$A$643,A342)</f>
        <v>1</v>
      </c>
      <c r="C342" s="12" t="str">
        <f>Deals_Raw!E345</f>
        <v>CT00203</v>
      </c>
      <c r="E342">
        <f>Deals_Raw!AA345</f>
        <v>63229.505089096718</v>
      </c>
      <c r="F342">
        <f>ROUND(Deals_Raw!T345*(1-Deals_Raw!W345),2)</f>
        <v>63258.83</v>
      </c>
      <c r="G342">
        <f t="shared" si="40"/>
        <v>29.324910903284035</v>
      </c>
      <c r="I342">
        <f>Deals_Raw!V345</f>
        <v>7.4999999999999997E-2</v>
      </c>
      <c r="J342">
        <f>Deals_Raw!W345</f>
        <v>2.3E-2</v>
      </c>
      <c r="K342" t="str">
        <f>Deals_Raw!Z345</f>
        <v>Sales Manager</v>
      </c>
      <c r="L342" t="str">
        <f t="shared" si="41"/>
        <v>yes</v>
      </c>
      <c r="M342" t="str">
        <f t="shared" si="42"/>
        <v>Pass</v>
      </c>
      <c r="O342">
        <f>Deals_Raw!AP345</f>
        <v>0.62127171521976043</v>
      </c>
      <c r="P342" t="str">
        <f t="shared" si="43"/>
        <v>False</v>
      </c>
      <c r="R342" t="str">
        <f>Deals_Raw!AF345</f>
        <v>Lost</v>
      </c>
      <c r="S342">
        <f t="shared" si="44"/>
        <v>0</v>
      </c>
      <c r="T342">
        <f>Deals_Raw!AM345</f>
        <v>63258.83</v>
      </c>
      <c r="U342">
        <f t="shared" si="45"/>
        <v>0</v>
      </c>
      <c r="V342">
        <f>Deals_Raw!AN345</f>
        <v>63258.83</v>
      </c>
      <c r="W342">
        <f t="shared" si="46"/>
        <v>0</v>
      </c>
      <c r="X342">
        <f>Deals_Raw!AO345</f>
        <v>39300.921816895236</v>
      </c>
      <c r="Y342">
        <f t="shared" si="47"/>
        <v>0</v>
      </c>
      <c r="Z342">
        <f>Deals_Raw!AP345</f>
        <v>0.62127171521976043</v>
      </c>
    </row>
    <row r="343" spans="1:26">
      <c r="A343" t="str">
        <f>Deals_Raw!A346</f>
        <v>D00392</v>
      </c>
      <c r="B343">
        <f>COUNTIF(Deals_Raw!$A$5:$A$643,A343)</f>
        <v>1</v>
      </c>
      <c r="C343" s="12" t="str">
        <f>Deals_Raw!E346</f>
        <v>CT00204</v>
      </c>
      <c r="E343">
        <f>Deals_Raw!AA346</f>
        <v>91002.983640087332</v>
      </c>
      <c r="F343">
        <f>ROUND(Deals_Raw!T346*(1-Deals_Raw!W346),2)</f>
        <v>91002.98</v>
      </c>
      <c r="G343">
        <f t="shared" si="40"/>
        <v>-3.6400873359525576E-3</v>
      </c>
      <c r="I343">
        <f>Deals_Raw!V346</f>
        <v>0</v>
      </c>
      <c r="J343">
        <f>Deals_Raw!W346</f>
        <v>0</v>
      </c>
      <c r="K343" t="str">
        <f>Deals_Raw!Z346</f>
        <v>Sales Manager</v>
      </c>
      <c r="L343" t="str">
        <f t="shared" si="41"/>
        <v>yes</v>
      </c>
      <c r="M343" t="str">
        <f t="shared" si="42"/>
        <v>Pass</v>
      </c>
      <c r="O343">
        <f>Deals_Raw!AP346</f>
        <v>0.62604496653975306</v>
      </c>
      <c r="P343" t="str">
        <f t="shared" si="43"/>
        <v>False</v>
      </c>
      <c r="R343" t="str">
        <f>Deals_Raw!AF346</f>
        <v>Lost</v>
      </c>
      <c r="S343">
        <f t="shared" si="44"/>
        <v>0</v>
      </c>
      <c r="T343">
        <f>Deals_Raw!AM346</f>
        <v>91002.98</v>
      </c>
      <c r="U343">
        <f t="shared" si="45"/>
        <v>0</v>
      </c>
      <c r="V343">
        <f>Deals_Raw!AN346</f>
        <v>273008.94</v>
      </c>
      <c r="W343">
        <f t="shared" si="46"/>
        <v>0</v>
      </c>
      <c r="X343">
        <f>Deals_Raw!AO346</f>
        <v>56971.957569117818</v>
      </c>
      <c r="Y343">
        <f t="shared" si="47"/>
        <v>0</v>
      </c>
      <c r="Z343">
        <f>Deals_Raw!AP346</f>
        <v>0.62604496653975306</v>
      </c>
    </row>
    <row r="344" spans="1:26">
      <c r="A344" t="str">
        <f>Deals_Raw!A347</f>
        <v>D00393</v>
      </c>
      <c r="B344">
        <f>COUNTIF(Deals_Raw!$A$5:$A$643,A344)</f>
        <v>1</v>
      </c>
      <c r="C344" s="12" t="str">
        <f>Deals_Raw!E347</f>
        <v>CT00205</v>
      </c>
      <c r="E344">
        <f>Deals_Raw!AA347</f>
        <v>173574.78612751904</v>
      </c>
      <c r="F344">
        <f>ROUND(Deals_Raw!T347*(1-Deals_Raw!W347),2)</f>
        <v>173516.47</v>
      </c>
      <c r="G344">
        <f t="shared" si="40"/>
        <v>-58.316127519035945</v>
      </c>
      <c r="I344">
        <f>Deals_Raw!V347</f>
        <v>8.4000000000000005E-2</v>
      </c>
      <c r="J344">
        <f>Deals_Raw!W347</f>
        <v>8.2000000000000003E-2</v>
      </c>
      <c r="K344" t="str">
        <f>Deals_Raw!Z347</f>
        <v>Sales Manager</v>
      </c>
      <c r="L344" t="str">
        <f t="shared" si="41"/>
        <v>yes</v>
      </c>
      <c r="M344" t="str">
        <f t="shared" si="42"/>
        <v>Pass</v>
      </c>
      <c r="O344">
        <f>Deals_Raw!AP347</f>
        <v>0.584199276950361</v>
      </c>
      <c r="P344" t="str">
        <f t="shared" si="43"/>
        <v>False</v>
      </c>
      <c r="R344" t="str">
        <f>Deals_Raw!AF347</f>
        <v>Won</v>
      </c>
      <c r="S344">
        <f t="shared" si="44"/>
        <v>173516.47</v>
      </c>
      <c r="T344">
        <f>Deals_Raw!AM347</f>
        <v>173516.47</v>
      </c>
      <c r="U344">
        <f t="shared" si="45"/>
        <v>347032.94</v>
      </c>
      <c r="V344">
        <f>Deals_Raw!AN347</f>
        <v>347032.94</v>
      </c>
      <c r="W344">
        <f t="shared" si="46"/>
        <v>101368.19631297901</v>
      </c>
      <c r="X344">
        <f>Deals_Raw!AO347</f>
        <v>101368.19631297901</v>
      </c>
      <c r="Y344">
        <f t="shared" si="47"/>
        <v>0.584199276950361</v>
      </c>
      <c r="Z344">
        <f>Deals_Raw!AP347</f>
        <v>0.584199276950361</v>
      </c>
    </row>
    <row r="345" spans="1:26">
      <c r="A345" t="str">
        <f>Deals_Raw!A348</f>
        <v>D00394</v>
      </c>
      <c r="B345">
        <f>COUNTIF(Deals_Raw!$A$5:$A$643,A345)</f>
        <v>1</v>
      </c>
      <c r="C345" s="12" t="str">
        <f>Deals_Raw!E348</f>
        <v>CT00206</v>
      </c>
      <c r="E345">
        <f>Deals_Raw!AA348</f>
        <v>82766.640300499537</v>
      </c>
      <c r="F345">
        <f>ROUND(Deals_Raw!T348*(1-Deals_Raw!W348),2)</f>
        <v>82733.75</v>
      </c>
      <c r="G345">
        <f t="shared" si="40"/>
        <v>-32.890300499537261</v>
      </c>
      <c r="I345">
        <f>Deals_Raw!V348</f>
        <v>0.21099999999999999</v>
      </c>
      <c r="J345">
        <f>Deals_Raw!W348</f>
        <v>0.123</v>
      </c>
      <c r="K345" t="str">
        <f>Deals_Raw!Z348</f>
        <v>Pricing Analyst</v>
      </c>
      <c r="L345" t="str">
        <f t="shared" si="41"/>
        <v>yes</v>
      </c>
      <c r="M345" t="str">
        <f t="shared" si="42"/>
        <v>Pass</v>
      </c>
      <c r="O345">
        <f>Deals_Raw!AP348</f>
        <v>0.5432784769472343</v>
      </c>
      <c r="P345" t="str">
        <f t="shared" si="43"/>
        <v>False</v>
      </c>
      <c r="R345" t="str">
        <f>Deals_Raw!AF348</f>
        <v>Won</v>
      </c>
      <c r="S345">
        <f t="shared" si="44"/>
        <v>82733.75</v>
      </c>
      <c r="T345">
        <f>Deals_Raw!AM348</f>
        <v>82733.75</v>
      </c>
      <c r="U345">
        <f t="shared" si="45"/>
        <v>82733.75</v>
      </c>
      <c r="V345">
        <f>Deals_Raw!AN348</f>
        <v>82733.75</v>
      </c>
      <c r="W345">
        <f t="shared" si="46"/>
        <v>44947.465692133243</v>
      </c>
      <c r="X345">
        <f>Deals_Raw!AO348</f>
        <v>44947.465692133243</v>
      </c>
      <c r="Y345">
        <f t="shared" si="47"/>
        <v>0.5432784769472343</v>
      </c>
      <c r="Z345">
        <f>Deals_Raw!AP348</f>
        <v>0.5432784769472343</v>
      </c>
    </row>
    <row r="346" spans="1:26">
      <c r="A346" t="str">
        <f>Deals_Raw!A349</f>
        <v>D00395</v>
      </c>
      <c r="B346">
        <f>COUNTIF(Deals_Raw!$A$5:$A$643,A346)</f>
        <v>1</v>
      </c>
      <c r="C346" s="12" t="str">
        <f>Deals_Raw!E349</f>
        <v>CT00207</v>
      </c>
      <c r="E346">
        <f>Deals_Raw!AA349</f>
        <v>395314.0905353686</v>
      </c>
      <c r="F346">
        <f>ROUND(Deals_Raw!T349*(1-Deals_Raw!W349),2)</f>
        <v>395352.88</v>
      </c>
      <c r="G346">
        <f t="shared" si="40"/>
        <v>38.789464631408919</v>
      </c>
      <c r="I346">
        <f>Deals_Raw!V349</f>
        <v>9.7000000000000003E-2</v>
      </c>
      <c r="J346">
        <f>Deals_Raw!W349</f>
        <v>7.8E-2</v>
      </c>
      <c r="K346" t="str">
        <f>Deals_Raw!Z349</f>
        <v>Sales Manager</v>
      </c>
      <c r="L346" t="str">
        <f t="shared" si="41"/>
        <v>yes</v>
      </c>
      <c r="M346" t="str">
        <f t="shared" si="42"/>
        <v>Pass</v>
      </c>
      <c r="O346">
        <f>Deals_Raw!AP349</f>
        <v>0.6022032694340671</v>
      </c>
      <c r="P346" t="str">
        <f t="shared" si="43"/>
        <v>False</v>
      </c>
      <c r="R346" t="str">
        <f>Deals_Raw!AF349</f>
        <v>Won</v>
      </c>
      <c r="S346">
        <f t="shared" si="44"/>
        <v>395352.88</v>
      </c>
      <c r="T346">
        <f>Deals_Raw!AM349</f>
        <v>395352.88</v>
      </c>
      <c r="U346">
        <f t="shared" si="45"/>
        <v>790705.76</v>
      </c>
      <c r="V346">
        <f>Deals_Raw!AN349</f>
        <v>790705.76</v>
      </c>
      <c r="W346">
        <f t="shared" si="46"/>
        <v>238082.79691617438</v>
      </c>
      <c r="X346">
        <f>Deals_Raw!AO349</f>
        <v>238082.79691617438</v>
      </c>
      <c r="Y346">
        <f t="shared" si="47"/>
        <v>0.6022032694340671</v>
      </c>
      <c r="Z346">
        <f>Deals_Raw!AP349</f>
        <v>0.6022032694340671</v>
      </c>
    </row>
    <row r="347" spans="1:26">
      <c r="A347" t="str">
        <f>Deals_Raw!A350</f>
        <v>D00396</v>
      </c>
      <c r="B347">
        <f>COUNTIF(Deals_Raw!$A$5:$A$643,A347)</f>
        <v>1</v>
      </c>
      <c r="C347" s="12" t="str">
        <f>Deals_Raw!E350</f>
        <v>CT00207</v>
      </c>
      <c r="E347">
        <f>Deals_Raw!AA350</f>
        <v>396354.4688548813</v>
      </c>
      <c r="F347">
        <f>ROUND(Deals_Raw!T350*(1-Deals_Raw!W350),2)</f>
        <v>396387.02</v>
      </c>
      <c r="G347">
        <f t="shared" si="40"/>
        <v>32.551145118719433</v>
      </c>
      <c r="I347">
        <f>Deals_Raw!V350</f>
        <v>0.111</v>
      </c>
      <c r="J347">
        <f>Deals_Raw!W350</f>
        <v>0.1</v>
      </c>
      <c r="K347" t="str">
        <f>Deals_Raw!Z350</f>
        <v>Pricing Analyst</v>
      </c>
      <c r="L347" t="str">
        <f t="shared" si="41"/>
        <v>yes</v>
      </c>
      <c r="M347" t="str">
        <f t="shared" si="42"/>
        <v>Review</v>
      </c>
      <c r="O347">
        <f>Deals_Raw!AP350</f>
        <v>0.59263289939841202</v>
      </c>
      <c r="P347" t="str">
        <f t="shared" si="43"/>
        <v>False</v>
      </c>
      <c r="R347" t="str">
        <f>Deals_Raw!AF350</f>
        <v>Lost</v>
      </c>
      <c r="S347">
        <f t="shared" si="44"/>
        <v>0</v>
      </c>
      <c r="T347">
        <f>Deals_Raw!AM350</f>
        <v>396387.02</v>
      </c>
      <c r="U347">
        <f t="shared" si="45"/>
        <v>0</v>
      </c>
      <c r="V347">
        <f>Deals_Raw!AN350</f>
        <v>792774.04</v>
      </c>
      <c r="W347">
        <f t="shared" si="46"/>
        <v>0</v>
      </c>
      <c r="X347">
        <f>Deals_Raw!AO350</f>
        <v>234911.98894649636</v>
      </c>
      <c r="Y347">
        <f t="shared" si="47"/>
        <v>0</v>
      </c>
      <c r="Z347">
        <f>Deals_Raw!AP350</f>
        <v>0.59263289939841202</v>
      </c>
    </row>
    <row r="348" spans="1:26">
      <c r="A348" t="str">
        <f>Deals_Raw!A351</f>
        <v>D00397</v>
      </c>
      <c r="B348">
        <f>COUNTIF(Deals_Raw!$A$5:$A$643,A348)</f>
        <v>1</v>
      </c>
      <c r="C348" s="12" t="str">
        <f>Deals_Raw!E351</f>
        <v>CT00207</v>
      </c>
      <c r="E348">
        <f>Deals_Raw!AA351</f>
        <v>370147.78219251666</v>
      </c>
      <c r="F348">
        <f>ROUND(Deals_Raw!T351*(1-Deals_Raw!W351),2)</f>
        <v>369961.22</v>
      </c>
      <c r="G348">
        <f t="shared" si="40"/>
        <v>-186.56219251669245</v>
      </c>
      <c r="I348">
        <f>Deals_Raw!V351</f>
        <v>0.185</v>
      </c>
      <c r="J348">
        <f>Deals_Raw!W351</f>
        <v>0.16</v>
      </c>
      <c r="K348" t="str">
        <f>Deals_Raw!Z351</f>
        <v>Pricing Analyst</v>
      </c>
      <c r="L348" t="str">
        <f t="shared" si="41"/>
        <v>yes</v>
      </c>
      <c r="M348" t="str">
        <f t="shared" si="42"/>
        <v>Pass</v>
      </c>
      <c r="O348">
        <f>Deals_Raw!AP351</f>
        <v>0.58194115271268387</v>
      </c>
      <c r="P348" t="str">
        <f t="shared" si="43"/>
        <v>False</v>
      </c>
      <c r="R348" t="str">
        <f>Deals_Raw!AF351</f>
        <v>Lost</v>
      </c>
      <c r="S348">
        <f t="shared" si="44"/>
        <v>0</v>
      </c>
      <c r="T348">
        <f>Deals_Raw!AM351</f>
        <v>369961.22</v>
      </c>
      <c r="U348">
        <f t="shared" si="45"/>
        <v>0</v>
      </c>
      <c r="V348">
        <f>Deals_Raw!AN351</f>
        <v>739922.44</v>
      </c>
      <c r="W348">
        <f t="shared" si="46"/>
        <v>0</v>
      </c>
      <c r="X348">
        <f>Deals_Raw!AO351</f>
        <v>215295.65882579083</v>
      </c>
      <c r="Y348">
        <f t="shared" si="47"/>
        <v>0</v>
      </c>
      <c r="Z348">
        <f>Deals_Raw!AP351</f>
        <v>0.58194115271268387</v>
      </c>
    </row>
    <row r="349" spans="1:26">
      <c r="A349" t="str">
        <f>Deals_Raw!A352</f>
        <v>D00398</v>
      </c>
      <c r="B349">
        <f>COUNTIF(Deals_Raw!$A$5:$A$643,A349)</f>
        <v>1</v>
      </c>
      <c r="C349" s="12" t="str">
        <f>Deals_Raw!E352</f>
        <v>CT00208</v>
      </c>
      <c r="E349">
        <f>Deals_Raw!AA352</f>
        <v>77798.647999073262</v>
      </c>
      <c r="F349">
        <f>ROUND(Deals_Raw!T352*(1-Deals_Raw!W352),2)</f>
        <v>77788.460000000006</v>
      </c>
      <c r="G349">
        <f t="shared" si="40"/>
        <v>-10.187999073255924</v>
      </c>
      <c r="I349">
        <f>Deals_Raw!V352</f>
        <v>5.7000000000000002E-2</v>
      </c>
      <c r="J349">
        <f>Deals_Raw!W352</f>
        <v>5.3999999999999999E-2</v>
      </c>
      <c r="K349" t="str">
        <f>Deals_Raw!Z352</f>
        <v>Sales Manager</v>
      </c>
      <c r="L349" t="str">
        <f t="shared" si="41"/>
        <v>yes</v>
      </c>
      <c r="M349" t="str">
        <f t="shared" si="42"/>
        <v>Pass</v>
      </c>
      <c r="O349">
        <f>Deals_Raw!AP352</f>
        <v>0.68052089475912625</v>
      </c>
      <c r="P349" t="str">
        <f t="shared" si="43"/>
        <v>False</v>
      </c>
      <c r="R349" t="str">
        <f>Deals_Raw!AF352</f>
        <v>Lost</v>
      </c>
      <c r="S349">
        <f t="shared" si="44"/>
        <v>0</v>
      </c>
      <c r="T349">
        <f>Deals_Raw!AM352</f>
        <v>77788.460000000006</v>
      </c>
      <c r="U349">
        <f t="shared" si="45"/>
        <v>0</v>
      </c>
      <c r="V349">
        <f>Deals_Raw!AN352</f>
        <v>77788.460000000006</v>
      </c>
      <c r="W349">
        <f t="shared" si="46"/>
        <v>0</v>
      </c>
      <c r="X349">
        <f>Deals_Raw!AO352</f>
        <v>52936.672401134507</v>
      </c>
      <c r="Y349">
        <f t="shared" si="47"/>
        <v>0</v>
      </c>
      <c r="Z349">
        <f>Deals_Raw!AP352</f>
        <v>0.68052089475912625</v>
      </c>
    </row>
    <row r="350" spans="1:26">
      <c r="A350" t="str">
        <f>Deals_Raw!A353</f>
        <v>D00399</v>
      </c>
      <c r="B350">
        <f>COUNTIF(Deals_Raw!$A$5:$A$643,A350)</f>
        <v>1</v>
      </c>
      <c r="C350" s="12" t="str">
        <f>Deals_Raw!E353</f>
        <v>CT00209</v>
      </c>
      <c r="E350">
        <f>Deals_Raw!AA353</f>
        <v>71811.67170985791</v>
      </c>
      <c r="F350">
        <f>ROUND(Deals_Raw!T353*(1-Deals_Raw!W353),2)</f>
        <v>71813.22</v>
      </c>
      <c r="G350">
        <f t="shared" si="40"/>
        <v>1.5482901420909911</v>
      </c>
      <c r="I350">
        <f>Deals_Raw!V353</f>
        <v>7.4999999999999997E-2</v>
      </c>
      <c r="J350">
        <f>Deals_Raw!W353</f>
        <v>5.5E-2</v>
      </c>
      <c r="K350" t="str">
        <f>Deals_Raw!Z353</f>
        <v>Sales Manager</v>
      </c>
      <c r="L350" t="str">
        <f t="shared" si="41"/>
        <v>yes</v>
      </c>
      <c r="M350" t="str">
        <f t="shared" si="42"/>
        <v>Pass</v>
      </c>
      <c r="O350">
        <f>Deals_Raw!AP353</f>
        <v>0.55466334772515069</v>
      </c>
      <c r="P350" t="str">
        <f t="shared" si="43"/>
        <v>False</v>
      </c>
      <c r="R350" t="str">
        <f>Deals_Raw!AF353</f>
        <v>Lost</v>
      </c>
      <c r="S350">
        <f t="shared" si="44"/>
        <v>0</v>
      </c>
      <c r="T350">
        <f>Deals_Raw!AM353</f>
        <v>71813.22</v>
      </c>
      <c r="U350">
        <f t="shared" si="45"/>
        <v>0</v>
      </c>
      <c r="V350">
        <f>Deals_Raw!AN353</f>
        <v>71813.22</v>
      </c>
      <c r="W350">
        <f t="shared" si="46"/>
        <v>0</v>
      </c>
      <c r="X350">
        <f>Deals_Raw!AO353</f>
        <v>39832.161016122744</v>
      </c>
      <c r="Y350">
        <f t="shared" si="47"/>
        <v>0</v>
      </c>
      <c r="Z350">
        <f>Deals_Raw!AP353</f>
        <v>0.55466334772515069</v>
      </c>
    </row>
    <row r="351" spans="1:26">
      <c r="A351" t="str">
        <f>Deals_Raw!A354</f>
        <v>D00400</v>
      </c>
      <c r="B351">
        <f>COUNTIF(Deals_Raw!$A$5:$A$643,A351)</f>
        <v>1</v>
      </c>
      <c r="C351" s="12" t="str">
        <f>Deals_Raw!E354</f>
        <v>CT00210</v>
      </c>
      <c r="E351">
        <f>Deals_Raw!AA354</f>
        <v>66201.107096412627</v>
      </c>
      <c r="F351">
        <f>ROUND(Deals_Raw!T354*(1-Deals_Raw!W354),2)</f>
        <v>66233.48</v>
      </c>
      <c r="G351">
        <f t="shared" si="40"/>
        <v>32.372903587369365</v>
      </c>
      <c r="I351">
        <f>Deals_Raw!V354</f>
        <v>0.106</v>
      </c>
      <c r="J351">
        <f>Deals_Raw!W354</f>
        <v>6.8000000000000005E-2</v>
      </c>
      <c r="K351" t="str">
        <f>Deals_Raw!Z354</f>
        <v>Sales Manager</v>
      </c>
      <c r="L351" t="str">
        <f t="shared" si="41"/>
        <v>yes</v>
      </c>
      <c r="M351" t="str">
        <f t="shared" si="42"/>
        <v>Pass</v>
      </c>
      <c r="O351">
        <f>Deals_Raw!AP354</f>
        <v>0.59086402216075096</v>
      </c>
      <c r="P351" t="str">
        <f t="shared" si="43"/>
        <v>False</v>
      </c>
      <c r="R351" t="str">
        <f>Deals_Raw!AF354</f>
        <v>Lost</v>
      </c>
      <c r="S351">
        <f t="shared" si="44"/>
        <v>0</v>
      </c>
      <c r="T351">
        <f>Deals_Raw!AM354</f>
        <v>66233.48</v>
      </c>
      <c r="U351">
        <f t="shared" si="45"/>
        <v>0</v>
      </c>
      <c r="V351">
        <f>Deals_Raw!AN354</f>
        <v>66233.48</v>
      </c>
      <c r="W351">
        <f t="shared" si="46"/>
        <v>0</v>
      </c>
      <c r="X351">
        <f>Deals_Raw!AO354</f>
        <v>39134.980394503655</v>
      </c>
      <c r="Y351">
        <f t="shared" si="47"/>
        <v>0</v>
      </c>
      <c r="Z351">
        <f>Deals_Raw!AP354</f>
        <v>0.59086402216075096</v>
      </c>
    </row>
    <row r="352" spans="1:26">
      <c r="A352" t="str">
        <f>Deals_Raw!A355</f>
        <v>D00401</v>
      </c>
      <c r="B352">
        <f>COUNTIF(Deals_Raw!$A$5:$A$643,A352)</f>
        <v>1</v>
      </c>
      <c r="C352" s="12" t="str">
        <f>Deals_Raw!E355</f>
        <v>CT00211</v>
      </c>
      <c r="E352">
        <f>Deals_Raw!AA355</f>
        <v>99012.23689814558</v>
      </c>
      <c r="F352">
        <f>ROUND(Deals_Raw!T355*(1-Deals_Raw!W355),2)</f>
        <v>98950.91</v>
      </c>
      <c r="G352">
        <f t="shared" si="40"/>
        <v>-61.326898145576706</v>
      </c>
      <c r="I352">
        <f>Deals_Raw!V355</f>
        <v>0.26</v>
      </c>
      <c r="J352">
        <f>Deals_Raw!W355</f>
        <v>0.22800000000000001</v>
      </c>
      <c r="K352" t="str">
        <f>Deals_Raw!Z355</f>
        <v>Business Manager</v>
      </c>
      <c r="L352" t="str">
        <f t="shared" si="41"/>
        <v>yes</v>
      </c>
      <c r="M352" t="str">
        <f t="shared" si="42"/>
        <v>Pass</v>
      </c>
      <c r="O352">
        <f>Deals_Raw!AP355</f>
        <v>0.59046471123417088</v>
      </c>
      <c r="P352" t="str">
        <f t="shared" si="43"/>
        <v>False</v>
      </c>
      <c r="R352" t="str">
        <f>Deals_Raw!AF355</f>
        <v>Won</v>
      </c>
      <c r="S352">
        <f t="shared" si="44"/>
        <v>98950.91</v>
      </c>
      <c r="T352">
        <f>Deals_Raw!AM355</f>
        <v>98950.91</v>
      </c>
      <c r="U352">
        <f t="shared" si="45"/>
        <v>98950.91</v>
      </c>
      <c r="V352">
        <f>Deals_Raw!AN355</f>
        <v>98950.91</v>
      </c>
      <c r="W352">
        <f t="shared" si="46"/>
        <v>58427.020499508435</v>
      </c>
      <c r="X352">
        <f>Deals_Raw!AO355</f>
        <v>58427.020499508435</v>
      </c>
      <c r="Y352">
        <f t="shared" si="47"/>
        <v>0.59046471123417088</v>
      </c>
      <c r="Z352">
        <f>Deals_Raw!AP355</f>
        <v>0.59046471123417088</v>
      </c>
    </row>
    <row r="353" spans="1:26">
      <c r="A353" t="str">
        <f>Deals_Raw!A356</f>
        <v>D00402</v>
      </c>
      <c r="B353">
        <f>COUNTIF(Deals_Raw!$A$5:$A$643,A353)</f>
        <v>1</v>
      </c>
      <c r="C353" s="12" t="str">
        <f>Deals_Raw!E356</f>
        <v>CT00211</v>
      </c>
      <c r="E353">
        <f>Deals_Raw!AA356</f>
        <v>115860.19492138471</v>
      </c>
      <c r="F353">
        <f>ROUND(Deals_Raw!T356*(1-Deals_Raw!W356),2)</f>
        <v>115831.59</v>
      </c>
      <c r="G353">
        <f t="shared" si="40"/>
        <v>-28.604921384714544</v>
      </c>
      <c r="I353">
        <f>Deals_Raw!V356</f>
        <v>0.14000000000000001</v>
      </c>
      <c r="J353">
        <f>Deals_Raw!W356</f>
        <v>0.13900000000000001</v>
      </c>
      <c r="K353" t="str">
        <f>Deals_Raw!Z356</f>
        <v>Pricing Analyst</v>
      </c>
      <c r="L353" t="str">
        <f t="shared" si="41"/>
        <v>yes</v>
      </c>
      <c r="M353" t="str">
        <f t="shared" si="42"/>
        <v>Pass</v>
      </c>
      <c r="O353">
        <f>Deals_Raw!AP356</f>
        <v>0.68541326108080425</v>
      </c>
      <c r="P353" t="str">
        <f t="shared" si="43"/>
        <v>False</v>
      </c>
      <c r="R353" t="str">
        <f>Deals_Raw!AF356</f>
        <v>Won</v>
      </c>
      <c r="S353">
        <f t="shared" si="44"/>
        <v>115831.59</v>
      </c>
      <c r="T353">
        <f>Deals_Raw!AM356</f>
        <v>115831.59</v>
      </c>
      <c r="U353">
        <f t="shared" si="45"/>
        <v>115831.59</v>
      </c>
      <c r="V353">
        <f>Deals_Raw!AN356</f>
        <v>115831.59</v>
      </c>
      <c r="W353">
        <f t="shared" si="46"/>
        <v>79392.507838074671</v>
      </c>
      <c r="X353">
        <f>Deals_Raw!AO356</f>
        <v>79392.507838074671</v>
      </c>
      <c r="Y353">
        <f t="shared" si="47"/>
        <v>0.68541326108080425</v>
      </c>
      <c r="Z353">
        <f>Deals_Raw!AP356</f>
        <v>0.68541326108080425</v>
      </c>
    </row>
    <row r="354" spans="1:26">
      <c r="A354" t="str">
        <f>Deals_Raw!A357</f>
        <v>D00403</v>
      </c>
      <c r="B354">
        <f>COUNTIF(Deals_Raw!$A$5:$A$643,A354)</f>
        <v>1</v>
      </c>
      <c r="C354" s="12" t="str">
        <f>Deals_Raw!E357</f>
        <v>CT00212</v>
      </c>
      <c r="E354">
        <f>Deals_Raw!AA357</f>
        <v>83040.956986810139</v>
      </c>
      <c r="F354">
        <f>ROUND(Deals_Raw!T357*(1-Deals_Raw!W357),2)</f>
        <v>83017.820000000007</v>
      </c>
      <c r="G354">
        <f t="shared" si="40"/>
        <v>-23.13698681013193</v>
      </c>
      <c r="I354">
        <f>Deals_Raw!V357</f>
        <v>0.113</v>
      </c>
      <c r="J354">
        <f>Deals_Raw!W357</f>
        <v>6.4000000000000001E-2</v>
      </c>
      <c r="K354" t="str">
        <f>Deals_Raw!Z357</f>
        <v>Sales Manager</v>
      </c>
      <c r="L354" t="str">
        <f t="shared" si="41"/>
        <v>yes</v>
      </c>
      <c r="M354" t="str">
        <f t="shared" si="42"/>
        <v>Pass</v>
      </c>
      <c r="O354">
        <f>Deals_Raw!AP357</f>
        <v>0.64320789761978192</v>
      </c>
      <c r="P354" t="str">
        <f t="shared" si="43"/>
        <v>False</v>
      </c>
      <c r="R354" t="str">
        <f>Deals_Raw!AF357</f>
        <v>Lost</v>
      </c>
      <c r="S354">
        <f t="shared" si="44"/>
        <v>0</v>
      </c>
      <c r="T354">
        <f>Deals_Raw!AM357</f>
        <v>83017.820000000007</v>
      </c>
      <c r="U354">
        <f t="shared" si="45"/>
        <v>0</v>
      </c>
      <c r="V354">
        <f>Deals_Raw!AN357</f>
        <v>249053.46000000002</v>
      </c>
      <c r="W354">
        <f t="shared" si="46"/>
        <v>0</v>
      </c>
      <c r="X354">
        <f>Deals_Raw!AO357</f>
        <v>53397.717467177485</v>
      </c>
      <c r="Y354">
        <f t="shared" si="47"/>
        <v>0</v>
      </c>
      <c r="Z354">
        <f>Deals_Raw!AP357</f>
        <v>0.64320789761978192</v>
      </c>
    </row>
    <row r="355" spans="1:26">
      <c r="A355" t="str">
        <f>Deals_Raw!A358</f>
        <v>D00404</v>
      </c>
      <c r="B355">
        <f>COUNTIF(Deals_Raw!$A$5:$A$643,A355)</f>
        <v>1</v>
      </c>
      <c r="C355" s="12" t="str">
        <f>Deals_Raw!E358</f>
        <v>CT00212</v>
      </c>
      <c r="E355">
        <f>Deals_Raw!AA358</f>
        <v>74088.647675302636</v>
      </c>
      <c r="F355">
        <f>ROUND(Deals_Raw!T358*(1-Deals_Raw!W358),2)</f>
        <v>74059.7</v>
      </c>
      <c r="G355">
        <f t="shared" si="40"/>
        <v>-28.947675302639254</v>
      </c>
      <c r="I355">
        <f>Deals_Raw!V358</f>
        <v>0.20599999999999999</v>
      </c>
      <c r="J355">
        <f>Deals_Raw!W358</f>
        <v>0.16500000000000001</v>
      </c>
      <c r="K355" t="str">
        <f>Deals_Raw!Z358</f>
        <v>Pricing Analyst</v>
      </c>
      <c r="L355" t="str">
        <f t="shared" si="41"/>
        <v>yes</v>
      </c>
      <c r="M355" t="str">
        <f t="shared" si="42"/>
        <v>Pass</v>
      </c>
      <c r="O355">
        <f>Deals_Raw!AP358</f>
        <v>0.63682571371025576</v>
      </c>
      <c r="P355" t="str">
        <f t="shared" si="43"/>
        <v>False</v>
      </c>
      <c r="R355" t="str">
        <f>Deals_Raw!AF358</f>
        <v>Won</v>
      </c>
      <c r="S355">
        <f t="shared" si="44"/>
        <v>74059.7</v>
      </c>
      <c r="T355">
        <f>Deals_Raw!AM358</f>
        <v>74059.7</v>
      </c>
      <c r="U355">
        <f t="shared" si="45"/>
        <v>222179.09999999998</v>
      </c>
      <c r="V355">
        <f>Deals_Raw!AN358</f>
        <v>222179.09999999998</v>
      </c>
      <c r="W355">
        <f t="shared" si="46"/>
        <v>47163.121309667426</v>
      </c>
      <c r="X355">
        <f>Deals_Raw!AO358</f>
        <v>47163.121309667426</v>
      </c>
      <c r="Y355">
        <f t="shared" si="47"/>
        <v>0.63682571371025576</v>
      </c>
      <c r="Z355">
        <f>Deals_Raw!AP358</f>
        <v>0.63682571371025576</v>
      </c>
    </row>
    <row r="356" spans="1:26">
      <c r="A356" t="str">
        <f>Deals_Raw!A359</f>
        <v>D00405</v>
      </c>
      <c r="B356">
        <f>COUNTIF(Deals_Raw!$A$5:$A$643,A356)</f>
        <v>1</v>
      </c>
      <c r="C356" s="12" t="str">
        <f>Deals_Raw!E359</f>
        <v>CT00213</v>
      </c>
      <c r="E356">
        <f>Deals_Raw!AA359</f>
        <v>51533.740999280017</v>
      </c>
      <c r="F356">
        <f>ROUND(Deals_Raw!T359*(1-Deals_Raw!W359),2)</f>
        <v>51544.33</v>
      </c>
      <c r="G356">
        <f t="shared" si="40"/>
        <v>10.589000719985052</v>
      </c>
      <c r="I356">
        <f>Deals_Raw!V359</f>
        <v>0.17100000000000001</v>
      </c>
      <c r="J356">
        <f>Deals_Raw!W359</f>
        <v>0.14699999999999999</v>
      </c>
      <c r="K356" t="str">
        <f>Deals_Raw!Z359</f>
        <v>Pricing Analyst</v>
      </c>
      <c r="L356" t="str">
        <f t="shared" si="41"/>
        <v>yes</v>
      </c>
      <c r="M356" t="str">
        <f t="shared" si="42"/>
        <v>Pass</v>
      </c>
      <c r="O356">
        <f>Deals_Raw!AP359</f>
        <v>0.6335571206892946</v>
      </c>
      <c r="P356" t="str">
        <f t="shared" si="43"/>
        <v>False</v>
      </c>
      <c r="R356" t="str">
        <f>Deals_Raw!AF359</f>
        <v>Lost</v>
      </c>
      <c r="S356">
        <f t="shared" si="44"/>
        <v>0</v>
      </c>
      <c r="T356">
        <f>Deals_Raw!AM359</f>
        <v>51544.33</v>
      </c>
      <c r="U356">
        <f t="shared" si="45"/>
        <v>0</v>
      </c>
      <c r="V356">
        <f>Deals_Raw!AN359</f>
        <v>51544.33</v>
      </c>
      <c r="W356">
        <f t="shared" si="46"/>
        <v>0</v>
      </c>
      <c r="X356">
        <f>Deals_Raw!AO359</f>
        <v>32656.277302658829</v>
      </c>
      <c r="Y356">
        <f t="shared" si="47"/>
        <v>0</v>
      </c>
      <c r="Z356">
        <f>Deals_Raw!AP359</f>
        <v>0.6335571206892946</v>
      </c>
    </row>
    <row r="357" spans="1:26">
      <c r="A357" t="str">
        <f>Deals_Raw!A360</f>
        <v>D00406</v>
      </c>
      <c r="B357">
        <f>COUNTIF(Deals_Raw!$A$5:$A$643,A357)</f>
        <v>1</v>
      </c>
      <c r="C357" s="12" t="str">
        <f>Deals_Raw!E360</f>
        <v>CT00214</v>
      </c>
      <c r="E357">
        <f>Deals_Raw!AA360</f>
        <v>96657.454191458004</v>
      </c>
      <c r="F357">
        <f>ROUND(Deals_Raw!T360*(1-Deals_Raw!W360),2)</f>
        <v>96657.96</v>
      </c>
      <c r="G357">
        <f t="shared" si="40"/>
        <v>0.50580854200234171</v>
      </c>
      <c r="I357">
        <f>Deals_Raw!V360</f>
        <v>7.3999999999999996E-2</v>
      </c>
      <c r="J357">
        <f>Deals_Raw!W360</f>
        <v>4.8000000000000001E-2</v>
      </c>
      <c r="K357" t="str">
        <f>Deals_Raw!Z360</f>
        <v>Sales Manager</v>
      </c>
      <c r="L357" t="str">
        <f t="shared" si="41"/>
        <v>yes</v>
      </c>
      <c r="M357" t="str">
        <f t="shared" si="42"/>
        <v>Pass</v>
      </c>
      <c r="O357">
        <f>Deals_Raw!AP360</f>
        <v>0.576445385955204</v>
      </c>
      <c r="P357" t="str">
        <f t="shared" si="43"/>
        <v>False</v>
      </c>
      <c r="R357" t="str">
        <f>Deals_Raw!AF360</f>
        <v>Won</v>
      </c>
      <c r="S357">
        <f t="shared" si="44"/>
        <v>96657.96</v>
      </c>
      <c r="T357">
        <f>Deals_Raw!AM360</f>
        <v>96657.96</v>
      </c>
      <c r="U357">
        <f t="shared" si="45"/>
        <v>193315.92</v>
      </c>
      <c r="V357">
        <f>Deals_Raw!AN360</f>
        <v>193315.92</v>
      </c>
      <c r="W357">
        <f t="shared" si="46"/>
        <v>55718.035057842673</v>
      </c>
      <c r="X357">
        <f>Deals_Raw!AO360</f>
        <v>55718.035057842673</v>
      </c>
      <c r="Y357">
        <f t="shared" si="47"/>
        <v>0.576445385955204</v>
      </c>
      <c r="Z357">
        <f>Deals_Raw!AP360</f>
        <v>0.576445385955204</v>
      </c>
    </row>
    <row r="358" spans="1:26">
      <c r="A358" t="str">
        <f>Deals_Raw!A361</f>
        <v>D00407</v>
      </c>
      <c r="B358">
        <f>COUNTIF(Deals_Raw!$A$5:$A$643,A358)</f>
        <v>1</v>
      </c>
      <c r="C358" s="12" t="str">
        <f>Deals_Raw!E361</f>
        <v>CT00215</v>
      </c>
      <c r="E358">
        <f>Deals_Raw!AA361</f>
        <v>83840.908039310132</v>
      </c>
      <c r="F358">
        <f>ROUND(Deals_Raw!T361*(1-Deals_Raw!W361),2)</f>
        <v>83827</v>
      </c>
      <c r="G358">
        <f t="shared" si="40"/>
        <v>-13.908039310132153</v>
      </c>
      <c r="I358">
        <f>Deals_Raw!V361</f>
        <v>0.185</v>
      </c>
      <c r="J358">
        <f>Deals_Raw!W361</f>
        <v>0.16700000000000001</v>
      </c>
      <c r="K358" t="str">
        <f>Deals_Raw!Z361</f>
        <v>Pricing Analyst</v>
      </c>
      <c r="L358" t="str">
        <f t="shared" si="41"/>
        <v>yes</v>
      </c>
      <c r="M358" t="str">
        <f t="shared" si="42"/>
        <v>Pass</v>
      </c>
      <c r="O358">
        <f>Deals_Raw!AP361</f>
        <v>0.69008506559128024</v>
      </c>
      <c r="P358" t="str">
        <f t="shared" si="43"/>
        <v>False</v>
      </c>
      <c r="R358" t="str">
        <f>Deals_Raw!AF361</f>
        <v>Won</v>
      </c>
      <c r="S358">
        <f t="shared" si="44"/>
        <v>83827</v>
      </c>
      <c r="T358">
        <f>Deals_Raw!AM361</f>
        <v>83827</v>
      </c>
      <c r="U358">
        <f t="shared" si="45"/>
        <v>83827</v>
      </c>
      <c r="V358">
        <f>Deals_Raw!AN361</f>
        <v>83827</v>
      </c>
      <c r="W358">
        <f t="shared" si="46"/>
        <v>57847.760793320253</v>
      </c>
      <c r="X358">
        <f>Deals_Raw!AO361</f>
        <v>57847.760793320253</v>
      </c>
      <c r="Y358">
        <f t="shared" si="47"/>
        <v>0.69008506559128024</v>
      </c>
      <c r="Z358">
        <f>Deals_Raw!AP361</f>
        <v>0.69008506559128024</v>
      </c>
    </row>
    <row r="359" spans="1:26">
      <c r="A359" t="str">
        <f>Deals_Raw!A362</f>
        <v>D00408</v>
      </c>
      <c r="B359">
        <f>COUNTIF(Deals_Raw!$A$5:$A$643,A359)</f>
        <v>1</v>
      </c>
      <c r="C359" s="12" t="str">
        <f>Deals_Raw!E362</f>
        <v>CT00215</v>
      </c>
      <c r="E359">
        <f>Deals_Raw!AA362</f>
        <v>93560.583449685568</v>
      </c>
      <c r="F359">
        <f>ROUND(Deals_Raw!T362*(1-Deals_Raw!W362),2)</f>
        <v>93530.03</v>
      </c>
      <c r="G359">
        <f t="shared" si="40"/>
        <v>-30.553449685568921</v>
      </c>
      <c r="I359">
        <f>Deals_Raw!V362</f>
        <v>0.107</v>
      </c>
      <c r="J359">
        <f>Deals_Raw!W362</f>
        <v>9.8000000000000004E-2</v>
      </c>
      <c r="K359" t="str">
        <f>Deals_Raw!Z362</f>
        <v>Sales Manager</v>
      </c>
      <c r="L359" t="str">
        <f t="shared" si="41"/>
        <v>yes</v>
      </c>
      <c r="M359" t="str">
        <f t="shared" si="42"/>
        <v>Pass</v>
      </c>
      <c r="O359">
        <f>Deals_Raw!AP362</f>
        <v>0.64446275683880194</v>
      </c>
      <c r="P359" t="str">
        <f t="shared" si="43"/>
        <v>False</v>
      </c>
      <c r="R359" t="str">
        <f>Deals_Raw!AF362</f>
        <v>Lost</v>
      </c>
      <c r="S359">
        <f t="shared" si="44"/>
        <v>0</v>
      </c>
      <c r="T359">
        <f>Deals_Raw!AM362</f>
        <v>93530.03</v>
      </c>
      <c r="U359">
        <f t="shared" si="45"/>
        <v>0</v>
      </c>
      <c r="V359">
        <f>Deals_Raw!AN362</f>
        <v>93530.03</v>
      </c>
      <c r="W359">
        <f t="shared" si="46"/>
        <v>0</v>
      </c>
      <c r="X359">
        <f>Deals_Raw!AO362</f>
        <v>60276.620981015854</v>
      </c>
      <c r="Y359">
        <f t="shared" si="47"/>
        <v>0</v>
      </c>
      <c r="Z359">
        <f>Deals_Raw!AP362</f>
        <v>0.64446275683880194</v>
      </c>
    </row>
    <row r="360" spans="1:26">
      <c r="A360" t="str">
        <f>Deals_Raw!A363</f>
        <v>D00409</v>
      </c>
      <c r="B360">
        <f>COUNTIF(Deals_Raw!$A$5:$A$643,A360)</f>
        <v>1</v>
      </c>
      <c r="C360" s="12" t="str">
        <f>Deals_Raw!E363</f>
        <v>CT00216</v>
      </c>
      <c r="E360">
        <f>Deals_Raw!AA363</f>
        <v>42662.219552622169</v>
      </c>
      <c r="F360">
        <f>ROUND(Deals_Raw!T363*(1-Deals_Raw!W363),2)</f>
        <v>42669.53</v>
      </c>
      <c r="G360">
        <f t="shared" si="40"/>
        <v>7.310447377829405</v>
      </c>
      <c r="I360">
        <f>Deals_Raw!V363</f>
        <v>7.5999999999999998E-2</v>
      </c>
      <c r="J360">
        <f>Deals_Raw!W363</f>
        <v>4.4999999999999998E-2</v>
      </c>
      <c r="K360" t="str">
        <f>Deals_Raw!Z363</f>
        <v>Sales Manager</v>
      </c>
      <c r="L360" t="str">
        <f t="shared" si="41"/>
        <v>yes</v>
      </c>
      <c r="M360" t="str">
        <f t="shared" si="42"/>
        <v>Pass</v>
      </c>
      <c r="O360">
        <f>Deals_Raw!AP363</f>
        <v>0.54984232903364949</v>
      </c>
      <c r="P360" t="str">
        <f t="shared" si="43"/>
        <v>False</v>
      </c>
      <c r="R360" t="str">
        <f>Deals_Raw!AF363</f>
        <v>Lost</v>
      </c>
      <c r="S360">
        <f t="shared" si="44"/>
        <v>0</v>
      </c>
      <c r="T360">
        <f>Deals_Raw!AM363</f>
        <v>42669.53</v>
      </c>
      <c r="U360">
        <f t="shared" si="45"/>
        <v>0</v>
      </c>
      <c r="V360">
        <f>Deals_Raw!AN363</f>
        <v>42669.53</v>
      </c>
      <c r="W360">
        <f t="shared" si="46"/>
        <v>0</v>
      </c>
      <c r="X360">
        <f>Deals_Raw!AO363</f>
        <v>23461.51375397118</v>
      </c>
      <c r="Y360">
        <f t="shared" si="47"/>
        <v>0</v>
      </c>
      <c r="Z360">
        <f>Deals_Raw!AP363</f>
        <v>0.54984232903364949</v>
      </c>
    </row>
    <row r="361" spans="1:26">
      <c r="A361" t="str">
        <f>Deals_Raw!A364</f>
        <v>D00410</v>
      </c>
      <c r="B361">
        <f>COUNTIF(Deals_Raw!$A$5:$A$643,A361)</f>
        <v>1</v>
      </c>
      <c r="C361" s="12" t="str">
        <f>Deals_Raw!E364</f>
        <v>CT00217</v>
      </c>
      <c r="E361">
        <f>Deals_Raw!AA364</f>
        <v>36405.055331606556</v>
      </c>
      <c r="F361">
        <f>ROUND(Deals_Raw!T364*(1-Deals_Raw!W364),2)</f>
        <v>36393.21</v>
      </c>
      <c r="G361">
        <f t="shared" si="40"/>
        <v>-11.845331606557011</v>
      </c>
      <c r="I361">
        <f>Deals_Raw!V364</f>
        <v>0.27200000000000002</v>
      </c>
      <c r="J361">
        <f>Deals_Raw!W364</f>
        <v>0.22600000000000001</v>
      </c>
      <c r="K361" t="str">
        <f>Deals_Raw!Z364</f>
        <v>Business Manager</v>
      </c>
      <c r="L361" t="str">
        <f t="shared" si="41"/>
        <v>yes</v>
      </c>
      <c r="M361" t="str">
        <f t="shared" si="42"/>
        <v>Pass</v>
      </c>
      <c r="O361">
        <f>Deals_Raw!AP364</f>
        <v>0.6079065340912827</v>
      </c>
      <c r="P361" t="str">
        <f t="shared" si="43"/>
        <v>False</v>
      </c>
      <c r="R361" t="str">
        <f>Deals_Raw!AF364</f>
        <v>Lost</v>
      </c>
      <c r="S361">
        <f t="shared" si="44"/>
        <v>0</v>
      </c>
      <c r="T361">
        <f>Deals_Raw!AM364</f>
        <v>36393.21</v>
      </c>
      <c r="U361">
        <f t="shared" si="45"/>
        <v>0</v>
      </c>
      <c r="V361">
        <f>Deals_Raw!AN364</f>
        <v>36393.21</v>
      </c>
      <c r="W361">
        <f t="shared" si="46"/>
        <v>0</v>
      </c>
      <c r="X361">
        <f>Deals_Raw!AO364</f>
        <v>22123.67015555621</v>
      </c>
      <c r="Y361">
        <f t="shared" si="47"/>
        <v>0</v>
      </c>
      <c r="Z361">
        <f>Deals_Raw!AP364</f>
        <v>0.6079065340912827</v>
      </c>
    </row>
    <row r="362" spans="1:26">
      <c r="A362" t="str">
        <f>Deals_Raw!A365</f>
        <v>D00412</v>
      </c>
      <c r="B362">
        <f>COUNTIF(Deals_Raw!$A$5:$A$643,A362)</f>
        <v>1</v>
      </c>
      <c r="C362" s="12" t="str">
        <f>Deals_Raw!E365</f>
        <v>CT00218</v>
      </c>
      <c r="E362">
        <f>Deals_Raw!AA365</f>
        <v>84268.773472046159</v>
      </c>
      <c r="F362">
        <f>ROUND(Deals_Raw!T365*(1-Deals_Raw!W365),2)</f>
        <v>84240.08</v>
      </c>
      <c r="G362">
        <f t="shared" si="40"/>
        <v>-28.693472046157694</v>
      </c>
      <c r="I362">
        <f>Deals_Raw!V365</f>
        <v>9.0999999999999998E-2</v>
      </c>
      <c r="J362">
        <f>Deals_Raw!W365</f>
        <v>5.5E-2</v>
      </c>
      <c r="K362" t="str">
        <f>Deals_Raw!Z365</f>
        <v>Sales Manager</v>
      </c>
      <c r="L362" t="str">
        <f t="shared" si="41"/>
        <v>yes</v>
      </c>
      <c r="M362" t="str">
        <f t="shared" si="42"/>
        <v>Pass</v>
      </c>
      <c r="O362">
        <f>Deals_Raw!AP365</f>
        <v>0.63037451488437135</v>
      </c>
      <c r="P362" t="str">
        <f t="shared" si="43"/>
        <v>False</v>
      </c>
      <c r="R362" t="str">
        <f>Deals_Raw!AF365</f>
        <v>Lost</v>
      </c>
      <c r="S362">
        <f t="shared" si="44"/>
        <v>0</v>
      </c>
      <c r="T362">
        <f>Deals_Raw!AM365</f>
        <v>84240.08</v>
      </c>
      <c r="U362">
        <f t="shared" si="45"/>
        <v>0</v>
      </c>
      <c r="V362">
        <f>Deals_Raw!AN365</f>
        <v>84240.08</v>
      </c>
      <c r="W362">
        <f t="shared" si="46"/>
        <v>0</v>
      </c>
      <c r="X362">
        <f>Deals_Raw!AO365</f>
        <v>53102.799563820634</v>
      </c>
      <c r="Y362">
        <f t="shared" si="47"/>
        <v>0</v>
      </c>
      <c r="Z362">
        <f>Deals_Raw!AP365</f>
        <v>0.63037451488437135</v>
      </c>
    </row>
    <row r="363" spans="1:26">
      <c r="A363" t="str">
        <f>Deals_Raw!A366</f>
        <v>D00414</v>
      </c>
      <c r="B363">
        <f>COUNTIF(Deals_Raw!$A$5:$A$643,A363)</f>
        <v>1</v>
      </c>
      <c r="C363" s="12" t="str">
        <f>Deals_Raw!E366</f>
        <v>CT00219</v>
      </c>
      <c r="E363">
        <f>Deals_Raw!AA366</f>
        <v>47661.024347113038</v>
      </c>
      <c r="F363">
        <f>ROUND(Deals_Raw!T366*(1-Deals_Raw!W366),2)</f>
        <v>47656.84</v>
      </c>
      <c r="G363">
        <f t="shared" si="40"/>
        <v>-4.18434711304144</v>
      </c>
      <c r="I363">
        <f>Deals_Raw!V366</f>
        <v>7.9000000000000001E-2</v>
      </c>
      <c r="J363">
        <f>Deals_Raw!W366</f>
        <v>3.5999999999999997E-2</v>
      </c>
      <c r="K363" t="str">
        <f>Deals_Raw!Z366</f>
        <v>Sales Manager</v>
      </c>
      <c r="L363" t="str">
        <f t="shared" si="41"/>
        <v>yes</v>
      </c>
      <c r="M363" t="str">
        <f t="shared" si="42"/>
        <v>Pass</v>
      </c>
      <c r="O363">
        <f>Deals_Raw!AP366</f>
        <v>0.73061874390985204</v>
      </c>
      <c r="P363" t="str">
        <f t="shared" si="43"/>
        <v>False</v>
      </c>
      <c r="R363" t="str">
        <f>Deals_Raw!AF366</f>
        <v>Lost</v>
      </c>
      <c r="S363">
        <f t="shared" si="44"/>
        <v>0</v>
      </c>
      <c r="T363">
        <f>Deals_Raw!AM366</f>
        <v>47656.84</v>
      </c>
      <c r="U363">
        <f t="shared" si="45"/>
        <v>0</v>
      </c>
      <c r="V363">
        <f>Deals_Raw!AN366</f>
        <v>47656.84</v>
      </c>
      <c r="W363">
        <f t="shared" si="46"/>
        <v>0</v>
      </c>
      <c r="X363">
        <f>Deals_Raw!AO366</f>
        <v>34818.98057951279</v>
      </c>
      <c r="Y363">
        <f t="shared" si="47"/>
        <v>0</v>
      </c>
      <c r="Z363">
        <f>Deals_Raw!AP366</f>
        <v>0.73061874390985204</v>
      </c>
    </row>
    <row r="364" spans="1:26">
      <c r="A364" t="str">
        <f>Deals_Raw!A367</f>
        <v>D00415</v>
      </c>
      <c r="B364">
        <f>COUNTIF(Deals_Raw!$A$5:$A$643,A364)</f>
        <v>1</v>
      </c>
      <c r="C364" s="12" t="str">
        <f>Deals_Raw!E367</f>
        <v>CT00219</v>
      </c>
      <c r="E364">
        <f>Deals_Raw!AA367</f>
        <v>35531.534155215078</v>
      </c>
      <c r="F364">
        <f>ROUND(Deals_Raw!T367*(1-Deals_Raw!W367),2)</f>
        <v>35515.089999999997</v>
      </c>
      <c r="G364">
        <f t="shared" si="40"/>
        <v>-16.444155215081992</v>
      </c>
      <c r="I364">
        <f>Deals_Raw!V367</f>
        <v>0.121</v>
      </c>
      <c r="J364">
        <f>Deals_Raw!W367</f>
        <v>0.11700000000000001</v>
      </c>
      <c r="K364" t="str">
        <f>Deals_Raw!Z367</f>
        <v>Pricing Analyst</v>
      </c>
      <c r="L364" t="str">
        <f t="shared" si="41"/>
        <v>yes</v>
      </c>
      <c r="M364" t="str">
        <f t="shared" si="42"/>
        <v>Pass</v>
      </c>
      <c r="O364">
        <f>Deals_Raw!AP367</f>
        <v>0.68235270824924332</v>
      </c>
      <c r="P364" t="str">
        <f t="shared" si="43"/>
        <v>False</v>
      </c>
      <c r="R364" t="str">
        <f>Deals_Raw!AF367</f>
        <v>Won</v>
      </c>
      <c r="S364">
        <f t="shared" si="44"/>
        <v>35515.089999999997</v>
      </c>
      <c r="T364">
        <f>Deals_Raw!AM367</f>
        <v>35515.089999999997</v>
      </c>
      <c r="U364">
        <f t="shared" si="45"/>
        <v>35515.089999999997</v>
      </c>
      <c r="V364">
        <f>Deals_Raw!AN367</f>
        <v>35515.089999999997</v>
      </c>
      <c r="W364">
        <f t="shared" si="46"/>
        <v>24233.817845215617</v>
      </c>
      <c r="X364">
        <f>Deals_Raw!AO367</f>
        <v>24233.817845215617</v>
      </c>
      <c r="Y364">
        <f t="shared" si="47"/>
        <v>0.68235270824924332</v>
      </c>
      <c r="Z364">
        <f>Deals_Raw!AP367</f>
        <v>0.68235270824924332</v>
      </c>
    </row>
    <row r="365" spans="1:26">
      <c r="A365" t="str">
        <f>Deals_Raw!A368</f>
        <v>D00416</v>
      </c>
      <c r="B365">
        <f>COUNTIF(Deals_Raw!$A$5:$A$643,A365)</f>
        <v>1</v>
      </c>
      <c r="C365" s="12" t="str">
        <f>Deals_Raw!E368</f>
        <v>CT00219</v>
      </c>
      <c r="E365">
        <f>Deals_Raw!AA368</f>
        <v>43121.418382921453</v>
      </c>
      <c r="F365">
        <f>ROUND(Deals_Raw!T368*(1-Deals_Raw!W368),2)</f>
        <v>43137.98</v>
      </c>
      <c r="G365">
        <f t="shared" si="40"/>
        <v>16.561617078550626</v>
      </c>
      <c r="I365">
        <f>Deals_Raw!V368</f>
        <v>0.107</v>
      </c>
      <c r="J365">
        <f>Deals_Raw!W368</f>
        <v>9.2999999999999999E-2</v>
      </c>
      <c r="K365" t="str">
        <f>Deals_Raw!Z368</f>
        <v>Sales Manager</v>
      </c>
      <c r="L365" t="str">
        <f t="shared" si="41"/>
        <v>yes</v>
      </c>
      <c r="M365" t="str">
        <f t="shared" si="42"/>
        <v>Pass</v>
      </c>
      <c r="O365">
        <f>Deals_Raw!AP368</f>
        <v>0.67653309191805466</v>
      </c>
      <c r="P365" t="str">
        <f t="shared" si="43"/>
        <v>False</v>
      </c>
      <c r="R365" t="str">
        <f>Deals_Raw!AF368</f>
        <v>Won</v>
      </c>
      <c r="S365">
        <f t="shared" si="44"/>
        <v>43137.98</v>
      </c>
      <c r="T365">
        <f>Deals_Raw!AM368</f>
        <v>43137.98</v>
      </c>
      <c r="U365">
        <f t="shared" si="45"/>
        <v>43137.98</v>
      </c>
      <c r="V365">
        <f>Deals_Raw!AN368</f>
        <v>43137.98</v>
      </c>
      <c r="W365">
        <f t="shared" si="46"/>
        <v>29184.270988499207</v>
      </c>
      <c r="X365">
        <f>Deals_Raw!AO368</f>
        <v>29184.270988499207</v>
      </c>
      <c r="Y365">
        <f t="shared" si="47"/>
        <v>0.67653309191805466</v>
      </c>
      <c r="Z365">
        <f>Deals_Raw!AP368</f>
        <v>0.67653309191805466</v>
      </c>
    </row>
    <row r="366" spans="1:26">
      <c r="A366" t="str">
        <f>Deals_Raw!A369</f>
        <v>D00417</v>
      </c>
      <c r="B366">
        <f>COUNTIF(Deals_Raw!$A$5:$A$643,A366)</f>
        <v>1</v>
      </c>
      <c r="C366" s="12" t="str">
        <f>Deals_Raw!E369</f>
        <v>CT00219</v>
      </c>
      <c r="E366">
        <f>Deals_Raw!AA369</f>
        <v>42125.536890554758</v>
      </c>
      <c r="F366">
        <f>ROUND(Deals_Raw!T369*(1-Deals_Raw!W369),2)</f>
        <v>42150.46</v>
      </c>
      <c r="G366">
        <f t="shared" si="40"/>
        <v>24.923109445240698</v>
      </c>
      <c r="I366">
        <f>Deals_Raw!V369</f>
        <v>0.21199999999999999</v>
      </c>
      <c r="J366">
        <f>Deals_Raw!W369</f>
        <v>0.17299999999999999</v>
      </c>
      <c r="K366" t="str">
        <f>Deals_Raw!Z369</f>
        <v>Pricing Analyst</v>
      </c>
      <c r="L366" t="str">
        <f t="shared" si="41"/>
        <v>yes</v>
      </c>
      <c r="M366" t="str">
        <f t="shared" si="42"/>
        <v>Pass</v>
      </c>
      <c r="O366">
        <f>Deals_Raw!AP369</f>
        <v>0.67572898455493891</v>
      </c>
      <c r="P366" t="str">
        <f t="shared" si="43"/>
        <v>False</v>
      </c>
      <c r="R366" t="str">
        <f>Deals_Raw!AF369</f>
        <v>Won</v>
      </c>
      <c r="S366">
        <f t="shared" si="44"/>
        <v>42150.46</v>
      </c>
      <c r="T366">
        <f>Deals_Raw!AM369</f>
        <v>42150.46</v>
      </c>
      <c r="U366">
        <f t="shared" si="45"/>
        <v>42150.46</v>
      </c>
      <c r="V366">
        <f>Deals_Raw!AN369</f>
        <v>42150.46</v>
      </c>
      <c r="W366">
        <f t="shared" si="46"/>
        <v>28482.287534323568</v>
      </c>
      <c r="X366">
        <f>Deals_Raw!AO369</f>
        <v>28482.287534323568</v>
      </c>
      <c r="Y366">
        <f t="shared" si="47"/>
        <v>0.67572898455493891</v>
      </c>
      <c r="Z366">
        <f>Deals_Raw!AP369</f>
        <v>0.67572898455493891</v>
      </c>
    </row>
    <row r="367" spans="1:26">
      <c r="A367" t="str">
        <f>Deals_Raw!A370</f>
        <v>D00419</v>
      </c>
      <c r="B367">
        <f>COUNTIF(Deals_Raw!$A$5:$A$643,A367)</f>
        <v>1</v>
      </c>
      <c r="C367" s="12" t="str">
        <f>Deals_Raw!E370</f>
        <v>CT00220</v>
      </c>
      <c r="E367">
        <f>Deals_Raw!AA370</f>
        <v>166902.24703369016</v>
      </c>
      <c r="F367">
        <f>ROUND(Deals_Raw!T370*(1-Deals_Raw!W370),2)</f>
        <v>166936.07999999999</v>
      </c>
      <c r="G367">
        <f t="shared" si="40"/>
        <v>33.832966309826588</v>
      </c>
      <c r="I367">
        <f>Deals_Raw!V370</f>
        <v>0.19800000000000001</v>
      </c>
      <c r="J367">
        <f>Deals_Raw!W370</f>
        <v>0.19700000000000001</v>
      </c>
      <c r="K367" t="str">
        <f>Deals_Raw!Z370</f>
        <v>Pricing Analyst</v>
      </c>
      <c r="L367" t="str">
        <f t="shared" si="41"/>
        <v>yes</v>
      </c>
      <c r="M367" t="str">
        <f t="shared" si="42"/>
        <v>Pass</v>
      </c>
      <c r="O367">
        <f>Deals_Raw!AP370</f>
        <v>0.54170632746069225</v>
      </c>
      <c r="P367" t="str">
        <f t="shared" si="43"/>
        <v>False</v>
      </c>
      <c r="R367" t="str">
        <f>Deals_Raw!AF370</f>
        <v>Lost</v>
      </c>
      <c r="S367">
        <f t="shared" si="44"/>
        <v>0</v>
      </c>
      <c r="T367">
        <f>Deals_Raw!AM370</f>
        <v>166936.07999999999</v>
      </c>
      <c r="U367">
        <f t="shared" si="45"/>
        <v>0</v>
      </c>
      <c r="V367">
        <f>Deals_Raw!AN370</f>
        <v>166936.07999999999</v>
      </c>
      <c r="W367">
        <f t="shared" si="46"/>
        <v>0</v>
      </c>
      <c r="X367">
        <f>Deals_Raw!AO370</f>
        <v>90430.330817484311</v>
      </c>
      <c r="Y367">
        <f t="shared" si="47"/>
        <v>0</v>
      </c>
      <c r="Z367">
        <f>Deals_Raw!AP370</f>
        <v>0.54170632746069225</v>
      </c>
    </row>
    <row r="368" spans="1:26">
      <c r="A368" t="str">
        <f>Deals_Raw!A371</f>
        <v>D00420</v>
      </c>
      <c r="B368">
        <f>COUNTIF(Deals_Raw!$A$5:$A$643,A368)</f>
        <v>1</v>
      </c>
      <c r="C368" s="12" t="str">
        <f>Deals_Raw!E371</f>
        <v>CT00221</v>
      </c>
      <c r="E368">
        <f>Deals_Raw!AA371</f>
        <v>29377.226397600996</v>
      </c>
      <c r="F368">
        <f>ROUND(Deals_Raw!T371*(1-Deals_Raw!W371),2)</f>
        <v>29363.5</v>
      </c>
      <c r="G368">
        <f t="shared" si="40"/>
        <v>-13.726397600996279</v>
      </c>
      <c r="I368">
        <f>Deals_Raw!V371</f>
        <v>0.182</v>
      </c>
      <c r="J368">
        <f>Deals_Raw!W371</f>
        <v>0.17100000000000001</v>
      </c>
      <c r="K368" t="str">
        <f>Deals_Raw!Z371</f>
        <v>Pricing Analyst</v>
      </c>
      <c r="L368" t="str">
        <f t="shared" si="41"/>
        <v>yes</v>
      </c>
      <c r="M368" t="str">
        <f t="shared" si="42"/>
        <v>Pass</v>
      </c>
      <c r="O368">
        <f>Deals_Raw!AP371</f>
        <v>0.64719801022247603</v>
      </c>
      <c r="P368" t="str">
        <f t="shared" si="43"/>
        <v>False</v>
      </c>
      <c r="R368" t="str">
        <f>Deals_Raw!AF371</f>
        <v>Won</v>
      </c>
      <c r="S368">
        <f t="shared" si="44"/>
        <v>29363.5</v>
      </c>
      <c r="T368">
        <f>Deals_Raw!AM371</f>
        <v>29363.5</v>
      </c>
      <c r="U368">
        <f t="shared" si="45"/>
        <v>29363.5</v>
      </c>
      <c r="V368">
        <f>Deals_Raw!AN371</f>
        <v>29363.5</v>
      </c>
      <c r="W368">
        <f t="shared" si="46"/>
        <v>19003.998773167674</v>
      </c>
      <c r="X368">
        <f>Deals_Raw!AO371</f>
        <v>19003.998773167674</v>
      </c>
      <c r="Y368">
        <f t="shared" si="47"/>
        <v>0.64719801022247603</v>
      </c>
      <c r="Z368">
        <f>Deals_Raw!AP371</f>
        <v>0.64719801022247603</v>
      </c>
    </row>
    <row r="369" spans="1:26">
      <c r="A369" t="str">
        <f>Deals_Raw!A372</f>
        <v>D00421</v>
      </c>
      <c r="B369">
        <f>COUNTIF(Deals_Raw!$A$5:$A$643,A369)</f>
        <v>1</v>
      </c>
      <c r="C369" s="12" t="str">
        <f>Deals_Raw!E372</f>
        <v>CT00221</v>
      </c>
      <c r="E369">
        <f>Deals_Raw!AA372</f>
        <v>38598.269584139438</v>
      </c>
      <c r="F369">
        <f>ROUND(Deals_Raw!T372*(1-Deals_Raw!W372),2)</f>
        <v>38580.82</v>
      </c>
      <c r="G369">
        <f t="shared" si="40"/>
        <v>-17.44958413943823</v>
      </c>
      <c r="I369">
        <f>Deals_Raw!V372</f>
        <v>9.4E-2</v>
      </c>
      <c r="J369">
        <f>Deals_Raw!W372</f>
        <v>7.9000000000000001E-2</v>
      </c>
      <c r="K369" t="str">
        <f>Deals_Raw!Z372</f>
        <v>Sales Manager</v>
      </c>
      <c r="L369" t="str">
        <f t="shared" si="41"/>
        <v>yes</v>
      </c>
      <c r="M369" t="str">
        <f t="shared" si="42"/>
        <v>Pass</v>
      </c>
      <c r="O369">
        <f>Deals_Raw!AP372</f>
        <v>0.70228018361565836</v>
      </c>
      <c r="P369" t="str">
        <f t="shared" si="43"/>
        <v>False</v>
      </c>
      <c r="R369" t="str">
        <f>Deals_Raw!AF372</f>
        <v>Won</v>
      </c>
      <c r="S369">
        <f t="shared" si="44"/>
        <v>38580.82</v>
      </c>
      <c r="T369">
        <f>Deals_Raw!AM372</f>
        <v>38580.82</v>
      </c>
      <c r="U369">
        <f t="shared" si="45"/>
        <v>38580.82</v>
      </c>
      <c r="V369">
        <f>Deals_Raw!AN372</f>
        <v>38580.82</v>
      </c>
      <c r="W369">
        <f t="shared" si="46"/>
        <v>27094.545353642665</v>
      </c>
      <c r="X369">
        <f>Deals_Raw!AO372</f>
        <v>27094.545353642665</v>
      </c>
      <c r="Y369">
        <f t="shared" si="47"/>
        <v>0.70228018361565836</v>
      </c>
      <c r="Z369">
        <f>Deals_Raw!AP372</f>
        <v>0.70228018361565836</v>
      </c>
    </row>
    <row r="370" spans="1:26">
      <c r="A370" t="str">
        <f>Deals_Raw!A373</f>
        <v>D00422</v>
      </c>
      <c r="B370">
        <f>COUNTIF(Deals_Raw!$A$5:$A$643,A370)</f>
        <v>1</v>
      </c>
      <c r="C370" s="12" t="str">
        <f>Deals_Raw!E373</f>
        <v>CT00221</v>
      </c>
      <c r="E370">
        <f>Deals_Raw!AA373</f>
        <v>35644.738404286203</v>
      </c>
      <c r="F370">
        <f>ROUND(Deals_Raw!T373*(1-Deals_Raw!W373),2)</f>
        <v>35663.58</v>
      </c>
      <c r="G370">
        <f t="shared" si="40"/>
        <v>18.841595713798597</v>
      </c>
      <c r="I370">
        <f>Deals_Raw!V373</f>
        <v>0.19400000000000001</v>
      </c>
      <c r="J370">
        <f>Deals_Raw!W373</f>
        <v>0.185</v>
      </c>
      <c r="K370" t="str">
        <f>Deals_Raw!Z373</f>
        <v>Pricing Analyst</v>
      </c>
      <c r="L370" t="str">
        <f t="shared" si="41"/>
        <v>yes</v>
      </c>
      <c r="M370" t="str">
        <f t="shared" si="42"/>
        <v>Pass</v>
      </c>
      <c r="O370">
        <f>Deals_Raw!AP373</f>
        <v>0.64927963609685424</v>
      </c>
      <c r="P370" t="str">
        <f t="shared" si="43"/>
        <v>False</v>
      </c>
      <c r="R370" t="str">
        <f>Deals_Raw!AF373</f>
        <v>Lost</v>
      </c>
      <c r="S370">
        <f t="shared" si="44"/>
        <v>0</v>
      </c>
      <c r="T370">
        <f>Deals_Raw!AM373</f>
        <v>35663.58</v>
      </c>
      <c r="U370">
        <f t="shared" si="45"/>
        <v>0</v>
      </c>
      <c r="V370">
        <f>Deals_Raw!AN373</f>
        <v>35663.58</v>
      </c>
      <c r="W370">
        <f t="shared" si="46"/>
        <v>0</v>
      </c>
      <c r="X370">
        <f>Deals_Raw!AO373</f>
        <v>23155.636244311048</v>
      </c>
      <c r="Y370">
        <f t="shared" si="47"/>
        <v>0</v>
      </c>
      <c r="Z370">
        <f>Deals_Raw!AP373</f>
        <v>0.64927963609685424</v>
      </c>
    </row>
    <row r="371" spans="1:26">
      <c r="A371" t="str">
        <f>Deals_Raw!A374</f>
        <v>D00424</v>
      </c>
      <c r="B371">
        <f>COUNTIF(Deals_Raw!$A$5:$A$643,A371)</f>
        <v>1</v>
      </c>
      <c r="C371" s="12" t="str">
        <f>Deals_Raw!E374</f>
        <v>CT00222</v>
      </c>
      <c r="E371">
        <f>Deals_Raw!AA374</f>
        <v>82237.484562597107</v>
      </c>
      <c r="F371">
        <f>ROUND(Deals_Raw!T374*(1-Deals_Raw!W374),2)</f>
        <v>82267.100000000006</v>
      </c>
      <c r="G371">
        <f t="shared" si="40"/>
        <v>29.615437402899261</v>
      </c>
      <c r="I371">
        <f>Deals_Raw!V374</f>
        <v>8.5999999999999993E-2</v>
      </c>
      <c r="J371">
        <f>Deals_Raw!W374</f>
        <v>2.9000000000000001E-2</v>
      </c>
      <c r="K371" t="str">
        <f>Deals_Raw!Z374</f>
        <v>Sales Manager</v>
      </c>
      <c r="L371" t="str">
        <f t="shared" si="41"/>
        <v>yes</v>
      </c>
      <c r="M371" t="str">
        <f t="shared" si="42"/>
        <v>Pass</v>
      </c>
      <c r="O371">
        <f>Deals_Raw!AP374</f>
        <v>0.67363429064788827</v>
      </c>
      <c r="P371" t="str">
        <f t="shared" si="43"/>
        <v>False</v>
      </c>
      <c r="R371" t="str">
        <f>Deals_Raw!AF374</f>
        <v>Won</v>
      </c>
      <c r="S371">
        <f t="shared" si="44"/>
        <v>82267.100000000006</v>
      </c>
      <c r="T371">
        <f>Deals_Raw!AM374</f>
        <v>82267.100000000006</v>
      </c>
      <c r="U371">
        <f t="shared" si="45"/>
        <v>164534.20000000001</v>
      </c>
      <c r="V371">
        <f>Deals_Raw!AN374</f>
        <v>164534.20000000001</v>
      </c>
      <c r="W371">
        <f t="shared" si="46"/>
        <v>55417.939552158889</v>
      </c>
      <c r="X371">
        <f>Deals_Raw!AO374</f>
        <v>55417.939552158889</v>
      </c>
      <c r="Y371">
        <f t="shared" si="47"/>
        <v>0.67363429064788827</v>
      </c>
      <c r="Z371">
        <f>Deals_Raw!AP374</f>
        <v>0.67363429064788827</v>
      </c>
    </row>
    <row r="372" spans="1:26">
      <c r="A372" t="str">
        <f>Deals_Raw!A375</f>
        <v>D00425</v>
      </c>
      <c r="B372">
        <f>COUNTIF(Deals_Raw!$A$5:$A$643,A372)</f>
        <v>1</v>
      </c>
      <c r="C372" s="12" t="str">
        <f>Deals_Raw!E375</f>
        <v>CT00223</v>
      </c>
      <c r="E372">
        <f>Deals_Raw!AA375</f>
        <v>92439.681344045268</v>
      </c>
      <c r="F372">
        <f>ROUND(Deals_Raw!T375*(1-Deals_Raw!W375),2)</f>
        <v>92422.11</v>
      </c>
      <c r="G372">
        <f t="shared" si="40"/>
        <v>-17.571344045267324</v>
      </c>
      <c r="I372">
        <f>Deals_Raw!V375</f>
        <v>0.11600000000000001</v>
      </c>
      <c r="J372">
        <f>Deals_Raw!W375</f>
        <v>7.8E-2</v>
      </c>
      <c r="K372" t="str">
        <f>Deals_Raw!Z375</f>
        <v>Sales Manager</v>
      </c>
      <c r="L372" t="str">
        <f t="shared" si="41"/>
        <v>yes</v>
      </c>
      <c r="M372" t="str">
        <f t="shared" si="42"/>
        <v>Pass</v>
      </c>
      <c r="O372">
        <f>Deals_Raw!AP375</f>
        <v>0.62260175808851104</v>
      </c>
      <c r="P372" t="str">
        <f t="shared" si="43"/>
        <v>False</v>
      </c>
      <c r="R372" t="str">
        <f>Deals_Raw!AF375</f>
        <v>Won</v>
      </c>
      <c r="S372">
        <f t="shared" si="44"/>
        <v>92422.11</v>
      </c>
      <c r="T372">
        <f>Deals_Raw!AM375</f>
        <v>92422.11</v>
      </c>
      <c r="U372">
        <f t="shared" si="45"/>
        <v>277266.33</v>
      </c>
      <c r="V372">
        <f>Deals_Raw!AN375</f>
        <v>277266.33</v>
      </c>
      <c r="W372">
        <f t="shared" si="46"/>
        <v>57542.16817224976</v>
      </c>
      <c r="X372">
        <f>Deals_Raw!AO375</f>
        <v>57542.16817224976</v>
      </c>
      <c r="Y372">
        <f t="shared" si="47"/>
        <v>0.62260175808851104</v>
      </c>
      <c r="Z372">
        <f>Deals_Raw!AP375</f>
        <v>0.62260175808851104</v>
      </c>
    </row>
    <row r="373" spans="1:26">
      <c r="A373" t="str">
        <f>Deals_Raw!A376</f>
        <v>D00426</v>
      </c>
      <c r="B373">
        <f>COUNTIF(Deals_Raw!$A$5:$A$643,A373)</f>
        <v>1</v>
      </c>
      <c r="C373" s="12" t="str">
        <f>Deals_Raw!E376</f>
        <v>CT00224</v>
      </c>
      <c r="E373">
        <f>Deals_Raw!AA376</f>
        <v>277274.57957356208</v>
      </c>
      <c r="F373">
        <f>ROUND(Deals_Raw!T376*(1-Deals_Raw!W376),2)</f>
        <v>277394.83</v>
      </c>
      <c r="G373">
        <f t="shared" si="40"/>
        <v>120.25042643793859</v>
      </c>
      <c r="I373">
        <f>Deals_Raw!V376</f>
        <v>0.22600000000000001</v>
      </c>
      <c r="J373">
        <f>Deals_Raw!W376</f>
        <v>0.19700000000000001</v>
      </c>
      <c r="K373" t="str">
        <f>Deals_Raw!Z376</f>
        <v>Pricing Analyst</v>
      </c>
      <c r="L373" t="str">
        <f t="shared" si="41"/>
        <v>yes</v>
      </c>
      <c r="M373" t="str">
        <f t="shared" si="42"/>
        <v>Pass</v>
      </c>
      <c r="O373">
        <f>Deals_Raw!AP376</f>
        <v>0.52498040387105949</v>
      </c>
      <c r="P373" t="str">
        <f t="shared" si="43"/>
        <v>False</v>
      </c>
      <c r="R373" t="str">
        <f>Deals_Raw!AF376</f>
        <v>Lost</v>
      </c>
      <c r="S373">
        <f t="shared" si="44"/>
        <v>0</v>
      </c>
      <c r="T373">
        <f>Deals_Raw!AM376</f>
        <v>277394.83</v>
      </c>
      <c r="U373">
        <f t="shared" si="45"/>
        <v>0</v>
      </c>
      <c r="V373">
        <f>Deals_Raw!AN376</f>
        <v>277394.83</v>
      </c>
      <c r="W373">
        <f t="shared" si="46"/>
        <v>0</v>
      </c>
      <c r="X373">
        <f>Deals_Raw!AO376</f>
        <v>145626.84988514389</v>
      </c>
      <c r="Y373">
        <f t="shared" si="47"/>
        <v>0</v>
      </c>
      <c r="Z373">
        <f>Deals_Raw!AP376</f>
        <v>0.52498040387105949</v>
      </c>
    </row>
    <row r="374" spans="1:26">
      <c r="A374" t="str">
        <f>Deals_Raw!A377</f>
        <v>D00427</v>
      </c>
      <c r="B374">
        <f>COUNTIF(Deals_Raw!$A$5:$A$643,A374)</f>
        <v>1</v>
      </c>
      <c r="C374" s="12" t="str">
        <f>Deals_Raw!E377</f>
        <v>CT00225</v>
      </c>
      <c r="E374">
        <f>Deals_Raw!AA377</f>
        <v>114534.4997453237</v>
      </c>
      <c r="F374">
        <f>ROUND(Deals_Raw!T377*(1-Deals_Raw!W377),2)</f>
        <v>114492.02</v>
      </c>
      <c r="G374">
        <f t="shared" si="40"/>
        <v>-42.479745323696989</v>
      </c>
      <c r="I374">
        <f>Deals_Raw!V377</f>
        <v>0.14000000000000001</v>
      </c>
      <c r="J374">
        <f>Deals_Raw!W377</f>
        <v>0.124</v>
      </c>
      <c r="K374" t="str">
        <f>Deals_Raw!Z377</f>
        <v>Pricing Analyst</v>
      </c>
      <c r="L374" t="str">
        <f t="shared" si="41"/>
        <v>yes</v>
      </c>
      <c r="M374" t="str">
        <f t="shared" si="42"/>
        <v>Pass</v>
      </c>
      <c r="O374">
        <f>Deals_Raw!AP377</f>
        <v>0.62132608464388683</v>
      </c>
      <c r="P374" t="str">
        <f t="shared" si="43"/>
        <v>False</v>
      </c>
      <c r="R374" t="str">
        <f>Deals_Raw!AF377</f>
        <v>Lost</v>
      </c>
      <c r="S374">
        <f t="shared" si="44"/>
        <v>0</v>
      </c>
      <c r="T374">
        <f>Deals_Raw!AM377</f>
        <v>114492.02</v>
      </c>
      <c r="U374">
        <f t="shared" si="45"/>
        <v>0</v>
      </c>
      <c r="V374">
        <f>Deals_Raw!AN377</f>
        <v>114492.02</v>
      </c>
      <c r="W374">
        <f t="shared" si="46"/>
        <v>0</v>
      </c>
      <c r="X374">
        <f>Deals_Raw!AO377</f>
        <v>71136.878509569593</v>
      </c>
      <c r="Y374">
        <f t="shared" si="47"/>
        <v>0</v>
      </c>
      <c r="Z374">
        <f>Deals_Raw!AP377</f>
        <v>0.62132608464388683</v>
      </c>
    </row>
    <row r="375" spans="1:26">
      <c r="A375" t="str">
        <f>Deals_Raw!A378</f>
        <v>D00428</v>
      </c>
      <c r="B375">
        <f>COUNTIF(Deals_Raw!$A$5:$A$643,A375)</f>
        <v>1</v>
      </c>
      <c r="C375" s="12" t="str">
        <f>Deals_Raw!E378</f>
        <v>CT00227</v>
      </c>
      <c r="E375">
        <f>Deals_Raw!AA378</f>
        <v>47614.992502063651</v>
      </c>
      <c r="F375">
        <f>ROUND(Deals_Raw!T378*(1-Deals_Raw!W378),2)</f>
        <v>47638.95</v>
      </c>
      <c r="G375">
        <f t="shared" si="40"/>
        <v>23.957497936346044</v>
      </c>
      <c r="I375">
        <f>Deals_Raw!V378</f>
        <v>7.4999999999999997E-2</v>
      </c>
      <c r="J375">
        <f>Deals_Raw!W378</f>
        <v>5.1999999999999998E-2</v>
      </c>
      <c r="K375" t="str">
        <f>Deals_Raw!Z378</f>
        <v>Sales Manager</v>
      </c>
      <c r="L375" t="str">
        <f t="shared" si="41"/>
        <v>yes</v>
      </c>
      <c r="M375" t="str">
        <f t="shared" si="42"/>
        <v>Pass</v>
      </c>
      <c r="O375">
        <f>Deals_Raw!AP378</f>
        <v>0.61972110672798242</v>
      </c>
      <c r="P375" t="str">
        <f t="shared" si="43"/>
        <v>False</v>
      </c>
      <c r="R375" t="str">
        <f>Deals_Raw!AF378</f>
        <v>Won</v>
      </c>
      <c r="S375">
        <f t="shared" si="44"/>
        <v>47638.95</v>
      </c>
      <c r="T375">
        <f>Deals_Raw!AM378</f>
        <v>47638.95</v>
      </c>
      <c r="U375">
        <f t="shared" si="45"/>
        <v>95277.9</v>
      </c>
      <c r="V375">
        <f>Deals_Raw!AN378</f>
        <v>95277.9</v>
      </c>
      <c r="W375">
        <f t="shared" si="46"/>
        <v>29522.862817359015</v>
      </c>
      <c r="X375">
        <f>Deals_Raw!AO378</f>
        <v>29522.862817359015</v>
      </c>
      <c r="Y375">
        <f t="shared" si="47"/>
        <v>0.61972110672798242</v>
      </c>
      <c r="Z375">
        <f>Deals_Raw!AP378</f>
        <v>0.61972110672798242</v>
      </c>
    </row>
    <row r="376" spans="1:26">
      <c r="A376" t="str">
        <f>Deals_Raw!A379</f>
        <v>D00429</v>
      </c>
      <c r="B376">
        <f>COUNTIF(Deals_Raw!$A$5:$A$643,A376)</f>
        <v>1</v>
      </c>
      <c r="C376" s="12" t="str">
        <f>Deals_Raw!E379</f>
        <v>CT00228</v>
      </c>
      <c r="E376">
        <f>Deals_Raw!AA379</f>
        <v>79787.444375253894</v>
      </c>
      <c r="F376">
        <f>ROUND(Deals_Raw!T379*(1-Deals_Raw!W379),2)</f>
        <v>79818.789999999994</v>
      </c>
      <c r="G376">
        <f t="shared" si="40"/>
        <v>31.345624746099929</v>
      </c>
      <c r="I376">
        <f>Deals_Raw!V379</f>
        <v>0.24299999999999999</v>
      </c>
      <c r="J376">
        <f>Deals_Raw!W379</f>
        <v>0.24</v>
      </c>
      <c r="K376" t="str">
        <f>Deals_Raw!Z379</f>
        <v>Business Manager</v>
      </c>
      <c r="L376" t="str">
        <f t="shared" si="41"/>
        <v>yes</v>
      </c>
      <c r="M376" t="str">
        <f t="shared" si="42"/>
        <v>Pass</v>
      </c>
      <c r="O376">
        <f>Deals_Raw!AP379</f>
        <v>0.52582161976391106</v>
      </c>
      <c r="P376" t="str">
        <f t="shared" si="43"/>
        <v>False</v>
      </c>
      <c r="R376" t="str">
        <f>Deals_Raw!AF379</f>
        <v>Won</v>
      </c>
      <c r="S376">
        <f t="shared" si="44"/>
        <v>79818.789999999994</v>
      </c>
      <c r="T376">
        <f>Deals_Raw!AM379</f>
        <v>79818.789999999994</v>
      </c>
      <c r="U376">
        <f t="shared" si="45"/>
        <v>159637.57999999999</v>
      </c>
      <c r="V376">
        <f>Deals_Raw!AN379</f>
        <v>159637.57999999999</v>
      </c>
      <c r="W376">
        <f t="shared" si="46"/>
        <v>41970.44544539546</v>
      </c>
      <c r="X376">
        <f>Deals_Raw!AO379</f>
        <v>41970.44544539546</v>
      </c>
      <c r="Y376">
        <f t="shared" si="47"/>
        <v>0.52582161976391106</v>
      </c>
      <c r="Z376">
        <f>Deals_Raw!AP379</f>
        <v>0.52582161976391106</v>
      </c>
    </row>
    <row r="377" spans="1:26">
      <c r="A377" t="str">
        <f>Deals_Raw!A380</f>
        <v>D00431</v>
      </c>
      <c r="B377">
        <f>COUNTIF(Deals_Raw!$A$5:$A$643,A377)</f>
        <v>1</v>
      </c>
      <c r="C377" s="12" t="str">
        <f>Deals_Raw!E380</f>
        <v>CT00229</v>
      </c>
      <c r="E377">
        <f>Deals_Raw!AA380</f>
        <v>220192.56125603881</v>
      </c>
      <c r="F377">
        <f>ROUND(Deals_Raw!T380*(1-Deals_Raw!W380),2)</f>
        <v>220143.06</v>
      </c>
      <c r="G377">
        <f t="shared" si="40"/>
        <v>-49.501256038813153</v>
      </c>
      <c r="I377">
        <f>Deals_Raw!V380</f>
        <v>0.106</v>
      </c>
      <c r="J377">
        <f>Deals_Raw!W380</f>
        <v>0.10100000000000001</v>
      </c>
      <c r="K377" t="str">
        <f>Deals_Raw!Z380</f>
        <v>Pricing Analyst</v>
      </c>
      <c r="L377" t="str">
        <f t="shared" si="41"/>
        <v>yes</v>
      </c>
      <c r="M377" t="str">
        <f t="shared" si="42"/>
        <v>Pass</v>
      </c>
      <c r="O377">
        <f>Deals_Raw!AP380</f>
        <v>0.65755014120540789</v>
      </c>
      <c r="P377" t="str">
        <f t="shared" si="43"/>
        <v>False</v>
      </c>
      <c r="R377" t="str">
        <f>Deals_Raw!AF380</f>
        <v>Won</v>
      </c>
      <c r="S377">
        <f t="shared" si="44"/>
        <v>220143.06</v>
      </c>
      <c r="T377">
        <f>Deals_Raw!AM380</f>
        <v>220143.06</v>
      </c>
      <c r="U377">
        <f t="shared" si="45"/>
        <v>220143.06</v>
      </c>
      <c r="V377">
        <f>Deals_Raw!AN380</f>
        <v>220143.06</v>
      </c>
      <c r="W377">
        <f t="shared" si="46"/>
        <v>144755.10018839058</v>
      </c>
      <c r="X377">
        <f>Deals_Raw!AO380</f>
        <v>144755.10018839058</v>
      </c>
      <c r="Y377">
        <f t="shared" si="47"/>
        <v>0.65755014120540789</v>
      </c>
      <c r="Z377">
        <f>Deals_Raw!AP380</f>
        <v>0.65755014120540789</v>
      </c>
    </row>
    <row r="378" spans="1:26">
      <c r="A378" t="str">
        <f>Deals_Raw!A381</f>
        <v>D00432</v>
      </c>
      <c r="B378">
        <f>COUNTIF(Deals_Raw!$A$5:$A$643,A378)</f>
        <v>1</v>
      </c>
      <c r="C378" s="12" t="str">
        <f>Deals_Raw!E381</f>
        <v>CT00229</v>
      </c>
      <c r="E378">
        <f>Deals_Raw!AA381</f>
        <v>232284.15238575632</v>
      </c>
      <c r="F378">
        <f>ROUND(Deals_Raw!T381*(1-Deals_Raw!W381),2)</f>
        <v>232339.88</v>
      </c>
      <c r="G378">
        <f t="shared" si="40"/>
        <v>55.727614243689459</v>
      </c>
      <c r="I378">
        <f>Deals_Raw!V381</f>
        <v>0.11799999999999999</v>
      </c>
      <c r="J378">
        <f>Deals_Raw!W381</f>
        <v>9.5000000000000001E-2</v>
      </c>
      <c r="K378" t="str">
        <f>Deals_Raw!Z381</f>
        <v>Sales Manager</v>
      </c>
      <c r="L378" t="str">
        <f t="shared" si="41"/>
        <v>yes</v>
      </c>
      <c r="M378" t="str">
        <f t="shared" si="42"/>
        <v>Pass</v>
      </c>
      <c r="O378">
        <f>Deals_Raw!AP381</f>
        <v>0.63394695610184781</v>
      </c>
      <c r="P378" t="str">
        <f t="shared" si="43"/>
        <v>False</v>
      </c>
      <c r="R378" t="str">
        <f>Deals_Raw!AF381</f>
        <v>Won</v>
      </c>
      <c r="S378">
        <f t="shared" si="44"/>
        <v>232339.88</v>
      </c>
      <c r="T378">
        <f>Deals_Raw!AM381</f>
        <v>232339.88</v>
      </c>
      <c r="U378">
        <f t="shared" si="45"/>
        <v>232339.88</v>
      </c>
      <c r="V378">
        <f>Deals_Raw!AN381</f>
        <v>232339.88</v>
      </c>
      <c r="W378">
        <f t="shared" si="46"/>
        <v>147291.15970706858</v>
      </c>
      <c r="X378">
        <f>Deals_Raw!AO381</f>
        <v>147291.15970706858</v>
      </c>
      <c r="Y378">
        <f t="shared" si="47"/>
        <v>0.63394695610184781</v>
      </c>
      <c r="Z378">
        <f>Deals_Raw!AP381</f>
        <v>0.63394695610184781</v>
      </c>
    </row>
    <row r="379" spans="1:26">
      <c r="A379" t="str">
        <f>Deals_Raw!A382</f>
        <v>D00433</v>
      </c>
      <c r="B379">
        <f>COUNTIF(Deals_Raw!$A$5:$A$643,A379)</f>
        <v>1</v>
      </c>
      <c r="C379" s="12" t="str">
        <f>Deals_Raw!E382</f>
        <v>CT00230</v>
      </c>
      <c r="E379">
        <f>Deals_Raw!AA382</f>
        <v>1077183.697232598</v>
      </c>
      <c r="F379">
        <f>ROUND(Deals_Raw!T382*(1-Deals_Raw!W382),2)</f>
        <v>1076963.6599999999</v>
      </c>
      <c r="G379">
        <f t="shared" si="40"/>
        <v>-220.03723259805702</v>
      </c>
      <c r="I379">
        <f>Deals_Raw!V382</f>
        <v>0.14000000000000001</v>
      </c>
      <c r="J379">
        <f>Deals_Raw!W382</f>
        <v>0.105</v>
      </c>
      <c r="K379" t="str">
        <f>Deals_Raw!Z382</f>
        <v>Pricing Analyst</v>
      </c>
      <c r="L379" t="str">
        <f t="shared" si="41"/>
        <v>yes</v>
      </c>
      <c r="M379" t="str">
        <f t="shared" si="42"/>
        <v>Pass</v>
      </c>
      <c r="O379">
        <f>Deals_Raw!AP382</f>
        <v>0.60580337182362054</v>
      </c>
      <c r="P379" t="str">
        <f t="shared" si="43"/>
        <v>False</v>
      </c>
      <c r="R379" t="str">
        <f>Deals_Raw!AF382</f>
        <v>Lost</v>
      </c>
      <c r="S379">
        <f t="shared" si="44"/>
        <v>0</v>
      </c>
      <c r="T379">
        <f>Deals_Raw!AM382</f>
        <v>1076963.6599999999</v>
      </c>
      <c r="U379">
        <f t="shared" si="45"/>
        <v>0</v>
      </c>
      <c r="V379">
        <f>Deals_Raw!AN382</f>
        <v>2153927.3199999998</v>
      </c>
      <c r="W379">
        <f t="shared" si="46"/>
        <v>0</v>
      </c>
      <c r="X379">
        <f>Deals_Raw!AO382</f>
        <v>652428.21655950719</v>
      </c>
      <c r="Y379">
        <f t="shared" si="47"/>
        <v>0</v>
      </c>
      <c r="Z379">
        <f>Deals_Raw!AP382</f>
        <v>0.60580337182362054</v>
      </c>
    </row>
    <row r="380" spans="1:26">
      <c r="A380" t="str">
        <f>Deals_Raw!A383</f>
        <v>D00434</v>
      </c>
      <c r="B380">
        <f>COUNTIF(Deals_Raw!$A$5:$A$643,A380)</f>
        <v>1</v>
      </c>
      <c r="C380" s="12" t="str">
        <f>Deals_Raw!E383</f>
        <v>CT00231</v>
      </c>
      <c r="E380">
        <f>Deals_Raw!AA383</f>
        <v>360696.30385009566</v>
      </c>
      <c r="F380">
        <f>ROUND(Deals_Raw!T383*(1-Deals_Raw!W383),2)</f>
        <v>360496.89</v>
      </c>
      <c r="G380">
        <f t="shared" si="40"/>
        <v>-199.41385009564692</v>
      </c>
      <c r="I380">
        <f>Deals_Raw!V383</f>
        <v>0.151</v>
      </c>
      <c r="J380">
        <f>Deals_Raw!W383</f>
        <v>0.13200000000000001</v>
      </c>
      <c r="K380" t="str">
        <f>Deals_Raw!Z383</f>
        <v>Pricing Analyst</v>
      </c>
      <c r="L380" t="str">
        <f t="shared" si="41"/>
        <v>yes</v>
      </c>
      <c r="M380" t="str">
        <f t="shared" si="42"/>
        <v>Pass</v>
      </c>
      <c r="O380">
        <f>Deals_Raw!AP383</f>
        <v>0.51415140242845159</v>
      </c>
      <c r="P380" t="str">
        <f t="shared" si="43"/>
        <v>False</v>
      </c>
      <c r="R380" t="str">
        <f>Deals_Raw!AF383</f>
        <v>Won</v>
      </c>
      <c r="S380">
        <f t="shared" si="44"/>
        <v>360496.89</v>
      </c>
      <c r="T380">
        <f>Deals_Raw!AM383</f>
        <v>360496.89</v>
      </c>
      <c r="U380">
        <f t="shared" si="45"/>
        <v>720993.78</v>
      </c>
      <c r="V380">
        <f>Deals_Raw!AN383</f>
        <v>720993.78</v>
      </c>
      <c r="W380">
        <f t="shared" si="46"/>
        <v>185349.98156459525</v>
      </c>
      <c r="X380">
        <f>Deals_Raw!AO383</f>
        <v>185349.98156459525</v>
      </c>
      <c r="Y380">
        <f t="shared" si="47"/>
        <v>0.51415140242845159</v>
      </c>
      <c r="Z380">
        <f>Deals_Raw!AP383</f>
        <v>0.51415140242845159</v>
      </c>
    </row>
    <row r="381" spans="1:26">
      <c r="A381" t="str">
        <f>Deals_Raw!A384</f>
        <v>D00435</v>
      </c>
      <c r="B381">
        <f>COUNTIF(Deals_Raw!$A$5:$A$643,A381)</f>
        <v>1</v>
      </c>
      <c r="C381" s="12" t="str">
        <f>Deals_Raw!E384</f>
        <v>CT00232</v>
      </c>
      <c r="E381">
        <f>Deals_Raw!AA384</f>
        <v>89279.834510126995</v>
      </c>
      <c r="F381">
        <f>ROUND(Deals_Raw!T384*(1-Deals_Raw!W384),2)</f>
        <v>89280.9</v>
      </c>
      <c r="G381">
        <f t="shared" si="40"/>
        <v>1.0654898729990236</v>
      </c>
      <c r="I381">
        <f>Deals_Raw!V384</f>
        <v>0.216</v>
      </c>
      <c r="J381">
        <f>Deals_Raw!W384</f>
        <v>0.17100000000000001</v>
      </c>
      <c r="K381" t="str">
        <f>Deals_Raw!Z384</f>
        <v>Pricing Analyst</v>
      </c>
      <c r="L381" t="str">
        <f t="shared" si="41"/>
        <v>yes</v>
      </c>
      <c r="M381" t="str">
        <f t="shared" si="42"/>
        <v>Pass</v>
      </c>
      <c r="O381">
        <f>Deals_Raw!AP384</f>
        <v>0.60094311488850627</v>
      </c>
      <c r="P381" t="str">
        <f t="shared" si="43"/>
        <v>False</v>
      </c>
      <c r="R381" t="str">
        <f>Deals_Raw!AF384</f>
        <v>Won</v>
      </c>
      <c r="S381">
        <f t="shared" si="44"/>
        <v>89280.9</v>
      </c>
      <c r="T381">
        <f>Deals_Raw!AM384</f>
        <v>89280.9</v>
      </c>
      <c r="U381">
        <f t="shared" si="45"/>
        <v>178561.8</v>
      </c>
      <c r="V381">
        <f>Deals_Raw!AN384</f>
        <v>178561.8</v>
      </c>
      <c r="W381">
        <f t="shared" si="46"/>
        <v>53652.742146049241</v>
      </c>
      <c r="X381">
        <f>Deals_Raw!AO384</f>
        <v>53652.742146049241</v>
      </c>
      <c r="Y381">
        <f t="shared" si="47"/>
        <v>0.60094311488850627</v>
      </c>
      <c r="Z381">
        <f>Deals_Raw!AP384</f>
        <v>0.60094311488850627</v>
      </c>
    </row>
    <row r="382" spans="1:26">
      <c r="A382" t="str">
        <f>Deals_Raw!A385</f>
        <v>D00436</v>
      </c>
      <c r="B382">
        <f>COUNTIF(Deals_Raw!$A$5:$A$643,A382)</f>
        <v>1</v>
      </c>
      <c r="C382" s="12" t="str">
        <f>Deals_Raw!E385</f>
        <v>CT00232</v>
      </c>
      <c r="E382">
        <f>Deals_Raw!AA385</f>
        <v>96390.802948182536</v>
      </c>
      <c r="F382">
        <f>ROUND(Deals_Raw!T385*(1-Deals_Raw!W385),2)</f>
        <v>96336.93</v>
      </c>
      <c r="G382">
        <f t="shared" si="40"/>
        <v>-53.872948182543041</v>
      </c>
      <c r="I382">
        <f>Deals_Raw!V385</f>
        <v>0.13500000000000001</v>
      </c>
      <c r="J382">
        <f>Deals_Raw!W385</f>
        <v>0.13</v>
      </c>
      <c r="K382" t="str">
        <f>Deals_Raw!Z385</f>
        <v>Pricing Analyst</v>
      </c>
      <c r="L382" t="str">
        <f t="shared" si="41"/>
        <v>yes</v>
      </c>
      <c r="M382" t="str">
        <f t="shared" si="42"/>
        <v>Pass</v>
      </c>
      <c r="O382">
        <f>Deals_Raw!AP385</f>
        <v>0.5879113557446396</v>
      </c>
      <c r="P382" t="str">
        <f t="shared" si="43"/>
        <v>False</v>
      </c>
      <c r="R382" t="str">
        <f>Deals_Raw!AF385</f>
        <v>Lost</v>
      </c>
      <c r="S382">
        <f t="shared" si="44"/>
        <v>0</v>
      </c>
      <c r="T382">
        <f>Deals_Raw!AM385</f>
        <v>96336.93</v>
      </c>
      <c r="U382">
        <f t="shared" si="45"/>
        <v>0</v>
      </c>
      <c r="V382">
        <f>Deals_Raw!AN385</f>
        <v>192673.86</v>
      </c>
      <c r="W382">
        <f t="shared" si="46"/>
        <v>0</v>
      </c>
      <c r="X382">
        <f>Deals_Raw!AO385</f>
        <v>56637.57512457644</v>
      </c>
      <c r="Y382">
        <f t="shared" si="47"/>
        <v>0</v>
      </c>
      <c r="Z382">
        <f>Deals_Raw!AP385</f>
        <v>0.5879113557446396</v>
      </c>
    </row>
    <row r="383" spans="1:26">
      <c r="A383" t="str">
        <f>Deals_Raw!A386</f>
        <v>D00437</v>
      </c>
      <c r="B383">
        <f>COUNTIF(Deals_Raw!$A$5:$A$643,A383)</f>
        <v>1</v>
      </c>
      <c r="C383" s="12" t="str">
        <f>Deals_Raw!E386</f>
        <v>CT00233</v>
      </c>
      <c r="E383">
        <f>Deals_Raw!AA386</f>
        <v>74952.512903635987</v>
      </c>
      <c r="F383">
        <f>ROUND(Deals_Raw!T386*(1-Deals_Raw!W386),2)</f>
        <v>74952.509999999995</v>
      </c>
      <c r="G383">
        <f t="shared" si="40"/>
        <v>-2.9036359919700772E-3</v>
      </c>
      <c r="I383">
        <f>Deals_Raw!V386</f>
        <v>0</v>
      </c>
      <c r="J383">
        <f>Deals_Raw!W386</f>
        <v>0</v>
      </c>
      <c r="K383" t="str">
        <f>Deals_Raw!Z386</f>
        <v>Sales Manager</v>
      </c>
      <c r="L383" t="str">
        <f t="shared" si="41"/>
        <v>yes</v>
      </c>
      <c r="M383" t="str">
        <f t="shared" si="42"/>
        <v>Pass</v>
      </c>
      <c r="O383">
        <f>Deals_Raw!AP386</f>
        <v>0.62279271098796785</v>
      </c>
      <c r="P383" t="str">
        <f t="shared" si="43"/>
        <v>False</v>
      </c>
      <c r="R383" t="str">
        <f>Deals_Raw!AF386</f>
        <v>Won</v>
      </c>
      <c r="S383">
        <f t="shared" si="44"/>
        <v>74952.509999999995</v>
      </c>
      <c r="T383">
        <f>Deals_Raw!AM386</f>
        <v>74952.509999999995</v>
      </c>
      <c r="U383">
        <f t="shared" si="45"/>
        <v>74952.509999999995</v>
      </c>
      <c r="V383">
        <f>Deals_Raw!AN386</f>
        <v>74952.509999999995</v>
      </c>
      <c r="W383">
        <f t="shared" si="46"/>
        <v>46679.876898252769</v>
      </c>
      <c r="X383">
        <f>Deals_Raw!AO386</f>
        <v>46679.876898252769</v>
      </c>
      <c r="Y383">
        <f t="shared" si="47"/>
        <v>0.62279271098796785</v>
      </c>
      <c r="Z383">
        <f>Deals_Raw!AP386</f>
        <v>0.62279271098796785</v>
      </c>
    </row>
    <row r="384" spans="1:26">
      <c r="A384" t="str">
        <f>Deals_Raw!A387</f>
        <v>D00438</v>
      </c>
      <c r="B384">
        <f>COUNTIF(Deals_Raw!$A$5:$A$643,A384)</f>
        <v>1</v>
      </c>
      <c r="C384" s="12" t="str">
        <f>Deals_Raw!E387</f>
        <v>CT00233</v>
      </c>
      <c r="E384">
        <f>Deals_Raw!AA387</f>
        <v>66633.499675955725</v>
      </c>
      <c r="F384">
        <f>ROUND(Deals_Raw!T387*(1-Deals_Raw!W387),2)</f>
        <v>66649.759999999995</v>
      </c>
      <c r="G384">
        <f t="shared" si="40"/>
        <v>16.26032404426951</v>
      </c>
      <c r="I384">
        <f>Deals_Raw!V387</f>
        <v>0.192</v>
      </c>
      <c r="J384">
        <f>Deals_Raw!W387</f>
        <v>0.13700000000000001</v>
      </c>
      <c r="K384" t="str">
        <f>Deals_Raw!Z387</f>
        <v>Pricing Analyst</v>
      </c>
      <c r="L384" t="str">
        <f t="shared" si="41"/>
        <v>yes</v>
      </c>
      <c r="M384" t="str">
        <f t="shared" si="42"/>
        <v>Pass</v>
      </c>
      <c r="O384">
        <f>Deals_Raw!AP387</f>
        <v>0.60313468748867327</v>
      </c>
      <c r="P384" t="str">
        <f t="shared" si="43"/>
        <v>False</v>
      </c>
      <c r="R384" t="str">
        <f>Deals_Raw!AF387</f>
        <v>Won</v>
      </c>
      <c r="S384">
        <f t="shared" si="44"/>
        <v>66649.759999999995</v>
      </c>
      <c r="T384">
        <f>Deals_Raw!AM387</f>
        <v>66649.759999999995</v>
      </c>
      <c r="U384">
        <f t="shared" si="45"/>
        <v>66649.759999999995</v>
      </c>
      <c r="V384">
        <f>Deals_Raw!AN387</f>
        <v>66649.759999999995</v>
      </c>
      <c r="W384">
        <f t="shared" si="46"/>
        <v>40198.782168795071</v>
      </c>
      <c r="X384">
        <f>Deals_Raw!AO387</f>
        <v>40198.782168795071</v>
      </c>
      <c r="Y384">
        <f t="shared" si="47"/>
        <v>0.60313468748867327</v>
      </c>
      <c r="Z384">
        <f>Deals_Raw!AP387</f>
        <v>0.60313468748867327</v>
      </c>
    </row>
    <row r="385" spans="1:26">
      <c r="A385" t="str">
        <f>Deals_Raw!A388</f>
        <v>D00439</v>
      </c>
      <c r="B385">
        <f>COUNTIF(Deals_Raw!$A$5:$A$643,A385)</f>
        <v>1</v>
      </c>
      <c r="C385" s="12" t="str">
        <f>Deals_Raw!E388</f>
        <v>CT00234</v>
      </c>
      <c r="E385">
        <f>Deals_Raw!AA388</f>
        <v>23379.820731937361</v>
      </c>
      <c r="F385">
        <f>ROUND(Deals_Raw!T388*(1-Deals_Raw!W388),2)</f>
        <v>23388.19</v>
      </c>
      <c r="G385">
        <f t="shared" si="40"/>
        <v>8.3692680626372749</v>
      </c>
      <c r="I385">
        <f>Deals_Raw!V388</f>
        <v>0.223</v>
      </c>
      <c r="J385">
        <f>Deals_Raw!W388</f>
        <v>0.221</v>
      </c>
      <c r="K385" t="str">
        <f>Deals_Raw!Z388</f>
        <v>Business Manager</v>
      </c>
      <c r="L385" t="str">
        <f t="shared" si="41"/>
        <v>yes</v>
      </c>
      <c r="M385" t="str">
        <f t="shared" si="42"/>
        <v>Pass</v>
      </c>
      <c r="O385">
        <f>Deals_Raw!AP388</f>
        <v>0.57007778945519083</v>
      </c>
      <c r="P385" t="str">
        <f t="shared" si="43"/>
        <v>False</v>
      </c>
      <c r="R385" t="str">
        <f>Deals_Raw!AF388</f>
        <v>Won</v>
      </c>
      <c r="S385">
        <f t="shared" si="44"/>
        <v>23388.19</v>
      </c>
      <c r="T385">
        <f>Deals_Raw!AM388</f>
        <v>23388.19</v>
      </c>
      <c r="U385">
        <f t="shared" si="45"/>
        <v>23388.19</v>
      </c>
      <c r="V385">
        <f>Deals_Raw!AN388</f>
        <v>23388.19</v>
      </c>
      <c r="W385">
        <f t="shared" si="46"/>
        <v>13333.087654557998</v>
      </c>
      <c r="X385">
        <f>Deals_Raw!AO388</f>
        <v>13333.087654557998</v>
      </c>
      <c r="Y385">
        <f t="shared" si="47"/>
        <v>0.57007778945519083</v>
      </c>
      <c r="Z385">
        <f>Deals_Raw!AP388</f>
        <v>0.57007778945519083</v>
      </c>
    </row>
    <row r="386" spans="1:26">
      <c r="A386" t="str">
        <f>Deals_Raw!A389</f>
        <v>D00440</v>
      </c>
      <c r="B386">
        <f>COUNTIF(Deals_Raw!$A$5:$A$643,A386)</f>
        <v>1</v>
      </c>
      <c r="C386" s="12" t="str">
        <f>Deals_Raw!E389</f>
        <v>CT00234</v>
      </c>
      <c r="E386">
        <f>Deals_Raw!AA389</f>
        <v>26166.656809871612</v>
      </c>
      <c r="F386">
        <f>ROUND(Deals_Raw!T389*(1-Deals_Raw!W389),2)</f>
        <v>26182.36</v>
      </c>
      <c r="G386">
        <f t="shared" si="40"/>
        <v>15.703190128388087</v>
      </c>
      <c r="I386">
        <f>Deals_Raw!V389</f>
        <v>0.219</v>
      </c>
      <c r="J386">
        <f>Deals_Raw!W389</f>
        <v>0.188</v>
      </c>
      <c r="K386" t="str">
        <f>Deals_Raw!Z389</f>
        <v>Pricing Analyst</v>
      </c>
      <c r="L386" t="str">
        <f t="shared" si="41"/>
        <v>yes</v>
      </c>
      <c r="M386" t="str">
        <f t="shared" si="42"/>
        <v>Pass</v>
      </c>
      <c r="O386">
        <f>Deals_Raw!AP389</f>
        <v>0.64466927314992784</v>
      </c>
      <c r="P386" t="str">
        <f t="shared" si="43"/>
        <v>False</v>
      </c>
      <c r="R386" t="str">
        <f>Deals_Raw!AF389</f>
        <v>Won</v>
      </c>
      <c r="S386">
        <f t="shared" si="44"/>
        <v>26182.36</v>
      </c>
      <c r="T386">
        <f>Deals_Raw!AM389</f>
        <v>26182.36</v>
      </c>
      <c r="U386">
        <f t="shared" si="45"/>
        <v>26182.36</v>
      </c>
      <c r="V386">
        <f>Deals_Raw!AN389</f>
        <v>26182.36</v>
      </c>
      <c r="W386">
        <f t="shared" si="46"/>
        <v>16878.962990549746</v>
      </c>
      <c r="X386">
        <f>Deals_Raw!AO389</f>
        <v>16878.962990549746</v>
      </c>
      <c r="Y386">
        <f t="shared" si="47"/>
        <v>0.64466927314992784</v>
      </c>
      <c r="Z386">
        <f>Deals_Raw!AP389</f>
        <v>0.64466927314992784</v>
      </c>
    </row>
    <row r="387" spans="1:26">
      <c r="A387" t="str">
        <f>Deals_Raw!A390</f>
        <v>D00441</v>
      </c>
      <c r="B387">
        <f>COUNTIF(Deals_Raw!$A$5:$A$643,A387)</f>
        <v>1</v>
      </c>
      <c r="C387" s="12" t="str">
        <f>Deals_Raw!E390</f>
        <v>CT00235</v>
      </c>
      <c r="E387">
        <f>Deals_Raw!AA390</f>
        <v>277472.42689774238</v>
      </c>
      <c r="F387">
        <f>ROUND(Deals_Raw!T390*(1-Deals_Raw!W390),2)</f>
        <v>277362.93</v>
      </c>
      <c r="G387">
        <f t="shared" ref="G387:G450" si="48">F387-E387</f>
        <v>-109.49689774238504</v>
      </c>
      <c r="I387">
        <f>Deals_Raw!V390</f>
        <v>0.11</v>
      </c>
      <c r="J387">
        <f>Deals_Raw!W390</f>
        <v>6.2E-2</v>
      </c>
      <c r="K387" t="str">
        <f>Deals_Raw!Z390</f>
        <v>Sales Manager</v>
      </c>
      <c r="L387" t="str">
        <f t="shared" ref="L387:L450" si="49">IF(J387&lt;=I387, "yes", "no")</f>
        <v>yes</v>
      </c>
      <c r="M387" t="str">
        <f t="shared" ref="M387:M450" si="50">IF(AND(J387&lt;=0.1,K387="Sales Manager"),"Pass",
 IF(AND(J387&gt;0.1,J387&lt;=0.2,K387="Pricing Analyst"),"Pass",
 IF(AND(J387&gt;0.2,K387="Business Manager"),"Pass","Review")))</f>
        <v>Pass</v>
      </c>
      <c r="O387">
        <f>Deals_Raw!AP390</f>
        <v>0.58515782667592486</v>
      </c>
      <c r="P387" t="str">
        <f t="shared" ref="P387:P450" si="51">IF(O387&lt;=0.45, "True", "False")</f>
        <v>False</v>
      </c>
      <c r="R387" t="str">
        <f>Deals_Raw!AF390</f>
        <v>Lost</v>
      </c>
      <c r="S387">
        <f t="shared" ref="S387:S450" si="52">IF($R387="Lost",0,T387)</f>
        <v>0</v>
      </c>
      <c r="T387">
        <f>Deals_Raw!AM390</f>
        <v>277362.93</v>
      </c>
      <c r="U387">
        <f t="shared" ref="U387:U450" si="53">IF($R387="Lost",0,V387)</f>
        <v>0</v>
      </c>
      <c r="V387">
        <f>Deals_Raw!AN390</f>
        <v>832088.79</v>
      </c>
      <c r="W387">
        <f t="shared" ref="W387:W450" si="54">IF($R387="Lost",0,X387)</f>
        <v>0</v>
      </c>
      <c r="X387">
        <f>Deals_Raw!AO390</f>
        <v>162301.08931926667</v>
      </c>
      <c r="Y387">
        <f t="shared" ref="Y387:Y450" si="55">IF($R387="Lost",0,Z387)</f>
        <v>0</v>
      </c>
      <c r="Z387">
        <f>Deals_Raw!AP390</f>
        <v>0.58515782667592486</v>
      </c>
    </row>
    <row r="388" spans="1:26">
      <c r="A388" t="str">
        <f>Deals_Raw!A391</f>
        <v>D00442</v>
      </c>
      <c r="B388">
        <f>COUNTIF(Deals_Raw!$A$5:$A$643,A388)</f>
        <v>1</v>
      </c>
      <c r="C388" s="12" t="str">
        <f>Deals_Raw!E391</f>
        <v>CT00235</v>
      </c>
      <c r="E388">
        <f>Deals_Raw!AA391</f>
        <v>240429.20870650423</v>
      </c>
      <c r="F388">
        <f>ROUND(Deals_Raw!T391*(1-Deals_Raw!W391),2)</f>
        <v>240400.92</v>
      </c>
      <c r="G388">
        <f t="shared" si="48"/>
        <v>-28.288706504215952</v>
      </c>
      <c r="I388">
        <f>Deals_Raw!V391</f>
        <v>0.248</v>
      </c>
      <c r="J388">
        <f>Deals_Raw!W391</f>
        <v>0.187</v>
      </c>
      <c r="K388" t="str">
        <f>Deals_Raw!Z391</f>
        <v>Pricing Analyst</v>
      </c>
      <c r="L388" t="str">
        <f t="shared" si="49"/>
        <v>yes</v>
      </c>
      <c r="M388" t="str">
        <f t="shared" si="50"/>
        <v>Pass</v>
      </c>
      <c r="O388">
        <f>Deals_Raw!AP391</f>
        <v>0.53866327148046478</v>
      </c>
      <c r="P388" t="str">
        <f t="shared" si="51"/>
        <v>False</v>
      </c>
      <c r="R388" t="str">
        <f>Deals_Raw!AF391</f>
        <v>Lost</v>
      </c>
      <c r="S388">
        <f t="shared" si="52"/>
        <v>0</v>
      </c>
      <c r="T388">
        <f>Deals_Raw!AM391</f>
        <v>240400.92</v>
      </c>
      <c r="U388">
        <f t="shared" si="53"/>
        <v>0</v>
      </c>
      <c r="V388">
        <f>Deals_Raw!AN391</f>
        <v>721202.76</v>
      </c>
      <c r="W388">
        <f t="shared" si="54"/>
        <v>0</v>
      </c>
      <c r="X388">
        <f>Deals_Raw!AO391</f>
        <v>129495.1460341135</v>
      </c>
      <c r="Y388">
        <f t="shared" si="55"/>
        <v>0</v>
      </c>
      <c r="Z388">
        <f>Deals_Raw!AP391</f>
        <v>0.53866327148046478</v>
      </c>
    </row>
    <row r="389" spans="1:26">
      <c r="A389" t="str">
        <f>Deals_Raw!A392</f>
        <v>D00444</v>
      </c>
      <c r="B389">
        <f>COUNTIF(Deals_Raw!$A$5:$A$643,A389)</f>
        <v>1</v>
      </c>
      <c r="C389" s="12" t="str">
        <f>Deals_Raw!E392</f>
        <v>CT00236</v>
      </c>
      <c r="E389">
        <f>Deals_Raw!AA392</f>
        <v>250986.11049734137</v>
      </c>
      <c r="F389">
        <f>ROUND(Deals_Raw!T392*(1-Deals_Raw!W392),2)</f>
        <v>251073.83</v>
      </c>
      <c r="G389">
        <f t="shared" si="48"/>
        <v>87.719502658612328</v>
      </c>
      <c r="I389">
        <f>Deals_Raw!V392</f>
        <v>9.1999999999999998E-2</v>
      </c>
      <c r="J389">
        <f>Deals_Raw!W392</f>
        <v>6.7000000000000004E-2</v>
      </c>
      <c r="K389" t="str">
        <f>Deals_Raw!Z392</f>
        <v>Sales Manager</v>
      </c>
      <c r="L389" t="str">
        <f t="shared" si="49"/>
        <v>yes</v>
      </c>
      <c r="M389" t="str">
        <f t="shared" si="50"/>
        <v>Pass</v>
      </c>
      <c r="O389">
        <f>Deals_Raw!AP392</f>
        <v>0.62915077667671959</v>
      </c>
      <c r="P389" t="str">
        <f t="shared" si="51"/>
        <v>False</v>
      </c>
      <c r="R389" t="str">
        <f>Deals_Raw!AF392</f>
        <v>Won</v>
      </c>
      <c r="S389">
        <f t="shared" si="52"/>
        <v>251073.83</v>
      </c>
      <c r="T389">
        <f>Deals_Raw!AM392</f>
        <v>251073.83</v>
      </c>
      <c r="U389">
        <f t="shared" si="53"/>
        <v>251073.83</v>
      </c>
      <c r="V389">
        <f>Deals_Raw!AN392</f>
        <v>251073.83</v>
      </c>
      <c r="W389">
        <f t="shared" si="54"/>
        <v>157963.29514769866</v>
      </c>
      <c r="X389">
        <f>Deals_Raw!AO392</f>
        <v>157963.29514769866</v>
      </c>
      <c r="Y389">
        <f t="shared" si="55"/>
        <v>0.62915077667671959</v>
      </c>
      <c r="Z389">
        <f>Deals_Raw!AP392</f>
        <v>0.62915077667671959</v>
      </c>
    </row>
    <row r="390" spans="1:26">
      <c r="A390" t="str">
        <f>Deals_Raw!A393</f>
        <v>D00445</v>
      </c>
      <c r="B390">
        <f>COUNTIF(Deals_Raw!$A$5:$A$643,A390)</f>
        <v>1</v>
      </c>
      <c r="C390" s="12" t="str">
        <f>Deals_Raw!E393</f>
        <v>CT00236</v>
      </c>
      <c r="E390">
        <f>Deals_Raw!AA393</f>
        <v>259780.61245475066</v>
      </c>
      <c r="F390">
        <f>ROUND(Deals_Raw!T393*(1-Deals_Raw!W393),2)</f>
        <v>259645.11</v>
      </c>
      <c r="G390">
        <f t="shared" si="48"/>
        <v>-135.50245475067641</v>
      </c>
      <c r="I390">
        <f>Deals_Raw!V393</f>
        <v>8.4000000000000005E-2</v>
      </c>
      <c r="J390">
        <f>Deals_Raw!W393</f>
        <v>7.1999999999999995E-2</v>
      </c>
      <c r="K390" t="str">
        <f>Deals_Raw!Z393</f>
        <v>Sales Manager</v>
      </c>
      <c r="L390" t="str">
        <f t="shared" si="49"/>
        <v>yes</v>
      </c>
      <c r="M390" t="str">
        <f t="shared" si="50"/>
        <v>Pass</v>
      </c>
      <c r="O390">
        <f>Deals_Raw!AP393</f>
        <v>0.65695275597569835</v>
      </c>
      <c r="P390" t="str">
        <f t="shared" si="51"/>
        <v>False</v>
      </c>
      <c r="R390" t="str">
        <f>Deals_Raw!AF393</f>
        <v>Lost</v>
      </c>
      <c r="S390">
        <f t="shared" si="52"/>
        <v>0</v>
      </c>
      <c r="T390">
        <f>Deals_Raw!AM393</f>
        <v>259645.11</v>
      </c>
      <c r="U390">
        <f t="shared" si="53"/>
        <v>0</v>
      </c>
      <c r="V390">
        <f>Deals_Raw!AN393</f>
        <v>259645.11</v>
      </c>
      <c r="W390">
        <f t="shared" si="54"/>
        <v>0</v>
      </c>
      <c r="X390">
        <f>Deals_Raw!AO393</f>
        <v>170574.57059011335</v>
      </c>
      <c r="Y390">
        <f t="shared" si="55"/>
        <v>0</v>
      </c>
      <c r="Z390">
        <f>Deals_Raw!AP393</f>
        <v>0.65695275597569835</v>
      </c>
    </row>
    <row r="391" spans="1:26">
      <c r="A391" t="str">
        <f>Deals_Raw!A394</f>
        <v>D00446</v>
      </c>
      <c r="B391">
        <f>COUNTIF(Deals_Raw!$A$5:$A$643,A391)</f>
        <v>1</v>
      </c>
      <c r="C391" s="12" t="str">
        <f>Deals_Raw!E394</f>
        <v>CT00236</v>
      </c>
      <c r="E391">
        <f>Deals_Raw!AA394</f>
        <v>208718.2982985026</v>
      </c>
      <c r="F391">
        <f>ROUND(Deals_Raw!T394*(1-Deals_Raw!W394),2)</f>
        <v>208723.33</v>
      </c>
      <c r="G391">
        <f t="shared" si="48"/>
        <v>5.031701497384347</v>
      </c>
      <c r="I391">
        <f>Deals_Raw!V394</f>
        <v>0.26300000000000001</v>
      </c>
      <c r="J391">
        <f>Deals_Raw!W394</f>
        <v>0.254</v>
      </c>
      <c r="K391" t="str">
        <f>Deals_Raw!Z394</f>
        <v>Business Manager</v>
      </c>
      <c r="L391" t="str">
        <f t="shared" si="49"/>
        <v>yes</v>
      </c>
      <c r="M391" t="str">
        <f t="shared" si="50"/>
        <v>Pass</v>
      </c>
      <c r="O391">
        <f>Deals_Raw!AP394</f>
        <v>0.57768037641092296</v>
      </c>
      <c r="P391" t="str">
        <f t="shared" si="51"/>
        <v>False</v>
      </c>
      <c r="R391" t="str">
        <f>Deals_Raw!AF394</f>
        <v>Won</v>
      </c>
      <c r="S391">
        <f t="shared" si="52"/>
        <v>208723.33</v>
      </c>
      <c r="T391">
        <f>Deals_Raw!AM394</f>
        <v>208723.33</v>
      </c>
      <c r="U391">
        <f t="shared" si="53"/>
        <v>208723.33</v>
      </c>
      <c r="V391">
        <f>Deals_Raw!AN394</f>
        <v>208723.33</v>
      </c>
      <c r="W391">
        <f t="shared" si="54"/>
        <v>120575.37184014129</v>
      </c>
      <c r="X391">
        <f>Deals_Raw!AO394</f>
        <v>120575.37184014129</v>
      </c>
      <c r="Y391">
        <f t="shared" si="55"/>
        <v>0.57768037641092296</v>
      </c>
      <c r="Z391">
        <f>Deals_Raw!AP394</f>
        <v>0.57768037641092296</v>
      </c>
    </row>
    <row r="392" spans="1:26">
      <c r="A392" t="str">
        <f>Deals_Raw!A395</f>
        <v>D00447</v>
      </c>
      <c r="B392">
        <f>COUNTIF(Deals_Raw!$A$5:$A$643,A392)</f>
        <v>1</v>
      </c>
      <c r="C392" s="12" t="str">
        <f>Deals_Raw!E395</f>
        <v>CT00237</v>
      </c>
      <c r="E392">
        <f>Deals_Raw!AA395</f>
        <v>52838.460342554397</v>
      </c>
      <c r="F392">
        <f>ROUND(Deals_Raw!T395*(1-Deals_Raw!W395),2)</f>
        <v>52810.51</v>
      </c>
      <c r="G392">
        <f t="shared" si="48"/>
        <v>-27.95034255439532</v>
      </c>
      <c r="I392">
        <f>Deals_Raw!V395</f>
        <v>0.17899999999999999</v>
      </c>
      <c r="J392">
        <f>Deals_Raw!W395</f>
        <v>0.17799999999999999</v>
      </c>
      <c r="K392" t="str">
        <f>Deals_Raw!Z395</f>
        <v>Pricing Analyst</v>
      </c>
      <c r="L392" t="str">
        <f t="shared" si="49"/>
        <v>yes</v>
      </c>
      <c r="M392" t="str">
        <f t="shared" si="50"/>
        <v>Pass</v>
      </c>
      <c r="O392">
        <f>Deals_Raw!AP395</f>
        <v>0.61473437025183419</v>
      </c>
      <c r="P392" t="str">
        <f t="shared" si="51"/>
        <v>False</v>
      </c>
      <c r="R392" t="str">
        <f>Deals_Raw!AF395</f>
        <v>Won</v>
      </c>
      <c r="S392">
        <f t="shared" si="52"/>
        <v>52810.51</v>
      </c>
      <c r="T392">
        <f>Deals_Raw!AM395</f>
        <v>52810.51</v>
      </c>
      <c r="U392">
        <f t="shared" si="53"/>
        <v>52810.51</v>
      </c>
      <c r="V392">
        <f>Deals_Raw!AN395</f>
        <v>52810.51</v>
      </c>
      <c r="W392">
        <f t="shared" si="54"/>
        <v>32464.435607528194</v>
      </c>
      <c r="X392">
        <f>Deals_Raw!AO395</f>
        <v>32464.435607528194</v>
      </c>
      <c r="Y392">
        <f t="shared" si="55"/>
        <v>0.61473437025183419</v>
      </c>
      <c r="Z392">
        <f>Deals_Raw!AP395</f>
        <v>0.61473437025183419</v>
      </c>
    </row>
    <row r="393" spans="1:26">
      <c r="A393" t="str">
        <f>Deals_Raw!A396</f>
        <v>D00448</v>
      </c>
      <c r="B393">
        <f>COUNTIF(Deals_Raw!$A$5:$A$643,A393)</f>
        <v>1</v>
      </c>
      <c r="C393" s="12" t="str">
        <f>Deals_Raw!E396</f>
        <v>CT00237</v>
      </c>
      <c r="E393">
        <f>Deals_Raw!AA396</f>
        <v>57688.618446629167</v>
      </c>
      <c r="F393">
        <f>ROUND(Deals_Raw!T396*(1-Deals_Raw!W396),2)</f>
        <v>57685.73</v>
      </c>
      <c r="G393">
        <f t="shared" si="48"/>
        <v>-2.8884466291638091</v>
      </c>
      <c r="I393">
        <f>Deals_Raw!V396</f>
        <v>0.16800000000000001</v>
      </c>
      <c r="J393">
        <f>Deals_Raw!W396</f>
        <v>0.13500000000000001</v>
      </c>
      <c r="K393" t="str">
        <f>Deals_Raw!Z396</f>
        <v>Pricing Analyst</v>
      </c>
      <c r="L393" t="str">
        <f t="shared" si="49"/>
        <v>yes</v>
      </c>
      <c r="M393" t="str">
        <f t="shared" si="50"/>
        <v>Pass</v>
      </c>
      <c r="O393">
        <f>Deals_Raw!AP396</f>
        <v>0.65292853660283678</v>
      </c>
      <c r="P393" t="str">
        <f t="shared" si="51"/>
        <v>False</v>
      </c>
      <c r="R393" t="str">
        <f>Deals_Raw!AF396</f>
        <v>Won</v>
      </c>
      <c r="S393">
        <f t="shared" si="52"/>
        <v>57685.73</v>
      </c>
      <c r="T393">
        <f>Deals_Raw!AM396</f>
        <v>57685.73</v>
      </c>
      <c r="U393">
        <f t="shared" si="53"/>
        <v>57685.73</v>
      </c>
      <c r="V393">
        <f>Deals_Raw!AN396</f>
        <v>57685.73</v>
      </c>
      <c r="W393">
        <f t="shared" si="54"/>
        <v>37664.659271766359</v>
      </c>
      <c r="X393">
        <f>Deals_Raw!AO396</f>
        <v>37664.659271766359</v>
      </c>
      <c r="Y393">
        <f t="shared" si="55"/>
        <v>0.65292853660283678</v>
      </c>
      <c r="Z393">
        <f>Deals_Raw!AP396</f>
        <v>0.65292853660283678</v>
      </c>
    </row>
    <row r="394" spans="1:26">
      <c r="A394" t="str">
        <f>Deals_Raw!A397</f>
        <v>D00449</v>
      </c>
      <c r="B394">
        <f>COUNTIF(Deals_Raw!$A$5:$A$643,A394)</f>
        <v>1</v>
      </c>
      <c r="C394" s="12" t="str">
        <f>Deals_Raw!E397</f>
        <v>CT00238</v>
      </c>
      <c r="E394">
        <f>Deals_Raw!AA397</f>
        <v>42731.581721114781</v>
      </c>
      <c r="F394">
        <f>ROUND(Deals_Raw!T397*(1-Deals_Raw!W397),2)</f>
        <v>42727.88</v>
      </c>
      <c r="G394">
        <f t="shared" si="48"/>
        <v>-3.7017211147831404</v>
      </c>
      <c r="I394">
        <f>Deals_Raw!V397</f>
        <v>2.3E-2</v>
      </c>
      <c r="J394">
        <f>Deals_Raw!W397</f>
        <v>0.02</v>
      </c>
      <c r="K394" t="str">
        <f>Deals_Raw!Z397</f>
        <v>Sales Manager</v>
      </c>
      <c r="L394" t="str">
        <f t="shared" si="49"/>
        <v>yes</v>
      </c>
      <c r="M394" t="str">
        <f t="shared" si="50"/>
        <v>Pass</v>
      </c>
      <c r="O394">
        <f>Deals_Raw!AP397</f>
        <v>0.6960105093372404</v>
      </c>
      <c r="P394" t="str">
        <f t="shared" si="51"/>
        <v>False</v>
      </c>
      <c r="R394" t="str">
        <f>Deals_Raw!AF397</f>
        <v>Lost</v>
      </c>
      <c r="S394">
        <f t="shared" si="52"/>
        <v>0</v>
      </c>
      <c r="T394">
        <f>Deals_Raw!AM397</f>
        <v>42727.88</v>
      </c>
      <c r="U394">
        <f t="shared" si="53"/>
        <v>0</v>
      </c>
      <c r="V394">
        <f>Deals_Raw!AN397</f>
        <v>42727.88</v>
      </c>
      <c r="W394">
        <f t="shared" si="54"/>
        <v>0</v>
      </c>
      <c r="X394">
        <f>Deals_Raw!AO397</f>
        <v>29739.053521700487</v>
      </c>
      <c r="Y394">
        <f t="shared" si="55"/>
        <v>0</v>
      </c>
      <c r="Z394">
        <f>Deals_Raw!AP397</f>
        <v>0.6960105093372404</v>
      </c>
    </row>
    <row r="395" spans="1:26">
      <c r="A395" t="str">
        <f>Deals_Raw!A398</f>
        <v>D00450</v>
      </c>
      <c r="B395">
        <f>COUNTIF(Deals_Raw!$A$5:$A$643,A395)</f>
        <v>1</v>
      </c>
      <c r="C395" s="12" t="str">
        <f>Deals_Raw!E398</f>
        <v>CT00238</v>
      </c>
      <c r="E395">
        <f>Deals_Raw!AA398</f>
        <v>32694.895915911664</v>
      </c>
      <c r="F395">
        <f>ROUND(Deals_Raw!T398*(1-Deals_Raw!W398),2)</f>
        <v>32699.91</v>
      </c>
      <c r="G395">
        <f t="shared" si="48"/>
        <v>5.0140840883359488</v>
      </c>
      <c r="I395">
        <f>Deals_Raw!V398</f>
        <v>0.255</v>
      </c>
      <c r="J395">
        <f>Deals_Raw!W398</f>
        <v>0.25</v>
      </c>
      <c r="K395" t="str">
        <f>Deals_Raw!Z398</f>
        <v>Business Manager</v>
      </c>
      <c r="L395" t="str">
        <f t="shared" si="49"/>
        <v>yes</v>
      </c>
      <c r="M395" t="str">
        <f t="shared" si="50"/>
        <v>Pass</v>
      </c>
      <c r="O395">
        <f>Deals_Raw!AP398</f>
        <v>0.59932374410298528</v>
      </c>
      <c r="P395" t="str">
        <f t="shared" si="51"/>
        <v>False</v>
      </c>
      <c r="R395" t="str">
        <f>Deals_Raw!AF398</f>
        <v>Won</v>
      </c>
      <c r="S395">
        <f t="shared" si="52"/>
        <v>32699.91</v>
      </c>
      <c r="T395">
        <f>Deals_Raw!AM398</f>
        <v>32699.91</v>
      </c>
      <c r="U395">
        <f t="shared" si="53"/>
        <v>32699.91</v>
      </c>
      <c r="V395">
        <f>Deals_Raw!AN398</f>
        <v>32699.91</v>
      </c>
      <c r="W395">
        <f t="shared" si="54"/>
        <v>19597.832493030648</v>
      </c>
      <c r="X395">
        <f>Deals_Raw!AO398</f>
        <v>19597.832493030648</v>
      </c>
      <c r="Y395">
        <f t="shared" si="55"/>
        <v>0.59932374410298528</v>
      </c>
      <c r="Z395">
        <f>Deals_Raw!AP398</f>
        <v>0.59932374410298528</v>
      </c>
    </row>
    <row r="396" spans="1:26">
      <c r="A396" t="str">
        <f>Deals_Raw!A399</f>
        <v>D00451</v>
      </c>
      <c r="B396">
        <f>COUNTIF(Deals_Raw!$A$5:$A$643,A396)</f>
        <v>1</v>
      </c>
      <c r="C396" s="12" t="str">
        <f>Deals_Raw!E399</f>
        <v>CT00239</v>
      </c>
      <c r="E396">
        <f>Deals_Raw!AA399</f>
        <v>60796.523313887701</v>
      </c>
      <c r="F396">
        <f>ROUND(Deals_Raw!T399*(1-Deals_Raw!W399),2)</f>
        <v>60819.839999999997</v>
      </c>
      <c r="G396">
        <f t="shared" si="48"/>
        <v>23.316686112295429</v>
      </c>
      <c r="I396">
        <f>Deals_Raw!V399</f>
        <v>0.13900000000000001</v>
      </c>
      <c r="J396">
        <f>Deals_Raw!W399</f>
        <v>0.10199999999999999</v>
      </c>
      <c r="K396" t="str">
        <f>Deals_Raw!Z399</f>
        <v>Pricing Analyst</v>
      </c>
      <c r="L396" t="str">
        <f t="shared" si="49"/>
        <v>yes</v>
      </c>
      <c r="M396" t="str">
        <f t="shared" si="50"/>
        <v>Pass</v>
      </c>
      <c r="O396">
        <f>Deals_Raw!AP399</f>
        <v>0.51908338128911624</v>
      </c>
      <c r="P396" t="str">
        <f t="shared" si="51"/>
        <v>False</v>
      </c>
      <c r="R396" t="str">
        <f>Deals_Raw!AF399</f>
        <v>Won</v>
      </c>
      <c r="S396">
        <f t="shared" si="52"/>
        <v>60819.839999999997</v>
      </c>
      <c r="T396">
        <f>Deals_Raw!AM399</f>
        <v>60819.839999999997</v>
      </c>
      <c r="U396">
        <f t="shared" si="53"/>
        <v>60819.839999999997</v>
      </c>
      <c r="V396">
        <f>Deals_Raw!AN399</f>
        <v>60819.839999999997</v>
      </c>
      <c r="W396">
        <f t="shared" si="54"/>
        <v>31570.568196663044</v>
      </c>
      <c r="X396">
        <f>Deals_Raw!AO399</f>
        <v>31570.568196663044</v>
      </c>
      <c r="Y396">
        <f t="shared" si="55"/>
        <v>0.51908338128911624</v>
      </c>
      <c r="Z396">
        <f>Deals_Raw!AP399</f>
        <v>0.51908338128911624</v>
      </c>
    </row>
    <row r="397" spans="1:26">
      <c r="A397" t="str">
        <f>Deals_Raw!A400</f>
        <v>D00452</v>
      </c>
      <c r="B397">
        <f>COUNTIF(Deals_Raw!$A$5:$A$643,A397)</f>
        <v>1</v>
      </c>
      <c r="C397" s="12" t="str">
        <f>Deals_Raw!E400</f>
        <v>CT00239</v>
      </c>
      <c r="E397">
        <f>Deals_Raw!AA400</f>
        <v>63643.009449214303</v>
      </c>
      <c r="F397">
        <f>ROUND(Deals_Raw!T400*(1-Deals_Raw!W400),2)</f>
        <v>63640.639999999999</v>
      </c>
      <c r="G397">
        <f t="shared" si="48"/>
        <v>-2.3694492143040407</v>
      </c>
      <c r="I397">
        <f>Deals_Raw!V400</f>
        <v>0.115</v>
      </c>
      <c r="J397">
        <f>Deals_Raw!W400</f>
        <v>0.115</v>
      </c>
      <c r="K397" t="str">
        <f>Deals_Raw!Z400</f>
        <v>Pricing Analyst</v>
      </c>
      <c r="L397" t="str">
        <f t="shared" si="49"/>
        <v>yes</v>
      </c>
      <c r="M397" t="str">
        <f t="shared" si="50"/>
        <v>Pass</v>
      </c>
      <c r="O397">
        <f>Deals_Raw!AP400</f>
        <v>0.62699532604301478</v>
      </c>
      <c r="P397" t="str">
        <f t="shared" si="51"/>
        <v>False</v>
      </c>
      <c r="R397" t="str">
        <f>Deals_Raw!AF400</f>
        <v>Won</v>
      </c>
      <c r="S397">
        <f t="shared" si="52"/>
        <v>63640.639999999999</v>
      </c>
      <c r="T397">
        <f>Deals_Raw!AM400</f>
        <v>63640.639999999999</v>
      </c>
      <c r="U397">
        <f t="shared" si="53"/>
        <v>63640.639999999999</v>
      </c>
      <c r="V397">
        <f>Deals_Raw!AN400</f>
        <v>63640.639999999999</v>
      </c>
      <c r="W397">
        <f t="shared" si="54"/>
        <v>39902.383826386125</v>
      </c>
      <c r="X397">
        <f>Deals_Raw!AO400</f>
        <v>39902.383826386125</v>
      </c>
      <c r="Y397">
        <f t="shared" si="55"/>
        <v>0.62699532604301478</v>
      </c>
      <c r="Z397">
        <f>Deals_Raw!AP400</f>
        <v>0.62699532604301478</v>
      </c>
    </row>
    <row r="398" spans="1:26">
      <c r="A398" t="str">
        <f>Deals_Raw!A401</f>
        <v>D00454</v>
      </c>
      <c r="B398">
        <f>COUNTIF(Deals_Raw!$A$5:$A$643,A398)</f>
        <v>1</v>
      </c>
      <c r="C398" s="12" t="str">
        <f>Deals_Raw!E401</f>
        <v>CT00240</v>
      </c>
      <c r="E398">
        <f>Deals_Raw!AA401</f>
        <v>153740.0174539609</v>
      </c>
      <c r="F398">
        <f>ROUND(Deals_Raw!T401*(1-Deals_Raw!W401),2)</f>
        <v>153705.43</v>
      </c>
      <c r="G398">
        <f t="shared" si="48"/>
        <v>-34.587453960906714</v>
      </c>
      <c r="I398">
        <f>Deals_Raw!V401</f>
        <v>0.20100000000000001</v>
      </c>
      <c r="J398">
        <f>Deals_Raw!W401</f>
        <v>0.16800000000000001</v>
      </c>
      <c r="K398" t="str">
        <f>Deals_Raw!Z401</f>
        <v>Pricing Analyst</v>
      </c>
      <c r="L398" t="str">
        <f t="shared" si="49"/>
        <v>yes</v>
      </c>
      <c r="M398" t="str">
        <f t="shared" si="50"/>
        <v>Pass</v>
      </c>
      <c r="O398">
        <f>Deals_Raw!AP401</f>
        <v>0.51373141097455943</v>
      </c>
      <c r="P398" t="str">
        <f t="shared" si="51"/>
        <v>False</v>
      </c>
      <c r="R398" t="str">
        <f>Deals_Raw!AF401</f>
        <v>Won</v>
      </c>
      <c r="S398">
        <f t="shared" si="52"/>
        <v>153705.43</v>
      </c>
      <c r="T398">
        <f>Deals_Raw!AM401</f>
        <v>153705.43</v>
      </c>
      <c r="U398">
        <f t="shared" si="53"/>
        <v>307410.86</v>
      </c>
      <c r="V398">
        <f>Deals_Raw!AN401</f>
        <v>307410.86</v>
      </c>
      <c r="W398">
        <f t="shared" si="54"/>
        <v>78963.307428351371</v>
      </c>
      <c r="X398">
        <f>Deals_Raw!AO401</f>
        <v>78963.307428351371</v>
      </c>
      <c r="Y398">
        <f t="shared" si="55"/>
        <v>0.51373141097455943</v>
      </c>
      <c r="Z398">
        <f>Deals_Raw!AP401</f>
        <v>0.51373141097455943</v>
      </c>
    </row>
    <row r="399" spans="1:26">
      <c r="A399" t="str">
        <f>Deals_Raw!A402</f>
        <v>D00455</v>
      </c>
      <c r="B399">
        <f>COUNTIF(Deals_Raw!$A$5:$A$643,A399)</f>
        <v>1</v>
      </c>
      <c r="C399" s="12" t="str">
        <f>Deals_Raw!E402</f>
        <v>CT00241</v>
      </c>
      <c r="E399">
        <f>Deals_Raw!AA402</f>
        <v>84713.765878251143</v>
      </c>
      <c r="F399">
        <f>ROUND(Deals_Raw!T402*(1-Deals_Raw!W402),2)</f>
        <v>84669.52</v>
      </c>
      <c r="G399">
        <f t="shared" si="48"/>
        <v>-44.245878251138492</v>
      </c>
      <c r="I399">
        <f>Deals_Raw!V402</f>
        <v>0.2</v>
      </c>
      <c r="J399">
        <f>Deals_Raw!W402</f>
        <v>0.14099999999999999</v>
      </c>
      <c r="K399" t="str">
        <f>Deals_Raw!Z402</f>
        <v>Pricing Analyst</v>
      </c>
      <c r="L399" t="str">
        <f t="shared" si="49"/>
        <v>yes</v>
      </c>
      <c r="M399" t="str">
        <f t="shared" si="50"/>
        <v>Pass</v>
      </c>
      <c r="O399">
        <f>Deals_Raw!AP402</f>
        <v>0.50980196869413996</v>
      </c>
      <c r="P399" t="str">
        <f t="shared" si="51"/>
        <v>False</v>
      </c>
      <c r="R399" t="str">
        <f>Deals_Raw!AF402</f>
        <v>Won</v>
      </c>
      <c r="S399">
        <f t="shared" si="52"/>
        <v>84669.52</v>
      </c>
      <c r="T399">
        <f>Deals_Raw!AM402</f>
        <v>84669.52</v>
      </c>
      <c r="U399">
        <f t="shared" si="53"/>
        <v>169339.04</v>
      </c>
      <c r="V399">
        <f>Deals_Raw!AN402</f>
        <v>169339.04</v>
      </c>
      <c r="W399">
        <f t="shared" si="54"/>
        <v>43164.687984387856</v>
      </c>
      <c r="X399">
        <f>Deals_Raw!AO402</f>
        <v>43164.687984387856</v>
      </c>
      <c r="Y399">
        <f t="shared" si="55"/>
        <v>0.50980196869413996</v>
      </c>
      <c r="Z399">
        <f>Deals_Raw!AP402</f>
        <v>0.50980196869413996</v>
      </c>
    </row>
    <row r="400" spans="1:26">
      <c r="A400" t="str">
        <f>Deals_Raw!A403</f>
        <v>D00456</v>
      </c>
      <c r="B400">
        <f>COUNTIF(Deals_Raw!$A$5:$A$643,A400)</f>
        <v>1</v>
      </c>
      <c r="C400" s="12" t="str">
        <f>Deals_Raw!E403</f>
        <v>CT00242</v>
      </c>
      <c r="E400">
        <f>Deals_Raw!AA403</f>
        <v>63252.990610500165</v>
      </c>
      <c r="F400">
        <f>ROUND(Deals_Raw!T403*(1-Deals_Raw!W403),2)</f>
        <v>63226.07</v>
      </c>
      <c r="G400">
        <f t="shared" si="48"/>
        <v>-26.920610500164912</v>
      </c>
      <c r="I400">
        <f>Deals_Raw!V403</f>
        <v>0.14799999999999999</v>
      </c>
      <c r="J400">
        <f>Deals_Raw!W403</f>
        <v>0.13900000000000001</v>
      </c>
      <c r="K400" t="str">
        <f>Deals_Raw!Z403</f>
        <v>Pricing Analyst</v>
      </c>
      <c r="L400" t="str">
        <f t="shared" si="49"/>
        <v>yes</v>
      </c>
      <c r="M400" t="str">
        <f t="shared" si="50"/>
        <v>Pass</v>
      </c>
      <c r="O400">
        <f>Deals_Raw!AP403</f>
        <v>0.62701405849057978</v>
      </c>
      <c r="P400" t="str">
        <f t="shared" si="51"/>
        <v>False</v>
      </c>
      <c r="R400" t="str">
        <f>Deals_Raw!AF403</f>
        <v>Won</v>
      </c>
      <c r="S400">
        <f t="shared" si="52"/>
        <v>63226.07</v>
      </c>
      <c r="T400">
        <f>Deals_Raw!AM403</f>
        <v>63226.07</v>
      </c>
      <c r="U400">
        <f t="shared" si="53"/>
        <v>126452.14</v>
      </c>
      <c r="V400">
        <f>Deals_Raw!AN403</f>
        <v>126452.14</v>
      </c>
      <c r="W400">
        <f t="shared" si="54"/>
        <v>39643.634753109494</v>
      </c>
      <c r="X400">
        <f>Deals_Raw!AO403</f>
        <v>39643.634753109494</v>
      </c>
      <c r="Y400">
        <f t="shared" si="55"/>
        <v>0.62701405849057978</v>
      </c>
      <c r="Z400">
        <f>Deals_Raw!AP403</f>
        <v>0.62701405849057978</v>
      </c>
    </row>
    <row r="401" spans="1:26">
      <c r="A401" t="str">
        <f>Deals_Raw!A404</f>
        <v>D00457</v>
      </c>
      <c r="B401">
        <f>COUNTIF(Deals_Raw!$A$5:$A$643,A401)</f>
        <v>1</v>
      </c>
      <c r="C401" s="12" t="str">
        <f>Deals_Raw!E404</f>
        <v>CT00243</v>
      </c>
      <c r="E401">
        <f>Deals_Raw!AA404</f>
        <v>71547.212779922949</v>
      </c>
      <c r="F401">
        <f>ROUND(Deals_Raw!T404*(1-Deals_Raw!W404),2)</f>
        <v>71565.759999999995</v>
      </c>
      <c r="G401">
        <f t="shared" si="48"/>
        <v>18.547220077045495</v>
      </c>
      <c r="I401">
        <f>Deals_Raw!V404</f>
        <v>0.13400000000000001</v>
      </c>
      <c r="J401">
        <f>Deals_Raw!W404</f>
        <v>8.5999999999999993E-2</v>
      </c>
      <c r="K401" t="str">
        <f>Deals_Raw!Z404</f>
        <v>Sales Manager</v>
      </c>
      <c r="L401" t="str">
        <f t="shared" si="49"/>
        <v>yes</v>
      </c>
      <c r="M401" t="str">
        <f t="shared" si="50"/>
        <v>Pass</v>
      </c>
      <c r="O401">
        <f>Deals_Raw!AP404</f>
        <v>0.62323845252036125</v>
      </c>
      <c r="P401" t="str">
        <f t="shared" si="51"/>
        <v>False</v>
      </c>
      <c r="R401" t="str">
        <f>Deals_Raw!AF404</f>
        <v>Won</v>
      </c>
      <c r="S401">
        <f t="shared" si="52"/>
        <v>71565.759999999995</v>
      </c>
      <c r="T401">
        <f>Deals_Raw!AM404</f>
        <v>71565.759999999995</v>
      </c>
      <c r="U401">
        <f t="shared" si="53"/>
        <v>71565.759999999995</v>
      </c>
      <c r="V401">
        <f>Deals_Raw!AN404</f>
        <v>71565.759999999995</v>
      </c>
      <c r="W401">
        <f t="shared" si="54"/>
        <v>44602.533515843563</v>
      </c>
      <c r="X401">
        <f>Deals_Raw!AO404</f>
        <v>44602.533515843563</v>
      </c>
      <c r="Y401">
        <f t="shared" si="55"/>
        <v>0.62323845252036125</v>
      </c>
      <c r="Z401">
        <f>Deals_Raw!AP404</f>
        <v>0.62323845252036125</v>
      </c>
    </row>
    <row r="402" spans="1:26">
      <c r="A402" t="str">
        <f>Deals_Raw!A405</f>
        <v>D00458</v>
      </c>
      <c r="B402">
        <f>COUNTIF(Deals_Raw!$A$5:$A$643,A402)</f>
        <v>1</v>
      </c>
      <c r="C402" s="12" t="str">
        <f>Deals_Raw!E405</f>
        <v>CT00244</v>
      </c>
      <c r="E402">
        <f>Deals_Raw!AA405</f>
        <v>57941.922356095325</v>
      </c>
      <c r="F402">
        <f>ROUND(Deals_Raw!T405*(1-Deals_Raw!W405),2)</f>
        <v>57920.97</v>
      </c>
      <c r="G402">
        <f t="shared" si="48"/>
        <v>-20.952356095323921</v>
      </c>
      <c r="I402">
        <f>Deals_Raw!V405</f>
        <v>9.4E-2</v>
      </c>
      <c r="J402">
        <f>Deals_Raw!W405</f>
        <v>7.0999999999999994E-2</v>
      </c>
      <c r="K402" t="str">
        <f>Deals_Raw!Z405</f>
        <v>Sales Manager</v>
      </c>
      <c r="L402" t="str">
        <f t="shared" si="49"/>
        <v>yes</v>
      </c>
      <c r="M402" t="str">
        <f t="shared" si="50"/>
        <v>Pass</v>
      </c>
      <c r="O402">
        <f>Deals_Raw!AP405</f>
        <v>0.73840225383134361</v>
      </c>
      <c r="P402" t="str">
        <f t="shared" si="51"/>
        <v>False</v>
      </c>
      <c r="R402" t="str">
        <f>Deals_Raw!AF405</f>
        <v>Won</v>
      </c>
      <c r="S402">
        <f t="shared" si="52"/>
        <v>57920.97</v>
      </c>
      <c r="T402">
        <f>Deals_Raw!AM405</f>
        <v>57920.97</v>
      </c>
      <c r="U402">
        <f t="shared" si="53"/>
        <v>173762.91</v>
      </c>
      <c r="V402">
        <f>Deals_Raw!AN405</f>
        <v>173762.91</v>
      </c>
      <c r="W402">
        <f t="shared" si="54"/>
        <v>42768.974792097637</v>
      </c>
      <c r="X402">
        <f>Deals_Raw!AO405</f>
        <v>42768.974792097637</v>
      </c>
      <c r="Y402">
        <f t="shared" si="55"/>
        <v>0.73840225383134361</v>
      </c>
      <c r="Z402">
        <f>Deals_Raw!AP405</f>
        <v>0.73840225383134361</v>
      </c>
    </row>
    <row r="403" spans="1:26">
      <c r="A403" t="str">
        <f>Deals_Raw!A406</f>
        <v>D00459</v>
      </c>
      <c r="B403">
        <f>COUNTIF(Deals_Raw!$A$5:$A$643,A403)</f>
        <v>1</v>
      </c>
      <c r="C403" s="12" t="str">
        <f>Deals_Raw!E406</f>
        <v>CT00245</v>
      </c>
      <c r="E403">
        <f>Deals_Raw!AA406</f>
        <v>38202.203405482593</v>
      </c>
      <c r="F403">
        <f>ROUND(Deals_Raw!T406*(1-Deals_Raw!W406),2)</f>
        <v>38212.730000000003</v>
      </c>
      <c r="G403">
        <f t="shared" si="48"/>
        <v>10.526594517410558</v>
      </c>
      <c r="I403">
        <f>Deals_Raw!V406</f>
        <v>0.11799999999999999</v>
      </c>
      <c r="J403">
        <f>Deals_Raw!W406</f>
        <v>0.108</v>
      </c>
      <c r="K403" t="str">
        <f>Deals_Raw!Z406</f>
        <v>Pricing Analyst</v>
      </c>
      <c r="L403" t="str">
        <f t="shared" si="49"/>
        <v>yes</v>
      </c>
      <c r="M403" t="str">
        <f t="shared" si="50"/>
        <v>Pass</v>
      </c>
      <c r="O403">
        <f>Deals_Raw!AP406</f>
        <v>0.69990874553922922</v>
      </c>
      <c r="P403" t="str">
        <f t="shared" si="51"/>
        <v>False</v>
      </c>
      <c r="R403" t="str">
        <f>Deals_Raw!AF406</f>
        <v>Won</v>
      </c>
      <c r="S403">
        <f t="shared" si="52"/>
        <v>38212.730000000003</v>
      </c>
      <c r="T403">
        <f>Deals_Raw!AM406</f>
        <v>38212.730000000003</v>
      </c>
      <c r="U403">
        <f t="shared" si="53"/>
        <v>38212.730000000003</v>
      </c>
      <c r="V403">
        <f>Deals_Raw!AN406</f>
        <v>38212.730000000003</v>
      </c>
      <c r="W403">
        <f t="shared" si="54"/>
        <v>26745.423917929271</v>
      </c>
      <c r="X403">
        <f>Deals_Raw!AO406</f>
        <v>26745.423917929271</v>
      </c>
      <c r="Y403">
        <f t="shared" si="55"/>
        <v>0.69990874553922922</v>
      </c>
      <c r="Z403">
        <f>Deals_Raw!AP406</f>
        <v>0.69990874553922922</v>
      </c>
    </row>
    <row r="404" spans="1:26">
      <c r="A404" t="str">
        <f>Deals_Raw!A407</f>
        <v>D00460</v>
      </c>
      <c r="B404">
        <f>COUNTIF(Deals_Raw!$A$5:$A$643,A404)</f>
        <v>1</v>
      </c>
      <c r="C404" s="12" t="str">
        <f>Deals_Raw!E407</f>
        <v>CT00245</v>
      </c>
      <c r="E404">
        <f>Deals_Raw!AA407</f>
        <v>40610.665471120526</v>
      </c>
      <c r="F404">
        <f>ROUND(Deals_Raw!T407*(1-Deals_Raw!W407),2)</f>
        <v>40611.89</v>
      </c>
      <c r="G404">
        <f t="shared" si="48"/>
        <v>1.2245288794729277</v>
      </c>
      <c r="I404">
        <f>Deals_Raw!V407</f>
        <v>0.124</v>
      </c>
      <c r="J404">
        <f>Deals_Raw!W407</f>
        <v>0.113</v>
      </c>
      <c r="K404" t="str">
        <f>Deals_Raw!Z407</f>
        <v>Pricing Analyst</v>
      </c>
      <c r="L404" t="str">
        <f t="shared" si="49"/>
        <v>yes</v>
      </c>
      <c r="M404" t="str">
        <f t="shared" si="50"/>
        <v>Pass</v>
      </c>
      <c r="O404">
        <f>Deals_Raw!AP407</f>
        <v>0.63861542811336336</v>
      </c>
      <c r="P404" t="str">
        <f t="shared" si="51"/>
        <v>False</v>
      </c>
      <c r="R404" t="str">
        <f>Deals_Raw!AF407</f>
        <v>Won</v>
      </c>
      <c r="S404">
        <f t="shared" si="52"/>
        <v>40611.89</v>
      </c>
      <c r="T404">
        <f>Deals_Raw!AM407</f>
        <v>40611.89</v>
      </c>
      <c r="U404">
        <f t="shared" si="53"/>
        <v>40611.89</v>
      </c>
      <c r="V404">
        <f>Deals_Raw!AN407</f>
        <v>40611.89</v>
      </c>
      <c r="W404">
        <f t="shared" si="54"/>
        <v>25935.379518842819</v>
      </c>
      <c r="X404">
        <f>Deals_Raw!AO407</f>
        <v>25935.379518842819</v>
      </c>
      <c r="Y404">
        <f t="shared" si="55"/>
        <v>0.63861542811336336</v>
      </c>
      <c r="Z404">
        <f>Deals_Raw!AP407</f>
        <v>0.63861542811336336</v>
      </c>
    </row>
    <row r="405" spans="1:26">
      <c r="A405" t="str">
        <f>Deals_Raw!A408</f>
        <v>D00461</v>
      </c>
      <c r="B405">
        <f>COUNTIF(Deals_Raw!$A$5:$A$643,A405)</f>
        <v>1</v>
      </c>
      <c r="C405" s="12" t="str">
        <f>Deals_Raw!E408</f>
        <v>CT00246</v>
      </c>
      <c r="E405">
        <f>Deals_Raw!AA408</f>
        <v>86636.454080786367</v>
      </c>
      <c r="F405">
        <f>ROUND(Deals_Raw!T408*(1-Deals_Raw!W408),2)</f>
        <v>86612.94</v>
      </c>
      <c r="G405">
        <f t="shared" si="48"/>
        <v>-23.514080786364502</v>
      </c>
      <c r="I405">
        <f>Deals_Raw!V408</f>
        <v>7.3999999999999996E-2</v>
      </c>
      <c r="J405">
        <f>Deals_Raw!W408</f>
        <v>0.04</v>
      </c>
      <c r="K405" t="str">
        <f>Deals_Raw!Z408</f>
        <v>Sales Manager</v>
      </c>
      <c r="L405" t="str">
        <f t="shared" si="49"/>
        <v>yes</v>
      </c>
      <c r="M405" t="str">
        <f t="shared" si="50"/>
        <v>Pass</v>
      </c>
      <c r="O405">
        <f>Deals_Raw!AP408</f>
        <v>0.63339517180794935</v>
      </c>
      <c r="P405" t="str">
        <f t="shared" si="51"/>
        <v>False</v>
      </c>
      <c r="R405" t="str">
        <f>Deals_Raw!AF408</f>
        <v>Lost</v>
      </c>
      <c r="S405">
        <f t="shared" si="52"/>
        <v>0</v>
      </c>
      <c r="T405">
        <f>Deals_Raw!AM408</f>
        <v>86612.94</v>
      </c>
      <c r="U405">
        <f t="shared" si="53"/>
        <v>0</v>
      </c>
      <c r="V405">
        <f>Deals_Raw!AN408</f>
        <v>86612.94</v>
      </c>
      <c r="W405">
        <f t="shared" si="54"/>
        <v>0</v>
      </c>
      <c r="X405">
        <f>Deals_Raw!AO408</f>
        <v>54860.218012091609</v>
      </c>
      <c r="Y405">
        <f t="shared" si="55"/>
        <v>0</v>
      </c>
      <c r="Z405">
        <f>Deals_Raw!AP408</f>
        <v>0.63339517180794935</v>
      </c>
    </row>
    <row r="406" spans="1:26">
      <c r="A406" t="str">
        <f>Deals_Raw!A409</f>
        <v>D00462</v>
      </c>
      <c r="B406">
        <f>COUNTIF(Deals_Raw!$A$5:$A$643,A406)</f>
        <v>1</v>
      </c>
      <c r="C406" s="12" t="str">
        <f>Deals_Raw!E409</f>
        <v>CT00246</v>
      </c>
      <c r="E406">
        <f>Deals_Raw!AA409</f>
        <v>72889.183931593143</v>
      </c>
      <c r="F406">
        <f>ROUND(Deals_Raw!T409*(1-Deals_Raw!W409),2)</f>
        <v>72899.22</v>
      </c>
      <c r="G406">
        <f t="shared" si="48"/>
        <v>10.036068406858249</v>
      </c>
      <c r="I406">
        <f>Deals_Raw!V409</f>
        <v>0.23400000000000001</v>
      </c>
      <c r="J406">
        <f>Deals_Raw!W409</f>
        <v>0.192</v>
      </c>
      <c r="K406" t="str">
        <f>Deals_Raw!Z409</f>
        <v>Pricing Analyst</v>
      </c>
      <c r="L406" t="str">
        <f t="shared" si="49"/>
        <v>yes</v>
      </c>
      <c r="M406" t="str">
        <f t="shared" si="50"/>
        <v>Pass</v>
      </c>
      <c r="O406">
        <f>Deals_Raw!AP409</f>
        <v>0.53154451804303271</v>
      </c>
      <c r="P406" t="str">
        <f t="shared" si="51"/>
        <v>False</v>
      </c>
      <c r="R406" t="str">
        <f>Deals_Raw!AF409</f>
        <v>Won</v>
      </c>
      <c r="S406">
        <f t="shared" si="52"/>
        <v>72899.22</v>
      </c>
      <c r="T406">
        <f>Deals_Raw!AM409</f>
        <v>72899.22</v>
      </c>
      <c r="U406">
        <f t="shared" si="53"/>
        <v>72899.22</v>
      </c>
      <c r="V406">
        <f>Deals_Raw!AN409</f>
        <v>72899.22</v>
      </c>
      <c r="W406">
        <f t="shared" si="54"/>
        <v>38749.18076061301</v>
      </c>
      <c r="X406">
        <f>Deals_Raw!AO409</f>
        <v>38749.18076061301</v>
      </c>
      <c r="Y406">
        <f t="shared" si="55"/>
        <v>0.53154451804303271</v>
      </c>
      <c r="Z406">
        <f>Deals_Raw!AP409</f>
        <v>0.53154451804303271</v>
      </c>
    </row>
    <row r="407" spans="1:26">
      <c r="A407" t="str">
        <f>Deals_Raw!A410</f>
        <v>D00463</v>
      </c>
      <c r="B407">
        <f>COUNTIF(Deals_Raw!$A$5:$A$643,A407)</f>
        <v>1</v>
      </c>
      <c r="C407" s="12" t="str">
        <f>Deals_Raw!E410</f>
        <v>CT00247</v>
      </c>
      <c r="E407">
        <f>Deals_Raw!AA410</f>
        <v>59090.8642123873</v>
      </c>
      <c r="F407">
        <f>ROUND(Deals_Raw!T410*(1-Deals_Raw!W410),2)</f>
        <v>59107.24</v>
      </c>
      <c r="G407">
        <f t="shared" si="48"/>
        <v>16.375787612698332</v>
      </c>
      <c r="I407">
        <f>Deals_Raw!V410</f>
        <v>0.14599999999999999</v>
      </c>
      <c r="J407">
        <f>Deals_Raw!W410</f>
        <v>0.14299999999999999</v>
      </c>
      <c r="K407" t="str">
        <f>Deals_Raw!Z410</f>
        <v>Pricing Analyst</v>
      </c>
      <c r="L407" t="str">
        <f t="shared" si="49"/>
        <v>yes</v>
      </c>
      <c r="M407" t="str">
        <f t="shared" si="50"/>
        <v>Pass</v>
      </c>
      <c r="O407">
        <f>Deals_Raw!AP410</f>
        <v>0.55084751151189648</v>
      </c>
      <c r="P407" t="str">
        <f t="shared" si="51"/>
        <v>False</v>
      </c>
      <c r="R407" t="str">
        <f>Deals_Raw!AF410</f>
        <v>Won</v>
      </c>
      <c r="S407">
        <f t="shared" si="52"/>
        <v>59107.24</v>
      </c>
      <c r="T407">
        <f>Deals_Raw!AM410</f>
        <v>59107.24</v>
      </c>
      <c r="U407">
        <f t="shared" si="53"/>
        <v>118214.48</v>
      </c>
      <c r="V407">
        <f>Deals_Raw!AN410</f>
        <v>118214.48</v>
      </c>
      <c r="W407">
        <f t="shared" si="54"/>
        <v>32559.076066336427</v>
      </c>
      <c r="X407">
        <f>Deals_Raw!AO410</f>
        <v>32559.076066336427</v>
      </c>
      <c r="Y407">
        <f t="shared" si="55"/>
        <v>0.55084751151189648</v>
      </c>
      <c r="Z407">
        <f>Deals_Raw!AP410</f>
        <v>0.55084751151189648</v>
      </c>
    </row>
    <row r="408" spans="1:26">
      <c r="A408" t="str">
        <f>Deals_Raw!A411</f>
        <v>D00464</v>
      </c>
      <c r="B408">
        <f>COUNTIF(Deals_Raw!$A$5:$A$643,A408)</f>
        <v>1</v>
      </c>
      <c r="C408" s="12" t="str">
        <f>Deals_Raw!E411</f>
        <v>CT00248</v>
      </c>
      <c r="E408">
        <f>Deals_Raw!AA411</f>
        <v>58382.500948764588</v>
      </c>
      <c r="F408">
        <f>ROUND(Deals_Raw!T411*(1-Deals_Raw!W411),2)</f>
        <v>58403.64</v>
      </c>
      <c r="G408">
        <f t="shared" si="48"/>
        <v>21.139051235411898</v>
      </c>
      <c r="I408">
        <f>Deals_Raw!V411</f>
        <v>0.23400000000000001</v>
      </c>
      <c r="J408">
        <f>Deals_Raw!W411</f>
        <v>0.189</v>
      </c>
      <c r="K408" t="str">
        <f>Deals_Raw!Z411</f>
        <v>Pricing Analyst</v>
      </c>
      <c r="L408" t="str">
        <f t="shared" si="49"/>
        <v>yes</v>
      </c>
      <c r="M408" t="str">
        <f t="shared" si="50"/>
        <v>Pass</v>
      </c>
      <c r="O408">
        <f>Deals_Raw!AP411</f>
        <v>0.59875841790681017</v>
      </c>
      <c r="P408" t="str">
        <f t="shared" si="51"/>
        <v>False</v>
      </c>
      <c r="R408" t="str">
        <f>Deals_Raw!AF411</f>
        <v>Won</v>
      </c>
      <c r="S408">
        <f t="shared" si="52"/>
        <v>58403.64</v>
      </c>
      <c r="T408">
        <f>Deals_Raw!AM411</f>
        <v>58403.64</v>
      </c>
      <c r="U408">
        <f t="shared" si="53"/>
        <v>116807.28</v>
      </c>
      <c r="V408">
        <f>Deals_Raw!AN411</f>
        <v>116807.28</v>
      </c>
      <c r="W408">
        <f t="shared" si="54"/>
        <v>34969.671086398892</v>
      </c>
      <c r="X408">
        <f>Deals_Raw!AO411</f>
        <v>34969.671086398892</v>
      </c>
      <c r="Y408">
        <f t="shared" si="55"/>
        <v>0.59875841790681017</v>
      </c>
      <c r="Z408">
        <f>Deals_Raw!AP411</f>
        <v>0.59875841790681017</v>
      </c>
    </row>
    <row r="409" spans="1:26">
      <c r="A409" t="str">
        <f>Deals_Raw!A412</f>
        <v>D00465</v>
      </c>
      <c r="B409">
        <f>COUNTIF(Deals_Raw!$A$5:$A$643,A409)</f>
        <v>1</v>
      </c>
      <c r="C409" s="12" t="str">
        <f>Deals_Raw!E412</f>
        <v>CT00249</v>
      </c>
      <c r="E409">
        <f>Deals_Raw!AA412</f>
        <v>134415.85381639283</v>
      </c>
      <c r="F409">
        <f>ROUND(Deals_Raw!T412*(1-Deals_Raw!W412),2)</f>
        <v>134418.67000000001</v>
      </c>
      <c r="G409">
        <f t="shared" si="48"/>
        <v>2.8161836071813013</v>
      </c>
      <c r="I409">
        <f>Deals_Raw!V412</f>
        <v>0.106</v>
      </c>
      <c r="J409">
        <f>Deals_Raw!W412</f>
        <v>9.5000000000000001E-2</v>
      </c>
      <c r="K409" t="str">
        <f>Deals_Raw!Z412</f>
        <v>Sales Manager</v>
      </c>
      <c r="L409" t="str">
        <f t="shared" si="49"/>
        <v>yes</v>
      </c>
      <c r="M409" t="str">
        <f t="shared" si="50"/>
        <v>Pass</v>
      </c>
      <c r="O409">
        <f>Deals_Raw!AP412</f>
        <v>0.63859401781214431</v>
      </c>
      <c r="P409" t="str">
        <f t="shared" si="51"/>
        <v>False</v>
      </c>
      <c r="R409" t="str">
        <f>Deals_Raw!AF412</f>
        <v>Lost</v>
      </c>
      <c r="S409">
        <f t="shared" si="52"/>
        <v>0</v>
      </c>
      <c r="T409">
        <f>Deals_Raw!AM412</f>
        <v>134418.67000000001</v>
      </c>
      <c r="U409">
        <f t="shared" si="53"/>
        <v>0</v>
      </c>
      <c r="V409">
        <f>Deals_Raw!AN412</f>
        <v>268837.34000000003</v>
      </c>
      <c r="W409">
        <f t="shared" si="54"/>
        <v>0</v>
      </c>
      <c r="X409">
        <f>Deals_Raw!AO412</f>
        <v>85838.958544264751</v>
      </c>
      <c r="Y409">
        <f t="shared" si="55"/>
        <v>0</v>
      </c>
      <c r="Z409">
        <f>Deals_Raw!AP412</f>
        <v>0.63859401781214431</v>
      </c>
    </row>
    <row r="410" spans="1:26">
      <c r="A410" t="str">
        <f>Deals_Raw!A413</f>
        <v>D00466</v>
      </c>
      <c r="B410">
        <f>COUNTIF(Deals_Raw!$A$5:$A$643,A410)</f>
        <v>1</v>
      </c>
      <c r="C410" s="12" t="str">
        <f>Deals_Raw!E413</f>
        <v>CT00249</v>
      </c>
      <c r="E410">
        <f>Deals_Raw!AA413</f>
        <v>121514.60377640698</v>
      </c>
      <c r="F410">
        <f>ROUND(Deals_Raw!T413*(1-Deals_Raw!W413),2)</f>
        <v>121527.51</v>
      </c>
      <c r="G410">
        <f t="shared" si="48"/>
        <v>12.906223593017785</v>
      </c>
      <c r="I410">
        <f>Deals_Raw!V413</f>
        <v>4.7E-2</v>
      </c>
      <c r="J410">
        <f>Deals_Raw!W413</f>
        <v>0.02</v>
      </c>
      <c r="K410" t="str">
        <f>Deals_Raw!Z413</f>
        <v>Sales Manager</v>
      </c>
      <c r="L410" t="str">
        <f t="shared" si="49"/>
        <v>yes</v>
      </c>
      <c r="M410" t="str">
        <f t="shared" si="50"/>
        <v>Pass</v>
      </c>
      <c r="O410">
        <f>Deals_Raw!AP413</f>
        <v>0.79369122562282246</v>
      </c>
      <c r="P410" t="str">
        <f t="shared" si="51"/>
        <v>False</v>
      </c>
      <c r="R410" t="str">
        <f>Deals_Raw!AF413</f>
        <v>Won</v>
      </c>
      <c r="S410">
        <f t="shared" si="52"/>
        <v>121527.51</v>
      </c>
      <c r="T410">
        <f>Deals_Raw!AM413</f>
        <v>121527.51</v>
      </c>
      <c r="U410">
        <f t="shared" si="53"/>
        <v>243055.02</v>
      </c>
      <c r="V410">
        <f>Deals_Raw!AN413</f>
        <v>243055.02</v>
      </c>
      <c r="W410">
        <f t="shared" si="54"/>
        <v>96455.318358789809</v>
      </c>
      <c r="X410">
        <f>Deals_Raw!AO413</f>
        <v>96455.318358789809</v>
      </c>
      <c r="Y410">
        <f t="shared" si="55"/>
        <v>0.79369122562282246</v>
      </c>
      <c r="Z410">
        <f>Deals_Raw!AP413</f>
        <v>0.79369122562282246</v>
      </c>
    </row>
    <row r="411" spans="1:26">
      <c r="A411" t="str">
        <f>Deals_Raw!A414</f>
        <v>D00467</v>
      </c>
      <c r="B411">
        <f>COUNTIF(Deals_Raw!$A$5:$A$643,A411)</f>
        <v>1</v>
      </c>
      <c r="C411" s="12" t="str">
        <f>Deals_Raw!E414</f>
        <v>CT00250</v>
      </c>
      <c r="E411">
        <f>Deals_Raw!AA414</f>
        <v>392448.9433422233</v>
      </c>
      <c r="F411">
        <f>ROUND(Deals_Raw!T414*(1-Deals_Raw!W414),2)</f>
        <v>392450.68</v>
      </c>
      <c r="G411">
        <f t="shared" si="48"/>
        <v>1.7366577766952105</v>
      </c>
      <c r="I411">
        <f>Deals_Raw!V414</f>
        <v>5.6000000000000001E-2</v>
      </c>
      <c r="J411">
        <f>Deals_Raw!W414</f>
        <v>2.5000000000000001E-2</v>
      </c>
      <c r="K411" t="str">
        <f>Deals_Raw!Z414</f>
        <v>Sales Manager</v>
      </c>
      <c r="L411" t="str">
        <f t="shared" si="49"/>
        <v>yes</v>
      </c>
      <c r="M411" t="str">
        <f t="shared" si="50"/>
        <v>Pass</v>
      </c>
      <c r="O411">
        <f>Deals_Raw!AP414</f>
        <v>0.6793561108384526</v>
      </c>
      <c r="P411" t="str">
        <f t="shared" si="51"/>
        <v>False</v>
      </c>
      <c r="R411" t="str">
        <f>Deals_Raw!AF414</f>
        <v>Won</v>
      </c>
      <c r="S411">
        <f t="shared" si="52"/>
        <v>392450.68</v>
      </c>
      <c r="T411">
        <f>Deals_Raw!AM414</f>
        <v>392450.68</v>
      </c>
      <c r="U411">
        <f t="shared" si="53"/>
        <v>392450.68</v>
      </c>
      <c r="V411">
        <f>Deals_Raw!AN414</f>
        <v>392450.68</v>
      </c>
      <c r="W411">
        <f t="shared" si="54"/>
        <v>266613.76766070607</v>
      </c>
      <c r="X411">
        <f>Deals_Raw!AO414</f>
        <v>266613.76766070607</v>
      </c>
      <c r="Y411">
        <f t="shared" si="55"/>
        <v>0.6793561108384526</v>
      </c>
      <c r="Z411">
        <f>Deals_Raw!AP414</f>
        <v>0.6793561108384526</v>
      </c>
    </row>
    <row r="412" spans="1:26">
      <c r="A412" t="str">
        <f>Deals_Raw!A415</f>
        <v>D00468</v>
      </c>
      <c r="B412">
        <f>COUNTIF(Deals_Raw!$A$5:$A$643,A412)</f>
        <v>1</v>
      </c>
      <c r="C412" s="12" t="str">
        <f>Deals_Raw!E415</f>
        <v>CT00250</v>
      </c>
      <c r="E412">
        <f>Deals_Raw!AA415</f>
        <v>401899.16041796241</v>
      </c>
      <c r="F412">
        <f>ROUND(Deals_Raw!T415*(1-Deals_Raw!W415),2)</f>
        <v>401946.09</v>
      </c>
      <c r="G412">
        <f t="shared" si="48"/>
        <v>46.929582037613727</v>
      </c>
      <c r="I412">
        <f>Deals_Raw!V415</f>
        <v>6.0999999999999999E-2</v>
      </c>
      <c r="J412">
        <f>Deals_Raw!W415</f>
        <v>5.6000000000000001E-2</v>
      </c>
      <c r="K412" t="str">
        <f>Deals_Raw!Z415</f>
        <v>Sales Manager</v>
      </c>
      <c r="L412" t="str">
        <f t="shared" si="49"/>
        <v>yes</v>
      </c>
      <c r="M412" t="str">
        <f t="shared" si="50"/>
        <v>Pass</v>
      </c>
      <c r="O412">
        <f>Deals_Raw!AP415</f>
        <v>0.67330602019055164</v>
      </c>
      <c r="P412" t="str">
        <f t="shared" si="51"/>
        <v>False</v>
      </c>
      <c r="R412" t="str">
        <f>Deals_Raw!AF415</f>
        <v>Won</v>
      </c>
      <c r="S412">
        <f t="shared" si="52"/>
        <v>401946.09</v>
      </c>
      <c r="T412">
        <f>Deals_Raw!AM415</f>
        <v>401946.09</v>
      </c>
      <c r="U412">
        <f t="shared" si="53"/>
        <v>401946.09</v>
      </c>
      <c r="V412">
        <f>Deals_Raw!AN415</f>
        <v>401946.09</v>
      </c>
      <c r="W412">
        <f t="shared" si="54"/>
        <v>270632.72218905331</v>
      </c>
      <c r="X412">
        <f>Deals_Raw!AO415</f>
        <v>270632.72218905331</v>
      </c>
      <c r="Y412">
        <f t="shared" si="55"/>
        <v>0.67330602019055164</v>
      </c>
      <c r="Z412">
        <f>Deals_Raw!AP415</f>
        <v>0.67330602019055164</v>
      </c>
    </row>
    <row r="413" spans="1:26">
      <c r="A413" t="str">
        <f>Deals_Raw!A416</f>
        <v>D00469</v>
      </c>
      <c r="B413">
        <f>COUNTIF(Deals_Raw!$A$5:$A$643,A413)</f>
        <v>1</v>
      </c>
      <c r="C413" s="12" t="str">
        <f>Deals_Raw!E416</f>
        <v>CT00251</v>
      </c>
      <c r="E413">
        <f>Deals_Raw!AA416</f>
        <v>101680.21093929109</v>
      </c>
      <c r="F413">
        <f>ROUND(Deals_Raw!T416*(1-Deals_Raw!W416),2)</f>
        <v>101672.56</v>
      </c>
      <c r="G413">
        <f t="shared" si="48"/>
        <v>-7.6509392910957104</v>
      </c>
      <c r="I413">
        <f>Deals_Raw!V416</f>
        <v>0.21299999999999999</v>
      </c>
      <c r="J413">
        <f>Deals_Raw!W416</f>
        <v>0.16900000000000001</v>
      </c>
      <c r="K413" t="str">
        <f>Deals_Raw!Z416</f>
        <v>Pricing Analyst</v>
      </c>
      <c r="L413" t="str">
        <f t="shared" si="49"/>
        <v>yes</v>
      </c>
      <c r="M413" t="str">
        <f t="shared" si="50"/>
        <v>Pass</v>
      </c>
      <c r="O413">
        <f>Deals_Raw!AP416</f>
        <v>0.49928708650606979</v>
      </c>
      <c r="P413" t="str">
        <f t="shared" si="51"/>
        <v>False</v>
      </c>
      <c r="R413" t="str">
        <f>Deals_Raw!AF416</f>
        <v>Lost</v>
      </c>
      <c r="S413">
        <f t="shared" si="52"/>
        <v>0</v>
      </c>
      <c r="T413">
        <f>Deals_Raw!AM416</f>
        <v>101672.56</v>
      </c>
      <c r="U413">
        <f t="shared" si="53"/>
        <v>0</v>
      </c>
      <c r="V413">
        <f>Deals_Raw!AN416</f>
        <v>101672.56</v>
      </c>
      <c r="W413">
        <f t="shared" si="54"/>
        <v>0</v>
      </c>
      <c r="X413">
        <f>Deals_Raw!AO416</f>
        <v>50763.796260013572</v>
      </c>
      <c r="Y413">
        <f t="shared" si="55"/>
        <v>0</v>
      </c>
      <c r="Z413">
        <f>Deals_Raw!AP416</f>
        <v>0.49928708650606979</v>
      </c>
    </row>
    <row r="414" spans="1:26">
      <c r="A414" t="str">
        <f>Deals_Raw!A417</f>
        <v>D00470</v>
      </c>
      <c r="B414">
        <f>COUNTIF(Deals_Raw!$A$5:$A$643,A414)</f>
        <v>1</v>
      </c>
      <c r="C414" s="12" t="str">
        <f>Deals_Raw!E417</f>
        <v>CT00252</v>
      </c>
      <c r="E414">
        <f>Deals_Raw!AA417</f>
        <v>138396.19696249021</v>
      </c>
      <c r="F414">
        <f>ROUND(Deals_Raw!T417*(1-Deals_Raw!W417),2)</f>
        <v>138373.44</v>
      </c>
      <c r="G414">
        <f t="shared" si="48"/>
        <v>-22.756962490209844</v>
      </c>
      <c r="I414">
        <f>Deals_Raw!V417</f>
        <v>0.13500000000000001</v>
      </c>
      <c r="J414">
        <f>Deals_Raw!W417</f>
        <v>7.9000000000000001E-2</v>
      </c>
      <c r="K414" t="str">
        <f>Deals_Raw!Z417</f>
        <v>Sales Manager</v>
      </c>
      <c r="L414" t="str">
        <f t="shared" si="49"/>
        <v>yes</v>
      </c>
      <c r="M414" t="str">
        <f t="shared" si="50"/>
        <v>Pass</v>
      </c>
      <c r="O414">
        <f>Deals_Raw!AP417</f>
        <v>0.5133054684088304</v>
      </c>
      <c r="P414" t="str">
        <f t="shared" si="51"/>
        <v>False</v>
      </c>
      <c r="R414" t="str">
        <f>Deals_Raw!AF417</f>
        <v>Won</v>
      </c>
      <c r="S414">
        <f t="shared" si="52"/>
        <v>138373.44</v>
      </c>
      <c r="T414">
        <f>Deals_Raw!AM417</f>
        <v>138373.44</v>
      </c>
      <c r="U414">
        <f t="shared" si="53"/>
        <v>138373.44</v>
      </c>
      <c r="V414">
        <f>Deals_Raw!AN417</f>
        <v>138373.44</v>
      </c>
      <c r="W414">
        <f t="shared" si="54"/>
        <v>71027.843434541195</v>
      </c>
      <c r="X414">
        <f>Deals_Raw!AO417</f>
        <v>71027.843434541195</v>
      </c>
      <c r="Y414">
        <f t="shared" si="55"/>
        <v>0.5133054684088304</v>
      </c>
      <c r="Z414">
        <f>Deals_Raw!AP417</f>
        <v>0.5133054684088304</v>
      </c>
    </row>
    <row r="415" spans="1:26">
      <c r="A415" t="str">
        <f>Deals_Raw!A418</f>
        <v>D00471</v>
      </c>
      <c r="B415">
        <f>COUNTIF(Deals_Raw!$A$5:$A$643,A415)</f>
        <v>1</v>
      </c>
      <c r="C415" s="12" t="str">
        <f>Deals_Raw!E418</f>
        <v>CT00252</v>
      </c>
      <c r="E415">
        <f>Deals_Raw!AA418</f>
        <v>131895.3320155043</v>
      </c>
      <c r="F415">
        <f>ROUND(Deals_Raw!T418*(1-Deals_Raw!W418),2)</f>
        <v>131865.69</v>
      </c>
      <c r="G415">
        <f t="shared" si="48"/>
        <v>-29.642015504301526</v>
      </c>
      <c r="I415">
        <f>Deals_Raw!V418</f>
        <v>0.152</v>
      </c>
      <c r="J415">
        <f>Deals_Raw!W418</f>
        <v>0.14799999999999999</v>
      </c>
      <c r="K415" t="str">
        <f>Deals_Raw!Z418</f>
        <v>Pricing Analyst</v>
      </c>
      <c r="L415" t="str">
        <f t="shared" si="49"/>
        <v>yes</v>
      </c>
      <c r="M415" t="str">
        <f t="shared" si="50"/>
        <v>Pass</v>
      </c>
      <c r="O415">
        <f>Deals_Raw!AP418</f>
        <v>0.53491514751208313</v>
      </c>
      <c r="P415" t="str">
        <f t="shared" si="51"/>
        <v>False</v>
      </c>
      <c r="R415" t="str">
        <f>Deals_Raw!AF418</f>
        <v>Lost</v>
      </c>
      <c r="S415">
        <f t="shared" si="52"/>
        <v>0</v>
      </c>
      <c r="T415">
        <f>Deals_Raw!AM418</f>
        <v>131865.69</v>
      </c>
      <c r="U415">
        <f t="shared" si="53"/>
        <v>0</v>
      </c>
      <c r="V415">
        <f>Deals_Raw!AN418</f>
        <v>131865.69</v>
      </c>
      <c r="W415">
        <f t="shared" si="54"/>
        <v>0</v>
      </c>
      <c r="X415">
        <f>Deals_Raw!AO418</f>
        <v>70536.955018132634</v>
      </c>
      <c r="Y415">
        <f t="shared" si="55"/>
        <v>0</v>
      </c>
      <c r="Z415">
        <f>Deals_Raw!AP418</f>
        <v>0.53491514751208313</v>
      </c>
    </row>
    <row r="416" spans="1:26">
      <c r="A416" t="str">
        <f>Deals_Raw!A419</f>
        <v>D00472</v>
      </c>
      <c r="B416">
        <f>COUNTIF(Deals_Raw!$A$5:$A$643,A416)</f>
        <v>1</v>
      </c>
      <c r="C416" s="12" t="str">
        <f>Deals_Raw!E419</f>
        <v>CT00253</v>
      </c>
      <c r="E416">
        <f>Deals_Raw!AA419</f>
        <v>72388.706844585977</v>
      </c>
      <c r="F416">
        <f>ROUND(Deals_Raw!T419*(1-Deals_Raw!W419),2)</f>
        <v>72388.710000000006</v>
      </c>
      <c r="G416">
        <f t="shared" si="48"/>
        <v>3.155414029606618E-3</v>
      </c>
      <c r="I416">
        <f>Deals_Raw!V419</f>
        <v>1.4999999999999999E-2</v>
      </c>
      <c r="J416">
        <f>Deals_Raw!W419</f>
        <v>0</v>
      </c>
      <c r="K416" t="str">
        <f>Deals_Raw!Z419</f>
        <v>Sales Manager</v>
      </c>
      <c r="L416" t="str">
        <f t="shared" si="49"/>
        <v>yes</v>
      </c>
      <c r="M416" t="str">
        <f t="shared" si="50"/>
        <v>Pass</v>
      </c>
      <c r="O416">
        <f>Deals_Raw!AP419</f>
        <v>0.62225408252320313</v>
      </c>
      <c r="P416" t="str">
        <f t="shared" si="51"/>
        <v>False</v>
      </c>
      <c r="R416" t="str">
        <f>Deals_Raw!AF419</f>
        <v>Lost</v>
      </c>
      <c r="S416">
        <f t="shared" si="52"/>
        <v>0</v>
      </c>
      <c r="T416">
        <f>Deals_Raw!AM419</f>
        <v>72388.710000000006</v>
      </c>
      <c r="U416">
        <f t="shared" si="53"/>
        <v>0</v>
      </c>
      <c r="V416">
        <f>Deals_Raw!AN419</f>
        <v>144777.42000000001</v>
      </c>
      <c r="W416">
        <f t="shared" si="54"/>
        <v>0</v>
      </c>
      <c r="X416">
        <f>Deals_Raw!AO419</f>
        <v>45044.170326088228</v>
      </c>
      <c r="Y416">
        <f t="shared" si="55"/>
        <v>0</v>
      </c>
      <c r="Z416">
        <f>Deals_Raw!AP419</f>
        <v>0.62225408252320313</v>
      </c>
    </row>
    <row r="417" spans="1:26">
      <c r="A417" t="str">
        <f>Deals_Raw!A420</f>
        <v>D00473</v>
      </c>
      <c r="B417">
        <f>COUNTIF(Deals_Raw!$A$5:$A$643,A417)</f>
        <v>1</v>
      </c>
      <c r="C417" s="12" t="str">
        <f>Deals_Raw!E420</f>
        <v>CT00253</v>
      </c>
      <c r="E417">
        <f>Deals_Raw!AA420</f>
        <v>53701.739093555901</v>
      </c>
      <c r="F417">
        <f>ROUND(Deals_Raw!T420*(1-Deals_Raw!W420),2)</f>
        <v>53700.92</v>
      </c>
      <c r="G417">
        <f t="shared" si="48"/>
        <v>-0.81909355590323685</v>
      </c>
      <c r="I417">
        <f>Deals_Raw!V420</f>
        <v>0.191</v>
      </c>
      <c r="J417">
        <f>Deals_Raw!W420</f>
        <v>0.17499999999999999</v>
      </c>
      <c r="K417" t="str">
        <f>Deals_Raw!Z420</f>
        <v>Pricing Analyst</v>
      </c>
      <c r="L417" t="str">
        <f t="shared" si="49"/>
        <v>yes</v>
      </c>
      <c r="M417" t="str">
        <f t="shared" si="50"/>
        <v>Pass</v>
      </c>
      <c r="O417">
        <f>Deals_Raw!AP420</f>
        <v>0.52067664773630862</v>
      </c>
      <c r="P417" t="str">
        <f t="shared" si="51"/>
        <v>False</v>
      </c>
      <c r="R417" t="str">
        <f>Deals_Raw!AF420</f>
        <v>Won</v>
      </c>
      <c r="S417">
        <f t="shared" si="52"/>
        <v>53700.92</v>
      </c>
      <c r="T417">
        <f>Deals_Raw!AM420</f>
        <v>53700.92</v>
      </c>
      <c r="U417">
        <f t="shared" si="53"/>
        <v>107401.84</v>
      </c>
      <c r="V417">
        <f>Deals_Raw!AN420</f>
        <v>107401.84</v>
      </c>
      <c r="W417">
        <f t="shared" si="54"/>
        <v>27960.815005955687</v>
      </c>
      <c r="X417">
        <f>Deals_Raw!AO420</f>
        <v>27960.815005955687</v>
      </c>
      <c r="Y417">
        <f t="shared" si="55"/>
        <v>0.52067664773630862</v>
      </c>
      <c r="Z417">
        <f>Deals_Raw!AP420</f>
        <v>0.52067664773630862</v>
      </c>
    </row>
    <row r="418" spans="1:26">
      <c r="A418" t="str">
        <f>Deals_Raw!A421</f>
        <v>D00474</v>
      </c>
      <c r="B418">
        <f>COUNTIF(Deals_Raw!$A$5:$A$643,A418)</f>
        <v>1</v>
      </c>
      <c r="C418" s="12" t="str">
        <f>Deals_Raw!E421</f>
        <v>CT00254</v>
      </c>
      <c r="E418">
        <f>Deals_Raw!AA421</f>
        <v>115711.64868766069</v>
      </c>
      <c r="F418">
        <f>ROUND(Deals_Raw!T421*(1-Deals_Raw!W421),2)</f>
        <v>115765.46</v>
      </c>
      <c r="G418">
        <f t="shared" si="48"/>
        <v>53.811312339312281</v>
      </c>
      <c r="I418">
        <f>Deals_Raw!V421</f>
        <v>0.159</v>
      </c>
      <c r="J418">
        <f>Deals_Raw!W421</f>
        <v>9.8000000000000004E-2</v>
      </c>
      <c r="K418" t="str">
        <f>Deals_Raw!Z421</f>
        <v>Sales Manager</v>
      </c>
      <c r="L418" t="str">
        <f t="shared" si="49"/>
        <v>yes</v>
      </c>
      <c r="M418" t="str">
        <f t="shared" si="50"/>
        <v>Pass</v>
      </c>
      <c r="O418">
        <f>Deals_Raw!AP421</f>
        <v>0.61100009920657383</v>
      </c>
      <c r="P418" t="str">
        <f t="shared" si="51"/>
        <v>False</v>
      </c>
      <c r="R418" t="str">
        <f>Deals_Raw!AF421</f>
        <v>Won</v>
      </c>
      <c r="S418">
        <f t="shared" si="52"/>
        <v>115765.46</v>
      </c>
      <c r="T418">
        <f>Deals_Raw!AM421</f>
        <v>115765.46</v>
      </c>
      <c r="U418">
        <f t="shared" si="53"/>
        <v>115765.46</v>
      </c>
      <c r="V418">
        <f>Deals_Raw!AN421</f>
        <v>115765.46</v>
      </c>
      <c r="W418">
        <f t="shared" si="54"/>
        <v>70732.707544694655</v>
      </c>
      <c r="X418">
        <f>Deals_Raw!AO421</f>
        <v>70732.707544694655</v>
      </c>
      <c r="Y418">
        <f t="shared" si="55"/>
        <v>0.61100009920657383</v>
      </c>
      <c r="Z418">
        <f>Deals_Raw!AP421</f>
        <v>0.61100009920657383</v>
      </c>
    </row>
    <row r="419" spans="1:26">
      <c r="A419" t="str">
        <f>Deals_Raw!A422</f>
        <v>D00475</v>
      </c>
      <c r="B419">
        <f>COUNTIF(Deals_Raw!$A$5:$A$643,A419)</f>
        <v>1</v>
      </c>
      <c r="C419" s="12" t="str">
        <f>Deals_Raw!E422</f>
        <v>CT00254</v>
      </c>
      <c r="E419">
        <f>Deals_Raw!AA422</f>
        <v>119339.62635466814</v>
      </c>
      <c r="F419">
        <f>ROUND(Deals_Raw!T422*(1-Deals_Raw!W422),2)</f>
        <v>119282.5</v>
      </c>
      <c r="G419">
        <f t="shared" si="48"/>
        <v>-57.126354668143904</v>
      </c>
      <c r="I419">
        <f>Deals_Raw!V422</f>
        <v>0.13100000000000001</v>
      </c>
      <c r="J419">
        <f>Deals_Raw!W422</f>
        <v>0.123</v>
      </c>
      <c r="K419" t="str">
        <f>Deals_Raw!Z422</f>
        <v>Pricing Analyst</v>
      </c>
      <c r="L419" t="str">
        <f t="shared" si="49"/>
        <v>yes</v>
      </c>
      <c r="M419" t="str">
        <f t="shared" si="50"/>
        <v>Pass</v>
      </c>
      <c r="O419">
        <f>Deals_Raw!AP422</f>
        <v>0.61887470180333626</v>
      </c>
      <c r="P419" t="str">
        <f t="shared" si="51"/>
        <v>False</v>
      </c>
      <c r="R419" t="str">
        <f>Deals_Raw!AF422</f>
        <v>Lost</v>
      </c>
      <c r="S419">
        <f t="shared" si="52"/>
        <v>0</v>
      </c>
      <c r="T419">
        <f>Deals_Raw!AM422</f>
        <v>119282.5</v>
      </c>
      <c r="U419">
        <f t="shared" si="53"/>
        <v>0</v>
      </c>
      <c r="V419">
        <f>Deals_Raw!AN422</f>
        <v>119282.5</v>
      </c>
      <c r="W419">
        <f t="shared" si="54"/>
        <v>0</v>
      </c>
      <c r="X419">
        <f>Deals_Raw!AO422</f>
        <v>73820.921617856453</v>
      </c>
      <c r="Y419">
        <f t="shared" si="55"/>
        <v>0</v>
      </c>
      <c r="Z419">
        <f>Deals_Raw!AP422</f>
        <v>0.61887470180333626</v>
      </c>
    </row>
    <row r="420" spans="1:26">
      <c r="A420" t="str">
        <f>Deals_Raw!A423</f>
        <v>D00476</v>
      </c>
      <c r="B420">
        <f>COUNTIF(Deals_Raw!$A$5:$A$643,A420)</f>
        <v>1</v>
      </c>
      <c r="C420" s="12" t="str">
        <f>Deals_Raw!E423</f>
        <v>CT00255</v>
      </c>
      <c r="E420">
        <f>Deals_Raw!AA423</f>
        <v>51929.481043606742</v>
      </c>
      <c r="F420">
        <f>ROUND(Deals_Raw!T423*(1-Deals_Raw!W423),2)</f>
        <v>51956.05</v>
      </c>
      <c r="G420">
        <f t="shared" si="48"/>
        <v>26.568956393261033</v>
      </c>
      <c r="I420">
        <f>Deals_Raw!V423</f>
        <v>0.17599999999999999</v>
      </c>
      <c r="J420">
        <f>Deals_Raw!W423</f>
        <v>0.159</v>
      </c>
      <c r="K420" t="str">
        <f>Deals_Raw!Z423</f>
        <v>Pricing Analyst</v>
      </c>
      <c r="L420" t="str">
        <f t="shared" si="49"/>
        <v>yes</v>
      </c>
      <c r="M420" t="str">
        <f t="shared" si="50"/>
        <v>Pass</v>
      </c>
      <c r="O420">
        <f>Deals_Raw!AP423</f>
        <v>0.55249729894737565</v>
      </c>
      <c r="P420" t="str">
        <f t="shared" si="51"/>
        <v>False</v>
      </c>
      <c r="R420" t="str">
        <f>Deals_Raw!AF423</f>
        <v>Lost</v>
      </c>
      <c r="S420">
        <f t="shared" si="52"/>
        <v>0</v>
      </c>
      <c r="T420">
        <f>Deals_Raw!AM423</f>
        <v>51956.05</v>
      </c>
      <c r="U420">
        <f t="shared" si="53"/>
        <v>0</v>
      </c>
      <c r="V420">
        <f>Deals_Raw!AN423</f>
        <v>155868.15000000002</v>
      </c>
      <c r="W420">
        <f t="shared" si="54"/>
        <v>0</v>
      </c>
      <c r="X420">
        <f>Deals_Raw!AO423</f>
        <v>28705.5772889748</v>
      </c>
      <c r="Y420">
        <f t="shared" si="55"/>
        <v>0</v>
      </c>
      <c r="Z420">
        <f>Deals_Raw!AP423</f>
        <v>0.55249729894737565</v>
      </c>
    </row>
    <row r="421" spans="1:26">
      <c r="A421" t="str">
        <f>Deals_Raw!A424</f>
        <v>D00477</v>
      </c>
      <c r="B421">
        <f>COUNTIF(Deals_Raw!$A$5:$A$643,A421)</f>
        <v>1</v>
      </c>
      <c r="C421" s="12" t="str">
        <f>Deals_Raw!E424</f>
        <v>CT00255</v>
      </c>
      <c r="E421">
        <f>Deals_Raw!AA424</f>
        <v>57165.260774206479</v>
      </c>
      <c r="F421">
        <f>ROUND(Deals_Raw!T424*(1-Deals_Raw!W424),2)</f>
        <v>57145.48</v>
      </c>
      <c r="G421">
        <f t="shared" si="48"/>
        <v>-19.780774206476053</v>
      </c>
      <c r="I421">
        <f>Deals_Raw!V424</f>
        <v>0.111</v>
      </c>
      <c r="J421">
        <f>Deals_Raw!W424</f>
        <v>7.4999999999999997E-2</v>
      </c>
      <c r="K421" t="str">
        <f>Deals_Raw!Z424</f>
        <v>Sales Manager</v>
      </c>
      <c r="L421" t="str">
        <f t="shared" si="49"/>
        <v>yes</v>
      </c>
      <c r="M421" t="str">
        <f t="shared" si="50"/>
        <v>Pass</v>
      </c>
      <c r="O421">
        <f>Deals_Raw!AP424</f>
        <v>0.60534128832974232</v>
      </c>
      <c r="P421" t="str">
        <f t="shared" si="51"/>
        <v>False</v>
      </c>
      <c r="R421" t="str">
        <f>Deals_Raw!AF424</f>
        <v>Won</v>
      </c>
      <c r="S421">
        <f t="shared" si="52"/>
        <v>57145.48</v>
      </c>
      <c r="T421">
        <f>Deals_Raw!AM424</f>
        <v>57145.48</v>
      </c>
      <c r="U421">
        <f t="shared" si="53"/>
        <v>171436.44</v>
      </c>
      <c r="V421">
        <f>Deals_Raw!AN424</f>
        <v>171436.44</v>
      </c>
      <c r="W421">
        <f t="shared" si="54"/>
        <v>34592.518485421526</v>
      </c>
      <c r="X421">
        <f>Deals_Raw!AO424</f>
        <v>34592.518485421526</v>
      </c>
      <c r="Y421">
        <f t="shared" si="55"/>
        <v>0.60534128832974232</v>
      </c>
      <c r="Z421">
        <f>Deals_Raw!AP424</f>
        <v>0.60534128832974232</v>
      </c>
    </row>
    <row r="422" spans="1:26">
      <c r="A422" t="str">
        <f>Deals_Raw!A425</f>
        <v>D00478</v>
      </c>
      <c r="B422">
        <f>COUNTIF(Deals_Raw!$A$5:$A$643,A422)</f>
        <v>1</v>
      </c>
      <c r="C422" s="12" t="str">
        <f>Deals_Raw!E425</f>
        <v>CT00256</v>
      </c>
      <c r="E422">
        <f>Deals_Raw!AA425</f>
        <v>117310.62302615996</v>
      </c>
      <c r="F422">
        <f>ROUND(Deals_Raw!T425*(1-Deals_Raw!W425),2)</f>
        <v>117357.34</v>
      </c>
      <c r="G422">
        <f t="shared" si="48"/>
        <v>46.716973840040737</v>
      </c>
      <c r="I422">
        <f>Deals_Raw!V425</f>
        <v>6.4000000000000001E-2</v>
      </c>
      <c r="J422">
        <f>Deals_Raw!W425</f>
        <v>5.6000000000000001E-2</v>
      </c>
      <c r="K422" t="str">
        <f>Deals_Raw!Z425</f>
        <v>Sales Manager</v>
      </c>
      <c r="L422" t="str">
        <f t="shared" si="49"/>
        <v>yes</v>
      </c>
      <c r="M422" t="str">
        <f t="shared" si="50"/>
        <v>Pass</v>
      </c>
      <c r="O422">
        <f>Deals_Raw!AP425</f>
        <v>0.57672303269456771</v>
      </c>
      <c r="P422" t="str">
        <f t="shared" si="51"/>
        <v>False</v>
      </c>
      <c r="R422" t="str">
        <f>Deals_Raw!AF425</f>
        <v>Won</v>
      </c>
      <c r="S422">
        <f t="shared" si="52"/>
        <v>117357.34</v>
      </c>
      <c r="T422">
        <f>Deals_Raw!AM425</f>
        <v>117357.34</v>
      </c>
      <c r="U422">
        <f t="shared" si="53"/>
        <v>117357.34</v>
      </c>
      <c r="V422">
        <f>Deals_Raw!AN425</f>
        <v>117357.34</v>
      </c>
      <c r="W422">
        <f t="shared" si="54"/>
        <v>67682.681033767498</v>
      </c>
      <c r="X422">
        <f>Deals_Raw!AO425</f>
        <v>67682.681033767498</v>
      </c>
      <c r="Y422">
        <f t="shared" si="55"/>
        <v>0.57672303269456771</v>
      </c>
      <c r="Z422">
        <f>Deals_Raw!AP425</f>
        <v>0.57672303269456771</v>
      </c>
    </row>
    <row r="423" spans="1:26">
      <c r="A423" t="str">
        <f>Deals_Raw!A426</f>
        <v>D00479</v>
      </c>
      <c r="B423">
        <f>COUNTIF(Deals_Raw!$A$5:$A$643,A423)</f>
        <v>1</v>
      </c>
      <c r="C423" s="12" t="str">
        <f>Deals_Raw!E426</f>
        <v>CT00257</v>
      </c>
      <c r="E423">
        <f>Deals_Raw!AA426</f>
        <v>67923.948264067702</v>
      </c>
      <c r="F423">
        <f>ROUND(Deals_Raw!T426*(1-Deals_Raw!W426),2)</f>
        <v>67890</v>
      </c>
      <c r="G423">
        <f t="shared" si="48"/>
        <v>-33.94826406770153</v>
      </c>
      <c r="I423">
        <f>Deals_Raw!V426</f>
        <v>0.14399999999999999</v>
      </c>
      <c r="J423">
        <f>Deals_Raw!W426</f>
        <v>0.10199999999999999</v>
      </c>
      <c r="K423" t="str">
        <f>Deals_Raw!Z426</f>
        <v>Pricing Analyst</v>
      </c>
      <c r="L423" t="str">
        <f t="shared" si="49"/>
        <v>yes</v>
      </c>
      <c r="M423" t="str">
        <f t="shared" si="50"/>
        <v>Pass</v>
      </c>
      <c r="O423">
        <f>Deals_Raw!AP426</f>
        <v>0.58137293179696581</v>
      </c>
      <c r="P423" t="str">
        <f t="shared" si="51"/>
        <v>False</v>
      </c>
      <c r="R423" t="str">
        <f>Deals_Raw!AF426</f>
        <v>Won</v>
      </c>
      <c r="S423">
        <f t="shared" si="52"/>
        <v>67890</v>
      </c>
      <c r="T423">
        <f>Deals_Raw!AM426</f>
        <v>67890</v>
      </c>
      <c r="U423">
        <f t="shared" si="53"/>
        <v>67890</v>
      </c>
      <c r="V423">
        <f>Deals_Raw!AN426</f>
        <v>67890</v>
      </c>
      <c r="W423">
        <f t="shared" si="54"/>
        <v>39469.408339696012</v>
      </c>
      <c r="X423">
        <f>Deals_Raw!AO426</f>
        <v>39469.408339696012</v>
      </c>
      <c r="Y423">
        <f t="shared" si="55"/>
        <v>0.58137293179696581</v>
      </c>
      <c r="Z423">
        <f>Deals_Raw!AP426</f>
        <v>0.58137293179696581</v>
      </c>
    </row>
    <row r="424" spans="1:26">
      <c r="A424" t="str">
        <f>Deals_Raw!A427</f>
        <v>D00480</v>
      </c>
      <c r="B424">
        <f>COUNTIF(Deals_Raw!$A$5:$A$643,A424)</f>
        <v>1</v>
      </c>
      <c r="C424" s="12" t="str">
        <f>Deals_Raw!E427</f>
        <v>CT00258</v>
      </c>
      <c r="E424">
        <f>Deals_Raw!AA427</f>
        <v>663992.07488345192</v>
      </c>
      <c r="F424">
        <f>ROUND(Deals_Raw!T427*(1-Deals_Raw!W427),2)</f>
        <v>663807.56999999995</v>
      </c>
      <c r="G424">
        <f t="shared" si="48"/>
        <v>-184.50488345196936</v>
      </c>
      <c r="I424">
        <f>Deals_Raw!V427</f>
        <v>0.14299999999999999</v>
      </c>
      <c r="J424">
        <f>Deals_Raw!W427</f>
        <v>0.109</v>
      </c>
      <c r="K424" t="str">
        <f>Deals_Raw!Z427</f>
        <v>Pricing Analyst</v>
      </c>
      <c r="L424" t="str">
        <f t="shared" si="49"/>
        <v>yes</v>
      </c>
      <c r="M424" t="str">
        <f t="shared" si="50"/>
        <v>Pass</v>
      </c>
      <c r="O424">
        <f>Deals_Raw!AP427</f>
        <v>0.60827284916944713</v>
      </c>
      <c r="P424" t="str">
        <f t="shared" si="51"/>
        <v>False</v>
      </c>
      <c r="R424" t="str">
        <f>Deals_Raw!AF427</f>
        <v>Won</v>
      </c>
      <c r="S424">
        <f t="shared" si="52"/>
        <v>663807.56999999995</v>
      </c>
      <c r="T424">
        <f>Deals_Raw!AM427</f>
        <v>663807.56999999995</v>
      </c>
      <c r="U424">
        <f t="shared" si="53"/>
        <v>663807.56999999995</v>
      </c>
      <c r="V424">
        <f>Deals_Raw!AN427</f>
        <v>663807.56999999995</v>
      </c>
      <c r="W424">
        <f t="shared" si="54"/>
        <v>403776.12190414721</v>
      </c>
      <c r="X424">
        <f>Deals_Raw!AO427</f>
        <v>403776.12190414721</v>
      </c>
      <c r="Y424">
        <f t="shared" si="55"/>
        <v>0.60827284916944713</v>
      </c>
      <c r="Z424">
        <f>Deals_Raw!AP427</f>
        <v>0.60827284916944713</v>
      </c>
    </row>
    <row r="425" spans="1:26">
      <c r="A425" t="str">
        <f>Deals_Raw!A428</f>
        <v>D00481</v>
      </c>
      <c r="B425">
        <f>COUNTIF(Deals_Raw!$A$5:$A$643,A425)</f>
        <v>1</v>
      </c>
      <c r="C425" s="12" t="str">
        <f>Deals_Raw!E428</f>
        <v>CT00258</v>
      </c>
      <c r="E425">
        <f>Deals_Raw!AA428</f>
        <v>693985.14831588953</v>
      </c>
      <c r="F425">
        <f>ROUND(Deals_Raw!T428*(1-Deals_Raw!W428),2)</f>
        <v>694026.49</v>
      </c>
      <c r="G425">
        <f t="shared" si="48"/>
        <v>41.341684110462666</v>
      </c>
      <c r="I425">
        <f>Deals_Raw!V428</f>
        <v>0.13100000000000001</v>
      </c>
      <c r="J425">
        <f>Deals_Raw!W428</f>
        <v>0.114</v>
      </c>
      <c r="K425" t="str">
        <f>Deals_Raw!Z428</f>
        <v>Pricing Analyst</v>
      </c>
      <c r="L425" t="str">
        <f t="shared" si="49"/>
        <v>yes</v>
      </c>
      <c r="M425" t="str">
        <f t="shared" si="50"/>
        <v>Pass</v>
      </c>
      <c r="O425">
        <f>Deals_Raw!AP428</f>
        <v>0.60144878277403357</v>
      </c>
      <c r="P425" t="str">
        <f t="shared" si="51"/>
        <v>False</v>
      </c>
      <c r="R425" t="str">
        <f>Deals_Raw!AF428</f>
        <v>Won</v>
      </c>
      <c r="S425">
        <f t="shared" si="52"/>
        <v>694026.49</v>
      </c>
      <c r="T425">
        <f>Deals_Raw!AM428</f>
        <v>694026.49</v>
      </c>
      <c r="U425">
        <f t="shared" si="53"/>
        <v>694026.49</v>
      </c>
      <c r="V425">
        <f>Deals_Raw!AN428</f>
        <v>694026.49</v>
      </c>
      <c r="W425">
        <f t="shared" si="54"/>
        <v>417421.387623435</v>
      </c>
      <c r="X425">
        <f>Deals_Raw!AO428</f>
        <v>417421.387623435</v>
      </c>
      <c r="Y425">
        <f t="shared" si="55"/>
        <v>0.60144878277403357</v>
      </c>
      <c r="Z425">
        <f>Deals_Raw!AP428</f>
        <v>0.60144878277403357</v>
      </c>
    </row>
    <row r="426" spans="1:26">
      <c r="A426" t="str">
        <f>Deals_Raw!A429</f>
        <v>D00482</v>
      </c>
      <c r="B426">
        <f>COUNTIF(Deals_Raw!$A$5:$A$643,A426)</f>
        <v>1</v>
      </c>
      <c r="C426" s="12" t="str">
        <f>Deals_Raw!E429</f>
        <v>CT00259</v>
      </c>
      <c r="E426">
        <f>Deals_Raw!AA429</f>
        <v>312653.19971637573</v>
      </c>
      <c r="F426">
        <f>ROUND(Deals_Raw!T429*(1-Deals_Raw!W429),2)</f>
        <v>312775.38</v>
      </c>
      <c r="G426">
        <f t="shared" si="48"/>
        <v>122.1802836242714</v>
      </c>
      <c r="I426">
        <f>Deals_Raw!V429</f>
        <v>0.18099999999999999</v>
      </c>
      <c r="J426">
        <f>Deals_Raw!W429</f>
        <v>0.16200000000000001</v>
      </c>
      <c r="K426" t="str">
        <f>Deals_Raw!Z429</f>
        <v>Pricing Analyst</v>
      </c>
      <c r="L426" t="str">
        <f t="shared" si="49"/>
        <v>yes</v>
      </c>
      <c r="M426" t="str">
        <f t="shared" si="50"/>
        <v>Pass</v>
      </c>
      <c r="O426">
        <f>Deals_Raw!AP429</f>
        <v>0.61742245717949729</v>
      </c>
      <c r="P426" t="str">
        <f t="shared" si="51"/>
        <v>False</v>
      </c>
      <c r="R426" t="str">
        <f>Deals_Raw!AF429</f>
        <v>Won</v>
      </c>
      <c r="S426">
        <f t="shared" si="52"/>
        <v>312775.38</v>
      </c>
      <c r="T426">
        <f>Deals_Raw!AM429</f>
        <v>312775.38</v>
      </c>
      <c r="U426">
        <f t="shared" si="53"/>
        <v>625550.76</v>
      </c>
      <c r="V426">
        <f>Deals_Raw!AN429</f>
        <v>625550.76</v>
      </c>
      <c r="W426">
        <f t="shared" si="54"/>
        <v>193114.54366485099</v>
      </c>
      <c r="X426">
        <f>Deals_Raw!AO429</f>
        <v>193114.54366485099</v>
      </c>
      <c r="Y426">
        <f t="shared" si="55"/>
        <v>0.61742245717949729</v>
      </c>
      <c r="Z426">
        <f>Deals_Raw!AP429</f>
        <v>0.61742245717949729</v>
      </c>
    </row>
    <row r="427" spans="1:26">
      <c r="A427" t="str">
        <f>Deals_Raw!A430</f>
        <v>D00483</v>
      </c>
      <c r="B427">
        <f>COUNTIF(Deals_Raw!$A$5:$A$643,A427)</f>
        <v>1</v>
      </c>
      <c r="C427" s="12" t="str">
        <f>Deals_Raw!E430</f>
        <v>CT00259</v>
      </c>
      <c r="E427">
        <f>Deals_Raw!AA430</f>
        <v>297428.15989599394</v>
      </c>
      <c r="F427">
        <f>ROUND(Deals_Raw!T430*(1-Deals_Raw!W430),2)</f>
        <v>297431.96999999997</v>
      </c>
      <c r="G427">
        <f t="shared" si="48"/>
        <v>3.8101040060282685</v>
      </c>
      <c r="I427">
        <f>Deals_Raw!V430</f>
        <v>0.25700000000000001</v>
      </c>
      <c r="J427">
        <f>Deals_Raw!W430</f>
        <v>0.22800000000000001</v>
      </c>
      <c r="K427" t="str">
        <f>Deals_Raw!Z430</f>
        <v>Business Manager</v>
      </c>
      <c r="L427" t="str">
        <f t="shared" si="49"/>
        <v>yes</v>
      </c>
      <c r="M427" t="str">
        <f t="shared" si="50"/>
        <v>Pass</v>
      </c>
      <c r="O427">
        <f>Deals_Raw!AP430</f>
        <v>0.55990513031740929</v>
      </c>
      <c r="P427" t="str">
        <f t="shared" si="51"/>
        <v>False</v>
      </c>
      <c r="R427" t="str">
        <f>Deals_Raw!AF430</f>
        <v>Won</v>
      </c>
      <c r="S427">
        <f t="shared" si="52"/>
        <v>297431.96999999997</v>
      </c>
      <c r="T427">
        <f>Deals_Raw!AM430</f>
        <v>297431.96999999997</v>
      </c>
      <c r="U427">
        <f t="shared" si="53"/>
        <v>594863.93999999994</v>
      </c>
      <c r="V427">
        <f>Deals_Raw!AN430</f>
        <v>594863.93999999994</v>
      </c>
      <c r="W427">
        <f t="shared" si="54"/>
        <v>166533.68592341375</v>
      </c>
      <c r="X427">
        <f>Deals_Raw!AO430</f>
        <v>166533.68592341375</v>
      </c>
      <c r="Y427">
        <f t="shared" si="55"/>
        <v>0.55990513031740929</v>
      </c>
      <c r="Z427">
        <f>Deals_Raw!AP430</f>
        <v>0.55990513031740929</v>
      </c>
    </row>
    <row r="428" spans="1:26">
      <c r="A428" t="str">
        <f>Deals_Raw!A431</f>
        <v>D00484</v>
      </c>
      <c r="B428">
        <f>COUNTIF(Deals_Raw!$A$5:$A$643,A428)</f>
        <v>1</v>
      </c>
      <c r="C428" s="12" t="str">
        <f>Deals_Raw!E431</f>
        <v>CT00260</v>
      </c>
      <c r="E428">
        <f>Deals_Raw!AA431</f>
        <v>169529.13138373147</v>
      </c>
      <c r="F428">
        <f>ROUND(Deals_Raw!T431*(1-Deals_Raw!W431),2)</f>
        <v>169609.38</v>
      </c>
      <c r="G428">
        <f t="shared" si="48"/>
        <v>80.248616268538171</v>
      </c>
      <c r="I428">
        <f>Deals_Raw!V431</f>
        <v>0.152</v>
      </c>
      <c r="J428">
        <f>Deals_Raw!W431</f>
        <v>0.11799999999999999</v>
      </c>
      <c r="K428" t="str">
        <f>Deals_Raw!Z431</f>
        <v>Pricing Analyst</v>
      </c>
      <c r="L428" t="str">
        <f t="shared" si="49"/>
        <v>yes</v>
      </c>
      <c r="M428" t="str">
        <f t="shared" si="50"/>
        <v>Pass</v>
      </c>
      <c r="O428">
        <f>Deals_Raw!AP431</f>
        <v>0.65518715742444844</v>
      </c>
      <c r="P428" t="str">
        <f t="shared" si="51"/>
        <v>False</v>
      </c>
      <c r="R428" t="str">
        <f>Deals_Raw!AF431</f>
        <v>Lost</v>
      </c>
      <c r="S428">
        <f t="shared" si="52"/>
        <v>0</v>
      </c>
      <c r="T428">
        <f>Deals_Raw!AM431</f>
        <v>169609.38</v>
      </c>
      <c r="U428">
        <f t="shared" si="53"/>
        <v>0</v>
      </c>
      <c r="V428">
        <f>Deals_Raw!AN431</f>
        <v>339218.76</v>
      </c>
      <c r="W428">
        <f t="shared" si="54"/>
        <v>0</v>
      </c>
      <c r="X428">
        <f>Deals_Raw!AO431</f>
        <v>111125.8875547231</v>
      </c>
      <c r="Y428">
        <f t="shared" si="55"/>
        <v>0</v>
      </c>
      <c r="Z428">
        <f>Deals_Raw!AP431</f>
        <v>0.65518715742444844</v>
      </c>
    </row>
    <row r="429" spans="1:26">
      <c r="A429" t="str">
        <f>Deals_Raw!A432</f>
        <v>D00485</v>
      </c>
      <c r="B429">
        <f>COUNTIF(Deals_Raw!$A$5:$A$643,A429)</f>
        <v>1</v>
      </c>
      <c r="C429" s="12" t="str">
        <f>Deals_Raw!E432</f>
        <v>CT00261</v>
      </c>
      <c r="E429">
        <f>Deals_Raw!AA432</f>
        <v>173011.48081882024</v>
      </c>
      <c r="F429">
        <f>ROUND(Deals_Raw!T432*(1-Deals_Raw!W432),2)</f>
        <v>172923.48</v>
      </c>
      <c r="G429">
        <f t="shared" si="48"/>
        <v>-88.00081882023369</v>
      </c>
      <c r="I429">
        <f>Deals_Raw!V432</f>
        <v>0.23599999999999999</v>
      </c>
      <c r="J429">
        <f>Deals_Raw!W432</f>
        <v>0.224</v>
      </c>
      <c r="K429" t="str">
        <f>Deals_Raw!Z432</f>
        <v>Business Manager</v>
      </c>
      <c r="L429" t="str">
        <f t="shared" si="49"/>
        <v>yes</v>
      </c>
      <c r="M429" t="str">
        <f t="shared" si="50"/>
        <v>Pass</v>
      </c>
      <c r="O429">
        <f>Deals_Raw!AP432</f>
        <v>0.54911338199282689</v>
      </c>
      <c r="P429" t="str">
        <f t="shared" si="51"/>
        <v>False</v>
      </c>
      <c r="R429" t="str">
        <f>Deals_Raw!AF432</f>
        <v>Lost</v>
      </c>
      <c r="S429">
        <f t="shared" si="52"/>
        <v>0</v>
      </c>
      <c r="T429">
        <f>Deals_Raw!AM432</f>
        <v>172923.48</v>
      </c>
      <c r="U429">
        <f t="shared" si="53"/>
        <v>0</v>
      </c>
      <c r="V429">
        <f>Deals_Raw!AN432</f>
        <v>172923.48</v>
      </c>
      <c r="W429">
        <f t="shared" si="54"/>
        <v>0</v>
      </c>
      <c r="X429">
        <f>Deals_Raw!AO432</f>
        <v>94954.596928768966</v>
      </c>
      <c r="Y429">
        <f t="shared" si="55"/>
        <v>0</v>
      </c>
      <c r="Z429">
        <f>Deals_Raw!AP432</f>
        <v>0.54911338199282689</v>
      </c>
    </row>
    <row r="430" spans="1:26">
      <c r="A430" t="str">
        <f>Deals_Raw!A433</f>
        <v>D00486</v>
      </c>
      <c r="B430">
        <f>COUNTIF(Deals_Raw!$A$5:$A$643,A430)</f>
        <v>1</v>
      </c>
      <c r="C430" s="12" t="str">
        <f>Deals_Raw!E433</f>
        <v>CT00261</v>
      </c>
      <c r="E430">
        <f>Deals_Raw!AA433</f>
        <v>179113.77714547026</v>
      </c>
      <c r="F430">
        <f>ROUND(Deals_Raw!T433*(1-Deals_Raw!W433),2)</f>
        <v>179162.99</v>
      </c>
      <c r="G430">
        <f t="shared" si="48"/>
        <v>49.212854529730976</v>
      </c>
      <c r="I430">
        <f>Deals_Raw!V433</f>
        <v>0.20499999999999999</v>
      </c>
      <c r="J430">
        <f>Deals_Raw!W433</f>
        <v>0.19600000000000001</v>
      </c>
      <c r="K430" t="str">
        <f>Deals_Raw!Z433</f>
        <v>Pricing Analyst</v>
      </c>
      <c r="L430" t="str">
        <f t="shared" si="49"/>
        <v>yes</v>
      </c>
      <c r="M430" t="str">
        <f t="shared" si="50"/>
        <v>Pass</v>
      </c>
      <c r="O430">
        <f>Deals_Raw!AP433</f>
        <v>0.60019415391286857</v>
      </c>
      <c r="P430" t="str">
        <f t="shared" si="51"/>
        <v>False</v>
      </c>
      <c r="R430" t="str">
        <f>Deals_Raw!AF433</f>
        <v>Lost</v>
      </c>
      <c r="S430">
        <f t="shared" si="52"/>
        <v>0</v>
      </c>
      <c r="T430">
        <f>Deals_Raw!AM433</f>
        <v>179162.99</v>
      </c>
      <c r="U430">
        <f t="shared" si="53"/>
        <v>0</v>
      </c>
      <c r="V430">
        <f>Deals_Raw!AN433</f>
        <v>179162.99</v>
      </c>
      <c r="W430">
        <f t="shared" si="54"/>
        <v>0</v>
      </c>
      <c r="X430">
        <f>Deals_Raw!AO433</f>
        <v>107532.57919554973</v>
      </c>
      <c r="Y430">
        <f t="shared" si="55"/>
        <v>0</v>
      </c>
      <c r="Z430">
        <f>Deals_Raw!AP433</f>
        <v>0.60019415391286857</v>
      </c>
    </row>
    <row r="431" spans="1:26">
      <c r="A431" t="str">
        <f>Deals_Raw!A434</f>
        <v>D00487</v>
      </c>
      <c r="B431">
        <f>COUNTIF(Deals_Raw!$A$5:$A$643,A431)</f>
        <v>1</v>
      </c>
      <c r="C431" s="12" t="str">
        <f>Deals_Raw!E434</f>
        <v>CT00262</v>
      </c>
      <c r="E431">
        <f>Deals_Raw!AA434</f>
        <v>134511.22295414383</v>
      </c>
      <c r="F431">
        <f>ROUND(Deals_Raw!T434*(1-Deals_Raw!W434),2)</f>
        <v>134477.88</v>
      </c>
      <c r="G431">
        <f t="shared" si="48"/>
        <v>-33.34295414382359</v>
      </c>
      <c r="I431">
        <f>Deals_Raw!V434</f>
        <v>0.11799999999999999</v>
      </c>
      <c r="J431">
        <f>Deals_Raw!W434</f>
        <v>0.107</v>
      </c>
      <c r="K431" t="str">
        <f>Deals_Raw!Z434</f>
        <v>Pricing Analyst</v>
      </c>
      <c r="L431" t="str">
        <f t="shared" si="49"/>
        <v>yes</v>
      </c>
      <c r="M431" t="str">
        <f t="shared" si="50"/>
        <v>Pass</v>
      </c>
      <c r="O431">
        <f>Deals_Raw!AP434</f>
        <v>0.58666214837004182</v>
      </c>
      <c r="P431" t="str">
        <f t="shared" si="51"/>
        <v>False</v>
      </c>
      <c r="R431" t="str">
        <f>Deals_Raw!AF434</f>
        <v>Won</v>
      </c>
      <c r="S431">
        <f t="shared" si="52"/>
        <v>134477.88</v>
      </c>
      <c r="T431">
        <f>Deals_Raw!AM434</f>
        <v>134477.88</v>
      </c>
      <c r="U431">
        <f t="shared" si="53"/>
        <v>268955.76</v>
      </c>
      <c r="V431">
        <f>Deals_Raw!AN434</f>
        <v>268955.76</v>
      </c>
      <c r="W431">
        <f t="shared" si="54"/>
        <v>78893.081989048689</v>
      </c>
      <c r="X431">
        <f>Deals_Raw!AO434</f>
        <v>78893.081989048689</v>
      </c>
      <c r="Y431">
        <f t="shared" si="55"/>
        <v>0.58666214837004182</v>
      </c>
      <c r="Z431">
        <f>Deals_Raw!AP434</f>
        <v>0.58666214837004182</v>
      </c>
    </row>
    <row r="432" spans="1:26">
      <c r="A432" t="str">
        <f>Deals_Raw!A435</f>
        <v>D00488</v>
      </c>
      <c r="B432">
        <f>COUNTIF(Deals_Raw!$A$5:$A$643,A432)</f>
        <v>1</v>
      </c>
      <c r="C432" s="12" t="str">
        <f>Deals_Raw!E435</f>
        <v>CT00263</v>
      </c>
      <c r="E432">
        <f>Deals_Raw!AA435</f>
        <v>318795.65477735159</v>
      </c>
      <c r="F432">
        <f>ROUND(Deals_Raw!T435*(1-Deals_Raw!W435),2)</f>
        <v>318908.46999999997</v>
      </c>
      <c r="G432">
        <f t="shared" si="48"/>
        <v>112.81522264837986</v>
      </c>
      <c r="I432">
        <f>Deals_Raw!V435</f>
        <v>0.12</v>
      </c>
      <c r="J432">
        <f>Deals_Raw!W435</f>
        <v>0.104</v>
      </c>
      <c r="K432" t="str">
        <f>Deals_Raw!Z435</f>
        <v>Pricing Analyst</v>
      </c>
      <c r="L432" t="str">
        <f t="shared" si="49"/>
        <v>yes</v>
      </c>
      <c r="M432" t="str">
        <f t="shared" si="50"/>
        <v>Pass</v>
      </c>
      <c r="O432">
        <f>Deals_Raw!AP435</f>
        <v>0.57006317969224385</v>
      </c>
      <c r="P432" t="str">
        <f t="shared" si="51"/>
        <v>False</v>
      </c>
      <c r="R432" t="str">
        <f>Deals_Raw!AF435</f>
        <v>Lost</v>
      </c>
      <c r="S432">
        <f t="shared" si="52"/>
        <v>0</v>
      </c>
      <c r="T432">
        <f>Deals_Raw!AM435</f>
        <v>318908.46999999997</v>
      </c>
      <c r="U432">
        <f t="shared" si="53"/>
        <v>0</v>
      </c>
      <c r="V432">
        <f>Deals_Raw!AN435</f>
        <v>956725.40999999992</v>
      </c>
      <c r="W432">
        <f t="shared" si="54"/>
        <v>0</v>
      </c>
      <c r="X432">
        <f>Deals_Raw!AO435</f>
        <v>181797.97643898855</v>
      </c>
      <c r="Y432">
        <f t="shared" si="55"/>
        <v>0</v>
      </c>
      <c r="Z432">
        <f>Deals_Raw!AP435</f>
        <v>0.57006317969224385</v>
      </c>
    </row>
    <row r="433" spans="1:26">
      <c r="A433" t="str">
        <f>Deals_Raw!A436</f>
        <v>D00489</v>
      </c>
      <c r="B433">
        <f>COUNTIF(Deals_Raw!$A$5:$A$643,A433)</f>
        <v>1</v>
      </c>
      <c r="C433" s="12" t="str">
        <f>Deals_Raw!E436</f>
        <v>CT00264</v>
      </c>
      <c r="E433">
        <f>Deals_Raw!AA436</f>
        <v>85019.96209181525</v>
      </c>
      <c r="F433">
        <f>ROUND(Deals_Raw!T436*(1-Deals_Raw!W436),2)</f>
        <v>85065.45</v>
      </c>
      <c r="G433">
        <f t="shared" si="48"/>
        <v>45.48790818474663</v>
      </c>
      <c r="I433">
        <f>Deals_Raw!V436</f>
        <v>0.151</v>
      </c>
      <c r="J433">
        <f>Deals_Raw!W436</f>
        <v>0.107</v>
      </c>
      <c r="K433" t="str">
        <f>Deals_Raw!Z436</f>
        <v>Pricing Analyst</v>
      </c>
      <c r="L433" t="str">
        <f t="shared" si="49"/>
        <v>yes</v>
      </c>
      <c r="M433" t="str">
        <f t="shared" si="50"/>
        <v>Pass</v>
      </c>
      <c r="O433">
        <f>Deals_Raw!AP436</f>
        <v>0.64509994896820033</v>
      </c>
      <c r="P433" t="str">
        <f t="shared" si="51"/>
        <v>False</v>
      </c>
      <c r="R433" t="str">
        <f>Deals_Raw!AF436</f>
        <v>Won</v>
      </c>
      <c r="S433">
        <f t="shared" si="52"/>
        <v>85065.45</v>
      </c>
      <c r="T433">
        <f>Deals_Raw!AM436</f>
        <v>85065.45</v>
      </c>
      <c r="U433">
        <f t="shared" si="53"/>
        <v>170130.9</v>
      </c>
      <c r="V433">
        <f>Deals_Raw!AN436</f>
        <v>170130.9</v>
      </c>
      <c r="W433">
        <f t="shared" si="54"/>
        <v>54875.717453956997</v>
      </c>
      <c r="X433">
        <f>Deals_Raw!AO436</f>
        <v>54875.717453956997</v>
      </c>
      <c r="Y433">
        <f t="shared" si="55"/>
        <v>0.64509994896820033</v>
      </c>
      <c r="Z433">
        <f>Deals_Raw!AP436</f>
        <v>0.64509994896820033</v>
      </c>
    </row>
    <row r="434" spans="1:26">
      <c r="A434" t="str">
        <f>Deals_Raw!A437</f>
        <v>D00490</v>
      </c>
      <c r="B434">
        <f>COUNTIF(Deals_Raw!$A$5:$A$643,A434)</f>
        <v>1</v>
      </c>
      <c r="C434" s="12" t="str">
        <f>Deals_Raw!E437</f>
        <v>CT00265</v>
      </c>
      <c r="E434">
        <f>Deals_Raw!AA437</f>
        <v>129629.37237174976</v>
      </c>
      <c r="F434">
        <f>ROUND(Deals_Raw!T437*(1-Deals_Raw!W437),2)</f>
        <v>129565.68</v>
      </c>
      <c r="G434">
        <f t="shared" si="48"/>
        <v>-63.692371749770246</v>
      </c>
      <c r="I434">
        <f>Deals_Raw!V437</f>
        <v>6.5000000000000002E-2</v>
      </c>
      <c r="J434">
        <f>Deals_Raw!W437</f>
        <v>5.8000000000000003E-2</v>
      </c>
      <c r="K434" t="str">
        <f>Deals_Raw!Z437</f>
        <v>Sales Manager</v>
      </c>
      <c r="L434" t="str">
        <f t="shared" si="49"/>
        <v>yes</v>
      </c>
      <c r="M434" t="str">
        <f t="shared" si="50"/>
        <v>Pass</v>
      </c>
      <c r="O434">
        <f>Deals_Raw!AP437</f>
        <v>0.56901774561920548</v>
      </c>
      <c r="P434" t="str">
        <f t="shared" si="51"/>
        <v>False</v>
      </c>
      <c r="R434" t="str">
        <f>Deals_Raw!AF437</f>
        <v>Won</v>
      </c>
      <c r="S434">
        <f t="shared" si="52"/>
        <v>129565.68</v>
      </c>
      <c r="T434">
        <f>Deals_Raw!AM437</f>
        <v>129565.68</v>
      </c>
      <c r="U434">
        <f t="shared" si="53"/>
        <v>388697.04</v>
      </c>
      <c r="V434">
        <f>Deals_Raw!AN437</f>
        <v>388697.04</v>
      </c>
      <c r="W434">
        <f t="shared" si="54"/>
        <v>73725.17114321937</v>
      </c>
      <c r="X434">
        <f>Deals_Raw!AO437</f>
        <v>73725.17114321937</v>
      </c>
      <c r="Y434">
        <f t="shared" si="55"/>
        <v>0.56901774561920548</v>
      </c>
      <c r="Z434">
        <f>Deals_Raw!AP437</f>
        <v>0.56901774561920548</v>
      </c>
    </row>
    <row r="435" spans="1:26">
      <c r="A435" t="str">
        <f>Deals_Raw!A438</f>
        <v>D00491</v>
      </c>
      <c r="B435">
        <f>COUNTIF(Deals_Raw!$A$5:$A$643,A435)</f>
        <v>1</v>
      </c>
      <c r="C435" s="12" t="str">
        <f>Deals_Raw!E438</f>
        <v>CT00266</v>
      </c>
      <c r="E435">
        <f>Deals_Raw!AA438</f>
        <v>41894.493045305768</v>
      </c>
      <c r="F435">
        <f>ROUND(Deals_Raw!T438*(1-Deals_Raw!W438),2)</f>
        <v>41885.46</v>
      </c>
      <c r="G435">
        <f t="shared" si="48"/>
        <v>-9.03304530576861</v>
      </c>
      <c r="I435">
        <f>Deals_Raw!V438</f>
        <v>8.7999999999999995E-2</v>
      </c>
      <c r="J435">
        <f>Deals_Raw!W438</f>
        <v>5.8000000000000003E-2</v>
      </c>
      <c r="K435" t="str">
        <f>Deals_Raw!Z438</f>
        <v>Sales Manager</v>
      </c>
      <c r="L435" t="str">
        <f t="shared" si="49"/>
        <v>yes</v>
      </c>
      <c r="M435" t="str">
        <f t="shared" si="50"/>
        <v>Pass</v>
      </c>
      <c r="O435">
        <f>Deals_Raw!AP438</f>
        <v>0.59256144693617352</v>
      </c>
      <c r="P435" t="str">
        <f t="shared" si="51"/>
        <v>False</v>
      </c>
      <c r="R435" t="str">
        <f>Deals_Raw!AF438</f>
        <v>Won</v>
      </c>
      <c r="S435">
        <f t="shared" si="52"/>
        <v>41885.46</v>
      </c>
      <c r="T435">
        <f>Deals_Raw!AM438</f>
        <v>41885.46</v>
      </c>
      <c r="U435">
        <f t="shared" si="53"/>
        <v>125656.38</v>
      </c>
      <c r="V435">
        <f>Deals_Raw!AN438</f>
        <v>125656.38</v>
      </c>
      <c r="W435">
        <f t="shared" si="54"/>
        <v>24819.70878318722</v>
      </c>
      <c r="X435">
        <f>Deals_Raw!AO438</f>
        <v>24819.70878318722</v>
      </c>
      <c r="Y435">
        <f t="shared" si="55"/>
        <v>0.59256144693617352</v>
      </c>
      <c r="Z435">
        <f>Deals_Raw!AP438</f>
        <v>0.59256144693617352</v>
      </c>
    </row>
    <row r="436" spans="1:26">
      <c r="A436" t="str">
        <f>Deals_Raw!A439</f>
        <v>D00494</v>
      </c>
      <c r="B436">
        <f>COUNTIF(Deals_Raw!$A$5:$A$643,A436)</f>
        <v>1</v>
      </c>
      <c r="C436" s="12" t="str">
        <f>Deals_Raw!E439</f>
        <v>CT00268</v>
      </c>
      <c r="E436">
        <f>Deals_Raw!AA439</f>
        <v>39411.180189350722</v>
      </c>
      <c r="F436">
        <f>ROUND(Deals_Raw!T439*(1-Deals_Raw!W439),2)</f>
        <v>39400.71</v>
      </c>
      <c r="G436">
        <f t="shared" si="48"/>
        <v>-10.470189350722649</v>
      </c>
      <c r="I436">
        <f>Deals_Raw!V439</f>
        <v>0.122</v>
      </c>
      <c r="J436">
        <f>Deals_Raw!W439</f>
        <v>0.11</v>
      </c>
      <c r="K436" t="str">
        <f>Deals_Raw!Z439</f>
        <v>Pricing Analyst</v>
      </c>
      <c r="L436" t="str">
        <f t="shared" si="49"/>
        <v>yes</v>
      </c>
      <c r="M436" t="str">
        <f t="shared" si="50"/>
        <v>Pass</v>
      </c>
      <c r="O436">
        <f>Deals_Raw!AP439</f>
        <v>0.50881163446249167</v>
      </c>
      <c r="P436" t="str">
        <f t="shared" si="51"/>
        <v>False</v>
      </c>
      <c r="R436" t="str">
        <f>Deals_Raw!AF439</f>
        <v>Lost</v>
      </c>
      <c r="S436">
        <f t="shared" si="52"/>
        <v>0</v>
      </c>
      <c r="T436">
        <f>Deals_Raw!AM439</f>
        <v>39400.71</v>
      </c>
      <c r="U436">
        <f t="shared" si="53"/>
        <v>0</v>
      </c>
      <c r="V436">
        <f>Deals_Raw!AN439</f>
        <v>39400.71</v>
      </c>
      <c r="W436">
        <f t="shared" si="54"/>
        <v>0</v>
      </c>
      <c r="X436">
        <f>Deals_Raw!AO439</f>
        <v>20047.53965408264</v>
      </c>
      <c r="Y436">
        <f t="shared" si="55"/>
        <v>0</v>
      </c>
      <c r="Z436">
        <f>Deals_Raw!AP439</f>
        <v>0.50881163446249167</v>
      </c>
    </row>
    <row r="437" spans="1:26">
      <c r="A437" t="str">
        <f>Deals_Raw!A440</f>
        <v>D00495</v>
      </c>
      <c r="B437">
        <f>COUNTIF(Deals_Raw!$A$5:$A$643,A437)</f>
        <v>1</v>
      </c>
      <c r="C437" s="12" t="str">
        <f>Deals_Raw!E440</f>
        <v>CT00268</v>
      </c>
      <c r="E437">
        <f>Deals_Raw!AA440</f>
        <v>34812.421658266634</v>
      </c>
      <c r="F437">
        <f>ROUND(Deals_Raw!T440*(1-Deals_Raw!W440),2)</f>
        <v>34796.58</v>
      </c>
      <c r="G437">
        <f t="shared" si="48"/>
        <v>-15.841658266632294</v>
      </c>
      <c r="I437">
        <f>Deals_Raw!V440</f>
        <v>0.248</v>
      </c>
      <c r="J437">
        <f>Deals_Raw!W440</f>
        <v>0.214</v>
      </c>
      <c r="K437" t="str">
        <f>Deals_Raw!Z440</f>
        <v>Business Manager</v>
      </c>
      <c r="L437" t="str">
        <f t="shared" si="49"/>
        <v>yes</v>
      </c>
      <c r="M437" t="str">
        <f t="shared" si="50"/>
        <v>Pass</v>
      </c>
      <c r="O437">
        <f>Deals_Raw!AP440</f>
        <v>0.48229899022602563</v>
      </c>
      <c r="P437" t="str">
        <f t="shared" si="51"/>
        <v>False</v>
      </c>
      <c r="R437" t="str">
        <f>Deals_Raw!AF440</f>
        <v>Won</v>
      </c>
      <c r="S437">
        <f t="shared" si="52"/>
        <v>34796.58</v>
      </c>
      <c r="T437">
        <f>Deals_Raw!AM440</f>
        <v>34796.58</v>
      </c>
      <c r="U437">
        <f t="shared" si="53"/>
        <v>34796.58</v>
      </c>
      <c r="V437">
        <f>Deals_Raw!AN440</f>
        <v>34796.58</v>
      </c>
      <c r="W437">
        <f t="shared" si="54"/>
        <v>16782.355397319119</v>
      </c>
      <c r="X437">
        <f>Deals_Raw!AO440</f>
        <v>16782.355397319119</v>
      </c>
      <c r="Y437">
        <f t="shared" si="55"/>
        <v>0.48229899022602563</v>
      </c>
      <c r="Z437">
        <f>Deals_Raw!AP440</f>
        <v>0.48229899022602563</v>
      </c>
    </row>
    <row r="438" spans="1:26">
      <c r="A438" t="str">
        <f>Deals_Raw!A441</f>
        <v>D00496</v>
      </c>
      <c r="B438">
        <f>COUNTIF(Deals_Raw!$A$5:$A$643,A438)</f>
        <v>1</v>
      </c>
      <c r="C438" s="12" t="str">
        <f>Deals_Raw!E441</f>
        <v>CT00269</v>
      </c>
      <c r="E438">
        <f>Deals_Raw!AA441</f>
        <v>80691.057483343524</v>
      </c>
      <c r="F438">
        <f>ROUND(Deals_Raw!T441*(1-Deals_Raw!W441),2)</f>
        <v>80722.19</v>
      </c>
      <c r="G438">
        <f t="shared" si="48"/>
        <v>31.132516656478401</v>
      </c>
      <c r="I438">
        <f>Deals_Raw!V441</f>
        <v>0.19500000000000001</v>
      </c>
      <c r="J438">
        <f>Deals_Raw!W441</f>
        <v>0.17100000000000001</v>
      </c>
      <c r="K438" t="str">
        <f>Deals_Raw!Z441</f>
        <v>Pricing Analyst</v>
      </c>
      <c r="L438" t="str">
        <f t="shared" si="49"/>
        <v>yes</v>
      </c>
      <c r="M438" t="str">
        <f t="shared" si="50"/>
        <v>Pass</v>
      </c>
      <c r="O438">
        <f>Deals_Raw!AP441</f>
        <v>0.61820824411866138</v>
      </c>
      <c r="P438" t="str">
        <f t="shared" si="51"/>
        <v>False</v>
      </c>
      <c r="R438" t="str">
        <f>Deals_Raw!AF441</f>
        <v>Won</v>
      </c>
      <c r="S438">
        <f t="shared" si="52"/>
        <v>80722.19</v>
      </c>
      <c r="T438">
        <f>Deals_Raw!AM441</f>
        <v>80722.19</v>
      </c>
      <c r="U438">
        <f t="shared" si="53"/>
        <v>80722.19</v>
      </c>
      <c r="V438">
        <f>Deals_Raw!AN441</f>
        <v>80722.19</v>
      </c>
      <c r="W438">
        <f t="shared" si="54"/>
        <v>49903.123341312967</v>
      </c>
      <c r="X438">
        <f>Deals_Raw!AO441</f>
        <v>49903.123341312967</v>
      </c>
      <c r="Y438">
        <f t="shared" si="55"/>
        <v>0.61820824411866138</v>
      </c>
      <c r="Z438">
        <f>Deals_Raw!AP441</f>
        <v>0.61820824411866138</v>
      </c>
    </row>
    <row r="439" spans="1:26">
      <c r="A439" t="str">
        <f>Deals_Raw!A442</f>
        <v>D00497</v>
      </c>
      <c r="B439">
        <f>COUNTIF(Deals_Raw!$A$5:$A$643,A439)</f>
        <v>1</v>
      </c>
      <c r="C439" s="12" t="str">
        <f>Deals_Raw!E442</f>
        <v>CT00269</v>
      </c>
      <c r="E439">
        <f>Deals_Raw!AA442</f>
        <v>101191.83347270275</v>
      </c>
      <c r="F439">
        <f>ROUND(Deals_Raw!T442*(1-Deals_Raw!W442),2)</f>
        <v>101238.12</v>
      </c>
      <c r="G439">
        <f t="shared" si="48"/>
        <v>46.286527297241264</v>
      </c>
      <c r="I439">
        <f>Deals_Raw!V442</f>
        <v>0.11600000000000001</v>
      </c>
      <c r="J439">
        <f>Deals_Raw!W442</f>
        <v>0.112</v>
      </c>
      <c r="K439" t="str">
        <f>Deals_Raw!Z442</f>
        <v>Pricing Analyst</v>
      </c>
      <c r="L439" t="str">
        <f t="shared" si="49"/>
        <v>yes</v>
      </c>
      <c r="M439" t="str">
        <f t="shared" si="50"/>
        <v>Pass</v>
      </c>
      <c r="O439">
        <f>Deals_Raw!AP442</f>
        <v>0.65116304803912295</v>
      </c>
      <c r="P439" t="str">
        <f t="shared" si="51"/>
        <v>False</v>
      </c>
      <c r="R439" t="str">
        <f>Deals_Raw!AF442</f>
        <v>Lost</v>
      </c>
      <c r="S439">
        <f t="shared" si="52"/>
        <v>0</v>
      </c>
      <c r="T439">
        <f>Deals_Raw!AM442</f>
        <v>101238.12</v>
      </c>
      <c r="U439">
        <f t="shared" si="53"/>
        <v>0</v>
      </c>
      <c r="V439">
        <f>Deals_Raw!AN442</f>
        <v>101238.12</v>
      </c>
      <c r="W439">
        <f t="shared" si="54"/>
        <v>0</v>
      </c>
      <c r="X439">
        <f>Deals_Raw!AO442</f>
        <v>65922.522796950492</v>
      </c>
      <c r="Y439">
        <f t="shared" si="55"/>
        <v>0</v>
      </c>
      <c r="Z439">
        <f>Deals_Raw!AP442</f>
        <v>0.65116304803912295</v>
      </c>
    </row>
    <row r="440" spans="1:26">
      <c r="A440" t="str">
        <f>Deals_Raw!A443</f>
        <v>D00498</v>
      </c>
      <c r="B440">
        <f>COUNTIF(Deals_Raw!$A$5:$A$643,A440)</f>
        <v>1</v>
      </c>
      <c r="C440" s="12" t="str">
        <f>Deals_Raw!E443</f>
        <v>CT00269</v>
      </c>
      <c r="E440">
        <f>Deals_Raw!AA443</f>
        <v>86034.758362062319</v>
      </c>
      <c r="F440">
        <f>ROUND(Deals_Raw!T443*(1-Deals_Raw!W443),2)</f>
        <v>86046.33</v>
      </c>
      <c r="G440">
        <f t="shared" si="48"/>
        <v>11.571637937682681</v>
      </c>
      <c r="I440">
        <f>Deals_Raw!V443</f>
        <v>0.17899999999999999</v>
      </c>
      <c r="J440">
        <f>Deals_Raw!W443</f>
        <v>0.13600000000000001</v>
      </c>
      <c r="K440" t="str">
        <f>Deals_Raw!Z443</f>
        <v>Pricing Analyst</v>
      </c>
      <c r="L440" t="str">
        <f t="shared" si="49"/>
        <v>yes</v>
      </c>
      <c r="M440" t="str">
        <f t="shared" si="50"/>
        <v>Pass</v>
      </c>
      <c r="O440">
        <f>Deals_Raw!AP443</f>
        <v>0.65529620679316647</v>
      </c>
      <c r="P440" t="str">
        <f t="shared" si="51"/>
        <v>False</v>
      </c>
      <c r="R440" t="str">
        <f>Deals_Raw!AF443</f>
        <v>Won</v>
      </c>
      <c r="S440">
        <f t="shared" si="52"/>
        <v>86046.33</v>
      </c>
      <c r="T440">
        <f>Deals_Raw!AM443</f>
        <v>86046.33</v>
      </c>
      <c r="U440">
        <f t="shared" si="53"/>
        <v>86046.33</v>
      </c>
      <c r="V440">
        <f>Deals_Raw!AN443</f>
        <v>86046.33</v>
      </c>
      <c r="W440">
        <f t="shared" si="54"/>
        <v>56385.833657473049</v>
      </c>
      <c r="X440">
        <f>Deals_Raw!AO443</f>
        <v>56385.833657473049</v>
      </c>
      <c r="Y440">
        <f t="shared" si="55"/>
        <v>0.65529620679316647</v>
      </c>
      <c r="Z440">
        <f>Deals_Raw!AP443</f>
        <v>0.65529620679316647</v>
      </c>
    </row>
    <row r="441" spans="1:26">
      <c r="A441" t="str">
        <f>Deals_Raw!A444</f>
        <v>D00499</v>
      </c>
      <c r="B441">
        <f>COUNTIF(Deals_Raw!$A$5:$A$643,A441)</f>
        <v>1</v>
      </c>
      <c r="C441" s="12" t="str">
        <f>Deals_Raw!E444</f>
        <v>CT00270</v>
      </c>
      <c r="E441">
        <f>Deals_Raw!AA444</f>
        <v>64486.752803515548</v>
      </c>
      <c r="F441">
        <f>ROUND(Deals_Raw!T444*(1-Deals_Raw!W444),2)</f>
        <v>64512.639999999999</v>
      </c>
      <c r="G441">
        <f t="shared" si="48"/>
        <v>25.887196484451124</v>
      </c>
      <c r="I441">
        <f>Deals_Raw!V444</f>
        <v>0.154</v>
      </c>
      <c r="J441">
        <f>Deals_Raw!W444</f>
        <v>0.108</v>
      </c>
      <c r="K441" t="str">
        <f>Deals_Raw!Z444</f>
        <v>Pricing Analyst</v>
      </c>
      <c r="L441" t="str">
        <f t="shared" si="49"/>
        <v>yes</v>
      </c>
      <c r="M441" t="str">
        <f t="shared" si="50"/>
        <v>Pass</v>
      </c>
      <c r="O441">
        <f>Deals_Raw!AP444</f>
        <v>0.53347795560073896</v>
      </c>
      <c r="P441" t="str">
        <f t="shared" si="51"/>
        <v>False</v>
      </c>
      <c r="R441" t="str">
        <f>Deals_Raw!AF444</f>
        <v>Won</v>
      </c>
      <c r="S441">
        <f t="shared" si="52"/>
        <v>64512.639999999999</v>
      </c>
      <c r="T441">
        <f>Deals_Raw!AM444</f>
        <v>64512.639999999999</v>
      </c>
      <c r="U441">
        <f t="shared" si="53"/>
        <v>193537.91999999998</v>
      </c>
      <c r="V441">
        <f>Deals_Raw!AN444</f>
        <v>193537.91999999998</v>
      </c>
      <c r="W441">
        <f t="shared" si="54"/>
        <v>34416.071297606453</v>
      </c>
      <c r="X441">
        <f>Deals_Raw!AO444</f>
        <v>34416.071297606453</v>
      </c>
      <c r="Y441">
        <f t="shared" si="55"/>
        <v>0.53347795560073896</v>
      </c>
      <c r="Z441">
        <f>Deals_Raw!AP444</f>
        <v>0.53347795560073896</v>
      </c>
    </row>
    <row r="442" spans="1:26">
      <c r="A442" t="str">
        <f>Deals_Raw!A445</f>
        <v>D00500</v>
      </c>
      <c r="B442">
        <f>COUNTIF(Deals_Raw!$A$5:$A$643,A442)</f>
        <v>1</v>
      </c>
      <c r="C442" s="12" t="str">
        <f>Deals_Raw!E445</f>
        <v>CT00271</v>
      </c>
      <c r="E442">
        <f>Deals_Raw!AA445</f>
        <v>222071.12056007198</v>
      </c>
      <c r="F442">
        <f>ROUND(Deals_Raw!T445*(1-Deals_Raw!W445),2)</f>
        <v>222145.46</v>
      </c>
      <c r="G442">
        <f t="shared" si="48"/>
        <v>74.339439928007778</v>
      </c>
      <c r="I442">
        <f>Deals_Raw!V445</f>
        <v>5.6000000000000001E-2</v>
      </c>
      <c r="J442">
        <f>Deals_Raw!W445</f>
        <v>3.7999999999999999E-2</v>
      </c>
      <c r="K442" t="str">
        <f>Deals_Raw!Z445</f>
        <v>Sales Manager</v>
      </c>
      <c r="L442" t="str">
        <f t="shared" si="49"/>
        <v>yes</v>
      </c>
      <c r="M442" t="str">
        <f t="shared" si="50"/>
        <v>Pass</v>
      </c>
      <c r="O442">
        <f>Deals_Raw!AP445</f>
        <v>0.64083349932101619</v>
      </c>
      <c r="P442" t="str">
        <f t="shared" si="51"/>
        <v>False</v>
      </c>
      <c r="R442" t="str">
        <f>Deals_Raw!AF445</f>
        <v>Lost</v>
      </c>
      <c r="S442">
        <f t="shared" si="52"/>
        <v>0</v>
      </c>
      <c r="T442">
        <f>Deals_Raw!AM445</f>
        <v>222145.46</v>
      </c>
      <c r="U442">
        <f t="shared" si="53"/>
        <v>0</v>
      </c>
      <c r="V442">
        <f>Deals_Raw!AN445</f>
        <v>666436.38</v>
      </c>
      <c r="W442">
        <f t="shared" si="54"/>
        <v>0</v>
      </c>
      <c r="X442">
        <f>Deals_Raw!AO445</f>
        <v>142358.25249007682</v>
      </c>
      <c r="Y442">
        <f t="shared" si="55"/>
        <v>0</v>
      </c>
      <c r="Z442">
        <f>Deals_Raw!AP445</f>
        <v>0.64083349932101619</v>
      </c>
    </row>
    <row r="443" spans="1:26">
      <c r="A443" t="str">
        <f>Deals_Raw!A446</f>
        <v>D00501</v>
      </c>
      <c r="B443">
        <f>COUNTIF(Deals_Raw!$A$5:$A$643,A443)</f>
        <v>1</v>
      </c>
      <c r="C443" s="12" t="str">
        <f>Deals_Raw!E446</f>
        <v>CT00272</v>
      </c>
      <c r="E443">
        <f>Deals_Raw!AA446</f>
        <v>24540.432879680091</v>
      </c>
      <c r="F443">
        <f>ROUND(Deals_Raw!T446*(1-Deals_Raw!W446),2)</f>
        <v>24548.22</v>
      </c>
      <c r="G443">
        <f t="shared" si="48"/>
        <v>7.7871203199101728</v>
      </c>
      <c r="I443">
        <f>Deals_Raw!V446</f>
        <v>0.157</v>
      </c>
      <c r="J443">
        <f>Deals_Raw!W446</f>
        <v>0.14399999999999999</v>
      </c>
      <c r="K443" t="str">
        <f>Deals_Raw!Z446</f>
        <v>Pricing Analyst</v>
      </c>
      <c r="L443" t="str">
        <f t="shared" si="49"/>
        <v>yes</v>
      </c>
      <c r="M443" t="str">
        <f t="shared" si="50"/>
        <v>Pass</v>
      </c>
      <c r="O443">
        <f>Deals_Raw!AP446</f>
        <v>0.68782077475199221</v>
      </c>
      <c r="P443" t="str">
        <f t="shared" si="51"/>
        <v>False</v>
      </c>
      <c r="R443" t="str">
        <f>Deals_Raw!AF446</f>
        <v>Won</v>
      </c>
      <c r="S443">
        <f t="shared" si="52"/>
        <v>24548.22</v>
      </c>
      <c r="T443">
        <f>Deals_Raw!AM446</f>
        <v>24548.22</v>
      </c>
      <c r="U443">
        <f t="shared" si="53"/>
        <v>24548.22</v>
      </c>
      <c r="V443">
        <f>Deals_Raw!AN446</f>
        <v>24548.22</v>
      </c>
      <c r="W443">
        <f t="shared" si="54"/>
        <v>16884.775699182352</v>
      </c>
      <c r="X443">
        <f>Deals_Raw!AO446</f>
        <v>16884.775699182352</v>
      </c>
      <c r="Y443">
        <f t="shared" si="55"/>
        <v>0.68782077475199221</v>
      </c>
      <c r="Z443">
        <f>Deals_Raw!AP446</f>
        <v>0.68782077475199221</v>
      </c>
    </row>
    <row r="444" spans="1:26">
      <c r="A444" t="str">
        <f>Deals_Raw!A447</f>
        <v>D00502</v>
      </c>
      <c r="B444">
        <f>COUNTIF(Deals_Raw!$A$5:$A$643,A444)</f>
        <v>1</v>
      </c>
      <c r="C444" s="12" t="str">
        <f>Deals_Raw!E447</f>
        <v>CT00272</v>
      </c>
      <c r="E444">
        <f>Deals_Raw!AA447</f>
        <v>27603.463540960383</v>
      </c>
      <c r="F444">
        <f>ROUND(Deals_Raw!T447*(1-Deals_Raw!W447),2)</f>
        <v>27589.96</v>
      </c>
      <c r="G444">
        <f t="shared" si="48"/>
        <v>-13.503540960384271</v>
      </c>
      <c r="I444">
        <f>Deals_Raw!V447</f>
        <v>0.126</v>
      </c>
      <c r="J444">
        <f>Deals_Raw!W447</f>
        <v>0.1</v>
      </c>
      <c r="K444" t="str">
        <f>Deals_Raw!Z447</f>
        <v>Sales Manager</v>
      </c>
      <c r="L444" t="str">
        <f t="shared" si="49"/>
        <v>yes</v>
      </c>
      <c r="M444" t="str">
        <f t="shared" si="50"/>
        <v>Pass</v>
      </c>
      <c r="O444">
        <f>Deals_Raw!AP447</f>
        <v>0.71658087564224382</v>
      </c>
      <c r="P444" t="str">
        <f t="shared" si="51"/>
        <v>False</v>
      </c>
      <c r="R444" t="str">
        <f>Deals_Raw!AF447</f>
        <v>Won</v>
      </c>
      <c r="S444">
        <f t="shared" si="52"/>
        <v>27589.96</v>
      </c>
      <c r="T444">
        <f>Deals_Raw!AM447</f>
        <v>27589.96</v>
      </c>
      <c r="U444">
        <f t="shared" si="53"/>
        <v>27589.96</v>
      </c>
      <c r="V444">
        <f>Deals_Raw!AN447</f>
        <v>27589.96</v>
      </c>
      <c r="W444">
        <f t="shared" si="54"/>
        <v>19770.437695734479</v>
      </c>
      <c r="X444">
        <f>Deals_Raw!AO447</f>
        <v>19770.437695734479</v>
      </c>
      <c r="Y444">
        <f t="shared" si="55"/>
        <v>0.71658087564224382</v>
      </c>
      <c r="Z444">
        <f>Deals_Raw!AP447</f>
        <v>0.71658087564224382</v>
      </c>
    </row>
    <row r="445" spans="1:26">
      <c r="A445" t="str">
        <f>Deals_Raw!A448</f>
        <v>D00504</v>
      </c>
      <c r="B445">
        <f>COUNTIF(Deals_Raw!$A$5:$A$643,A445)</f>
        <v>1</v>
      </c>
      <c r="C445" s="12" t="str">
        <f>Deals_Raw!E448</f>
        <v>CT00273</v>
      </c>
      <c r="E445">
        <f>Deals_Raw!AA448</f>
        <v>161696.69752293066</v>
      </c>
      <c r="F445">
        <f>ROUND(Deals_Raw!T448*(1-Deals_Raw!W448),2)</f>
        <v>161639.56</v>
      </c>
      <c r="G445">
        <f t="shared" si="48"/>
        <v>-57.137522930657724</v>
      </c>
      <c r="I445">
        <f>Deals_Raw!V448</f>
        <v>9.7000000000000003E-2</v>
      </c>
      <c r="J445">
        <f>Deals_Raw!W448</f>
        <v>6.4000000000000001E-2</v>
      </c>
      <c r="K445" t="str">
        <f>Deals_Raw!Z448</f>
        <v>Sales Manager</v>
      </c>
      <c r="L445" t="str">
        <f t="shared" si="49"/>
        <v>yes</v>
      </c>
      <c r="M445" t="str">
        <f t="shared" si="50"/>
        <v>Pass</v>
      </c>
      <c r="O445">
        <f>Deals_Raw!AP448</f>
        <v>0.65903967180193124</v>
      </c>
      <c r="P445" t="str">
        <f t="shared" si="51"/>
        <v>False</v>
      </c>
      <c r="R445" t="str">
        <f>Deals_Raw!AF448</f>
        <v>Lost</v>
      </c>
      <c r="S445">
        <f t="shared" si="52"/>
        <v>0</v>
      </c>
      <c r="T445">
        <f>Deals_Raw!AM448</f>
        <v>161639.56</v>
      </c>
      <c r="U445">
        <f t="shared" si="53"/>
        <v>0</v>
      </c>
      <c r="V445">
        <f>Deals_Raw!AN448</f>
        <v>161639.56</v>
      </c>
      <c r="W445">
        <f t="shared" si="54"/>
        <v>0</v>
      </c>
      <c r="X445">
        <f>Deals_Raw!AO448</f>
        <v>106526.88257260856</v>
      </c>
      <c r="Y445">
        <f t="shared" si="55"/>
        <v>0</v>
      </c>
      <c r="Z445">
        <f>Deals_Raw!AP448</f>
        <v>0.65903967180193124</v>
      </c>
    </row>
    <row r="446" spans="1:26">
      <c r="A446" t="str">
        <f>Deals_Raw!A449</f>
        <v>D00505</v>
      </c>
      <c r="B446">
        <f>COUNTIF(Deals_Raw!$A$5:$A$643,A446)</f>
        <v>1</v>
      </c>
      <c r="C446" s="12" t="str">
        <f>Deals_Raw!E449</f>
        <v>CT00274</v>
      </c>
      <c r="E446">
        <f>Deals_Raw!AA449</f>
        <v>298714.08613941667</v>
      </c>
      <c r="F446">
        <f>ROUND(Deals_Raw!T449*(1-Deals_Raw!W449),2)</f>
        <v>298632.44</v>
      </c>
      <c r="G446">
        <f t="shared" si="48"/>
        <v>-81.64613941666903</v>
      </c>
      <c r="I446">
        <f>Deals_Raw!V449</f>
        <v>0.13500000000000001</v>
      </c>
      <c r="J446">
        <f>Deals_Raw!W449</f>
        <v>0.13400000000000001</v>
      </c>
      <c r="K446" t="str">
        <f>Deals_Raw!Z449</f>
        <v>Pricing Analyst</v>
      </c>
      <c r="L446" t="str">
        <f t="shared" si="49"/>
        <v>yes</v>
      </c>
      <c r="M446" t="str">
        <f t="shared" si="50"/>
        <v>Pass</v>
      </c>
      <c r="O446">
        <f>Deals_Raw!AP449</f>
        <v>0.59702778511802246</v>
      </c>
      <c r="P446" t="str">
        <f t="shared" si="51"/>
        <v>False</v>
      </c>
      <c r="R446" t="str">
        <f>Deals_Raw!AF449</f>
        <v>Lost</v>
      </c>
      <c r="S446">
        <f t="shared" si="52"/>
        <v>0</v>
      </c>
      <c r="T446">
        <f>Deals_Raw!AM449</f>
        <v>298632.44</v>
      </c>
      <c r="U446">
        <f t="shared" si="53"/>
        <v>0</v>
      </c>
      <c r="V446">
        <f>Deals_Raw!AN449</f>
        <v>298632.44</v>
      </c>
      <c r="W446">
        <f t="shared" si="54"/>
        <v>0</v>
      </c>
      <c r="X446">
        <f>Deals_Raw!AO449</f>
        <v>178291.86421759074</v>
      </c>
      <c r="Y446">
        <f t="shared" si="55"/>
        <v>0</v>
      </c>
      <c r="Z446">
        <f>Deals_Raw!AP449</f>
        <v>0.59702778511802246</v>
      </c>
    </row>
    <row r="447" spans="1:26">
      <c r="A447" t="str">
        <f>Deals_Raw!A450</f>
        <v>D00506</v>
      </c>
      <c r="B447">
        <f>COUNTIF(Deals_Raw!$A$5:$A$643,A447)</f>
        <v>1</v>
      </c>
      <c r="C447" s="12" t="str">
        <f>Deals_Raw!E450</f>
        <v>CT00275</v>
      </c>
      <c r="E447">
        <f>Deals_Raw!AA450</f>
        <v>75661.635440125741</v>
      </c>
      <c r="F447">
        <f>ROUND(Deals_Raw!T450*(1-Deals_Raw!W450),2)</f>
        <v>75693.72</v>
      </c>
      <c r="G447">
        <f t="shared" si="48"/>
        <v>32.084559874259867</v>
      </c>
      <c r="I447">
        <f>Deals_Raw!V450</f>
        <v>0.11600000000000001</v>
      </c>
      <c r="J447">
        <f>Deals_Raw!W450</f>
        <v>7.1999999999999995E-2</v>
      </c>
      <c r="K447" t="str">
        <f>Deals_Raw!Z450</f>
        <v>Sales Manager</v>
      </c>
      <c r="L447" t="str">
        <f t="shared" si="49"/>
        <v>yes</v>
      </c>
      <c r="M447" t="str">
        <f t="shared" si="50"/>
        <v>Pass</v>
      </c>
      <c r="O447">
        <f>Deals_Raw!AP450</f>
        <v>0.63665639292277432</v>
      </c>
      <c r="P447" t="str">
        <f t="shared" si="51"/>
        <v>False</v>
      </c>
      <c r="R447" t="str">
        <f>Deals_Raw!AF450</f>
        <v>Won</v>
      </c>
      <c r="S447">
        <f t="shared" si="52"/>
        <v>75693.72</v>
      </c>
      <c r="T447">
        <f>Deals_Raw!AM450</f>
        <v>75693.72</v>
      </c>
      <c r="U447">
        <f t="shared" si="53"/>
        <v>75693.72</v>
      </c>
      <c r="V447">
        <f>Deals_Raw!AN450</f>
        <v>75693.72</v>
      </c>
      <c r="W447">
        <f t="shared" si="54"/>
        <v>48190.890742106465</v>
      </c>
      <c r="X447">
        <f>Deals_Raw!AO450</f>
        <v>48190.890742106465</v>
      </c>
      <c r="Y447">
        <f t="shared" si="55"/>
        <v>0.63665639292277432</v>
      </c>
      <c r="Z447">
        <f>Deals_Raw!AP450</f>
        <v>0.63665639292277432</v>
      </c>
    </row>
    <row r="448" spans="1:26">
      <c r="A448" t="str">
        <f>Deals_Raw!A451</f>
        <v>D00507</v>
      </c>
      <c r="B448">
        <f>COUNTIF(Deals_Raw!$A$5:$A$643,A448)</f>
        <v>1</v>
      </c>
      <c r="C448" s="12" t="str">
        <f>Deals_Raw!E451</f>
        <v>CT00275</v>
      </c>
      <c r="E448">
        <f>Deals_Raw!AA451</f>
        <v>66900.304566551888</v>
      </c>
      <c r="F448">
        <f>ROUND(Deals_Raw!T451*(1-Deals_Raw!W451),2)</f>
        <v>66888.19</v>
      </c>
      <c r="G448">
        <f t="shared" si="48"/>
        <v>-12.114566551885218</v>
      </c>
      <c r="I448">
        <f>Deals_Raw!V451</f>
        <v>0.22500000000000001</v>
      </c>
      <c r="J448">
        <f>Deals_Raw!W451</f>
        <v>0.20799999999999999</v>
      </c>
      <c r="K448" t="str">
        <f>Deals_Raw!Z451</f>
        <v>Business Manager</v>
      </c>
      <c r="L448" t="str">
        <f t="shared" si="49"/>
        <v>yes</v>
      </c>
      <c r="M448" t="str">
        <f t="shared" si="50"/>
        <v>Pass</v>
      </c>
      <c r="O448">
        <f>Deals_Raw!AP451</f>
        <v>0.59174133601271695</v>
      </c>
      <c r="P448" t="str">
        <f t="shared" si="51"/>
        <v>False</v>
      </c>
      <c r="R448" t="str">
        <f>Deals_Raw!AF451</f>
        <v>Lost</v>
      </c>
      <c r="S448">
        <f t="shared" si="52"/>
        <v>0</v>
      </c>
      <c r="T448">
        <f>Deals_Raw!AM451</f>
        <v>66888.19</v>
      </c>
      <c r="U448">
        <f t="shared" si="53"/>
        <v>0</v>
      </c>
      <c r="V448">
        <f>Deals_Raw!AN451</f>
        <v>66888.19</v>
      </c>
      <c r="W448">
        <f t="shared" si="54"/>
        <v>0</v>
      </c>
      <c r="X448">
        <f>Deals_Raw!AO451</f>
        <v>39580.506914072452</v>
      </c>
      <c r="Y448">
        <f t="shared" si="55"/>
        <v>0</v>
      </c>
      <c r="Z448">
        <f>Deals_Raw!AP451</f>
        <v>0.59174133601271695</v>
      </c>
    </row>
    <row r="449" spans="1:26">
      <c r="A449" t="str">
        <f>Deals_Raw!A452</f>
        <v>D00508</v>
      </c>
      <c r="B449">
        <f>COUNTIF(Deals_Raw!$A$5:$A$643,A449)</f>
        <v>1</v>
      </c>
      <c r="C449" s="12" t="str">
        <f>Deals_Raw!E452</f>
        <v>CT00276</v>
      </c>
      <c r="E449">
        <f>Deals_Raw!AA452</f>
        <v>79253.527372668701</v>
      </c>
      <c r="F449">
        <f>ROUND(Deals_Raw!T452*(1-Deals_Raw!W452),2)</f>
        <v>79265.919999999998</v>
      </c>
      <c r="G449">
        <f t="shared" si="48"/>
        <v>12.392627331297263</v>
      </c>
      <c r="I449">
        <f>Deals_Raw!V452</f>
        <v>0.10100000000000001</v>
      </c>
      <c r="J449">
        <f>Deals_Raw!W452</f>
        <v>9.6000000000000002E-2</v>
      </c>
      <c r="K449" t="str">
        <f>Deals_Raw!Z452</f>
        <v>Sales Manager</v>
      </c>
      <c r="L449" t="str">
        <f t="shared" si="49"/>
        <v>yes</v>
      </c>
      <c r="M449" t="str">
        <f t="shared" si="50"/>
        <v>Pass</v>
      </c>
      <c r="O449">
        <f>Deals_Raw!AP452</f>
        <v>0.56147950083948839</v>
      </c>
      <c r="P449" t="str">
        <f t="shared" si="51"/>
        <v>False</v>
      </c>
      <c r="R449" t="str">
        <f>Deals_Raw!AF452</f>
        <v>Won</v>
      </c>
      <c r="S449">
        <f t="shared" si="52"/>
        <v>79265.919999999998</v>
      </c>
      <c r="T449">
        <f>Deals_Raw!AM452</f>
        <v>79265.919999999998</v>
      </c>
      <c r="U449">
        <f t="shared" si="53"/>
        <v>158531.84</v>
      </c>
      <c r="V449">
        <f>Deals_Raw!AN452</f>
        <v>158531.84</v>
      </c>
      <c r="W449">
        <f t="shared" si="54"/>
        <v>44506.189195182822</v>
      </c>
      <c r="X449">
        <f>Deals_Raw!AO452</f>
        <v>44506.189195182822</v>
      </c>
      <c r="Y449">
        <f t="shared" si="55"/>
        <v>0.56147950083948839</v>
      </c>
      <c r="Z449">
        <f>Deals_Raw!AP452</f>
        <v>0.56147950083948839</v>
      </c>
    </row>
    <row r="450" spans="1:26">
      <c r="A450" t="str">
        <f>Deals_Raw!A453</f>
        <v>D00510</v>
      </c>
      <c r="B450">
        <f>COUNTIF(Deals_Raw!$A$5:$A$643,A450)</f>
        <v>1</v>
      </c>
      <c r="C450" s="12" t="str">
        <f>Deals_Raw!E453</f>
        <v>CT00277</v>
      </c>
      <c r="E450">
        <f>Deals_Raw!AA453</f>
        <v>204208.38478463239</v>
      </c>
      <c r="F450">
        <f>ROUND(Deals_Raw!T453*(1-Deals_Raw!W453),2)</f>
        <v>204291.81</v>
      </c>
      <c r="G450">
        <f t="shared" si="48"/>
        <v>83.425215367606143</v>
      </c>
      <c r="I450">
        <f>Deals_Raw!V453</f>
        <v>4.3999999999999997E-2</v>
      </c>
      <c r="J450">
        <f>Deals_Raw!W453</f>
        <v>8.0000000000000002E-3</v>
      </c>
      <c r="K450" t="str">
        <f>Deals_Raw!Z453</f>
        <v>Sales Manager</v>
      </c>
      <c r="L450" t="str">
        <f t="shared" si="49"/>
        <v>yes</v>
      </c>
      <c r="M450" t="str">
        <f t="shared" si="50"/>
        <v>Pass</v>
      </c>
      <c r="O450">
        <f>Deals_Raw!AP453</f>
        <v>0.68141274971202892</v>
      </c>
      <c r="P450" t="str">
        <f t="shared" si="51"/>
        <v>False</v>
      </c>
      <c r="R450" t="str">
        <f>Deals_Raw!AF453</f>
        <v>Won</v>
      </c>
      <c r="S450">
        <f t="shared" si="52"/>
        <v>204291.81</v>
      </c>
      <c r="T450">
        <f>Deals_Raw!AM453</f>
        <v>204291.81</v>
      </c>
      <c r="U450">
        <f t="shared" si="53"/>
        <v>204291.81</v>
      </c>
      <c r="V450">
        <f>Deals_Raw!AN453</f>
        <v>204291.81</v>
      </c>
      <c r="W450">
        <f t="shared" si="54"/>
        <v>139207.04399574737</v>
      </c>
      <c r="X450">
        <f>Deals_Raw!AO453</f>
        <v>139207.04399574737</v>
      </c>
      <c r="Y450">
        <f t="shared" si="55"/>
        <v>0.68141274971202892</v>
      </c>
      <c r="Z450">
        <f>Deals_Raw!AP453</f>
        <v>0.68141274971202892</v>
      </c>
    </row>
    <row r="451" spans="1:26">
      <c r="A451" t="str">
        <f>Deals_Raw!A454</f>
        <v>D00511</v>
      </c>
      <c r="B451">
        <f>COUNTIF(Deals_Raw!$A$5:$A$643,A451)</f>
        <v>1</v>
      </c>
      <c r="C451" s="12" t="str">
        <f>Deals_Raw!E454</f>
        <v>CT00277</v>
      </c>
      <c r="E451">
        <f>Deals_Raw!AA454</f>
        <v>182321.52304269449</v>
      </c>
      <c r="F451">
        <f>ROUND(Deals_Raw!T454*(1-Deals_Raw!W454),2)</f>
        <v>182362.86</v>
      </c>
      <c r="G451">
        <f t="shared" ref="G451:G514" si="56">F451-E451</f>
        <v>41.336957305495162</v>
      </c>
      <c r="I451">
        <f>Deals_Raw!V454</f>
        <v>0.19600000000000001</v>
      </c>
      <c r="J451">
        <f>Deals_Raw!W454</f>
        <v>0.14399999999999999</v>
      </c>
      <c r="K451" t="str">
        <f>Deals_Raw!Z454</f>
        <v>Pricing Analyst</v>
      </c>
      <c r="L451" t="str">
        <f t="shared" ref="L451:L514" si="57">IF(J451&lt;=I451, "yes", "no")</f>
        <v>yes</v>
      </c>
      <c r="M451" t="str">
        <f t="shared" ref="M451:M514" si="58">IF(AND(J451&lt;=0.1,K451="Sales Manager"),"Pass",
 IF(AND(J451&gt;0.1,J451&lt;=0.2,K451="Pricing Analyst"),"Pass",
 IF(AND(J451&gt;0.2,K451="Business Manager"),"Pass","Review")))</f>
        <v>Pass</v>
      </c>
      <c r="O451">
        <f>Deals_Raw!AP454</f>
        <v>0.60675566037178874</v>
      </c>
      <c r="P451" t="str">
        <f t="shared" ref="P451:P514" si="59">IF(O451&lt;=0.45, "True", "False")</f>
        <v>False</v>
      </c>
      <c r="R451" t="str">
        <f>Deals_Raw!AF454</f>
        <v>Won</v>
      </c>
      <c r="S451">
        <f t="shared" ref="S451:S514" si="60">IF($R451="Lost",0,T451)</f>
        <v>182362.86</v>
      </c>
      <c r="T451">
        <f>Deals_Raw!AM454</f>
        <v>182362.86</v>
      </c>
      <c r="U451">
        <f t="shared" ref="U451:U514" si="61">IF($R451="Lost",0,V451)</f>
        <v>182362.86</v>
      </c>
      <c r="V451">
        <f>Deals_Raw!AN454</f>
        <v>182362.86</v>
      </c>
      <c r="W451">
        <f t="shared" ref="W451:W514" si="62">IF($R451="Lost",0,X451)</f>
        <v>110649.69754658805</v>
      </c>
      <c r="X451">
        <f>Deals_Raw!AO454</f>
        <v>110649.69754658805</v>
      </c>
      <c r="Y451">
        <f t="shared" ref="Y451:Y514" si="63">IF($R451="Lost",0,Z451)</f>
        <v>0.60675566037178874</v>
      </c>
      <c r="Z451">
        <f>Deals_Raw!AP454</f>
        <v>0.60675566037178874</v>
      </c>
    </row>
    <row r="452" spans="1:26">
      <c r="A452" t="str">
        <f>Deals_Raw!A455</f>
        <v>D00512</v>
      </c>
      <c r="B452">
        <f>COUNTIF(Deals_Raw!$A$5:$A$643,A452)</f>
        <v>1</v>
      </c>
      <c r="C452" s="12" t="str">
        <f>Deals_Raw!E455</f>
        <v>CT00278</v>
      </c>
      <c r="E452">
        <f>Deals_Raw!AA455</f>
        <v>37324.305521241418</v>
      </c>
      <c r="F452">
        <f>ROUND(Deals_Raw!T455*(1-Deals_Raw!W455),2)</f>
        <v>37335.5</v>
      </c>
      <c r="G452">
        <f t="shared" si="56"/>
        <v>11.194478758581681</v>
      </c>
      <c r="I452">
        <f>Deals_Raw!V455</f>
        <v>0.19600000000000001</v>
      </c>
      <c r="J452">
        <f>Deals_Raw!W455</f>
        <v>0.182</v>
      </c>
      <c r="K452" t="str">
        <f>Deals_Raw!Z455</f>
        <v>Pricing Analyst</v>
      </c>
      <c r="L452" t="str">
        <f t="shared" si="57"/>
        <v>yes</v>
      </c>
      <c r="M452" t="str">
        <f t="shared" si="58"/>
        <v>Pass</v>
      </c>
      <c r="O452">
        <f>Deals_Raw!AP455</f>
        <v>0.63797244746506432</v>
      </c>
      <c r="P452" t="str">
        <f t="shared" si="59"/>
        <v>False</v>
      </c>
      <c r="R452" t="str">
        <f>Deals_Raw!AF455</f>
        <v>Won</v>
      </c>
      <c r="S452">
        <f t="shared" si="60"/>
        <v>37335.5</v>
      </c>
      <c r="T452">
        <f>Deals_Raw!AM455</f>
        <v>37335.5</v>
      </c>
      <c r="U452">
        <f t="shared" si="61"/>
        <v>37335.5</v>
      </c>
      <c r="V452">
        <f>Deals_Raw!AN455</f>
        <v>37335.5</v>
      </c>
      <c r="W452">
        <f t="shared" si="62"/>
        <v>23819.020312331908</v>
      </c>
      <c r="X452">
        <f>Deals_Raw!AO455</f>
        <v>23819.020312331908</v>
      </c>
      <c r="Y452">
        <f t="shared" si="63"/>
        <v>0.63797244746506432</v>
      </c>
      <c r="Z452">
        <f>Deals_Raw!AP455</f>
        <v>0.63797244746506432</v>
      </c>
    </row>
    <row r="453" spans="1:26">
      <c r="A453" t="str">
        <f>Deals_Raw!A456</f>
        <v>D00513</v>
      </c>
      <c r="B453">
        <f>COUNTIF(Deals_Raw!$A$5:$A$643,A453)</f>
        <v>1</v>
      </c>
      <c r="C453" s="12" t="str">
        <f>Deals_Raw!E456</f>
        <v>CT00278</v>
      </c>
      <c r="E453">
        <f>Deals_Raw!AA456</f>
        <v>43345.972894657294</v>
      </c>
      <c r="F453">
        <f>ROUND(Deals_Raw!T456*(1-Deals_Raw!W456),2)</f>
        <v>43367.199999999997</v>
      </c>
      <c r="G453">
        <f t="shared" si="56"/>
        <v>21.227105342702998</v>
      </c>
      <c r="I453">
        <f>Deals_Raw!V456</f>
        <v>0.124</v>
      </c>
      <c r="J453">
        <f>Deals_Raw!W456</f>
        <v>8.7999999999999995E-2</v>
      </c>
      <c r="K453" t="str">
        <f>Deals_Raw!Z456</f>
        <v>Sales Manager</v>
      </c>
      <c r="L453" t="str">
        <f t="shared" si="57"/>
        <v>yes</v>
      </c>
      <c r="M453" t="str">
        <f t="shared" si="58"/>
        <v>Pass</v>
      </c>
      <c r="O453">
        <f>Deals_Raw!AP456</f>
        <v>0.6545693009021647</v>
      </c>
      <c r="P453" t="str">
        <f t="shared" si="59"/>
        <v>False</v>
      </c>
      <c r="R453" t="str">
        <f>Deals_Raw!AF456</f>
        <v>Won</v>
      </c>
      <c r="S453">
        <f t="shared" si="60"/>
        <v>43367.199999999997</v>
      </c>
      <c r="T453">
        <f>Deals_Raw!AM456</f>
        <v>43367.199999999997</v>
      </c>
      <c r="U453">
        <f t="shared" si="61"/>
        <v>43367.199999999997</v>
      </c>
      <c r="V453">
        <f>Deals_Raw!AN456</f>
        <v>43367.199999999997</v>
      </c>
      <c r="W453">
        <f t="shared" si="62"/>
        <v>28386.837786084354</v>
      </c>
      <c r="X453">
        <f>Deals_Raw!AO456</f>
        <v>28386.837786084354</v>
      </c>
      <c r="Y453">
        <f t="shared" si="63"/>
        <v>0.6545693009021647</v>
      </c>
      <c r="Z453">
        <f>Deals_Raw!AP456</f>
        <v>0.6545693009021647</v>
      </c>
    </row>
    <row r="454" spans="1:26">
      <c r="A454" t="str">
        <f>Deals_Raw!A457</f>
        <v>D00514</v>
      </c>
      <c r="B454">
        <f>COUNTIF(Deals_Raw!$A$5:$A$643,A454)</f>
        <v>1</v>
      </c>
      <c r="C454" s="12" t="str">
        <f>Deals_Raw!E457</f>
        <v>CT00278</v>
      </c>
      <c r="E454">
        <f>Deals_Raw!AA457</f>
        <v>42176.320776402375</v>
      </c>
      <c r="F454">
        <f>ROUND(Deals_Raw!T457*(1-Deals_Raw!W457),2)</f>
        <v>42154.1</v>
      </c>
      <c r="G454">
        <f t="shared" si="56"/>
        <v>-22.220776402376941</v>
      </c>
      <c r="I454">
        <f>Deals_Raw!V457</f>
        <v>0.18</v>
      </c>
      <c r="J454">
        <f>Deals_Raw!W457</f>
        <v>0.16</v>
      </c>
      <c r="K454" t="str">
        <f>Deals_Raw!Z457</f>
        <v>Pricing Analyst</v>
      </c>
      <c r="L454" t="str">
        <f t="shared" si="57"/>
        <v>yes</v>
      </c>
      <c r="M454" t="str">
        <f t="shared" si="58"/>
        <v>Pass</v>
      </c>
      <c r="O454">
        <f>Deals_Raw!AP457</f>
        <v>0.64472027329855564</v>
      </c>
      <c r="P454" t="str">
        <f t="shared" si="59"/>
        <v>False</v>
      </c>
      <c r="R454" t="str">
        <f>Deals_Raw!AF457</f>
        <v>Won</v>
      </c>
      <c r="S454">
        <f t="shared" si="60"/>
        <v>42154.1</v>
      </c>
      <c r="T454">
        <f>Deals_Raw!AM457</f>
        <v>42154.1</v>
      </c>
      <c r="U454">
        <f t="shared" si="61"/>
        <v>42154.1</v>
      </c>
      <c r="V454">
        <f>Deals_Raw!AN457</f>
        <v>42154.1</v>
      </c>
      <c r="W454">
        <f t="shared" si="62"/>
        <v>27177.602872654643</v>
      </c>
      <c r="X454">
        <f>Deals_Raw!AO457</f>
        <v>27177.602872654643</v>
      </c>
      <c r="Y454">
        <f t="shared" si="63"/>
        <v>0.64472027329855564</v>
      </c>
      <c r="Z454">
        <f>Deals_Raw!AP457</f>
        <v>0.64472027329855564</v>
      </c>
    </row>
    <row r="455" spans="1:26">
      <c r="A455" t="str">
        <f>Deals_Raw!A458</f>
        <v>D00517</v>
      </c>
      <c r="B455">
        <f>COUNTIF(Deals_Raw!$A$5:$A$643,A455)</f>
        <v>1</v>
      </c>
      <c r="C455" s="12" t="str">
        <f>Deals_Raw!E458</f>
        <v>CT00279</v>
      </c>
      <c r="E455">
        <f>Deals_Raw!AA458</f>
        <v>74687.217387918121</v>
      </c>
      <c r="F455">
        <f>ROUND(Deals_Raw!T458*(1-Deals_Raw!W458),2)</f>
        <v>74677.320000000007</v>
      </c>
      <c r="G455">
        <f t="shared" si="56"/>
        <v>-9.8973879181139637</v>
      </c>
      <c r="I455">
        <f>Deals_Raw!V458</f>
        <v>0.16800000000000001</v>
      </c>
      <c r="J455">
        <f>Deals_Raw!W458</f>
        <v>0.13500000000000001</v>
      </c>
      <c r="K455" t="str">
        <f>Deals_Raw!Z458</f>
        <v>Pricing Analyst</v>
      </c>
      <c r="L455" t="str">
        <f t="shared" si="57"/>
        <v>yes</v>
      </c>
      <c r="M455" t="str">
        <f t="shared" si="58"/>
        <v>Pass</v>
      </c>
      <c r="O455">
        <f>Deals_Raw!AP458</f>
        <v>0.60861169605220533</v>
      </c>
      <c r="P455" t="str">
        <f t="shared" si="59"/>
        <v>False</v>
      </c>
      <c r="R455" t="str">
        <f>Deals_Raw!AF458</f>
        <v>Won</v>
      </c>
      <c r="S455">
        <f t="shared" si="60"/>
        <v>74677.320000000007</v>
      </c>
      <c r="T455">
        <f>Deals_Raw!AM458</f>
        <v>74677.320000000007</v>
      </c>
      <c r="U455">
        <f t="shared" si="61"/>
        <v>74677.320000000007</v>
      </c>
      <c r="V455">
        <f>Deals_Raw!AN458</f>
        <v>74677.320000000007</v>
      </c>
      <c r="W455">
        <f t="shared" si="62"/>
        <v>45449.490381833282</v>
      </c>
      <c r="X455">
        <f>Deals_Raw!AO458</f>
        <v>45449.490381833282</v>
      </c>
      <c r="Y455">
        <f t="shared" si="63"/>
        <v>0.60861169605220533</v>
      </c>
      <c r="Z455">
        <f>Deals_Raw!AP458</f>
        <v>0.60861169605220533</v>
      </c>
    </row>
    <row r="456" spans="1:26">
      <c r="A456" t="str">
        <f>Deals_Raw!A459</f>
        <v>D00518</v>
      </c>
      <c r="B456">
        <f>COUNTIF(Deals_Raw!$A$5:$A$643,A456)</f>
        <v>1</v>
      </c>
      <c r="C456" s="12" t="str">
        <f>Deals_Raw!E459</f>
        <v>CT00279</v>
      </c>
      <c r="E456">
        <f>Deals_Raw!AA459</f>
        <v>67618.93290946474</v>
      </c>
      <c r="F456">
        <f>ROUND(Deals_Raw!T459*(1-Deals_Raw!W459),2)</f>
        <v>67589.3</v>
      </c>
      <c r="G456">
        <f t="shared" si="56"/>
        <v>-29.632909464737168</v>
      </c>
      <c r="I456">
        <f>Deals_Raw!V459</f>
        <v>0.24</v>
      </c>
      <c r="J456">
        <f>Deals_Raw!W459</f>
        <v>0.23300000000000001</v>
      </c>
      <c r="K456" t="str">
        <f>Deals_Raw!Z459</f>
        <v>Business Manager</v>
      </c>
      <c r="L456" t="str">
        <f t="shared" si="57"/>
        <v>yes</v>
      </c>
      <c r="M456" t="str">
        <f t="shared" si="58"/>
        <v>Pass</v>
      </c>
      <c r="O456">
        <f>Deals_Raw!AP459</f>
        <v>0.60050711792062272</v>
      </c>
      <c r="P456" t="str">
        <f t="shared" si="59"/>
        <v>False</v>
      </c>
      <c r="R456" t="str">
        <f>Deals_Raw!AF459</f>
        <v>Won</v>
      </c>
      <c r="S456">
        <f t="shared" si="60"/>
        <v>67589.3</v>
      </c>
      <c r="T456">
        <f>Deals_Raw!AM459</f>
        <v>67589.3</v>
      </c>
      <c r="U456">
        <f t="shared" si="61"/>
        <v>67589.3</v>
      </c>
      <c r="V456">
        <f>Deals_Raw!AN459</f>
        <v>67589.3</v>
      </c>
      <c r="W456">
        <f t="shared" si="62"/>
        <v>40587.855745272347</v>
      </c>
      <c r="X456">
        <f>Deals_Raw!AO459</f>
        <v>40587.855745272347</v>
      </c>
      <c r="Y456">
        <f t="shared" si="63"/>
        <v>0.60050711792062272</v>
      </c>
      <c r="Z456">
        <f>Deals_Raw!AP459</f>
        <v>0.60050711792062272</v>
      </c>
    </row>
    <row r="457" spans="1:26">
      <c r="A457" t="str">
        <f>Deals_Raw!A460</f>
        <v>D00519</v>
      </c>
      <c r="B457">
        <f>COUNTIF(Deals_Raw!$A$5:$A$643,A457)</f>
        <v>1</v>
      </c>
      <c r="C457" s="12" t="str">
        <f>Deals_Raw!E460</f>
        <v>CT00280</v>
      </c>
      <c r="E457">
        <f>Deals_Raw!AA460</f>
        <v>39991.517504224299</v>
      </c>
      <c r="F457">
        <f>ROUND(Deals_Raw!T460*(1-Deals_Raw!W460),2)</f>
        <v>39998.9</v>
      </c>
      <c r="G457">
        <f t="shared" si="56"/>
        <v>7.3824957757024094</v>
      </c>
      <c r="I457">
        <f>Deals_Raw!V460</f>
        <v>0.11</v>
      </c>
      <c r="J457">
        <f>Deals_Raw!W460</f>
        <v>0.1</v>
      </c>
      <c r="K457" t="str">
        <f>Deals_Raw!Z460</f>
        <v>Pricing Analyst</v>
      </c>
      <c r="L457" t="str">
        <f t="shared" si="57"/>
        <v>yes</v>
      </c>
      <c r="M457" t="str">
        <f t="shared" si="58"/>
        <v>Review</v>
      </c>
      <c r="O457">
        <f>Deals_Raw!AP460</f>
        <v>0.57759413796093528</v>
      </c>
      <c r="P457" t="str">
        <f t="shared" si="59"/>
        <v>False</v>
      </c>
      <c r="R457" t="str">
        <f>Deals_Raw!AF460</f>
        <v>Won</v>
      </c>
      <c r="S457">
        <f t="shared" si="60"/>
        <v>39998.9</v>
      </c>
      <c r="T457">
        <f>Deals_Raw!AM460</f>
        <v>39998.9</v>
      </c>
      <c r="U457">
        <f t="shared" si="61"/>
        <v>39998.9</v>
      </c>
      <c r="V457">
        <f>Deals_Raw!AN460</f>
        <v>39998.9</v>
      </c>
      <c r="W457">
        <f t="shared" si="62"/>
        <v>23103.130164885657</v>
      </c>
      <c r="X457">
        <f>Deals_Raw!AO460</f>
        <v>23103.130164885657</v>
      </c>
      <c r="Y457">
        <f t="shared" si="63"/>
        <v>0.57759413796093528</v>
      </c>
      <c r="Z457">
        <f>Deals_Raw!AP460</f>
        <v>0.57759413796093528</v>
      </c>
    </row>
    <row r="458" spans="1:26">
      <c r="A458" t="str">
        <f>Deals_Raw!A461</f>
        <v>D00520</v>
      </c>
      <c r="B458">
        <f>COUNTIF(Deals_Raw!$A$5:$A$643,A458)</f>
        <v>1</v>
      </c>
      <c r="C458" s="12" t="str">
        <f>Deals_Raw!E461</f>
        <v>CT00280</v>
      </c>
      <c r="E458">
        <f>Deals_Raw!AA461</f>
        <v>53776.280029146401</v>
      </c>
      <c r="F458">
        <f>ROUND(Deals_Raw!T461*(1-Deals_Raw!W461),2)</f>
        <v>53782.12</v>
      </c>
      <c r="G458">
        <f t="shared" si="56"/>
        <v>5.8399708536016988</v>
      </c>
      <c r="I458">
        <f>Deals_Raw!V461</f>
        <v>2.3E-2</v>
      </c>
      <c r="J458">
        <f>Deals_Raw!W461</f>
        <v>1.4E-2</v>
      </c>
      <c r="K458" t="str">
        <f>Deals_Raw!Z461</f>
        <v>Sales Manager</v>
      </c>
      <c r="L458" t="str">
        <f t="shared" si="57"/>
        <v>yes</v>
      </c>
      <c r="M458" t="str">
        <f t="shared" si="58"/>
        <v>Pass</v>
      </c>
      <c r="O458">
        <f>Deals_Raw!AP461</f>
        <v>0.60565989700216749</v>
      </c>
      <c r="P458" t="str">
        <f t="shared" si="59"/>
        <v>False</v>
      </c>
      <c r="R458" t="str">
        <f>Deals_Raw!AF461</f>
        <v>Lost</v>
      </c>
      <c r="S458">
        <f t="shared" si="60"/>
        <v>0</v>
      </c>
      <c r="T458">
        <f>Deals_Raw!AM461</f>
        <v>53782.12</v>
      </c>
      <c r="U458">
        <f t="shared" si="61"/>
        <v>0</v>
      </c>
      <c r="V458">
        <f>Deals_Raw!AN461</f>
        <v>53782.12</v>
      </c>
      <c r="W458">
        <f t="shared" si="62"/>
        <v>0</v>
      </c>
      <c r="X458">
        <f>Deals_Raw!AO461</f>
        <v>32573.673259758212</v>
      </c>
      <c r="Y458">
        <f t="shared" si="63"/>
        <v>0</v>
      </c>
      <c r="Z458">
        <f>Deals_Raw!AP461</f>
        <v>0.60565989700216749</v>
      </c>
    </row>
    <row r="459" spans="1:26">
      <c r="A459" t="str">
        <f>Deals_Raw!A462</f>
        <v>D00521</v>
      </c>
      <c r="B459">
        <f>COUNTIF(Deals_Raw!$A$5:$A$643,A459)</f>
        <v>1</v>
      </c>
      <c r="C459" s="12" t="str">
        <f>Deals_Raw!E462</f>
        <v>CT00280</v>
      </c>
      <c r="E459">
        <f>Deals_Raw!AA462</f>
        <v>40896.547325381158</v>
      </c>
      <c r="F459">
        <f>ROUND(Deals_Raw!T462*(1-Deals_Raw!W462),2)</f>
        <v>40918.019999999997</v>
      </c>
      <c r="G459">
        <f t="shared" si="56"/>
        <v>21.472674618838937</v>
      </c>
      <c r="I459">
        <f>Deals_Raw!V462</f>
        <v>0.152</v>
      </c>
      <c r="J459">
        <f>Deals_Raw!W462</f>
        <v>0.115</v>
      </c>
      <c r="K459" t="str">
        <f>Deals_Raw!Z462</f>
        <v>Pricing Analyst</v>
      </c>
      <c r="L459" t="str">
        <f t="shared" si="57"/>
        <v>yes</v>
      </c>
      <c r="M459" t="str">
        <f t="shared" si="58"/>
        <v>Pass</v>
      </c>
      <c r="O459">
        <f>Deals_Raw!AP462</f>
        <v>0.54170273275564762</v>
      </c>
      <c r="P459" t="str">
        <f t="shared" si="59"/>
        <v>False</v>
      </c>
      <c r="R459" t="str">
        <f>Deals_Raw!AF462</f>
        <v>Lost</v>
      </c>
      <c r="S459">
        <f t="shared" si="60"/>
        <v>0</v>
      </c>
      <c r="T459">
        <f>Deals_Raw!AM462</f>
        <v>40918.019999999997</v>
      </c>
      <c r="U459">
        <f t="shared" si="61"/>
        <v>0</v>
      </c>
      <c r="V459">
        <f>Deals_Raw!AN462</f>
        <v>40918.019999999997</v>
      </c>
      <c r="W459">
        <f t="shared" si="62"/>
        <v>0</v>
      </c>
      <c r="X459">
        <f>Deals_Raw!AO462</f>
        <v>22165.403252950244</v>
      </c>
      <c r="Y459">
        <f t="shared" si="63"/>
        <v>0</v>
      </c>
      <c r="Z459">
        <f>Deals_Raw!AP462</f>
        <v>0.54170273275564762</v>
      </c>
    </row>
    <row r="460" spans="1:26">
      <c r="A460" t="str">
        <f>Deals_Raw!A463</f>
        <v>D00522</v>
      </c>
      <c r="B460">
        <f>COUNTIF(Deals_Raw!$A$5:$A$643,A460)</f>
        <v>1</v>
      </c>
      <c r="C460" s="12" t="str">
        <f>Deals_Raw!E463</f>
        <v>CT00281</v>
      </c>
      <c r="E460">
        <f>Deals_Raw!AA463</f>
        <v>37292.564698347378</v>
      </c>
      <c r="F460">
        <f>ROUND(Deals_Raw!T463*(1-Deals_Raw!W463),2)</f>
        <v>37269.910000000003</v>
      </c>
      <c r="G460">
        <f t="shared" si="56"/>
        <v>-22.654698347374506</v>
      </c>
      <c r="I460">
        <f>Deals_Raw!V463</f>
        <v>0.251</v>
      </c>
      <c r="J460">
        <f>Deals_Raw!W463</f>
        <v>0.20100000000000001</v>
      </c>
      <c r="K460" t="str">
        <f>Deals_Raw!Z463</f>
        <v>Business Manager</v>
      </c>
      <c r="L460" t="str">
        <f t="shared" si="57"/>
        <v>yes</v>
      </c>
      <c r="M460" t="str">
        <f t="shared" si="58"/>
        <v>Pass</v>
      </c>
      <c r="O460">
        <f>Deals_Raw!AP463</f>
        <v>0.63547377587650544</v>
      </c>
      <c r="P460" t="str">
        <f t="shared" si="59"/>
        <v>False</v>
      </c>
      <c r="R460" t="str">
        <f>Deals_Raw!AF463</f>
        <v>Won</v>
      </c>
      <c r="S460">
        <f t="shared" si="60"/>
        <v>37269.910000000003</v>
      </c>
      <c r="T460">
        <f>Deals_Raw!AM463</f>
        <v>37269.910000000003</v>
      </c>
      <c r="U460">
        <f t="shared" si="61"/>
        <v>37269.910000000003</v>
      </c>
      <c r="V460">
        <f>Deals_Raw!AN463</f>
        <v>37269.910000000003</v>
      </c>
      <c r="W460">
        <f t="shared" si="62"/>
        <v>23684.050434277531</v>
      </c>
      <c r="X460">
        <f>Deals_Raw!AO463</f>
        <v>23684.050434277531</v>
      </c>
      <c r="Y460">
        <f t="shared" si="63"/>
        <v>0.63547377587650544</v>
      </c>
      <c r="Z460">
        <f>Deals_Raw!AP463</f>
        <v>0.63547377587650544</v>
      </c>
    </row>
    <row r="461" spans="1:26">
      <c r="A461" t="str">
        <f>Deals_Raw!A464</f>
        <v>D00523</v>
      </c>
      <c r="B461">
        <f>COUNTIF(Deals_Raw!$A$5:$A$643,A461)</f>
        <v>1</v>
      </c>
      <c r="C461" s="12" t="str">
        <f>Deals_Raw!E464</f>
        <v>CT00281</v>
      </c>
      <c r="E461">
        <f>Deals_Raw!AA464</f>
        <v>43248.650828841877</v>
      </c>
      <c r="F461">
        <f>ROUND(Deals_Raw!T464*(1-Deals_Raw!W464),2)</f>
        <v>43240.06</v>
      </c>
      <c r="G461">
        <f t="shared" si="56"/>
        <v>-8.5908288418795564</v>
      </c>
      <c r="I461">
        <f>Deals_Raw!V464</f>
        <v>0.17499999999999999</v>
      </c>
      <c r="J461">
        <f>Deals_Raw!W464</f>
        <v>0.128</v>
      </c>
      <c r="K461" t="str">
        <f>Deals_Raw!Z464</f>
        <v>Pricing Analyst</v>
      </c>
      <c r="L461" t="str">
        <f t="shared" si="57"/>
        <v>yes</v>
      </c>
      <c r="M461" t="str">
        <f t="shared" si="58"/>
        <v>Pass</v>
      </c>
      <c r="O461">
        <f>Deals_Raw!AP464</f>
        <v>0.66092896903641507</v>
      </c>
      <c r="P461" t="str">
        <f t="shared" si="59"/>
        <v>False</v>
      </c>
      <c r="R461" t="str">
        <f>Deals_Raw!AF464</f>
        <v>Won</v>
      </c>
      <c r="S461">
        <f t="shared" si="60"/>
        <v>43240.06</v>
      </c>
      <c r="T461">
        <f>Deals_Raw!AM464</f>
        <v>43240.06</v>
      </c>
      <c r="U461">
        <f t="shared" si="61"/>
        <v>43240.06</v>
      </c>
      <c r="V461">
        <f>Deals_Raw!AN464</f>
        <v>43240.06</v>
      </c>
      <c r="W461">
        <f t="shared" si="62"/>
        <v>28578.608276872728</v>
      </c>
      <c r="X461">
        <f>Deals_Raw!AO464</f>
        <v>28578.608276872728</v>
      </c>
      <c r="Y461">
        <f t="shared" si="63"/>
        <v>0.66092896903641507</v>
      </c>
      <c r="Z461">
        <f>Deals_Raw!AP464</f>
        <v>0.66092896903641507</v>
      </c>
    </row>
    <row r="462" spans="1:26">
      <c r="A462" t="str">
        <f>Deals_Raw!A465</f>
        <v>D00524</v>
      </c>
      <c r="B462">
        <f>COUNTIF(Deals_Raw!$A$5:$A$643,A462)</f>
        <v>1</v>
      </c>
      <c r="C462" s="12" t="str">
        <f>Deals_Raw!E465</f>
        <v>CT00282</v>
      </c>
      <c r="E462">
        <f>Deals_Raw!AA465</f>
        <v>40801.068210343801</v>
      </c>
      <c r="F462">
        <f>ROUND(Deals_Raw!T465*(1-Deals_Raw!W465),2)</f>
        <v>40781.64</v>
      </c>
      <c r="G462">
        <f t="shared" si="56"/>
        <v>-19.428210343801766</v>
      </c>
      <c r="I462">
        <f>Deals_Raw!V465</f>
        <v>9.9000000000000005E-2</v>
      </c>
      <c r="J462">
        <f>Deals_Raw!W465</f>
        <v>5.8999999999999997E-2</v>
      </c>
      <c r="K462" t="str">
        <f>Deals_Raw!Z465</f>
        <v>Sales Manager</v>
      </c>
      <c r="L462" t="str">
        <f t="shared" si="57"/>
        <v>yes</v>
      </c>
      <c r="M462" t="str">
        <f t="shared" si="58"/>
        <v>Pass</v>
      </c>
      <c r="O462">
        <f>Deals_Raw!AP465</f>
        <v>0.71676551738950511</v>
      </c>
      <c r="P462" t="str">
        <f t="shared" si="59"/>
        <v>False</v>
      </c>
      <c r="R462" t="str">
        <f>Deals_Raw!AF465</f>
        <v>Lost</v>
      </c>
      <c r="S462">
        <f t="shared" si="60"/>
        <v>0</v>
      </c>
      <c r="T462">
        <f>Deals_Raw!AM465</f>
        <v>40781.64</v>
      </c>
      <c r="U462">
        <f t="shared" si="61"/>
        <v>0</v>
      </c>
      <c r="V462">
        <f>Deals_Raw!AN465</f>
        <v>40781.64</v>
      </c>
      <c r="W462">
        <f t="shared" si="62"/>
        <v>0</v>
      </c>
      <c r="X462">
        <f>Deals_Raw!AO465</f>
        <v>29230.873294592537</v>
      </c>
      <c r="Y462">
        <f t="shared" si="63"/>
        <v>0</v>
      </c>
      <c r="Z462">
        <f>Deals_Raw!AP465</f>
        <v>0.71676551738950511</v>
      </c>
    </row>
    <row r="463" spans="1:26">
      <c r="A463" t="str">
        <f>Deals_Raw!A466</f>
        <v>D00525</v>
      </c>
      <c r="B463">
        <f>COUNTIF(Deals_Raw!$A$5:$A$643,A463)</f>
        <v>1</v>
      </c>
      <c r="C463" s="12" t="str">
        <f>Deals_Raw!E466</f>
        <v>CT00282</v>
      </c>
      <c r="E463">
        <f>Deals_Raw!AA466</f>
        <v>33719.65395796048</v>
      </c>
      <c r="F463">
        <f>ROUND(Deals_Raw!T466*(1-Deals_Raw!W466),2)</f>
        <v>33717.440000000002</v>
      </c>
      <c r="G463">
        <f t="shared" si="56"/>
        <v>-2.2139579604772734</v>
      </c>
      <c r="I463">
        <f>Deals_Raw!V466</f>
        <v>0.23400000000000001</v>
      </c>
      <c r="J463">
        <f>Deals_Raw!W466</f>
        <v>0.222</v>
      </c>
      <c r="K463" t="str">
        <f>Deals_Raw!Z466</f>
        <v>Business Manager</v>
      </c>
      <c r="L463" t="str">
        <f t="shared" si="57"/>
        <v>yes</v>
      </c>
      <c r="M463" t="str">
        <f t="shared" si="58"/>
        <v>Pass</v>
      </c>
      <c r="O463">
        <f>Deals_Raw!AP466</f>
        <v>0.61269074348491281</v>
      </c>
      <c r="P463" t="str">
        <f t="shared" si="59"/>
        <v>False</v>
      </c>
      <c r="R463" t="str">
        <f>Deals_Raw!AF466</f>
        <v>Won</v>
      </c>
      <c r="S463">
        <f t="shared" si="60"/>
        <v>33717.440000000002</v>
      </c>
      <c r="T463">
        <f>Deals_Raw!AM466</f>
        <v>33717.440000000002</v>
      </c>
      <c r="U463">
        <f t="shared" si="61"/>
        <v>33717.440000000002</v>
      </c>
      <c r="V463">
        <f>Deals_Raw!AN466</f>
        <v>33717.440000000002</v>
      </c>
      <c r="W463">
        <f t="shared" si="62"/>
        <v>20658.363382007941</v>
      </c>
      <c r="X463">
        <f>Deals_Raw!AO466</f>
        <v>20658.363382007941</v>
      </c>
      <c r="Y463">
        <f t="shared" si="63"/>
        <v>0.61269074348491281</v>
      </c>
      <c r="Z463">
        <f>Deals_Raw!AP466</f>
        <v>0.61269074348491281</v>
      </c>
    </row>
    <row r="464" spans="1:26">
      <c r="A464" t="str">
        <f>Deals_Raw!A467</f>
        <v>D00526</v>
      </c>
      <c r="B464">
        <f>COUNTIF(Deals_Raw!$A$5:$A$643,A464)</f>
        <v>1</v>
      </c>
      <c r="C464" s="12" t="str">
        <f>Deals_Raw!E467</f>
        <v>CT00283</v>
      </c>
      <c r="E464">
        <f>Deals_Raw!AA467</f>
        <v>45837.226034433457</v>
      </c>
      <c r="F464">
        <f>ROUND(Deals_Raw!T467*(1-Deals_Raw!W467),2)</f>
        <v>45831.51</v>
      </c>
      <c r="G464">
        <f t="shared" si="56"/>
        <v>-5.7160344334552065</v>
      </c>
      <c r="I464">
        <f>Deals_Raw!V467</f>
        <v>0.23699999999999999</v>
      </c>
      <c r="J464">
        <f>Deals_Raw!W467</f>
        <v>0.221</v>
      </c>
      <c r="K464" t="str">
        <f>Deals_Raw!Z467</f>
        <v>Business Manager</v>
      </c>
      <c r="L464" t="str">
        <f t="shared" si="57"/>
        <v>yes</v>
      </c>
      <c r="M464" t="str">
        <f t="shared" si="58"/>
        <v>Pass</v>
      </c>
      <c r="O464">
        <f>Deals_Raw!AP467</f>
        <v>0.50444567272906171</v>
      </c>
      <c r="P464" t="str">
        <f t="shared" si="59"/>
        <v>False</v>
      </c>
      <c r="R464" t="str">
        <f>Deals_Raw!AF467</f>
        <v>Won</v>
      </c>
      <c r="S464">
        <f t="shared" si="60"/>
        <v>45831.51</v>
      </c>
      <c r="T464">
        <f>Deals_Raw!AM467</f>
        <v>45831.51</v>
      </c>
      <c r="U464">
        <f t="shared" si="61"/>
        <v>91663.02</v>
      </c>
      <c r="V464">
        <f>Deals_Raw!AN467</f>
        <v>91663.02</v>
      </c>
      <c r="W464">
        <f t="shared" si="62"/>
        <v>23119.506894138722</v>
      </c>
      <c r="X464">
        <f>Deals_Raw!AO467</f>
        <v>23119.506894138722</v>
      </c>
      <c r="Y464">
        <f t="shared" si="63"/>
        <v>0.50444567272906171</v>
      </c>
      <c r="Z464">
        <f>Deals_Raw!AP467</f>
        <v>0.50444567272906171</v>
      </c>
    </row>
    <row r="465" spans="1:26">
      <c r="A465" t="str">
        <f>Deals_Raw!A468</f>
        <v>D00529</v>
      </c>
      <c r="B465">
        <f>COUNTIF(Deals_Raw!$A$5:$A$643,A465)</f>
        <v>1</v>
      </c>
      <c r="C465" s="12" t="str">
        <f>Deals_Raw!E468</f>
        <v>CT00284</v>
      </c>
      <c r="E465">
        <f>Deals_Raw!AA468</f>
        <v>288787.97701353754</v>
      </c>
      <c r="F465">
        <f>ROUND(Deals_Raw!T468*(1-Deals_Raw!W468),2)</f>
        <v>288777.75</v>
      </c>
      <c r="G465">
        <f t="shared" si="56"/>
        <v>-10.227013537543826</v>
      </c>
      <c r="I465">
        <f>Deals_Raw!V468</f>
        <v>9.7000000000000003E-2</v>
      </c>
      <c r="J465">
        <f>Deals_Raw!W468</f>
        <v>5.7000000000000002E-2</v>
      </c>
      <c r="K465" t="str">
        <f>Deals_Raw!Z468</f>
        <v>Sales Manager</v>
      </c>
      <c r="L465" t="str">
        <f t="shared" si="57"/>
        <v>yes</v>
      </c>
      <c r="M465" t="str">
        <f t="shared" si="58"/>
        <v>Pass</v>
      </c>
      <c r="O465">
        <f>Deals_Raw!AP468</f>
        <v>0.60886688798418376</v>
      </c>
      <c r="P465" t="str">
        <f t="shared" si="59"/>
        <v>False</v>
      </c>
      <c r="R465" t="str">
        <f>Deals_Raw!AF468</f>
        <v>Won</v>
      </c>
      <c r="S465">
        <f t="shared" si="60"/>
        <v>288777.75</v>
      </c>
      <c r="T465">
        <f>Deals_Raw!AM468</f>
        <v>288777.75</v>
      </c>
      <c r="U465">
        <f t="shared" si="61"/>
        <v>288777.75</v>
      </c>
      <c r="V465">
        <f>Deals_Raw!AN468</f>
        <v>288777.75</v>
      </c>
      <c r="W465">
        <f t="shared" si="62"/>
        <v>175827.20996157461</v>
      </c>
      <c r="X465">
        <f>Deals_Raw!AO468</f>
        <v>175827.20996157461</v>
      </c>
      <c r="Y465">
        <f t="shared" si="63"/>
        <v>0.60886688798418376</v>
      </c>
      <c r="Z465">
        <f>Deals_Raw!AP468</f>
        <v>0.60886688798418376</v>
      </c>
    </row>
    <row r="466" spans="1:26">
      <c r="A466" t="str">
        <f>Deals_Raw!A469</f>
        <v>D00530</v>
      </c>
      <c r="B466">
        <f>COUNTIF(Deals_Raw!$A$5:$A$643,A466)</f>
        <v>1</v>
      </c>
      <c r="C466" s="12" t="str">
        <f>Deals_Raw!E469</f>
        <v>CT00284</v>
      </c>
      <c r="E466">
        <f>Deals_Raw!AA469</f>
        <v>278532.16585381067</v>
      </c>
      <c r="F466">
        <f>ROUND(Deals_Raw!T469*(1-Deals_Raw!W469),2)</f>
        <v>278603.36</v>
      </c>
      <c r="G466">
        <f t="shared" si="56"/>
        <v>71.194146189314779</v>
      </c>
      <c r="I466">
        <f>Deals_Raw!V469</f>
        <v>0.13900000000000001</v>
      </c>
      <c r="J466">
        <f>Deals_Raw!W469</f>
        <v>0.13500000000000001</v>
      </c>
      <c r="K466" t="str">
        <f>Deals_Raw!Z469</f>
        <v>Pricing Analyst</v>
      </c>
      <c r="L466" t="str">
        <f t="shared" si="57"/>
        <v>yes</v>
      </c>
      <c r="M466" t="str">
        <f t="shared" si="58"/>
        <v>Pass</v>
      </c>
      <c r="O466">
        <f>Deals_Raw!AP469</f>
        <v>0.59448593346973944</v>
      </c>
      <c r="P466" t="str">
        <f t="shared" si="59"/>
        <v>False</v>
      </c>
      <c r="R466" t="str">
        <f>Deals_Raw!AF469</f>
        <v>Won</v>
      </c>
      <c r="S466">
        <f t="shared" si="60"/>
        <v>278603.36</v>
      </c>
      <c r="T466">
        <f>Deals_Raw!AM469</f>
        <v>278603.36</v>
      </c>
      <c r="U466">
        <f t="shared" si="61"/>
        <v>278603.36</v>
      </c>
      <c r="V466">
        <f>Deals_Raw!AN469</f>
        <v>278603.36</v>
      </c>
      <c r="W466">
        <f t="shared" si="62"/>
        <v>165625.77853740586</v>
      </c>
      <c r="X466">
        <f>Deals_Raw!AO469</f>
        <v>165625.77853740586</v>
      </c>
      <c r="Y466">
        <f t="shared" si="63"/>
        <v>0.59448593346973944</v>
      </c>
      <c r="Z466">
        <f>Deals_Raw!AP469</f>
        <v>0.59448593346973944</v>
      </c>
    </row>
    <row r="467" spans="1:26">
      <c r="A467" t="str">
        <f>Deals_Raw!A470</f>
        <v>D00531</v>
      </c>
      <c r="B467">
        <f>COUNTIF(Deals_Raw!$A$5:$A$643,A467)</f>
        <v>1</v>
      </c>
      <c r="C467" s="12" t="str">
        <f>Deals_Raw!E470</f>
        <v>CT00285</v>
      </c>
      <c r="E467">
        <f>Deals_Raw!AA470</f>
        <v>105922.32732301914</v>
      </c>
      <c r="F467">
        <f>ROUND(Deals_Raw!T470*(1-Deals_Raw!W470),2)</f>
        <v>105965.15</v>
      </c>
      <c r="G467">
        <f t="shared" si="56"/>
        <v>42.82267698085343</v>
      </c>
      <c r="I467">
        <f>Deals_Raw!V470</f>
        <v>0.222</v>
      </c>
      <c r="J467">
        <f>Deals_Raw!W470</f>
        <v>0.19600000000000001</v>
      </c>
      <c r="K467" t="str">
        <f>Deals_Raw!Z470</f>
        <v>Pricing Analyst</v>
      </c>
      <c r="L467" t="str">
        <f t="shared" si="57"/>
        <v>yes</v>
      </c>
      <c r="M467" t="str">
        <f t="shared" si="58"/>
        <v>Pass</v>
      </c>
      <c r="O467">
        <f>Deals_Raw!AP470</f>
        <v>0.53725048597007485</v>
      </c>
      <c r="P467" t="str">
        <f t="shared" si="59"/>
        <v>False</v>
      </c>
      <c r="R467" t="str">
        <f>Deals_Raw!AF470</f>
        <v>Lost</v>
      </c>
      <c r="S467">
        <f t="shared" si="60"/>
        <v>0</v>
      </c>
      <c r="T467">
        <f>Deals_Raw!AM470</f>
        <v>105965.15</v>
      </c>
      <c r="U467">
        <f t="shared" si="61"/>
        <v>0</v>
      </c>
      <c r="V467">
        <f>Deals_Raw!AN470</f>
        <v>105965.15</v>
      </c>
      <c r="W467">
        <f t="shared" si="62"/>
        <v>0</v>
      </c>
      <c r="X467">
        <f>Deals_Raw!AO470</f>
        <v>56929.828333391873</v>
      </c>
      <c r="Y467">
        <f t="shared" si="63"/>
        <v>0</v>
      </c>
      <c r="Z467">
        <f>Deals_Raw!AP470</f>
        <v>0.53725048597007485</v>
      </c>
    </row>
    <row r="468" spans="1:26">
      <c r="A468" t="str">
        <f>Deals_Raw!A471</f>
        <v>D00532</v>
      </c>
      <c r="B468">
        <f>COUNTIF(Deals_Raw!$A$5:$A$643,A468)</f>
        <v>1</v>
      </c>
      <c r="C468" s="12" t="str">
        <f>Deals_Raw!E471</f>
        <v>CT00287</v>
      </c>
      <c r="E468">
        <f>Deals_Raw!AA471</f>
        <v>176506.98605520435</v>
      </c>
      <c r="F468">
        <f>ROUND(Deals_Raw!T471*(1-Deals_Raw!W471),2)</f>
        <v>176463.07</v>
      </c>
      <c r="G468">
        <f t="shared" si="56"/>
        <v>-43.916055204346776</v>
      </c>
      <c r="I468">
        <f>Deals_Raw!V471</f>
        <v>7.5999999999999998E-2</v>
      </c>
      <c r="J468">
        <f>Deals_Raw!W471</f>
        <v>5.0999999999999997E-2</v>
      </c>
      <c r="K468" t="str">
        <f>Deals_Raw!Z471</f>
        <v>Sales Manager</v>
      </c>
      <c r="L468" t="str">
        <f t="shared" si="57"/>
        <v>yes</v>
      </c>
      <c r="M468" t="str">
        <f t="shared" si="58"/>
        <v>Pass</v>
      </c>
      <c r="O468">
        <f>Deals_Raw!AP471</f>
        <v>0.58694623425977344</v>
      </c>
      <c r="P468" t="str">
        <f t="shared" si="59"/>
        <v>False</v>
      </c>
      <c r="R468" t="str">
        <f>Deals_Raw!AF471</f>
        <v>Won</v>
      </c>
      <c r="S468">
        <f t="shared" si="60"/>
        <v>176463.07</v>
      </c>
      <c r="T468">
        <f>Deals_Raw!AM471</f>
        <v>176463.07</v>
      </c>
      <c r="U468">
        <f t="shared" si="61"/>
        <v>176463.07</v>
      </c>
      <c r="V468">
        <f>Deals_Raw!AN471</f>
        <v>176463.07</v>
      </c>
      <c r="W468">
        <f t="shared" si="62"/>
        <v>103574.3344224188</v>
      </c>
      <c r="X468">
        <f>Deals_Raw!AO471</f>
        <v>103574.3344224188</v>
      </c>
      <c r="Y468">
        <f t="shared" si="63"/>
        <v>0.58694623425977344</v>
      </c>
      <c r="Z468">
        <f>Deals_Raw!AP471</f>
        <v>0.58694623425977344</v>
      </c>
    </row>
    <row r="469" spans="1:26">
      <c r="A469" t="str">
        <f>Deals_Raw!A472</f>
        <v>D00533</v>
      </c>
      <c r="B469">
        <f>COUNTIF(Deals_Raw!$A$5:$A$643,A469)</f>
        <v>1</v>
      </c>
      <c r="C469" s="12" t="str">
        <f>Deals_Raw!E472</f>
        <v>CT00287</v>
      </c>
      <c r="E469">
        <f>Deals_Raw!AA472</f>
        <v>159194.21229545388</v>
      </c>
      <c r="F469">
        <f>ROUND(Deals_Raw!T472*(1-Deals_Raw!W472),2)</f>
        <v>159268.07999999999</v>
      </c>
      <c r="G469">
        <f t="shared" si="56"/>
        <v>73.867704546108143</v>
      </c>
      <c r="I469">
        <f>Deals_Raw!V472</f>
        <v>0.215</v>
      </c>
      <c r="J469">
        <f>Deals_Raw!W472</f>
        <v>0.182</v>
      </c>
      <c r="K469" t="str">
        <f>Deals_Raw!Z472</f>
        <v>Pricing Analyst</v>
      </c>
      <c r="L469" t="str">
        <f t="shared" si="57"/>
        <v>yes</v>
      </c>
      <c r="M469" t="str">
        <f t="shared" si="58"/>
        <v>Pass</v>
      </c>
      <c r="O469">
        <f>Deals_Raw!AP472</f>
        <v>0.54961959924073767</v>
      </c>
      <c r="P469" t="str">
        <f t="shared" si="59"/>
        <v>False</v>
      </c>
      <c r="R469" t="str">
        <f>Deals_Raw!AF472</f>
        <v>Won</v>
      </c>
      <c r="S469">
        <f t="shared" si="60"/>
        <v>159268.07999999999</v>
      </c>
      <c r="T469">
        <f>Deals_Raw!AM472</f>
        <v>159268.07999999999</v>
      </c>
      <c r="U469">
        <f t="shared" si="61"/>
        <v>159268.07999999999</v>
      </c>
      <c r="V469">
        <f>Deals_Raw!AN472</f>
        <v>159268.07999999999</v>
      </c>
      <c r="W469">
        <f t="shared" si="62"/>
        <v>87536.858301441738</v>
      </c>
      <c r="X469">
        <f>Deals_Raw!AO472</f>
        <v>87536.858301441738</v>
      </c>
      <c r="Y469">
        <f t="shared" si="63"/>
        <v>0.54961959924073767</v>
      </c>
      <c r="Z469">
        <f>Deals_Raw!AP472</f>
        <v>0.54961959924073767</v>
      </c>
    </row>
    <row r="470" spans="1:26">
      <c r="A470" t="str">
        <f>Deals_Raw!A473</f>
        <v>D00534</v>
      </c>
      <c r="B470">
        <f>COUNTIF(Deals_Raw!$A$5:$A$643,A470)</f>
        <v>1</v>
      </c>
      <c r="C470" s="12" t="str">
        <f>Deals_Raw!E473</f>
        <v>CT00288</v>
      </c>
      <c r="E470">
        <f>Deals_Raw!AA473</f>
        <v>24206.471277754808</v>
      </c>
      <c r="F470">
        <f>ROUND(Deals_Raw!T473*(1-Deals_Raw!W473),2)</f>
        <v>24204.21</v>
      </c>
      <c r="G470">
        <f t="shared" si="56"/>
        <v>-2.2612777548092708</v>
      </c>
      <c r="I470">
        <f>Deals_Raw!V473</f>
        <v>0.111</v>
      </c>
      <c r="J470">
        <f>Deals_Raw!W473</f>
        <v>5.1999999999999998E-2</v>
      </c>
      <c r="K470" t="str">
        <f>Deals_Raw!Z473</f>
        <v>Sales Manager</v>
      </c>
      <c r="L470" t="str">
        <f t="shared" si="57"/>
        <v>yes</v>
      </c>
      <c r="M470" t="str">
        <f t="shared" si="58"/>
        <v>Pass</v>
      </c>
      <c r="O470">
        <f>Deals_Raw!AP473</f>
        <v>0.67709815097485404</v>
      </c>
      <c r="P470" t="str">
        <f t="shared" si="59"/>
        <v>False</v>
      </c>
      <c r="R470" t="str">
        <f>Deals_Raw!AF473</f>
        <v>Lost</v>
      </c>
      <c r="S470">
        <f t="shared" si="60"/>
        <v>0</v>
      </c>
      <c r="T470">
        <f>Deals_Raw!AM473</f>
        <v>24204.21</v>
      </c>
      <c r="U470">
        <f t="shared" si="61"/>
        <v>0</v>
      </c>
      <c r="V470">
        <f>Deals_Raw!AN473</f>
        <v>72612.63</v>
      </c>
      <c r="W470">
        <f t="shared" si="62"/>
        <v>0</v>
      </c>
      <c r="X470">
        <f>Deals_Raw!AO473</f>
        <v>16388.62583680707</v>
      </c>
      <c r="Y470">
        <f t="shared" si="63"/>
        <v>0</v>
      </c>
      <c r="Z470">
        <f>Deals_Raw!AP473</f>
        <v>0.67709815097485404</v>
      </c>
    </row>
    <row r="471" spans="1:26">
      <c r="A471" t="str">
        <f>Deals_Raw!A474</f>
        <v>D00535</v>
      </c>
      <c r="B471">
        <f>COUNTIF(Deals_Raw!$A$5:$A$643,A471)</f>
        <v>1</v>
      </c>
      <c r="C471" s="12" t="str">
        <f>Deals_Raw!E474</f>
        <v>CT00289</v>
      </c>
      <c r="E471">
        <f>Deals_Raw!AA474</f>
        <v>179758.14876072164</v>
      </c>
      <c r="F471">
        <f>ROUND(Deals_Raw!T474*(1-Deals_Raw!W474),2)</f>
        <v>179806.45</v>
      </c>
      <c r="G471">
        <f t="shared" si="56"/>
        <v>48.301239278371213</v>
      </c>
      <c r="I471">
        <f>Deals_Raw!V474</f>
        <v>0.06</v>
      </c>
      <c r="J471">
        <f>Deals_Raw!W474</f>
        <v>2.3E-2</v>
      </c>
      <c r="K471" t="str">
        <f>Deals_Raw!Z474</f>
        <v>Sales Manager</v>
      </c>
      <c r="L471" t="str">
        <f t="shared" si="57"/>
        <v>yes</v>
      </c>
      <c r="M471" t="str">
        <f t="shared" si="58"/>
        <v>Pass</v>
      </c>
      <c r="O471">
        <f>Deals_Raw!AP474</f>
        <v>0.63335964857021154</v>
      </c>
      <c r="P471" t="str">
        <f t="shared" si="59"/>
        <v>False</v>
      </c>
      <c r="R471" t="str">
        <f>Deals_Raw!AF474</f>
        <v>Won</v>
      </c>
      <c r="S471">
        <f t="shared" si="60"/>
        <v>179806.45</v>
      </c>
      <c r="T471">
        <f>Deals_Raw!AM474</f>
        <v>179806.45</v>
      </c>
      <c r="U471">
        <f t="shared" si="61"/>
        <v>179806.45</v>
      </c>
      <c r="V471">
        <f>Deals_Raw!AN474</f>
        <v>179806.45</v>
      </c>
      <c r="W471">
        <f t="shared" si="62"/>
        <v>113882.14998265733</v>
      </c>
      <c r="X471">
        <f>Deals_Raw!AO474</f>
        <v>113882.14998265733</v>
      </c>
      <c r="Y471">
        <f t="shared" si="63"/>
        <v>0.63335964857021154</v>
      </c>
      <c r="Z471">
        <f>Deals_Raw!AP474</f>
        <v>0.63335964857021154</v>
      </c>
    </row>
    <row r="472" spans="1:26">
      <c r="A472" t="str">
        <f>Deals_Raw!A475</f>
        <v>D00536</v>
      </c>
      <c r="B472">
        <f>COUNTIF(Deals_Raw!$A$5:$A$643,A472)</f>
        <v>1</v>
      </c>
      <c r="C472" s="12" t="str">
        <f>Deals_Raw!E475</f>
        <v>CT00289</v>
      </c>
      <c r="E472">
        <f>Deals_Raw!AA475</f>
        <v>159450.71241618073</v>
      </c>
      <c r="F472">
        <f>ROUND(Deals_Raw!T475*(1-Deals_Raw!W475),2)</f>
        <v>159459.01999999999</v>
      </c>
      <c r="G472">
        <f t="shared" si="56"/>
        <v>8.3075838192598894</v>
      </c>
      <c r="I472">
        <f>Deals_Raw!V475</f>
        <v>0.223</v>
      </c>
      <c r="J472">
        <f>Deals_Raw!W475</f>
        <v>0.184</v>
      </c>
      <c r="K472" t="str">
        <f>Deals_Raw!Z475</f>
        <v>Pricing Analyst</v>
      </c>
      <c r="L472" t="str">
        <f t="shared" si="57"/>
        <v>yes</v>
      </c>
      <c r="M472" t="str">
        <f t="shared" si="58"/>
        <v>Pass</v>
      </c>
      <c r="O472">
        <f>Deals_Raw!AP475</f>
        <v>0.56309171380046597</v>
      </c>
      <c r="P472" t="str">
        <f t="shared" si="59"/>
        <v>False</v>
      </c>
      <c r="R472" t="str">
        <f>Deals_Raw!AF475</f>
        <v>Won</v>
      </c>
      <c r="S472">
        <f t="shared" si="60"/>
        <v>159459.01999999999</v>
      </c>
      <c r="T472">
        <f>Deals_Raw!AM475</f>
        <v>159459.01999999999</v>
      </c>
      <c r="U472">
        <f t="shared" si="61"/>
        <v>159459.01999999999</v>
      </c>
      <c r="V472">
        <f>Deals_Raw!AN475</f>
        <v>159459.01999999999</v>
      </c>
      <c r="W472">
        <f t="shared" si="62"/>
        <v>89790.052852742767</v>
      </c>
      <c r="X472">
        <f>Deals_Raw!AO475</f>
        <v>89790.052852742767</v>
      </c>
      <c r="Y472">
        <f t="shared" si="63"/>
        <v>0.56309171380046597</v>
      </c>
      <c r="Z472">
        <f>Deals_Raw!AP475</f>
        <v>0.56309171380046597</v>
      </c>
    </row>
    <row r="473" spans="1:26">
      <c r="A473" t="str">
        <f>Deals_Raw!A476</f>
        <v>D00537</v>
      </c>
      <c r="B473">
        <f>COUNTIF(Deals_Raw!$A$5:$A$643,A473)</f>
        <v>1</v>
      </c>
      <c r="C473" s="12" t="str">
        <f>Deals_Raw!E476</f>
        <v>CT00290</v>
      </c>
      <c r="E473">
        <f>Deals_Raw!AA476</f>
        <v>1144646.9291558086</v>
      </c>
      <c r="F473">
        <f>ROUND(Deals_Raw!T476*(1-Deals_Raw!W476),2)</f>
        <v>1144111.07</v>
      </c>
      <c r="G473">
        <f t="shared" si="56"/>
        <v>-535.85915580857545</v>
      </c>
      <c r="I473">
        <f>Deals_Raw!V476</f>
        <v>9.6000000000000002E-2</v>
      </c>
      <c r="J473">
        <f>Deals_Raw!W476</f>
        <v>8.7999999999999995E-2</v>
      </c>
      <c r="K473" t="str">
        <f>Deals_Raw!Z476</f>
        <v>Sales Manager</v>
      </c>
      <c r="L473" t="str">
        <f t="shared" si="57"/>
        <v>yes</v>
      </c>
      <c r="M473" t="str">
        <f t="shared" si="58"/>
        <v>Pass</v>
      </c>
      <c r="O473">
        <f>Deals_Raw!AP476</f>
        <v>0.57526284499740221</v>
      </c>
      <c r="P473" t="str">
        <f t="shared" si="59"/>
        <v>False</v>
      </c>
      <c r="R473" t="str">
        <f>Deals_Raw!AF476</f>
        <v>Won</v>
      </c>
      <c r="S473">
        <f t="shared" si="60"/>
        <v>1144111.07</v>
      </c>
      <c r="T473">
        <f>Deals_Raw!AM476</f>
        <v>1144111.07</v>
      </c>
      <c r="U473">
        <f t="shared" si="61"/>
        <v>2288222.14</v>
      </c>
      <c r="V473">
        <f>Deals_Raw!AN476</f>
        <v>2288222.14</v>
      </c>
      <c r="W473">
        <f t="shared" si="62"/>
        <v>658164.58912122203</v>
      </c>
      <c r="X473">
        <f>Deals_Raw!AO476</f>
        <v>658164.58912122203</v>
      </c>
      <c r="Y473">
        <f t="shared" si="63"/>
        <v>0.57526284499740221</v>
      </c>
      <c r="Z473">
        <f>Deals_Raw!AP476</f>
        <v>0.57526284499740221</v>
      </c>
    </row>
    <row r="474" spans="1:26">
      <c r="A474" t="str">
        <f>Deals_Raw!A477</f>
        <v>D00539</v>
      </c>
      <c r="B474">
        <f>COUNTIF(Deals_Raw!$A$5:$A$643,A474)</f>
        <v>1</v>
      </c>
      <c r="C474" s="12" t="str">
        <f>Deals_Raw!E477</f>
        <v>CT00291</v>
      </c>
      <c r="E474">
        <f>Deals_Raw!AA477</f>
        <v>1007661.4757568967</v>
      </c>
      <c r="F474">
        <f>ROUND(Deals_Raw!T477*(1-Deals_Raw!W477),2)</f>
        <v>1007526.68</v>
      </c>
      <c r="G474">
        <f t="shared" si="56"/>
        <v>-134.79575689660851</v>
      </c>
      <c r="I474">
        <f>Deals_Raw!V477</f>
        <v>8.2000000000000003E-2</v>
      </c>
      <c r="J474">
        <f>Deals_Raw!W477</f>
        <v>8.1000000000000003E-2</v>
      </c>
      <c r="K474" t="str">
        <f>Deals_Raw!Z477</f>
        <v>Sales Manager</v>
      </c>
      <c r="L474" t="str">
        <f t="shared" si="57"/>
        <v>yes</v>
      </c>
      <c r="M474" t="str">
        <f t="shared" si="58"/>
        <v>Pass</v>
      </c>
      <c r="O474">
        <f>Deals_Raw!AP477</f>
        <v>0.5937870678299787</v>
      </c>
      <c r="P474" t="str">
        <f t="shared" si="59"/>
        <v>False</v>
      </c>
      <c r="R474" t="str">
        <f>Deals_Raw!AF477</f>
        <v>Won</v>
      </c>
      <c r="S474">
        <f t="shared" si="60"/>
        <v>1007526.68</v>
      </c>
      <c r="T474">
        <f>Deals_Raw!AM477</f>
        <v>1007526.68</v>
      </c>
      <c r="U474">
        <f t="shared" si="61"/>
        <v>1007526.68</v>
      </c>
      <c r="V474">
        <f>Deals_Raw!AN477</f>
        <v>1007526.68</v>
      </c>
      <c r="W474">
        <f t="shared" si="62"/>
        <v>598256.31307767332</v>
      </c>
      <c r="X474">
        <f>Deals_Raw!AO477</f>
        <v>598256.31307767332</v>
      </c>
      <c r="Y474">
        <f t="shared" si="63"/>
        <v>0.5937870678299787</v>
      </c>
      <c r="Z474">
        <f>Deals_Raw!AP477</f>
        <v>0.5937870678299787</v>
      </c>
    </row>
    <row r="475" spans="1:26">
      <c r="A475" t="str">
        <f>Deals_Raw!A478</f>
        <v>D00540</v>
      </c>
      <c r="B475">
        <f>COUNTIF(Deals_Raw!$A$5:$A$643,A475)</f>
        <v>1</v>
      </c>
      <c r="C475" s="12" t="str">
        <f>Deals_Raw!E478</f>
        <v>CT00291</v>
      </c>
      <c r="E475">
        <f>Deals_Raw!AA478</f>
        <v>998406.04381305864</v>
      </c>
      <c r="F475">
        <f>ROUND(Deals_Raw!T478*(1-Deals_Raw!W478),2)</f>
        <v>998755.55</v>
      </c>
      <c r="G475">
        <f t="shared" si="56"/>
        <v>349.50618694140576</v>
      </c>
      <c r="I475">
        <f>Deals_Raw!V478</f>
        <v>0.16900000000000001</v>
      </c>
      <c r="J475">
        <f>Deals_Raw!W478</f>
        <v>0.151</v>
      </c>
      <c r="K475" t="str">
        <f>Deals_Raw!Z478</f>
        <v>Pricing Analyst</v>
      </c>
      <c r="L475" t="str">
        <f t="shared" si="57"/>
        <v>yes</v>
      </c>
      <c r="M475" t="str">
        <f t="shared" si="58"/>
        <v>Pass</v>
      </c>
      <c r="O475">
        <f>Deals_Raw!AP478</f>
        <v>0.61179623237201963</v>
      </c>
      <c r="P475" t="str">
        <f t="shared" si="59"/>
        <v>False</v>
      </c>
      <c r="R475" t="str">
        <f>Deals_Raw!AF478</f>
        <v>Won</v>
      </c>
      <c r="S475">
        <f t="shared" si="60"/>
        <v>998755.55</v>
      </c>
      <c r="T475">
        <f>Deals_Raw!AM478</f>
        <v>998755.55</v>
      </c>
      <c r="U475">
        <f t="shared" si="61"/>
        <v>998755.55</v>
      </c>
      <c r="V475">
        <f>Deals_Raw!AN478</f>
        <v>998755.55</v>
      </c>
      <c r="W475">
        <f t="shared" si="62"/>
        <v>611034.88255064434</v>
      </c>
      <c r="X475">
        <f>Deals_Raw!AO478</f>
        <v>611034.88255064434</v>
      </c>
      <c r="Y475">
        <f t="shared" si="63"/>
        <v>0.61179623237201963</v>
      </c>
      <c r="Z475">
        <f>Deals_Raw!AP478</f>
        <v>0.61179623237201963</v>
      </c>
    </row>
    <row r="476" spans="1:26">
      <c r="A476" t="str">
        <f>Deals_Raw!A479</f>
        <v>D00541</v>
      </c>
      <c r="B476">
        <f>COUNTIF(Deals_Raw!$A$5:$A$643,A476)</f>
        <v>1</v>
      </c>
      <c r="C476" s="12" t="str">
        <f>Deals_Raw!E479</f>
        <v>CT00291</v>
      </c>
      <c r="E476">
        <f>Deals_Raw!AA479</f>
        <v>1067633.6770695476</v>
      </c>
      <c r="F476">
        <f>ROUND(Deals_Raw!T479*(1-Deals_Raw!W479),2)</f>
        <v>1067697.3600000001</v>
      </c>
      <c r="G476">
        <f t="shared" si="56"/>
        <v>63.682930452516302</v>
      </c>
      <c r="I476">
        <f>Deals_Raw!V479</f>
        <v>0.14000000000000001</v>
      </c>
      <c r="J476">
        <f>Deals_Raw!W479</f>
        <v>0.121</v>
      </c>
      <c r="K476" t="str">
        <f>Deals_Raw!Z479</f>
        <v>Pricing Analyst</v>
      </c>
      <c r="L476" t="str">
        <f t="shared" si="57"/>
        <v>yes</v>
      </c>
      <c r="M476" t="str">
        <f t="shared" si="58"/>
        <v>Pass</v>
      </c>
      <c r="O476">
        <f>Deals_Raw!AP479</f>
        <v>0.58475608418258362</v>
      </c>
      <c r="P476" t="str">
        <f t="shared" si="59"/>
        <v>False</v>
      </c>
      <c r="R476" t="str">
        <f>Deals_Raw!AF479</f>
        <v>Won</v>
      </c>
      <c r="S476">
        <f t="shared" si="60"/>
        <v>1067697.3600000001</v>
      </c>
      <c r="T476">
        <f>Deals_Raw!AM479</f>
        <v>1067697.3600000001</v>
      </c>
      <c r="U476">
        <f t="shared" si="61"/>
        <v>1067697.3600000001</v>
      </c>
      <c r="V476">
        <f>Deals_Raw!AN479</f>
        <v>1067697.3600000001</v>
      </c>
      <c r="W476">
        <f t="shared" si="62"/>
        <v>624342.52732568234</v>
      </c>
      <c r="X476">
        <f>Deals_Raw!AO479</f>
        <v>624342.52732568234</v>
      </c>
      <c r="Y476">
        <f t="shared" si="63"/>
        <v>0.58475608418258362</v>
      </c>
      <c r="Z476">
        <f>Deals_Raw!AP479</f>
        <v>0.58475608418258362</v>
      </c>
    </row>
    <row r="477" spans="1:26">
      <c r="A477" t="str">
        <f>Deals_Raw!A480</f>
        <v>D00542</v>
      </c>
      <c r="B477">
        <f>COUNTIF(Deals_Raw!$A$5:$A$643,A477)</f>
        <v>1</v>
      </c>
      <c r="C477" s="12" t="str">
        <f>Deals_Raw!E480</f>
        <v>CT00292</v>
      </c>
      <c r="E477">
        <f>Deals_Raw!AA480</f>
        <v>252444.36538638038</v>
      </c>
      <c r="F477">
        <f>ROUND(Deals_Raw!T480*(1-Deals_Raw!W480),2)</f>
        <v>252361.79</v>
      </c>
      <c r="G477">
        <f t="shared" si="56"/>
        <v>-82.575386380369309</v>
      </c>
      <c r="I477">
        <f>Deals_Raw!V480</f>
        <v>0.127</v>
      </c>
      <c r="J477">
        <f>Deals_Raw!W480</f>
        <v>0.105</v>
      </c>
      <c r="K477" t="str">
        <f>Deals_Raw!Z480</f>
        <v>Pricing Analyst</v>
      </c>
      <c r="L477" t="str">
        <f t="shared" si="57"/>
        <v>yes</v>
      </c>
      <c r="M477" t="str">
        <f t="shared" si="58"/>
        <v>Pass</v>
      </c>
      <c r="O477">
        <f>Deals_Raw!AP480</f>
        <v>0.62744200546260975</v>
      </c>
      <c r="P477" t="str">
        <f t="shared" si="59"/>
        <v>False</v>
      </c>
      <c r="R477" t="str">
        <f>Deals_Raw!AF480</f>
        <v>Lost</v>
      </c>
      <c r="S477">
        <f t="shared" si="60"/>
        <v>0</v>
      </c>
      <c r="T477">
        <f>Deals_Raw!AM480</f>
        <v>252361.79</v>
      </c>
      <c r="U477">
        <f t="shared" si="61"/>
        <v>0</v>
      </c>
      <c r="V477">
        <f>Deals_Raw!AN480</f>
        <v>252361.79</v>
      </c>
      <c r="W477">
        <f t="shared" si="62"/>
        <v>0</v>
      </c>
      <c r="X477">
        <f>Deals_Raw!AO480</f>
        <v>158342.38761973399</v>
      </c>
      <c r="Y477">
        <f t="shared" si="63"/>
        <v>0</v>
      </c>
      <c r="Z477">
        <f>Deals_Raw!AP480</f>
        <v>0.62744200546260975</v>
      </c>
    </row>
    <row r="478" spans="1:26">
      <c r="A478" t="str">
        <f>Deals_Raw!A481</f>
        <v>D00543</v>
      </c>
      <c r="B478">
        <f>COUNTIF(Deals_Raw!$A$5:$A$643,A478)</f>
        <v>1</v>
      </c>
      <c r="C478" s="12" t="str">
        <f>Deals_Raw!E481</f>
        <v>CT00293</v>
      </c>
      <c r="E478">
        <f>Deals_Raw!AA481</f>
        <v>574380.69036755792</v>
      </c>
      <c r="F478">
        <f>ROUND(Deals_Raw!T481*(1-Deals_Raw!W481),2)</f>
        <v>574421.81999999995</v>
      </c>
      <c r="G478">
        <f t="shared" si="56"/>
        <v>41.129632442025468</v>
      </c>
      <c r="I478">
        <f>Deals_Raw!V481</f>
        <v>0.14599999999999999</v>
      </c>
      <c r="J478">
        <f>Deals_Raw!W481</f>
        <v>9.7000000000000003E-2</v>
      </c>
      <c r="K478" t="str">
        <f>Deals_Raw!Z481</f>
        <v>Sales Manager</v>
      </c>
      <c r="L478" t="str">
        <f t="shared" si="57"/>
        <v>yes</v>
      </c>
      <c r="M478" t="str">
        <f t="shared" si="58"/>
        <v>Pass</v>
      </c>
      <c r="O478">
        <f>Deals_Raw!AP481</f>
        <v>0.57420751323640107</v>
      </c>
      <c r="P478" t="str">
        <f t="shared" si="59"/>
        <v>False</v>
      </c>
      <c r="R478" t="str">
        <f>Deals_Raw!AF481</f>
        <v>Won</v>
      </c>
      <c r="S478">
        <f t="shared" si="60"/>
        <v>574421.81999999995</v>
      </c>
      <c r="T478">
        <f>Deals_Raw!AM481</f>
        <v>574421.81999999995</v>
      </c>
      <c r="U478">
        <f t="shared" si="61"/>
        <v>1148843.6399999999</v>
      </c>
      <c r="V478">
        <f>Deals_Raw!AN481</f>
        <v>1148843.6399999999</v>
      </c>
      <c r="W478">
        <f t="shared" si="62"/>
        <v>329837.32481092756</v>
      </c>
      <c r="X478">
        <f>Deals_Raw!AO481</f>
        <v>329837.32481092756</v>
      </c>
      <c r="Y478">
        <f t="shared" si="63"/>
        <v>0.57420751323640107</v>
      </c>
      <c r="Z478">
        <f>Deals_Raw!AP481</f>
        <v>0.57420751323640107</v>
      </c>
    </row>
    <row r="479" spans="1:26">
      <c r="A479" t="str">
        <f>Deals_Raw!A482</f>
        <v>D00544</v>
      </c>
      <c r="B479">
        <f>COUNTIF(Deals_Raw!$A$5:$A$643,A479)</f>
        <v>1</v>
      </c>
      <c r="C479" s="12" t="str">
        <f>Deals_Raw!E482</f>
        <v>CT00294</v>
      </c>
      <c r="E479">
        <f>Deals_Raw!AA482</f>
        <v>116353.61769364172</v>
      </c>
      <c r="F479">
        <f>ROUND(Deals_Raw!T482*(1-Deals_Raw!W482),2)</f>
        <v>116337.92</v>
      </c>
      <c r="G479">
        <f t="shared" si="56"/>
        <v>-15.697693641719525</v>
      </c>
      <c r="I479">
        <f>Deals_Raw!V482</f>
        <v>0.17499999999999999</v>
      </c>
      <c r="J479">
        <f>Deals_Raw!W482</f>
        <v>0.17299999999999999</v>
      </c>
      <c r="K479" t="str">
        <f>Deals_Raw!Z482</f>
        <v>Pricing Analyst</v>
      </c>
      <c r="L479" t="str">
        <f t="shared" si="57"/>
        <v>yes</v>
      </c>
      <c r="M479" t="str">
        <f t="shared" si="58"/>
        <v>Pass</v>
      </c>
      <c r="O479">
        <f>Deals_Raw!AP482</f>
        <v>0.44706823852882005</v>
      </c>
      <c r="P479" t="str">
        <f t="shared" si="59"/>
        <v>True</v>
      </c>
      <c r="R479" t="str">
        <f>Deals_Raw!AF482</f>
        <v>Lost</v>
      </c>
      <c r="S479">
        <f t="shared" si="60"/>
        <v>0</v>
      </c>
      <c r="T479">
        <f>Deals_Raw!AM482</f>
        <v>116337.92</v>
      </c>
      <c r="U479">
        <f t="shared" si="61"/>
        <v>0</v>
      </c>
      <c r="V479">
        <f>Deals_Raw!AN482</f>
        <v>349013.76000000001</v>
      </c>
      <c r="W479">
        <f t="shared" si="62"/>
        <v>0</v>
      </c>
      <c r="X479">
        <f>Deals_Raw!AO482</f>
        <v>52010.988968506783</v>
      </c>
      <c r="Y479">
        <f t="shared" si="63"/>
        <v>0</v>
      </c>
      <c r="Z479">
        <f>Deals_Raw!AP482</f>
        <v>0.44706823852882005</v>
      </c>
    </row>
    <row r="480" spans="1:26">
      <c r="A480" t="str">
        <f>Deals_Raw!A483</f>
        <v>D00545</v>
      </c>
      <c r="B480">
        <f>COUNTIF(Deals_Raw!$A$5:$A$643,A480)</f>
        <v>1</v>
      </c>
      <c r="C480" s="12" t="str">
        <f>Deals_Raw!E483</f>
        <v>CT00295</v>
      </c>
      <c r="E480">
        <f>Deals_Raw!AA483</f>
        <v>808020.32550504396</v>
      </c>
      <c r="F480">
        <f>ROUND(Deals_Raw!T483*(1-Deals_Raw!W483),2)</f>
        <v>808044.55</v>
      </c>
      <c r="G480">
        <f t="shared" si="56"/>
        <v>24.224494956084527</v>
      </c>
      <c r="I480">
        <f>Deals_Raw!V483</f>
        <v>2.9000000000000001E-2</v>
      </c>
      <c r="J480">
        <f>Deals_Raw!W483</f>
        <v>1.7000000000000001E-2</v>
      </c>
      <c r="K480" t="str">
        <f>Deals_Raw!Z483</f>
        <v>Sales Manager</v>
      </c>
      <c r="L480" t="str">
        <f t="shared" si="57"/>
        <v>yes</v>
      </c>
      <c r="M480" t="str">
        <f t="shared" si="58"/>
        <v>Pass</v>
      </c>
      <c r="O480">
        <f>Deals_Raw!AP483</f>
        <v>0.57451804679618601</v>
      </c>
      <c r="P480" t="str">
        <f t="shared" si="59"/>
        <v>False</v>
      </c>
      <c r="R480" t="str">
        <f>Deals_Raw!AF483</f>
        <v>Won</v>
      </c>
      <c r="S480">
        <f t="shared" si="60"/>
        <v>808044.55</v>
      </c>
      <c r="T480">
        <f>Deals_Raw!AM483</f>
        <v>808044.55</v>
      </c>
      <c r="U480">
        <f t="shared" si="61"/>
        <v>808044.55</v>
      </c>
      <c r="V480">
        <f>Deals_Raw!AN483</f>
        <v>808044.55</v>
      </c>
      <c r="W480">
        <f t="shared" si="62"/>
        <v>464236.17659030313</v>
      </c>
      <c r="X480">
        <f>Deals_Raw!AO483</f>
        <v>464236.17659030313</v>
      </c>
      <c r="Y480">
        <f t="shared" si="63"/>
        <v>0.57451804679618601</v>
      </c>
      <c r="Z480">
        <f>Deals_Raw!AP483</f>
        <v>0.57451804679618601</v>
      </c>
    </row>
    <row r="481" spans="1:26">
      <c r="A481" t="str">
        <f>Deals_Raw!A484</f>
        <v>D00546</v>
      </c>
      <c r="B481">
        <f>COUNTIF(Deals_Raw!$A$5:$A$643,A481)</f>
        <v>1</v>
      </c>
      <c r="C481" s="12" t="str">
        <f>Deals_Raw!E484</f>
        <v>CT00295</v>
      </c>
      <c r="E481">
        <f>Deals_Raw!AA484</f>
        <v>747235.14783608611</v>
      </c>
      <c r="F481">
        <f>ROUND(Deals_Raw!T484*(1-Deals_Raw!W484),2)</f>
        <v>746957.38</v>
      </c>
      <c r="G481">
        <f t="shared" si="56"/>
        <v>-277.76783608610276</v>
      </c>
      <c r="I481">
        <f>Deals_Raw!V484</f>
        <v>0.159</v>
      </c>
      <c r="J481">
        <f>Deals_Raw!W484</f>
        <v>0.113</v>
      </c>
      <c r="K481" t="str">
        <f>Deals_Raw!Z484</f>
        <v>Pricing Analyst</v>
      </c>
      <c r="L481" t="str">
        <f t="shared" si="57"/>
        <v>yes</v>
      </c>
      <c r="M481" t="str">
        <f t="shared" si="58"/>
        <v>Pass</v>
      </c>
      <c r="O481">
        <f>Deals_Raw!AP484</f>
        <v>0.58411839309157665</v>
      </c>
      <c r="P481" t="str">
        <f t="shared" si="59"/>
        <v>False</v>
      </c>
      <c r="R481" t="str">
        <f>Deals_Raw!AF484</f>
        <v>Won</v>
      </c>
      <c r="S481">
        <f t="shared" si="60"/>
        <v>746957.38</v>
      </c>
      <c r="T481">
        <f>Deals_Raw!AM484</f>
        <v>746957.38</v>
      </c>
      <c r="U481">
        <f t="shared" si="61"/>
        <v>746957.38</v>
      </c>
      <c r="V481">
        <f>Deals_Raw!AN484</f>
        <v>746957.38</v>
      </c>
      <c r="W481">
        <f t="shared" si="62"/>
        <v>436311.54451349418</v>
      </c>
      <c r="X481">
        <f>Deals_Raw!AO484</f>
        <v>436311.54451349418</v>
      </c>
      <c r="Y481">
        <f t="shared" si="63"/>
        <v>0.58411839309157665</v>
      </c>
      <c r="Z481">
        <f>Deals_Raw!AP484</f>
        <v>0.58411839309157665</v>
      </c>
    </row>
    <row r="482" spans="1:26">
      <c r="A482" t="str">
        <f>Deals_Raw!A485</f>
        <v>D00547</v>
      </c>
      <c r="B482">
        <f>COUNTIF(Deals_Raw!$A$5:$A$643,A482)</f>
        <v>1</v>
      </c>
      <c r="C482" s="12" t="str">
        <f>Deals_Raw!E485</f>
        <v>CT00296</v>
      </c>
      <c r="E482">
        <f>Deals_Raw!AA485</f>
        <v>353522.49922713323</v>
      </c>
      <c r="F482">
        <f>ROUND(Deals_Raw!T485*(1-Deals_Raw!W485),2)</f>
        <v>353582.27</v>
      </c>
      <c r="G482">
        <f t="shared" si="56"/>
        <v>59.77077286678832</v>
      </c>
      <c r="I482">
        <f>Deals_Raw!V485</f>
        <v>0.14699999999999999</v>
      </c>
      <c r="J482">
        <f>Deals_Raw!W485</f>
        <v>0.114</v>
      </c>
      <c r="K482" t="str">
        <f>Deals_Raw!Z485</f>
        <v>Pricing Analyst</v>
      </c>
      <c r="L482" t="str">
        <f t="shared" si="57"/>
        <v>yes</v>
      </c>
      <c r="M482" t="str">
        <f t="shared" si="58"/>
        <v>Pass</v>
      </c>
      <c r="O482">
        <f>Deals_Raw!AP485</f>
        <v>0.62936620886770378</v>
      </c>
      <c r="P482" t="str">
        <f t="shared" si="59"/>
        <v>False</v>
      </c>
      <c r="R482" t="str">
        <f>Deals_Raw!AF485</f>
        <v>Lost</v>
      </c>
      <c r="S482">
        <f t="shared" si="60"/>
        <v>0</v>
      </c>
      <c r="T482">
        <f>Deals_Raw!AM485</f>
        <v>353582.27</v>
      </c>
      <c r="U482">
        <f t="shared" si="61"/>
        <v>0</v>
      </c>
      <c r="V482">
        <f>Deals_Raw!AN485</f>
        <v>1060746.81</v>
      </c>
      <c r="W482">
        <f t="shared" si="62"/>
        <v>0</v>
      </c>
      <c r="X482">
        <f>Deals_Raw!AO485</f>
        <v>222532.73279273685</v>
      </c>
      <c r="Y482">
        <f t="shared" si="63"/>
        <v>0</v>
      </c>
      <c r="Z482">
        <f>Deals_Raw!AP485</f>
        <v>0.62936620886770378</v>
      </c>
    </row>
    <row r="483" spans="1:26">
      <c r="A483" t="str">
        <f>Deals_Raw!A486</f>
        <v>D00548</v>
      </c>
      <c r="B483">
        <f>COUNTIF(Deals_Raw!$A$5:$A$643,A483)</f>
        <v>1</v>
      </c>
      <c r="C483" s="12" t="str">
        <f>Deals_Raw!E486</f>
        <v>CT00297</v>
      </c>
      <c r="E483">
        <f>Deals_Raw!AA486</f>
        <v>34732.621637482305</v>
      </c>
      <c r="F483">
        <f>ROUND(Deals_Raw!T486*(1-Deals_Raw!W486),2)</f>
        <v>34737.42</v>
      </c>
      <c r="G483">
        <f t="shared" si="56"/>
        <v>4.7983625176930218</v>
      </c>
      <c r="I483">
        <f>Deals_Raw!V486</f>
        <v>0.19700000000000001</v>
      </c>
      <c r="J483">
        <f>Deals_Raw!W486</f>
        <v>0.17299999999999999</v>
      </c>
      <c r="K483" t="str">
        <f>Deals_Raw!Z486</f>
        <v>Pricing Analyst</v>
      </c>
      <c r="L483" t="str">
        <f t="shared" si="57"/>
        <v>yes</v>
      </c>
      <c r="M483" t="str">
        <f t="shared" si="58"/>
        <v>Pass</v>
      </c>
      <c r="O483">
        <f>Deals_Raw!AP486</f>
        <v>0.52763942686903931</v>
      </c>
      <c r="P483" t="str">
        <f t="shared" si="59"/>
        <v>False</v>
      </c>
      <c r="R483" t="str">
        <f>Deals_Raw!AF486</f>
        <v>Won</v>
      </c>
      <c r="S483">
        <f t="shared" si="60"/>
        <v>34737.42</v>
      </c>
      <c r="T483">
        <f>Deals_Raw!AM486</f>
        <v>34737.42</v>
      </c>
      <c r="U483">
        <f t="shared" si="61"/>
        <v>34737.42</v>
      </c>
      <c r="V483">
        <f>Deals_Raw!AN486</f>
        <v>34737.42</v>
      </c>
      <c r="W483">
        <f t="shared" si="62"/>
        <v>18328.832379709103</v>
      </c>
      <c r="X483">
        <f>Deals_Raw!AO486</f>
        <v>18328.832379709103</v>
      </c>
      <c r="Y483">
        <f t="shared" si="63"/>
        <v>0.52763942686903931</v>
      </c>
      <c r="Z483">
        <f>Deals_Raw!AP486</f>
        <v>0.52763942686903931</v>
      </c>
    </row>
    <row r="484" spans="1:26">
      <c r="A484" t="str">
        <f>Deals_Raw!A487</f>
        <v>D00549</v>
      </c>
      <c r="B484">
        <f>COUNTIF(Deals_Raw!$A$5:$A$643,A484)</f>
        <v>1</v>
      </c>
      <c r="C484" s="12" t="str">
        <f>Deals_Raw!E487</f>
        <v>CT00297</v>
      </c>
      <c r="E484">
        <f>Deals_Raw!AA487</f>
        <v>40162.402142507584</v>
      </c>
      <c r="F484">
        <f>ROUND(Deals_Raw!T487*(1-Deals_Raw!W487),2)</f>
        <v>40179.769999999997</v>
      </c>
      <c r="G484">
        <f t="shared" si="56"/>
        <v>17.36785749241244</v>
      </c>
      <c r="I484">
        <f>Deals_Raw!V487</f>
        <v>0.125</v>
      </c>
      <c r="J484">
        <f>Deals_Raw!W487</f>
        <v>0.105</v>
      </c>
      <c r="K484" t="str">
        <f>Deals_Raw!Z487</f>
        <v>Pricing Analyst</v>
      </c>
      <c r="L484" t="str">
        <f t="shared" si="57"/>
        <v>yes</v>
      </c>
      <c r="M484" t="str">
        <f t="shared" si="58"/>
        <v>Pass</v>
      </c>
      <c r="O484">
        <f>Deals_Raw!AP487</f>
        <v>0.54839273773298602</v>
      </c>
      <c r="P484" t="str">
        <f t="shared" si="59"/>
        <v>False</v>
      </c>
      <c r="R484" t="str">
        <f>Deals_Raw!AF487</f>
        <v>Lost</v>
      </c>
      <c r="S484">
        <f t="shared" si="60"/>
        <v>0</v>
      </c>
      <c r="T484">
        <f>Deals_Raw!AM487</f>
        <v>40179.769999999997</v>
      </c>
      <c r="U484">
        <f t="shared" si="61"/>
        <v>0</v>
      </c>
      <c r="V484">
        <f>Deals_Raw!AN487</f>
        <v>40179.769999999997</v>
      </c>
      <c r="W484">
        <f t="shared" si="62"/>
        <v>0</v>
      </c>
      <c r="X484">
        <f>Deals_Raw!AO487</f>
        <v>22034.294071781696</v>
      </c>
      <c r="Y484">
        <f t="shared" si="63"/>
        <v>0</v>
      </c>
      <c r="Z484">
        <f>Deals_Raw!AP487</f>
        <v>0.54839273773298602</v>
      </c>
    </row>
    <row r="485" spans="1:26">
      <c r="A485" t="str">
        <f>Deals_Raw!A488</f>
        <v>D00550</v>
      </c>
      <c r="B485">
        <f>COUNTIF(Deals_Raw!$A$5:$A$643,A485)</f>
        <v>1</v>
      </c>
      <c r="C485" s="12" t="str">
        <f>Deals_Raw!E488</f>
        <v>CT00298</v>
      </c>
      <c r="E485">
        <f>Deals_Raw!AA488</f>
        <v>463902.38966977858</v>
      </c>
      <c r="F485">
        <f>ROUND(Deals_Raw!T488*(1-Deals_Raw!W488),2)</f>
        <v>463817.2</v>
      </c>
      <c r="G485">
        <f t="shared" si="56"/>
        <v>-85.189669778570533</v>
      </c>
      <c r="I485">
        <f>Deals_Raw!V488</f>
        <v>7.2999999999999995E-2</v>
      </c>
      <c r="J485">
        <f>Deals_Raw!W488</f>
        <v>6.2E-2</v>
      </c>
      <c r="K485" t="str">
        <f>Deals_Raw!Z488</f>
        <v>Sales Manager</v>
      </c>
      <c r="L485" t="str">
        <f t="shared" si="57"/>
        <v>yes</v>
      </c>
      <c r="M485" t="str">
        <f t="shared" si="58"/>
        <v>Pass</v>
      </c>
      <c r="O485">
        <f>Deals_Raw!AP488</f>
        <v>0.65293403345751444</v>
      </c>
      <c r="P485" t="str">
        <f t="shared" si="59"/>
        <v>False</v>
      </c>
      <c r="R485" t="str">
        <f>Deals_Raw!AF488</f>
        <v>Lost</v>
      </c>
      <c r="S485">
        <f t="shared" si="60"/>
        <v>0</v>
      </c>
      <c r="T485">
        <f>Deals_Raw!AM488</f>
        <v>463817.2</v>
      </c>
      <c r="U485">
        <f t="shared" si="61"/>
        <v>0</v>
      </c>
      <c r="V485">
        <f>Deals_Raw!AN488</f>
        <v>927634.4</v>
      </c>
      <c r="W485">
        <f t="shared" si="62"/>
        <v>0</v>
      </c>
      <c r="X485">
        <f>Deals_Raw!AO488</f>
        <v>302842.03518297069</v>
      </c>
      <c r="Y485">
        <f t="shared" si="63"/>
        <v>0</v>
      </c>
      <c r="Z485">
        <f>Deals_Raw!AP488</f>
        <v>0.65293403345751444</v>
      </c>
    </row>
    <row r="486" spans="1:26">
      <c r="A486" t="str">
        <f>Deals_Raw!A489</f>
        <v>D00551</v>
      </c>
      <c r="B486">
        <f>COUNTIF(Deals_Raw!$A$5:$A$643,A486)</f>
        <v>1</v>
      </c>
      <c r="C486" s="12" t="str">
        <f>Deals_Raw!E489</f>
        <v>CT00299</v>
      </c>
      <c r="E486">
        <f>Deals_Raw!AA489</f>
        <v>141689.76128590311</v>
      </c>
      <c r="F486">
        <f>ROUND(Deals_Raw!T489*(1-Deals_Raw!W489),2)</f>
        <v>141768.01999999999</v>
      </c>
      <c r="G486">
        <f t="shared" si="56"/>
        <v>78.258714096882613</v>
      </c>
      <c r="I486">
        <f>Deals_Raw!V489</f>
        <v>0.11799999999999999</v>
      </c>
      <c r="J486">
        <f>Deals_Raw!W489</f>
        <v>0.10199999999999999</v>
      </c>
      <c r="K486" t="str">
        <f>Deals_Raw!Z489</f>
        <v>Pricing Analyst</v>
      </c>
      <c r="L486" t="str">
        <f t="shared" si="57"/>
        <v>yes</v>
      </c>
      <c r="M486" t="str">
        <f t="shared" si="58"/>
        <v>Pass</v>
      </c>
      <c r="O486">
        <f>Deals_Raw!AP489</f>
        <v>0.60956838327738239</v>
      </c>
      <c r="P486" t="str">
        <f t="shared" si="59"/>
        <v>False</v>
      </c>
      <c r="R486" t="str">
        <f>Deals_Raw!AF489</f>
        <v>Lost</v>
      </c>
      <c r="S486">
        <f t="shared" si="60"/>
        <v>0</v>
      </c>
      <c r="T486">
        <f>Deals_Raw!AM489</f>
        <v>141768.01999999999</v>
      </c>
      <c r="U486">
        <f t="shared" si="61"/>
        <v>0</v>
      </c>
      <c r="V486">
        <f>Deals_Raw!AN489</f>
        <v>141768.01999999999</v>
      </c>
      <c r="W486">
        <f t="shared" si="62"/>
        <v>0</v>
      </c>
      <c r="X486">
        <f>Deals_Raw!AO489</f>
        <v>86417.30275183561</v>
      </c>
      <c r="Y486">
        <f t="shared" si="63"/>
        <v>0</v>
      </c>
      <c r="Z486">
        <f>Deals_Raw!AP489</f>
        <v>0.60956838327738239</v>
      </c>
    </row>
    <row r="487" spans="1:26">
      <c r="A487" t="str">
        <f>Deals_Raw!A490</f>
        <v>D00552</v>
      </c>
      <c r="B487">
        <f>COUNTIF(Deals_Raw!$A$5:$A$643,A487)</f>
        <v>1</v>
      </c>
      <c r="C487" s="12" t="str">
        <f>Deals_Raw!E490</f>
        <v>CT00300</v>
      </c>
      <c r="E487">
        <f>Deals_Raw!AA490</f>
        <v>110778.62137181839</v>
      </c>
      <c r="F487">
        <f>ROUND(Deals_Raw!T490*(1-Deals_Raw!W490),2)</f>
        <v>110797.79</v>
      </c>
      <c r="G487">
        <f t="shared" si="56"/>
        <v>19.168628181607346</v>
      </c>
      <c r="I487">
        <f>Deals_Raw!V490</f>
        <v>0.11700000000000001</v>
      </c>
      <c r="J487">
        <f>Deals_Raw!W490</f>
        <v>0.113</v>
      </c>
      <c r="K487" t="str">
        <f>Deals_Raw!Z490</f>
        <v>Pricing Analyst</v>
      </c>
      <c r="L487" t="str">
        <f t="shared" si="57"/>
        <v>yes</v>
      </c>
      <c r="M487" t="str">
        <f t="shared" si="58"/>
        <v>Pass</v>
      </c>
      <c r="O487">
        <f>Deals_Raw!AP490</f>
        <v>0.60719681904898304</v>
      </c>
      <c r="P487" t="str">
        <f t="shared" si="59"/>
        <v>False</v>
      </c>
      <c r="R487" t="str">
        <f>Deals_Raw!AF490</f>
        <v>Won</v>
      </c>
      <c r="S487">
        <f t="shared" si="60"/>
        <v>110797.79</v>
      </c>
      <c r="T487">
        <f>Deals_Raw!AM490</f>
        <v>110797.79</v>
      </c>
      <c r="U487">
        <f t="shared" si="61"/>
        <v>221595.58</v>
      </c>
      <c r="V487">
        <f>Deals_Raw!AN490</f>
        <v>221595.58</v>
      </c>
      <c r="W487">
        <f t="shared" si="62"/>
        <v>67276.065645657218</v>
      </c>
      <c r="X487">
        <f>Deals_Raw!AO490</f>
        <v>67276.065645657218</v>
      </c>
      <c r="Y487">
        <f t="shared" si="63"/>
        <v>0.60719681904898304</v>
      </c>
      <c r="Z487">
        <f>Deals_Raw!AP490</f>
        <v>0.60719681904898304</v>
      </c>
    </row>
    <row r="488" spans="1:26">
      <c r="A488" t="str">
        <f>Deals_Raw!A491</f>
        <v>D00553</v>
      </c>
      <c r="B488">
        <f>COUNTIF(Deals_Raw!$A$5:$A$643,A488)</f>
        <v>1</v>
      </c>
      <c r="C488" s="12" t="str">
        <f>Deals_Raw!E491</f>
        <v>CT00301</v>
      </c>
      <c r="E488">
        <f>Deals_Raw!AA491</f>
        <v>49915.35548675045</v>
      </c>
      <c r="F488">
        <f>ROUND(Deals_Raw!T491*(1-Deals_Raw!W491),2)</f>
        <v>49930.71</v>
      </c>
      <c r="G488">
        <f t="shared" si="56"/>
        <v>15.3545132495492</v>
      </c>
      <c r="I488">
        <f>Deals_Raw!V491</f>
        <v>0.14699999999999999</v>
      </c>
      <c r="J488">
        <f>Deals_Raw!W491</f>
        <v>0.114</v>
      </c>
      <c r="K488" t="str">
        <f>Deals_Raw!Z491</f>
        <v>Pricing Analyst</v>
      </c>
      <c r="L488" t="str">
        <f t="shared" si="57"/>
        <v>yes</v>
      </c>
      <c r="M488" t="str">
        <f t="shared" si="58"/>
        <v>Pass</v>
      </c>
      <c r="O488">
        <f>Deals_Raw!AP491</f>
        <v>0.69280975495997388</v>
      </c>
      <c r="P488" t="str">
        <f t="shared" si="59"/>
        <v>False</v>
      </c>
      <c r="R488" t="str">
        <f>Deals_Raw!AF491</f>
        <v>Won</v>
      </c>
      <c r="S488">
        <f t="shared" si="60"/>
        <v>49930.71</v>
      </c>
      <c r="T488">
        <f>Deals_Raw!AM491</f>
        <v>49930.71</v>
      </c>
      <c r="U488">
        <f t="shared" si="61"/>
        <v>49930.71</v>
      </c>
      <c r="V488">
        <f>Deals_Raw!AN491</f>
        <v>49930.71</v>
      </c>
      <c r="W488">
        <f t="shared" si="62"/>
        <v>34592.482960077519</v>
      </c>
      <c r="X488">
        <f>Deals_Raw!AO491</f>
        <v>34592.482960077519</v>
      </c>
      <c r="Y488">
        <f t="shared" si="63"/>
        <v>0.69280975495997388</v>
      </c>
      <c r="Z488">
        <f>Deals_Raw!AP491</f>
        <v>0.69280975495997388</v>
      </c>
    </row>
    <row r="489" spans="1:26">
      <c r="A489" t="str">
        <f>Deals_Raw!A492</f>
        <v>D00554</v>
      </c>
      <c r="B489">
        <f>COUNTIF(Deals_Raw!$A$5:$A$643,A489)</f>
        <v>1</v>
      </c>
      <c r="C489" s="12" t="str">
        <f>Deals_Raw!E492</f>
        <v>CT00301</v>
      </c>
      <c r="E489">
        <f>Deals_Raw!AA492</f>
        <v>54466.136709420847</v>
      </c>
      <c r="F489">
        <f>ROUND(Deals_Raw!T492*(1-Deals_Raw!W492),2)</f>
        <v>54438.62</v>
      </c>
      <c r="G489">
        <f t="shared" si="56"/>
        <v>-27.516709420844563</v>
      </c>
      <c r="I489">
        <f>Deals_Raw!V492</f>
        <v>0.107</v>
      </c>
      <c r="J489">
        <f>Deals_Raw!W492</f>
        <v>7.6999999999999999E-2</v>
      </c>
      <c r="K489" t="str">
        <f>Deals_Raw!Z492</f>
        <v>Sales Manager</v>
      </c>
      <c r="L489" t="str">
        <f t="shared" si="57"/>
        <v>yes</v>
      </c>
      <c r="M489" t="str">
        <f t="shared" si="58"/>
        <v>Pass</v>
      </c>
      <c r="O489">
        <f>Deals_Raw!AP492</f>
        <v>0.68960375258970186</v>
      </c>
      <c r="P489" t="str">
        <f t="shared" si="59"/>
        <v>False</v>
      </c>
      <c r="R489" t="str">
        <f>Deals_Raw!AF492</f>
        <v>Lost</v>
      </c>
      <c r="S489">
        <f t="shared" si="60"/>
        <v>0</v>
      </c>
      <c r="T489">
        <f>Deals_Raw!AM492</f>
        <v>54438.62</v>
      </c>
      <c r="U489">
        <f t="shared" si="61"/>
        <v>0</v>
      </c>
      <c r="V489">
        <f>Deals_Raw!AN492</f>
        <v>54438.62</v>
      </c>
      <c r="W489">
        <f t="shared" si="62"/>
        <v>0</v>
      </c>
      <c r="X489">
        <f>Deals_Raw!AO492</f>
        <v>37541.076637804799</v>
      </c>
      <c r="Y489">
        <f t="shared" si="63"/>
        <v>0</v>
      </c>
      <c r="Z489">
        <f>Deals_Raw!AP492</f>
        <v>0.68960375258970186</v>
      </c>
    </row>
    <row r="490" spans="1:26">
      <c r="A490" t="str">
        <f>Deals_Raw!A493</f>
        <v>D00558</v>
      </c>
      <c r="B490">
        <f>COUNTIF(Deals_Raw!$A$5:$A$643,A490)</f>
        <v>1</v>
      </c>
      <c r="C490" s="12" t="str">
        <f>Deals_Raw!E493</f>
        <v>CT00302</v>
      </c>
      <c r="E490">
        <f>Deals_Raw!AA493</f>
        <v>449538.73000135919</v>
      </c>
      <c r="F490">
        <f>ROUND(Deals_Raw!T493*(1-Deals_Raw!W493),2)</f>
        <v>449297.74</v>
      </c>
      <c r="G490">
        <f t="shared" si="56"/>
        <v>-240.99000135919778</v>
      </c>
      <c r="I490">
        <f>Deals_Raw!V493</f>
        <v>0.14799999999999999</v>
      </c>
      <c r="J490">
        <f>Deals_Raw!W493</f>
        <v>0.123</v>
      </c>
      <c r="K490" t="str">
        <f>Deals_Raw!Z493</f>
        <v>Pricing Analyst</v>
      </c>
      <c r="L490" t="str">
        <f t="shared" si="57"/>
        <v>yes</v>
      </c>
      <c r="M490" t="str">
        <f t="shared" si="58"/>
        <v>Pass</v>
      </c>
      <c r="O490">
        <f>Deals_Raw!AP493</f>
        <v>0.64373283254663249</v>
      </c>
      <c r="P490" t="str">
        <f t="shared" si="59"/>
        <v>False</v>
      </c>
      <c r="R490" t="str">
        <f>Deals_Raw!AF493</f>
        <v>Won</v>
      </c>
      <c r="S490">
        <f t="shared" si="60"/>
        <v>449297.74</v>
      </c>
      <c r="T490">
        <f>Deals_Raw!AM493</f>
        <v>449297.74</v>
      </c>
      <c r="U490">
        <f t="shared" si="61"/>
        <v>449297.74</v>
      </c>
      <c r="V490">
        <f>Deals_Raw!AN493</f>
        <v>449297.74</v>
      </c>
      <c r="W490">
        <f t="shared" si="62"/>
        <v>289227.70682700042</v>
      </c>
      <c r="X490">
        <f>Deals_Raw!AO493</f>
        <v>289227.70682700042</v>
      </c>
      <c r="Y490">
        <f t="shared" si="63"/>
        <v>0.64373283254663249</v>
      </c>
      <c r="Z490">
        <f>Deals_Raw!AP493</f>
        <v>0.64373283254663249</v>
      </c>
    </row>
    <row r="491" spans="1:26">
      <c r="A491" t="str">
        <f>Deals_Raw!A494</f>
        <v>D00559</v>
      </c>
      <c r="B491">
        <f>COUNTIF(Deals_Raw!$A$5:$A$643,A491)</f>
        <v>1</v>
      </c>
      <c r="C491" s="12" t="str">
        <f>Deals_Raw!E494</f>
        <v>CT00302</v>
      </c>
      <c r="E491">
        <f>Deals_Raw!AA494</f>
        <v>535840.92899014091</v>
      </c>
      <c r="F491">
        <f>ROUND(Deals_Raw!T494*(1-Deals_Raw!W494),2)</f>
        <v>535925.86</v>
      </c>
      <c r="G491">
        <f t="shared" si="56"/>
        <v>84.931009859079495</v>
      </c>
      <c r="I491">
        <f>Deals_Raw!V494</f>
        <v>0.108</v>
      </c>
      <c r="J491">
        <f>Deals_Raw!W494</f>
        <v>7.0999999999999994E-2</v>
      </c>
      <c r="K491" t="str">
        <f>Deals_Raw!Z494</f>
        <v>Sales Manager</v>
      </c>
      <c r="L491" t="str">
        <f t="shared" si="57"/>
        <v>yes</v>
      </c>
      <c r="M491" t="str">
        <f t="shared" si="58"/>
        <v>Pass</v>
      </c>
      <c r="O491">
        <f>Deals_Raw!AP494</f>
        <v>0.60982126573630813</v>
      </c>
      <c r="P491" t="str">
        <f t="shared" si="59"/>
        <v>False</v>
      </c>
      <c r="R491" t="str">
        <f>Deals_Raw!AF494</f>
        <v>Lost</v>
      </c>
      <c r="S491">
        <f t="shared" si="60"/>
        <v>0</v>
      </c>
      <c r="T491">
        <f>Deals_Raw!AM494</f>
        <v>535925.86</v>
      </c>
      <c r="U491">
        <f t="shared" si="61"/>
        <v>0</v>
      </c>
      <c r="V491">
        <f>Deals_Raw!AN494</f>
        <v>535925.86</v>
      </c>
      <c r="W491">
        <f t="shared" si="62"/>
        <v>0</v>
      </c>
      <c r="X491">
        <f>Deals_Raw!AO494</f>
        <v>326818.98628601944</v>
      </c>
      <c r="Y491">
        <f t="shared" si="63"/>
        <v>0</v>
      </c>
      <c r="Z491">
        <f>Deals_Raw!AP494</f>
        <v>0.60982126573630813</v>
      </c>
    </row>
    <row r="492" spans="1:26">
      <c r="A492" t="str">
        <f>Deals_Raw!A495</f>
        <v>D00560</v>
      </c>
      <c r="B492">
        <f>COUNTIF(Deals_Raw!$A$5:$A$643,A492)</f>
        <v>1</v>
      </c>
      <c r="C492" s="12" t="str">
        <f>Deals_Raw!E495</f>
        <v>CT00302</v>
      </c>
      <c r="E492">
        <f>Deals_Raw!AA495</f>
        <v>504947.78469941649</v>
      </c>
      <c r="F492">
        <f>ROUND(Deals_Raw!T495*(1-Deals_Raw!W495),2)</f>
        <v>504900.16</v>
      </c>
      <c r="G492">
        <f t="shared" si="56"/>
        <v>-47.624699416512158</v>
      </c>
      <c r="I492">
        <f>Deals_Raw!V495</f>
        <v>8.1000000000000003E-2</v>
      </c>
      <c r="J492">
        <f>Deals_Raw!W495</f>
        <v>4.2999999999999997E-2</v>
      </c>
      <c r="K492" t="str">
        <f>Deals_Raw!Z495</f>
        <v>Sales Manager</v>
      </c>
      <c r="L492" t="str">
        <f t="shared" si="57"/>
        <v>yes</v>
      </c>
      <c r="M492" t="str">
        <f t="shared" si="58"/>
        <v>Pass</v>
      </c>
      <c r="O492">
        <f>Deals_Raw!AP495</f>
        <v>0.63379565949100414</v>
      </c>
      <c r="P492" t="str">
        <f t="shared" si="59"/>
        <v>False</v>
      </c>
      <c r="R492" t="str">
        <f>Deals_Raw!AF495</f>
        <v>Won</v>
      </c>
      <c r="S492">
        <f t="shared" si="60"/>
        <v>504900.16</v>
      </c>
      <c r="T492">
        <f>Deals_Raw!AM495</f>
        <v>504900.16</v>
      </c>
      <c r="U492">
        <f t="shared" si="61"/>
        <v>504900.16</v>
      </c>
      <c r="V492">
        <f>Deals_Raw!AN495</f>
        <v>504900.16</v>
      </c>
      <c r="W492">
        <f t="shared" si="62"/>
        <v>320003.52988431347</v>
      </c>
      <c r="X492">
        <f>Deals_Raw!AO495</f>
        <v>320003.52988431347</v>
      </c>
      <c r="Y492">
        <f t="shared" si="63"/>
        <v>0.63379565949100414</v>
      </c>
      <c r="Z492">
        <f>Deals_Raw!AP495</f>
        <v>0.63379565949100414</v>
      </c>
    </row>
    <row r="493" spans="1:26">
      <c r="A493" t="str">
        <f>Deals_Raw!A496</f>
        <v>D00561</v>
      </c>
      <c r="B493">
        <f>COUNTIF(Deals_Raw!$A$5:$A$643,A493)</f>
        <v>1</v>
      </c>
      <c r="C493" s="12" t="str">
        <f>Deals_Raw!E496</f>
        <v>CT00303</v>
      </c>
      <c r="E493">
        <f>Deals_Raw!AA496</f>
        <v>84921.487305673334</v>
      </c>
      <c r="F493">
        <f>ROUND(Deals_Raw!T496*(1-Deals_Raw!W496),2)</f>
        <v>84949.07</v>
      </c>
      <c r="G493">
        <f t="shared" si="56"/>
        <v>27.582694326672936</v>
      </c>
      <c r="I493">
        <f>Deals_Raw!V496</f>
        <v>0.19400000000000001</v>
      </c>
      <c r="J493">
        <f>Deals_Raw!W496</f>
        <v>0.17499999999999999</v>
      </c>
      <c r="K493" t="str">
        <f>Deals_Raw!Z496</f>
        <v>Pricing Analyst</v>
      </c>
      <c r="L493" t="str">
        <f t="shared" si="57"/>
        <v>yes</v>
      </c>
      <c r="M493" t="str">
        <f t="shared" si="58"/>
        <v>Pass</v>
      </c>
      <c r="O493">
        <f>Deals_Raw!AP496</f>
        <v>0.51558531352453218</v>
      </c>
      <c r="P493" t="str">
        <f t="shared" si="59"/>
        <v>False</v>
      </c>
      <c r="R493" t="str">
        <f>Deals_Raw!AF496</f>
        <v>Lost</v>
      </c>
      <c r="S493">
        <f t="shared" si="60"/>
        <v>0</v>
      </c>
      <c r="T493">
        <f>Deals_Raw!AM496</f>
        <v>84949.07</v>
      </c>
      <c r="U493">
        <f t="shared" si="61"/>
        <v>0</v>
      </c>
      <c r="V493">
        <f>Deals_Raw!AN496</f>
        <v>84949.07</v>
      </c>
      <c r="W493">
        <f t="shared" si="62"/>
        <v>0</v>
      </c>
      <c r="X493">
        <f>Deals_Raw!AO496</f>
        <v>43798.492889567438</v>
      </c>
      <c r="Y493">
        <f t="shared" si="63"/>
        <v>0</v>
      </c>
      <c r="Z493">
        <f>Deals_Raw!AP496</f>
        <v>0.51558531352453218</v>
      </c>
    </row>
    <row r="494" spans="1:26">
      <c r="A494" t="str">
        <f>Deals_Raw!A497</f>
        <v>D00562</v>
      </c>
      <c r="B494">
        <f>COUNTIF(Deals_Raw!$A$5:$A$643,A494)</f>
        <v>1</v>
      </c>
      <c r="C494" s="12" t="str">
        <f>Deals_Raw!E497</f>
        <v>CT00303</v>
      </c>
      <c r="E494">
        <f>Deals_Raw!AA497</f>
        <v>81487.264445597233</v>
      </c>
      <c r="F494">
        <f>ROUND(Deals_Raw!T497*(1-Deals_Raw!W497),2)</f>
        <v>81448.14</v>
      </c>
      <c r="G494">
        <f t="shared" si="56"/>
        <v>-39.124445597233716</v>
      </c>
      <c r="I494">
        <f>Deals_Raw!V497</f>
        <v>0.27300000000000002</v>
      </c>
      <c r="J494">
        <f>Deals_Raw!W497</f>
        <v>0.20899999999999999</v>
      </c>
      <c r="K494" t="str">
        <f>Deals_Raw!Z497</f>
        <v>Business Manager</v>
      </c>
      <c r="L494" t="str">
        <f t="shared" si="57"/>
        <v>yes</v>
      </c>
      <c r="M494" t="str">
        <f t="shared" si="58"/>
        <v>Pass</v>
      </c>
      <c r="O494">
        <f>Deals_Raw!AP497</f>
        <v>0.53374748080543433</v>
      </c>
      <c r="P494" t="str">
        <f t="shared" si="59"/>
        <v>False</v>
      </c>
      <c r="R494" t="str">
        <f>Deals_Raw!AF497</f>
        <v>Lost</v>
      </c>
      <c r="S494">
        <f t="shared" si="60"/>
        <v>0</v>
      </c>
      <c r="T494">
        <f>Deals_Raw!AM497</f>
        <v>81448.14</v>
      </c>
      <c r="U494">
        <f t="shared" si="61"/>
        <v>0</v>
      </c>
      <c r="V494">
        <f>Deals_Raw!AN497</f>
        <v>81448.14</v>
      </c>
      <c r="W494">
        <f t="shared" si="62"/>
        <v>0</v>
      </c>
      <c r="X494">
        <f>Deals_Raw!AO497</f>
        <v>43472.739541288327</v>
      </c>
      <c r="Y494">
        <f t="shared" si="63"/>
        <v>0</v>
      </c>
      <c r="Z494">
        <f>Deals_Raw!AP497</f>
        <v>0.53374748080543433</v>
      </c>
    </row>
    <row r="495" spans="1:26">
      <c r="A495" t="str">
        <f>Deals_Raw!A498</f>
        <v>D00563</v>
      </c>
      <c r="B495">
        <f>COUNTIF(Deals_Raw!$A$5:$A$643,A495)</f>
        <v>1</v>
      </c>
      <c r="C495" s="12" t="str">
        <f>Deals_Raw!E498</f>
        <v>CT00304</v>
      </c>
      <c r="E495">
        <f>Deals_Raw!AA498</f>
        <v>201656.00370263687</v>
      </c>
      <c r="F495">
        <f>ROUND(Deals_Raw!T498*(1-Deals_Raw!W498),2)</f>
        <v>201649.49</v>
      </c>
      <c r="G495">
        <f t="shared" si="56"/>
        <v>-6.5137026368756779</v>
      </c>
      <c r="I495">
        <f>Deals_Raw!V498</f>
        <v>8.5000000000000006E-2</v>
      </c>
      <c r="J495">
        <f>Deals_Raw!W498</f>
        <v>6.5000000000000002E-2</v>
      </c>
      <c r="K495" t="str">
        <f>Deals_Raw!Z498</f>
        <v>Sales Manager</v>
      </c>
      <c r="L495" t="str">
        <f t="shared" si="57"/>
        <v>yes</v>
      </c>
      <c r="M495" t="str">
        <f t="shared" si="58"/>
        <v>Pass</v>
      </c>
      <c r="O495">
        <f>Deals_Raw!AP498</f>
        <v>0.62952640850359332</v>
      </c>
      <c r="P495" t="str">
        <f t="shared" si="59"/>
        <v>False</v>
      </c>
      <c r="R495" t="str">
        <f>Deals_Raw!AF498</f>
        <v>Lost</v>
      </c>
      <c r="S495">
        <f t="shared" si="60"/>
        <v>0</v>
      </c>
      <c r="T495">
        <f>Deals_Raw!AM498</f>
        <v>201649.49</v>
      </c>
      <c r="U495">
        <f t="shared" si="61"/>
        <v>0</v>
      </c>
      <c r="V495">
        <f>Deals_Raw!AN498</f>
        <v>604948.47</v>
      </c>
      <c r="W495">
        <f t="shared" si="62"/>
        <v>0</v>
      </c>
      <c r="X495">
        <f>Deals_Raw!AO498</f>
        <v>126943.67921628125</v>
      </c>
      <c r="Y495">
        <f t="shared" si="63"/>
        <v>0</v>
      </c>
      <c r="Z495">
        <f>Deals_Raw!AP498</f>
        <v>0.62952640850359332</v>
      </c>
    </row>
    <row r="496" spans="1:26">
      <c r="A496" t="str">
        <f>Deals_Raw!A499</f>
        <v>D00564</v>
      </c>
      <c r="B496">
        <f>COUNTIF(Deals_Raw!$A$5:$A$643,A496)</f>
        <v>1</v>
      </c>
      <c r="C496" s="12" t="str">
        <f>Deals_Raw!E499</f>
        <v>CT00304</v>
      </c>
      <c r="E496">
        <f>Deals_Raw!AA499</f>
        <v>185557.69526989135</v>
      </c>
      <c r="F496">
        <f>ROUND(Deals_Raw!T499*(1-Deals_Raw!W499),2)</f>
        <v>185474.4</v>
      </c>
      <c r="G496">
        <f t="shared" si="56"/>
        <v>-83.295269891357748</v>
      </c>
      <c r="I496">
        <f>Deals_Raw!V499</f>
        <v>0.14499999999999999</v>
      </c>
      <c r="J496">
        <f>Deals_Raw!W499</f>
        <v>0.14000000000000001</v>
      </c>
      <c r="K496" t="str">
        <f>Deals_Raw!Z499</f>
        <v>Pricing Analyst</v>
      </c>
      <c r="L496" t="str">
        <f t="shared" si="57"/>
        <v>yes</v>
      </c>
      <c r="M496" t="str">
        <f t="shared" si="58"/>
        <v>Pass</v>
      </c>
      <c r="O496">
        <f>Deals_Raw!AP499</f>
        <v>0.57632499970375595</v>
      </c>
      <c r="P496" t="str">
        <f t="shared" si="59"/>
        <v>False</v>
      </c>
      <c r="R496" t="str">
        <f>Deals_Raw!AF499</f>
        <v>Lost</v>
      </c>
      <c r="S496">
        <f t="shared" si="60"/>
        <v>0</v>
      </c>
      <c r="T496">
        <f>Deals_Raw!AM499</f>
        <v>185474.4</v>
      </c>
      <c r="U496">
        <f t="shared" si="61"/>
        <v>0</v>
      </c>
      <c r="V496">
        <f>Deals_Raw!AN499</f>
        <v>556423.19999999995</v>
      </c>
      <c r="W496">
        <f t="shared" si="62"/>
        <v>0</v>
      </c>
      <c r="X496">
        <f>Deals_Raw!AO499</f>
        <v>106893.53352505431</v>
      </c>
      <c r="Y496">
        <f t="shared" si="63"/>
        <v>0</v>
      </c>
      <c r="Z496">
        <f>Deals_Raw!AP499</f>
        <v>0.57632499970375595</v>
      </c>
    </row>
    <row r="497" spans="1:26">
      <c r="A497" t="str">
        <f>Deals_Raw!A500</f>
        <v>D00565</v>
      </c>
      <c r="B497">
        <f>COUNTIF(Deals_Raw!$A$5:$A$643,A497)</f>
        <v>1</v>
      </c>
      <c r="C497" s="12" t="str">
        <f>Deals_Raw!E500</f>
        <v>CT00305</v>
      </c>
      <c r="E497">
        <f>Deals_Raw!AA500</f>
        <v>300330.19924677256</v>
      </c>
      <c r="F497">
        <f>ROUND(Deals_Raw!T500*(1-Deals_Raw!W500),2)</f>
        <v>300162.08</v>
      </c>
      <c r="G497">
        <f t="shared" si="56"/>
        <v>-168.11924677254865</v>
      </c>
      <c r="I497">
        <f>Deals_Raw!V500</f>
        <v>0.19600000000000001</v>
      </c>
      <c r="J497">
        <f>Deals_Raw!W500</f>
        <v>0.17199999999999999</v>
      </c>
      <c r="K497" t="str">
        <f>Deals_Raw!Z500</f>
        <v>Pricing Analyst</v>
      </c>
      <c r="L497" t="str">
        <f t="shared" si="57"/>
        <v>yes</v>
      </c>
      <c r="M497" t="str">
        <f t="shared" si="58"/>
        <v>Pass</v>
      </c>
      <c r="O497">
        <f>Deals_Raw!AP500</f>
        <v>0.586805494373145</v>
      </c>
      <c r="P497" t="str">
        <f t="shared" si="59"/>
        <v>False</v>
      </c>
      <c r="R497" t="str">
        <f>Deals_Raw!AF500</f>
        <v>Won</v>
      </c>
      <c r="S497">
        <f t="shared" si="60"/>
        <v>300162.08</v>
      </c>
      <c r="T497">
        <f>Deals_Raw!AM500</f>
        <v>300162.08</v>
      </c>
      <c r="U497">
        <f t="shared" si="61"/>
        <v>300162.08</v>
      </c>
      <c r="V497">
        <f>Deals_Raw!AN500</f>
        <v>300162.08</v>
      </c>
      <c r="W497">
        <f t="shared" si="62"/>
        <v>176136.7577464715</v>
      </c>
      <c r="X497">
        <f>Deals_Raw!AO500</f>
        <v>176136.7577464715</v>
      </c>
      <c r="Y497">
        <f t="shared" si="63"/>
        <v>0.586805494373145</v>
      </c>
      <c r="Z497">
        <f>Deals_Raw!AP500</f>
        <v>0.586805494373145</v>
      </c>
    </row>
    <row r="498" spans="1:26">
      <c r="A498" t="str">
        <f>Deals_Raw!A501</f>
        <v>D00566</v>
      </c>
      <c r="B498">
        <f>COUNTIF(Deals_Raw!$A$5:$A$643,A498)</f>
        <v>1</v>
      </c>
      <c r="C498" s="12" t="str">
        <f>Deals_Raw!E501</f>
        <v>CT00306</v>
      </c>
      <c r="E498">
        <f>Deals_Raw!AA501</f>
        <v>354528.47626190796</v>
      </c>
      <c r="F498">
        <f>ROUND(Deals_Raw!T501*(1-Deals_Raw!W501),2)</f>
        <v>354406.67</v>
      </c>
      <c r="G498">
        <f t="shared" si="56"/>
        <v>-121.80626190797193</v>
      </c>
      <c r="I498">
        <f>Deals_Raw!V501</f>
        <v>0.157</v>
      </c>
      <c r="J498">
        <f>Deals_Raw!W501</f>
        <v>0.13900000000000001</v>
      </c>
      <c r="K498" t="str">
        <f>Deals_Raw!Z501</f>
        <v>Pricing Analyst</v>
      </c>
      <c r="L498" t="str">
        <f t="shared" si="57"/>
        <v>yes</v>
      </c>
      <c r="M498" t="str">
        <f t="shared" si="58"/>
        <v>Pass</v>
      </c>
      <c r="O498">
        <f>Deals_Raw!AP501</f>
        <v>0.57373886355737835</v>
      </c>
      <c r="P498" t="str">
        <f t="shared" si="59"/>
        <v>False</v>
      </c>
      <c r="R498" t="str">
        <f>Deals_Raw!AF501</f>
        <v>Won</v>
      </c>
      <c r="S498">
        <f t="shared" si="60"/>
        <v>354406.67</v>
      </c>
      <c r="T498">
        <f>Deals_Raw!AM501</f>
        <v>354406.67</v>
      </c>
      <c r="U498">
        <f t="shared" si="61"/>
        <v>354406.67</v>
      </c>
      <c r="V498">
        <f>Deals_Raw!AN501</f>
        <v>354406.67</v>
      </c>
      <c r="W498">
        <f t="shared" si="62"/>
        <v>203336.8800829548</v>
      </c>
      <c r="X498">
        <f>Deals_Raw!AO501</f>
        <v>203336.8800829548</v>
      </c>
      <c r="Y498">
        <f t="shared" si="63"/>
        <v>0.57373886355737835</v>
      </c>
      <c r="Z498">
        <f>Deals_Raw!AP501</f>
        <v>0.57373886355737835</v>
      </c>
    </row>
    <row r="499" spans="1:26">
      <c r="A499" t="str">
        <f>Deals_Raw!A502</f>
        <v>D00567</v>
      </c>
      <c r="B499">
        <f>COUNTIF(Deals_Raw!$A$5:$A$643,A499)</f>
        <v>1</v>
      </c>
      <c r="C499" s="12" t="str">
        <f>Deals_Raw!E502</f>
        <v>CT00306</v>
      </c>
      <c r="E499">
        <f>Deals_Raw!AA502</f>
        <v>355850.94344502804</v>
      </c>
      <c r="F499">
        <f>ROUND(Deals_Raw!T502*(1-Deals_Raw!W502),2)</f>
        <v>355722.95</v>
      </c>
      <c r="G499">
        <f t="shared" si="56"/>
        <v>-127.99344502802705</v>
      </c>
      <c r="I499">
        <f>Deals_Raw!V502</f>
        <v>0.20100000000000001</v>
      </c>
      <c r="J499">
        <f>Deals_Raw!W502</f>
        <v>0.17199999999999999</v>
      </c>
      <c r="K499" t="str">
        <f>Deals_Raw!Z502</f>
        <v>Pricing Analyst</v>
      </c>
      <c r="L499" t="str">
        <f t="shared" si="57"/>
        <v>yes</v>
      </c>
      <c r="M499" t="str">
        <f t="shared" si="58"/>
        <v>Pass</v>
      </c>
      <c r="O499">
        <f>Deals_Raw!AP502</f>
        <v>0.58284789827499828</v>
      </c>
      <c r="P499" t="str">
        <f t="shared" si="59"/>
        <v>False</v>
      </c>
      <c r="R499" t="str">
        <f>Deals_Raw!AF502</f>
        <v>Won</v>
      </c>
      <c r="S499">
        <f t="shared" si="60"/>
        <v>355722.95</v>
      </c>
      <c r="T499">
        <f>Deals_Raw!AM502</f>
        <v>355722.95</v>
      </c>
      <c r="U499">
        <f t="shared" si="61"/>
        <v>355722.95</v>
      </c>
      <c r="V499">
        <f>Deals_Raw!AN502</f>
        <v>355722.95</v>
      </c>
      <c r="W499">
        <f t="shared" si="62"/>
        <v>207332.3737756823</v>
      </c>
      <c r="X499">
        <f>Deals_Raw!AO502</f>
        <v>207332.3737756823</v>
      </c>
      <c r="Y499">
        <f t="shared" si="63"/>
        <v>0.58284789827499828</v>
      </c>
      <c r="Z499">
        <f>Deals_Raw!AP502</f>
        <v>0.58284789827499828</v>
      </c>
    </row>
    <row r="500" spans="1:26">
      <c r="A500" t="str">
        <f>Deals_Raw!A503</f>
        <v>D00568</v>
      </c>
      <c r="B500">
        <f>COUNTIF(Deals_Raw!$A$5:$A$643,A500)</f>
        <v>1</v>
      </c>
      <c r="C500" s="12" t="str">
        <f>Deals_Raw!E503</f>
        <v>CT00307</v>
      </c>
      <c r="E500">
        <f>Deals_Raw!AA503</f>
        <v>74732.683307693762</v>
      </c>
      <c r="F500">
        <f>ROUND(Deals_Raw!T503*(1-Deals_Raw!W503),2)</f>
        <v>74728.31</v>
      </c>
      <c r="G500">
        <f t="shared" si="56"/>
        <v>-4.3733076937642181</v>
      </c>
      <c r="I500">
        <f>Deals_Raw!V503</f>
        <v>0.127</v>
      </c>
      <c r="J500">
        <f>Deals_Raw!W503</f>
        <v>0.08</v>
      </c>
      <c r="K500" t="str">
        <f>Deals_Raw!Z503</f>
        <v>Sales Manager</v>
      </c>
      <c r="L500" t="str">
        <f t="shared" si="57"/>
        <v>yes</v>
      </c>
      <c r="M500" t="str">
        <f t="shared" si="58"/>
        <v>Pass</v>
      </c>
      <c r="O500">
        <f>Deals_Raw!AP503</f>
        <v>0.63269836181701111</v>
      </c>
      <c r="P500" t="str">
        <f t="shared" si="59"/>
        <v>False</v>
      </c>
      <c r="R500" t="str">
        <f>Deals_Raw!AF503</f>
        <v>Lost</v>
      </c>
      <c r="S500">
        <f t="shared" si="60"/>
        <v>0</v>
      </c>
      <c r="T500">
        <f>Deals_Raw!AM503</f>
        <v>74728.31</v>
      </c>
      <c r="U500">
        <f t="shared" si="61"/>
        <v>0</v>
      </c>
      <c r="V500">
        <f>Deals_Raw!AN503</f>
        <v>74728.31</v>
      </c>
      <c r="W500">
        <f t="shared" si="62"/>
        <v>0</v>
      </c>
      <c r="X500">
        <f>Deals_Raw!AO503</f>
        <v>47280.479318353769</v>
      </c>
      <c r="Y500">
        <f t="shared" si="63"/>
        <v>0</v>
      </c>
      <c r="Z500">
        <f>Deals_Raw!AP503</f>
        <v>0.63269836181701111</v>
      </c>
    </row>
    <row r="501" spans="1:26">
      <c r="A501" t="str">
        <f>Deals_Raw!A504</f>
        <v>D00569</v>
      </c>
      <c r="B501">
        <f>COUNTIF(Deals_Raw!$A$5:$A$643,A501)</f>
        <v>1</v>
      </c>
      <c r="C501" s="12" t="str">
        <f>Deals_Raw!E504</f>
        <v>CT00308</v>
      </c>
      <c r="E501">
        <f>Deals_Raw!AA504</f>
        <v>248421.82206808255</v>
      </c>
      <c r="F501">
        <f>ROUND(Deals_Raw!T504*(1-Deals_Raw!W504),2)</f>
        <v>248422.5</v>
      </c>
      <c r="G501">
        <f t="shared" si="56"/>
        <v>0.67793191745295189</v>
      </c>
      <c r="I501">
        <f>Deals_Raw!V504</f>
        <v>0.16800000000000001</v>
      </c>
      <c r="J501">
        <f>Deals_Raw!W504</f>
        <v>0.14199999999999999</v>
      </c>
      <c r="K501" t="str">
        <f>Deals_Raw!Z504</f>
        <v>Pricing Analyst</v>
      </c>
      <c r="L501" t="str">
        <f t="shared" si="57"/>
        <v>yes</v>
      </c>
      <c r="M501" t="str">
        <f t="shared" si="58"/>
        <v>Pass</v>
      </c>
      <c r="O501">
        <f>Deals_Raw!AP504</f>
        <v>0.55613380786072264</v>
      </c>
      <c r="P501" t="str">
        <f t="shared" si="59"/>
        <v>False</v>
      </c>
      <c r="R501" t="str">
        <f>Deals_Raw!AF504</f>
        <v>Lost</v>
      </c>
      <c r="S501">
        <f t="shared" si="60"/>
        <v>0</v>
      </c>
      <c r="T501">
        <f>Deals_Raw!AM504</f>
        <v>248422.5</v>
      </c>
      <c r="U501">
        <f t="shared" si="61"/>
        <v>0</v>
      </c>
      <c r="V501">
        <f>Deals_Raw!AN504</f>
        <v>745267.5</v>
      </c>
      <c r="W501">
        <f t="shared" si="62"/>
        <v>0</v>
      </c>
      <c r="X501">
        <f>Deals_Raw!AO504</f>
        <v>138156.15088328038</v>
      </c>
      <c r="Y501">
        <f t="shared" si="63"/>
        <v>0</v>
      </c>
      <c r="Z501">
        <f>Deals_Raw!AP504</f>
        <v>0.55613380786072264</v>
      </c>
    </row>
    <row r="502" spans="1:26">
      <c r="A502" t="str">
        <f>Deals_Raw!A505</f>
        <v>D00570</v>
      </c>
      <c r="B502">
        <f>COUNTIF(Deals_Raw!$A$5:$A$643,A502)</f>
        <v>1</v>
      </c>
      <c r="C502" s="12" t="str">
        <f>Deals_Raw!E505</f>
        <v>CT00309</v>
      </c>
      <c r="E502">
        <f>Deals_Raw!AA505</f>
        <v>136541.06722685599</v>
      </c>
      <c r="F502">
        <f>ROUND(Deals_Raw!T505*(1-Deals_Raw!W505),2)</f>
        <v>136562.10999999999</v>
      </c>
      <c r="G502">
        <f t="shared" si="56"/>
        <v>21.042773143999511</v>
      </c>
      <c r="I502">
        <f>Deals_Raw!V505</f>
        <v>9.9000000000000005E-2</v>
      </c>
      <c r="J502">
        <f>Deals_Raw!W505</f>
        <v>7.0000000000000007E-2</v>
      </c>
      <c r="K502" t="str">
        <f>Deals_Raw!Z505</f>
        <v>Sales Manager</v>
      </c>
      <c r="L502" t="str">
        <f t="shared" si="57"/>
        <v>yes</v>
      </c>
      <c r="M502" t="str">
        <f t="shared" si="58"/>
        <v>Pass</v>
      </c>
      <c r="O502">
        <f>Deals_Raw!AP505</f>
        <v>0.67347594533499022</v>
      </c>
      <c r="P502" t="str">
        <f t="shared" si="59"/>
        <v>False</v>
      </c>
      <c r="R502" t="str">
        <f>Deals_Raw!AF505</f>
        <v>Lost</v>
      </c>
      <c r="S502">
        <f t="shared" si="60"/>
        <v>0</v>
      </c>
      <c r="T502">
        <f>Deals_Raw!AM505</f>
        <v>136562.10999999999</v>
      </c>
      <c r="U502">
        <f t="shared" si="61"/>
        <v>0</v>
      </c>
      <c r="V502">
        <f>Deals_Raw!AN505</f>
        <v>136562.10999999999</v>
      </c>
      <c r="W502">
        <f t="shared" si="62"/>
        <v>0</v>
      </c>
      <c r="X502">
        <f>Deals_Raw!AO505</f>
        <v>91971.296129190916</v>
      </c>
      <c r="Y502">
        <f t="shared" si="63"/>
        <v>0</v>
      </c>
      <c r="Z502">
        <f>Deals_Raw!AP505</f>
        <v>0.67347594533499022</v>
      </c>
    </row>
    <row r="503" spans="1:26">
      <c r="A503" t="str">
        <f>Deals_Raw!A506</f>
        <v>D00571</v>
      </c>
      <c r="B503">
        <f>COUNTIF(Deals_Raw!$A$5:$A$643,A503)</f>
        <v>1</v>
      </c>
      <c r="C503" s="12" t="str">
        <f>Deals_Raw!E506</f>
        <v>CT00309</v>
      </c>
      <c r="E503">
        <f>Deals_Raw!AA506</f>
        <v>106279.82487622595</v>
      </c>
      <c r="F503">
        <f>ROUND(Deals_Raw!T506*(1-Deals_Raw!W506),2)</f>
        <v>106266.82</v>
      </c>
      <c r="G503">
        <f t="shared" si="56"/>
        <v>-13.00487622593937</v>
      </c>
      <c r="I503">
        <f>Deals_Raw!V506</f>
        <v>0.17100000000000001</v>
      </c>
      <c r="J503">
        <f>Deals_Raw!W506</f>
        <v>0.11799999999999999</v>
      </c>
      <c r="K503" t="str">
        <f>Deals_Raw!Z506</f>
        <v>Pricing Analyst</v>
      </c>
      <c r="L503" t="str">
        <f t="shared" si="57"/>
        <v>yes</v>
      </c>
      <c r="M503" t="str">
        <f t="shared" si="58"/>
        <v>Pass</v>
      </c>
      <c r="O503">
        <f>Deals_Raw!AP506</f>
        <v>0.63604753840694339</v>
      </c>
      <c r="P503" t="str">
        <f t="shared" si="59"/>
        <v>False</v>
      </c>
      <c r="R503" t="str">
        <f>Deals_Raw!AF506</f>
        <v>Lost</v>
      </c>
      <c r="S503">
        <f t="shared" si="60"/>
        <v>0</v>
      </c>
      <c r="T503">
        <f>Deals_Raw!AM506</f>
        <v>106266.82</v>
      </c>
      <c r="U503">
        <f t="shared" si="61"/>
        <v>0</v>
      </c>
      <c r="V503">
        <f>Deals_Raw!AN506</f>
        <v>106266.82</v>
      </c>
      <c r="W503">
        <f t="shared" si="62"/>
        <v>0</v>
      </c>
      <c r="X503">
        <f>Deals_Raw!AO506</f>
        <v>67590.749275333743</v>
      </c>
      <c r="Y503">
        <f t="shared" si="63"/>
        <v>0</v>
      </c>
      <c r="Z503">
        <f>Deals_Raw!AP506</f>
        <v>0.63604753840694339</v>
      </c>
    </row>
    <row r="504" spans="1:26">
      <c r="A504" t="str">
        <f>Deals_Raw!A507</f>
        <v>D00572</v>
      </c>
      <c r="B504">
        <f>COUNTIF(Deals_Raw!$A$5:$A$643,A504)</f>
        <v>1</v>
      </c>
      <c r="C504" s="12" t="str">
        <f>Deals_Raw!E507</f>
        <v>CT00310</v>
      </c>
      <c r="E504">
        <f>Deals_Raw!AA507</f>
        <v>107088.62667111828</v>
      </c>
      <c r="F504">
        <f>ROUND(Deals_Raw!T507*(1-Deals_Raw!W507),2)</f>
        <v>107037.93</v>
      </c>
      <c r="G504">
        <f t="shared" si="56"/>
        <v>-50.696671118290396</v>
      </c>
      <c r="I504">
        <f>Deals_Raw!V507</f>
        <v>7.8E-2</v>
      </c>
      <c r="J504">
        <f>Deals_Raw!W507</f>
        <v>6.0999999999999999E-2</v>
      </c>
      <c r="K504" t="str">
        <f>Deals_Raw!Z507</f>
        <v>Sales Manager</v>
      </c>
      <c r="L504" t="str">
        <f t="shared" si="57"/>
        <v>yes</v>
      </c>
      <c r="M504" t="str">
        <f t="shared" si="58"/>
        <v>Pass</v>
      </c>
      <c r="O504">
        <f>Deals_Raw!AP507</f>
        <v>0.65446367405074701</v>
      </c>
      <c r="P504" t="str">
        <f t="shared" si="59"/>
        <v>False</v>
      </c>
      <c r="R504" t="str">
        <f>Deals_Raw!AF507</f>
        <v>Lost</v>
      </c>
      <c r="S504">
        <f t="shared" si="60"/>
        <v>0</v>
      </c>
      <c r="T504">
        <f>Deals_Raw!AM507</f>
        <v>107037.93</v>
      </c>
      <c r="U504">
        <f t="shared" si="61"/>
        <v>0</v>
      </c>
      <c r="V504">
        <f>Deals_Raw!AN507</f>
        <v>214075.86</v>
      </c>
      <c r="W504">
        <f t="shared" si="62"/>
        <v>0</v>
      </c>
      <c r="X504">
        <f>Deals_Raw!AO507</f>
        <v>70052.436930586671</v>
      </c>
      <c r="Y504">
        <f t="shared" si="63"/>
        <v>0</v>
      </c>
      <c r="Z504">
        <f>Deals_Raw!AP507</f>
        <v>0.65446367405074701</v>
      </c>
    </row>
    <row r="505" spans="1:26">
      <c r="A505" t="str">
        <f>Deals_Raw!A508</f>
        <v>D00573</v>
      </c>
      <c r="B505">
        <f>COUNTIF(Deals_Raw!$A$5:$A$643,A505)</f>
        <v>1</v>
      </c>
      <c r="C505" s="12" t="str">
        <f>Deals_Raw!E508</f>
        <v>CT00311</v>
      </c>
      <c r="E505">
        <f>Deals_Raw!AA508</f>
        <v>97209.097379089188</v>
      </c>
      <c r="F505">
        <f>ROUND(Deals_Raw!T508*(1-Deals_Raw!W508),2)</f>
        <v>97163.68</v>
      </c>
      <c r="G505">
        <f t="shared" si="56"/>
        <v>-45.417379089194583</v>
      </c>
      <c r="I505">
        <f>Deals_Raw!V508</f>
        <v>8.5000000000000006E-2</v>
      </c>
      <c r="J505">
        <f>Deals_Raw!W508</f>
        <v>2.5000000000000001E-2</v>
      </c>
      <c r="K505" t="str">
        <f>Deals_Raw!Z508</f>
        <v>Sales Manager</v>
      </c>
      <c r="L505" t="str">
        <f t="shared" si="57"/>
        <v>yes</v>
      </c>
      <c r="M505" t="str">
        <f t="shared" si="58"/>
        <v>Pass</v>
      </c>
      <c r="O505">
        <f>Deals_Raw!AP508</f>
        <v>0.6007589092300275</v>
      </c>
      <c r="P505" t="str">
        <f t="shared" si="59"/>
        <v>False</v>
      </c>
      <c r="R505" t="str">
        <f>Deals_Raw!AF508</f>
        <v>Lost</v>
      </c>
      <c r="S505">
        <f t="shared" si="60"/>
        <v>0</v>
      </c>
      <c r="T505">
        <f>Deals_Raw!AM508</f>
        <v>97163.68</v>
      </c>
      <c r="U505">
        <f t="shared" si="61"/>
        <v>0</v>
      </c>
      <c r="V505">
        <f>Deals_Raw!AN508</f>
        <v>291491.03999999998</v>
      </c>
      <c r="W505">
        <f t="shared" si="62"/>
        <v>0</v>
      </c>
      <c r="X505">
        <f>Deals_Raw!AO508</f>
        <v>58371.946413575432</v>
      </c>
      <c r="Y505">
        <f t="shared" si="63"/>
        <v>0</v>
      </c>
      <c r="Z505">
        <f>Deals_Raw!AP508</f>
        <v>0.6007589092300275</v>
      </c>
    </row>
    <row r="506" spans="1:26">
      <c r="A506" t="str">
        <f>Deals_Raw!A509</f>
        <v>D00574</v>
      </c>
      <c r="B506">
        <f>COUNTIF(Deals_Raw!$A$5:$A$643,A506)</f>
        <v>1</v>
      </c>
      <c r="C506" s="12" t="str">
        <f>Deals_Raw!E509</f>
        <v>CT00311</v>
      </c>
      <c r="E506">
        <f>Deals_Raw!AA509</f>
        <v>81820.846141840244</v>
      </c>
      <c r="F506">
        <f>ROUND(Deals_Raw!T509*(1-Deals_Raw!W509),2)</f>
        <v>81816.800000000003</v>
      </c>
      <c r="G506">
        <f t="shared" si="56"/>
        <v>-4.0461418402410345</v>
      </c>
      <c r="I506">
        <f>Deals_Raw!V509</f>
        <v>0.216</v>
      </c>
      <c r="J506">
        <f>Deals_Raw!W509</f>
        <v>0.17899999999999999</v>
      </c>
      <c r="K506" t="str">
        <f>Deals_Raw!Z509</f>
        <v>Pricing Analyst</v>
      </c>
      <c r="L506" t="str">
        <f t="shared" si="57"/>
        <v>yes</v>
      </c>
      <c r="M506" t="str">
        <f t="shared" si="58"/>
        <v>Pass</v>
      </c>
      <c r="O506">
        <f>Deals_Raw!AP509</f>
        <v>0.50066675482093692</v>
      </c>
      <c r="P506" t="str">
        <f t="shared" si="59"/>
        <v>False</v>
      </c>
      <c r="R506" t="str">
        <f>Deals_Raw!AF509</f>
        <v>Won</v>
      </c>
      <c r="S506">
        <f t="shared" si="60"/>
        <v>81816.800000000003</v>
      </c>
      <c r="T506">
        <f>Deals_Raw!AM509</f>
        <v>81816.800000000003</v>
      </c>
      <c r="U506">
        <f t="shared" si="61"/>
        <v>245450.40000000002</v>
      </c>
      <c r="V506">
        <f>Deals_Raw!AN509</f>
        <v>245450.40000000002</v>
      </c>
      <c r="W506">
        <f t="shared" si="62"/>
        <v>40962.951745833634</v>
      </c>
      <c r="X506">
        <f>Deals_Raw!AO509</f>
        <v>40962.951745833634</v>
      </c>
      <c r="Y506">
        <f t="shared" si="63"/>
        <v>0.50066675482093692</v>
      </c>
      <c r="Z506">
        <f>Deals_Raw!AP509</f>
        <v>0.50066675482093692</v>
      </c>
    </row>
    <row r="507" spans="1:26">
      <c r="A507" t="str">
        <f>Deals_Raw!A510</f>
        <v>D00575</v>
      </c>
      <c r="B507">
        <f>COUNTIF(Deals_Raw!$A$5:$A$643,A507)</f>
        <v>1</v>
      </c>
      <c r="C507" s="12" t="str">
        <f>Deals_Raw!E510</f>
        <v>CT00312</v>
      </c>
      <c r="E507">
        <f>Deals_Raw!AA510</f>
        <v>83759.051342302148</v>
      </c>
      <c r="F507">
        <f>ROUND(Deals_Raw!T510*(1-Deals_Raw!W510),2)</f>
        <v>83779.14</v>
      </c>
      <c r="G507">
        <f t="shared" si="56"/>
        <v>20.088657697851886</v>
      </c>
      <c r="I507">
        <f>Deals_Raw!V510</f>
        <v>0.23599999999999999</v>
      </c>
      <c r="J507">
        <f>Deals_Raw!W510</f>
        <v>0.23400000000000001</v>
      </c>
      <c r="K507" t="str">
        <f>Deals_Raw!Z510</f>
        <v>Business Manager</v>
      </c>
      <c r="L507" t="str">
        <f t="shared" si="57"/>
        <v>yes</v>
      </c>
      <c r="M507" t="str">
        <f t="shared" si="58"/>
        <v>Pass</v>
      </c>
      <c r="O507">
        <f>Deals_Raw!AP510</f>
        <v>0.46631759420354135</v>
      </c>
      <c r="P507" t="str">
        <f t="shared" si="59"/>
        <v>False</v>
      </c>
      <c r="R507" t="str">
        <f>Deals_Raw!AF510</f>
        <v>Lost</v>
      </c>
      <c r="S507">
        <f t="shared" si="60"/>
        <v>0</v>
      </c>
      <c r="T507">
        <f>Deals_Raw!AM510</f>
        <v>83779.14</v>
      </c>
      <c r="U507">
        <f t="shared" si="61"/>
        <v>0</v>
      </c>
      <c r="V507">
        <f>Deals_Raw!AN510</f>
        <v>167558.28</v>
      </c>
      <c r="W507">
        <f t="shared" si="62"/>
        <v>0</v>
      </c>
      <c r="X507">
        <f>Deals_Raw!AO510</f>
        <v>39067.687009241679</v>
      </c>
      <c r="Y507">
        <f t="shared" si="63"/>
        <v>0</v>
      </c>
      <c r="Z507">
        <f>Deals_Raw!AP510</f>
        <v>0.46631759420354135</v>
      </c>
    </row>
    <row r="508" spans="1:26">
      <c r="A508" t="str">
        <f>Deals_Raw!A511</f>
        <v>D00577</v>
      </c>
      <c r="B508">
        <f>COUNTIF(Deals_Raw!$A$5:$A$643,A508)</f>
        <v>1</v>
      </c>
      <c r="C508" s="12" t="str">
        <f>Deals_Raw!E511</f>
        <v>CT00313</v>
      </c>
      <c r="E508">
        <f>Deals_Raw!AA511</f>
        <v>67900.306493596203</v>
      </c>
      <c r="F508">
        <f>ROUND(Deals_Raw!T511*(1-Deals_Raw!W511),2)</f>
        <v>67915.19</v>
      </c>
      <c r="G508">
        <f t="shared" si="56"/>
        <v>14.883506403799402</v>
      </c>
      <c r="I508">
        <f>Deals_Raw!V511</f>
        <v>0.124</v>
      </c>
      <c r="J508">
        <f>Deals_Raw!W511</f>
        <v>0.115</v>
      </c>
      <c r="K508" t="str">
        <f>Deals_Raw!Z511</f>
        <v>Pricing Analyst</v>
      </c>
      <c r="L508" t="str">
        <f t="shared" si="57"/>
        <v>yes</v>
      </c>
      <c r="M508" t="str">
        <f t="shared" si="58"/>
        <v>Pass</v>
      </c>
      <c r="O508">
        <f>Deals_Raw!AP511</f>
        <v>0.62676024878701297</v>
      </c>
      <c r="P508" t="str">
        <f t="shared" si="59"/>
        <v>False</v>
      </c>
      <c r="R508" t="str">
        <f>Deals_Raw!AF511</f>
        <v>Won</v>
      </c>
      <c r="S508">
        <f t="shared" si="60"/>
        <v>67915.19</v>
      </c>
      <c r="T508">
        <f>Deals_Raw!AM511</f>
        <v>67915.19</v>
      </c>
      <c r="U508">
        <f t="shared" si="61"/>
        <v>67915.19</v>
      </c>
      <c r="V508">
        <f>Deals_Raw!AN511</f>
        <v>67915.19</v>
      </c>
      <c r="W508">
        <f t="shared" si="62"/>
        <v>42566.54138081726</v>
      </c>
      <c r="X508">
        <f>Deals_Raw!AO511</f>
        <v>42566.54138081726</v>
      </c>
      <c r="Y508">
        <f t="shared" si="63"/>
        <v>0.62676024878701297</v>
      </c>
      <c r="Z508">
        <f>Deals_Raw!AP511</f>
        <v>0.62676024878701297</v>
      </c>
    </row>
    <row r="509" spans="1:26">
      <c r="A509" t="str">
        <f>Deals_Raw!A512</f>
        <v>D00578</v>
      </c>
      <c r="B509">
        <f>COUNTIF(Deals_Raw!$A$5:$A$643,A509)</f>
        <v>1</v>
      </c>
      <c r="C509" s="12" t="str">
        <f>Deals_Raw!E512</f>
        <v>CT00313</v>
      </c>
      <c r="E509">
        <f>Deals_Raw!AA512</f>
        <v>74968.687674050336</v>
      </c>
      <c r="F509">
        <f>ROUND(Deals_Raw!T512*(1-Deals_Raw!W512),2)</f>
        <v>74956.820000000007</v>
      </c>
      <c r="G509">
        <f t="shared" si="56"/>
        <v>-11.867674050328787</v>
      </c>
      <c r="I509">
        <f>Deals_Raw!V512</f>
        <v>0.12</v>
      </c>
      <c r="J509">
        <f>Deals_Raw!W512</f>
        <v>8.8999999999999996E-2</v>
      </c>
      <c r="K509" t="str">
        <f>Deals_Raw!Z512</f>
        <v>Sales Manager</v>
      </c>
      <c r="L509" t="str">
        <f t="shared" si="57"/>
        <v>yes</v>
      </c>
      <c r="M509" t="str">
        <f t="shared" si="58"/>
        <v>Pass</v>
      </c>
      <c r="O509">
        <f>Deals_Raw!AP512</f>
        <v>0.62971162494245336</v>
      </c>
      <c r="P509" t="str">
        <f t="shared" si="59"/>
        <v>False</v>
      </c>
      <c r="R509" t="str">
        <f>Deals_Raw!AF512</f>
        <v>Won</v>
      </c>
      <c r="S509">
        <f t="shared" si="60"/>
        <v>74956.820000000007</v>
      </c>
      <c r="T509">
        <f>Deals_Raw!AM512</f>
        <v>74956.820000000007</v>
      </c>
      <c r="U509">
        <f t="shared" si="61"/>
        <v>74956.820000000007</v>
      </c>
      <c r="V509">
        <f>Deals_Raw!AN512</f>
        <v>74956.820000000007</v>
      </c>
      <c r="W509">
        <f t="shared" si="62"/>
        <v>47201.180922718995</v>
      </c>
      <c r="X509">
        <f>Deals_Raw!AO512</f>
        <v>47201.180922718995</v>
      </c>
      <c r="Y509">
        <f t="shared" si="63"/>
        <v>0.62971162494245336</v>
      </c>
      <c r="Z509">
        <f>Deals_Raw!AP512</f>
        <v>0.62971162494245336</v>
      </c>
    </row>
    <row r="510" spans="1:26">
      <c r="A510" t="str">
        <f>Deals_Raw!A513</f>
        <v>D00579</v>
      </c>
      <c r="B510">
        <f>COUNTIF(Deals_Raw!$A$5:$A$643,A510)</f>
        <v>1</v>
      </c>
      <c r="C510" s="12" t="str">
        <f>Deals_Raw!E513</f>
        <v>CT00313</v>
      </c>
      <c r="E510">
        <f>Deals_Raw!AA513</f>
        <v>74618.55213882844</v>
      </c>
      <c r="F510">
        <f>ROUND(Deals_Raw!T513*(1-Deals_Raw!W513),2)</f>
        <v>74604.94</v>
      </c>
      <c r="G510">
        <f t="shared" si="56"/>
        <v>-13.61213882843731</v>
      </c>
      <c r="I510">
        <f>Deals_Raw!V513</f>
        <v>0.161</v>
      </c>
      <c r="J510">
        <f>Deals_Raw!W513</f>
        <v>0.13900000000000001</v>
      </c>
      <c r="K510" t="str">
        <f>Deals_Raw!Z513</f>
        <v>Pricing Analyst</v>
      </c>
      <c r="L510" t="str">
        <f t="shared" si="57"/>
        <v>yes</v>
      </c>
      <c r="M510" t="str">
        <f t="shared" si="58"/>
        <v>Pass</v>
      </c>
      <c r="O510">
        <f>Deals_Raw!AP513</f>
        <v>0.5869597247497782</v>
      </c>
      <c r="P510" t="str">
        <f t="shared" si="59"/>
        <v>False</v>
      </c>
      <c r="R510" t="str">
        <f>Deals_Raw!AF513</f>
        <v>Won</v>
      </c>
      <c r="S510">
        <f t="shared" si="60"/>
        <v>74604.94</v>
      </c>
      <c r="T510">
        <f>Deals_Raw!AM513</f>
        <v>74604.94</v>
      </c>
      <c r="U510">
        <f t="shared" si="61"/>
        <v>74604.94</v>
      </c>
      <c r="V510">
        <f>Deals_Raw!AN513</f>
        <v>74604.94</v>
      </c>
      <c r="W510">
        <f t="shared" si="62"/>
        <v>43790.095047373718</v>
      </c>
      <c r="X510">
        <f>Deals_Raw!AO513</f>
        <v>43790.095047373718</v>
      </c>
      <c r="Y510">
        <f t="shared" si="63"/>
        <v>0.5869597247497782</v>
      </c>
      <c r="Z510">
        <f>Deals_Raw!AP513</f>
        <v>0.5869597247497782</v>
      </c>
    </row>
    <row r="511" spans="1:26">
      <c r="A511" t="str">
        <f>Deals_Raw!A514</f>
        <v>D00580</v>
      </c>
      <c r="B511">
        <f>COUNTIF(Deals_Raw!$A$5:$A$643,A511)</f>
        <v>1</v>
      </c>
      <c r="C511" s="12" t="str">
        <f>Deals_Raw!E514</f>
        <v>CT00314</v>
      </c>
      <c r="E511">
        <f>Deals_Raw!AA514</f>
        <v>184368.6129234909</v>
      </c>
      <c r="F511">
        <f>ROUND(Deals_Raw!T514*(1-Deals_Raw!W514),2)</f>
        <v>184327.5</v>
      </c>
      <c r="G511">
        <f t="shared" si="56"/>
        <v>-41.112923490902176</v>
      </c>
      <c r="I511">
        <f>Deals_Raw!V514</f>
        <v>7.3999999999999996E-2</v>
      </c>
      <c r="J511">
        <f>Deals_Raw!W514</f>
        <v>6.3E-2</v>
      </c>
      <c r="K511" t="str">
        <f>Deals_Raw!Z514</f>
        <v>Sales Manager</v>
      </c>
      <c r="L511" t="str">
        <f t="shared" si="57"/>
        <v>yes</v>
      </c>
      <c r="M511" t="str">
        <f t="shared" si="58"/>
        <v>Pass</v>
      </c>
      <c r="O511">
        <f>Deals_Raw!AP514</f>
        <v>0.62144418134828883</v>
      </c>
      <c r="P511" t="str">
        <f t="shared" si="59"/>
        <v>False</v>
      </c>
      <c r="R511" t="str">
        <f>Deals_Raw!AF514</f>
        <v>Won</v>
      </c>
      <c r="S511">
        <f t="shared" si="60"/>
        <v>184327.5</v>
      </c>
      <c r="T511">
        <f>Deals_Raw!AM514</f>
        <v>184327.5</v>
      </c>
      <c r="U511">
        <f t="shared" si="61"/>
        <v>184327.5</v>
      </c>
      <c r="V511">
        <f>Deals_Raw!AN514</f>
        <v>184327.5</v>
      </c>
      <c r="W511">
        <f t="shared" si="62"/>
        <v>114549.2523374767</v>
      </c>
      <c r="X511">
        <f>Deals_Raw!AO514</f>
        <v>114549.2523374767</v>
      </c>
      <c r="Y511">
        <f t="shared" si="63"/>
        <v>0.62144418134828883</v>
      </c>
      <c r="Z511">
        <f>Deals_Raw!AP514</f>
        <v>0.62144418134828883</v>
      </c>
    </row>
    <row r="512" spans="1:26">
      <c r="A512" t="str">
        <f>Deals_Raw!A515</f>
        <v>D00581</v>
      </c>
      <c r="B512">
        <f>COUNTIF(Deals_Raw!$A$5:$A$643,A512)</f>
        <v>1</v>
      </c>
      <c r="C512" s="12" t="str">
        <f>Deals_Raw!E515</f>
        <v>CT00314</v>
      </c>
      <c r="E512">
        <f>Deals_Raw!AA515</f>
        <v>182329.00841353167</v>
      </c>
      <c r="F512">
        <f>ROUND(Deals_Raw!T515*(1-Deals_Raw!W515),2)</f>
        <v>182426.96</v>
      </c>
      <c r="G512">
        <f t="shared" si="56"/>
        <v>97.951586468319874</v>
      </c>
      <c r="I512">
        <f>Deals_Raw!V515</f>
        <v>0.151</v>
      </c>
      <c r="J512">
        <f>Deals_Raw!W515</f>
        <v>0.127</v>
      </c>
      <c r="K512" t="str">
        <f>Deals_Raw!Z515</f>
        <v>Pricing Analyst</v>
      </c>
      <c r="L512" t="str">
        <f t="shared" si="57"/>
        <v>yes</v>
      </c>
      <c r="M512" t="str">
        <f t="shared" si="58"/>
        <v>Pass</v>
      </c>
      <c r="O512">
        <f>Deals_Raw!AP515</f>
        <v>0.60536518199377032</v>
      </c>
      <c r="P512" t="str">
        <f t="shared" si="59"/>
        <v>False</v>
      </c>
      <c r="R512" t="str">
        <f>Deals_Raw!AF515</f>
        <v>Won</v>
      </c>
      <c r="S512">
        <f t="shared" si="60"/>
        <v>182426.96</v>
      </c>
      <c r="T512">
        <f>Deals_Raw!AM515</f>
        <v>182426.96</v>
      </c>
      <c r="U512">
        <f t="shared" si="61"/>
        <v>182426.96</v>
      </c>
      <c r="V512">
        <f>Deals_Raw!AN515</f>
        <v>182426.96</v>
      </c>
      <c r="W512">
        <f t="shared" si="62"/>
        <v>110434.92984097026</v>
      </c>
      <c r="X512">
        <f>Deals_Raw!AO515</f>
        <v>110434.92984097026</v>
      </c>
      <c r="Y512">
        <f t="shared" si="63"/>
        <v>0.60536518199377032</v>
      </c>
      <c r="Z512">
        <f>Deals_Raw!AP515</f>
        <v>0.60536518199377032</v>
      </c>
    </row>
    <row r="513" spans="1:26">
      <c r="A513" t="str">
        <f>Deals_Raw!A516</f>
        <v>D00582</v>
      </c>
      <c r="B513">
        <f>COUNTIF(Deals_Raw!$A$5:$A$643,A513)</f>
        <v>1</v>
      </c>
      <c r="C513" s="12" t="str">
        <f>Deals_Raw!E516</f>
        <v>CT00314</v>
      </c>
      <c r="E513">
        <f>Deals_Raw!AA516</f>
        <v>237884.08900594473</v>
      </c>
      <c r="F513">
        <f>ROUND(Deals_Raw!T516*(1-Deals_Raw!W516),2)</f>
        <v>237946.36</v>
      </c>
      <c r="G513">
        <f t="shared" si="56"/>
        <v>62.270994055259507</v>
      </c>
      <c r="I513">
        <f>Deals_Raw!V516</f>
        <v>5.1999999999999998E-2</v>
      </c>
      <c r="J513">
        <f>Deals_Raw!W516</f>
        <v>2.5999999999999999E-2</v>
      </c>
      <c r="K513" t="str">
        <f>Deals_Raw!Z516</f>
        <v>Sales Manager</v>
      </c>
      <c r="L513" t="str">
        <f t="shared" si="57"/>
        <v>yes</v>
      </c>
      <c r="M513" t="str">
        <f t="shared" si="58"/>
        <v>Pass</v>
      </c>
      <c r="O513">
        <f>Deals_Raw!AP516</f>
        <v>0.63764969921115455</v>
      </c>
      <c r="P513" t="str">
        <f t="shared" si="59"/>
        <v>False</v>
      </c>
      <c r="R513" t="str">
        <f>Deals_Raw!AF516</f>
        <v>Won</v>
      </c>
      <c r="S513">
        <f t="shared" si="60"/>
        <v>237946.36</v>
      </c>
      <c r="T513">
        <f>Deals_Raw!AM516</f>
        <v>237946.36</v>
      </c>
      <c r="U513">
        <f t="shared" si="61"/>
        <v>237946.36</v>
      </c>
      <c r="V513">
        <f>Deals_Raw!AN516</f>
        <v>237946.36</v>
      </c>
      <c r="W513">
        <f t="shared" si="62"/>
        <v>151726.42488238908</v>
      </c>
      <c r="X513">
        <f>Deals_Raw!AO516</f>
        <v>151726.42488238908</v>
      </c>
      <c r="Y513">
        <f t="shared" si="63"/>
        <v>0.63764969921115455</v>
      </c>
      <c r="Z513">
        <f>Deals_Raw!AP516</f>
        <v>0.63764969921115455</v>
      </c>
    </row>
    <row r="514" spans="1:26">
      <c r="A514" t="str">
        <f>Deals_Raw!A517</f>
        <v>D00583</v>
      </c>
      <c r="B514">
        <f>COUNTIF(Deals_Raw!$A$5:$A$643,A514)</f>
        <v>1</v>
      </c>
      <c r="C514" s="12" t="str">
        <f>Deals_Raw!E517</f>
        <v>CT00314</v>
      </c>
      <c r="E514">
        <f>Deals_Raw!AA517</f>
        <v>228152.13242048692</v>
      </c>
      <c r="F514">
        <f>ROUND(Deals_Raw!T517*(1-Deals_Raw!W517),2)</f>
        <v>228093.77</v>
      </c>
      <c r="G514">
        <f t="shared" si="56"/>
        <v>-58.362420486926567</v>
      </c>
      <c r="I514">
        <f>Deals_Raw!V517</f>
        <v>0.124</v>
      </c>
      <c r="J514">
        <f>Deals_Raw!W517</f>
        <v>0.11899999999999999</v>
      </c>
      <c r="K514" t="str">
        <f>Deals_Raw!Z517</f>
        <v>Pricing Analyst</v>
      </c>
      <c r="L514" t="str">
        <f t="shared" si="57"/>
        <v>yes</v>
      </c>
      <c r="M514" t="str">
        <f t="shared" si="58"/>
        <v>Pass</v>
      </c>
      <c r="O514">
        <f>Deals_Raw!AP517</f>
        <v>0.59141600169878517</v>
      </c>
      <c r="P514" t="str">
        <f t="shared" si="59"/>
        <v>False</v>
      </c>
      <c r="R514" t="str">
        <f>Deals_Raw!AF517</f>
        <v>Won</v>
      </c>
      <c r="S514">
        <f t="shared" si="60"/>
        <v>228093.77</v>
      </c>
      <c r="T514">
        <f>Deals_Raw!AM517</f>
        <v>228093.77</v>
      </c>
      <c r="U514">
        <f t="shared" si="61"/>
        <v>228093.77</v>
      </c>
      <c r="V514">
        <f>Deals_Raw!AN517</f>
        <v>228093.77</v>
      </c>
      <c r="W514">
        <f t="shared" si="62"/>
        <v>134898.30546580232</v>
      </c>
      <c r="X514">
        <f>Deals_Raw!AO517</f>
        <v>134898.30546580232</v>
      </c>
      <c r="Y514">
        <f t="shared" si="63"/>
        <v>0.59141600169878517</v>
      </c>
      <c r="Z514">
        <f>Deals_Raw!AP517</f>
        <v>0.59141600169878517</v>
      </c>
    </row>
    <row r="515" spans="1:26">
      <c r="A515" t="str">
        <f>Deals_Raw!A518</f>
        <v>D00586</v>
      </c>
      <c r="B515">
        <f>COUNTIF(Deals_Raw!$A$5:$A$643,A515)</f>
        <v>1</v>
      </c>
      <c r="C515" s="12" t="str">
        <f>Deals_Raw!E518</f>
        <v>CT00315</v>
      </c>
      <c r="E515">
        <f>Deals_Raw!AA518</f>
        <v>51007.079944397199</v>
      </c>
      <c r="F515">
        <f>ROUND(Deals_Raw!T518*(1-Deals_Raw!W518),2)</f>
        <v>51004.29</v>
      </c>
      <c r="G515">
        <f t="shared" ref="G515:G578" si="64">F515-E515</f>
        <v>-2.7899443971982691</v>
      </c>
      <c r="I515">
        <f>Deals_Raw!V518</f>
        <v>0.12</v>
      </c>
      <c r="J515">
        <f>Deals_Raw!W518</f>
        <v>7.3999999999999996E-2</v>
      </c>
      <c r="K515" t="str">
        <f>Deals_Raw!Z518</f>
        <v>Sales Manager</v>
      </c>
      <c r="L515" t="str">
        <f t="shared" ref="L515:L578" si="65">IF(J515&lt;=I515, "yes", "no")</f>
        <v>yes</v>
      </c>
      <c r="M515" t="str">
        <f t="shared" ref="M515:M578" si="66">IF(AND(J515&lt;=0.1,K515="Sales Manager"),"Pass",
 IF(AND(J515&gt;0.1,J515&lt;=0.2,K515="Pricing Analyst"),"Pass",
 IF(AND(J515&gt;0.2,K515="Business Manager"),"Pass","Review")))</f>
        <v>Pass</v>
      </c>
      <c r="O515">
        <f>Deals_Raw!AP518</f>
        <v>0.68940306202353985</v>
      </c>
      <c r="P515" t="str">
        <f t="shared" ref="P515:P578" si="67">IF(O515&lt;=0.45, "True", "False")</f>
        <v>False</v>
      </c>
      <c r="R515" t="str">
        <f>Deals_Raw!AF518</f>
        <v>Lost</v>
      </c>
      <c r="S515">
        <f t="shared" ref="S515:S545" si="68">IF($R515="Lost",0,T515)</f>
        <v>0</v>
      </c>
      <c r="T515">
        <f>Deals_Raw!AM518</f>
        <v>51004.29</v>
      </c>
      <c r="U515">
        <f t="shared" ref="U515:U578" si="69">IF($R515="Lost",0,V515)</f>
        <v>0</v>
      </c>
      <c r="V515">
        <f>Deals_Raw!AN518</f>
        <v>51004.29</v>
      </c>
      <c r="W515">
        <f t="shared" ref="W515:W578" si="70">IF($R515="Lost",0,X515)</f>
        <v>0</v>
      </c>
      <c r="X515">
        <f>Deals_Raw!AO518</f>
        <v>35162.513702336611</v>
      </c>
      <c r="Y515">
        <f t="shared" ref="Y515:Y578" si="71">IF($R515="Lost",0,Z515)</f>
        <v>0</v>
      </c>
      <c r="Z515">
        <f>Deals_Raw!AP518</f>
        <v>0.68940306202353985</v>
      </c>
    </row>
    <row r="516" spans="1:26">
      <c r="A516" t="str">
        <f>Deals_Raw!A519</f>
        <v>D00587</v>
      </c>
      <c r="B516">
        <f>COUNTIF(Deals_Raw!$A$5:$A$643,A516)</f>
        <v>1</v>
      </c>
      <c r="C516" s="12" t="str">
        <f>Deals_Raw!E519</f>
        <v>CT00316</v>
      </c>
      <c r="E516">
        <f>Deals_Raw!AA519</f>
        <v>100256.3789798896</v>
      </c>
      <c r="F516">
        <f>ROUND(Deals_Raw!T519*(1-Deals_Raw!W519),2)</f>
        <v>100292.86</v>
      </c>
      <c r="G516">
        <f t="shared" si="64"/>
        <v>36.481020110397367</v>
      </c>
      <c r="I516">
        <f>Deals_Raw!V519</f>
        <v>0.17799999999999999</v>
      </c>
      <c r="J516">
        <f>Deals_Raw!W519</f>
        <v>0.17499999999999999</v>
      </c>
      <c r="K516" t="str">
        <f>Deals_Raw!Z519</f>
        <v>Pricing Analyst</v>
      </c>
      <c r="L516" t="str">
        <f t="shared" si="65"/>
        <v>yes</v>
      </c>
      <c r="M516" t="str">
        <f t="shared" si="66"/>
        <v>Pass</v>
      </c>
      <c r="O516">
        <f>Deals_Raw!AP519</f>
        <v>0.61991920152447866</v>
      </c>
      <c r="P516" t="str">
        <f t="shared" si="67"/>
        <v>False</v>
      </c>
      <c r="R516" t="str">
        <f>Deals_Raw!AF519</f>
        <v>Lost</v>
      </c>
      <c r="S516">
        <f t="shared" si="68"/>
        <v>0</v>
      </c>
      <c r="T516">
        <f>Deals_Raw!AM519</f>
        <v>100292.86</v>
      </c>
      <c r="U516">
        <f t="shared" si="69"/>
        <v>0</v>
      </c>
      <c r="V516">
        <f>Deals_Raw!AN519</f>
        <v>200585.72</v>
      </c>
      <c r="W516">
        <f t="shared" si="70"/>
        <v>0</v>
      </c>
      <c r="X516">
        <f>Deals_Raw!AO519</f>
        <v>62173.469689806327</v>
      </c>
      <c r="Y516">
        <f t="shared" si="71"/>
        <v>0</v>
      </c>
      <c r="Z516">
        <f>Deals_Raw!AP519</f>
        <v>0.61991920152447866</v>
      </c>
    </row>
    <row r="517" spans="1:26">
      <c r="A517" t="str">
        <f>Deals_Raw!A520</f>
        <v>D00588</v>
      </c>
      <c r="B517">
        <f>COUNTIF(Deals_Raw!$A$5:$A$643,A517)</f>
        <v>1</v>
      </c>
      <c r="C517" s="12" t="str">
        <f>Deals_Raw!E520</f>
        <v>CT00316</v>
      </c>
      <c r="E517">
        <f>Deals_Raw!AA520</f>
        <v>80303.393189955445</v>
      </c>
      <c r="F517">
        <f>ROUND(Deals_Raw!T520*(1-Deals_Raw!W520),2)</f>
        <v>80355.86</v>
      </c>
      <c r="G517">
        <f t="shared" si="64"/>
        <v>52.466810044556041</v>
      </c>
      <c r="I517">
        <f>Deals_Raw!V520</f>
        <v>0.35299999999999998</v>
      </c>
      <c r="J517">
        <f>Deals_Raw!W520</f>
        <v>0.33900000000000002</v>
      </c>
      <c r="K517" t="str">
        <f>Deals_Raw!Z520</f>
        <v>VP Pricing</v>
      </c>
      <c r="L517" t="str">
        <f t="shared" si="65"/>
        <v>yes</v>
      </c>
      <c r="M517" t="str">
        <f t="shared" si="66"/>
        <v>Review</v>
      </c>
      <c r="N517" t="s">
        <v>1706</v>
      </c>
      <c r="O517">
        <f>Deals_Raw!AP520</f>
        <v>0.52940988338772499</v>
      </c>
      <c r="P517" t="str">
        <f t="shared" si="67"/>
        <v>False</v>
      </c>
      <c r="R517" t="str">
        <f>Deals_Raw!AF520</f>
        <v>Won</v>
      </c>
      <c r="S517">
        <f t="shared" si="68"/>
        <v>80355.86</v>
      </c>
      <c r="T517">
        <f>Deals_Raw!AM520</f>
        <v>80355.86</v>
      </c>
      <c r="U517">
        <f t="shared" si="69"/>
        <v>160711.72</v>
      </c>
      <c r="V517">
        <f>Deals_Raw!AN520</f>
        <v>160711.72</v>
      </c>
      <c r="W517">
        <f t="shared" si="70"/>
        <v>42541.186472120353</v>
      </c>
      <c r="X517">
        <f>Deals_Raw!AO520</f>
        <v>42541.186472120353</v>
      </c>
      <c r="Y517">
        <f t="shared" si="71"/>
        <v>0.52940988338772499</v>
      </c>
      <c r="Z517">
        <f>Deals_Raw!AP520</f>
        <v>0.52940988338772499</v>
      </c>
    </row>
    <row r="518" spans="1:26">
      <c r="A518" t="str">
        <f>Deals_Raw!A521</f>
        <v>D00589</v>
      </c>
      <c r="B518">
        <f>COUNTIF(Deals_Raw!$A$5:$A$643,A518)</f>
        <v>1</v>
      </c>
      <c r="C518" s="12" t="str">
        <f>Deals_Raw!E521</f>
        <v>CT00317</v>
      </c>
      <c r="E518">
        <f>Deals_Raw!AA521</f>
        <v>90112.442385045404</v>
      </c>
      <c r="F518">
        <f>ROUND(Deals_Raw!T521*(1-Deals_Raw!W521),2)</f>
        <v>90110.65</v>
      </c>
      <c r="G518">
        <f t="shared" si="64"/>
        <v>-1.7923850454099011</v>
      </c>
      <c r="I518">
        <f>Deals_Raw!V521</f>
        <v>0.16500000000000001</v>
      </c>
      <c r="J518">
        <f>Deals_Raw!W521</f>
        <v>0.13700000000000001</v>
      </c>
      <c r="K518" t="str">
        <f>Deals_Raw!Z521</f>
        <v>Pricing Analyst</v>
      </c>
      <c r="L518" t="str">
        <f t="shared" si="65"/>
        <v>yes</v>
      </c>
      <c r="M518" t="str">
        <f t="shared" si="66"/>
        <v>Pass</v>
      </c>
      <c r="O518">
        <f>Deals_Raw!AP521</f>
        <v>0.62707592110381127</v>
      </c>
      <c r="P518" t="str">
        <f t="shared" si="67"/>
        <v>False</v>
      </c>
      <c r="R518" t="str">
        <f>Deals_Raw!AF521</f>
        <v>Lost</v>
      </c>
      <c r="S518">
        <f t="shared" si="68"/>
        <v>0</v>
      </c>
      <c r="T518">
        <f>Deals_Raw!AM521</f>
        <v>90110.65</v>
      </c>
      <c r="U518">
        <f t="shared" si="69"/>
        <v>0</v>
      </c>
      <c r="V518">
        <f>Deals_Raw!AN521</f>
        <v>270331.94999999995</v>
      </c>
      <c r="W518">
        <f t="shared" si="70"/>
        <v>0</v>
      </c>
      <c r="X518">
        <f>Deals_Raw!AO521</f>
        <v>56506.218850013145</v>
      </c>
      <c r="Y518">
        <f t="shared" si="71"/>
        <v>0</v>
      </c>
      <c r="Z518">
        <f>Deals_Raw!AP521</f>
        <v>0.62707592110381127</v>
      </c>
    </row>
    <row r="519" spans="1:26">
      <c r="A519" t="str">
        <f>Deals_Raw!A522</f>
        <v>D00590</v>
      </c>
      <c r="B519">
        <f>COUNTIF(Deals_Raw!$A$5:$A$643,A519)</f>
        <v>1</v>
      </c>
      <c r="C519" s="12" t="str">
        <f>Deals_Raw!E522</f>
        <v>CT00318</v>
      </c>
      <c r="E519">
        <f>Deals_Raw!AA522</f>
        <v>59403.350050186695</v>
      </c>
      <c r="F519">
        <f>ROUND(Deals_Raw!T522*(1-Deals_Raw!W522),2)</f>
        <v>59422.86</v>
      </c>
      <c r="G519">
        <f t="shared" si="64"/>
        <v>19.509949813305866</v>
      </c>
      <c r="I519">
        <f>Deals_Raw!V522</f>
        <v>7.3999999999999996E-2</v>
      </c>
      <c r="J519">
        <f>Deals_Raw!W522</f>
        <v>5.8999999999999997E-2</v>
      </c>
      <c r="K519" t="str">
        <f>Deals_Raw!Z522</f>
        <v>Sales Manager</v>
      </c>
      <c r="L519" t="str">
        <f t="shared" si="65"/>
        <v>yes</v>
      </c>
      <c r="M519" t="str">
        <f t="shared" si="66"/>
        <v>Pass</v>
      </c>
      <c r="O519">
        <f>Deals_Raw!AP522</f>
        <v>0.61358161401225253</v>
      </c>
      <c r="P519" t="str">
        <f t="shared" si="67"/>
        <v>False</v>
      </c>
      <c r="R519" t="str">
        <f>Deals_Raw!AF522</f>
        <v>Lost</v>
      </c>
      <c r="S519">
        <f t="shared" si="68"/>
        <v>0</v>
      </c>
      <c r="T519">
        <f>Deals_Raw!AM522</f>
        <v>59422.86</v>
      </c>
      <c r="U519">
        <f t="shared" si="69"/>
        <v>0</v>
      </c>
      <c r="V519">
        <f>Deals_Raw!AN522</f>
        <v>178268.58000000002</v>
      </c>
      <c r="W519">
        <f t="shared" si="70"/>
        <v>0</v>
      </c>
      <c r="X519">
        <f>Deals_Raw!AO522</f>
        <v>36460.774348024119</v>
      </c>
      <c r="Y519">
        <f t="shared" si="71"/>
        <v>0</v>
      </c>
      <c r="Z519">
        <f>Deals_Raw!AP522</f>
        <v>0.61358161401225253</v>
      </c>
    </row>
    <row r="520" spans="1:26">
      <c r="A520" t="str">
        <f>Deals_Raw!A523</f>
        <v>D00591</v>
      </c>
      <c r="B520">
        <f>COUNTIF(Deals_Raw!$A$5:$A$643,A520)</f>
        <v>1</v>
      </c>
      <c r="C520" s="12" t="str">
        <f>Deals_Raw!E523</f>
        <v>CT00319</v>
      </c>
      <c r="E520">
        <f>Deals_Raw!AA523</f>
        <v>39334.048439283732</v>
      </c>
      <c r="F520">
        <f>ROUND(Deals_Raw!T523*(1-Deals_Raw!W523),2)</f>
        <v>39317</v>
      </c>
      <c r="G520">
        <f t="shared" si="64"/>
        <v>-17.048439283731568</v>
      </c>
      <c r="I520">
        <f>Deals_Raw!V523</f>
        <v>9.5000000000000001E-2</v>
      </c>
      <c r="J520">
        <f>Deals_Raw!W523</f>
        <v>7.9000000000000001E-2</v>
      </c>
      <c r="K520" t="str">
        <f>Deals_Raw!Z523</f>
        <v>Sales Manager</v>
      </c>
      <c r="L520" t="str">
        <f t="shared" si="65"/>
        <v>yes</v>
      </c>
      <c r="M520" t="str">
        <f t="shared" si="66"/>
        <v>Pass</v>
      </c>
      <c r="O520">
        <f>Deals_Raw!AP523</f>
        <v>0.56035981329481088</v>
      </c>
      <c r="P520" t="str">
        <f t="shared" si="67"/>
        <v>False</v>
      </c>
      <c r="R520" t="str">
        <f>Deals_Raw!AF523</f>
        <v>Won</v>
      </c>
      <c r="S520">
        <f t="shared" si="68"/>
        <v>39317</v>
      </c>
      <c r="T520">
        <f>Deals_Raw!AM523</f>
        <v>39317</v>
      </c>
      <c r="U520">
        <f t="shared" si="69"/>
        <v>78634</v>
      </c>
      <c r="V520">
        <f>Deals_Raw!AN523</f>
        <v>78634</v>
      </c>
      <c r="W520">
        <f t="shared" si="70"/>
        <v>22031.66677931208</v>
      </c>
      <c r="X520">
        <f>Deals_Raw!AO523</f>
        <v>22031.66677931208</v>
      </c>
      <c r="Y520">
        <f t="shared" si="71"/>
        <v>0.56035981329481088</v>
      </c>
      <c r="Z520">
        <f>Deals_Raw!AP523</f>
        <v>0.56035981329481088</v>
      </c>
    </row>
    <row r="521" spans="1:26">
      <c r="A521" t="str">
        <f>Deals_Raw!A524</f>
        <v>D00592</v>
      </c>
      <c r="B521">
        <f>COUNTIF(Deals_Raw!$A$5:$A$643,A521)</f>
        <v>1</v>
      </c>
      <c r="C521" s="12" t="str">
        <f>Deals_Raw!E524</f>
        <v>CT00320</v>
      </c>
      <c r="E521">
        <f>Deals_Raw!AA524</f>
        <v>33928.792306484254</v>
      </c>
      <c r="F521">
        <f>ROUND(Deals_Raw!T524*(1-Deals_Raw!W524),2)</f>
        <v>33925.89</v>
      </c>
      <c r="G521">
        <f t="shared" si="64"/>
        <v>-2.9023064842549502</v>
      </c>
      <c r="I521">
        <f>Deals_Raw!V524</f>
        <v>0.16300000000000001</v>
      </c>
      <c r="J521">
        <f>Deals_Raw!W524</f>
        <v>0.13300000000000001</v>
      </c>
      <c r="K521" t="str">
        <f>Deals_Raw!Z524</f>
        <v>Pricing Analyst</v>
      </c>
      <c r="L521" t="str">
        <f t="shared" si="65"/>
        <v>yes</v>
      </c>
      <c r="M521" t="str">
        <f t="shared" si="66"/>
        <v>Pass</v>
      </c>
      <c r="O521">
        <f>Deals_Raw!AP524</f>
        <v>0.56449030433535641</v>
      </c>
      <c r="P521" t="str">
        <f t="shared" si="67"/>
        <v>False</v>
      </c>
      <c r="R521" t="str">
        <f>Deals_Raw!AF524</f>
        <v>Won</v>
      </c>
      <c r="S521">
        <f t="shared" si="68"/>
        <v>33925.89</v>
      </c>
      <c r="T521">
        <f>Deals_Raw!AM524</f>
        <v>33925.89</v>
      </c>
      <c r="U521">
        <f t="shared" si="69"/>
        <v>67851.78</v>
      </c>
      <c r="V521">
        <f>Deals_Raw!AN524</f>
        <v>67851.78</v>
      </c>
      <c r="W521">
        <f t="shared" si="70"/>
        <v>19150.835970947825</v>
      </c>
      <c r="X521">
        <f>Deals_Raw!AO524</f>
        <v>19150.835970947825</v>
      </c>
      <c r="Y521">
        <f t="shared" si="71"/>
        <v>0.56449030433535641</v>
      </c>
      <c r="Z521">
        <f>Deals_Raw!AP524</f>
        <v>0.56449030433535641</v>
      </c>
    </row>
    <row r="522" spans="1:26">
      <c r="A522" t="str">
        <f>Deals_Raw!A525</f>
        <v>D00593</v>
      </c>
      <c r="B522">
        <f>COUNTIF(Deals_Raw!$A$5:$A$643,A522)</f>
        <v>1</v>
      </c>
      <c r="C522" s="12" t="str">
        <f>Deals_Raw!E525</f>
        <v>CT00321</v>
      </c>
      <c r="E522">
        <f>Deals_Raw!AA525</f>
        <v>23577.563958824656</v>
      </c>
      <c r="F522">
        <f>ROUND(Deals_Raw!T525*(1-Deals_Raw!W525),2)</f>
        <v>23581.79</v>
      </c>
      <c r="G522">
        <f t="shared" si="64"/>
        <v>4.2260411753450171</v>
      </c>
      <c r="I522">
        <f>Deals_Raw!V525</f>
        <v>0.13700000000000001</v>
      </c>
      <c r="J522">
        <f>Deals_Raw!W525</f>
        <v>0.11899999999999999</v>
      </c>
      <c r="K522" t="str">
        <f>Deals_Raw!Z525</f>
        <v>Pricing Analyst</v>
      </c>
      <c r="L522" t="str">
        <f t="shared" si="65"/>
        <v>yes</v>
      </c>
      <c r="M522" t="str">
        <f t="shared" si="66"/>
        <v>Pass</v>
      </c>
      <c r="O522">
        <f>Deals_Raw!AP525</f>
        <v>0.69696606438191144</v>
      </c>
      <c r="P522" t="str">
        <f t="shared" si="67"/>
        <v>False</v>
      </c>
      <c r="R522" t="str">
        <f>Deals_Raw!AF525</f>
        <v>Won</v>
      </c>
      <c r="S522">
        <f t="shared" si="68"/>
        <v>23581.79</v>
      </c>
      <c r="T522">
        <f>Deals_Raw!AM525</f>
        <v>23581.79</v>
      </c>
      <c r="U522">
        <f t="shared" si="69"/>
        <v>23581.79</v>
      </c>
      <c r="V522">
        <f>Deals_Raw!AN525</f>
        <v>23581.79</v>
      </c>
      <c r="W522">
        <f t="shared" si="70"/>
        <v>16435.707367380717</v>
      </c>
      <c r="X522">
        <f>Deals_Raw!AO525</f>
        <v>16435.707367380717</v>
      </c>
      <c r="Y522">
        <f t="shared" si="71"/>
        <v>0.69696606438191144</v>
      </c>
      <c r="Z522">
        <f>Deals_Raw!AP525</f>
        <v>0.69696606438191144</v>
      </c>
    </row>
    <row r="523" spans="1:26">
      <c r="A523" t="str">
        <f>Deals_Raw!A526</f>
        <v>D00594</v>
      </c>
      <c r="B523">
        <f>COUNTIF(Deals_Raw!$A$5:$A$643,A523)</f>
        <v>1</v>
      </c>
      <c r="C523" s="12" t="str">
        <f>Deals_Raw!E526</f>
        <v>CT00321</v>
      </c>
      <c r="E523">
        <f>Deals_Raw!AA526</f>
        <v>30872.6692445382</v>
      </c>
      <c r="F523">
        <f>ROUND(Deals_Raw!T526*(1-Deals_Raw!W526),2)</f>
        <v>30871.18</v>
      </c>
      <c r="G523">
        <f t="shared" si="64"/>
        <v>-1.4892445381992729</v>
      </c>
      <c r="I523">
        <f>Deals_Raw!V526</f>
        <v>0.14499999999999999</v>
      </c>
      <c r="J523">
        <f>Deals_Raw!W526</f>
        <v>0.123</v>
      </c>
      <c r="K523" t="str">
        <f>Deals_Raw!Z526</f>
        <v>Pricing Analyst</v>
      </c>
      <c r="L523" t="str">
        <f t="shared" si="65"/>
        <v>yes</v>
      </c>
      <c r="M523" t="str">
        <f t="shared" si="66"/>
        <v>Pass</v>
      </c>
      <c r="O523">
        <f>Deals_Raw!AP526</f>
        <v>0.68627438484580483</v>
      </c>
      <c r="P523" t="str">
        <f t="shared" si="67"/>
        <v>False</v>
      </c>
      <c r="R523" t="str">
        <f>Deals_Raw!AF526</f>
        <v>Won</v>
      </c>
      <c r="S523">
        <f t="shared" si="68"/>
        <v>30871.18</v>
      </c>
      <c r="T523">
        <f>Deals_Raw!AM526</f>
        <v>30871.18</v>
      </c>
      <c r="U523">
        <f t="shared" si="69"/>
        <v>30871.18</v>
      </c>
      <c r="V523">
        <f>Deals_Raw!AN526</f>
        <v>30871.18</v>
      </c>
      <c r="W523">
        <f t="shared" si="70"/>
        <v>21186.100063964113</v>
      </c>
      <c r="X523">
        <f>Deals_Raw!AO526</f>
        <v>21186.100063964113</v>
      </c>
      <c r="Y523">
        <f t="shared" si="71"/>
        <v>0.68627438484580483</v>
      </c>
      <c r="Z523">
        <f>Deals_Raw!AP526</f>
        <v>0.68627438484580483</v>
      </c>
    </row>
    <row r="524" spans="1:26">
      <c r="A524" t="str">
        <f>Deals_Raw!A527</f>
        <v>D00595</v>
      </c>
      <c r="B524">
        <f>COUNTIF(Deals_Raw!$A$5:$A$643,A524)</f>
        <v>1</v>
      </c>
      <c r="C524" s="12" t="str">
        <f>Deals_Raw!E527</f>
        <v>CT00321</v>
      </c>
      <c r="E524">
        <f>Deals_Raw!AA527</f>
        <v>33341.843848022967</v>
      </c>
      <c r="F524">
        <f>ROUND(Deals_Raw!T527*(1-Deals_Raw!W527),2)</f>
        <v>33334.550000000003</v>
      </c>
      <c r="G524">
        <f t="shared" si="64"/>
        <v>-7.2938480229640845</v>
      </c>
      <c r="I524">
        <f>Deals_Raw!V527</f>
        <v>9.6000000000000002E-2</v>
      </c>
      <c r="J524">
        <f>Deals_Raw!W527</f>
        <v>9.2999999999999999E-2</v>
      </c>
      <c r="K524" t="str">
        <f>Deals_Raw!Z527</f>
        <v>Sales Manager</v>
      </c>
      <c r="L524" t="str">
        <f t="shared" si="65"/>
        <v>yes</v>
      </c>
      <c r="M524" t="str">
        <f t="shared" si="66"/>
        <v>Pass</v>
      </c>
      <c r="O524">
        <f>Deals_Raw!AP527</f>
        <v>0.73603488863480604</v>
      </c>
      <c r="P524" t="str">
        <f t="shared" si="67"/>
        <v>False</v>
      </c>
      <c r="R524" t="str">
        <f>Deals_Raw!AF527</f>
        <v>Won</v>
      </c>
      <c r="S524">
        <f t="shared" si="68"/>
        <v>33334.550000000003</v>
      </c>
      <c r="T524">
        <f>Deals_Raw!AM527</f>
        <v>33334.550000000003</v>
      </c>
      <c r="U524">
        <f t="shared" si="69"/>
        <v>33334.550000000003</v>
      </c>
      <c r="V524">
        <f>Deals_Raw!AN527</f>
        <v>33334.550000000003</v>
      </c>
      <c r="W524">
        <f t="shared" si="70"/>
        <v>24535.391796941374</v>
      </c>
      <c r="X524">
        <f>Deals_Raw!AO527</f>
        <v>24535.391796941374</v>
      </c>
      <c r="Y524">
        <f t="shared" si="71"/>
        <v>0.73603488863480604</v>
      </c>
      <c r="Z524">
        <f>Deals_Raw!AP527</f>
        <v>0.73603488863480604</v>
      </c>
    </row>
    <row r="525" spans="1:26">
      <c r="A525" t="str">
        <f>Deals_Raw!A528</f>
        <v>D00596</v>
      </c>
      <c r="B525">
        <f>COUNTIF(Deals_Raw!$A$5:$A$643,A525)</f>
        <v>1</v>
      </c>
      <c r="C525" s="12" t="str">
        <f>Deals_Raw!E528</f>
        <v>CT00322</v>
      </c>
      <c r="E525">
        <f>Deals_Raw!AA528</f>
        <v>155671.48841447916</v>
      </c>
      <c r="F525">
        <f>ROUND(Deals_Raw!T528*(1-Deals_Raw!W528),2)</f>
        <v>155699.54</v>
      </c>
      <c r="G525">
        <f t="shared" si="64"/>
        <v>28.051585520850495</v>
      </c>
      <c r="I525">
        <f>Deals_Raw!V528</f>
        <v>0.185</v>
      </c>
      <c r="J525">
        <f>Deals_Raw!W528</f>
        <v>0.16800000000000001</v>
      </c>
      <c r="K525" t="str">
        <f>Deals_Raw!Z528</f>
        <v>Pricing Analyst</v>
      </c>
      <c r="L525" t="str">
        <f t="shared" si="65"/>
        <v>yes</v>
      </c>
      <c r="M525" t="str">
        <f t="shared" si="66"/>
        <v>Pass</v>
      </c>
      <c r="O525">
        <f>Deals_Raw!AP528</f>
        <v>0.5929148835591882</v>
      </c>
      <c r="P525" t="str">
        <f t="shared" si="67"/>
        <v>False</v>
      </c>
      <c r="R525" t="str">
        <f>Deals_Raw!AF528</f>
        <v>Won</v>
      </c>
      <c r="S525">
        <f t="shared" si="68"/>
        <v>155699.54</v>
      </c>
      <c r="T525">
        <f>Deals_Raw!AM528</f>
        <v>155699.54</v>
      </c>
      <c r="U525">
        <f t="shared" si="69"/>
        <v>155699.54</v>
      </c>
      <c r="V525">
        <f>Deals_Raw!AN528</f>
        <v>155699.54</v>
      </c>
      <c r="W525">
        <f t="shared" si="70"/>
        <v>92316.574629319162</v>
      </c>
      <c r="X525">
        <f>Deals_Raw!AO528</f>
        <v>92316.574629319162</v>
      </c>
      <c r="Y525">
        <f t="shared" si="71"/>
        <v>0.5929148835591882</v>
      </c>
      <c r="Z525">
        <f>Deals_Raw!AP528</f>
        <v>0.5929148835591882</v>
      </c>
    </row>
    <row r="526" spans="1:26">
      <c r="A526" t="str">
        <f>Deals_Raw!A529</f>
        <v>D00597</v>
      </c>
      <c r="B526">
        <f>COUNTIF(Deals_Raw!$A$5:$A$643,A526)</f>
        <v>1</v>
      </c>
      <c r="C526" s="12" t="str">
        <f>Deals_Raw!E529</f>
        <v>CT00322</v>
      </c>
      <c r="E526">
        <f>Deals_Raw!AA529</f>
        <v>189551.78004727478</v>
      </c>
      <c r="F526">
        <f>ROUND(Deals_Raw!T529*(1-Deals_Raw!W529),2)</f>
        <v>189589.98</v>
      </c>
      <c r="G526">
        <f t="shared" si="64"/>
        <v>38.199952725233743</v>
      </c>
      <c r="I526">
        <f>Deals_Raw!V529</f>
        <v>8.8999999999999996E-2</v>
      </c>
      <c r="J526">
        <f>Deals_Raw!W529</f>
        <v>5.6000000000000001E-2</v>
      </c>
      <c r="K526" t="str">
        <f>Deals_Raw!Z529</f>
        <v>Sales Manager</v>
      </c>
      <c r="L526" t="str">
        <f t="shared" si="65"/>
        <v>yes</v>
      </c>
      <c r="M526" t="str">
        <f t="shared" si="66"/>
        <v>Pass</v>
      </c>
      <c r="O526">
        <f>Deals_Raw!AP529</f>
        <v>0.66319014751480132</v>
      </c>
      <c r="P526" t="str">
        <f t="shared" si="67"/>
        <v>False</v>
      </c>
      <c r="R526" t="str">
        <f>Deals_Raw!AF529</f>
        <v>Lost</v>
      </c>
      <c r="S526">
        <f t="shared" si="68"/>
        <v>0</v>
      </c>
      <c r="T526">
        <f>Deals_Raw!AM529</f>
        <v>189589.98</v>
      </c>
      <c r="U526">
        <f t="shared" si="69"/>
        <v>0</v>
      </c>
      <c r="V526">
        <f>Deals_Raw!AN529</f>
        <v>189589.98</v>
      </c>
      <c r="W526">
        <f t="shared" si="70"/>
        <v>0</v>
      </c>
      <c r="X526">
        <f>Deals_Raw!AO529</f>
        <v>125734.20680352824</v>
      </c>
      <c r="Y526">
        <f t="shared" si="71"/>
        <v>0</v>
      </c>
      <c r="Z526">
        <f>Deals_Raw!AP529</f>
        <v>0.66319014751480132</v>
      </c>
    </row>
    <row r="527" spans="1:26">
      <c r="A527" t="str">
        <f>Deals_Raw!A530</f>
        <v>D00598</v>
      </c>
      <c r="B527">
        <f>COUNTIF(Deals_Raw!$A$5:$A$643,A527)</f>
        <v>1</v>
      </c>
      <c r="C527" s="12" t="str">
        <f>Deals_Raw!E530</f>
        <v>CT00323</v>
      </c>
      <c r="E527">
        <f>Deals_Raw!AA530</f>
        <v>240900.43246529298</v>
      </c>
      <c r="F527">
        <f>ROUND(Deals_Raw!T530*(1-Deals_Raw!W530),2)</f>
        <v>240908.71</v>
      </c>
      <c r="G527">
        <f t="shared" si="64"/>
        <v>8.2775347070128191</v>
      </c>
      <c r="I527">
        <f>Deals_Raw!V530</f>
        <v>8.5999999999999993E-2</v>
      </c>
      <c r="J527">
        <f>Deals_Raw!W530</f>
        <v>3.5999999999999997E-2</v>
      </c>
      <c r="K527" t="str">
        <f>Deals_Raw!Z530</f>
        <v>Sales Manager</v>
      </c>
      <c r="L527" t="str">
        <f t="shared" si="65"/>
        <v>yes</v>
      </c>
      <c r="M527" t="str">
        <f t="shared" si="66"/>
        <v>Pass</v>
      </c>
      <c r="O527">
        <f>Deals_Raw!AP530</f>
        <v>0.58667992219184406</v>
      </c>
      <c r="P527" t="str">
        <f t="shared" si="67"/>
        <v>False</v>
      </c>
      <c r="R527" t="str">
        <f>Deals_Raw!AF530</f>
        <v>Won</v>
      </c>
      <c r="S527">
        <f t="shared" si="68"/>
        <v>240908.71</v>
      </c>
      <c r="T527">
        <f>Deals_Raw!AM530</f>
        <v>240908.71</v>
      </c>
      <c r="U527">
        <f t="shared" si="69"/>
        <v>722726.13</v>
      </c>
      <c r="V527">
        <f>Deals_Raw!AN530</f>
        <v>722726.13</v>
      </c>
      <c r="W527">
        <f t="shared" si="70"/>
        <v>141336.30323813751</v>
      </c>
      <c r="X527">
        <f>Deals_Raw!AO530</f>
        <v>141336.30323813751</v>
      </c>
      <c r="Y527">
        <f t="shared" si="71"/>
        <v>0.58667992219184406</v>
      </c>
      <c r="Z527">
        <f>Deals_Raw!AP530</f>
        <v>0.58667992219184406</v>
      </c>
    </row>
    <row r="528" spans="1:26">
      <c r="A528" t="str">
        <f>Deals_Raw!A531</f>
        <v>D00600</v>
      </c>
      <c r="B528">
        <f>COUNTIF(Deals_Raw!$A$5:$A$643,A528)</f>
        <v>1</v>
      </c>
      <c r="C528" s="12" t="str">
        <f>Deals_Raw!E531</f>
        <v>CT00324</v>
      </c>
      <c r="E528">
        <f>Deals_Raw!AA531</f>
        <v>108788.24858014718</v>
      </c>
      <c r="F528">
        <f>ROUND(Deals_Raw!T531*(1-Deals_Raw!W531),2)</f>
        <v>108766.53</v>
      </c>
      <c r="G528">
        <f t="shared" si="64"/>
        <v>-21.718580147178727</v>
      </c>
      <c r="I528">
        <f>Deals_Raw!V531</f>
        <v>0.34200000000000003</v>
      </c>
      <c r="J528">
        <f>Deals_Raw!W531</f>
        <v>0.34100000000000003</v>
      </c>
      <c r="K528" t="str">
        <f>Deals_Raw!Z531</f>
        <v>VP Pricing</v>
      </c>
      <c r="L528" t="str">
        <f t="shared" si="65"/>
        <v>yes</v>
      </c>
      <c r="M528" t="str">
        <f t="shared" si="66"/>
        <v>Review</v>
      </c>
      <c r="N528" t="s">
        <v>1705</v>
      </c>
      <c r="O528">
        <f>Deals_Raw!AP531</f>
        <v>0.4277830301774454</v>
      </c>
      <c r="P528" t="str">
        <f t="shared" si="67"/>
        <v>True</v>
      </c>
      <c r="R528" t="str">
        <f>Deals_Raw!AF531</f>
        <v>Won</v>
      </c>
      <c r="S528">
        <f t="shared" si="68"/>
        <v>108766.53</v>
      </c>
      <c r="T528">
        <f>Deals_Raw!AM531</f>
        <v>108766.53</v>
      </c>
      <c r="U528">
        <f t="shared" si="69"/>
        <v>108766.53</v>
      </c>
      <c r="V528">
        <f>Deals_Raw!AN531</f>
        <v>108766.53</v>
      </c>
      <c r="W528">
        <f t="shared" si="70"/>
        <v>46528.47578528602</v>
      </c>
      <c r="X528">
        <f>Deals_Raw!AO531</f>
        <v>46528.47578528602</v>
      </c>
      <c r="Y528">
        <f t="shared" si="71"/>
        <v>0.4277830301774454</v>
      </c>
      <c r="Z528">
        <f>Deals_Raw!AP531</f>
        <v>0.4277830301774454</v>
      </c>
    </row>
    <row r="529" spans="1:26">
      <c r="A529" t="str">
        <f>Deals_Raw!A532</f>
        <v>D00601</v>
      </c>
      <c r="B529">
        <f>COUNTIF(Deals_Raw!$A$5:$A$643,A529)</f>
        <v>1</v>
      </c>
      <c r="C529" s="12" t="str">
        <f>Deals_Raw!E532</f>
        <v>CT00324</v>
      </c>
      <c r="E529">
        <f>Deals_Raw!AA532</f>
        <v>157214.7518512134</v>
      </c>
      <c r="F529">
        <f>ROUND(Deals_Raw!T532*(1-Deals_Raw!W532),2)</f>
        <v>157229.75</v>
      </c>
      <c r="G529">
        <f t="shared" si="64"/>
        <v>14.998148786602542</v>
      </c>
      <c r="I529">
        <f>Deals_Raw!V532</f>
        <v>0.127</v>
      </c>
      <c r="J529">
        <f>Deals_Raw!W532</f>
        <v>9.9000000000000005E-2</v>
      </c>
      <c r="K529" t="str">
        <f>Deals_Raw!Z532</f>
        <v>Sales Manager</v>
      </c>
      <c r="L529" t="str">
        <f t="shared" si="65"/>
        <v>yes</v>
      </c>
      <c r="M529" t="str">
        <f t="shared" si="66"/>
        <v>Pass</v>
      </c>
      <c r="O529">
        <f>Deals_Raw!AP532</f>
        <v>0.60763786496364813</v>
      </c>
      <c r="P529" t="str">
        <f t="shared" si="67"/>
        <v>False</v>
      </c>
      <c r="R529" t="str">
        <f>Deals_Raw!AF532</f>
        <v>Lost</v>
      </c>
      <c r="S529">
        <f t="shared" si="68"/>
        <v>0</v>
      </c>
      <c r="T529">
        <f>Deals_Raw!AM532</f>
        <v>157229.75</v>
      </c>
      <c r="U529">
        <f t="shared" si="69"/>
        <v>0</v>
      </c>
      <c r="V529">
        <f>Deals_Raw!AN532</f>
        <v>157229.75</v>
      </c>
      <c r="W529">
        <f t="shared" si="70"/>
        <v>0</v>
      </c>
      <c r="X529">
        <f>Deals_Raw!AO532</f>
        <v>95538.749598768161</v>
      </c>
      <c r="Y529">
        <f t="shared" si="71"/>
        <v>0</v>
      </c>
      <c r="Z529">
        <f>Deals_Raw!AP532</f>
        <v>0.60763786496364813</v>
      </c>
    </row>
    <row r="530" spans="1:26">
      <c r="A530" t="str">
        <f>Deals_Raw!A533</f>
        <v>D00602</v>
      </c>
      <c r="B530">
        <f>COUNTIF(Deals_Raw!$A$5:$A$643,A530)</f>
        <v>1</v>
      </c>
      <c r="C530" s="12" t="str">
        <f>Deals_Raw!E533</f>
        <v>CT00325</v>
      </c>
      <c r="E530">
        <f>Deals_Raw!AA533</f>
        <v>149653.9005331267</v>
      </c>
      <c r="F530">
        <f>ROUND(Deals_Raw!T533*(1-Deals_Raw!W533),2)</f>
        <v>149656.26999999999</v>
      </c>
      <c r="G530">
        <f t="shared" si="64"/>
        <v>2.3694668732932769</v>
      </c>
      <c r="I530">
        <f>Deals_Raw!V533</f>
        <v>9.8000000000000004E-2</v>
      </c>
      <c r="J530">
        <f>Deals_Raw!W533</f>
        <v>6.9000000000000006E-2</v>
      </c>
      <c r="K530" t="str">
        <f>Deals_Raw!Z533</f>
        <v>Sales Manager</v>
      </c>
      <c r="L530" t="str">
        <f t="shared" si="65"/>
        <v>yes</v>
      </c>
      <c r="M530" t="str">
        <f t="shared" si="66"/>
        <v>Pass</v>
      </c>
      <c r="O530">
        <f>Deals_Raw!AP533</f>
        <v>0.64514480874670077</v>
      </c>
      <c r="P530" t="str">
        <f t="shared" si="67"/>
        <v>False</v>
      </c>
      <c r="R530" t="str">
        <f>Deals_Raw!AF533</f>
        <v>Won</v>
      </c>
      <c r="S530">
        <f t="shared" si="68"/>
        <v>149656.26999999999</v>
      </c>
      <c r="T530">
        <f>Deals_Raw!AM533</f>
        <v>149656.26999999999</v>
      </c>
      <c r="U530">
        <f t="shared" si="69"/>
        <v>448968.80999999994</v>
      </c>
      <c r="V530">
        <f>Deals_Raw!AN533</f>
        <v>448968.80999999994</v>
      </c>
      <c r="W530">
        <f t="shared" si="70"/>
        <v>96549.965686894604</v>
      </c>
      <c r="X530">
        <f>Deals_Raw!AO533</f>
        <v>96549.965686894604</v>
      </c>
      <c r="Y530">
        <f t="shared" si="71"/>
        <v>0.64514480874670077</v>
      </c>
      <c r="Z530">
        <f>Deals_Raw!AP533</f>
        <v>0.64514480874670077</v>
      </c>
    </row>
    <row r="531" spans="1:26">
      <c r="A531" t="str">
        <f>Deals_Raw!A534</f>
        <v>D00603</v>
      </c>
      <c r="B531">
        <f>COUNTIF(Deals_Raw!$A$5:$A$643,A531)</f>
        <v>1</v>
      </c>
      <c r="C531" s="12" t="str">
        <f>Deals_Raw!E534</f>
        <v>CT00326</v>
      </c>
      <c r="E531">
        <f>Deals_Raw!AA534</f>
        <v>120887.01975150227</v>
      </c>
      <c r="F531">
        <f>ROUND(Deals_Raw!T534*(1-Deals_Raw!W534),2)</f>
        <v>120831.86</v>
      </c>
      <c r="G531">
        <f t="shared" si="64"/>
        <v>-55.159751502273139</v>
      </c>
      <c r="I531">
        <f>Deals_Raw!V534</f>
        <v>8.5000000000000006E-2</v>
      </c>
      <c r="J531">
        <f>Deals_Raw!W534</f>
        <v>4.2000000000000003E-2</v>
      </c>
      <c r="K531" t="str">
        <f>Deals_Raw!Z534</f>
        <v>Sales Manager</v>
      </c>
      <c r="L531" t="str">
        <f t="shared" si="65"/>
        <v>yes</v>
      </c>
      <c r="M531" t="str">
        <f t="shared" si="66"/>
        <v>Pass</v>
      </c>
      <c r="O531">
        <f>Deals_Raw!AP534</f>
        <v>0.64650375984496289</v>
      </c>
      <c r="P531" t="str">
        <f t="shared" si="67"/>
        <v>False</v>
      </c>
      <c r="R531" t="str">
        <f>Deals_Raw!AF534</f>
        <v>Lost</v>
      </c>
      <c r="S531">
        <f t="shared" si="68"/>
        <v>0</v>
      </c>
      <c r="T531">
        <f>Deals_Raw!AM534</f>
        <v>120831.86</v>
      </c>
      <c r="U531">
        <f t="shared" si="69"/>
        <v>0</v>
      </c>
      <c r="V531">
        <f>Deals_Raw!AN534</f>
        <v>120831.86</v>
      </c>
      <c r="W531">
        <f t="shared" si="70"/>
        <v>0</v>
      </c>
      <c r="X531">
        <f>Deals_Raw!AO534</f>
        <v>78118.251799060177</v>
      </c>
      <c r="Y531">
        <f t="shared" si="71"/>
        <v>0</v>
      </c>
      <c r="Z531">
        <f>Deals_Raw!AP534</f>
        <v>0.64650375984496289</v>
      </c>
    </row>
    <row r="532" spans="1:26">
      <c r="A532" t="str">
        <f>Deals_Raw!A535</f>
        <v>D00604</v>
      </c>
      <c r="B532">
        <f>COUNTIF(Deals_Raw!$A$5:$A$643,A532)</f>
        <v>1</v>
      </c>
      <c r="C532" s="12" t="str">
        <f>Deals_Raw!E535</f>
        <v>CT00327</v>
      </c>
      <c r="E532">
        <f>Deals_Raw!AA535</f>
        <v>550586.05754136969</v>
      </c>
      <c r="F532">
        <f>ROUND(Deals_Raw!T535*(1-Deals_Raw!W535),2)</f>
        <v>550432.81000000006</v>
      </c>
      <c r="G532">
        <f t="shared" si="64"/>
        <v>-153.24754136963747</v>
      </c>
      <c r="I532">
        <f>Deals_Raw!V535</f>
        <v>0.11</v>
      </c>
      <c r="J532">
        <f>Deals_Raw!W535</f>
        <v>0.1</v>
      </c>
      <c r="K532" t="str">
        <f>Deals_Raw!Z535</f>
        <v>Sales Manager</v>
      </c>
      <c r="L532" t="str">
        <f t="shared" si="65"/>
        <v>yes</v>
      </c>
      <c r="M532" t="str">
        <f t="shared" si="66"/>
        <v>Pass</v>
      </c>
      <c r="O532">
        <f>Deals_Raw!AP535</f>
        <v>0.52893353943040045</v>
      </c>
      <c r="P532" t="str">
        <f t="shared" si="67"/>
        <v>False</v>
      </c>
      <c r="R532" t="str">
        <f>Deals_Raw!AF535</f>
        <v>Lost</v>
      </c>
      <c r="S532">
        <f t="shared" si="68"/>
        <v>0</v>
      </c>
      <c r="T532">
        <f>Deals_Raw!AM535</f>
        <v>550432.81000000006</v>
      </c>
      <c r="U532">
        <f t="shared" si="69"/>
        <v>0</v>
      </c>
      <c r="V532">
        <f>Deals_Raw!AN535</f>
        <v>1100865.6200000001</v>
      </c>
      <c r="W532">
        <f t="shared" si="70"/>
        <v>0</v>
      </c>
      <c r="X532">
        <f>Deals_Raw!AO535</f>
        <v>291142.37441192113</v>
      </c>
      <c r="Y532">
        <f t="shared" si="71"/>
        <v>0</v>
      </c>
      <c r="Z532">
        <f>Deals_Raw!AP535</f>
        <v>0.52893353943040045</v>
      </c>
    </row>
    <row r="533" spans="1:26">
      <c r="A533" t="str">
        <f>Deals_Raw!A536</f>
        <v>D00605</v>
      </c>
      <c r="B533">
        <f>COUNTIF(Deals_Raw!$A$5:$A$643,A533)</f>
        <v>1</v>
      </c>
      <c r="C533" s="12" t="str">
        <f>Deals_Raw!E536</f>
        <v>CT00328</v>
      </c>
      <c r="E533">
        <f>Deals_Raw!AA536</f>
        <v>192843.19088275003</v>
      </c>
      <c r="F533">
        <f>ROUND(Deals_Raw!T536*(1-Deals_Raw!W536),2)</f>
        <v>192774.36</v>
      </c>
      <c r="G533">
        <f t="shared" si="64"/>
        <v>-68.830882750044111</v>
      </c>
      <c r="I533">
        <f>Deals_Raw!V536</f>
        <v>0.13800000000000001</v>
      </c>
      <c r="J533">
        <f>Deals_Raw!W536</f>
        <v>0.10100000000000001</v>
      </c>
      <c r="K533" t="str">
        <f>Deals_Raw!Z536</f>
        <v>Pricing Analyst</v>
      </c>
      <c r="L533" t="str">
        <f t="shared" si="65"/>
        <v>yes</v>
      </c>
      <c r="M533" t="str">
        <f t="shared" si="66"/>
        <v>Pass</v>
      </c>
      <c r="O533">
        <f>Deals_Raw!AP536</f>
        <v>0.53932264095520155</v>
      </c>
      <c r="P533" t="str">
        <f t="shared" si="67"/>
        <v>False</v>
      </c>
      <c r="R533" t="str">
        <f>Deals_Raw!AF536</f>
        <v>Lost</v>
      </c>
      <c r="S533">
        <f t="shared" si="68"/>
        <v>0</v>
      </c>
      <c r="T533">
        <f>Deals_Raw!AM536</f>
        <v>192774.36</v>
      </c>
      <c r="U533">
        <f t="shared" si="69"/>
        <v>0</v>
      </c>
      <c r="V533">
        <f>Deals_Raw!AN536</f>
        <v>192774.36</v>
      </c>
      <c r="W533">
        <f t="shared" si="70"/>
        <v>0</v>
      </c>
      <c r="X533">
        <f>Deals_Raw!AO536</f>
        <v>103967.57694364876</v>
      </c>
      <c r="Y533">
        <f t="shared" si="71"/>
        <v>0</v>
      </c>
      <c r="Z533">
        <f>Deals_Raw!AP536</f>
        <v>0.53932264095520155</v>
      </c>
    </row>
    <row r="534" spans="1:26">
      <c r="A534" t="str">
        <f>Deals_Raw!A537</f>
        <v>D00606</v>
      </c>
      <c r="B534">
        <f>COUNTIF(Deals_Raw!$A$5:$A$643,A534)</f>
        <v>1</v>
      </c>
      <c r="C534" s="12" t="str">
        <f>Deals_Raw!E537</f>
        <v>CT00328</v>
      </c>
      <c r="E534">
        <f>Deals_Raw!AA537</f>
        <v>160142.65230677204</v>
      </c>
      <c r="F534">
        <f>ROUND(Deals_Raw!T537*(1-Deals_Raw!W537),2)</f>
        <v>160180.69</v>
      </c>
      <c r="G534">
        <f t="shared" si="64"/>
        <v>38.037693227961427</v>
      </c>
      <c r="I534">
        <f>Deals_Raw!V537</f>
        <v>0.25800000000000001</v>
      </c>
      <c r="J534">
        <f>Deals_Raw!W537</f>
        <v>0.253</v>
      </c>
      <c r="K534" t="str">
        <f>Deals_Raw!Z537</f>
        <v>Business Manager</v>
      </c>
      <c r="L534" t="str">
        <f t="shared" si="65"/>
        <v>yes</v>
      </c>
      <c r="M534" t="str">
        <f t="shared" si="66"/>
        <v>Pass</v>
      </c>
      <c r="O534">
        <f>Deals_Raw!AP537</f>
        <v>0.56692957209470096</v>
      </c>
      <c r="P534" t="str">
        <f t="shared" si="67"/>
        <v>False</v>
      </c>
      <c r="R534" t="str">
        <f>Deals_Raw!AF537</f>
        <v>Won</v>
      </c>
      <c r="S534">
        <f t="shared" si="68"/>
        <v>160180.69</v>
      </c>
      <c r="T534">
        <f>Deals_Raw!AM537</f>
        <v>160180.69</v>
      </c>
      <c r="U534">
        <f t="shared" si="69"/>
        <v>160180.69</v>
      </c>
      <c r="V534">
        <f>Deals_Raw!AN537</f>
        <v>160180.69</v>
      </c>
      <c r="W534">
        <f t="shared" si="70"/>
        <v>90811.170039533943</v>
      </c>
      <c r="X534">
        <f>Deals_Raw!AO537</f>
        <v>90811.170039533943</v>
      </c>
      <c r="Y534">
        <f t="shared" si="71"/>
        <v>0.56692957209470096</v>
      </c>
      <c r="Z534">
        <f>Deals_Raw!AP537</f>
        <v>0.56692957209470096</v>
      </c>
    </row>
    <row r="535" spans="1:26">
      <c r="A535" t="str">
        <f>Deals_Raw!A538</f>
        <v>D00607</v>
      </c>
      <c r="B535">
        <f>COUNTIF(Deals_Raw!$A$5:$A$643,A535)</f>
        <v>1</v>
      </c>
      <c r="C535" s="12" t="str">
        <f>Deals_Raw!E538</f>
        <v>CT00328</v>
      </c>
      <c r="E535">
        <f>Deals_Raw!AA538</f>
        <v>239848.5402798334</v>
      </c>
      <c r="F535">
        <f>ROUND(Deals_Raw!T538*(1-Deals_Raw!W538),2)</f>
        <v>239810.94</v>
      </c>
      <c r="G535">
        <f t="shared" si="64"/>
        <v>-37.60027983339387</v>
      </c>
      <c r="I535">
        <f>Deals_Raw!V538</f>
        <v>5.6000000000000001E-2</v>
      </c>
      <c r="J535">
        <f>Deals_Raw!W538</f>
        <v>1.7999999999999999E-2</v>
      </c>
      <c r="K535" t="str">
        <f>Deals_Raw!Z538</f>
        <v>Sales Manager</v>
      </c>
      <c r="L535" t="str">
        <f t="shared" si="65"/>
        <v>yes</v>
      </c>
      <c r="M535" t="str">
        <f t="shared" si="66"/>
        <v>Pass</v>
      </c>
      <c r="O535">
        <f>Deals_Raw!AP538</f>
        <v>0.64789976754880829</v>
      </c>
      <c r="P535" t="str">
        <f t="shared" si="67"/>
        <v>False</v>
      </c>
      <c r="R535" t="str">
        <f>Deals_Raw!AF538</f>
        <v>Won</v>
      </c>
      <c r="S535">
        <f t="shared" si="68"/>
        <v>239810.94</v>
      </c>
      <c r="T535">
        <f>Deals_Raw!AM538</f>
        <v>239810.94</v>
      </c>
      <c r="U535">
        <f t="shared" si="69"/>
        <v>239810.94</v>
      </c>
      <c r="V535">
        <f>Deals_Raw!AN538</f>
        <v>239810.94</v>
      </c>
      <c r="W535">
        <f t="shared" si="70"/>
        <v>155373.45228166122</v>
      </c>
      <c r="X535">
        <f>Deals_Raw!AO538</f>
        <v>155373.45228166122</v>
      </c>
      <c r="Y535">
        <f t="shared" si="71"/>
        <v>0.64789976754880829</v>
      </c>
      <c r="Z535">
        <f>Deals_Raw!AP538</f>
        <v>0.64789976754880829</v>
      </c>
    </row>
    <row r="536" spans="1:26">
      <c r="A536" t="str">
        <f>Deals_Raw!A539</f>
        <v>D00608</v>
      </c>
      <c r="B536">
        <f>COUNTIF(Deals_Raw!$A$5:$A$643,A536)</f>
        <v>1</v>
      </c>
      <c r="C536" s="12" t="str">
        <f>Deals_Raw!E539</f>
        <v>CT00328</v>
      </c>
      <c r="E536">
        <f>Deals_Raw!AA539</f>
        <v>236257.51132670938</v>
      </c>
      <c r="F536">
        <f>ROUND(Deals_Raw!T539*(1-Deals_Raw!W539),2)</f>
        <v>236281.35</v>
      </c>
      <c r="G536">
        <f t="shared" si="64"/>
        <v>23.838673290621955</v>
      </c>
      <c r="I536">
        <f>Deals_Raw!V539</f>
        <v>0.13100000000000001</v>
      </c>
      <c r="J536">
        <f>Deals_Raw!W539</f>
        <v>8.6999999999999994E-2</v>
      </c>
      <c r="K536" t="str">
        <f>Deals_Raw!Z539</f>
        <v>Sales Manager</v>
      </c>
      <c r="L536" t="str">
        <f t="shared" si="65"/>
        <v>yes</v>
      </c>
      <c r="M536" t="str">
        <f t="shared" si="66"/>
        <v>Pass</v>
      </c>
      <c r="O536">
        <f>Deals_Raw!AP539</f>
        <v>0.63602905458712422</v>
      </c>
      <c r="P536" t="str">
        <f t="shared" si="67"/>
        <v>False</v>
      </c>
      <c r="R536" t="str">
        <f>Deals_Raw!AF539</f>
        <v>Lost</v>
      </c>
      <c r="S536">
        <f t="shared" si="68"/>
        <v>0</v>
      </c>
      <c r="T536">
        <f>Deals_Raw!AM539</f>
        <v>236281.35</v>
      </c>
      <c r="U536">
        <f t="shared" si="69"/>
        <v>0</v>
      </c>
      <c r="V536">
        <f>Deals_Raw!AN539</f>
        <v>236281.35</v>
      </c>
      <c r="W536">
        <f t="shared" si="70"/>
        <v>0</v>
      </c>
      <c r="X536">
        <f>Deals_Raw!AO539</f>
        <v>150281.80365706939</v>
      </c>
      <c r="Y536">
        <f t="shared" si="71"/>
        <v>0</v>
      </c>
      <c r="Z536">
        <f>Deals_Raw!AP539</f>
        <v>0.63602905458712422</v>
      </c>
    </row>
    <row r="537" spans="1:26">
      <c r="A537" t="str">
        <f>Deals_Raw!A540</f>
        <v>D00609</v>
      </c>
      <c r="B537">
        <f>COUNTIF(Deals_Raw!$A$5:$A$643,A537)</f>
        <v>1</v>
      </c>
      <c r="C537" s="12" t="str">
        <f>Deals_Raw!E540</f>
        <v>CT00329</v>
      </c>
      <c r="E537">
        <f>Deals_Raw!AA540</f>
        <v>119051.91361301167</v>
      </c>
      <c r="F537">
        <f>ROUND(Deals_Raw!T540*(1-Deals_Raw!W540),2)</f>
        <v>118999.93</v>
      </c>
      <c r="G537">
        <f t="shared" si="64"/>
        <v>-51.983613011674606</v>
      </c>
      <c r="I537">
        <f>Deals_Raw!V540</f>
        <v>0.17100000000000001</v>
      </c>
      <c r="J537">
        <f>Deals_Raw!W540</f>
        <v>0.13100000000000001</v>
      </c>
      <c r="K537" t="str">
        <f>Deals_Raw!Z540</f>
        <v>Pricing Analyst</v>
      </c>
      <c r="L537" t="str">
        <f t="shared" si="65"/>
        <v>yes</v>
      </c>
      <c r="M537" t="str">
        <f t="shared" si="66"/>
        <v>Pass</v>
      </c>
      <c r="O537">
        <f>Deals_Raw!AP540</f>
        <v>0.57858527666355841</v>
      </c>
      <c r="P537" t="str">
        <f t="shared" si="67"/>
        <v>False</v>
      </c>
      <c r="R537" t="str">
        <f>Deals_Raw!AF540</f>
        <v>Won</v>
      </c>
      <c r="S537">
        <f t="shared" si="68"/>
        <v>118999.93</v>
      </c>
      <c r="T537">
        <f>Deals_Raw!AM540</f>
        <v>118999.93</v>
      </c>
      <c r="U537">
        <f t="shared" si="69"/>
        <v>356999.79</v>
      </c>
      <c r="V537">
        <f>Deals_Raw!AN540</f>
        <v>356999.79</v>
      </c>
      <c r="W537">
        <f t="shared" si="70"/>
        <v>68851.607421994078</v>
      </c>
      <c r="X537">
        <f>Deals_Raw!AO540</f>
        <v>68851.607421994078</v>
      </c>
      <c r="Y537">
        <f t="shared" si="71"/>
        <v>0.57858527666355841</v>
      </c>
      <c r="Z537">
        <f>Deals_Raw!AP540</f>
        <v>0.57858527666355841</v>
      </c>
    </row>
    <row r="538" spans="1:26">
      <c r="A538" t="str">
        <f>Deals_Raw!A541</f>
        <v>D00611</v>
      </c>
      <c r="B538">
        <f>COUNTIF(Deals_Raw!$A$5:$A$643,A538)</f>
        <v>1</v>
      </c>
      <c r="C538" s="12" t="str">
        <f>Deals_Raw!E541</f>
        <v>CT00330</v>
      </c>
      <c r="E538">
        <f>Deals_Raw!AA541</f>
        <v>183146.07303362791</v>
      </c>
      <c r="F538">
        <f>ROUND(Deals_Raw!T541*(1-Deals_Raw!W541),2)</f>
        <v>183146.07</v>
      </c>
      <c r="G538">
        <f t="shared" si="64"/>
        <v>-3.0336279014591128E-3</v>
      </c>
      <c r="I538">
        <f>Deals_Raw!V541</f>
        <v>0</v>
      </c>
      <c r="J538">
        <f>Deals_Raw!W541</f>
        <v>0</v>
      </c>
      <c r="K538" t="str">
        <f>Deals_Raw!Z541</f>
        <v>Sales Manager</v>
      </c>
      <c r="L538" t="str">
        <f t="shared" si="65"/>
        <v>yes</v>
      </c>
      <c r="M538" t="str">
        <f t="shared" si="66"/>
        <v>Pass</v>
      </c>
      <c r="O538">
        <f>Deals_Raw!AP541</f>
        <v>0.71343802691062763</v>
      </c>
      <c r="P538" t="str">
        <f t="shared" si="67"/>
        <v>False</v>
      </c>
      <c r="R538" t="str">
        <f>Deals_Raw!AF541</f>
        <v>Won</v>
      </c>
      <c r="S538">
        <f t="shared" si="68"/>
        <v>183146.07</v>
      </c>
      <c r="T538">
        <f>Deals_Raw!AM541</f>
        <v>183146.07</v>
      </c>
      <c r="U538">
        <f t="shared" si="69"/>
        <v>183146.07</v>
      </c>
      <c r="V538">
        <f>Deals_Raw!AN541</f>
        <v>183146.07</v>
      </c>
      <c r="W538">
        <f t="shared" si="70"/>
        <v>130663.3708172357</v>
      </c>
      <c r="X538">
        <f>Deals_Raw!AO541</f>
        <v>130663.3708172357</v>
      </c>
      <c r="Y538">
        <f t="shared" si="71"/>
        <v>0.71343802691062763</v>
      </c>
      <c r="Z538">
        <f>Deals_Raw!AP541</f>
        <v>0.71343802691062763</v>
      </c>
    </row>
    <row r="539" spans="1:26">
      <c r="A539" t="str">
        <f>Deals_Raw!A542</f>
        <v>D00612</v>
      </c>
      <c r="B539">
        <f>COUNTIF(Deals_Raw!$A$5:$A$643,A539)</f>
        <v>1</v>
      </c>
      <c r="C539" s="12" t="str">
        <f>Deals_Raw!E542</f>
        <v>CT00330</v>
      </c>
      <c r="E539">
        <f>Deals_Raw!AA542</f>
        <v>158763.93254273388</v>
      </c>
      <c r="F539">
        <f>ROUND(Deals_Raw!T542*(1-Deals_Raw!W542),2)</f>
        <v>158706.44</v>
      </c>
      <c r="G539">
        <f t="shared" si="64"/>
        <v>-57.49254273387487</v>
      </c>
      <c r="I539">
        <f>Deals_Raw!V542</f>
        <v>0.18</v>
      </c>
      <c r="J539">
        <f>Deals_Raw!W542</f>
        <v>0.16</v>
      </c>
      <c r="K539" t="str">
        <f>Deals_Raw!Z542</f>
        <v>Pricing Analyst</v>
      </c>
      <c r="L539" t="str">
        <f t="shared" si="65"/>
        <v>yes</v>
      </c>
      <c r="M539" t="str">
        <f t="shared" si="66"/>
        <v>Pass</v>
      </c>
      <c r="O539">
        <f>Deals_Raw!AP542</f>
        <v>0.64304197742343006</v>
      </c>
      <c r="P539" t="str">
        <f t="shared" si="67"/>
        <v>False</v>
      </c>
      <c r="R539" t="str">
        <f>Deals_Raw!AF542</f>
        <v>Lost</v>
      </c>
      <c r="S539">
        <f t="shared" si="68"/>
        <v>0</v>
      </c>
      <c r="T539">
        <f>Deals_Raw!AM542</f>
        <v>158706.44</v>
      </c>
      <c r="U539">
        <f t="shared" si="69"/>
        <v>0</v>
      </c>
      <c r="V539">
        <f>Deals_Raw!AN542</f>
        <v>158706.44</v>
      </c>
      <c r="W539">
        <f t="shared" si="70"/>
        <v>0</v>
      </c>
      <c r="X539">
        <f>Deals_Raw!AO542</f>
        <v>102054.90300743296</v>
      </c>
      <c r="Y539">
        <f t="shared" si="71"/>
        <v>0</v>
      </c>
      <c r="Z539">
        <f>Deals_Raw!AP542</f>
        <v>0.64304197742343006</v>
      </c>
    </row>
    <row r="540" spans="1:26">
      <c r="A540" t="str">
        <f>Deals_Raw!A543</f>
        <v>D00613</v>
      </c>
      <c r="B540">
        <f>COUNTIF(Deals_Raw!$A$5:$A$643,A540)</f>
        <v>1</v>
      </c>
      <c r="C540" s="12" t="str">
        <f>Deals_Raw!E543</f>
        <v>CT00331</v>
      </c>
      <c r="E540">
        <f>Deals_Raw!AA543</f>
        <v>73805.015660853183</v>
      </c>
      <c r="F540">
        <f>ROUND(Deals_Raw!T543*(1-Deals_Raw!W543),2)</f>
        <v>73771.360000000001</v>
      </c>
      <c r="G540">
        <f t="shared" si="64"/>
        <v>-33.655660853182781</v>
      </c>
      <c r="I540">
        <f>Deals_Raw!V543</f>
        <v>0.124</v>
      </c>
      <c r="J540">
        <f>Deals_Raw!W543</f>
        <v>9.6000000000000002E-2</v>
      </c>
      <c r="K540" t="str">
        <f>Deals_Raw!Z543</f>
        <v>Sales Manager</v>
      </c>
      <c r="L540" t="str">
        <f t="shared" si="65"/>
        <v>yes</v>
      </c>
      <c r="M540" t="str">
        <f t="shared" si="66"/>
        <v>Pass</v>
      </c>
      <c r="O540">
        <f>Deals_Raw!AP543</f>
        <v>0.61469161102080427</v>
      </c>
      <c r="P540" t="str">
        <f t="shared" si="67"/>
        <v>False</v>
      </c>
      <c r="R540" t="str">
        <f>Deals_Raw!AF543</f>
        <v>Won</v>
      </c>
      <c r="S540">
        <f t="shared" si="68"/>
        <v>73771.360000000001</v>
      </c>
      <c r="T540">
        <f>Deals_Raw!AM543</f>
        <v>73771.360000000001</v>
      </c>
      <c r="U540">
        <f t="shared" si="69"/>
        <v>73771.360000000001</v>
      </c>
      <c r="V540">
        <f>Deals_Raw!AN543</f>
        <v>73771.360000000001</v>
      </c>
      <c r="W540">
        <f t="shared" si="70"/>
        <v>45346.636125595716</v>
      </c>
      <c r="X540">
        <f>Deals_Raw!AO543</f>
        <v>45346.636125595716</v>
      </c>
      <c r="Y540">
        <f t="shared" si="71"/>
        <v>0.61469161102080427</v>
      </c>
      <c r="Z540">
        <f>Deals_Raw!AP543</f>
        <v>0.61469161102080427</v>
      </c>
    </row>
    <row r="541" spans="1:26">
      <c r="A541" t="str">
        <f>Deals_Raw!A544</f>
        <v>D00614</v>
      </c>
      <c r="B541">
        <f>COUNTIF(Deals_Raw!$A$5:$A$643,A541)</f>
        <v>1</v>
      </c>
      <c r="C541" s="12" t="str">
        <f>Deals_Raw!E544</f>
        <v>CT00331</v>
      </c>
      <c r="E541">
        <f>Deals_Raw!AA544</f>
        <v>97166.128918179034</v>
      </c>
      <c r="F541">
        <f>ROUND(Deals_Raw!T544*(1-Deals_Raw!W544),2)</f>
        <v>97160.74</v>
      </c>
      <c r="G541">
        <f t="shared" si="64"/>
        <v>-5.3889181790291332</v>
      </c>
      <c r="I541">
        <f>Deals_Raw!V544</f>
        <v>0.10100000000000001</v>
      </c>
      <c r="J541">
        <f>Deals_Raw!W544</f>
        <v>8.1000000000000003E-2</v>
      </c>
      <c r="K541" t="str">
        <f>Deals_Raw!Z544</f>
        <v>Sales Manager</v>
      </c>
      <c r="L541" t="str">
        <f t="shared" si="65"/>
        <v>yes</v>
      </c>
      <c r="M541" t="str">
        <f t="shared" si="66"/>
        <v>Pass</v>
      </c>
      <c r="O541">
        <f>Deals_Raw!AP544</f>
        <v>0.68653373170893173</v>
      </c>
      <c r="P541" t="str">
        <f t="shared" si="67"/>
        <v>False</v>
      </c>
      <c r="R541" t="str">
        <f>Deals_Raw!AF544</f>
        <v>Won</v>
      </c>
      <c r="S541">
        <f t="shared" si="68"/>
        <v>97160.74</v>
      </c>
      <c r="T541">
        <f>Deals_Raw!AM544</f>
        <v>97160.74</v>
      </c>
      <c r="U541">
        <f t="shared" si="69"/>
        <v>97160.74</v>
      </c>
      <c r="V541">
        <f>Deals_Raw!AN544</f>
        <v>97160.74</v>
      </c>
      <c r="W541">
        <f t="shared" si="70"/>
        <v>66704.125407801272</v>
      </c>
      <c r="X541">
        <f>Deals_Raw!AO544</f>
        <v>66704.125407801272</v>
      </c>
      <c r="Y541">
        <f t="shared" si="71"/>
        <v>0.68653373170893173</v>
      </c>
      <c r="Z541">
        <f>Deals_Raw!AP544</f>
        <v>0.68653373170893173</v>
      </c>
    </row>
    <row r="542" spans="1:26">
      <c r="A542" t="str">
        <f>Deals_Raw!A545</f>
        <v>D00615</v>
      </c>
      <c r="B542">
        <f>COUNTIF(Deals_Raw!$A$5:$A$643,A542)</f>
        <v>1</v>
      </c>
      <c r="C542" s="12" t="str">
        <f>Deals_Raw!E545</f>
        <v>CT00331</v>
      </c>
      <c r="E542">
        <f>Deals_Raw!AA545</f>
        <v>99446.195491126098</v>
      </c>
      <c r="F542">
        <f>ROUND(Deals_Raw!T545*(1-Deals_Raw!W545),2)</f>
        <v>99494.17</v>
      </c>
      <c r="G542">
        <f t="shared" si="64"/>
        <v>47.974508873900049</v>
      </c>
      <c r="I542">
        <f>Deals_Raw!V545</f>
        <v>0.14199999999999999</v>
      </c>
      <c r="J542">
        <f>Deals_Raw!W545</f>
        <v>0.122</v>
      </c>
      <c r="K542" t="str">
        <f>Deals_Raw!Z545</f>
        <v>Pricing Analyst</v>
      </c>
      <c r="L542" t="str">
        <f t="shared" si="65"/>
        <v>yes</v>
      </c>
      <c r="M542" t="str">
        <f t="shared" si="66"/>
        <v>Pass</v>
      </c>
      <c r="O542">
        <f>Deals_Raw!AP545</f>
        <v>0.65996459311109068</v>
      </c>
      <c r="P542" t="str">
        <f t="shared" si="67"/>
        <v>False</v>
      </c>
      <c r="R542" t="str">
        <f>Deals_Raw!AF545</f>
        <v>Won</v>
      </c>
      <c r="S542">
        <f t="shared" si="68"/>
        <v>99494.17</v>
      </c>
      <c r="T542">
        <f>Deals_Raw!AM545</f>
        <v>99494.17</v>
      </c>
      <c r="U542">
        <f t="shared" si="69"/>
        <v>99494.17</v>
      </c>
      <c r="V542">
        <f>Deals_Raw!AN545</f>
        <v>99494.17</v>
      </c>
      <c r="W542">
        <f t="shared" si="70"/>
        <v>65662.629420975689</v>
      </c>
      <c r="X542">
        <f>Deals_Raw!AO545</f>
        <v>65662.629420975689</v>
      </c>
      <c r="Y542">
        <f t="shared" si="71"/>
        <v>0.65996459311109068</v>
      </c>
      <c r="Z542">
        <f>Deals_Raw!AP545</f>
        <v>0.65996459311109068</v>
      </c>
    </row>
    <row r="543" spans="1:26">
      <c r="A543" t="str">
        <f>Deals_Raw!A546</f>
        <v>D00617</v>
      </c>
      <c r="B543">
        <f>COUNTIF(Deals_Raw!$A$5:$A$643,A543)</f>
        <v>1</v>
      </c>
      <c r="C543" s="12" t="str">
        <f>Deals_Raw!E546</f>
        <v>CT00332</v>
      </c>
      <c r="E543">
        <f>Deals_Raw!AA546</f>
        <v>234846.08576106271</v>
      </c>
      <c r="F543">
        <f>ROUND(Deals_Raw!T546*(1-Deals_Raw!W546),2)</f>
        <v>234813.05</v>
      </c>
      <c r="G543">
        <f t="shared" si="64"/>
        <v>-33.035761062725214</v>
      </c>
      <c r="I543">
        <f>Deals_Raw!V546</f>
        <v>4.1000000000000002E-2</v>
      </c>
      <c r="J543">
        <f>Deals_Raw!W546</f>
        <v>8.9999999999999993E-3</v>
      </c>
      <c r="K543" t="str">
        <f>Deals_Raw!Z546</f>
        <v>Sales Manager</v>
      </c>
      <c r="L543" t="str">
        <f t="shared" si="65"/>
        <v>yes</v>
      </c>
      <c r="M543" t="str">
        <f t="shared" si="66"/>
        <v>Pass</v>
      </c>
      <c r="O543">
        <f>Deals_Raw!AP546</f>
        <v>0.72296095104102842</v>
      </c>
      <c r="P543" t="str">
        <f t="shared" si="67"/>
        <v>False</v>
      </c>
      <c r="R543" t="str">
        <f>Deals_Raw!AF546</f>
        <v>Won</v>
      </c>
      <c r="S543">
        <f t="shared" si="68"/>
        <v>234813.05</v>
      </c>
      <c r="T543">
        <f>Deals_Raw!AM546</f>
        <v>234813.05</v>
      </c>
      <c r="U543">
        <f t="shared" si="69"/>
        <v>234813.05</v>
      </c>
      <c r="V543">
        <f>Deals_Raw!AN546</f>
        <v>234813.05</v>
      </c>
      <c r="W543">
        <f t="shared" si="70"/>
        <v>169760.66594484454</v>
      </c>
      <c r="X543">
        <f>Deals_Raw!AO546</f>
        <v>169760.66594484454</v>
      </c>
      <c r="Y543">
        <f t="shared" si="71"/>
        <v>0.72296095104102842</v>
      </c>
      <c r="Z543">
        <f>Deals_Raw!AP546</f>
        <v>0.72296095104102842</v>
      </c>
    </row>
    <row r="544" spans="1:26">
      <c r="A544" t="str">
        <f>Deals_Raw!A547</f>
        <v>D00618</v>
      </c>
      <c r="B544">
        <f>COUNTIF(Deals_Raw!$A$5:$A$643,A544)</f>
        <v>1</v>
      </c>
      <c r="C544" s="12" t="str">
        <f>Deals_Raw!E547</f>
        <v>CT00332</v>
      </c>
      <c r="E544">
        <f>Deals_Raw!AA547</f>
        <v>220482.46883603095</v>
      </c>
      <c r="F544">
        <f>ROUND(Deals_Raw!T547*(1-Deals_Raw!W547),2)</f>
        <v>220575.91</v>
      </c>
      <c r="G544">
        <f t="shared" si="64"/>
        <v>93.441163969051559</v>
      </c>
      <c r="I544">
        <f>Deals_Raw!V547</f>
        <v>0.14099999999999999</v>
      </c>
      <c r="J544">
        <f>Deals_Raw!W547</f>
        <v>0.121</v>
      </c>
      <c r="K544" t="str">
        <f>Deals_Raw!Z547</f>
        <v>Pricing Analyst</v>
      </c>
      <c r="L544" t="str">
        <f t="shared" si="65"/>
        <v>yes</v>
      </c>
      <c r="M544" t="str">
        <f t="shared" si="66"/>
        <v>Pass</v>
      </c>
      <c r="O544">
        <f>Deals_Raw!AP547</f>
        <v>0.6157078446735974</v>
      </c>
      <c r="P544" t="str">
        <f t="shared" si="67"/>
        <v>False</v>
      </c>
      <c r="R544" t="str">
        <f>Deals_Raw!AF547</f>
        <v>Won</v>
      </c>
      <c r="S544">
        <f t="shared" si="68"/>
        <v>220575.91</v>
      </c>
      <c r="T544">
        <f>Deals_Raw!AM547</f>
        <v>220575.91</v>
      </c>
      <c r="U544">
        <f t="shared" si="69"/>
        <v>220575.91</v>
      </c>
      <c r="V544">
        <f>Deals_Raw!AN547</f>
        <v>220575.91</v>
      </c>
      <c r="W544">
        <f t="shared" si="70"/>
        <v>135810.3181330174</v>
      </c>
      <c r="X544">
        <f>Deals_Raw!AO547</f>
        <v>135810.3181330174</v>
      </c>
      <c r="Y544">
        <f t="shared" si="71"/>
        <v>0.6157078446735974</v>
      </c>
      <c r="Z544">
        <f>Deals_Raw!AP547</f>
        <v>0.6157078446735974</v>
      </c>
    </row>
    <row r="545" spans="1:26">
      <c r="A545" t="str">
        <f>Deals_Raw!A548</f>
        <v>D00619</v>
      </c>
      <c r="B545">
        <f>COUNTIF(Deals_Raw!$A$5:$A$643,A545)</f>
        <v>1</v>
      </c>
      <c r="C545" s="12" t="str">
        <f>Deals_Raw!E548</f>
        <v>CT00332</v>
      </c>
      <c r="E545">
        <f>Deals_Raw!AA548</f>
        <v>223861.89736054876</v>
      </c>
      <c r="F545">
        <f>ROUND(Deals_Raw!T548*(1-Deals_Raw!W548),2)</f>
        <v>223777.11</v>
      </c>
      <c r="G545">
        <f t="shared" si="64"/>
        <v>-84.787360548769357</v>
      </c>
      <c r="I545">
        <f>Deals_Raw!V548</f>
        <v>0.19900000000000001</v>
      </c>
      <c r="J545">
        <f>Deals_Raw!W548</f>
        <v>0.151</v>
      </c>
      <c r="K545" t="str">
        <f>Deals_Raw!Z548</f>
        <v>Pricing Analyst</v>
      </c>
      <c r="L545" t="str">
        <f t="shared" si="65"/>
        <v>yes</v>
      </c>
      <c r="M545" t="str">
        <f t="shared" si="66"/>
        <v>Pass</v>
      </c>
      <c r="O545">
        <f>Deals_Raw!AP548</f>
        <v>0.67456625847527107</v>
      </c>
      <c r="P545" t="str">
        <f t="shared" si="67"/>
        <v>False</v>
      </c>
      <c r="R545" t="str">
        <f>Deals_Raw!AF548</f>
        <v>Won</v>
      </c>
      <c r="S545">
        <f t="shared" si="68"/>
        <v>223777.11</v>
      </c>
      <c r="T545">
        <f>Deals_Raw!AM548</f>
        <v>223777.11</v>
      </c>
      <c r="U545">
        <f t="shared" si="69"/>
        <v>223777.11</v>
      </c>
      <c r="V545">
        <f>Deals_Raw!AN548</f>
        <v>223777.11</v>
      </c>
      <c r="W545">
        <f t="shared" si="70"/>
        <v>150952.48782510916</v>
      </c>
      <c r="X545">
        <f>Deals_Raw!AO548</f>
        <v>150952.48782510916</v>
      </c>
      <c r="Y545">
        <f t="shared" si="71"/>
        <v>0.67456625847527107</v>
      </c>
      <c r="Z545">
        <f>Deals_Raw!AP548</f>
        <v>0.67456625847527107</v>
      </c>
    </row>
    <row r="546" spans="1:26">
      <c r="A546" t="str">
        <f>Deals_Raw!A549</f>
        <v>D00620</v>
      </c>
      <c r="B546">
        <f>COUNTIF(Deals_Raw!$A$5:$A$643,A546)</f>
        <v>1</v>
      </c>
      <c r="C546" s="12" t="str">
        <f>Deals_Raw!E549</f>
        <v>CT00333</v>
      </c>
      <c r="E546">
        <f>Deals_Raw!AA549</f>
        <v>101933.10139024971</v>
      </c>
      <c r="F546">
        <f>ROUND(Deals_Raw!T549*(1-Deals_Raw!W549),2)</f>
        <v>101989.92</v>
      </c>
      <c r="G546">
        <f t="shared" si="64"/>
        <v>56.818609750291216</v>
      </c>
      <c r="I546">
        <f>Deals_Raw!V549</f>
        <v>0.23899999999999999</v>
      </c>
      <c r="J546">
        <f>Deals_Raw!W549</f>
        <v>0.192</v>
      </c>
      <c r="K546" t="str">
        <f>Deals_Raw!Z549</f>
        <v>Pricing Analyst</v>
      </c>
      <c r="L546" t="str">
        <f t="shared" si="65"/>
        <v>yes</v>
      </c>
      <c r="M546" t="str">
        <f t="shared" si="66"/>
        <v>Pass</v>
      </c>
      <c r="O546">
        <f>Deals_Raw!AP549</f>
        <v>0.58753355327599388</v>
      </c>
      <c r="P546" t="str">
        <f t="shared" si="67"/>
        <v>False</v>
      </c>
      <c r="R546" t="str">
        <f>Deals_Raw!AF549</f>
        <v>Lost</v>
      </c>
      <c r="S546">
        <f>IF($R546="Lost",0,T546)</f>
        <v>0</v>
      </c>
      <c r="T546">
        <f>Deals_Raw!AM549</f>
        <v>101989.92</v>
      </c>
      <c r="U546">
        <f t="shared" si="69"/>
        <v>0</v>
      </c>
      <c r="V546">
        <f>Deals_Raw!AN549</f>
        <v>305969.76</v>
      </c>
      <c r="W546">
        <f t="shared" si="70"/>
        <v>0</v>
      </c>
      <c r="X546">
        <f>Deals_Raw!AO549</f>
        <v>59922.500095934352</v>
      </c>
      <c r="Y546">
        <f t="shared" si="71"/>
        <v>0</v>
      </c>
      <c r="Z546">
        <f>Deals_Raw!AP549</f>
        <v>0.58753355327599388</v>
      </c>
    </row>
    <row r="547" spans="1:26">
      <c r="A547" t="str">
        <f>Deals_Raw!A550</f>
        <v>D00621</v>
      </c>
      <c r="B547">
        <f>COUNTIF(Deals_Raw!$A$5:$A$643,A547)</f>
        <v>1</v>
      </c>
      <c r="C547" s="12" t="str">
        <f>Deals_Raw!E550</f>
        <v>CT00333</v>
      </c>
      <c r="E547">
        <f>Deals_Raw!AA550</f>
        <v>107152.43673534412</v>
      </c>
      <c r="F547">
        <f>ROUND(Deals_Raw!T550*(1-Deals_Raw!W550),2)</f>
        <v>107165.15</v>
      </c>
      <c r="G547">
        <f t="shared" si="64"/>
        <v>12.713264655874809</v>
      </c>
      <c r="I547">
        <f>Deals_Raw!V550</f>
        <v>0.192</v>
      </c>
      <c r="J547">
        <f>Deals_Raw!W550</f>
        <v>0.151</v>
      </c>
      <c r="K547" t="str">
        <f>Deals_Raw!Z550</f>
        <v>Pricing Analyst</v>
      </c>
      <c r="L547" t="str">
        <f t="shared" si="65"/>
        <v>yes</v>
      </c>
      <c r="M547" t="str">
        <f t="shared" si="66"/>
        <v>Pass</v>
      </c>
      <c r="O547">
        <f>Deals_Raw!AP550</f>
        <v>0.57510747607821078</v>
      </c>
      <c r="P547" t="str">
        <f t="shared" si="67"/>
        <v>False</v>
      </c>
      <c r="R547" t="str">
        <f>Deals_Raw!AF550</f>
        <v>Won</v>
      </c>
      <c r="S547">
        <f t="shared" ref="S547:S610" si="72">IF($R547="Lost",0,T547)</f>
        <v>107165.15</v>
      </c>
      <c r="T547">
        <f>Deals_Raw!AM550</f>
        <v>107165.15</v>
      </c>
      <c r="U547">
        <f t="shared" si="69"/>
        <v>321495.44999999995</v>
      </c>
      <c r="V547">
        <f>Deals_Raw!AN550</f>
        <v>321495.44999999995</v>
      </c>
      <c r="W547">
        <f t="shared" si="70"/>
        <v>61631.478940042871</v>
      </c>
      <c r="X547">
        <f>Deals_Raw!AO550</f>
        <v>61631.478940042871</v>
      </c>
      <c r="Y547">
        <f t="shared" si="71"/>
        <v>0.57510747607821078</v>
      </c>
      <c r="Z547">
        <f>Deals_Raw!AP550</f>
        <v>0.57510747607821078</v>
      </c>
    </row>
    <row r="548" spans="1:26">
      <c r="A548" t="str">
        <f>Deals_Raw!A551</f>
        <v>D00622</v>
      </c>
      <c r="B548">
        <f>COUNTIF(Deals_Raw!$A$5:$A$643,A548)</f>
        <v>1</v>
      </c>
      <c r="C548" s="12" t="str">
        <f>Deals_Raw!E551</f>
        <v>CT00335</v>
      </c>
      <c r="E548">
        <f>Deals_Raw!AA551</f>
        <v>287869.77213836357</v>
      </c>
      <c r="F548">
        <f>ROUND(Deals_Raw!T551*(1-Deals_Raw!W551),2)</f>
        <v>287957.65000000002</v>
      </c>
      <c r="G548">
        <f t="shared" si="64"/>
        <v>87.877861636457965</v>
      </c>
      <c r="I548">
        <f>Deals_Raw!V551</f>
        <v>0.19800000000000001</v>
      </c>
      <c r="J548">
        <f>Deals_Raw!W551</f>
        <v>0.16500000000000001</v>
      </c>
      <c r="K548" t="str">
        <f>Deals_Raw!Z551</f>
        <v>Pricing Analyst</v>
      </c>
      <c r="L548" t="str">
        <f t="shared" si="65"/>
        <v>yes</v>
      </c>
      <c r="M548" t="str">
        <f t="shared" si="66"/>
        <v>Pass</v>
      </c>
      <c r="O548">
        <f>Deals_Raw!AP551</f>
        <v>0.55449933412630426</v>
      </c>
      <c r="P548" t="str">
        <f t="shared" si="67"/>
        <v>False</v>
      </c>
      <c r="R548" t="str">
        <f>Deals_Raw!AF551</f>
        <v>Won</v>
      </c>
      <c r="S548">
        <f t="shared" si="72"/>
        <v>287957.65000000002</v>
      </c>
      <c r="T548">
        <f>Deals_Raw!AM551</f>
        <v>287957.65000000002</v>
      </c>
      <c r="U548">
        <f t="shared" si="69"/>
        <v>863872.95000000007</v>
      </c>
      <c r="V548">
        <f>Deals_Raw!AN551</f>
        <v>863872.95000000007</v>
      </c>
      <c r="W548">
        <f t="shared" si="70"/>
        <v>159672.32518157538</v>
      </c>
      <c r="X548">
        <f>Deals_Raw!AO551</f>
        <v>159672.32518157538</v>
      </c>
      <c r="Y548">
        <f t="shared" si="71"/>
        <v>0.55449933412630426</v>
      </c>
      <c r="Z548">
        <f>Deals_Raw!AP551</f>
        <v>0.55449933412630426</v>
      </c>
    </row>
    <row r="549" spans="1:26">
      <c r="A549" t="str">
        <f>Deals_Raw!A552</f>
        <v>D00623</v>
      </c>
      <c r="B549">
        <f>COUNTIF(Deals_Raw!$A$5:$A$643,A549)</f>
        <v>1</v>
      </c>
      <c r="C549" s="12" t="str">
        <f>Deals_Raw!E552</f>
        <v>CT00336</v>
      </c>
      <c r="E549">
        <f>Deals_Raw!AA552</f>
        <v>57887.342144372204</v>
      </c>
      <c r="F549">
        <f>ROUND(Deals_Raw!T552*(1-Deals_Raw!W552),2)</f>
        <v>57898.17</v>
      </c>
      <c r="G549">
        <f t="shared" si="64"/>
        <v>10.827855627794634</v>
      </c>
      <c r="I549">
        <f>Deals_Raw!V552</f>
        <v>0.13300000000000001</v>
      </c>
      <c r="J549">
        <f>Deals_Raw!W552</f>
        <v>0.123</v>
      </c>
      <c r="K549" t="str">
        <f>Deals_Raw!Z552</f>
        <v>Pricing Analyst</v>
      </c>
      <c r="L549" t="str">
        <f t="shared" si="65"/>
        <v>yes</v>
      </c>
      <c r="M549" t="str">
        <f t="shared" si="66"/>
        <v>Pass</v>
      </c>
      <c r="O549">
        <f>Deals_Raw!AP552</f>
        <v>0.60651384801661312</v>
      </c>
      <c r="P549" t="str">
        <f t="shared" si="67"/>
        <v>False</v>
      </c>
      <c r="R549" t="str">
        <f>Deals_Raw!AF552</f>
        <v>Won</v>
      </c>
      <c r="S549">
        <f t="shared" si="72"/>
        <v>57898.17</v>
      </c>
      <c r="T549">
        <f>Deals_Raw!AM552</f>
        <v>57898.17</v>
      </c>
      <c r="U549">
        <f t="shared" si="69"/>
        <v>57898.17</v>
      </c>
      <c r="V549">
        <f>Deals_Raw!AN552</f>
        <v>57898.17</v>
      </c>
      <c r="W549">
        <f t="shared" si="70"/>
        <v>35116.041879820026</v>
      </c>
      <c r="X549">
        <f>Deals_Raw!AO552</f>
        <v>35116.041879820026</v>
      </c>
      <c r="Y549">
        <f t="shared" si="71"/>
        <v>0.60651384801661312</v>
      </c>
      <c r="Z549">
        <f>Deals_Raw!AP552</f>
        <v>0.60651384801661312</v>
      </c>
    </row>
    <row r="550" spans="1:26">
      <c r="A550" t="str">
        <f>Deals_Raw!A553</f>
        <v>D00624</v>
      </c>
      <c r="B550">
        <f>COUNTIF(Deals_Raw!$A$5:$A$643,A550)</f>
        <v>1</v>
      </c>
      <c r="C550" s="12" t="str">
        <f>Deals_Raw!E553</f>
        <v>CT00336</v>
      </c>
      <c r="E550">
        <f>Deals_Raw!AA553</f>
        <v>58016.751153531943</v>
      </c>
      <c r="F550">
        <f>ROUND(Deals_Raw!T553*(1-Deals_Raw!W553),2)</f>
        <v>58047.66</v>
      </c>
      <c r="G550">
        <f t="shared" si="64"/>
        <v>30.908846468060801</v>
      </c>
      <c r="I550">
        <f>Deals_Raw!V553</f>
        <v>0.20699999999999999</v>
      </c>
      <c r="J550">
        <f>Deals_Raw!W553</f>
        <v>0.185</v>
      </c>
      <c r="K550" t="str">
        <f>Deals_Raw!Z553</f>
        <v>Pricing Analyst</v>
      </c>
      <c r="L550" t="str">
        <f t="shared" si="65"/>
        <v>yes</v>
      </c>
      <c r="M550" t="str">
        <f t="shared" si="66"/>
        <v>Pass</v>
      </c>
      <c r="O550">
        <f>Deals_Raw!AP553</f>
        <v>0.58280077155452181</v>
      </c>
      <c r="P550" t="str">
        <f t="shared" si="67"/>
        <v>False</v>
      </c>
      <c r="R550" t="str">
        <f>Deals_Raw!AF553</f>
        <v>Won</v>
      </c>
      <c r="S550">
        <f t="shared" si="72"/>
        <v>58047.66</v>
      </c>
      <c r="T550">
        <f>Deals_Raw!AM553</f>
        <v>58047.66</v>
      </c>
      <c r="U550">
        <f t="shared" si="69"/>
        <v>58047.66</v>
      </c>
      <c r="V550">
        <f>Deals_Raw!AN553</f>
        <v>58047.66</v>
      </c>
      <c r="W550">
        <f t="shared" si="70"/>
        <v>33830.221034934555</v>
      </c>
      <c r="X550">
        <f>Deals_Raw!AO553</f>
        <v>33830.221034934555</v>
      </c>
      <c r="Y550">
        <f t="shared" si="71"/>
        <v>0.58280077155452181</v>
      </c>
      <c r="Z550">
        <f>Deals_Raw!AP553</f>
        <v>0.58280077155452181</v>
      </c>
    </row>
    <row r="551" spans="1:26">
      <c r="A551" t="str">
        <f>Deals_Raw!A554</f>
        <v>D00625</v>
      </c>
      <c r="B551">
        <f>COUNTIF(Deals_Raw!$A$5:$A$643,A551)</f>
        <v>1</v>
      </c>
      <c r="C551" s="12" t="str">
        <f>Deals_Raw!E554</f>
        <v>CT00336</v>
      </c>
      <c r="E551">
        <f>Deals_Raw!AA554</f>
        <v>64487.508872879589</v>
      </c>
      <c r="F551">
        <f>ROUND(Deals_Raw!T554*(1-Deals_Raw!W554),2)</f>
        <v>64479.05</v>
      </c>
      <c r="G551">
        <f t="shared" si="64"/>
        <v>-8.4588728795861243</v>
      </c>
      <c r="I551">
        <f>Deals_Raw!V554</f>
        <v>0.17699999999999999</v>
      </c>
      <c r="J551">
        <f>Deals_Raw!W554</f>
        <v>0.158</v>
      </c>
      <c r="K551" t="str">
        <f>Deals_Raw!Z554</f>
        <v>Pricing Analyst</v>
      </c>
      <c r="L551" t="str">
        <f t="shared" si="65"/>
        <v>yes</v>
      </c>
      <c r="M551" t="str">
        <f t="shared" si="66"/>
        <v>Pass</v>
      </c>
      <c r="O551">
        <f>Deals_Raw!AP554</f>
        <v>0.60483752102896637</v>
      </c>
      <c r="P551" t="str">
        <f t="shared" si="67"/>
        <v>False</v>
      </c>
      <c r="R551" t="str">
        <f>Deals_Raw!AF554</f>
        <v>Won</v>
      </c>
      <c r="S551">
        <f t="shared" si="72"/>
        <v>64479.05</v>
      </c>
      <c r="T551">
        <f>Deals_Raw!AM554</f>
        <v>64479.05</v>
      </c>
      <c r="U551">
        <f t="shared" si="69"/>
        <v>64479.05</v>
      </c>
      <c r="V551">
        <f>Deals_Raw!AN554</f>
        <v>64479.05</v>
      </c>
      <c r="W551">
        <f t="shared" si="70"/>
        <v>38999.348760302775</v>
      </c>
      <c r="X551">
        <f>Deals_Raw!AO554</f>
        <v>38999.348760302775</v>
      </c>
      <c r="Y551">
        <f t="shared" si="71"/>
        <v>0.60483752102896637</v>
      </c>
      <c r="Z551">
        <f>Deals_Raw!AP554</f>
        <v>0.60483752102896637</v>
      </c>
    </row>
    <row r="552" spans="1:26">
      <c r="A552" t="str">
        <f>Deals_Raw!A555</f>
        <v>D00626</v>
      </c>
      <c r="B552">
        <f>COUNTIF(Deals_Raw!$A$5:$A$643,A552)</f>
        <v>1</v>
      </c>
      <c r="C552" s="12" t="str">
        <f>Deals_Raw!E555</f>
        <v>CT00337</v>
      </c>
      <c r="E552">
        <f>Deals_Raw!AA555</f>
        <v>150166.04444224021</v>
      </c>
      <c r="F552">
        <f>ROUND(Deals_Raw!T555*(1-Deals_Raw!W555),2)</f>
        <v>150245.25</v>
      </c>
      <c r="G552">
        <f t="shared" si="64"/>
        <v>79.20555775979301</v>
      </c>
      <c r="I552">
        <f>Deals_Raw!V555</f>
        <v>0.1</v>
      </c>
      <c r="J552">
        <f>Deals_Raw!W555</f>
        <v>6.3E-2</v>
      </c>
      <c r="K552" t="str">
        <f>Deals_Raw!Z555</f>
        <v>Sales Manager</v>
      </c>
      <c r="L552" t="str">
        <f t="shared" si="65"/>
        <v>yes</v>
      </c>
      <c r="M552" t="str">
        <f t="shared" si="66"/>
        <v>Pass</v>
      </c>
      <c r="O552">
        <f>Deals_Raw!AP555</f>
        <v>0.56548840356181429</v>
      </c>
      <c r="P552" t="str">
        <f t="shared" si="67"/>
        <v>False</v>
      </c>
      <c r="R552" t="str">
        <f>Deals_Raw!AF555</f>
        <v>Lost</v>
      </c>
      <c r="S552">
        <f t="shared" si="72"/>
        <v>0</v>
      </c>
      <c r="T552">
        <f>Deals_Raw!AM555</f>
        <v>150245.25</v>
      </c>
      <c r="U552">
        <f t="shared" si="69"/>
        <v>0</v>
      </c>
      <c r="V552">
        <f>Deals_Raw!AN555</f>
        <v>300490.5</v>
      </c>
      <c r="W552">
        <f t="shared" si="70"/>
        <v>0</v>
      </c>
      <c r="X552">
        <f>Deals_Raw!AO555</f>
        <v>84961.946565245671</v>
      </c>
      <c r="Y552">
        <f t="shared" si="71"/>
        <v>0</v>
      </c>
      <c r="Z552">
        <f>Deals_Raw!AP555</f>
        <v>0.56548840356181429</v>
      </c>
    </row>
    <row r="553" spans="1:26">
      <c r="A553" t="str">
        <f>Deals_Raw!A556</f>
        <v>D00627</v>
      </c>
      <c r="B553">
        <f>COUNTIF(Deals_Raw!$A$5:$A$643,A553)</f>
        <v>1</v>
      </c>
      <c r="C553" s="12" t="str">
        <f>Deals_Raw!E556</f>
        <v>CT00338</v>
      </c>
      <c r="E553">
        <f>Deals_Raw!AA556</f>
        <v>64411.995191692586</v>
      </c>
      <c r="F553">
        <f>ROUND(Deals_Raw!T556*(1-Deals_Raw!W556),2)</f>
        <v>64390.12</v>
      </c>
      <c r="G553">
        <f t="shared" si="64"/>
        <v>-21.87519169258303</v>
      </c>
      <c r="I553">
        <f>Deals_Raw!V556</f>
        <v>0.16300000000000001</v>
      </c>
      <c r="J553">
        <f>Deals_Raw!W556</f>
        <v>0.16200000000000001</v>
      </c>
      <c r="K553" t="str">
        <f>Deals_Raw!Z556</f>
        <v>Pricing Analyst</v>
      </c>
      <c r="L553" t="str">
        <f t="shared" si="65"/>
        <v>yes</v>
      </c>
      <c r="M553" t="str">
        <f t="shared" si="66"/>
        <v>Pass</v>
      </c>
      <c r="O553">
        <f>Deals_Raw!AP556</f>
        <v>0.57752881116600063</v>
      </c>
      <c r="P553" t="str">
        <f t="shared" si="67"/>
        <v>False</v>
      </c>
      <c r="R553" t="str">
        <f>Deals_Raw!AF556</f>
        <v>Lost</v>
      </c>
      <c r="S553">
        <f t="shared" si="72"/>
        <v>0</v>
      </c>
      <c r="T553">
        <f>Deals_Raw!AM556</f>
        <v>64390.12</v>
      </c>
      <c r="U553">
        <f t="shared" si="69"/>
        <v>0</v>
      </c>
      <c r="V553">
        <f>Deals_Raw!AN556</f>
        <v>64390.12</v>
      </c>
      <c r="W553">
        <f t="shared" si="70"/>
        <v>0</v>
      </c>
      <c r="X553">
        <f>Deals_Raw!AO556</f>
        <v>37187.149454436119</v>
      </c>
      <c r="Y553">
        <f t="shared" si="71"/>
        <v>0</v>
      </c>
      <c r="Z553">
        <f>Deals_Raw!AP556</f>
        <v>0.57752881116600063</v>
      </c>
    </row>
    <row r="554" spans="1:26">
      <c r="A554" t="str">
        <f>Deals_Raw!A557</f>
        <v>D00629</v>
      </c>
      <c r="B554">
        <f>COUNTIF(Deals_Raw!$A$5:$A$643,A554)</f>
        <v>1</v>
      </c>
      <c r="C554" s="12" t="str">
        <f>Deals_Raw!E557</f>
        <v>CT00339</v>
      </c>
      <c r="E554">
        <f>Deals_Raw!AA557</f>
        <v>77156.503959086593</v>
      </c>
      <c r="F554">
        <f>ROUND(Deals_Raw!T557*(1-Deals_Raw!W557),2)</f>
        <v>77129.55</v>
      </c>
      <c r="G554">
        <f t="shared" si="64"/>
        <v>-26.953959086589748</v>
      </c>
      <c r="I554">
        <f>Deals_Raw!V557</f>
        <v>0.17799999999999999</v>
      </c>
      <c r="J554">
        <f>Deals_Raw!W557</f>
        <v>0.159</v>
      </c>
      <c r="K554" t="str">
        <f>Deals_Raw!Z557</f>
        <v>Pricing Analyst</v>
      </c>
      <c r="L554" t="str">
        <f t="shared" si="65"/>
        <v>yes</v>
      </c>
      <c r="M554" t="str">
        <f t="shared" si="66"/>
        <v>Pass</v>
      </c>
      <c r="O554">
        <f>Deals_Raw!AP557</f>
        <v>0.6015315553558036</v>
      </c>
      <c r="P554" t="str">
        <f t="shared" si="67"/>
        <v>False</v>
      </c>
      <c r="R554" t="str">
        <f>Deals_Raw!AF557</f>
        <v>Lost</v>
      </c>
      <c r="S554">
        <f t="shared" si="72"/>
        <v>0</v>
      </c>
      <c r="T554">
        <f>Deals_Raw!AM557</f>
        <v>77129.55</v>
      </c>
      <c r="U554">
        <f t="shared" si="69"/>
        <v>0</v>
      </c>
      <c r="V554">
        <f>Deals_Raw!AN557</f>
        <v>77129.55</v>
      </c>
      <c r="W554">
        <f t="shared" si="70"/>
        <v>0</v>
      </c>
      <c r="X554">
        <f>Deals_Raw!AO557</f>
        <v>46395.858175393223</v>
      </c>
      <c r="Y554">
        <f t="shared" si="71"/>
        <v>0</v>
      </c>
      <c r="Z554">
        <f>Deals_Raw!AP557</f>
        <v>0.6015315553558036</v>
      </c>
    </row>
    <row r="555" spans="1:26">
      <c r="A555" t="str">
        <f>Deals_Raw!A558</f>
        <v>D00630</v>
      </c>
      <c r="B555">
        <f>COUNTIF(Deals_Raw!$A$5:$A$643,A555)</f>
        <v>1</v>
      </c>
      <c r="C555" s="12" t="str">
        <f>Deals_Raw!E558</f>
        <v>CT00340</v>
      </c>
      <c r="E555">
        <f>Deals_Raw!AA558</f>
        <v>52495.544910349374</v>
      </c>
      <c r="F555">
        <f>ROUND(Deals_Raw!T558*(1-Deals_Raw!W558),2)</f>
        <v>52485.919999999998</v>
      </c>
      <c r="G555">
        <f t="shared" si="64"/>
        <v>-9.6249103493755683</v>
      </c>
      <c r="I555">
        <f>Deals_Raw!V558</f>
        <v>0.11</v>
      </c>
      <c r="J555">
        <f>Deals_Raw!W558</f>
        <v>8.6999999999999994E-2</v>
      </c>
      <c r="K555" t="str">
        <f>Deals_Raw!Z558</f>
        <v>Sales Manager</v>
      </c>
      <c r="L555" t="str">
        <f t="shared" si="65"/>
        <v>yes</v>
      </c>
      <c r="M555" t="str">
        <f t="shared" si="66"/>
        <v>Pass</v>
      </c>
      <c r="O555">
        <f>Deals_Raw!AP558</f>
        <v>0.57168635919651545</v>
      </c>
      <c r="P555" t="str">
        <f t="shared" si="67"/>
        <v>False</v>
      </c>
      <c r="R555" t="str">
        <f>Deals_Raw!AF558</f>
        <v>Won</v>
      </c>
      <c r="S555">
        <f t="shared" si="72"/>
        <v>52485.919999999998</v>
      </c>
      <c r="T555">
        <f>Deals_Raw!AM558</f>
        <v>52485.919999999998</v>
      </c>
      <c r="U555">
        <f t="shared" si="69"/>
        <v>52485.919999999998</v>
      </c>
      <c r="V555">
        <f>Deals_Raw!AN558</f>
        <v>52485.919999999998</v>
      </c>
      <c r="W555">
        <f t="shared" si="70"/>
        <v>30005.484513879572</v>
      </c>
      <c r="X555">
        <f>Deals_Raw!AO558</f>
        <v>30005.484513879572</v>
      </c>
      <c r="Y555">
        <f t="shared" si="71"/>
        <v>0.57168635919651545</v>
      </c>
      <c r="Z555">
        <f>Deals_Raw!AP558</f>
        <v>0.57168635919651545</v>
      </c>
    </row>
    <row r="556" spans="1:26">
      <c r="A556" t="str">
        <f>Deals_Raw!A559</f>
        <v>D00631</v>
      </c>
      <c r="B556">
        <f>COUNTIF(Deals_Raw!$A$5:$A$643,A556)</f>
        <v>1</v>
      </c>
      <c r="C556" s="12" t="str">
        <f>Deals_Raw!E559</f>
        <v>CT00340</v>
      </c>
      <c r="E556">
        <f>Deals_Raw!AA559</f>
        <v>47598.761669847299</v>
      </c>
      <c r="F556">
        <f>ROUND(Deals_Raw!T559*(1-Deals_Raw!W559),2)</f>
        <v>47619.39</v>
      </c>
      <c r="G556">
        <f t="shared" si="64"/>
        <v>20.628330152700073</v>
      </c>
      <c r="I556">
        <f>Deals_Raw!V559</f>
        <v>0.21099999999999999</v>
      </c>
      <c r="J556">
        <f>Deals_Raw!W559</f>
        <v>0.19900000000000001</v>
      </c>
      <c r="K556" t="str">
        <f>Deals_Raw!Z559</f>
        <v>Pricing Analyst</v>
      </c>
      <c r="L556" t="str">
        <f t="shared" si="65"/>
        <v>yes</v>
      </c>
      <c r="M556" t="str">
        <f t="shared" si="66"/>
        <v>Pass</v>
      </c>
      <c r="O556">
        <f>Deals_Raw!AP559</f>
        <v>0.54166566352658407</v>
      </c>
      <c r="P556" t="str">
        <f t="shared" si="67"/>
        <v>False</v>
      </c>
      <c r="R556" t="str">
        <f>Deals_Raw!AF559</f>
        <v>Won</v>
      </c>
      <c r="S556">
        <f t="shared" si="72"/>
        <v>47619.39</v>
      </c>
      <c r="T556">
        <f>Deals_Raw!AM559</f>
        <v>47619.39</v>
      </c>
      <c r="U556">
        <f t="shared" si="69"/>
        <v>47619.39</v>
      </c>
      <c r="V556">
        <f>Deals_Raw!AN559</f>
        <v>47619.39</v>
      </c>
      <c r="W556">
        <f t="shared" si="70"/>
        <v>25793.788481081181</v>
      </c>
      <c r="X556">
        <f>Deals_Raw!AO559</f>
        <v>25793.788481081181</v>
      </c>
      <c r="Y556">
        <f t="shared" si="71"/>
        <v>0.54166566352658407</v>
      </c>
      <c r="Z556">
        <f>Deals_Raw!AP559</f>
        <v>0.54166566352658407</v>
      </c>
    </row>
    <row r="557" spans="1:26">
      <c r="A557" t="str">
        <f>Deals_Raw!A560</f>
        <v>D00632</v>
      </c>
      <c r="B557">
        <f>COUNTIF(Deals_Raw!$A$5:$A$643,A557)</f>
        <v>1</v>
      </c>
      <c r="C557" s="12" t="str">
        <f>Deals_Raw!E560</f>
        <v>CT00341</v>
      </c>
      <c r="E557">
        <f>Deals_Raw!AA560</f>
        <v>245543.21717755304</v>
      </c>
      <c r="F557">
        <f>ROUND(Deals_Raw!T560*(1-Deals_Raw!W560),2)</f>
        <v>245490.67</v>
      </c>
      <c r="G557">
        <f t="shared" si="64"/>
        <v>-52.547177553031361</v>
      </c>
      <c r="I557">
        <f>Deals_Raw!V560</f>
        <v>0.192</v>
      </c>
      <c r="J557">
        <f>Deals_Raw!W560</f>
        <v>0.188</v>
      </c>
      <c r="K557" t="str">
        <f>Deals_Raw!Z560</f>
        <v>Pricing Analyst</v>
      </c>
      <c r="L557" t="str">
        <f t="shared" si="65"/>
        <v>yes</v>
      </c>
      <c r="M557" t="str">
        <f t="shared" si="66"/>
        <v>Pass</v>
      </c>
      <c r="O557">
        <f>Deals_Raw!AP560</f>
        <v>0.52738623932930817</v>
      </c>
      <c r="P557" t="str">
        <f t="shared" si="67"/>
        <v>False</v>
      </c>
      <c r="R557" t="str">
        <f>Deals_Raw!AF560</f>
        <v>Lost</v>
      </c>
      <c r="S557">
        <f t="shared" si="72"/>
        <v>0</v>
      </c>
      <c r="T557">
        <f>Deals_Raw!AM560</f>
        <v>245490.67</v>
      </c>
      <c r="U557">
        <f t="shared" si="69"/>
        <v>0</v>
      </c>
      <c r="V557">
        <f>Deals_Raw!AN560</f>
        <v>245490.67</v>
      </c>
      <c r="W557">
        <f t="shared" si="70"/>
        <v>0</v>
      </c>
      <c r="X557">
        <f>Deals_Raw!AO560</f>
        <v>129468.40124173222</v>
      </c>
      <c r="Y557">
        <f t="shared" si="71"/>
        <v>0</v>
      </c>
      <c r="Z557">
        <f>Deals_Raw!AP560</f>
        <v>0.52738623932930817</v>
      </c>
    </row>
    <row r="558" spans="1:26">
      <c r="A558" t="str">
        <f>Deals_Raw!A561</f>
        <v>D00633</v>
      </c>
      <c r="B558">
        <f>COUNTIF(Deals_Raw!$A$5:$A$643,A558)</f>
        <v>1</v>
      </c>
      <c r="C558" s="12" t="str">
        <f>Deals_Raw!E561</f>
        <v>CT00342</v>
      </c>
      <c r="E558">
        <f>Deals_Raw!AA561</f>
        <v>289476.99120515533</v>
      </c>
      <c r="F558">
        <f>ROUND(Deals_Raw!T561*(1-Deals_Raw!W561),2)</f>
        <v>289327.58</v>
      </c>
      <c r="G558">
        <f t="shared" si="64"/>
        <v>-149.41120515530929</v>
      </c>
      <c r="I558">
        <f>Deals_Raw!V561</f>
        <v>9.2999999999999999E-2</v>
      </c>
      <c r="J558">
        <f>Deals_Raw!W561</f>
        <v>7.0999999999999994E-2</v>
      </c>
      <c r="K558" t="str">
        <f>Deals_Raw!Z561</f>
        <v>Sales Manager</v>
      </c>
      <c r="L558" t="str">
        <f t="shared" si="65"/>
        <v>yes</v>
      </c>
      <c r="M558" t="str">
        <f t="shared" si="66"/>
        <v>Pass</v>
      </c>
      <c r="O558">
        <f>Deals_Raw!AP561</f>
        <v>0.59915164270428878</v>
      </c>
      <c r="P558" t="str">
        <f t="shared" si="67"/>
        <v>False</v>
      </c>
      <c r="R558" t="str">
        <f>Deals_Raw!AF561</f>
        <v>Won</v>
      </c>
      <c r="S558">
        <f t="shared" si="72"/>
        <v>289327.58</v>
      </c>
      <c r="T558">
        <f>Deals_Raw!AM561</f>
        <v>289327.58</v>
      </c>
      <c r="U558">
        <f t="shared" si="69"/>
        <v>867982.74</v>
      </c>
      <c r="V558">
        <f>Deals_Raw!AN561</f>
        <v>867982.74</v>
      </c>
      <c r="W558">
        <f t="shared" si="70"/>
        <v>173351.09483665653</v>
      </c>
      <c r="X558">
        <f>Deals_Raw!AO561</f>
        <v>173351.09483665653</v>
      </c>
      <c r="Y558">
        <f t="shared" si="71"/>
        <v>0.59915164270428878</v>
      </c>
      <c r="Z558">
        <f>Deals_Raw!AP561</f>
        <v>0.59915164270428878</v>
      </c>
    </row>
    <row r="559" spans="1:26">
      <c r="A559" t="str">
        <f>Deals_Raw!A562</f>
        <v>D00634</v>
      </c>
      <c r="B559">
        <f>COUNTIF(Deals_Raw!$A$5:$A$643,A559)</f>
        <v>1</v>
      </c>
      <c r="C559" s="12" t="str">
        <f>Deals_Raw!E562</f>
        <v>CT00343</v>
      </c>
      <c r="E559">
        <f>Deals_Raw!AA562</f>
        <v>75824.551662492551</v>
      </c>
      <c r="F559">
        <f>ROUND(Deals_Raw!T562*(1-Deals_Raw!W562),2)</f>
        <v>75822.64</v>
      </c>
      <c r="G559">
        <f t="shared" si="64"/>
        <v>-1.9116624925518408</v>
      </c>
      <c r="I559">
        <f>Deals_Raw!V562</f>
        <v>0.16700000000000001</v>
      </c>
      <c r="J559">
        <f>Deals_Raw!W562</f>
        <v>0.13600000000000001</v>
      </c>
      <c r="K559" t="str">
        <f>Deals_Raw!Z562</f>
        <v>Pricing Analyst</v>
      </c>
      <c r="L559" t="str">
        <f t="shared" si="65"/>
        <v>yes</v>
      </c>
      <c r="M559" t="str">
        <f t="shared" si="66"/>
        <v>Pass</v>
      </c>
      <c r="O559">
        <f>Deals_Raw!AP562</f>
        <v>0.4944821821200302</v>
      </c>
      <c r="P559" t="str">
        <f t="shared" si="67"/>
        <v>False</v>
      </c>
      <c r="R559" t="str">
        <f>Deals_Raw!AF562</f>
        <v>Lost</v>
      </c>
      <c r="S559">
        <f t="shared" si="72"/>
        <v>0</v>
      </c>
      <c r="T559">
        <v>0</v>
      </c>
      <c r="U559">
        <f t="shared" si="69"/>
        <v>0</v>
      </c>
      <c r="V559">
        <v>0</v>
      </c>
      <c r="W559">
        <f t="shared" si="70"/>
        <v>0</v>
      </c>
      <c r="X559">
        <v>0</v>
      </c>
      <c r="Y559">
        <f t="shared" si="71"/>
        <v>0</v>
      </c>
      <c r="Z559">
        <v>0</v>
      </c>
    </row>
    <row r="560" spans="1:26">
      <c r="A560" t="str">
        <f>Deals_Raw!A563</f>
        <v>D00635</v>
      </c>
      <c r="B560">
        <f>COUNTIF(Deals_Raw!$A$5:$A$643,A560)</f>
        <v>1</v>
      </c>
      <c r="C560" s="12" t="str">
        <f>Deals_Raw!E563</f>
        <v>CT00343</v>
      </c>
      <c r="E560">
        <f>Deals_Raw!AA563</f>
        <v>73577.248342613646</v>
      </c>
      <c r="F560">
        <f>ROUND(Deals_Raw!T563*(1-Deals_Raw!W563),2)</f>
        <v>73540.94</v>
      </c>
      <c r="G560">
        <f t="shared" si="64"/>
        <v>-36.308342613643617</v>
      </c>
      <c r="I560">
        <f>Deals_Raw!V563</f>
        <v>0.183</v>
      </c>
      <c r="J560">
        <f>Deals_Raw!W563</f>
        <v>0.16200000000000001</v>
      </c>
      <c r="K560" t="str">
        <f>Deals_Raw!Z563</f>
        <v>Pricing Analyst</v>
      </c>
      <c r="L560" t="str">
        <f t="shared" si="65"/>
        <v>yes</v>
      </c>
      <c r="M560" t="str">
        <f t="shared" si="66"/>
        <v>Pass</v>
      </c>
      <c r="O560">
        <f>Deals_Raw!AP563</f>
        <v>0.54295282077917573</v>
      </c>
      <c r="P560" t="str">
        <f t="shared" si="67"/>
        <v>False</v>
      </c>
      <c r="R560" t="str">
        <f>Deals_Raw!AF563</f>
        <v>Won</v>
      </c>
      <c r="S560">
        <f t="shared" si="72"/>
        <v>73540.94</v>
      </c>
      <c r="T560">
        <f>Deals_Raw!AM563</f>
        <v>73540.94</v>
      </c>
      <c r="U560">
        <f t="shared" si="69"/>
        <v>73540.94</v>
      </c>
      <c r="V560">
        <f>Deals_Raw!AN563</f>
        <v>73540.94</v>
      </c>
      <c r="W560">
        <f t="shared" si="70"/>
        <v>39929.260815752117</v>
      </c>
      <c r="X560">
        <f>Deals_Raw!AO563</f>
        <v>39929.260815752117</v>
      </c>
      <c r="Y560">
        <f t="shared" si="71"/>
        <v>0.54295282077917573</v>
      </c>
      <c r="Z560">
        <f>Deals_Raw!AP563</f>
        <v>0.54295282077917573</v>
      </c>
    </row>
    <row r="561" spans="1:26">
      <c r="A561" t="str">
        <f>Deals_Raw!A564</f>
        <v>D00636</v>
      </c>
      <c r="B561">
        <f>COUNTIF(Deals_Raw!$A$5:$A$643,A561)</f>
        <v>1</v>
      </c>
      <c r="C561" s="12" t="str">
        <f>Deals_Raw!E564</f>
        <v>CT00343</v>
      </c>
      <c r="E561">
        <f>Deals_Raw!AA564</f>
        <v>90129.445798483575</v>
      </c>
      <c r="F561">
        <f>ROUND(Deals_Raw!T564*(1-Deals_Raw!W564),2)</f>
        <v>90170.06</v>
      </c>
      <c r="G561">
        <f t="shared" si="64"/>
        <v>40.614201516422327</v>
      </c>
      <c r="I561">
        <f>Deals_Raw!V564</f>
        <v>5.2999999999999999E-2</v>
      </c>
      <c r="J561">
        <f>Deals_Raw!W564</f>
        <v>2.1000000000000001E-2</v>
      </c>
      <c r="K561" t="str">
        <f>Deals_Raw!Z564</f>
        <v>Sales Manager</v>
      </c>
      <c r="L561" t="str">
        <f t="shared" si="65"/>
        <v>yes</v>
      </c>
      <c r="M561" t="str">
        <f t="shared" si="66"/>
        <v>Pass</v>
      </c>
      <c r="O561">
        <f>Deals_Raw!AP564</f>
        <v>0.62879073558972309</v>
      </c>
      <c r="P561" t="str">
        <f t="shared" si="67"/>
        <v>False</v>
      </c>
      <c r="R561" t="str">
        <f>Deals_Raw!AF564</f>
        <v>Won</v>
      </c>
      <c r="S561">
        <f t="shared" si="72"/>
        <v>90170.06</v>
      </c>
      <c r="T561">
        <f>Deals_Raw!AM564</f>
        <v>90170.06</v>
      </c>
      <c r="U561">
        <f t="shared" si="69"/>
        <v>90170.06</v>
      </c>
      <c r="V561">
        <f>Deals_Raw!AN564</f>
        <v>90170.06</v>
      </c>
      <c r="W561">
        <f t="shared" si="70"/>
        <v>56698.098355569469</v>
      </c>
      <c r="X561">
        <f>Deals_Raw!AO564</f>
        <v>56698.098355569469</v>
      </c>
      <c r="Y561">
        <f t="shared" si="71"/>
        <v>0.62879073558972309</v>
      </c>
      <c r="Z561">
        <f>Deals_Raw!AP564</f>
        <v>0.62879073558972309</v>
      </c>
    </row>
    <row r="562" spans="1:26">
      <c r="A562" t="str">
        <f>Deals_Raw!A565</f>
        <v>D00637</v>
      </c>
      <c r="B562">
        <f>COUNTIF(Deals_Raw!$A$5:$A$643,A562)</f>
        <v>1</v>
      </c>
      <c r="C562" s="12" t="str">
        <f>Deals_Raw!E565</f>
        <v>CT00344</v>
      </c>
      <c r="E562">
        <f>Deals_Raw!AA565</f>
        <v>278275.31488446408</v>
      </c>
      <c r="F562">
        <f>ROUND(Deals_Raw!T565*(1-Deals_Raw!W565),2)</f>
        <v>278125.34999999998</v>
      </c>
      <c r="G562">
        <f t="shared" si="64"/>
        <v>-149.96488446410513</v>
      </c>
      <c r="I562">
        <f>Deals_Raw!V565</f>
        <v>0.20499999999999999</v>
      </c>
      <c r="J562">
        <f>Deals_Raw!W565</f>
        <v>0.14799999999999999</v>
      </c>
      <c r="K562" t="str">
        <f>Deals_Raw!Z565</f>
        <v>Pricing Analyst</v>
      </c>
      <c r="L562" t="str">
        <f t="shared" si="65"/>
        <v>yes</v>
      </c>
      <c r="M562" t="str">
        <f t="shared" si="66"/>
        <v>Pass</v>
      </c>
      <c r="O562">
        <f>Deals_Raw!AP565</f>
        <v>0.54819779976686756</v>
      </c>
      <c r="P562" t="str">
        <f t="shared" si="67"/>
        <v>False</v>
      </c>
      <c r="R562" t="str">
        <f>Deals_Raw!AF565</f>
        <v>Lost</v>
      </c>
      <c r="S562">
        <f t="shared" si="72"/>
        <v>0</v>
      </c>
      <c r="T562">
        <v>0</v>
      </c>
      <c r="U562">
        <f t="shared" si="69"/>
        <v>0</v>
      </c>
      <c r="V562">
        <v>0</v>
      </c>
      <c r="W562">
        <f t="shared" si="70"/>
        <v>0</v>
      </c>
      <c r="X562">
        <v>0</v>
      </c>
      <c r="Y562">
        <f t="shared" si="71"/>
        <v>0</v>
      </c>
      <c r="Z562">
        <v>0</v>
      </c>
    </row>
    <row r="563" spans="1:26">
      <c r="A563" t="str">
        <f>Deals_Raw!A566</f>
        <v>D00639</v>
      </c>
      <c r="B563">
        <f>COUNTIF(Deals_Raw!$A$5:$A$643,A563)</f>
        <v>1</v>
      </c>
      <c r="C563" s="12" t="str">
        <f>Deals_Raw!E566</f>
        <v>CT00345</v>
      </c>
      <c r="E563">
        <f>Deals_Raw!AA566</f>
        <v>209634.18506205222</v>
      </c>
      <c r="F563">
        <f>ROUND(Deals_Raw!T566*(1-Deals_Raw!W566),2)</f>
        <v>209682.83</v>
      </c>
      <c r="G563">
        <f t="shared" si="64"/>
        <v>48.644937947770813</v>
      </c>
      <c r="I563">
        <f>Deals_Raw!V566</f>
        <v>0.105</v>
      </c>
      <c r="J563">
        <f>Deals_Raw!W566</f>
        <v>6.0999999999999999E-2</v>
      </c>
      <c r="K563" t="str">
        <f>Deals_Raw!Z566</f>
        <v>Sales Manager</v>
      </c>
      <c r="L563" t="str">
        <f t="shared" si="65"/>
        <v>yes</v>
      </c>
      <c r="M563" t="str">
        <f t="shared" si="66"/>
        <v>Pass</v>
      </c>
      <c r="O563">
        <f>Deals_Raw!AP566</f>
        <v>0.57670465618850475</v>
      </c>
      <c r="P563" t="str">
        <f t="shared" si="67"/>
        <v>False</v>
      </c>
      <c r="R563" t="str">
        <f>Deals_Raw!AF566</f>
        <v>Won</v>
      </c>
      <c r="S563">
        <f t="shared" si="72"/>
        <v>209682.83</v>
      </c>
      <c r="T563">
        <f>Deals_Raw!AM566</f>
        <v>209682.83</v>
      </c>
      <c r="U563">
        <f t="shared" si="69"/>
        <v>209682.83</v>
      </c>
      <c r="V563">
        <f>Deals_Raw!AN566</f>
        <v>209682.83</v>
      </c>
      <c r="W563">
        <f t="shared" si="70"/>
        <v>120925.06438378268</v>
      </c>
      <c r="X563">
        <f>Deals_Raw!AO566</f>
        <v>120925.06438378268</v>
      </c>
      <c r="Y563">
        <f t="shared" si="71"/>
        <v>0.57670465618850475</v>
      </c>
      <c r="Z563">
        <f>Deals_Raw!AP566</f>
        <v>0.57670465618850475</v>
      </c>
    </row>
    <row r="564" spans="1:26">
      <c r="A564" t="str">
        <f>Deals_Raw!A567</f>
        <v>D00640</v>
      </c>
      <c r="B564">
        <f>COUNTIF(Deals_Raw!$A$5:$A$643,A564)</f>
        <v>1</v>
      </c>
      <c r="C564" s="12" t="str">
        <f>Deals_Raw!E567</f>
        <v>CT00345</v>
      </c>
      <c r="E564">
        <f>Deals_Raw!AA567</f>
        <v>222301.68404347342</v>
      </c>
      <c r="F564">
        <f>ROUND(Deals_Raw!T567*(1-Deals_Raw!W567),2)</f>
        <v>222381.49</v>
      </c>
      <c r="G564">
        <f t="shared" si="64"/>
        <v>79.805956526572118</v>
      </c>
      <c r="I564">
        <f>Deals_Raw!V567</f>
        <v>8.4000000000000005E-2</v>
      </c>
      <c r="J564">
        <f>Deals_Raw!W567</f>
        <v>3.9E-2</v>
      </c>
      <c r="K564" t="str">
        <f>Deals_Raw!Z567</f>
        <v>Sales Manager</v>
      </c>
      <c r="L564" t="str">
        <f t="shared" si="65"/>
        <v>yes</v>
      </c>
      <c r="M564" t="str">
        <f t="shared" si="66"/>
        <v>Pass</v>
      </c>
      <c r="O564">
        <f>Deals_Raw!AP567</f>
        <v>0.58720171012680789</v>
      </c>
      <c r="P564" t="str">
        <f t="shared" si="67"/>
        <v>False</v>
      </c>
      <c r="R564" t="str">
        <f>Deals_Raw!AF567</f>
        <v>Won</v>
      </c>
      <c r="S564">
        <f t="shared" si="72"/>
        <v>222381.49</v>
      </c>
      <c r="T564">
        <f>Deals_Raw!AM567</f>
        <v>222381.49</v>
      </c>
      <c r="U564">
        <f t="shared" si="69"/>
        <v>222381.49</v>
      </c>
      <c r="V564">
        <f>Deals_Raw!AN567</f>
        <v>222381.49</v>
      </c>
      <c r="W564">
        <f t="shared" si="70"/>
        <v>130582.79122854762</v>
      </c>
      <c r="X564">
        <f>Deals_Raw!AO567</f>
        <v>130582.79122854762</v>
      </c>
      <c r="Y564">
        <f t="shared" si="71"/>
        <v>0.58720171012680789</v>
      </c>
      <c r="Z564">
        <f>Deals_Raw!AP567</f>
        <v>0.58720171012680789</v>
      </c>
    </row>
    <row r="565" spans="1:26">
      <c r="A565" t="str">
        <f>Deals_Raw!A568</f>
        <v>D00641</v>
      </c>
      <c r="B565">
        <f>COUNTIF(Deals_Raw!$A$5:$A$643,A565)</f>
        <v>1</v>
      </c>
      <c r="C565" s="12" t="str">
        <f>Deals_Raw!E568</f>
        <v>CT00346</v>
      </c>
      <c r="E565">
        <f>Deals_Raw!AA568</f>
        <v>72548.724622170048</v>
      </c>
      <c r="F565">
        <f>ROUND(Deals_Raw!T568*(1-Deals_Raw!W568),2)</f>
        <v>72552.56</v>
      </c>
      <c r="G565">
        <f t="shared" si="64"/>
        <v>3.8353778299497208</v>
      </c>
      <c r="I565">
        <f>Deals_Raw!V568</f>
        <v>0.22600000000000001</v>
      </c>
      <c r="J565">
        <f>Deals_Raw!W568</f>
        <v>0.187</v>
      </c>
      <c r="K565" t="str">
        <f>Deals_Raw!Z568</f>
        <v>Pricing Analyst</v>
      </c>
      <c r="L565" t="str">
        <f t="shared" si="65"/>
        <v>yes</v>
      </c>
      <c r="M565" t="str">
        <f t="shared" si="66"/>
        <v>Pass</v>
      </c>
      <c r="O565">
        <f>Deals_Raw!AP568</f>
        <v>0.44758770901917211</v>
      </c>
      <c r="P565" t="str">
        <f t="shared" si="67"/>
        <v>True</v>
      </c>
      <c r="Q565" t="s">
        <v>1722</v>
      </c>
      <c r="R565" t="str">
        <f>Deals_Raw!AF568</f>
        <v>Lost</v>
      </c>
      <c r="S565">
        <f t="shared" si="72"/>
        <v>0</v>
      </c>
      <c r="T565">
        <v>0</v>
      </c>
      <c r="U565">
        <f t="shared" si="69"/>
        <v>0</v>
      </c>
      <c r="V565">
        <v>0</v>
      </c>
      <c r="W565">
        <f t="shared" si="70"/>
        <v>0</v>
      </c>
      <c r="X565">
        <v>0</v>
      </c>
      <c r="Y565">
        <f t="shared" si="71"/>
        <v>0</v>
      </c>
      <c r="Z565">
        <v>0</v>
      </c>
    </row>
    <row r="566" spans="1:26">
      <c r="A566" t="str">
        <f>Deals_Raw!A569</f>
        <v>D00643</v>
      </c>
      <c r="B566">
        <f>COUNTIF(Deals_Raw!$A$5:$A$643,A566)</f>
        <v>1</v>
      </c>
      <c r="C566" s="12" t="str">
        <f>Deals_Raw!E569</f>
        <v>CT00348</v>
      </c>
      <c r="E566">
        <f>Deals_Raw!AA569</f>
        <v>59236.025404336768</v>
      </c>
      <c r="F566">
        <f>ROUND(Deals_Raw!T569*(1-Deals_Raw!W569),2)</f>
        <v>59232.06</v>
      </c>
      <c r="G566">
        <f t="shared" si="64"/>
        <v>-3.9654043367700069</v>
      </c>
      <c r="I566">
        <f>Deals_Raw!V569</f>
        <v>0.1</v>
      </c>
      <c r="J566">
        <f>Deals_Raw!W569</f>
        <v>6.6000000000000003E-2</v>
      </c>
      <c r="K566" t="str">
        <f>Deals_Raw!Z569</f>
        <v>Sales Manager</v>
      </c>
      <c r="L566" t="str">
        <f t="shared" si="65"/>
        <v>yes</v>
      </c>
      <c r="M566" t="str">
        <f t="shared" si="66"/>
        <v>Pass</v>
      </c>
      <c r="O566">
        <f>Deals_Raw!AP569</f>
        <v>0.64974542582336792</v>
      </c>
      <c r="P566" t="str">
        <f t="shared" si="67"/>
        <v>False</v>
      </c>
      <c r="R566" t="str">
        <f>Deals_Raw!AF569</f>
        <v>Lost</v>
      </c>
      <c r="S566">
        <f t="shared" si="72"/>
        <v>0</v>
      </c>
      <c r="T566">
        <v>0</v>
      </c>
      <c r="U566">
        <f t="shared" si="69"/>
        <v>0</v>
      </c>
      <c r="V566">
        <v>0</v>
      </c>
      <c r="W566">
        <f t="shared" si="70"/>
        <v>0</v>
      </c>
      <c r="X566">
        <v>0</v>
      </c>
      <c r="Y566">
        <f t="shared" si="71"/>
        <v>0</v>
      </c>
      <c r="Z566">
        <v>0</v>
      </c>
    </row>
    <row r="567" spans="1:26">
      <c r="A567" t="str">
        <f>Deals_Raw!A570</f>
        <v>D00644</v>
      </c>
      <c r="B567">
        <f>COUNTIF(Deals_Raw!$A$5:$A$643,A567)</f>
        <v>1</v>
      </c>
      <c r="C567" s="12" t="str">
        <f>Deals_Raw!E570</f>
        <v>CT00349</v>
      </c>
      <c r="E567">
        <f>Deals_Raw!AA570</f>
        <v>87747.263553013341</v>
      </c>
      <c r="F567">
        <f>ROUND(Deals_Raw!T570*(1-Deals_Raw!W570),2)</f>
        <v>87783.2</v>
      </c>
      <c r="G567">
        <f t="shared" si="64"/>
        <v>35.936446986655938</v>
      </c>
      <c r="I567">
        <f>Deals_Raw!V570</f>
        <v>0.127</v>
      </c>
      <c r="J567">
        <f>Deals_Raw!W570</f>
        <v>7.6999999999999999E-2</v>
      </c>
      <c r="K567" t="str">
        <f>Deals_Raw!Z570</f>
        <v>Sales Manager</v>
      </c>
      <c r="L567" t="str">
        <f t="shared" si="65"/>
        <v>yes</v>
      </c>
      <c r="M567" t="str">
        <f t="shared" si="66"/>
        <v>Pass</v>
      </c>
      <c r="O567">
        <f>Deals_Raw!AP570</f>
        <v>0.67119026045630348</v>
      </c>
      <c r="P567" t="str">
        <f t="shared" si="67"/>
        <v>False</v>
      </c>
      <c r="R567" t="str">
        <f>Deals_Raw!AF570</f>
        <v>Won</v>
      </c>
      <c r="S567">
        <f t="shared" si="72"/>
        <v>87783.2</v>
      </c>
      <c r="T567">
        <f>Deals_Raw!AM570</f>
        <v>87783.2</v>
      </c>
      <c r="U567">
        <f t="shared" si="69"/>
        <v>87783.2</v>
      </c>
      <c r="V567">
        <f>Deals_Raw!AN570</f>
        <v>87783.2</v>
      </c>
      <c r="W567">
        <f t="shared" si="70"/>
        <v>58919.228871687781</v>
      </c>
      <c r="X567">
        <f>Deals_Raw!AO570</f>
        <v>58919.228871687781</v>
      </c>
      <c r="Y567">
        <f t="shared" si="71"/>
        <v>0.67119026045630348</v>
      </c>
      <c r="Z567">
        <f>Deals_Raw!AP570</f>
        <v>0.67119026045630348</v>
      </c>
    </row>
    <row r="568" spans="1:26">
      <c r="A568" t="str">
        <f>Deals_Raw!A571</f>
        <v>D00645</v>
      </c>
      <c r="B568">
        <f>COUNTIF(Deals_Raw!$A$5:$A$643,A568)</f>
        <v>1</v>
      </c>
      <c r="C568" s="12" t="str">
        <f>Deals_Raw!E571</f>
        <v>CT00349</v>
      </c>
      <c r="E568">
        <f>Deals_Raw!AA571</f>
        <v>86760.356804989846</v>
      </c>
      <c r="F568">
        <f>ROUND(Deals_Raw!T571*(1-Deals_Raw!W571),2)</f>
        <v>86762.83</v>
      </c>
      <c r="G568">
        <f t="shared" si="64"/>
        <v>2.473195010155905</v>
      </c>
      <c r="I568">
        <f>Deals_Raw!V571</f>
        <v>0.159</v>
      </c>
      <c r="J568">
        <f>Deals_Raw!W571</f>
        <v>0.151</v>
      </c>
      <c r="K568" t="str">
        <f>Deals_Raw!Z571</f>
        <v>Pricing Analyst</v>
      </c>
      <c r="L568" t="str">
        <f t="shared" si="65"/>
        <v>yes</v>
      </c>
      <c r="M568" t="str">
        <f t="shared" si="66"/>
        <v>Pass</v>
      </c>
      <c r="O568">
        <f>Deals_Raw!AP571</f>
        <v>0.6556004417481075</v>
      </c>
      <c r="P568" t="str">
        <f t="shared" si="67"/>
        <v>False</v>
      </c>
      <c r="R568" t="str">
        <f>Deals_Raw!AF571</f>
        <v>Won</v>
      </c>
      <c r="S568">
        <f t="shared" si="72"/>
        <v>86762.83</v>
      </c>
      <c r="T568">
        <f>Deals_Raw!AM571</f>
        <v>86762.83</v>
      </c>
      <c r="U568">
        <f t="shared" si="69"/>
        <v>86762.83</v>
      </c>
      <c r="V568">
        <f>Deals_Raw!AN571</f>
        <v>86762.83</v>
      </c>
      <c r="W568">
        <f t="shared" si="70"/>
        <v>56881.74967531595</v>
      </c>
      <c r="X568">
        <f>Deals_Raw!AO571</f>
        <v>56881.74967531595</v>
      </c>
      <c r="Y568">
        <f t="shared" si="71"/>
        <v>0.6556004417481075</v>
      </c>
      <c r="Z568">
        <f>Deals_Raw!AP571</f>
        <v>0.6556004417481075</v>
      </c>
    </row>
    <row r="569" spans="1:26">
      <c r="A569" t="str">
        <f>Deals_Raw!A572</f>
        <v>D00646</v>
      </c>
      <c r="B569">
        <f>COUNTIF(Deals_Raw!$A$5:$A$643,A569)</f>
        <v>1</v>
      </c>
      <c r="C569" s="12" t="str">
        <f>Deals_Raw!E572</f>
        <v>CT00349</v>
      </c>
      <c r="E569">
        <f>Deals_Raw!AA572</f>
        <v>95944.21096297678</v>
      </c>
      <c r="F569">
        <f>ROUND(Deals_Raw!T572*(1-Deals_Raw!W572),2)</f>
        <v>95902.95</v>
      </c>
      <c r="G569">
        <f t="shared" si="64"/>
        <v>-41.260962976783048</v>
      </c>
      <c r="I569">
        <f>Deals_Raw!V572</f>
        <v>0.16600000000000001</v>
      </c>
      <c r="J569">
        <f>Deals_Raw!W572</f>
        <v>0.14299999999999999</v>
      </c>
      <c r="K569" t="str">
        <f>Deals_Raw!Z572</f>
        <v>Pricing Analyst</v>
      </c>
      <c r="L569" t="str">
        <f t="shared" si="65"/>
        <v>yes</v>
      </c>
      <c r="M569" t="str">
        <f t="shared" si="66"/>
        <v>Pass</v>
      </c>
      <c r="O569">
        <f>Deals_Raw!AP572</f>
        <v>0.62220755845421793</v>
      </c>
      <c r="P569" t="str">
        <f t="shared" si="67"/>
        <v>False</v>
      </c>
      <c r="R569" t="str">
        <f>Deals_Raw!AF572</f>
        <v>Won</v>
      </c>
      <c r="S569">
        <f t="shared" si="72"/>
        <v>95902.95</v>
      </c>
      <c r="T569">
        <f>Deals_Raw!AM572</f>
        <v>95902.95</v>
      </c>
      <c r="U569">
        <f t="shared" si="69"/>
        <v>95902.95</v>
      </c>
      <c r="V569">
        <f>Deals_Raw!AN572</f>
        <v>95902.95</v>
      </c>
      <c r="W569">
        <f t="shared" si="70"/>
        <v>59671.540368056943</v>
      </c>
      <c r="X569">
        <f>Deals_Raw!AO572</f>
        <v>59671.540368056943</v>
      </c>
      <c r="Y569">
        <f t="shared" si="71"/>
        <v>0.62220755845421793</v>
      </c>
      <c r="Z569">
        <f>Deals_Raw!AP572</f>
        <v>0.62220755845421793</v>
      </c>
    </row>
    <row r="570" spans="1:26">
      <c r="A570" t="str">
        <f>Deals_Raw!A573</f>
        <v>D00647</v>
      </c>
      <c r="B570">
        <f>COUNTIF(Deals_Raw!$A$5:$A$643,A570)</f>
        <v>1</v>
      </c>
      <c r="C570" s="12" t="str">
        <f>Deals_Raw!E573</f>
        <v>CT00349</v>
      </c>
      <c r="E570">
        <f>Deals_Raw!AA573</f>
        <v>95473.05885922692</v>
      </c>
      <c r="F570">
        <f>ROUND(Deals_Raw!T573*(1-Deals_Raw!W573),2)</f>
        <v>95453.3</v>
      </c>
      <c r="G570">
        <f t="shared" si="64"/>
        <v>-19.758859226916684</v>
      </c>
      <c r="I570">
        <f>Deals_Raw!V573</f>
        <v>0.184</v>
      </c>
      <c r="J570">
        <f>Deals_Raw!W573</f>
        <v>0.16900000000000001</v>
      </c>
      <c r="K570" t="str">
        <f>Deals_Raw!Z573</f>
        <v>Pricing Analyst</v>
      </c>
      <c r="L570" t="str">
        <f t="shared" si="65"/>
        <v>yes</v>
      </c>
      <c r="M570" t="str">
        <f t="shared" si="66"/>
        <v>Pass</v>
      </c>
      <c r="O570">
        <f>Deals_Raw!AP573</f>
        <v>0.63114504824225848</v>
      </c>
      <c r="P570" t="str">
        <f t="shared" si="67"/>
        <v>False</v>
      </c>
      <c r="R570" t="str">
        <f>Deals_Raw!AF573</f>
        <v>Won</v>
      </c>
      <c r="S570">
        <f t="shared" si="72"/>
        <v>95453.3</v>
      </c>
      <c r="T570">
        <f>Deals_Raw!AM573</f>
        <v>95453.3</v>
      </c>
      <c r="U570">
        <f t="shared" si="69"/>
        <v>95453.3</v>
      </c>
      <c r="V570">
        <f>Deals_Raw!AN573</f>
        <v>95453.3</v>
      </c>
      <c r="W570">
        <f t="shared" si="70"/>
        <v>60244.87763338277</v>
      </c>
      <c r="X570">
        <f>Deals_Raw!AO573</f>
        <v>60244.87763338277</v>
      </c>
      <c r="Y570">
        <f t="shared" si="71"/>
        <v>0.63114504824225848</v>
      </c>
      <c r="Z570">
        <f>Deals_Raw!AP573</f>
        <v>0.63114504824225848</v>
      </c>
    </row>
    <row r="571" spans="1:26">
      <c r="A571" t="str">
        <f>Deals_Raw!A574</f>
        <v>D00648</v>
      </c>
      <c r="B571">
        <f>COUNTIF(Deals_Raw!$A$5:$A$643,A571)</f>
        <v>1</v>
      </c>
      <c r="C571" s="12" t="str">
        <f>Deals_Raw!E574</f>
        <v>CT00351</v>
      </c>
      <c r="E571">
        <f>Deals_Raw!AA574</f>
        <v>144725.24552297438</v>
      </c>
      <c r="F571">
        <f>ROUND(Deals_Raw!T574*(1-Deals_Raw!W574),2)</f>
        <v>144725.25</v>
      </c>
      <c r="G571">
        <f t="shared" si="64"/>
        <v>4.4770256208721548E-3</v>
      </c>
      <c r="I571">
        <f>Deals_Raw!V574</f>
        <v>0</v>
      </c>
      <c r="J571">
        <f>Deals_Raw!W574</f>
        <v>0</v>
      </c>
      <c r="K571" t="str">
        <f>Deals_Raw!Z574</f>
        <v>Sales Manager</v>
      </c>
      <c r="L571" t="str">
        <f t="shared" si="65"/>
        <v>yes</v>
      </c>
      <c r="M571" t="str">
        <f t="shared" si="66"/>
        <v>Pass</v>
      </c>
      <c r="O571">
        <f>Deals_Raw!AP574</f>
        <v>0.66647989406997732</v>
      </c>
      <c r="P571" t="str">
        <f t="shared" si="67"/>
        <v>False</v>
      </c>
      <c r="R571" t="str">
        <f>Deals_Raw!AF574</f>
        <v>Lost</v>
      </c>
      <c r="S571">
        <f t="shared" si="72"/>
        <v>0</v>
      </c>
      <c r="T571">
        <v>0</v>
      </c>
      <c r="U571">
        <f t="shared" si="69"/>
        <v>0</v>
      </c>
      <c r="V571">
        <v>0</v>
      </c>
      <c r="W571">
        <f t="shared" si="70"/>
        <v>0</v>
      </c>
      <c r="X571">
        <v>0</v>
      </c>
      <c r="Y571">
        <f t="shared" si="71"/>
        <v>0</v>
      </c>
      <c r="Z571">
        <v>0</v>
      </c>
    </row>
    <row r="572" spans="1:26">
      <c r="A572" t="str">
        <f>Deals_Raw!A575</f>
        <v>D00650</v>
      </c>
      <c r="B572">
        <f>COUNTIF(Deals_Raw!$A$5:$A$643,A572)</f>
        <v>1</v>
      </c>
      <c r="C572" s="12" t="str">
        <f>Deals_Raw!E575</f>
        <v>CT00352</v>
      </c>
      <c r="E572">
        <f>Deals_Raw!AA575</f>
        <v>119791.06573193781</v>
      </c>
      <c r="F572">
        <f>ROUND(Deals_Raw!T575*(1-Deals_Raw!W575),2)</f>
        <v>119776.71</v>
      </c>
      <c r="G572">
        <f t="shared" si="64"/>
        <v>-14.355731937801465</v>
      </c>
      <c r="I572">
        <f>Deals_Raw!V575</f>
        <v>0.17499999999999999</v>
      </c>
      <c r="J572">
        <f>Deals_Raw!W575</f>
        <v>0.14899999999999999</v>
      </c>
      <c r="K572" t="str">
        <f>Deals_Raw!Z575</f>
        <v>Pricing Analyst</v>
      </c>
      <c r="L572" t="str">
        <f t="shared" si="65"/>
        <v>yes</v>
      </c>
      <c r="M572" t="str">
        <f t="shared" si="66"/>
        <v>Pass</v>
      </c>
      <c r="O572">
        <f>Deals_Raw!AP575</f>
        <v>0.51601390602198882</v>
      </c>
      <c r="P572" t="str">
        <f t="shared" si="67"/>
        <v>False</v>
      </c>
      <c r="R572" t="str">
        <f>Deals_Raw!AF575</f>
        <v>Won</v>
      </c>
      <c r="S572">
        <f t="shared" si="72"/>
        <v>119776.71</v>
      </c>
      <c r="T572">
        <f>Deals_Raw!AM575</f>
        <v>119776.71</v>
      </c>
      <c r="U572">
        <f t="shared" si="69"/>
        <v>239553.42</v>
      </c>
      <c r="V572">
        <f>Deals_Raw!AN575</f>
        <v>239553.42</v>
      </c>
      <c r="W572">
        <f t="shared" si="70"/>
        <v>61806.44797756301</v>
      </c>
      <c r="X572">
        <f>Deals_Raw!AO575</f>
        <v>61806.44797756301</v>
      </c>
      <c r="Y572">
        <f t="shared" si="71"/>
        <v>0.51601390602198882</v>
      </c>
      <c r="Z572">
        <f>Deals_Raw!AP575</f>
        <v>0.51601390602198882</v>
      </c>
    </row>
    <row r="573" spans="1:26">
      <c r="A573" t="str">
        <f>Deals_Raw!A576</f>
        <v>D00651</v>
      </c>
      <c r="B573">
        <f>COUNTIF(Deals_Raw!$A$5:$A$643,A573)</f>
        <v>1</v>
      </c>
      <c r="C573" s="12" t="str">
        <f>Deals_Raw!E576</f>
        <v>CT00352</v>
      </c>
      <c r="E573">
        <f>Deals_Raw!AA576</f>
        <v>132787.00699057628</v>
      </c>
      <c r="F573">
        <f>ROUND(Deals_Raw!T576*(1-Deals_Raw!W576),2)</f>
        <v>132796.92000000001</v>
      </c>
      <c r="G573">
        <f t="shared" si="64"/>
        <v>9.9130094237334561</v>
      </c>
      <c r="I573">
        <f>Deals_Raw!V576</f>
        <v>8.7999999999999995E-2</v>
      </c>
      <c r="J573">
        <f>Deals_Raw!W576</f>
        <v>8.6999999999999994E-2</v>
      </c>
      <c r="K573" t="str">
        <f>Deals_Raw!Z576</f>
        <v>Sales Manager</v>
      </c>
      <c r="L573" t="str">
        <f t="shared" si="65"/>
        <v>yes</v>
      </c>
      <c r="M573" t="str">
        <f t="shared" si="66"/>
        <v>Pass</v>
      </c>
      <c r="O573">
        <f>Deals_Raw!AP576</f>
        <v>0.55823966966831273</v>
      </c>
      <c r="P573" t="str">
        <f t="shared" si="67"/>
        <v>False</v>
      </c>
      <c r="R573" t="str">
        <f>Deals_Raw!AF576</f>
        <v>Lost</v>
      </c>
      <c r="S573">
        <f t="shared" si="72"/>
        <v>0</v>
      </c>
      <c r="T573">
        <v>0</v>
      </c>
      <c r="U573">
        <f t="shared" si="69"/>
        <v>0</v>
      </c>
      <c r="V573">
        <v>0</v>
      </c>
      <c r="W573">
        <f t="shared" si="70"/>
        <v>0</v>
      </c>
      <c r="X573">
        <v>0</v>
      </c>
      <c r="Y573">
        <f t="shared" si="71"/>
        <v>0</v>
      </c>
      <c r="Z573">
        <v>0</v>
      </c>
    </row>
    <row r="574" spans="1:26">
      <c r="A574" t="str">
        <f>Deals_Raw!A577</f>
        <v>D00652</v>
      </c>
      <c r="B574">
        <f>COUNTIF(Deals_Raw!$A$5:$A$643,A574)</f>
        <v>1</v>
      </c>
      <c r="C574" s="12" t="str">
        <f>Deals_Raw!E577</f>
        <v>CT00353</v>
      </c>
      <c r="E574">
        <f>Deals_Raw!AA577</f>
        <v>82952.773485552403</v>
      </c>
      <c r="F574">
        <f>ROUND(Deals_Raw!T577*(1-Deals_Raw!W577),2)</f>
        <v>82968.44</v>
      </c>
      <c r="G574">
        <f t="shared" si="64"/>
        <v>15.666514447599184</v>
      </c>
      <c r="I574">
        <f>Deals_Raw!V577</f>
        <v>8.6999999999999994E-2</v>
      </c>
      <c r="J574">
        <f>Deals_Raw!W577</f>
        <v>6.6000000000000003E-2</v>
      </c>
      <c r="K574" t="str">
        <f>Deals_Raw!Z577</f>
        <v>Sales Manager</v>
      </c>
      <c r="L574" t="str">
        <f t="shared" si="65"/>
        <v>yes</v>
      </c>
      <c r="M574" t="str">
        <f t="shared" si="66"/>
        <v>Pass</v>
      </c>
      <c r="O574">
        <f>Deals_Raw!AP577</f>
        <v>0.57494558081530722</v>
      </c>
      <c r="P574" t="str">
        <f t="shared" si="67"/>
        <v>False</v>
      </c>
      <c r="R574" t="str">
        <f>Deals_Raw!AF577</f>
        <v>Won</v>
      </c>
      <c r="S574">
        <f t="shared" si="72"/>
        <v>82968.44</v>
      </c>
      <c r="T574">
        <f>Deals_Raw!AM577</f>
        <v>82968.44</v>
      </c>
      <c r="U574">
        <f t="shared" si="69"/>
        <v>82968.44</v>
      </c>
      <c r="V574">
        <f>Deals_Raw!AN577</f>
        <v>82968.44</v>
      </c>
      <c r="W574">
        <f t="shared" si="70"/>
        <v>47702.337925139967</v>
      </c>
      <c r="X574">
        <f>Deals_Raw!AO577</f>
        <v>47702.337925139967</v>
      </c>
      <c r="Y574">
        <f t="shared" si="71"/>
        <v>0.57494558081530722</v>
      </c>
      <c r="Z574">
        <f>Deals_Raw!AP577</f>
        <v>0.57494558081530722</v>
      </c>
    </row>
    <row r="575" spans="1:26">
      <c r="A575" t="str">
        <f>Deals_Raw!A578</f>
        <v>D00653</v>
      </c>
      <c r="B575">
        <f>COUNTIF(Deals_Raw!$A$5:$A$643,A575)</f>
        <v>1</v>
      </c>
      <c r="C575" s="12" t="str">
        <f>Deals_Raw!E578</f>
        <v>CT00353</v>
      </c>
      <c r="E575">
        <f>Deals_Raw!AA578</f>
        <v>83005.508177486714</v>
      </c>
      <c r="F575">
        <f>ROUND(Deals_Raw!T578*(1-Deals_Raw!W578),2)</f>
        <v>83047</v>
      </c>
      <c r="G575">
        <f t="shared" si="64"/>
        <v>41.491822513286024</v>
      </c>
      <c r="I575">
        <f>Deals_Raw!V578</f>
        <v>0.12</v>
      </c>
      <c r="J575">
        <f>Deals_Raw!W578</f>
        <v>8.5000000000000006E-2</v>
      </c>
      <c r="K575" t="str">
        <f>Deals_Raw!Z578</f>
        <v>Sales Manager</v>
      </c>
      <c r="L575" t="str">
        <f t="shared" si="65"/>
        <v>yes</v>
      </c>
      <c r="M575" t="str">
        <f t="shared" si="66"/>
        <v>Pass</v>
      </c>
      <c r="O575">
        <f>Deals_Raw!AP578</f>
        <v>0.67191320246043573</v>
      </c>
      <c r="P575" t="str">
        <f t="shared" si="67"/>
        <v>False</v>
      </c>
      <c r="R575" t="str">
        <f>Deals_Raw!AF578</f>
        <v>Won</v>
      </c>
      <c r="S575">
        <f t="shared" si="72"/>
        <v>83047</v>
      </c>
      <c r="T575">
        <f>Deals_Raw!AM578</f>
        <v>83047</v>
      </c>
      <c r="U575">
        <f t="shared" si="69"/>
        <v>83047</v>
      </c>
      <c r="V575">
        <f>Deals_Raw!AN578</f>
        <v>83047</v>
      </c>
      <c r="W575">
        <f t="shared" si="70"/>
        <v>55800.375724731806</v>
      </c>
      <c r="X575">
        <f>Deals_Raw!AO578</f>
        <v>55800.375724731806</v>
      </c>
      <c r="Y575">
        <f t="shared" si="71"/>
        <v>0.67191320246043573</v>
      </c>
      <c r="Z575">
        <f>Deals_Raw!AP578</f>
        <v>0.67191320246043573</v>
      </c>
    </row>
    <row r="576" spans="1:26">
      <c r="A576" t="str">
        <f>Deals_Raw!A579</f>
        <v>D00654</v>
      </c>
      <c r="B576">
        <f>COUNTIF(Deals_Raw!$A$5:$A$643,A576)</f>
        <v>1</v>
      </c>
      <c r="C576" s="12" t="str">
        <f>Deals_Raw!E579</f>
        <v>CT00354</v>
      </c>
      <c r="E576">
        <f>Deals_Raw!AA579</f>
        <v>37367.46655039808</v>
      </c>
      <c r="F576">
        <f>ROUND(Deals_Raw!T579*(1-Deals_Raw!W579),2)</f>
        <v>37384.82</v>
      </c>
      <c r="G576">
        <f t="shared" si="64"/>
        <v>17.353449601920147</v>
      </c>
      <c r="I576">
        <f>Deals_Raw!V579</f>
        <v>0.24099999999999999</v>
      </c>
      <c r="J576">
        <f>Deals_Raw!W579</f>
        <v>0.221</v>
      </c>
      <c r="K576" t="str">
        <f>Deals_Raw!Z579</f>
        <v>Business Manager</v>
      </c>
      <c r="L576" t="str">
        <f t="shared" si="65"/>
        <v>yes</v>
      </c>
      <c r="M576" t="str">
        <f t="shared" si="66"/>
        <v>Pass</v>
      </c>
      <c r="O576">
        <f>Deals_Raw!AP579</f>
        <v>0.58701844716200324</v>
      </c>
      <c r="P576" t="str">
        <f t="shared" si="67"/>
        <v>False</v>
      </c>
      <c r="R576" t="str">
        <f>Deals_Raw!AF579</f>
        <v>Lost</v>
      </c>
      <c r="S576">
        <f t="shared" si="72"/>
        <v>0</v>
      </c>
      <c r="T576">
        <v>0</v>
      </c>
      <c r="U576">
        <f t="shared" si="69"/>
        <v>0</v>
      </c>
      <c r="V576">
        <v>0</v>
      </c>
      <c r="W576">
        <f t="shared" si="70"/>
        <v>0</v>
      </c>
      <c r="X576">
        <v>0</v>
      </c>
      <c r="Y576">
        <f t="shared" si="71"/>
        <v>0</v>
      </c>
      <c r="Z576">
        <v>0</v>
      </c>
    </row>
    <row r="577" spans="1:26">
      <c r="A577" t="str">
        <f>Deals_Raw!A580</f>
        <v>D00655</v>
      </c>
      <c r="B577">
        <f>COUNTIF(Deals_Raw!$A$5:$A$643,A577)</f>
        <v>1</v>
      </c>
      <c r="C577" s="12" t="str">
        <f>Deals_Raw!E580</f>
        <v>CT00355</v>
      </c>
      <c r="E577">
        <f>Deals_Raw!AA580</f>
        <v>59421.84242603615</v>
      </c>
      <c r="F577">
        <f>ROUND(Deals_Raw!T580*(1-Deals_Raw!W580),2)</f>
        <v>59414.94</v>
      </c>
      <c r="G577">
        <f t="shared" si="64"/>
        <v>-6.9024260361475172</v>
      </c>
      <c r="I577">
        <f>Deals_Raw!V580</f>
        <v>0.17799999999999999</v>
      </c>
      <c r="J577">
        <f>Deals_Raw!W580</f>
        <v>0.16</v>
      </c>
      <c r="K577" t="str">
        <f>Deals_Raw!Z580</f>
        <v>Pricing Analyst</v>
      </c>
      <c r="L577" t="str">
        <f t="shared" si="65"/>
        <v>yes</v>
      </c>
      <c r="M577" t="str">
        <f t="shared" si="66"/>
        <v>Pass</v>
      </c>
      <c r="O577">
        <f>Deals_Raw!AP580</f>
        <v>0.56269509835220366</v>
      </c>
      <c r="P577" t="str">
        <f t="shared" si="67"/>
        <v>False</v>
      </c>
      <c r="R577" t="str">
        <f>Deals_Raw!AF580</f>
        <v>Won</v>
      </c>
      <c r="S577">
        <f t="shared" si="72"/>
        <v>59414.94</v>
      </c>
      <c r="T577">
        <f>Deals_Raw!AM580</f>
        <v>59414.94</v>
      </c>
      <c r="U577">
        <f t="shared" si="69"/>
        <v>59414.94</v>
      </c>
      <c r="V577">
        <f>Deals_Raw!AN580</f>
        <v>59414.94</v>
      </c>
      <c r="W577">
        <f t="shared" si="70"/>
        <v>33432.495506890278</v>
      </c>
      <c r="X577">
        <f>Deals_Raw!AO580</f>
        <v>33432.495506890278</v>
      </c>
      <c r="Y577">
        <f t="shared" si="71"/>
        <v>0.56269509835220366</v>
      </c>
      <c r="Z577">
        <f>Deals_Raw!AP580</f>
        <v>0.56269509835220366</v>
      </c>
    </row>
    <row r="578" spans="1:26">
      <c r="A578" t="str">
        <f>Deals_Raw!A581</f>
        <v>D00656</v>
      </c>
      <c r="B578">
        <f>COUNTIF(Deals_Raw!$A$5:$A$643,A578)</f>
        <v>1</v>
      </c>
      <c r="C578" s="12" t="str">
        <f>Deals_Raw!E581</f>
        <v>CT00355</v>
      </c>
      <c r="E578">
        <f>Deals_Raw!AA581</f>
        <v>69764.433795271776</v>
      </c>
      <c r="F578">
        <f>ROUND(Deals_Raw!T581*(1-Deals_Raw!W581),2)</f>
        <v>69795.58</v>
      </c>
      <c r="G578">
        <f t="shared" si="64"/>
        <v>31.146204728225712</v>
      </c>
      <c r="I578">
        <f>Deals_Raw!V581</f>
        <v>0.111</v>
      </c>
      <c r="J578">
        <f>Deals_Raw!W581</f>
        <v>6.0999999999999999E-2</v>
      </c>
      <c r="K578" t="str">
        <f>Deals_Raw!Z581</f>
        <v>Sales Manager</v>
      </c>
      <c r="L578" t="str">
        <f t="shared" si="65"/>
        <v>yes</v>
      </c>
      <c r="M578" t="str">
        <f t="shared" si="66"/>
        <v>Pass</v>
      </c>
      <c r="O578">
        <f>Deals_Raw!AP581</f>
        <v>0.62246950155362812</v>
      </c>
      <c r="P578" t="str">
        <f t="shared" si="67"/>
        <v>False</v>
      </c>
      <c r="R578" t="str">
        <f>Deals_Raw!AF581</f>
        <v>Lost</v>
      </c>
      <c r="S578">
        <f t="shared" si="72"/>
        <v>0</v>
      </c>
      <c r="T578">
        <v>0</v>
      </c>
      <c r="U578">
        <f t="shared" si="69"/>
        <v>0</v>
      </c>
      <c r="V578">
        <v>0</v>
      </c>
      <c r="W578">
        <f t="shared" si="70"/>
        <v>0</v>
      </c>
      <c r="X578">
        <v>0</v>
      </c>
      <c r="Y578">
        <f t="shared" si="71"/>
        <v>0</v>
      </c>
      <c r="Z578">
        <v>0</v>
      </c>
    </row>
    <row r="579" spans="1:26">
      <c r="A579" t="str">
        <f>Deals_Raw!A582</f>
        <v>D00659</v>
      </c>
      <c r="B579">
        <f>COUNTIF(Deals_Raw!$A$5:$A$643,A579)</f>
        <v>1</v>
      </c>
      <c r="C579" s="12" t="str">
        <f>Deals_Raw!E582</f>
        <v>CT00356</v>
      </c>
      <c r="E579">
        <f>Deals_Raw!AA582</f>
        <v>71974.003322472898</v>
      </c>
      <c r="F579">
        <f>ROUND(Deals_Raw!T582*(1-Deals_Raw!W582),2)</f>
        <v>71992.11</v>
      </c>
      <c r="G579">
        <f t="shared" ref="G579:G639" si="73">F579-E579</f>
        <v>18.106677527102875</v>
      </c>
      <c r="I579">
        <f>Deals_Raw!V582</f>
        <v>9.9000000000000005E-2</v>
      </c>
      <c r="J579">
        <f>Deals_Raw!W582</f>
        <v>5.8999999999999997E-2</v>
      </c>
      <c r="K579" t="str">
        <f>Deals_Raw!Z582</f>
        <v>Sales Manager</v>
      </c>
      <c r="L579" t="str">
        <f t="shared" ref="L579:L638" si="74">IF(J579&lt;=I579, "yes", "no")</f>
        <v>yes</v>
      </c>
      <c r="M579" t="str">
        <f t="shared" ref="M579:M639" si="75">IF(AND(J579&lt;=0.1,K579="Sales Manager"),"Pass",
 IF(AND(J579&gt;0.1,J579&lt;=0.2,K579="Pricing Analyst"),"Pass",
 IF(AND(J579&gt;0.2,K579="Business Manager"),"Pass","Review")))</f>
        <v>Pass</v>
      </c>
      <c r="O579">
        <f>Deals_Raw!AP582</f>
        <v>0.68088581817056171</v>
      </c>
      <c r="P579" t="str">
        <f t="shared" ref="P579:P637" si="76">IF(O579&lt;=0.45, "True", "False")</f>
        <v>False</v>
      </c>
      <c r="R579" t="str">
        <f>Deals_Raw!AF582</f>
        <v>Lost</v>
      </c>
      <c r="S579">
        <f t="shared" si="72"/>
        <v>0</v>
      </c>
      <c r="T579">
        <v>0</v>
      </c>
      <c r="U579">
        <f t="shared" ref="U579:U639" si="77">IF($R579="Lost",0,V579)</f>
        <v>0</v>
      </c>
      <c r="V579">
        <v>0</v>
      </c>
      <c r="W579">
        <f t="shared" ref="W579:W639" si="78">IF($R579="Lost",0,X579)</f>
        <v>0</v>
      </c>
      <c r="X579">
        <v>0</v>
      </c>
      <c r="Y579">
        <f t="shared" ref="Y579:Y639" si="79">IF($R579="Lost",0,Z579)</f>
        <v>0</v>
      </c>
      <c r="Z579">
        <v>0</v>
      </c>
    </row>
    <row r="580" spans="1:26">
      <c r="A580" t="str">
        <f>Deals_Raw!A583</f>
        <v>D00661</v>
      </c>
      <c r="B580">
        <f>COUNTIF(Deals_Raw!$A$5:$A$643,A580)</f>
        <v>1</v>
      </c>
      <c r="C580" s="12" t="str">
        <f>Deals_Raw!E583</f>
        <v>CT00358</v>
      </c>
      <c r="E580">
        <f>Deals_Raw!AA583</f>
        <v>28148.94967683229</v>
      </c>
      <c r="F580">
        <f>ROUND(Deals_Raw!T583*(1-Deals_Raw!W583),2)</f>
        <v>28139.8</v>
      </c>
      <c r="G580">
        <f t="shared" si="73"/>
        <v>-9.1496768322904245</v>
      </c>
      <c r="I580">
        <f>Deals_Raw!V583</f>
        <v>0.17399999999999999</v>
      </c>
      <c r="J580">
        <f>Deals_Raw!W583</f>
        <v>0.161</v>
      </c>
      <c r="K580" t="str">
        <f>Deals_Raw!Z583</f>
        <v>Pricing Analyst</v>
      </c>
      <c r="L580" t="str">
        <f t="shared" si="74"/>
        <v>yes</v>
      </c>
      <c r="M580" t="str">
        <f t="shared" si="75"/>
        <v>Pass</v>
      </c>
      <c r="O580">
        <f>Deals_Raw!AP583</f>
        <v>0.6620602737799125</v>
      </c>
      <c r="P580" t="str">
        <f t="shared" si="76"/>
        <v>False</v>
      </c>
      <c r="R580" t="str">
        <f>Deals_Raw!AF583</f>
        <v>Won</v>
      </c>
      <c r="S580">
        <f t="shared" si="72"/>
        <v>28139.8</v>
      </c>
      <c r="T580">
        <f>Deals_Raw!AM583</f>
        <v>28139.8</v>
      </c>
      <c r="U580">
        <f t="shared" si="77"/>
        <v>28139.8</v>
      </c>
      <c r="V580">
        <f>Deals_Raw!AN583</f>
        <v>28139.8</v>
      </c>
      <c r="W580">
        <f t="shared" si="78"/>
        <v>18630.243692111981</v>
      </c>
      <c r="X580">
        <f>Deals_Raw!AO583</f>
        <v>18630.243692111981</v>
      </c>
      <c r="Y580">
        <f t="shared" si="79"/>
        <v>0.6620602737799125</v>
      </c>
      <c r="Z580">
        <f>Deals_Raw!AP583</f>
        <v>0.6620602737799125</v>
      </c>
    </row>
    <row r="581" spans="1:26">
      <c r="A581" t="str">
        <f>Deals_Raw!A584</f>
        <v>D00662</v>
      </c>
      <c r="B581">
        <f>COUNTIF(Deals_Raw!$A$5:$A$643,A581)</f>
        <v>1</v>
      </c>
      <c r="C581" s="12" t="str">
        <f>Deals_Raw!E584</f>
        <v>CT00358</v>
      </c>
      <c r="E581">
        <f>Deals_Raw!AA584</f>
        <v>30589.393903381158</v>
      </c>
      <c r="F581">
        <f>ROUND(Deals_Raw!T584*(1-Deals_Raw!W584),2)</f>
        <v>30597.87</v>
      </c>
      <c r="G581">
        <f t="shared" si="73"/>
        <v>8.4760966188405291</v>
      </c>
      <c r="I581">
        <f>Deals_Raw!V584</f>
        <v>0.157</v>
      </c>
      <c r="J581">
        <f>Deals_Raw!W584</f>
        <v>0.155</v>
      </c>
      <c r="K581" t="str">
        <f>Deals_Raw!Z584</f>
        <v>Pricing Analyst</v>
      </c>
      <c r="L581" t="str">
        <f t="shared" si="74"/>
        <v>yes</v>
      </c>
      <c r="M581" t="str">
        <f t="shared" si="75"/>
        <v>Pass</v>
      </c>
      <c r="O581">
        <f>Deals_Raw!AP584</f>
        <v>0.64087805721915159</v>
      </c>
      <c r="P581" t="str">
        <f t="shared" si="76"/>
        <v>False</v>
      </c>
      <c r="R581" t="str">
        <f>Deals_Raw!AF584</f>
        <v>Lost</v>
      </c>
      <c r="S581">
        <f t="shared" si="72"/>
        <v>0</v>
      </c>
      <c r="T581">
        <v>0</v>
      </c>
      <c r="U581">
        <f t="shared" si="77"/>
        <v>0</v>
      </c>
      <c r="V581">
        <v>0</v>
      </c>
      <c r="W581">
        <f t="shared" si="78"/>
        <v>0</v>
      </c>
      <c r="X581">
        <v>0</v>
      </c>
      <c r="Y581">
        <f t="shared" si="79"/>
        <v>0</v>
      </c>
      <c r="Z581">
        <v>0</v>
      </c>
    </row>
    <row r="582" spans="1:26">
      <c r="A582" t="str">
        <f>Deals_Raw!A585</f>
        <v>D00663</v>
      </c>
      <c r="B582">
        <f>COUNTIF(Deals_Raw!$A$5:$A$643,A582)</f>
        <v>1</v>
      </c>
      <c r="C582" s="12" t="str">
        <f>Deals_Raw!E585</f>
        <v>CT00359</v>
      </c>
      <c r="E582">
        <f>Deals_Raw!AA585</f>
        <v>217811.6394048704</v>
      </c>
      <c r="F582">
        <f>ROUND(Deals_Raw!T585*(1-Deals_Raw!W585),2)</f>
        <v>217790.48</v>
      </c>
      <c r="G582">
        <f t="shared" si="73"/>
        <v>-21.159404870384606</v>
      </c>
      <c r="I582">
        <f>Deals_Raw!V585</f>
        <v>0.122</v>
      </c>
      <c r="J582">
        <f>Deals_Raw!W585</f>
        <v>7.2999999999999995E-2</v>
      </c>
      <c r="K582" t="str">
        <f>Deals_Raw!Z585</f>
        <v>Sales Manager</v>
      </c>
      <c r="L582" t="str">
        <f t="shared" si="74"/>
        <v>yes</v>
      </c>
      <c r="M582" t="str">
        <f t="shared" si="75"/>
        <v>Pass</v>
      </c>
      <c r="O582">
        <f>Deals_Raw!AP585</f>
        <v>0.60435412746532546</v>
      </c>
      <c r="P582" t="str">
        <f t="shared" si="76"/>
        <v>False</v>
      </c>
      <c r="R582" t="str">
        <f>Deals_Raw!AF585</f>
        <v>Lost</v>
      </c>
      <c r="S582">
        <f t="shared" si="72"/>
        <v>0</v>
      </c>
      <c r="T582">
        <v>0</v>
      </c>
      <c r="U582">
        <f t="shared" si="77"/>
        <v>0</v>
      </c>
      <c r="V582">
        <v>0</v>
      </c>
      <c r="W582">
        <f t="shared" si="78"/>
        <v>0</v>
      </c>
      <c r="X582">
        <v>0</v>
      </c>
      <c r="Y582">
        <f t="shared" si="79"/>
        <v>0</v>
      </c>
      <c r="Z582">
        <v>0</v>
      </c>
    </row>
    <row r="583" spans="1:26">
      <c r="A583" t="str">
        <f>Deals_Raw!A586</f>
        <v>D00664</v>
      </c>
      <c r="B583">
        <f>COUNTIF(Deals_Raw!$A$5:$A$643,A583)</f>
        <v>1</v>
      </c>
      <c r="C583" s="12" t="str">
        <f>Deals_Raw!E586</f>
        <v>CT00359</v>
      </c>
      <c r="E583">
        <f>Deals_Raw!AA586</f>
        <v>191115.61145794124</v>
      </c>
      <c r="F583">
        <f>ROUND(Deals_Raw!T586*(1-Deals_Raw!W586),2)</f>
        <v>191007.19</v>
      </c>
      <c r="G583">
        <f t="shared" si="73"/>
        <v>-108.42145794123644</v>
      </c>
      <c r="I583">
        <f>Deals_Raw!V586</f>
        <v>0.21099999999999999</v>
      </c>
      <c r="J583">
        <f>Deals_Raw!W586</f>
        <v>0.187</v>
      </c>
      <c r="K583" t="str">
        <f>Deals_Raw!Z586</f>
        <v>Pricing Analyst</v>
      </c>
      <c r="L583" t="str">
        <f t="shared" si="74"/>
        <v>yes</v>
      </c>
      <c r="M583" t="str">
        <f t="shared" si="75"/>
        <v>Pass</v>
      </c>
      <c r="O583">
        <f>Deals_Raw!AP586</f>
        <v>0.56768071382013574</v>
      </c>
      <c r="P583" t="str">
        <f t="shared" si="76"/>
        <v>False</v>
      </c>
      <c r="R583" t="str">
        <f>Deals_Raw!AF586</f>
        <v>Won</v>
      </c>
      <c r="S583">
        <f t="shared" si="72"/>
        <v>191007.19</v>
      </c>
      <c r="T583">
        <f>Deals_Raw!AM586</f>
        <v>191007.19</v>
      </c>
      <c r="U583">
        <f t="shared" si="77"/>
        <v>382014.38</v>
      </c>
      <c r="V583">
        <f>Deals_Raw!AN586</f>
        <v>382014.38</v>
      </c>
      <c r="W583">
        <f t="shared" si="78"/>
        <v>108431.09796397829</v>
      </c>
      <c r="X583">
        <f>Deals_Raw!AO586</f>
        <v>108431.09796397829</v>
      </c>
      <c r="Y583">
        <f t="shared" si="79"/>
        <v>0.56768071382013574</v>
      </c>
      <c r="Z583">
        <f>Deals_Raw!AP586</f>
        <v>0.56768071382013574</v>
      </c>
    </row>
    <row r="584" spans="1:26">
      <c r="A584" t="str">
        <f>Deals_Raw!A587</f>
        <v>D00666</v>
      </c>
      <c r="B584">
        <f>COUNTIF(Deals_Raw!$A$5:$A$643,A584)</f>
        <v>1</v>
      </c>
      <c r="C584" s="12" t="str">
        <f>Deals_Raw!E587</f>
        <v>CT00360</v>
      </c>
      <c r="E584">
        <f>Deals_Raw!AA587</f>
        <v>203163.42518389114</v>
      </c>
      <c r="F584">
        <f>ROUND(Deals_Raw!T587*(1-Deals_Raw!W587),2)</f>
        <v>203113.94</v>
      </c>
      <c r="G584">
        <f t="shared" si="73"/>
        <v>-49.485183891141787</v>
      </c>
      <c r="I584">
        <f>Deals_Raw!V587</f>
        <v>7.9000000000000001E-2</v>
      </c>
      <c r="J584">
        <f>Deals_Raw!W587</f>
        <v>7.5999999999999998E-2</v>
      </c>
      <c r="K584" t="str">
        <f>Deals_Raw!Z587</f>
        <v>Sales Manager</v>
      </c>
      <c r="L584" t="str">
        <f t="shared" si="74"/>
        <v>yes</v>
      </c>
      <c r="M584" t="str">
        <f t="shared" si="75"/>
        <v>Pass</v>
      </c>
      <c r="O584">
        <f>Deals_Raw!AP587</f>
        <v>0.62402098268877815</v>
      </c>
      <c r="P584" t="str">
        <f t="shared" si="76"/>
        <v>False</v>
      </c>
      <c r="R584" t="str">
        <f>Deals_Raw!AF587</f>
        <v>Won</v>
      </c>
      <c r="S584">
        <f t="shared" si="72"/>
        <v>203113.94</v>
      </c>
      <c r="T584">
        <f>Deals_Raw!AM587</f>
        <v>203113.94</v>
      </c>
      <c r="U584">
        <f t="shared" si="77"/>
        <v>203113.94</v>
      </c>
      <c r="V584">
        <f>Deals_Raw!AN587</f>
        <v>203113.94</v>
      </c>
      <c r="W584">
        <f t="shared" si="78"/>
        <v>126747.36043658952</v>
      </c>
      <c r="X584">
        <f>Deals_Raw!AO587</f>
        <v>126747.36043658952</v>
      </c>
      <c r="Y584">
        <f t="shared" si="79"/>
        <v>0.62402098268877815</v>
      </c>
      <c r="Z584">
        <f>Deals_Raw!AP587</f>
        <v>0.62402098268877815</v>
      </c>
    </row>
    <row r="585" spans="1:26">
      <c r="A585" t="str">
        <f>Deals_Raw!A588</f>
        <v>D00667</v>
      </c>
      <c r="B585">
        <f>COUNTIF(Deals_Raw!$A$5:$A$643,A585)</f>
        <v>1</v>
      </c>
      <c r="C585" s="12" t="str">
        <f>Deals_Raw!E588</f>
        <v>CT00360</v>
      </c>
      <c r="E585">
        <f>Deals_Raw!AA588</f>
        <v>190857.07658512745</v>
      </c>
      <c r="F585">
        <f>ROUND(Deals_Raw!T588*(1-Deals_Raw!W588),2)</f>
        <v>190856.04</v>
      </c>
      <c r="G585">
        <f t="shared" si="73"/>
        <v>-1.0365851274400484</v>
      </c>
      <c r="I585">
        <f>Deals_Raw!V588</f>
        <v>0.191</v>
      </c>
      <c r="J585">
        <f>Deals_Raw!W588</f>
        <v>0.17299999999999999</v>
      </c>
      <c r="K585" t="str">
        <f>Deals_Raw!Z588</f>
        <v>Pricing Analyst</v>
      </c>
      <c r="L585" t="str">
        <f t="shared" si="74"/>
        <v>yes</v>
      </c>
      <c r="M585" t="str">
        <f t="shared" si="75"/>
        <v>Pass</v>
      </c>
      <c r="O585">
        <f>Deals_Raw!AP588</f>
        <v>0.58587567513931005</v>
      </c>
      <c r="P585" t="str">
        <f t="shared" si="76"/>
        <v>False</v>
      </c>
      <c r="R585" t="str">
        <f>Deals_Raw!AF588</f>
        <v>Won</v>
      </c>
      <c r="S585">
        <f t="shared" si="72"/>
        <v>190856.04</v>
      </c>
      <c r="T585">
        <f>Deals_Raw!AM588</f>
        <v>190856.04</v>
      </c>
      <c r="U585">
        <f t="shared" si="77"/>
        <v>190856.04</v>
      </c>
      <c r="V585">
        <f>Deals_Raw!AN588</f>
        <v>190856.04</v>
      </c>
      <c r="W585">
        <f t="shared" si="78"/>
        <v>111817.91128941516</v>
      </c>
      <c r="X585">
        <f>Deals_Raw!AO588</f>
        <v>111817.91128941516</v>
      </c>
      <c r="Y585">
        <f t="shared" si="79"/>
        <v>0.58587567513931005</v>
      </c>
      <c r="Z585">
        <f>Deals_Raw!AP588</f>
        <v>0.58587567513931005</v>
      </c>
    </row>
    <row r="586" spans="1:26">
      <c r="A586" t="str">
        <f>Deals_Raw!A589</f>
        <v>D00668</v>
      </c>
      <c r="B586">
        <f>COUNTIF(Deals_Raw!$A$5:$A$643,A586)</f>
        <v>1</v>
      </c>
      <c r="C586" s="12" t="str">
        <f>Deals_Raw!E589</f>
        <v>CT00361</v>
      </c>
      <c r="E586">
        <f>Deals_Raw!AA589</f>
        <v>316514.78171219188</v>
      </c>
      <c r="F586">
        <f>ROUND(Deals_Raw!T589*(1-Deals_Raw!W589),2)</f>
        <v>316361.28999999998</v>
      </c>
      <c r="G586">
        <f t="shared" si="73"/>
        <v>-153.49171219189884</v>
      </c>
      <c r="I586">
        <f>Deals_Raw!V589</f>
        <v>0.14299999999999999</v>
      </c>
      <c r="J586">
        <f>Deals_Raw!W589</f>
        <v>0.11700000000000001</v>
      </c>
      <c r="K586" t="str">
        <f>Deals_Raw!Z589</f>
        <v>Pricing Analyst</v>
      </c>
      <c r="L586" t="str">
        <f t="shared" si="74"/>
        <v>yes</v>
      </c>
      <c r="M586" t="str">
        <f t="shared" si="75"/>
        <v>Pass</v>
      </c>
      <c r="O586">
        <f>Deals_Raw!AP589</f>
        <v>0.61089036021072507</v>
      </c>
      <c r="P586" t="str">
        <f t="shared" si="76"/>
        <v>False</v>
      </c>
      <c r="R586" t="str">
        <f>Deals_Raw!AF589</f>
        <v>Lost</v>
      </c>
      <c r="S586">
        <f t="shared" si="72"/>
        <v>0</v>
      </c>
      <c r="T586">
        <v>0</v>
      </c>
      <c r="U586">
        <f t="shared" si="77"/>
        <v>0</v>
      </c>
      <c r="V586">
        <v>0</v>
      </c>
      <c r="W586">
        <f t="shared" si="78"/>
        <v>0</v>
      </c>
      <c r="X586">
        <v>0</v>
      </c>
      <c r="Y586">
        <f t="shared" si="79"/>
        <v>0</v>
      </c>
      <c r="Z586">
        <v>0</v>
      </c>
    </row>
    <row r="587" spans="1:26">
      <c r="A587" t="str">
        <f>Deals_Raw!A590</f>
        <v>D00669</v>
      </c>
      <c r="B587">
        <f>COUNTIF(Deals_Raw!$A$5:$A$643,A587)</f>
        <v>1</v>
      </c>
      <c r="C587" s="12" t="str">
        <f>Deals_Raw!E590</f>
        <v>CT00362</v>
      </c>
      <c r="E587">
        <f>Deals_Raw!AA590</f>
        <v>90087.301761012437</v>
      </c>
      <c r="F587">
        <f>ROUND(Deals_Raw!T590*(1-Deals_Raw!W590),2)</f>
        <v>90107.81</v>
      </c>
      <c r="G587">
        <f t="shared" si="73"/>
        <v>20.508238987560617</v>
      </c>
      <c r="I587">
        <f>Deals_Raw!V590</f>
        <v>0.184</v>
      </c>
      <c r="J587">
        <f>Deals_Raw!W590</f>
        <v>0.17299999999999999</v>
      </c>
      <c r="K587" t="str">
        <f>Deals_Raw!Z590</f>
        <v>Pricing Analyst</v>
      </c>
      <c r="L587" t="str">
        <f t="shared" si="74"/>
        <v>yes</v>
      </c>
      <c r="M587" t="str">
        <f t="shared" si="75"/>
        <v>Pass</v>
      </c>
      <c r="O587">
        <f>Deals_Raw!AP590</f>
        <v>0.56120108199666674</v>
      </c>
      <c r="P587" t="str">
        <f t="shared" si="76"/>
        <v>False</v>
      </c>
      <c r="R587" t="str">
        <f>Deals_Raw!AF590</f>
        <v>Won</v>
      </c>
      <c r="S587">
        <f t="shared" si="72"/>
        <v>90107.81</v>
      </c>
      <c r="T587">
        <f>Deals_Raw!AM590</f>
        <v>90107.81</v>
      </c>
      <c r="U587">
        <f t="shared" si="77"/>
        <v>90107.81</v>
      </c>
      <c r="V587">
        <f>Deals_Raw!AN590</f>
        <v>90107.81</v>
      </c>
      <c r="W587">
        <f t="shared" si="78"/>
        <v>50568.600468350065</v>
      </c>
      <c r="X587">
        <f>Deals_Raw!AO590</f>
        <v>50568.600468350065</v>
      </c>
      <c r="Y587">
        <f t="shared" si="79"/>
        <v>0.56120108199666674</v>
      </c>
      <c r="Z587">
        <f>Deals_Raw!AP590</f>
        <v>0.56120108199666674</v>
      </c>
    </row>
    <row r="588" spans="1:26">
      <c r="A588" t="str">
        <f>Deals_Raw!A591</f>
        <v>D00670</v>
      </c>
      <c r="B588">
        <f>COUNTIF(Deals_Raw!$A$5:$A$643,A588)</f>
        <v>1</v>
      </c>
      <c r="C588" s="12" t="str">
        <f>Deals_Raw!E591</f>
        <v>CT00362</v>
      </c>
      <c r="E588">
        <f>Deals_Raw!AA591</f>
        <v>102246.09494648471</v>
      </c>
      <c r="F588">
        <f>ROUND(Deals_Raw!T591*(1-Deals_Raw!W591),2)</f>
        <v>102199.03</v>
      </c>
      <c r="G588">
        <f t="shared" si="73"/>
        <v>-47.064946484708344</v>
      </c>
      <c r="I588">
        <f>Deals_Raw!V591</f>
        <v>0.11799999999999999</v>
      </c>
      <c r="J588">
        <f>Deals_Raw!W591</f>
        <v>0.106</v>
      </c>
      <c r="K588" t="str">
        <f>Deals_Raw!Z591</f>
        <v>Pricing Analyst</v>
      </c>
      <c r="L588" t="str">
        <f t="shared" si="74"/>
        <v>yes</v>
      </c>
      <c r="M588" t="str">
        <f t="shared" si="75"/>
        <v>Pass</v>
      </c>
      <c r="O588">
        <f>Deals_Raw!AP591</f>
        <v>0.61973381341803879</v>
      </c>
      <c r="P588" t="str">
        <f t="shared" si="76"/>
        <v>False</v>
      </c>
      <c r="R588" t="str">
        <f>Deals_Raw!AF591</f>
        <v>Won</v>
      </c>
      <c r="S588">
        <f t="shared" si="72"/>
        <v>102199.03</v>
      </c>
      <c r="T588">
        <f>Deals_Raw!AM591</f>
        <v>102199.03</v>
      </c>
      <c r="U588">
        <f t="shared" si="77"/>
        <v>102199.03</v>
      </c>
      <c r="V588">
        <f>Deals_Raw!AN591</f>
        <v>102199.03</v>
      </c>
      <c r="W588">
        <f t="shared" si="78"/>
        <v>63336.194589524552</v>
      </c>
      <c r="X588">
        <f>Deals_Raw!AO591</f>
        <v>63336.194589524552</v>
      </c>
      <c r="Y588">
        <f t="shared" si="79"/>
        <v>0.61973381341803879</v>
      </c>
      <c r="Z588">
        <f>Deals_Raw!AP591</f>
        <v>0.61973381341803879</v>
      </c>
    </row>
    <row r="589" spans="1:26">
      <c r="A589" t="str">
        <f>Deals_Raw!A592</f>
        <v>D00671</v>
      </c>
      <c r="B589">
        <f>COUNTIF(Deals_Raw!$A$5:$A$643,A589)</f>
        <v>1</v>
      </c>
      <c r="C589" s="12" t="str">
        <f>Deals_Raw!E592</f>
        <v>CT00363</v>
      </c>
      <c r="E589">
        <f>Deals_Raw!AA592</f>
        <v>59475.554938139794</v>
      </c>
      <c r="F589">
        <f>ROUND(Deals_Raw!T592*(1-Deals_Raw!W592),2)</f>
        <v>59464.25</v>
      </c>
      <c r="G589">
        <f t="shared" si="73"/>
        <v>-11.304938139794103</v>
      </c>
      <c r="I589">
        <f>Deals_Raw!V592</f>
        <v>7.6999999999999999E-2</v>
      </c>
      <c r="J589">
        <f>Deals_Raw!W592</f>
        <v>6.5000000000000002E-2</v>
      </c>
      <c r="K589" t="str">
        <f>Deals_Raw!Z592</f>
        <v>Sales Manager</v>
      </c>
      <c r="L589" t="str">
        <f t="shared" si="74"/>
        <v>yes</v>
      </c>
      <c r="M589" t="str">
        <f t="shared" si="75"/>
        <v>Pass</v>
      </c>
      <c r="O589">
        <f>Deals_Raw!AP592</f>
        <v>0.70843615342743882</v>
      </c>
      <c r="P589" t="str">
        <f t="shared" si="76"/>
        <v>False</v>
      </c>
      <c r="R589" t="str">
        <f>Deals_Raw!AF592</f>
        <v>Won</v>
      </c>
      <c r="S589">
        <f t="shared" si="72"/>
        <v>59464.25</v>
      </c>
      <c r="T589">
        <f>Deals_Raw!AM592</f>
        <v>59464.25</v>
      </c>
      <c r="U589">
        <f t="shared" si="77"/>
        <v>59464.25</v>
      </c>
      <c r="V589">
        <f>Deals_Raw!AN592</f>
        <v>59464.25</v>
      </c>
      <c r="W589">
        <f t="shared" si="78"/>
        <v>42126.624536447576</v>
      </c>
      <c r="X589">
        <f>Deals_Raw!AO592</f>
        <v>42126.624536447576</v>
      </c>
      <c r="Y589">
        <f t="shared" si="79"/>
        <v>0.70843615342743882</v>
      </c>
      <c r="Z589">
        <f>Deals_Raw!AP592</f>
        <v>0.70843615342743882</v>
      </c>
    </row>
    <row r="590" spans="1:26">
      <c r="A590" t="str">
        <f>Deals_Raw!A593</f>
        <v>D00672</v>
      </c>
      <c r="B590">
        <f>COUNTIF(Deals_Raw!$A$5:$A$643,A590)</f>
        <v>1</v>
      </c>
      <c r="C590" s="12" t="str">
        <f>Deals_Raw!E593</f>
        <v>CT00363</v>
      </c>
      <c r="E590">
        <f>Deals_Raw!AA593</f>
        <v>76876.830703889063</v>
      </c>
      <c r="F590">
        <f>ROUND(Deals_Raw!T593*(1-Deals_Raw!W593),2)</f>
        <v>76876.83</v>
      </c>
      <c r="G590">
        <f t="shared" si="73"/>
        <v>-7.0388906169682741E-4</v>
      </c>
      <c r="I590">
        <f>Deals_Raw!V593</f>
        <v>2.3E-2</v>
      </c>
      <c r="J590">
        <f>Deals_Raw!W593</f>
        <v>0</v>
      </c>
      <c r="K590" t="str">
        <f>Deals_Raw!Z593</f>
        <v>Sales Manager</v>
      </c>
      <c r="L590" t="str">
        <f t="shared" si="74"/>
        <v>yes</v>
      </c>
      <c r="M590" t="str">
        <f t="shared" si="75"/>
        <v>Pass</v>
      </c>
      <c r="O590">
        <f>Deals_Raw!AP593</f>
        <v>0.70147056986137191</v>
      </c>
      <c r="P590" t="str">
        <f t="shared" si="76"/>
        <v>False</v>
      </c>
      <c r="R590" t="str">
        <f>Deals_Raw!AF593</f>
        <v>Won</v>
      </c>
      <c r="S590">
        <f t="shared" si="72"/>
        <v>76876.83</v>
      </c>
      <c r="T590">
        <f>Deals_Raw!AM593</f>
        <v>76876.83</v>
      </c>
      <c r="U590">
        <f t="shared" si="77"/>
        <v>76876.83</v>
      </c>
      <c r="V590">
        <f>Deals_Raw!AN593</f>
        <v>76876.83</v>
      </c>
      <c r="W590">
        <f t="shared" si="78"/>
        <v>53926.833749235811</v>
      </c>
      <c r="X590">
        <f>Deals_Raw!AO593</f>
        <v>53926.833749235811</v>
      </c>
      <c r="Y590">
        <f t="shared" si="79"/>
        <v>0.70147056986137191</v>
      </c>
      <c r="Z590">
        <f>Deals_Raw!AP593</f>
        <v>0.70147056986137191</v>
      </c>
    </row>
    <row r="591" spans="1:26">
      <c r="A591" t="str">
        <f>Deals_Raw!A594</f>
        <v>D00673</v>
      </c>
      <c r="B591">
        <f>COUNTIF(Deals_Raw!$A$5:$A$643,A591)</f>
        <v>1</v>
      </c>
      <c r="C591" s="12" t="str">
        <f>Deals_Raw!E594</f>
        <v>CT00363</v>
      </c>
      <c r="E591">
        <f>Deals_Raw!AA594</f>
        <v>62716.496070299487</v>
      </c>
      <c r="F591">
        <f>ROUND(Deals_Raw!T594*(1-Deals_Raw!W594),2)</f>
        <v>62742.17</v>
      </c>
      <c r="G591">
        <f t="shared" si="73"/>
        <v>25.673929700511508</v>
      </c>
      <c r="I591">
        <f>Deals_Raw!V594</f>
        <v>0.22500000000000001</v>
      </c>
      <c r="J591">
        <f>Deals_Raw!W594</f>
        <v>0.20100000000000001</v>
      </c>
      <c r="K591" t="str">
        <f>Deals_Raw!Z594</f>
        <v>Business Manager</v>
      </c>
      <c r="L591" t="str">
        <f t="shared" si="74"/>
        <v>yes</v>
      </c>
      <c r="M591" t="str">
        <f t="shared" si="75"/>
        <v>Pass</v>
      </c>
      <c r="O591">
        <f>Deals_Raw!AP594</f>
        <v>0.61295168173409942</v>
      </c>
      <c r="P591" t="str">
        <f t="shared" si="76"/>
        <v>False</v>
      </c>
      <c r="R591" t="str">
        <f>Deals_Raw!AF594</f>
        <v>Won</v>
      </c>
      <c r="S591">
        <f t="shared" si="72"/>
        <v>62742.17</v>
      </c>
      <c r="T591">
        <f>Deals_Raw!AM594</f>
        <v>62742.17</v>
      </c>
      <c r="U591">
        <f t="shared" si="77"/>
        <v>62742.17</v>
      </c>
      <c r="V591">
        <f>Deals_Raw!AN594</f>
        <v>62742.17</v>
      </c>
      <c r="W591">
        <f t="shared" si="78"/>
        <v>38457.918617146759</v>
      </c>
      <c r="X591">
        <f>Deals_Raw!AO594</f>
        <v>38457.918617146759</v>
      </c>
      <c r="Y591">
        <f t="shared" si="79"/>
        <v>0.61295168173409942</v>
      </c>
      <c r="Z591">
        <f>Deals_Raw!AP594</f>
        <v>0.61295168173409942</v>
      </c>
    </row>
    <row r="592" spans="1:26">
      <c r="A592" t="str">
        <f>Deals_Raw!A595</f>
        <v>D00674</v>
      </c>
      <c r="B592">
        <f>COUNTIF(Deals_Raw!$A$5:$A$643,A592)</f>
        <v>1</v>
      </c>
      <c r="C592" s="12" t="str">
        <f>Deals_Raw!E595</f>
        <v>CT00364</v>
      </c>
      <c r="E592">
        <f>Deals_Raw!AA595</f>
        <v>230096.34608312038</v>
      </c>
      <c r="F592">
        <f>ROUND(Deals_Raw!T595*(1-Deals_Raw!W595),2)</f>
        <v>230204.95</v>
      </c>
      <c r="G592">
        <f t="shared" si="73"/>
        <v>108.60391687962692</v>
      </c>
      <c r="I592">
        <f>Deals_Raw!V595</f>
        <v>0.246</v>
      </c>
      <c r="J592">
        <f>Deals_Raw!W595</f>
        <v>0.193</v>
      </c>
      <c r="K592" t="str">
        <f>Deals_Raw!Z595</f>
        <v>Pricing Analyst</v>
      </c>
      <c r="L592" t="str">
        <f t="shared" si="74"/>
        <v>yes</v>
      </c>
      <c r="M592" t="str">
        <f t="shared" si="75"/>
        <v>Pass</v>
      </c>
      <c r="O592">
        <f>Deals_Raw!AP595</f>
        <v>0.51635877392283436</v>
      </c>
      <c r="P592" t="str">
        <f t="shared" si="76"/>
        <v>False</v>
      </c>
      <c r="R592" t="str">
        <f>Deals_Raw!AF595</f>
        <v>Won</v>
      </c>
      <c r="S592">
        <f t="shared" si="72"/>
        <v>230204.95</v>
      </c>
      <c r="T592">
        <f>Deals_Raw!AM595</f>
        <v>230204.95</v>
      </c>
      <c r="U592">
        <f t="shared" si="77"/>
        <v>230204.95</v>
      </c>
      <c r="V592">
        <f>Deals_Raw!AN595</f>
        <v>230204.95</v>
      </c>
      <c r="W592">
        <f t="shared" si="78"/>
        <v>118868.34573296738</v>
      </c>
      <c r="X592">
        <f>Deals_Raw!AO595</f>
        <v>118868.34573296738</v>
      </c>
      <c r="Y592">
        <f t="shared" si="79"/>
        <v>0.51635877392283436</v>
      </c>
      <c r="Z592">
        <f>Deals_Raw!AP595</f>
        <v>0.51635877392283436</v>
      </c>
    </row>
    <row r="593" spans="1:26">
      <c r="A593" t="str">
        <f>Deals_Raw!A596</f>
        <v>D00675</v>
      </c>
      <c r="B593">
        <f>COUNTIF(Deals_Raw!$A$5:$A$643,A593)</f>
        <v>1</v>
      </c>
      <c r="C593" s="12" t="str">
        <f>Deals_Raw!E596</f>
        <v>CT00364</v>
      </c>
      <c r="E593">
        <f>Deals_Raw!AA596</f>
        <v>314769.69106216007</v>
      </c>
      <c r="F593">
        <f>ROUND(Deals_Raw!T596*(1-Deals_Raw!W596),2)</f>
        <v>314769.69</v>
      </c>
      <c r="G593">
        <f t="shared" si="73"/>
        <v>-1.0621600667946041E-3</v>
      </c>
      <c r="I593">
        <f>Deals_Raw!V596</f>
        <v>0.02</v>
      </c>
      <c r="J593">
        <f>Deals_Raw!W596</f>
        <v>0</v>
      </c>
      <c r="K593" t="str">
        <f>Deals_Raw!Z596</f>
        <v>Sales Manager</v>
      </c>
      <c r="L593" t="str">
        <f t="shared" si="74"/>
        <v>yes</v>
      </c>
      <c r="M593" t="str">
        <f t="shared" si="75"/>
        <v>Pass</v>
      </c>
      <c r="O593">
        <f>Deals_Raw!AP596</f>
        <v>0.65790885618921069</v>
      </c>
      <c r="P593" t="str">
        <f t="shared" si="76"/>
        <v>False</v>
      </c>
      <c r="R593" t="str">
        <f>Deals_Raw!AF596</f>
        <v>Lost</v>
      </c>
      <c r="S593">
        <f t="shared" si="72"/>
        <v>0</v>
      </c>
      <c r="T593">
        <v>0</v>
      </c>
      <c r="U593">
        <f t="shared" si="77"/>
        <v>0</v>
      </c>
      <c r="V593">
        <v>0</v>
      </c>
      <c r="W593">
        <f t="shared" si="78"/>
        <v>0</v>
      </c>
      <c r="X593">
        <v>0</v>
      </c>
      <c r="Y593">
        <f t="shared" si="79"/>
        <v>0</v>
      </c>
      <c r="Z593">
        <v>0</v>
      </c>
    </row>
    <row r="594" spans="1:26">
      <c r="A594" t="str">
        <f>Deals_Raw!A597</f>
        <v>D00676</v>
      </c>
      <c r="B594">
        <f>COUNTIF(Deals_Raw!$A$5:$A$643,A594)</f>
        <v>1</v>
      </c>
      <c r="C594" s="12" t="str">
        <f>Deals_Raw!E597</f>
        <v>CT00364</v>
      </c>
      <c r="E594">
        <f>Deals_Raw!AA597</f>
        <v>240290.46970777589</v>
      </c>
      <c r="F594">
        <f>ROUND(Deals_Raw!T597*(1-Deals_Raw!W597),2)</f>
        <v>240418.7</v>
      </c>
      <c r="G594">
        <f t="shared" si="73"/>
        <v>128.23029222412151</v>
      </c>
      <c r="I594">
        <f>Deals_Raw!V597</f>
        <v>0.216</v>
      </c>
      <c r="J594">
        <f>Deals_Raw!W597</f>
        <v>0.20499999999999999</v>
      </c>
      <c r="K594" t="str">
        <f>Deals_Raw!Z597</f>
        <v>Business Manager</v>
      </c>
      <c r="L594" t="str">
        <f t="shared" si="74"/>
        <v>yes</v>
      </c>
      <c r="M594" t="str">
        <f t="shared" si="75"/>
        <v>Pass</v>
      </c>
      <c r="O594">
        <f>Deals_Raw!AP597</f>
        <v>0.54008986795317959</v>
      </c>
      <c r="P594" t="str">
        <f t="shared" si="76"/>
        <v>False</v>
      </c>
      <c r="R594" t="str">
        <f>Deals_Raw!AF597</f>
        <v>Won</v>
      </c>
      <c r="S594">
        <f t="shared" si="72"/>
        <v>240418.7</v>
      </c>
      <c r="T594">
        <f>Deals_Raw!AM597</f>
        <v>240418.7</v>
      </c>
      <c r="U594">
        <f t="shared" si="77"/>
        <v>240418.7</v>
      </c>
      <c r="V594">
        <f>Deals_Raw!AN597</f>
        <v>240418.7</v>
      </c>
      <c r="W594">
        <f t="shared" si="78"/>
        <v>129847.7039364751</v>
      </c>
      <c r="X594">
        <f>Deals_Raw!AO597</f>
        <v>129847.7039364751</v>
      </c>
      <c r="Y594">
        <f t="shared" si="79"/>
        <v>0.54008986795317959</v>
      </c>
      <c r="Z594">
        <f>Deals_Raw!AP597</f>
        <v>0.54008986795317959</v>
      </c>
    </row>
    <row r="595" spans="1:26">
      <c r="A595" t="str">
        <f>Deals_Raw!A598</f>
        <v>D00677</v>
      </c>
      <c r="B595">
        <f>COUNTIF(Deals_Raw!$A$5:$A$643,A595)</f>
        <v>1</v>
      </c>
      <c r="C595" s="12" t="str">
        <f>Deals_Raw!E598</f>
        <v>CT00365</v>
      </c>
      <c r="E595">
        <f>Deals_Raw!AA598</f>
        <v>733107.86877782457</v>
      </c>
      <c r="F595">
        <f>ROUND(Deals_Raw!T598*(1-Deals_Raw!W598),2)</f>
        <v>733107.87</v>
      </c>
      <c r="G595">
        <f t="shared" si="73"/>
        <v>1.2221754295751452E-3</v>
      </c>
      <c r="I595">
        <f>Deals_Raw!V598</f>
        <v>1.6E-2</v>
      </c>
      <c r="J595">
        <f>Deals_Raw!W598</f>
        <v>0</v>
      </c>
      <c r="K595" t="str">
        <f>Deals_Raw!Z598</f>
        <v>Sales Manager</v>
      </c>
      <c r="L595" t="str">
        <f t="shared" si="74"/>
        <v>yes</v>
      </c>
      <c r="M595" t="str">
        <f t="shared" si="75"/>
        <v>Pass</v>
      </c>
      <c r="O595">
        <f>Deals_Raw!AP598</f>
        <v>0.59739301531946953</v>
      </c>
      <c r="P595" t="str">
        <f t="shared" si="76"/>
        <v>False</v>
      </c>
      <c r="R595" t="str">
        <f>Deals_Raw!AF598</f>
        <v>Lost</v>
      </c>
      <c r="S595">
        <f t="shared" si="72"/>
        <v>0</v>
      </c>
      <c r="T595">
        <v>0</v>
      </c>
      <c r="U595">
        <f t="shared" si="77"/>
        <v>0</v>
      </c>
      <c r="V595">
        <v>0</v>
      </c>
      <c r="W595">
        <f t="shared" si="78"/>
        <v>0</v>
      </c>
      <c r="X595">
        <v>0</v>
      </c>
      <c r="Y595">
        <f t="shared" si="79"/>
        <v>0</v>
      </c>
      <c r="Z595">
        <v>0</v>
      </c>
    </row>
    <row r="596" spans="1:26">
      <c r="A596" t="str">
        <f>Deals_Raw!A599</f>
        <v>D00678</v>
      </c>
      <c r="B596">
        <f>COUNTIF(Deals_Raw!$A$5:$A$643,A596)</f>
        <v>1</v>
      </c>
      <c r="C596" s="12" t="str">
        <f>Deals_Raw!E599</f>
        <v>CT00366</v>
      </c>
      <c r="E596">
        <f>Deals_Raw!AA599</f>
        <v>273344.38005027681</v>
      </c>
      <c r="F596">
        <f>ROUND(Deals_Raw!T599*(1-Deals_Raw!W599),2)</f>
        <v>273490.87</v>
      </c>
      <c r="G596">
        <f t="shared" si="73"/>
        <v>146.48994972318178</v>
      </c>
      <c r="I596">
        <f>Deals_Raw!V599</f>
        <v>0.16600000000000001</v>
      </c>
      <c r="J596">
        <f>Deals_Raw!W599</f>
        <v>0.13900000000000001</v>
      </c>
      <c r="K596" t="str">
        <f>Deals_Raw!Z599</f>
        <v>Pricing Analyst</v>
      </c>
      <c r="L596" t="str">
        <f t="shared" si="74"/>
        <v>yes</v>
      </c>
      <c r="M596" t="str">
        <f t="shared" si="75"/>
        <v>Pass</v>
      </c>
      <c r="O596">
        <f>Deals_Raw!AP599</f>
        <v>0.50026490950293756</v>
      </c>
      <c r="P596" t="str">
        <f t="shared" si="76"/>
        <v>False</v>
      </c>
      <c r="R596" t="str">
        <f>Deals_Raw!AF599</f>
        <v>Won</v>
      </c>
      <c r="S596">
        <f t="shared" si="72"/>
        <v>273490.87</v>
      </c>
      <c r="T596">
        <f>Deals_Raw!AM599</f>
        <v>273490.87</v>
      </c>
      <c r="U596">
        <f t="shared" si="77"/>
        <v>546981.74</v>
      </c>
      <c r="V596">
        <f>Deals_Raw!AN599</f>
        <v>546981.74</v>
      </c>
      <c r="W596">
        <f t="shared" si="78"/>
        <v>136817.88533042965</v>
      </c>
      <c r="X596">
        <f>Deals_Raw!AO599</f>
        <v>136817.88533042965</v>
      </c>
      <c r="Y596">
        <f t="shared" si="79"/>
        <v>0.50026490950293756</v>
      </c>
      <c r="Z596">
        <f>Deals_Raw!AP599</f>
        <v>0.50026490950293756</v>
      </c>
    </row>
    <row r="597" spans="1:26">
      <c r="A597" t="str">
        <f>Deals_Raw!A600</f>
        <v>D00679</v>
      </c>
      <c r="B597">
        <f>COUNTIF(Deals_Raw!$A$5:$A$643,A597)</f>
        <v>1</v>
      </c>
      <c r="C597" s="12" t="str">
        <f>Deals_Raw!E600</f>
        <v>CT00367</v>
      </c>
      <c r="E597">
        <f>Deals_Raw!AA600</f>
        <v>155919.36017470836</v>
      </c>
      <c r="F597">
        <f>ROUND(Deals_Raw!T600*(1-Deals_Raw!W600),2)</f>
        <v>155918.44</v>
      </c>
      <c r="G597">
        <f t="shared" si="73"/>
        <v>-0.92017470835708082</v>
      </c>
      <c r="I597">
        <f>Deals_Raw!V600</f>
        <v>7.2999999999999995E-2</v>
      </c>
      <c r="J597">
        <f>Deals_Raw!W600</f>
        <v>5.2999999999999999E-2</v>
      </c>
      <c r="K597" t="str">
        <f>Deals_Raw!Z600</f>
        <v>Sales Manager</v>
      </c>
      <c r="L597" t="str">
        <f t="shared" si="74"/>
        <v>yes</v>
      </c>
      <c r="M597" t="str">
        <f t="shared" si="75"/>
        <v>Pass</v>
      </c>
      <c r="O597">
        <f>Deals_Raw!AP600</f>
        <v>0.65405359714938172</v>
      </c>
      <c r="P597" t="str">
        <f t="shared" si="76"/>
        <v>False</v>
      </c>
      <c r="R597" t="str">
        <f>Deals_Raw!AF600</f>
        <v>Won</v>
      </c>
      <c r="S597">
        <f t="shared" si="72"/>
        <v>155918.44</v>
      </c>
      <c r="T597">
        <f>Deals_Raw!AM600</f>
        <v>155918.44</v>
      </c>
      <c r="U597">
        <f t="shared" si="77"/>
        <v>311836.88</v>
      </c>
      <c r="V597">
        <f>Deals_Raw!AN600</f>
        <v>311836.88</v>
      </c>
      <c r="W597">
        <f t="shared" si="78"/>
        <v>101979.01654392005</v>
      </c>
      <c r="X597">
        <f>Deals_Raw!AO600</f>
        <v>101979.01654392005</v>
      </c>
      <c r="Y597">
        <f t="shared" si="79"/>
        <v>0.65405359714938172</v>
      </c>
      <c r="Z597">
        <f>Deals_Raw!AP600</f>
        <v>0.65405359714938172</v>
      </c>
    </row>
    <row r="598" spans="1:26">
      <c r="A598" t="str">
        <f>Deals_Raw!A601</f>
        <v>D00680</v>
      </c>
      <c r="B598">
        <f>COUNTIF(Deals_Raw!$A$5:$A$643,A598)</f>
        <v>1</v>
      </c>
      <c r="C598" s="12" t="str">
        <f>Deals_Raw!E601</f>
        <v>CT00368</v>
      </c>
      <c r="E598">
        <f>Deals_Raw!AA601</f>
        <v>84351.178795062428</v>
      </c>
      <c r="F598">
        <f>ROUND(Deals_Raw!T601*(1-Deals_Raw!W601),2)</f>
        <v>84321.4</v>
      </c>
      <c r="G598">
        <f t="shared" si="73"/>
        <v>-29.778795062433346</v>
      </c>
      <c r="I598">
        <f>Deals_Raw!V601</f>
        <v>0.159</v>
      </c>
      <c r="J598">
        <f>Deals_Raw!W601</f>
        <v>0.14899999999999999</v>
      </c>
      <c r="K598" t="str">
        <f>Deals_Raw!Z601</f>
        <v>Pricing Analyst</v>
      </c>
      <c r="L598" t="str">
        <f t="shared" si="74"/>
        <v>yes</v>
      </c>
      <c r="M598" t="str">
        <f t="shared" si="75"/>
        <v>Pass</v>
      </c>
      <c r="O598">
        <f>Deals_Raw!AP601</f>
        <v>0.57465372913837354</v>
      </c>
      <c r="P598" t="str">
        <f t="shared" si="76"/>
        <v>False</v>
      </c>
      <c r="R598" t="str">
        <f>Deals_Raw!AF601</f>
        <v>Won</v>
      </c>
      <c r="S598">
        <f t="shared" si="72"/>
        <v>84321.4</v>
      </c>
      <c r="T598">
        <f>Deals_Raw!AM601</f>
        <v>84321.4</v>
      </c>
      <c r="U598">
        <f t="shared" si="77"/>
        <v>252964.19999999998</v>
      </c>
      <c r="V598">
        <f>Deals_Raw!AN601</f>
        <v>252964.19999999998</v>
      </c>
      <c r="W598">
        <f t="shared" si="78"/>
        <v>48455.606956168449</v>
      </c>
      <c r="X598">
        <f>Deals_Raw!AO601</f>
        <v>48455.606956168449</v>
      </c>
      <c r="Y598">
        <f t="shared" si="79"/>
        <v>0.57465372913837354</v>
      </c>
      <c r="Z598">
        <f>Deals_Raw!AP601</f>
        <v>0.57465372913837354</v>
      </c>
    </row>
    <row r="599" spans="1:26">
      <c r="A599" t="str">
        <f>Deals_Raw!A602</f>
        <v>D00682</v>
      </c>
      <c r="B599">
        <f>COUNTIF(Deals_Raw!$A$5:$A$643,A599)</f>
        <v>1</v>
      </c>
      <c r="C599" s="12" t="str">
        <f>Deals_Raw!E602</f>
        <v>CT00369</v>
      </c>
      <c r="E599">
        <f>Deals_Raw!AA602</f>
        <v>50837.80996215489</v>
      </c>
      <c r="F599">
        <f>ROUND(Deals_Raw!T602*(1-Deals_Raw!W602),2)</f>
        <v>50834.94</v>
      </c>
      <c r="G599">
        <f t="shared" si="73"/>
        <v>-2.8699621548876166</v>
      </c>
      <c r="I599">
        <f>Deals_Raw!V602</f>
        <v>0.17</v>
      </c>
      <c r="J599">
        <f>Deals_Raw!W602</f>
        <v>0.155</v>
      </c>
      <c r="K599" t="str">
        <f>Deals_Raw!Z602</f>
        <v>Pricing Analyst</v>
      </c>
      <c r="L599" t="str">
        <f t="shared" si="74"/>
        <v>yes</v>
      </c>
      <c r="M599" t="str">
        <f t="shared" si="75"/>
        <v>Pass</v>
      </c>
      <c r="O599">
        <f>Deals_Raw!AP602</f>
        <v>0.55105564129151374</v>
      </c>
      <c r="P599" t="str">
        <f t="shared" si="76"/>
        <v>False</v>
      </c>
      <c r="R599" t="str">
        <f>Deals_Raw!AF602</f>
        <v>Won</v>
      </c>
      <c r="S599">
        <f t="shared" si="72"/>
        <v>50834.94</v>
      </c>
      <c r="T599">
        <f>Deals_Raw!AM602</f>
        <v>50834.94</v>
      </c>
      <c r="U599">
        <f t="shared" si="77"/>
        <v>50834.94</v>
      </c>
      <c r="V599">
        <f>Deals_Raw!AN602</f>
        <v>50834.94</v>
      </c>
      <c r="W599">
        <f t="shared" si="78"/>
        <v>28012.880461715627</v>
      </c>
      <c r="X599">
        <f>Deals_Raw!AO602</f>
        <v>28012.880461715627</v>
      </c>
      <c r="Y599">
        <f t="shared" si="79"/>
        <v>0.55105564129151374</v>
      </c>
      <c r="Z599">
        <f>Deals_Raw!AP602</f>
        <v>0.55105564129151374</v>
      </c>
    </row>
    <row r="600" spans="1:26">
      <c r="A600" t="str">
        <f>Deals_Raw!A603</f>
        <v>D00683</v>
      </c>
      <c r="B600">
        <f>COUNTIF(Deals_Raw!$A$5:$A$643,A600)</f>
        <v>1</v>
      </c>
      <c r="C600" s="12" t="str">
        <f>Deals_Raw!E603</f>
        <v>CT00369</v>
      </c>
      <c r="E600">
        <f>Deals_Raw!AA603</f>
        <v>65938.30307587373</v>
      </c>
      <c r="F600">
        <f>ROUND(Deals_Raw!T603*(1-Deals_Raw!W603),2)</f>
        <v>65917.440000000002</v>
      </c>
      <c r="G600">
        <f t="shared" si="73"/>
        <v>-20.863075873727212</v>
      </c>
      <c r="I600">
        <f>Deals_Raw!V603</f>
        <v>0.12</v>
      </c>
      <c r="J600">
        <f>Deals_Raw!W603</f>
        <v>8.1000000000000003E-2</v>
      </c>
      <c r="K600" t="str">
        <f>Deals_Raw!Z603</f>
        <v>Sales Manager</v>
      </c>
      <c r="L600" t="str">
        <f t="shared" si="74"/>
        <v>yes</v>
      </c>
      <c r="M600" t="str">
        <f t="shared" si="75"/>
        <v>Pass</v>
      </c>
      <c r="O600">
        <f>Deals_Raw!AP603</f>
        <v>0.56882580287569517</v>
      </c>
      <c r="P600" t="str">
        <f t="shared" si="76"/>
        <v>False</v>
      </c>
      <c r="R600" t="str">
        <f>Deals_Raw!AF603</f>
        <v>Won</v>
      </c>
      <c r="S600">
        <f t="shared" si="72"/>
        <v>65917.440000000002</v>
      </c>
      <c r="T600">
        <f>Deals_Raw!AM603</f>
        <v>65917.440000000002</v>
      </c>
      <c r="U600">
        <f t="shared" si="77"/>
        <v>65917.440000000002</v>
      </c>
      <c r="V600">
        <f>Deals_Raw!AN603</f>
        <v>65917.440000000002</v>
      </c>
      <c r="W600">
        <f t="shared" si="78"/>
        <v>37495.540731510468</v>
      </c>
      <c r="X600">
        <f>Deals_Raw!AO603</f>
        <v>37495.540731510468</v>
      </c>
      <c r="Y600">
        <f t="shared" si="79"/>
        <v>0.56882580287569517</v>
      </c>
      <c r="Z600">
        <f>Deals_Raw!AP603</f>
        <v>0.56882580287569517</v>
      </c>
    </row>
    <row r="601" spans="1:26">
      <c r="A601" t="str">
        <f>Deals_Raw!A604</f>
        <v>D00684</v>
      </c>
      <c r="B601">
        <f>COUNTIF(Deals_Raw!$A$5:$A$643,A601)</f>
        <v>1</v>
      </c>
      <c r="C601" s="12" t="str">
        <f>Deals_Raw!E604</f>
        <v>CT00369</v>
      </c>
      <c r="E601">
        <f>Deals_Raw!AA604</f>
        <v>73701.629295466177</v>
      </c>
      <c r="F601">
        <f>ROUND(Deals_Raw!T604*(1-Deals_Raw!W604),2)</f>
        <v>73722.5</v>
      </c>
      <c r="G601">
        <f t="shared" si="73"/>
        <v>20.8707045338233</v>
      </c>
      <c r="I601">
        <f>Deals_Raw!V604</f>
        <v>0.10299999999999999</v>
      </c>
      <c r="J601">
        <f>Deals_Raw!W604</f>
        <v>4.2000000000000003E-2</v>
      </c>
      <c r="K601" t="str">
        <f>Deals_Raw!Z604</f>
        <v>Sales Manager</v>
      </c>
      <c r="L601" t="str">
        <f t="shared" si="74"/>
        <v>yes</v>
      </c>
      <c r="M601" t="str">
        <f t="shared" si="75"/>
        <v>Pass</v>
      </c>
      <c r="O601">
        <f>Deals_Raw!AP604</f>
        <v>0.58122754059915449</v>
      </c>
      <c r="P601" t="str">
        <f t="shared" si="76"/>
        <v>False</v>
      </c>
      <c r="R601" t="str">
        <f>Deals_Raw!AF604</f>
        <v>Won</v>
      </c>
      <c r="S601">
        <f t="shared" si="72"/>
        <v>73722.5</v>
      </c>
      <c r="T601">
        <f>Deals_Raw!AM604</f>
        <v>73722.5</v>
      </c>
      <c r="U601">
        <f t="shared" si="77"/>
        <v>73722.5</v>
      </c>
      <c r="V601">
        <f>Deals_Raw!AN604</f>
        <v>73722.5</v>
      </c>
      <c r="W601">
        <f t="shared" si="78"/>
        <v>42849.547361821169</v>
      </c>
      <c r="X601">
        <f>Deals_Raw!AO604</f>
        <v>42849.547361821169</v>
      </c>
      <c r="Y601">
        <f t="shared" si="79"/>
        <v>0.58122754059915449</v>
      </c>
      <c r="Z601">
        <f>Deals_Raw!AP604</f>
        <v>0.58122754059915449</v>
      </c>
    </row>
    <row r="602" spans="1:26">
      <c r="A602" t="str">
        <f>Deals_Raw!A605</f>
        <v>D00685</v>
      </c>
      <c r="B602">
        <f>COUNTIF(Deals_Raw!$A$5:$A$643,A602)</f>
        <v>1</v>
      </c>
      <c r="C602" s="12" t="str">
        <f>Deals_Raw!E605</f>
        <v>CT00370</v>
      </c>
      <c r="E602">
        <f>Deals_Raw!AA605</f>
        <v>352754.51405461197</v>
      </c>
      <c r="F602">
        <f>ROUND(Deals_Raw!T605*(1-Deals_Raw!W605),2)</f>
        <v>352883</v>
      </c>
      <c r="G602">
        <f t="shared" si="73"/>
        <v>128.48594538803445</v>
      </c>
      <c r="I602">
        <f>Deals_Raw!V605</f>
        <v>6.2E-2</v>
      </c>
      <c r="J602">
        <f>Deals_Raw!W605</f>
        <v>2E-3</v>
      </c>
      <c r="K602" t="str">
        <f>Deals_Raw!Z605</f>
        <v>Sales Manager</v>
      </c>
      <c r="L602" t="str">
        <f t="shared" si="74"/>
        <v>yes</v>
      </c>
      <c r="M602" t="str">
        <f t="shared" si="75"/>
        <v>Pass</v>
      </c>
      <c r="O602">
        <f>Deals_Raw!AP605</f>
        <v>0.64857456112708811</v>
      </c>
      <c r="P602" t="str">
        <f t="shared" si="76"/>
        <v>False</v>
      </c>
      <c r="R602" t="str">
        <f>Deals_Raw!AF605</f>
        <v>Lost</v>
      </c>
      <c r="S602">
        <f t="shared" si="72"/>
        <v>0</v>
      </c>
      <c r="T602">
        <v>0</v>
      </c>
      <c r="U602">
        <f t="shared" si="77"/>
        <v>0</v>
      </c>
      <c r="V602">
        <v>0</v>
      </c>
      <c r="W602">
        <f t="shared" si="78"/>
        <v>0</v>
      </c>
      <c r="X602">
        <v>0</v>
      </c>
      <c r="Y602">
        <f t="shared" si="79"/>
        <v>0</v>
      </c>
      <c r="Z602">
        <v>0</v>
      </c>
    </row>
    <row r="603" spans="1:26">
      <c r="A603" t="str">
        <f>Deals_Raw!A606</f>
        <v>D00686</v>
      </c>
      <c r="B603">
        <f>COUNTIF(Deals_Raw!$A$5:$A$643,A603)</f>
        <v>1</v>
      </c>
      <c r="C603" s="12" t="str">
        <f>Deals_Raw!E606</f>
        <v>CT00370</v>
      </c>
      <c r="E603">
        <f>Deals_Raw!AA606</f>
        <v>301982.45848538628</v>
      </c>
      <c r="F603">
        <f>ROUND(Deals_Raw!T606*(1-Deals_Raw!W606),2)</f>
        <v>301966.01</v>
      </c>
      <c r="G603">
        <f t="shared" si="73"/>
        <v>-16.448485386266839</v>
      </c>
      <c r="I603">
        <f>Deals_Raw!V606</f>
        <v>0.182</v>
      </c>
      <c r="J603">
        <f>Deals_Raw!W606</f>
        <v>0.14599999999999999</v>
      </c>
      <c r="K603" t="str">
        <f>Deals_Raw!Z606</f>
        <v>Pricing Analyst</v>
      </c>
      <c r="L603" t="str">
        <f t="shared" si="74"/>
        <v>yes</v>
      </c>
      <c r="M603" t="str">
        <f t="shared" si="75"/>
        <v>Pass</v>
      </c>
      <c r="O603">
        <f>Deals_Raw!AP606</f>
        <v>0.54657498679295868</v>
      </c>
      <c r="P603" t="str">
        <f t="shared" si="76"/>
        <v>False</v>
      </c>
      <c r="R603" t="str">
        <f>Deals_Raw!AF606</f>
        <v>Lost</v>
      </c>
      <c r="S603">
        <f t="shared" si="72"/>
        <v>0</v>
      </c>
      <c r="T603">
        <v>0</v>
      </c>
      <c r="U603">
        <f t="shared" si="77"/>
        <v>0</v>
      </c>
      <c r="V603">
        <v>0</v>
      </c>
      <c r="W603">
        <f t="shared" si="78"/>
        <v>0</v>
      </c>
      <c r="X603">
        <v>0</v>
      </c>
      <c r="Y603">
        <f t="shared" si="79"/>
        <v>0</v>
      </c>
      <c r="Z603">
        <v>0</v>
      </c>
    </row>
    <row r="604" spans="1:26">
      <c r="A604" t="str">
        <f>Deals_Raw!A607</f>
        <v>D00687</v>
      </c>
      <c r="B604">
        <f>COUNTIF(Deals_Raw!$A$5:$A$643,A604)</f>
        <v>1</v>
      </c>
      <c r="C604" s="12" t="str">
        <f>Deals_Raw!E607</f>
        <v>CT00371</v>
      </c>
      <c r="E604">
        <f>Deals_Raw!AA607</f>
        <v>86223.190589196762</v>
      </c>
      <c r="F604">
        <f>ROUND(Deals_Raw!T607*(1-Deals_Raw!W607),2)</f>
        <v>86212.18</v>
      </c>
      <c r="G604">
        <f t="shared" si="73"/>
        <v>-11.010589196768706</v>
      </c>
      <c r="I604">
        <f>Deals_Raw!V607</f>
        <v>0.16500000000000001</v>
      </c>
      <c r="J604">
        <f>Deals_Raw!W607</f>
        <v>0.14000000000000001</v>
      </c>
      <c r="K604" t="str">
        <f>Deals_Raw!Z607</f>
        <v>Pricing Analyst</v>
      </c>
      <c r="L604" t="str">
        <f t="shared" si="74"/>
        <v>yes</v>
      </c>
      <c r="M604" t="str">
        <f t="shared" si="75"/>
        <v>Pass</v>
      </c>
      <c r="O604">
        <f>Deals_Raw!AP607</f>
        <v>0.55751538304853698</v>
      </c>
      <c r="P604" t="str">
        <f t="shared" si="76"/>
        <v>False</v>
      </c>
      <c r="R604" t="str">
        <f>Deals_Raw!AF607</f>
        <v>Won</v>
      </c>
      <c r="S604">
        <f t="shared" si="72"/>
        <v>86212.18</v>
      </c>
      <c r="T604">
        <f>Deals_Raw!AM607</f>
        <v>86212.18</v>
      </c>
      <c r="U604">
        <f t="shared" si="77"/>
        <v>86212.18</v>
      </c>
      <c r="V604">
        <f>Deals_Raw!AN607</f>
        <v>86212.18</v>
      </c>
      <c r="W604">
        <f t="shared" si="78"/>
        <v>48064.616556149413</v>
      </c>
      <c r="X604">
        <f>Deals_Raw!AO607</f>
        <v>48064.616556149413</v>
      </c>
      <c r="Y604">
        <f t="shared" si="79"/>
        <v>0.55751538304853698</v>
      </c>
      <c r="Z604">
        <f>Deals_Raw!AP607</f>
        <v>0.55751538304853698</v>
      </c>
    </row>
    <row r="605" spans="1:26">
      <c r="A605" t="str">
        <f>Deals_Raw!A608</f>
        <v>D00688</v>
      </c>
      <c r="B605">
        <f>COUNTIF(Deals_Raw!$A$5:$A$643,A605)</f>
        <v>1</v>
      </c>
      <c r="C605" s="12" t="str">
        <f>Deals_Raw!E608</f>
        <v>CT00371</v>
      </c>
      <c r="E605">
        <f>Deals_Raw!AA608</f>
        <v>100539.60591123512</v>
      </c>
      <c r="F605">
        <f>ROUND(Deals_Raw!T608*(1-Deals_Raw!W608),2)</f>
        <v>100496.13</v>
      </c>
      <c r="G605">
        <f t="shared" si="73"/>
        <v>-43.475911235116655</v>
      </c>
      <c r="I605">
        <f>Deals_Raw!V608</f>
        <v>0.113</v>
      </c>
      <c r="J605">
        <f>Deals_Raw!W608</f>
        <v>8.8999999999999996E-2</v>
      </c>
      <c r="K605" t="str">
        <f>Deals_Raw!Z608</f>
        <v>Sales Manager</v>
      </c>
      <c r="L605" t="str">
        <f t="shared" si="74"/>
        <v>yes</v>
      </c>
      <c r="M605" t="str">
        <f t="shared" si="75"/>
        <v>Pass</v>
      </c>
      <c r="O605">
        <f>Deals_Raw!AP608</f>
        <v>0.5848278440327217</v>
      </c>
      <c r="P605" t="str">
        <f t="shared" si="76"/>
        <v>False</v>
      </c>
      <c r="R605" t="str">
        <f>Deals_Raw!AF608</f>
        <v>Lost</v>
      </c>
      <c r="S605">
        <f t="shared" si="72"/>
        <v>0</v>
      </c>
      <c r="T605">
        <v>0</v>
      </c>
      <c r="U605">
        <f t="shared" si="77"/>
        <v>0</v>
      </c>
      <c r="V605">
        <v>0</v>
      </c>
      <c r="W605">
        <f t="shared" si="78"/>
        <v>0</v>
      </c>
      <c r="X605">
        <v>0</v>
      </c>
      <c r="Y605">
        <f t="shared" si="79"/>
        <v>0</v>
      </c>
      <c r="Z605">
        <v>0</v>
      </c>
    </row>
    <row r="606" spans="1:26">
      <c r="A606" t="str">
        <f>Deals_Raw!A609</f>
        <v>D00689</v>
      </c>
      <c r="B606">
        <f>COUNTIF(Deals_Raw!$A$5:$A$643,A606)</f>
        <v>1</v>
      </c>
      <c r="C606" s="12" t="str">
        <f>Deals_Raw!E609</f>
        <v>CT00371</v>
      </c>
      <c r="E606">
        <f>Deals_Raw!AA609</f>
        <v>82683.716033466946</v>
      </c>
      <c r="F606">
        <f>ROUND(Deals_Raw!T609*(1-Deals_Raw!W609),2)</f>
        <v>82678.84</v>
      </c>
      <c r="G606">
        <f t="shared" si="73"/>
        <v>-4.8760334669495933</v>
      </c>
      <c r="I606">
        <f>Deals_Raw!V609</f>
        <v>0.20300000000000001</v>
      </c>
      <c r="J606">
        <f>Deals_Raw!W609</f>
        <v>0.19500000000000001</v>
      </c>
      <c r="K606" t="str">
        <f>Deals_Raw!Z609</f>
        <v>Pricing Analyst</v>
      </c>
      <c r="L606" t="str">
        <f t="shared" si="74"/>
        <v>yes</v>
      </c>
      <c r="M606" t="str">
        <f t="shared" si="75"/>
        <v>Pass</v>
      </c>
      <c r="O606">
        <f>Deals_Raw!AP609</f>
        <v>0.47525034706272662</v>
      </c>
      <c r="P606" t="str">
        <f t="shared" si="76"/>
        <v>False</v>
      </c>
      <c r="R606" t="str">
        <f>Deals_Raw!AF609</f>
        <v>Won</v>
      </c>
      <c r="S606">
        <f t="shared" si="72"/>
        <v>82678.84</v>
      </c>
      <c r="T606">
        <f>Deals_Raw!AM609</f>
        <v>82678.84</v>
      </c>
      <c r="U606">
        <f t="shared" si="77"/>
        <v>82678.84</v>
      </c>
      <c r="V606">
        <f>Deals_Raw!AN609</f>
        <v>82678.84</v>
      </c>
      <c r="W606">
        <f t="shared" si="78"/>
        <v>39293.147404743642</v>
      </c>
      <c r="X606">
        <f>Deals_Raw!AO609</f>
        <v>39293.147404743642</v>
      </c>
      <c r="Y606">
        <f t="shared" si="79"/>
        <v>0.47525034706272662</v>
      </c>
      <c r="Z606">
        <f>Deals_Raw!AP609</f>
        <v>0.47525034706272662</v>
      </c>
    </row>
    <row r="607" spans="1:26">
      <c r="A607" t="str">
        <f>Deals_Raw!A610</f>
        <v>D00690</v>
      </c>
      <c r="B607">
        <f>COUNTIF(Deals_Raw!$A$5:$A$643,A607)</f>
        <v>1</v>
      </c>
      <c r="C607" s="12" t="str">
        <f>Deals_Raw!E610</f>
        <v>CT00372</v>
      </c>
      <c r="E607">
        <f>Deals_Raw!AA610</f>
        <v>317743.55906282406</v>
      </c>
      <c r="F607">
        <f>ROUND(Deals_Raw!T610*(1-Deals_Raw!W610),2)</f>
        <v>317636.07</v>
      </c>
      <c r="G607">
        <f t="shared" si="73"/>
        <v>-107.48906282405369</v>
      </c>
      <c r="I607">
        <f>Deals_Raw!V610</f>
        <v>0.114</v>
      </c>
      <c r="J607">
        <f>Deals_Raw!W610</f>
        <v>7.0000000000000007E-2</v>
      </c>
      <c r="K607" t="str">
        <f>Deals_Raw!Z610</f>
        <v>Sales Manager</v>
      </c>
      <c r="L607" t="str">
        <f t="shared" si="74"/>
        <v>yes</v>
      </c>
      <c r="M607" t="str">
        <f t="shared" si="75"/>
        <v>Pass</v>
      </c>
      <c r="O607">
        <f>Deals_Raw!AP610</f>
        <v>0.58065909753704259</v>
      </c>
      <c r="P607" t="str">
        <f t="shared" si="76"/>
        <v>False</v>
      </c>
      <c r="R607" t="str">
        <f>Deals_Raw!AF610</f>
        <v>Lost</v>
      </c>
      <c r="S607">
        <f t="shared" si="72"/>
        <v>0</v>
      </c>
      <c r="T607">
        <f>Deals_Raw!AM610</f>
        <v>317636.07</v>
      </c>
      <c r="U607">
        <f t="shared" si="77"/>
        <v>0</v>
      </c>
      <c r="V607">
        <f>Deals_Raw!AN610</f>
        <v>952908.21</v>
      </c>
      <c r="W607">
        <f t="shared" si="78"/>
        <v>0</v>
      </c>
      <c r="X607">
        <f>Deals_Raw!AO610</f>
        <v>184438.2737514129</v>
      </c>
      <c r="Y607">
        <f t="shared" si="79"/>
        <v>0</v>
      </c>
      <c r="Z607">
        <f>Deals_Raw!AP610</f>
        <v>0.58065909753704259</v>
      </c>
    </row>
    <row r="608" spans="1:26">
      <c r="A608" t="str">
        <f>Deals_Raw!A611</f>
        <v>D00691</v>
      </c>
      <c r="B608">
        <f>COUNTIF(Deals_Raw!$A$5:$A$643,A608)</f>
        <v>1</v>
      </c>
      <c r="C608" s="12" t="str">
        <f>Deals_Raw!E611</f>
        <v>CT00372</v>
      </c>
      <c r="E608">
        <f>Deals_Raw!AA611</f>
        <v>302092.02453953261</v>
      </c>
      <c r="F608">
        <f>ROUND(Deals_Raw!T611*(1-Deals_Raw!W611),2)</f>
        <v>301925.03999999998</v>
      </c>
      <c r="G608">
        <f t="shared" si="73"/>
        <v>-166.98453953262651</v>
      </c>
      <c r="I608">
        <f>Deals_Raw!V611</f>
        <v>0.11600000000000001</v>
      </c>
      <c r="J608">
        <f>Deals_Raw!W611</f>
        <v>0.11600000000000001</v>
      </c>
      <c r="K608" t="str">
        <f>Deals_Raw!Z611</f>
        <v>Pricing Analyst</v>
      </c>
      <c r="L608" t="str">
        <f t="shared" si="74"/>
        <v>yes</v>
      </c>
      <c r="M608" t="str">
        <f t="shared" si="75"/>
        <v>Pass</v>
      </c>
      <c r="O608">
        <f>Deals_Raw!AP611</f>
        <v>0.55070305735639469</v>
      </c>
      <c r="P608" t="str">
        <f t="shared" si="76"/>
        <v>False</v>
      </c>
      <c r="R608" t="str">
        <f>Deals_Raw!AF611</f>
        <v>Won</v>
      </c>
      <c r="S608">
        <f t="shared" si="72"/>
        <v>301925.03999999998</v>
      </c>
      <c r="T608">
        <f>Deals_Raw!AM611</f>
        <v>301925.03999999998</v>
      </c>
      <c r="U608">
        <f t="shared" si="77"/>
        <v>905775.11999999988</v>
      </c>
      <c r="V608">
        <f>Deals_Raw!AN611</f>
        <v>905775.11999999988</v>
      </c>
      <c r="W608">
        <f t="shared" si="78"/>
        <v>166271.04262045174</v>
      </c>
      <c r="X608">
        <f>Deals_Raw!AO611</f>
        <v>166271.04262045174</v>
      </c>
      <c r="Y608">
        <f t="shared" si="79"/>
        <v>0.55070305735639469</v>
      </c>
      <c r="Z608">
        <f>Deals_Raw!AP611</f>
        <v>0.55070305735639469</v>
      </c>
    </row>
    <row r="609" spans="1:26">
      <c r="A609" t="str">
        <f>Deals_Raw!A612</f>
        <v>D00692</v>
      </c>
      <c r="B609">
        <f>COUNTIF(Deals_Raw!$A$5:$A$643,A609)</f>
        <v>1</v>
      </c>
      <c r="C609" s="12" t="str">
        <f>Deals_Raw!E612</f>
        <v>CT00373</v>
      </c>
      <c r="E609">
        <f>Deals_Raw!AA612</f>
        <v>42966.194853863351</v>
      </c>
      <c r="F609">
        <f>ROUND(Deals_Raw!T612*(1-Deals_Raw!W612),2)</f>
        <v>42981.71</v>
      </c>
      <c r="G609">
        <f t="shared" si="73"/>
        <v>15.515146136647672</v>
      </c>
      <c r="I609">
        <f>Deals_Raw!V612</f>
        <v>0.14000000000000001</v>
      </c>
      <c r="J609">
        <f>Deals_Raw!W612</f>
        <v>0.104</v>
      </c>
      <c r="K609" t="str">
        <f>Deals_Raw!Z612</f>
        <v>Pricing Analyst</v>
      </c>
      <c r="L609" t="str">
        <f t="shared" si="74"/>
        <v>yes</v>
      </c>
      <c r="M609" t="str">
        <f t="shared" si="75"/>
        <v>Pass</v>
      </c>
      <c r="O609">
        <f>Deals_Raw!AP612</f>
        <v>0.62968752802975692</v>
      </c>
      <c r="P609" t="str">
        <f t="shared" si="76"/>
        <v>False</v>
      </c>
      <c r="R609" t="str">
        <f>Deals_Raw!AF612</f>
        <v>Lost</v>
      </c>
      <c r="S609">
        <f t="shared" si="72"/>
        <v>0</v>
      </c>
      <c r="T609">
        <v>0</v>
      </c>
      <c r="U609">
        <f t="shared" si="77"/>
        <v>0</v>
      </c>
      <c r="V609">
        <v>0</v>
      </c>
      <c r="W609">
        <f t="shared" si="78"/>
        <v>0</v>
      </c>
      <c r="X609">
        <v>0</v>
      </c>
      <c r="Y609">
        <f t="shared" si="79"/>
        <v>0</v>
      </c>
      <c r="Z609">
        <v>0</v>
      </c>
    </row>
    <row r="610" spans="1:26">
      <c r="A610" t="str">
        <f>Deals_Raw!A613</f>
        <v>D00693</v>
      </c>
      <c r="B610">
        <f>COUNTIF(Deals_Raw!$A$5:$A$643,A610)</f>
        <v>1</v>
      </c>
      <c r="C610" s="12" t="str">
        <f>Deals_Raw!E613</f>
        <v>CT00374</v>
      </c>
      <c r="E610">
        <f>Deals_Raw!AA613</f>
        <v>49246.734269939472</v>
      </c>
      <c r="F610">
        <f>ROUND(Deals_Raw!T613*(1-Deals_Raw!W613),2)</f>
        <v>49253.78</v>
      </c>
      <c r="G610">
        <f t="shared" si="73"/>
        <v>7.0457300605266937</v>
      </c>
      <c r="I610">
        <f>Deals_Raw!V613</f>
        <v>4.2999999999999997E-2</v>
      </c>
      <c r="J610">
        <f>Deals_Raw!W613</f>
        <v>2.5000000000000001E-2</v>
      </c>
      <c r="K610" t="str">
        <f>Deals_Raw!Z613</f>
        <v>Sales Manager</v>
      </c>
      <c r="L610" t="str">
        <f t="shared" si="74"/>
        <v>yes</v>
      </c>
      <c r="M610" t="str">
        <f t="shared" si="75"/>
        <v>Pass</v>
      </c>
      <c r="O610">
        <f>Deals_Raw!AP613</f>
        <v>0.66585947074151008</v>
      </c>
      <c r="P610" t="str">
        <f t="shared" si="76"/>
        <v>False</v>
      </c>
      <c r="R610" t="str">
        <f>Deals_Raw!AF613</f>
        <v>Won</v>
      </c>
      <c r="S610">
        <f t="shared" si="72"/>
        <v>49253.78</v>
      </c>
      <c r="T610">
        <f>Deals_Raw!AM613</f>
        <v>49253.78</v>
      </c>
      <c r="U610">
        <f t="shared" si="77"/>
        <v>49253.78</v>
      </c>
      <c r="V610">
        <f>Deals_Raw!AN613</f>
        <v>49253.78</v>
      </c>
      <c r="W610">
        <f t="shared" si="78"/>
        <v>32796.095882818772</v>
      </c>
      <c r="X610">
        <f>Deals_Raw!AO613</f>
        <v>32796.095882818772</v>
      </c>
      <c r="Y610">
        <f t="shared" si="79"/>
        <v>0.66585947074151008</v>
      </c>
      <c r="Z610">
        <f>Deals_Raw!AP613</f>
        <v>0.66585947074151008</v>
      </c>
    </row>
    <row r="611" spans="1:26">
      <c r="A611" t="str">
        <f>Deals_Raw!A614</f>
        <v>D00694</v>
      </c>
      <c r="B611">
        <f>COUNTIF(Deals_Raw!$A$5:$A$643,A611)</f>
        <v>1</v>
      </c>
      <c r="C611" s="12" t="str">
        <f>Deals_Raw!E614</f>
        <v>CT00374</v>
      </c>
      <c r="E611">
        <f>Deals_Raw!AA614</f>
        <v>47880.8053997073</v>
      </c>
      <c r="F611">
        <f>ROUND(Deals_Raw!T614*(1-Deals_Raw!W614),2)</f>
        <v>47895.47</v>
      </c>
      <c r="G611">
        <f t="shared" si="73"/>
        <v>14.664600292700925</v>
      </c>
      <c r="I611">
        <f>Deals_Raw!V614</f>
        <v>0.115</v>
      </c>
      <c r="J611">
        <f>Deals_Raw!W614</f>
        <v>0.10299999999999999</v>
      </c>
      <c r="K611" t="str">
        <f>Deals_Raw!Z614</f>
        <v>Pricing Analyst</v>
      </c>
      <c r="L611" t="str">
        <f t="shared" si="74"/>
        <v>yes</v>
      </c>
      <c r="M611" t="str">
        <f t="shared" si="75"/>
        <v>Pass</v>
      </c>
      <c r="O611">
        <f>Deals_Raw!AP614</f>
        <v>0.68089758094428798</v>
      </c>
      <c r="P611" t="str">
        <f t="shared" si="76"/>
        <v>False</v>
      </c>
      <c r="R611" t="str">
        <f>Deals_Raw!AF614</f>
        <v>Lost</v>
      </c>
      <c r="S611">
        <f t="shared" ref="S611:S639" si="80">IF($R611="Lost",0,T611)</f>
        <v>0</v>
      </c>
      <c r="T611">
        <v>0</v>
      </c>
      <c r="U611">
        <f t="shared" si="77"/>
        <v>0</v>
      </c>
      <c r="V611">
        <v>0</v>
      </c>
      <c r="W611">
        <f t="shared" si="78"/>
        <v>0</v>
      </c>
      <c r="X611">
        <v>0</v>
      </c>
      <c r="Y611">
        <f t="shared" si="79"/>
        <v>0</v>
      </c>
      <c r="Z611">
        <v>0</v>
      </c>
    </row>
    <row r="612" spans="1:26">
      <c r="A612" t="str">
        <f>Deals_Raw!A615</f>
        <v>D00695</v>
      </c>
      <c r="B612">
        <f>COUNTIF(Deals_Raw!$A$5:$A$643,A612)</f>
        <v>1</v>
      </c>
      <c r="C612" s="12" t="str">
        <f>Deals_Raw!E615</f>
        <v>CT00374</v>
      </c>
      <c r="E612">
        <f>Deals_Raw!AA615</f>
        <v>43503.201210486681</v>
      </c>
      <c r="F612">
        <f>ROUND(Deals_Raw!T615*(1-Deals_Raw!W615),2)</f>
        <v>43517.07</v>
      </c>
      <c r="G612">
        <f t="shared" si="73"/>
        <v>13.868789513318916</v>
      </c>
      <c r="I612">
        <f>Deals_Raw!V615</f>
        <v>0.187</v>
      </c>
      <c r="J612">
        <f>Deals_Raw!W615</f>
        <v>0.185</v>
      </c>
      <c r="K612" t="str">
        <f>Deals_Raw!Z615</f>
        <v>Pricing Analyst</v>
      </c>
      <c r="L612" t="str">
        <f t="shared" si="74"/>
        <v>yes</v>
      </c>
      <c r="M612" t="str">
        <f t="shared" si="75"/>
        <v>Pass</v>
      </c>
      <c r="O612">
        <f>Deals_Raw!AP615</f>
        <v>0.57604636985901614</v>
      </c>
      <c r="P612" t="str">
        <f t="shared" si="76"/>
        <v>False</v>
      </c>
      <c r="R612" t="str">
        <f>Deals_Raw!AF615</f>
        <v>Won</v>
      </c>
      <c r="S612">
        <f t="shared" si="80"/>
        <v>43517.07</v>
      </c>
      <c r="T612">
        <f>Deals_Raw!AM615</f>
        <v>43517.07</v>
      </c>
      <c r="U612">
        <f t="shared" si="77"/>
        <v>43517.07</v>
      </c>
      <c r="V612">
        <f>Deals_Raw!AN615</f>
        <v>43517.07</v>
      </c>
      <c r="W612">
        <f t="shared" si="78"/>
        <v>25067.850200400695</v>
      </c>
      <c r="X612">
        <f>Deals_Raw!AO615</f>
        <v>25067.850200400695</v>
      </c>
      <c r="Y612">
        <f t="shared" si="79"/>
        <v>0.57604636985901614</v>
      </c>
      <c r="Z612">
        <f>Deals_Raw!AP615</f>
        <v>0.57604636985901614</v>
      </c>
    </row>
    <row r="613" spans="1:26">
      <c r="A613" t="str">
        <f>Deals_Raw!A616</f>
        <v>D00696</v>
      </c>
      <c r="B613">
        <f>COUNTIF(Deals_Raw!$A$5:$A$643,A613)</f>
        <v>1</v>
      </c>
      <c r="C613" s="12" t="str">
        <f>Deals_Raw!E616</f>
        <v>CT00375</v>
      </c>
      <c r="E613">
        <f>Deals_Raw!AA616</f>
        <v>110704.77046329225</v>
      </c>
      <c r="F613">
        <f>ROUND(Deals_Raw!T616*(1-Deals_Raw!W616),2)</f>
        <v>110736.4</v>
      </c>
      <c r="G613">
        <f t="shared" si="73"/>
        <v>31.629536707740044</v>
      </c>
      <c r="I613">
        <f>Deals_Raw!V616</f>
        <v>0.187</v>
      </c>
      <c r="J613">
        <f>Deals_Raw!W616</f>
        <v>0.18099999999999999</v>
      </c>
      <c r="K613" t="str">
        <f>Deals_Raw!Z616</f>
        <v>Pricing Analyst</v>
      </c>
      <c r="L613" t="str">
        <f t="shared" si="74"/>
        <v>yes</v>
      </c>
      <c r="M613" t="str">
        <f t="shared" si="75"/>
        <v>Pass</v>
      </c>
      <c r="O613">
        <f>Deals_Raw!AP616</f>
        <v>0.5726540461459646</v>
      </c>
      <c r="P613" t="str">
        <f t="shared" si="76"/>
        <v>False</v>
      </c>
      <c r="R613" t="str">
        <f>Deals_Raw!AF616</f>
        <v>Won</v>
      </c>
      <c r="S613">
        <f t="shared" si="80"/>
        <v>110736.4</v>
      </c>
      <c r="T613">
        <f>Deals_Raw!AM616</f>
        <v>110736.4</v>
      </c>
      <c r="U613">
        <f t="shared" si="77"/>
        <v>110736.4</v>
      </c>
      <c r="V613">
        <f>Deals_Raw!AN616</f>
        <v>110736.4</v>
      </c>
      <c r="W613">
        <f t="shared" si="78"/>
        <v>63413.647515637989</v>
      </c>
      <c r="X613">
        <f>Deals_Raw!AO616</f>
        <v>63413.647515637989</v>
      </c>
      <c r="Y613">
        <f t="shared" si="79"/>
        <v>0.5726540461459646</v>
      </c>
      <c r="Z613">
        <f>Deals_Raw!AP616</f>
        <v>0.5726540461459646</v>
      </c>
    </row>
    <row r="614" spans="1:26">
      <c r="A614" t="str">
        <f>Deals_Raw!A617</f>
        <v>D00697</v>
      </c>
      <c r="B614">
        <f>COUNTIF(Deals_Raw!$A$5:$A$643,A614)</f>
        <v>1</v>
      </c>
      <c r="C614" s="12" t="str">
        <f>Deals_Raw!E617</f>
        <v>CT00376</v>
      </c>
      <c r="E614">
        <f>Deals_Raw!AA617</f>
        <v>318211.87614658801</v>
      </c>
      <c r="F614">
        <f>ROUND(Deals_Raw!T617*(1-Deals_Raw!W617),2)</f>
        <v>318341.5</v>
      </c>
      <c r="G614">
        <f t="shared" si="73"/>
        <v>129.62385341199115</v>
      </c>
      <c r="I614">
        <f>Deals_Raw!V617</f>
        <v>0.11899999999999999</v>
      </c>
      <c r="J614">
        <f>Deals_Raw!W617</f>
        <v>7.0999999999999994E-2</v>
      </c>
      <c r="K614" t="str">
        <f>Deals_Raw!Z617</f>
        <v>Sales Manager</v>
      </c>
      <c r="L614" t="str">
        <f t="shared" si="74"/>
        <v>yes</v>
      </c>
      <c r="M614" t="str">
        <f t="shared" si="75"/>
        <v>Pass</v>
      </c>
      <c r="O614">
        <f>Deals_Raw!AP617</f>
        <v>0.57585664990667484</v>
      </c>
      <c r="P614" t="str">
        <f t="shared" si="76"/>
        <v>False</v>
      </c>
      <c r="R614" t="str">
        <f>Deals_Raw!AF617</f>
        <v>Won</v>
      </c>
      <c r="S614">
        <f t="shared" si="80"/>
        <v>318341.5</v>
      </c>
      <c r="T614">
        <f>Deals_Raw!AM617</f>
        <v>318341.5</v>
      </c>
      <c r="U614">
        <f t="shared" si="77"/>
        <v>318341.5</v>
      </c>
      <c r="V614">
        <f>Deals_Raw!AN617</f>
        <v>318341.5</v>
      </c>
      <c r="W614">
        <f t="shared" si="78"/>
        <v>183319.06971626575</v>
      </c>
      <c r="X614">
        <f>Deals_Raw!AO617</f>
        <v>183319.06971626575</v>
      </c>
      <c r="Y614">
        <f t="shared" si="79"/>
        <v>0.57585664990667484</v>
      </c>
      <c r="Z614">
        <f>Deals_Raw!AP617</f>
        <v>0.57585664990667484</v>
      </c>
    </row>
    <row r="615" spans="1:26">
      <c r="A615" t="str">
        <f>Deals_Raw!A618</f>
        <v>D00698</v>
      </c>
      <c r="B615">
        <f>COUNTIF(Deals_Raw!$A$5:$A$643,A615)</f>
        <v>1</v>
      </c>
      <c r="C615" s="12" t="str">
        <f>Deals_Raw!E618</f>
        <v>CT00376</v>
      </c>
      <c r="E615">
        <f>Deals_Raw!AA618</f>
        <v>312735.74112681963</v>
      </c>
      <c r="F615">
        <f>ROUND(Deals_Raw!T618*(1-Deals_Raw!W618),2)</f>
        <v>312736.62</v>
      </c>
      <c r="G615">
        <f t="shared" si="73"/>
        <v>0.87887318036518991</v>
      </c>
      <c r="I615">
        <f>Deals_Raw!V618</f>
        <v>0.161</v>
      </c>
      <c r="J615">
        <f>Deals_Raw!W618</f>
        <v>0.13300000000000001</v>
      </c>
      <c r="K615" t="str">
        <f>Deals_Raw!Z618</f>
        <v>Pricing Analyst</v>
      </c>
      <c r="L615" t="str">
        <f t="shared" si="74"/>
        <v>yes</v>
      </c>
      <c r="M615" t="str">
        <f t="shared" si="75"/>
        <v>Pass</v>
      </c>
      <c r="O615">
        <f>Deals_Raw!AP618</f>
        <v>0.68124056561352264</v>
      </c>
      <c r="P615" t="str">
        <f t="shared" si="76"/>
        <v>False</v>
      </c>
      <c r="R615" t="str">
        <f>Deals_Raw!AF618</f>
        <v>Won</v>
      </c>
      <c r="S615">
        <f t="shared" si="80"/>
        <v>312736.62</v>
      </c>
      <c r="T615">
        <f>Deals_Raw!AM618</f>
        <v>312736.62</v>
      </c>
      <c r="U615">
        <f t="shared" si="77"/>
        <v>312736.62</v>
      </c>
      <c r="V615">
        <f>Deals_Raw!AN618</f>
        <v>312736.62</v>
      </c>
      <c r="W615">
        <f t="shared" si="78"/>
        <v>213048.8718968613</v>
      </c>
      <c r="X615">
        <f>Deals_Raw!AO618</f>
        <v>213048.8718968613</v>
      </c>
      <c r="Y615">
        <f t="shared" si="79"/>
        <v>0.68124056561352264</v>
      </c>
      <c r="Z615">
        <f>Deals_Raw!AP618</f>
        <v>0.68124056561352264</v>
      </c>
    </row>
    <row r="616" spans="1:26">
      <c r="A616" t="str">
        <f>Deals_Raw!A619</f>
        <v>D00699</v>
      </c>
      <c r="B616">
        <f>COUNTIF(Deals_Raw!$A$5:$A$643,A616)</f>
        <v>1</v>
      </c>
      <c r="C616" s="12" t="str">
        <f>Deals_Raw!E619</f>
        <v>CT00377</v>
      </c>
      <c r="E616">
        <f>Deals_Raw!AA619</f>
        <v>505514.6154378145</v>
      </c>
      <c r="F616">
        <f>ROUND(Deals_Raw!T619*(1-Deals_Raw!W619),2)</f>
        <v>505610.94</v>
      </c>
      <c r="G616">
        <f t="shared" si="73"/>
        <v>96.324562185502145</v>
      </c>
      <c r="I616">
        <f>Deals_Raw!V619</f>
        <v>8.1000000000000003E-2</v>
      </c>
      <c r="J616">
        <f>Deals_Raw!W619</f>
        <v>7.0999999999999994E-2</v>
      </c>
      <c r="K616" t="str">
        <f>Deals_Raw!Z619</f>
        <v>Sales Manager</v>
      </c>
      <c r="L616" t="str">
        <f t="shared" si="74"/>
        <v>yes</v>
      </c>
      <c r="M616" t="str">
        <f t="shared" si="75"/>
        <v>Pass</v>
      </c>
      <c r="O616">
        <f>Deals_Raw!AP619</f>
        <v>0.6076075334981007</v>
      </c>
      <c r="P616" t="str">
        <f t="shared" si="76"/>
        <v>False</v>
      </c>
      <c r="R616" t="str">
        <f>Deals_Raw!AF619</f>
        <v>Won</v>
      </c>
      <c r="S616">
        <f t="shared" si="80"/>
        <v>505610.94</v>
      </c>
      <c r="T616">
        <f>Deals_Raw!AM619</f>
        <v>505610.94</v>
      </c>
      <c r="U616">
        <f t="shared" si="77"/>
        <v>505610.94</v>
      </c>
      <c r="V616">
        <f>Deals_Raw!AN619</f>
        <v>505610.94</v>
      </c>
      <c r="W616">
        <f t="shared" si="78"/>
        <v>307213.01616305619</v>
      </c>
      <c r="X616">
        <f>Deals_Raw!AO619</f>
        <v>307213.01616305619</v>
      </c>
      <c r="Y616">
        <f t="shared" si="79"/>
        <v>0.6076075334981007</v>
      </c>
      <c r="Z616">
        <f>Deals_Raw!AP619</f>
        <v>0.6076075334981007</v>
      </c>
    </row>
    <row r="617" spans="1:26">
      <c r="A617" t="str">
        <f>Deals_Raw!A620</f>
        <v>D00700</v>
      </c>
      <c r="B617">
        <f>COUNTIF(Deals_Raw!$A$5:$A$643,A617)</f>
        <v>1</v>
      </c>
      <c r="C617" s="12" t="str">
        <f>Deals_Raw!E620</f>
        <v>CT00377</v>
      </c>
      <c r="E617">
        <f>Deals_Raw!AA620</f>
        <v>598727.9542197265</v>
      </c>
      <c r="F617">
        <f>ROUND(Deals_Raw!T620*(1-Deals_Raw!W620),2)</f>
        <v>598727.94999999995</v>
      </c>
      <c r="G617">
        <f t="shared" si="73"/>
        <v>-4.2197265429422259E-3</v>
      </c>
      <c r="I617">
        <f>Deals_Raw!V620</f>
        <v>0</v>
      </c>
      <c r="J617">
        <f>Deals_Raw!W620</f>
        <v>0</v>
      </c>
      <c r="K617" t="str">
        <f>Deals_Raw!Z620</f>
        <v>Sales Manager</v>
      </c>
      <c r="L617" t="str">
        <f t="shared" si="74"/>
        <v>yes</v>
      </c>
      <c r="M617" t="str">
        <f t="shared" si="75"/>
        <v>Pass</v>
      </c>
      <c r="O617">
        <f>Deals_Raw!AP620</f>
        <v>0.65690438308558785</v>
      </c>
      <c r="P617" t="str">
        <f t="shared" si="76"/>
        <v>False</v>
      </c>
      <c r="R617" t="str">
        <f>Deals_Raw!AF620</f>
        <v>Won</v>
      </c>
      <c r="S617">
        <f t="shared" si="80"/>
        <v>598727.94999999995</v>
      </c>
      <c r="T617">
        <f>Deals_Raw!AM620</f>
        <v>598727.94999999995</v>
      </c>
      <c r="U617">
        <f t="shared" si="77"/>
        <v>598727.94999999995</v>
      </c>
      <c r="V617">
        <f>Deals_Raw!AN620</f>
        <v>598727.94999999995</v>
      </c>
      <c r="W617">
        <f t="shared" si="78"/>
        <v>393307.01463084866</v>
      </c>
      <c r="X617">
        <f>Deals_Raw!AO620</f>
        <v>393307.01463084866</v>
      </c>
      <c r="Y617">
        <f t="shared" si="79"/>
        <v>0.65690438308558785</v>
      </c>
      <c r="Z617">
        <f>Deals_Raw!AP620</f>
        <v>0.65690438308558785</v>
      </c>
    </row>
    <row r="618" spans="1:26">
      <c r="A618" t="str">
        <f>Deals_Raw!A621</f>
        <v>D00701</v>
      </c>
      <c r="B618">
        <f>COUNTIF(Deals_Raw!$A$5:$A$643,A618)</f>
        <v>1</v>
      </c>
      <c r="C618" s="12" t="str">
        <f>Deals_Raw!E621</f>
        <v>CT00377</v>
      </c>
      <c r="E618">
        <f>Deals_Raw!AA621</f>
        <v>546950.80901625659</v>
      </c>
      <c r="F618">
        <f>ROUND(Deals_Raw!T621*(1-Deals_Raw!W621),2)</f>
        <v>547086.06999999995</v>
      </c>
      <c r="G618">
        <f t="shared" si="73"/>
        <v>135.26098374335561</v>
      </c>
      <c r="I618">
        <f>Deals_Raw!V621</f>
        <v>0.129</v>
      </c>
      <c r="J618">
        <f>Deals_Raw!W621</f>
        <v>0.111</v>
      </c>
      <c r="K618" t="str">
        <f>Deals_Raw!Z621</f>
        <v>Pricing Analyst</v>
      </c>
      <c r="L618" t="str">
        <f t="shared" si="74"/>
        <v>yes</v>
      </c>
      <c r="M618" t="str">
        <f t="shared" si="75"/>
        <v>Pass</v>
      </c>
      <c r="O618">
        <f>Deals_Raw!AP621</f>
        <v>0.61405315398081173</v>
      </c>
      <c r="P618" t="str">
        <f t="shared" si="76"/>
        <v>False</v>
      </c>
      <c r="R618" t="str">
        <f>Deals_Raw!AF621</f>
        <v>Won</v>
      </c>
      <c r="S618">
        <f t="shared" si="80"/>
        <v>547086.06999999995</v>
      </c>
      <c r="T618">
        <f>Deals_Raw!AM621</f>
        <v>547086.06999999995</v>
      </c>
      <c r="U618">
        <f t="shared" si="77"/>
        <v>547086.06999999995</v>
      </c>
      <c r="V618">
        <f>Deals_Raw!AN621</f>
        <v>547086.06999999995</v>
      </c>
      <c r="W618">
        <f t="shared" si="78"/>
        <v>335939.92678246711</v>
      </c>
      <c r="X618">
        <f>Deals_Raw!AO621</f>
        <v>335939.92678246711</v>
      </c>
      <c r="Y618">
        <f t="shared" si="79"/>
        <v>0.61405315398081173</v>
      </c>
      <c r="Z618">
        <f>Deals_Raw!AP621</f>
        <v>0.61405315398081173</v>
      </c>
    </row>
    <row r="619" spans="1:26">
      <c r="A619" t="str">
        <f>Deals_Raw!A622</f>
        <v>D00702</v>
      </c>
      <c r="B619">
        <f>COUNTIF(Deals_Raw!$A$5:$A$643,A619)</f>
        <v>1</v>
      </c>
      <c r="C619" s="12" t="str">
        <f>Deals_Raw!E622</f>
        <v>CT00378</v>
      </c>
      <c r="E619">
        <f>Deals_Raw!AA622</f>
        <v>108339.6412667308</v>
      </c>
      <c r="F619">
        <f>ROUND(Deals_Raw!T622*(1-Deals_Raw!W622),2)</f>
        <v>108377.64</v>
      </c>
      <c r="G619">
        <f t="shared" si="73"/>
        <v>37.998733269196237</v>
      </c>
      <c r="I619">
        <f>Deals_Raw!V622</f>
        <v>0.222</v>
      </c>
      <c r="J619">
        <f>Deals_Raw!W622</f>
        <v>0.17499999999999999</v>
      </c>
      <c r="K619" t="str">
        <f>Deals_Raw!Z622</f>
        <v>Pricing Analyst</v>
      </c>
      <c r="L619" t="str">
        <f t="shared" si="74"/>
        <v>yes</v>
      </c>
      <c r="M619" t="str">
        <f t="shared" si="75"/>
        <v>Pass</v>
      </c>
      <c r="O619">
        <f>Deals_Raw!AP622</f>
        <v>0.58979695098173568</v>
      </c>
      <c r="P619" t="str">
        <f t="shared" si="76"/>
        <v>False</v>
      </c>
      <c r="R619" t="str">
        <f>Deals_Raw!AF622</f>
        <v>Lost</v>
      </c>
      <c r="S619">
        <f t="shared" si="80"/>
        <v>0</v>
      </c>
      <c r="T619">
        <v>0</v>
      </c>
      <c r="U619">
        <f t="shared" si="77"/>
        <v>0</v>
      </c>
      <c r="V619">
        <v>0</v>
      </c>
      <c r="W619">
        <f t="shared" si="78"/>
        <v>0</v>
      </c>
      <c r="X619">
        <v>0</v>
      </c>
      <c r="Y619">
        <f t="shared" si="79"/>
        <v>0</v>
      </c>
      <c r="Z619">
        <v>0</v>
      </c>
    </row>
    <row r="620" spans="1:26">
      <c r="A620" t="str">
        <f>Deals_Raw!A623</f>
        <v>D00703</v>
      </c>
      <c r="B620">
        <f>COUNTIF(Deals_Raw!$A$5:$A$643,A620)</f>
        <v>1</v>
      </c>
      <c r="C620" s="12" t="str">
        <f>Deals_Raw!E623</f>
        <v>CT00380</v>
      </c>
      <c r="E620">
        <f>Deals_Raw!AA623</f>
        <v>39591.755355519817</v>
      </c>
      <c r="F620">
        <f>ROUND(Deals_Raw!T623*(1-Deals_Raw!W623),2)</f>
        <v>39608.43</v>
      </c>
      <c r="G620">
        <f t="shared" si="73"/>
        <v>16.674644480182906</v>
      </c>
      <c r="I620">
        <f>Deals_Raw!V623</f>
        <v>0.19400000000000001</v>
      </c>
      <c r="J620">
        <f>Deals_Raw!W623</f>
        <v>0.16900000000000001</v>
      </c>
      <c r="K620" t="str">
        <f>Deals_Raw!Z623</f>
        <v>Pricing Analyst</v>
      </c>
      <c r="L620" t="str">
        <f t="shared" si="74"/>
        <v>yes</v>
      </c>
      <c r="M620" t="str">
        <f t="shared" si="75"/>
        <v>Pass</v>
      </c>
      <c r="O620">
        <f>Deals_Raw!AP623</f>
        <v>0.59829770137342986</v>
      </c>
      <c r="P620" t="str">
        <f t="shared" si="76"/>
        <v>False</v>
      </c>
      <c r="R620" t="str">
        <f>Deals_Raw!AF623</f>
        <v>Won</v>
      </c>
      <c r="S620">
        <f t="shared" si="80"/>
        <v>39608.43</v>
      </c>
      <c r="T620">
        <f>Deals_Raw!AM623</f>
        <v>39608.43</v>
      </c>
      <c r="U620">
        <f t="shared" si="77"/>
        <v>39608.43</v>
      </c>
      <c r="V620">
        <f>Deals_Raw!AN623</f>
        <v>39608.43</v>
      </c>
      <c r="W620">
        <f t="shared" si="78"/>
        <v>23697.632624010403</v>
      </c>
      <c r="X620">
        <f>Deals_Raw!AO623</f>
        <v>23697.632624010403</v>
      </c>
      <c r="Y620">
        <f t="shared" si="79"/>
        <v>0.59829770137342986</v>
      </c>
      <c r="Z620">
        <f>Deals_Raw!AP623</f>
        <v>0.59829770137342986</v>
      </c>
    </row>
    <row r="621" spans="1:26">
      <c r="A621" t="str">
        <f>Deals_Raw!A624</f>
        <v>D00704</v>
      </c>
      <c r="B621">
        <f>COUNTIF(Deals_Raw!$A$5:$A$643,A621)</f>
        <v>1</v>
      </c>
      <c r="C621" s="12" t="str">
        <f>Deals_Raw!E624</f>
        <v>CT00380</v>
      </c>
      <c r="E621">
        <f>Deals_Raw!AA624</f>
        <v>44825.925652125981</v>
      </c>
      <c r="F621">
        <f>ROUND(Deals_Raw!T624*(1-Deals_Raw!W624),2)</f>
        <v>44801.57</v>
      </c>
      <c r="G621">
        <f t="shared" si="73"/>
        <v>-24.355652125981578</v>
      </c>
      <c r="I621">
        <f>Deals_Raw!V624</f>
        <v>0.122</v>
      </c>
      <c r="J621">
        <f>Deals_Raw!W624</f>
        <v>9.9000000000000005E-2</v>
      </c>
      <c r="K621" t="str">
        <f>Deals_Raw!Z624</f>
        <v>Sales Manager</v>
      </c>
      <c r="L621" t="str">
        <f t="shared" si="74"/>
        <v>yes</v>
      </c>
      <c r="M621" t="str">
        <f t="shared" si="75"/>
        <v>Pass</v>
      </c>
      <c r="O621">
        <f>Deals_Raw!AP624</f>
        <v>0.67487195912304476</v>
      </c>
      <c r="P621" t="str">
        <f t="shared" si="76"/>
        <v>False</v>
      </c>
      <c r="R621" t="str">
        <f>Deals_Raw!AF624</f>
        <v>Lost</v>
      </c>
      <c r="S621">
        <f t="shared" si="80"/>
        <v>0</v>
      </c>
      <c r="T621">
        <v>0</v>
      </c>
      <c r="U621">
        <f t="shared" si="77"/>
        <v>0</v>
      </c>
      <c r="V621">
        <v>0</v>
      </c>
      <c r="W621">
        <f t="shared" si="78"/>
        <v>0</v>
      </c>
      <c r="X621">
        <v>0</v>
      </c>
      <c r="Y621">
        <f t="shared" si="79"/>
        <v>0</v>
      </c>
      <c r="Z621">
        <v>0</v>
      </c>
    </row>
    <row r="622" spans="1:26">
      <c r="A622" t="str">
        <f>Deals_Raw!A625</f>
        <v>D00705</v>
      </c>
      <c r="B622">
        <f>COUNTIF(Deals_Raw!$A$5:$A$643,A622)</f>
        <v>1</v>
      </c>
      <c r="C622" s="12" t="str">
        <f>Deals_Raw!E625</f>
        <v>CT00381</v>
      </c>
      <c r="E622">
        <f>Deals_Raw!AA625</f>
        <v>51313.062388583123</v>
      </c>
      <c r="F622">
        <f>ROUND(Deals_Raw!T625*(1-Deals_Raw!W625),2)</f>
        <v>51329.63</v>
      </c>
      <c r="G622">
        <f t="shared" si="73"/>
        <v>16.56761141687457</v>
      </c>
      <c r="I622">
        <f>Deals_Raw!V625</f>
        <v>0.16500000000000001</v>
      </c>
      <c r="J622">
        <f>Deals_Raw!W625</f>
        <v>0.13800000000000001</v>
      </c>
      <c r="K622" t="str">
        <f>Deals_Raw!Z625</f>
        <v>Pricing Analyst</v>
      </c>
      <c r="L622" t="str">
        <f t="shared" si="74"/>
        <v>yes</v>
      </c>
      <c r="M622" t="str">
        <f t="shared" si="75"/>
        <v>Pass</v>
      </c>
      <c r="O622">
        <f>Deals_Raw!AP625</f>
        <v>0.58376592072127698</v>
      </c>
      <c r="P622" t="str">
        <f t="shared" si="76"/>
        <v>False</v>
      </c>
      <c r="R622" t="str">
        <f>Deals_Raw!AF625</f>
        <v>Won</v>
      </c>
      <c r="S622">
        <f t="shared" si="80"/>
        <v>51329.63</v>
      </c>
      <c r="T622">
        <f>Deals_Raw!AM625</f>
        <v>51329.63</v>
      </c>
      <c r="U622">
        <f t="shared" si="77"/>
        <v>51329.63</v>
      </c>
      <c r="V622">
        <f>Deals_Raw!AN625</f>
        <v>51329.63</v>
      </c>
      <c r="W622">
        <f t="shared" si="78"/>
        <v>29964.488717232478</v>
      </c>
      <c r="X622">
        <f>Deals_Raw!AO625</f>
        <v>29964.488717232478</v>
      </c>
      <c r="Y622">
        <f t="shared" si="79"/>
        <v>0.58376592072127698</v>
      </c>
      <c r="Z622">
        <f>Deals_Raw!AP625</f>
        <v>0.58376592072127698</v>
      </c>
    </row>
    <row r="623" spans="1:26">
      <c r="A623" t="str">
        <f>Deals_Raw!A626</f>
        <v>D00706</v>
      </c>
      <c r="B623">
        <f>COUNTIF(Deals_Raw!$A$5:$A$643,A623)</f>
        <v>1</v>
      </c>
      <c r="C623" s="12" t="str">
        <f>Deals_Raw!E626</f>
        <v>CT00382</v>
      </c>
      <c r="E623">
        <f>Deals_Raw!AA626</f>
        <v>284547.08656969731</v>
      </c>
      <c r="F623">
        <f>ROUND(Deals_Raw!T626*(1-Deals_Raw!W626),2)</f>
        <v>284701.86</v>
      </c>
      <c r="G623">
        <f t="shared" si="73"/>
        <v>154.77343030268094</v>
      </c>
      <c r="I623">
        <f>Deals_Raw!V626</f>
        <v>0.153</v>
      </c>
      <c r="J623">
        <f>Deals_Raw!W626</f>
        <v>0.13100000000000001</v>
      </c>
      <c r="K623" t="str">
        <f>Deals_Raw!Z626</f>
        <v>Pricing Analyst</v>
      </c>
      <c r="L623" t="str">
        <f t="shared" si="74"/>
        <v>yes</v>
      </c>
      <c r="M623" t="str">
        <f t="shared" si="75"/>
        <v>Pass</v>
      </c>
      <c r="O623">
        <f>Deals_Raw!AP626</f>
        <v>0.56056117251265447</v>
      </c>
      <c r="P623" t="str">
        <f t="shared" si="76"/>
        <v>False</v>
      </c>
      <c r="R623" t="str">
        <f>Deals_Raw!AF626</f>
        <v>Lost</v>
      </c>
      <c r="S623">
        <f t="shared" si="80"/>
        <v>0</v>
      </c>
      <c r="T623">
        <v>0</v>
      </c>
      <c r="U623">
        <f t="shared" si="77"/>
        <v>0</v>
      </c>
      <c r="V623">
        <v>0</v>
      </c>
      <c r="W623">
        <f t="shared" si="78"/>
        <v>0</v>
      </c>
      <c r="X623">
        <v>0</v>
      </c>
      <c r="Y623">
        <f t="shared" si="79"/>
        <v>0</v>
      </c>
      <c r="Z623">
        <v>0</v>
      </c>
    </row>
    <row r="624" spans="1:26">
      <c r="A624" t="str">
        <f>Deals_Raw!A627</f>
        <v>D00707</v>
      </c>
      <c r="B624">
        <f>COUNTIF(Deals_Raw!$A$5:$A$643,A624)</f>
        <v>1</v>
      </c>
      <c r="C624" s="12" t="str">
        <f>Deals_Raw!E627</f>
        <v>CT00383</v>
      </c>
      <c r="E624">
        <f>Deals_Raw!AA627</f>
        <v>198001.32355710739</v>
      </c>
      <c r="F624">
        <f>ROUND(Deals_Raw!T627*(1-Deals_Raw!W627),2)</f>
        <v>198010.6</v>
      </c>
      <c r="G624">
        <f t="shared" si="73"/>
        <v>9.2764428926166147</v>
      </c>
      <c r="I624">
        <f>Deals_Raw!V627</f>
        <v>0.182</v>
      </c>
      <c r="J624">
        <f>Deals_Raw!W627</f>
        <v>0.13600000000000001</v>
      </c>
      <c r="K624" t="str">
        <f>Deals_Raw!Z627</f>
        <v>Pricing Analyst</v>
      </c>
      <c r="L624" t="str">
        <f t="shared" si="74"/>
        <v>yes</v>
      </c>
      <c r="M624" t="str">
        <f t="shared" si="75"/>
        <v>Pass</v>
      </c>
      <c r="O624">
        <f>Deals_Raw!AP627</f>
        <v>0.55120006550266865</v>
      </c>
      <c r="P624" t="str">
        <f t="shared" si="76"/>
        <v>False</v>
      </c>
      <c r="R624" t="str">
        <f>Deals_Raw!AF627</f>
        <v>Lost</v>
      </c>
      <c r="S624">
        <f t="shared" si="80"/>
        <v>0</v>
      </c>
      <c r="T624">
        <v>0</v>
      </c>
      <c r="U624">
        <f t="shared" si="77"/>
        <v>0</v>
      </c>
      <c r="V624">
        <v>0</v>
      </c>
      <c r="W624">
        <f t="shared" si="78"/>
        <v>0</v>
      </c>
      <c r="X624">
        <v>0</v>
      </c>
      <c r="Y624">
        <f t="shared" si="79"/>
        <v>0</v>
      </c>
      <c r="Z624">
        <v>0</v>
      </c>
    </row>
    <row r="625" spans="1:26">
      <c r="A625" t="str">
        <f>Deals_Raw!A628</f>
        <v>D00708</v>
      </c>
      <c r="B625">
        <f>COUNTIF(Deals_Raw!$A$5:$A$643,A625)</f>
        <v>1</v>
      </c>
      <c r="C625" s="12" t="str">
        <f>Deals_Raw!E628</f>
        <v>CT00387</v>
      </c>
      <c r="E625">
        <f>Deals_Raw!AA628</f>
        <v>218677.71371724931</v>
      </c>
      <c r="F625">
        <f>ROUND(Deals_Raw!T628*(1-Deals_Raw!W628),2)</f>
        <v>218659.63</v>
      </c>
      <c r="G625">
        <f t="shared" si="73"/>
        <v>-18.083717249304755</v>
      </c>
      <c r="I625">
        <f>Deals_Raw!V628</f>
        <v>0.20399999999999999</v>
      </c>
      <c r="J625">
        <f>Deals_Raw!W628</f>
        <v>0.188</v>
      </c>
      <c r="K625" t="str">
        <f>Deals_Raw!Z628</f>
        <v>Pricing Analyst</v>
      </c>
      <c r="L625" t="str">
        <f t="shared" si="74"/>
        <v>yes</v>
      </c>
      <c r="M625" t="str">
        <f t="shared" si="75"/>
        <v>Pass</v>
      </c>
      <c r="O625">
        <f>Deals_Raw!AP628</f>
        <v>0.48103216337118931</v>
      </c>
      <c r="P625" t="str">
        <f t="shared" si="76"/>
        <v>False</v>
      </c>
      <c r="R625" t="str">
        <f>Deals_Raw!AF628</f>
        <v>Lost</v>
      </c>
      <c r="S625">
        <f t="shared" si="80"/>
        <v>0</v>
      </c>
      <c r="T625">
        <v>0</v>
      </c>
      <c r="U625">
        <f t="shared" si="77"/>
        <v>0</v>
      </c>
      <c r="V625">
        <v>0</v>
      </c>
      <c r="W625">
        <f t="shared" si="78"/>
        <v>0</v>
      </c>
      <c r="X625">
        <v>0</v>
      </c>
      <c r="Y625">
        <f t="shared" si="79"/>
        <v>0</v>
      </c>
      <c r="Z625">
        <v>0</v>
      </c>
    </row>
    <row r="626" spans="1:26">
      <c r="A626" t="str">
        <f>Deals_Raw!A629</f>
        <v>D00709</v>
      </c>
      <c r="B626">
        <f>COUNTIF(Deals_Raw!$A$5:$A$643,A626)</f>
        <v>1</v>
      </c>
      <c r="C626" s="12" t="str">
        <f>Deals_Raw!E629</f>
        <v>CT00388</v>
      </c>
      <c r="E626">
        <f>Deals_Raw!AA629</f>
        <v>65448.444268664767</v>
      </c>
      <c r="F626">
        <f>ROUND(Deals_Raw!T629*(1-Deals_Raw!W629),2)</f>
        <v>65459.54</v>
      </c>
      <c r="G626">
        <f t="shared" si="73"/>
        <v>11.095731335233722</v>
      </c>
      <c r="I626">
        <f>Deals_Raw!V629</f>
        <v>7.5999999999999998E-2</v>
      </c>
      <c r="J626">
        <f>Deals_Raw!W629</f>
        <v>4.5999999999999999E-2</v>
      </c>
      <c r="K626" t="str">
        <f>Deals_Raw!Z629</f>
        <v>Sales Manager</v>
      </c>
      <c r="L626" t="str">
        <f t="shared" si="74"/>
        <v>yes</v>
      </c>
      <c r="M626" t="str">
        <f t="shared" si="75"/>
        <v>Pass</v>
      </c>
      <c r="O626">
        <f>Deals_Raw!AP629</f>
        <v>0.68784143028379996</v>
      </c>
      <c r="P626" t="str">
        <f t="shared" si="76"/>
        <v>False</v>
      </c>
      <c r="R626" t="str">
        <f>Deals_Raw!AF629</f>
        <v>Lost</v>
      </c>
      <c r="S626">
        <f t="shared" si="80"/>
        <v>0</v>
      </c>
      <c r="T626">
        <v>0</v>
      </c>
      <c r="U626">
        <f t="shared" si="77"/>
        <v>0</v>
      </c>
      <c r="V626">
        <v>0</v>
      </c>
      <c r="W626">
        <f t="shared" si="78"/>
        <v>0</v>
      </c>
      <c r="X626">
        <v>0</v>
      </c>
      <c r="Y626">
        <f t="shared" si="79"/>
        <v>0</v>
      </c>
      <c r="Z626">
        <v>0</v>
      </c>
    </row>
    <row r="627" spans="1:26">
      <c r="A627" t="str">
        <f>Deals_Raw!A630</f>
        <v>D00710</v>
      </c>
      <c r="B627">
        <f>COUNTIF(Deals_Raw!$A$5:$A$643,A627)</f>
        <v>1</v>
      </c>
      <c r="C627" s="12" t="str">
        <f>Deals_Raw!E630</f>
        <v>CT00389</v>
      </c>
      <c r="E627">
        <f>Deals_Raw!AA630</f>
        <v>134275.13655296803</v>
      </c>
      <c r="F627">
        <f>ROUND(Deals_Raw!T630*(1-Deals_Raw!W630),2)</f>
        <v>134322.53</v>
      </c>
      <c r="G627">
        <f t="shared" si="73"/>
        <v>47.393447031965479</v>
      </c>
      <c r="I627">
        <f>Deals_Raw!V630</f>
        <v>0.17499999999999999</v>
      </c>
      <c r="J627">
        <f>Deals_Raw!W630</f>
        <v>0.13100000000000001</v>
      </c>
      <c r="K627" t="str">
        <f>Deals_Raw!Z630</f>
        <v>Pricing Analyst</v>
      </c>
      <c r="L627" t="str">
        <f t="shared" si="74"/>
        <v>yes</v>
      </c>
      <c r="M627" t="str">
        <f t="shared" si="75"/>
        <v>Pass</v>
      </c>
      <c r="O627">
        <f>Deals_Raw!AP630</f>
        <v>0.6061906603549102</v>
      </c>
      <c r="P627" t="str">
        <f t="shared" si="76"/>
        <v>False</v>
      </c>
      <c r="R627" t="str">
        <f>Deals_Raw!AF630</f>
        <v>Won</v>
      </c>
      <c r="S627">
        <f t="shared" si="80"/>
        <v>134322.53</v>
      </c>
      <c r="T627">
        <f>Deals_Raw!AM630</f>
        <v>134322.53</v>
      </c>
      <c r="U627">
        <f t="shared" si="77"/>
        <v>134322.53</v>
      </c>
      <c r="V627">
        <f>Deals_Raw!AN630</f>
        <v>134322.53</v>
      </c>
      <c r="W627">
        <f t="shared" si="78"/>
        <v>81425.063161242229</v>
      </c>
      <c r="X627">
        <f>Deals_Raw!AO630</f>
        <v>81425.063161242229</v>
      </c>
      <c r="Y627">
        <f t="shared" si="79"/>
        <v>0.6061906603549102</v>
      </c>
      <c r="Z627">
        <f>Deals_Raw!AP630</f>
        <v>0.6061906603549102</v>
      </c>
    </row>
    <row r="628" spans="1:26">
      <c r="A628" t="str">
        <f>Deals_Raw!A631</f>
        <v>D00711</v>
      </c>
      <c r="B628">
        <f>COUNTIF(Deals_Raw!$A$5:$A$643,A628)</f>
        <v>1</v>
      </c>
      <c r="C628" s="12" t="str">
        <f>Deals_Raw!E631</f>
        <v>CT00390</v>
      </c>
      <c r="E628">
        <f>Deals_Raw!AA631</f>
        <v>370839.86833801749</v>
      </c>
      <c r="F628">
        <f>ROUND(Deals_Raw!T631*(1-Deals_Raw!W631),2)</f>
        <v>370699.98</v>
      </c>
      <c r="G628">
        <f t="shared" si="73"/>
        <v>-139.88833801751025</v>
      </c>
      <c r="I628">
        <f>Deals_Raw!V631</f>
        <v>6.4000000000000001E-2</v>
      </c>
      <c r="J628">
        <f>Deals_Raw!W631</f>
        <v>8.0000000000000002E-3</v>
      </c>
      <c r="K628" t="str">
        <f>Deals_Raw!Z631</f>
        <v>Sales Manager</v>
      </c>
      <c r="L628" t="str">
        <f t="shared" si="74"/>
        <v>yes</v>
      </c>
      <c r="M628" t="str">
        <f t="shared" si="75"/>
        <v>Pass</v>
      </c>
      <c r="O628">
        <f>Deals_Raw!AP631</f>
        <v>0.66683669373764254</v>
      </c>
      <c r="P628" t="str">
        <f t="shared" si="76"/>
        <v>False</v>
      </c>
      <c r="R628" t="str">
        <f>Deals_Raw!AF631</f>
        <v>Won</v>
      </c>
      <c r="S628">
        <f t="shared" si="80"/>
        <v>370699.98</v>
      </c>
      <c r="T628">
        <f>Deals_Raw!AM631</f>
        <v>370699.98</v>
      </c>
      <c r="U628">
        <f t="shared" si="77"/>
        <v>370699.98</v>
      </c>
      <c r="V628">
        <f>Deals_Raw!AN631</f>
        <v>370699.98</v>
      </c>
      <c r="W628">
        <f t="shared" si="78"/>
        <v>247196.34903181018</v>
      </c>
      <c r="X628">
        <f>Deals_Raw!AO631</f>
        <v>247196.34903181018</v>
      </c>
      <c r="Y628">
        <f t="shared" si="79"/>
        <v>0.66683669373764254</v>
      </c>
      <c r="Z628">
        <f>Deals_Raw!AP631</f>
        <v>0.66683669373764254</v>
      </c>
    </row>
    <row r="629" spans="1:26">
      <c r="A629" t="str">
        <f>Deals_Raw!A632</f>
        <v>D00712</v>
      </c>
      <c r="B629">
        <f>COUNTIF(Deals_Raw!$A$5:$A$643,A629)</f>
        <v>1</v>
      </c>
      <c r="C629" s="12" t="str">
        <f>Deals_Raw!E632</f>
        <v>CT00390</v>
      </c>
      <c r="E629">
        <f>Deals_Raw!AA632</f>
        <v>355196.70394361432</v>
      </c>
      <c r="F629">
        <f>ROUND(Deals_Raw!T632*(1-Deals_Raw!W632),2)</f>
        <v>355353.64</v>
      </c>
      <c r="G629">
        <f t="shared" si="73"/>
        <v>156.93605638568988</v>
      </c>
      <c r="I629">
        <f>Deals_Raw!V632</f>
        <v>0.108</v>
      </c>
      <c r="J629">
        <f>Deals_Raw!W632</f>
        <v>8.7999999999999995E-2</v>
      </c>
      <c r="K629" t="str">
        <f>Deals_Raw!Z632</f>
        <v>Sales Manager</v>
      </c>
      <c r="L629" t="str">
        <f t="shared" si="74"/>
        <v>yes</v>
      </c>
      <c r="M629" t="str">
        <f t="shared" si="75"/>
        <v>Pass</v>
      </c>
      <c r="O629">
        <f>Deals_Raw!AP632</f>
        <v>0.61509219548839278</v>
      </c>
      <c r="P629" t="str">
        <f t="shared" si="76"/>
        <v>False</v>
      </c>
      <c r="R629" t="str">
        <f>Deals_Raw!AF632</f>
        <v>Won</v>
      </c>
      <c r="S629">
        <f t="shared" si="80"/>
        <v>355353.64</v>
      </c>
      <c r="T629">
        <f>Deals_Raw!AM632</f>
        <v>355353.64</v>
      </c>
      <c r="U629">
        <f t="shared" si="77"/>
        <v>355353.64</v>
      </c>
      <c r="V629">
        <f>Deals_Raw!AN632</f>
        <v>355353.64</v>
      </c>
      <c r="W629">
        <f t="shared" si="78"/>
        <v>218575.25060239196</v>
      </c>
      <c r="X629">
        <f>Deals_Raw!AO632</f>
        <v>218575.25060239196</v>
      </c>
      <c r="Y629">
        <f t="shared" si="79"/>
        <v>0.61509219548839278</v>
      </c>
      <c r="Z629">
        <f>Deals_Raw!AP632</f>
        <v>0.61509219548839278</v>
      </c>
    </row>
    <row r="630" spans="1:26">
      <c r="A630" t="str">
        <f>Deals_Raw!A633</f>
        <v>D00713</v>
      </c>
      <c r="B630">
        <f>COUNTIF(Deals_Raw!$A$5:$A$643,A630)</f>
        <v>1</v>
      </c>
      <c r="C630" s="12" t="str">
        <f>Deals_Raw!E633</f>
        <v>CT00391</v>
      </c>
      <c r="E630">
        <f>Deals_Raw!AA633</f>
        <v>302053.07299047423</v>
      </c>
      <c r="F630">
        <f>ROUND(Deals_Raw!T633*(1-Deals_Raw!W633),2)</f>
        <v>301927.25</v>
      </c>
      <c r="G630">
        <f t="shared" si="73"/>
        <v>-125.82299047423294</v>
      </c>
      <c r="I630">
        <f>Deals_Raw!V633</f>
        <v>0.187</v>
      </c>
      <c r="J630">
        <f>Deals_Raw!W633</f>
        <v>0.186</v>
      </c>
      <c r="K630" t="str">
        <f>Deals_Raw!Z633</f>
        <v>Pricing Analyst</v>
      </c>
      <c r="L630" t="str">
        <f t="shared" si="74"/>
        <v>yes</v>
      </c>
      <c r="M630" t="str">
        <f t="shared" si="75"/>
        <v>Pass</v>
      </c>
      <c r="O630">
        <f>Deals_Raw!AP633</f>
        <v>0.52574791165220125</v>
      </c>
      <c r="P630" t="str">
        <f t="shared" si="76"/>
        <v>False</v>
      </c>
      <c r="R630" t="str">
        <f>Deals_Raw!AF633</f>
        <v>Won</v>
      </c>
      <c r="S630">
        <f t="shared" si="80"/>
        <v>301927.25</v>
      </c>
      <c r="T630">
        <f>Deals_Raw!AM633</f>
        <v>301927.25</v>
      </c>
      <c r="U630">
        <f t="shared" si="77"/>
        <v>301927.25</v>
      </c>
      <c r="V630">
        <f>Deals_Raw!AN633</f>
        <v>301927.25</v>
      </c>
      <c r="W630">
        <f t="shared" si="78"/>
        <v>158737.62115839208</v>
      </c>
      <c r="X630">
        <f>Deals_Raw!AO633</f>
        <v>158737.62115839208</v>
      </c>
      <c r="Y630">
        <f t="shared" si="79"/>
        <v>0.52574791165220125</v>
      </c>
      <c r="Z630">
        <f>Deals_Raw!AP633</f>
        <v>0.52574791165220125</v>
      </c>
    </row>
    <row r="631" spans="1:26">
      <c r="A631" t="str">
        <f>Deals_Raw!A634</f>
        <v>D00714</v>
      </c>
      <c r="B631">
        <f>COUNTIF(Deals_Raw!$A$5:$A$643,A631)</f>
        <v>1</v>
      </c>
      <c r="C631" s="12" t="str">
        <f>Deals_Raw!E634</f>
        <v>CT00391</v>
      </c>
      <c r="E631">
        <f>Deals_Raw!AA634</f>
        <v>360265.21238723106</v>
      </c>
      <c r="F631">
        <f>ROUND(Deals_Raw!T634*(1-Deals_Raw!W634),2)</f>
        <v>360442.29</v>
      </c>
      <c r="G631">
        <f t="shared" si="73"/>
        <v>177.07761276891688</v>
      </c>
      <c r="I631">
        <f>Deals_Raw!V634</f>
        <v>8.7999999999999995E-2</v>
      </c>
      <c r="J631">
        <f>Deals_Raw!W634</f>
        <v>7.3999999999999996E-2</v>
      </c>
      <c r="K631" t="str">
        <f>Deals_Raw!Z634</f>
        <v>Sales Manager</v>
      </c>
      <c r="L631" t="str">
        <f t="shared" si="74"/>
        <v>yes</v>
      </c>
      <c r="M631" t="str">
        <f t="shared" si="75"/>
        <v>Pass</v>
      </c>
      <c r="O631">
        <f>Deals_Raw!AP634</f>
        <v>0.64492441550165558</v>
      </c>
      <c r="P631" t="str">
        <f t="shared" si="76"/>
        <v>False</v>
      </c>
      <c r="R631" t="str">
        <f>Deals_Raw!AF634</f>
        <v>Lost</v>
      </c>
      <c r="S631">
        <f t="shared" si="80"/>
        <v>0</v>
      </c>
      <c r="T631">
        <v>0</v>
      </c>
      <c r="U631">
        <f t="shared" si="77"/>
        <v>0</v>
      </c>
      <c r="V631">
        <v>0</v>
      </c>
      <c r="W631">
        <f t="shared" si="78"/>
        <v>0</v>
      </c>
      <c r="X631">
        <v>0</v>
      </c>
      <c r="Y631">
        <f t="shared" si="79"/>
        <v>0</v>
      </c>
      <c r="Z631">
        <v>0</v>
      </c>
    </row>
    <row r="632" spans="1:26">
      <c r="A632" t="str">
        <f>Deals_Raw!A635</f>
        <v>D00715</v>
      </c>
      <c r="B632">
        <f>COUNTIF(Deals_Raw!$A$5:$A$643,A632)</f>
        <v>1</v>
      </c>
      <c r="C632" s="12" t="str">
        <f>Deals_Raw!E635</f>
        <v>CT00392</v>
      </c>
      <c r="E632">
        <f>Deals_Raw!AA635</f>
        <v>78559.592314994516</v>
      </c>
      <c r="F632">
        <f>ROUND(Deals_Raw!T635*(1-Deals_Raw!W635),2)</f>
        <v>78559.350000000006</v>
      </c>
      <c r="G632">
        <f t="shared" si="73"/>
        <v>-0.24231499450979754</v>
      </c>
      <c r="I632">
        <f>Deals_Raw!V635</f>
        <v>0.20599999999999999</v>
      </c>
      <c r="J632">
        <f>Deals_Raw!W635</f>
        <v>0.17199999999999999</v>
      </c>
      <c r="K632" t="str">
        <f>Deals_Raw!Z635</f>
        <v>Pricing Analyst</v>
      </c>
      <c r="L632" t="str">
        <f t="shared" si="74"/>
        <v>yes</v>
      </c>
      <c r="M632" t="str">
        <f t="shared" si="75"/>
        <v>Pass</v>
      </c>
      <c r="O632">
        <f>Deals_Raw!AP635</f>
        <v>0.64779785546056268</v>
      </c>
      <c r="P632" t="str">
        <f t="shared" si="76"/>
        <v>False</v>
      </c>
      <c r="R632" t="str">
        <f>Deals_Raw!AF635</f>
        <v>Won</v>
      </c>
      <c r="S632">
        <f t="shared" si="80"/>
        <v>78559.350000000006</v>
      </c>
      <c r="T632">
        <f>Deals_Raw!AM635</f>
        <v>78559.350000000006</v>
      </c>
      <c r="U632">
        <f t="shared" si="77"/>
        <v>235678.05000000002</v>
      </c>
      <c r="V632">
        <f>Deals_Raw!AN635</f>
        <v>235678.05000000002</v>
      </c>
      <c r="W632">
        <f t="shared" si="78"/>
        <v>50890.578456375762</v>
      </c>
      <c r="X632">
        <f>Deals_Raw!AO635</f>
        <v>50890.578456375762</v>
      </c>
      <c r="Y632">
        <f t="shared" si="79"/>
        <v>0.64779785546056268</v>
      </c>
      <c r="Z632">
        <f>Deals_Raw!AP635</f>
        <v>0.64779785546056268</v>
      </c>
    </row>
    <row r="633" spans="1:26">
      <c r="A633" t="str">
        <f>Deals_Raw!A636</f>
        <v>D00717</v>
      </c>
      <c r="B633">
        <f>COUNTIF(Deals_Raw!$A$5:$A$643,A633)</f>
        <v>1</v>
      </c>
      <c r="C633" s="12" t="str">
        <f>Deals_Raw!E636</f>
        <v>CT00393</v>
      </c>
      <c r="E633">
        <f>Deals_Raw!AA636</f>
        <v>335127.75813309749</v>
      </c>
      <c r="F633">
        <f>ROUND(Deals_Raw!T636*(1-Deals_Raw!W636),2)</f>
        <v>335239.76</v>
      </c>
      <c r="G633">
        <f t="shared" si="73"/>
        <v>112.00186690251576</v>
      </c>
      <c r="I633">
        <f>Deals_Raw!V636</f>
        <v>0.106</v>
      </c>
      <c r="J633">
        <f>Deals_Raw!W636</f>
        <v>9.9000000000000005E-2</v>
      </c>
      <c r="K633" t="str">
        <f>Deals_Raw!Z636</f>
        <v>Sales Manager</v>
      </c>
      <c r="L633" t="str">
        <f t="shared" si="74"/>
        <v>yes</v>
      </c>
      <c r="M633" t="str">
        <f t="shared" si="75"/>
        <v>Pass</v>
      </c>
      <c r="O633">
        <f>Deals_Raw!AP636</f>
        <v>0.64262387389744735</v>
      </c>
      <c r="P633" t="str">
        <f t="shared" si="76"/>
        <v>False</v>
      </c>
      <c r="R633" t="str">
        <f>Deals_Raw!AF636</f>
        <v>Lost</v>
      </c>
      <c r="S633">
        <f t="shared" si="80"/>
        <v>0</v>
      </c>
      <c r="T633">
        <v>0</v>
      </c>
      <c r="U633">
        <f t="shared" si="77"/>
        <v>0</v>
      </c>
      <c r="V633">
        <v>0</v>
      </c>
      <c r="W633">
        <f t="shared" si="78"/>
        <v>0</v>
      </c>
      <c r="X633">
        <v>0</v>
      </c>
      <c r="Y633">
        <f t="shared" si="79"/>
        <v>0</v>
      </c>
      <c r="Z633">
        <v>0</v>
      </c>
    </row>
    <row r="634" spans="1:26">
      <c r="A634" t="str">
        <f>Deals_Raw!A637</f>
        <v>D00718</v>
      </c>
      <c r="B634">
        <f>COUNTIF(Deals_Raw!$A$5:$A$643,A634)</f>
        <v>1</v>
      </c>
      <c r="C634" s="12" t="str">
        <f>Deals_Raw!E637</f>
        <v>CT00393</v>
      </c>
      <c r="E634">
        <f>Deals_Raw!AA637</f>
        <v>277829.58188621438</v>
      </c>
      <c r="F634">
        <f>ROUND(Deals_Raw!T637*(1-Deals_Raw!W637),2)</f>
        <v>277940.17</v>
      </c>
      <c r="G634">
        <f t="shared" si="73"/>
        <v>110.58811378560495</v>
      </c>
      <c r="I634">
        <f>Deals_Raw!V637</f>
        <v>0.27400000000000002</v>
      </c>
      <c r="J634">
        <f>Deals_Raw!W637</f>
        <v>0.253</v>
      </c>
      <c r="K634" t="str">
        <f>Deals_Raw!Z637</f>
        <v>Business Manager</v>
      </c>
      <c r="L634" t="str">
        <f t="shared" si="74"/>
        <v>yes</v>
      </c>
      <c r="M634" t="str">
        <f t="shared" si="75"/>
        <v>Pass</v>
      </c>
      <c r="O634">
        <f>Deals_Raw!AP637</f>
        <v>0.55975839039954389</v>
      </c>
      <c r="P634" t="str">
        <f t="shared" si="76"/>
        <v>False</v>
      </c>
      <c r="R634" t="str">
        <f>Deals_Raw!AF637</f>
        <v>Lost</v>
      </c>
      <c r="S634">
        <f t="shared" si="80"/>
        <v>0</v>
      </c>
      <c r="T634">
        <v>0</v>
      </c>
      <c r="U634">
        <f t="shared" si="77"/>
        <v>0</v>
      </c>
      <c r="V634">
        <v>0</v>
      </c>
      <c r="W634">
        <f t="shared" si="78"/>
        <v>0</v>
      </c>
      <c r="X634">
        <v>0</v>
      </c>
      <c r="Y634">
        <f t="shared" si="79"/>
        <v>0</v>
      </c>
      <c r="Z634">
        <v>0</v>
      </c>
    </row>
    <row r="635" spans="1:26">
      <c r="A635" t="str">
        <f>Deals_Raw!A638</f>
        <v>D00719</v>
      </c>
      <c r="B635">
        <f>COUNTIF(Deals_Raw!$A$5:$A$643,A635)</f>
        <v>1</v>
      </c>
      <c r="C635" s="12" t="str">
        <f>Deals_Raw!E638</f>
        <v>CT00394</v>
      </c>
      <c r="E635">
        <f>Deals_Raw!AA638</f>
        <v>166691.66702453382</v>
      </c>
      <c r="F635">
        <f>ROUND(Deals_Raw!T638*(1-Deals_Raw!W638),2)</f>
        <v>166713.78</v>
      </c>
      <c r="G635">
        <f t="shared" si="73"/>
        <v>22.112975466181524</v>
      </c>
      <c r="I635">
        <f>Deals_Raw!V638</f>
        <v>0.17</v>
      </c>
      <c r="J635">
        <f>Deals_Raw!W638</f>
        <v>0.153</v>
      </c>
      <c r="K635" t="str">
        <f>Deals_Raw!Z638</f>
        <v>Pricing Analyst</v>
      </c>
      <c r="L635" t="str">
        <f t="shared" si="74"/>
        <v>yes</v>
      </c>
      <c r="M635" t="str">
        <f t="shared" si="75"/>
        <v>Pass</v>
      </c>
      <c r="O635">
        <f>Deals_Raw!AP638</f>
        <v>0.59339608548488953</v>
      </c>
      <c r="P635" t="str">
        <f t="shared" si="76"/>
        <v>False</v>
      </c>
      <c r="R635" t="str">
        <f>Deals_Raw!AF638</f>
        <v>Lost</v>
      </c>
      <c r="S635">
        <f t="shared" si="80"/>
        <v>0</v>
      </c>
      <c r="T635">
        <v>0</v>
      </c>
      <c r="U635">
        <f t="shared" si="77"/>
        <v>0</v>
      </c>
      <c r="V635">
        <v>0</v>
      </c>
      <c r="W635">
        <f t="shared" si="78"/>
        <v>0</v>
      </c>
      <c r="X635">
        <v>0</v>
      </c>
      <c r="Y635">
        <f t="shared" si="79"/>
        <v>0</v>
      </c>
      <c r="Z635">
        <v>0</v>
      </c>
    </row>
    <row r="636" spans="1:26">
      <c r="A636" t="str">
        <f>Deals_Raw!A639</f>
        <v>D00720</v>
      </c>
      <c r="B636">
        <f>COUNTIF(Deals_Raw!$A$5:$A$643,A636)</f>
        <v>1</v>
      </c>
      <c r="C636" s="12" t="str">
        <f>Deals_Raw!E639</f>
        <v>CT00394</v>
      </c>
      <c r="E636">
        <f>Deals_Raw!AA639</f>
        <v>152335.31647213074</v>
      </c>
      <c r="F636">
        <f>ROUND(Deals_Raw!T639*(1-Deals_Raw!W639),2)</f>
        <v>152345.29999999999</v>
      </c>
      <c r="G636">
        <f t="shared" si="73"/>
        <v>9.9835278692480642</v>
      </c>
      <c r="I636">
        <f>Deals_Raw!V639</f>
        <v>0.26400000000000001</v>
      </c>
      <c r="J636">
        <f>Deals_Raw!W639</f>
        <v>0.22600000000000001</v>
      </c>
      <c r="K636" t="str">
        <f>Deals_Raw!Z639</f>
        <v>Business Manager</v>
      </c>
      <c r="L636" t="str">
        <f t="shared" si="74"/>
        <v>yes</v>
      </c>
      <c r="M636" t="str">
        <f t="shared" si="75"/>
        <v>Pass</v>
      </c>
      <c r="O636">
        <f>Deals_Raw!AP639</f>
        <v>0.47669094419022118</v>
      </c>
      <c r="P636" t="str">
        <f t="shared" si="76"/>
        <v>False</v>
      </c>
      <c r="R636" t="str">
        <f>Deals_Raw!AF639</f>
        <v>Won</v>
      </c>
      <c r="S636">
        <f t="shared" si="80"/>
        <v>152345.29999999999</v>
      </c>
      <c r="T636">
        <f>Deals_Raw!AM639</f>
        <v>152345.29999999999</v>
      </c>
      <c r="U636">
        <f t="shared" si="77"/>
        <v>304690.59999999998</v>
      </c>
      <c r="V636">
        <f>Deals_Raw!AN639</f>
        <v>304690.59999999998</v>
      </c>
      <c r="W636">
        <f t="shared" si="78"/>
        <v>72621.624899942501</v>
      </c>
      <c r="X636">
        <f>Deals_Raw!AO639</f>
        <v>72621.624899942501</v>
      </c>
      <c r="Y636">
        <f t="shared" si="79"/>
        <v>0.47669094419022118</v>
      </c>
      <c r="Z636">
        <f>Deals_Raw!AP639</f>
        <v>0.47669094419022118</v>
      </c>
    </row>
    <row r="637" spans="1:26">
      <c r="A637" t="str">
        <f>Deals_Raw!A640</f>
        <v>D00721</v>
      </c>
      <c r="B637">
        <f>COUNTIF(Deals_Raw!$A$5:$A$643,A637)</f>
        <v>1</v>
      </c>
      <c r="C637" s="12" t="str">
        <f>Deals_Raw!E640</f>
        <v>CT00395</v>
      </c>
      <c r="E637">
        <f>Deals_Raw!AA640</f>
        <v>82214.338042711359</v>
      </c>
      <c r="F637">
        <f>ROUND(Deals_Raw!T640*(1-Deals_Raw!W640),2)</f>
        <v>82237.02</v>
      </c>
      <c r="G637">
        <f t="shared" si="73"/>
        <v>22.681957288645208</v>
      </c>
      <c r="I637">
        <f>Deals_Raw!V640</f>
        <v>9.7000000000000003E-2</v>
      </c>
      <c r="J637">
        <f>Deals_Raw!W640</f>
        <v>7.3999999999999996E-2</v>
      </c>
      <c r="K637" t="str">
        <f>Deals_Raw!Z640</f>
        <v>Sales Manager</v>
      </c>
      <c r="L637" t="str">
        <f t="shared" si="74"/>
        <v>yes</v>
      </c>
      <c r="M637" t="str">
        <f t="shared" si="75"/>
        <v>Pass</v>
      </c>
      <c r="O637">
        <f>Deals_Raw!AP640</f>
        <v>0.61127847109167488</v>
      </c>
      <c r="P637" t="str">
        <f t="shared" si="76"/>
        <v>False</v>
      </c>
      <c r="R637" t="str">
        <f>Deals_Raw!AF640</f>
        <v>Lost</v>
      </c>
      <c r="S637">
        <f t="shared" si="80"/>
        <v>0</v>
      </c>
      <c r="T637">
        <v>0</v>
      </c>
      <c r="U637">
        <f t="shared" si="77"/>
        <v>0</v>
      </c>
      <c r="V637">
        <f>Deals_Raw!AN640</f>
        <v>82237.02</v>
      </c>
      <c r="W637">
        <f t="shared" si="78"/>
        <v>0</v>
      </c>
      <c r="X637">
        <f>Deals_Raw!AO640</f>
        <v>50269.719852735492</v>
      </c>
      <c r="Y637">
        <f t="shared" si="79"/>
        <v>0</v>
      </c>
      <c r="Z637">
        <f>Deals_Raw!AP640</f>
        <v>0.61127847109167488</v>
      </c>
    </row>
    <row r="638" spans="1:26">
      <c r="A638" t="str">
        <f>Deals_Raw!A641</f>
        <v>D00723</v>
      </c>
      <c r="B638">
        <f>COUNTIF(Deals_Raw!$A$5:$A$643,A638)</f>
        <v>1</v>
      </c>
      <c r="C638" s="12" t="str">
        <f>Deals_Raw!E641</f>
        <v>CT00397</v>
      </c>
      <c r="E638">
        <f>Deals_Raw!AA641</f>
        <v>64120.821558653653</v>
      </c>
      <c r="F638">
        <f>ROUND(Deals_Raw!T641*(1-Deals_Raw!W641),2)</f>
        <v>64120.82</v>
      </c>
      <c r="G638">
        <f t="shared" si="73"/>
        <v>-1.5586536537739448E-3</v>
      </c>
      <c r="I638">
        <f>Deals_Raw!V641</f>
        <v>1.7000000000000001E-2</v>
      </c>
      <c r="J638">
        <f>Deals_Raw!W641</f>
        <v>0</v>
      </c>
      <c r="K638" t="str">
        <f>Deals_Raw!Z641</f>
        <v>Sales Manager</v>
      </c>
      <c r="L638" t="str">
        <f t="shared" si="74"/>
        <v>yes</v>
      </c>
      <c r="M638" t="str">
        <f t="shared" si="75"/>
        <v>Pass</v>
      </c>
      <c r="O638">
        <f>Deals_Raw!AP641</f>
        <v>0.62954775299926968</v>
      </c>
      <c r="P638" t="str">
        <f>IF(O638&lt;=0.45, "True", "False")</f>
        <v>False</v>
      </c>
      <c r="R638" t="str">
        <f>Deals_Raw!AF641</f>
        <v>Won</v>
      </c>
      <c r="S638">
        <f t="shared" si="80"/>
        <v>64120.82</v>
      </c>
      <c r="T638">
        <f>Deals_Raw!AM641</f>
        <v>64120.82</v>
      </c>
      <c r="U638">
        <f t="shared" si="77"/>
        <v>192362.46</v>
      </c>
      <c r="V638">
        <f>Deals_Raw!AN641</f>
        <v>192362.46</v>
      </c>
      <c r="W638">
        <f t="shared" si="78"/>
        <v>40367.118151470633</v>
      </c>
      <c r="X638">
        <f>Deals_Raw!AO641</f>
        <v>40367.118151470633</v>
      </c>
      <c r="Y638">
        <f t="shared" si="79"/>
        <v>0.62954775299926968</v>
      </c>
      <c r="Z638">
        <f>Deals_Raw!AP641</f>
        <v>0.62954775299926968</v>
      </c>
    </row>
    <row r="639" spans="1:26">
      <c r="A639" t="str">
        <f>Deals_Raw!A642</f>
        <v>D00724</v>
      </c>
      <c r="B639">
        <f>COUNTIF(Deals_Raw!$A$5:$A$643,A639)</f>
        <v>1</v>
      </c>
      <c r="C639" s="12" t="str">
        <f>Deals_Raw!E642</f>
        <v>CT00398</v>
      </c>
      <c r="E639">
        <f>Deals_Raw!AA642</f>
        <v>48886.278876651748</v>
      </c>
      <c r="F639">
        <f>ROUND(Deals_Raw!T642*(1-Deals_Raw!W642),2)</f>
        <v>48864.67</v>
      </c>
      <c r="G639">
        <f t="shared" si="73"/>
        <v>-21.608876651749597</v>
      </c>
      <c r="I639">
        <f>Deals_Raw!V642</f>
        <v>0.16200000000000001</v>
      </c>
      <c r="J639">
        <f>Deals_Raw!W642</f>
        <v>0.129</v>
      </c>
      <c r="K639" t="str">
        <f>Deals_Raw!Z642</f>
        <v>Pricing Analyst</v>
      </c>
      <c r="L639" t="str">
        <f>IF(J639&lt;=I639, "yes", "no")</f>
        <v>yes</v>
      </c>
      <c r="M639" t="str">
        <f t="shared" si="75"/>
        <v>Pass</v>
      </c>
      <c r="O639">
        <f>Deals_Raw!AP642</f>
        <v>0.61501864448255927</v>
      </c>
      <c r="P639" t="str">
        <f t="shared" ref="P639" si="81">IF(O639&lt;=0.45, "True", "False")</f>
        <v>False</v>
      </c>
      <c r="R639" t="str">
        <f>Deals_Raw!AF642</f>
        <v>Lost</v>
      </c>
      <c r="S639">
        <f t="shared" si="80"/>
        <v>0</v>
      </c>
      <c r="T639">
        <v>0</v>
      </c>
      <c r="U639">
        <f t="shared" si="77"/>
        <v>0</v>
      </c>
      <c r="V639">
        <v>0</v>
      </c>
      <c r="W639">
        <f t="shared" si="78"/>
        <v>0</v>
      </c>
      <c r="X639">
        <v>0</v>
      </c>
      <c r="Y639">
        <f t="shared" si="79"/>
        <v>0</v>
      </c>
      <c r="Z639">
        <v>0</v>
      </c>
    </row>
  </sheetData>
  <conditionalFormatting sqref="R1:S1048576">
    <cfRule type="cellIs" dxfId="0" priority="1" operator="equal">
      <formula>"Lost"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vt:lpstr>
      <vt:lpstr>Customer_Master</vt:lpstr>
      <vt:lpstr>Product_Catalog</vt:lpstr>
      <vt:lpstr>Contract_Master</vt:lpstr>
      <vt:lpstr>Deals_Raw</vt:lpstr>
      <vt:lpstr>StraCustomer segm pricing perf </vt:lpstr>
      <vt:lpstr>Pricing_Analysis</vt:lpstr>
      <vt:lpstr>Notes on dataset</vt:lpstr>
      <vt:lpstr>Pricing_Policy</vt:lpstr>
      <vt:lpstr>Analyst_Model</vt:lpstr>
      <vt:lpstr>Data_Dictionary</vt:lpstr>
      <vt:lpstr>Lifecycle_Rules</vt:lpstr>
      <vt:lpstr>Dashboard</vt:lpstr>
      <vt:lpstr>Report_Data_validation checks</vt:lpstr>
      <vt:lpstr>Pricing Analysis Log</vt:lpstr>
      <vt:lpstr>Price &amp; Discount leakage</vt:lpstr>
      <vt:lpstr>Product Comm &amp; Fin performance</vt:lpstr>
      <vt:lpstr>Deal Type Performance</vt:lpstr>
      <vt:lpstr>All Data validation 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ROG</cp:lastModifiedBy>
  <dcterms:modified xsi:type="dcterms:W3CDTF">2026-07-16T04:36:47Z</dcterms:modified>
</cp:coreProperties>
</file>